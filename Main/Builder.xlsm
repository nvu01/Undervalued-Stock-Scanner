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"/>
    </mc:Choice>
  </mc:AlternateContent>
  <xr:revisionPtr revIDLastSave="0" documentId="13_ncr:1_{31A90404-974B-47F9-87D6-F9B09878B4C4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Main_L!$A$1:$M$134</definedName>
    <definedName name="ExternalData_1" localSheetId="2" hidden="1">Main_M!$A$1:$M$168</definedName>
    <definedName name="ExternalData_1" localSheetId="3" hidden="1">Main_S!$A$1:$M$168</definedName>
    <definedName name="ExternalData_5" localSheetId="4" hidden="1">'Quartile Tables'!$A$2:$Y$16</definedName>
    <definedName name="ExternalData_6" localSheetId="4" hidden="1">'Quartile Tables'!$A$20:$Y$34</definedName>
    <definedName name="ExternalData_7" localSheetId="4" hidden="1">'Quartile Tables'!$A$38:$Y$52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2" i="1" l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X52" i="1"/>
  <c r="X51" i="1"/>
  <c r="X50" i="1"/>
  <c r="X49" i="1"/>
  <c r="X48" i="1"/>
  <c r="X47" i="1"/>
  <c r="X46" i="1"/>
  <c r="X45" i="1"/>
  <c r="X44" i="1"/>
  <c r="X43" i="1"/>
  <c r="X42" i="1"/>
  <c r="Y63" i="4" s="1"/>
  <c r="X41" i="1"/>
  <c r="X40" i="1"/>
  <c r="X39" i="1"/>
  <c r="W52" i="1" a="1"/>
  <c r="W52" i="1" s="1"/>
  <c r="W51" i="1" a="1"/>
  <c r="W51" i="1" s="1"/>
  <c r="W50" i="1" a="1"/>
  <c r="W50" i="1" s="1"/>
  <c r="W49" i="1" a="1"/>
  <c r="W49" i="1" s="1"/>
  <c r="W48" i="1" a="1"/>
  <c r="W48" i="1" s="1"/>
  <c r="W47" i="1" a="1"/>
  <c r="W47" i="1" s="1"/>
  <c r="W46" i="1" a="1"/>
  <c r="W46" i="1" s="1"/>
  <c r="W45" i="1" a="1"/>
  <c r="W45" i="1" s="1"/>
  <c r="W44" i="1" a="1"/>
  <c r="W44" i="1" s="1"/>
  <c r="W43" i="1" a="1"/>
  <c r="W43" i="1" s="1"/>
  <c r="W42" i="1" a="1"/>
  <c r="W42" i="1" s="1"/>
  <c r="W41" i="1" a="1"/>
  <c r="W41" i="1" s="1"/>
  <c r="W40" i="1" a="1"/>
  <c r="W40" i="1" s="1"/>
  <c r="W39" i="1" a="1"/>
  <c r="W39" i="1" s="1"/>
  <c r="V52" i="1" a="1"/>
  <c r="V52" i="1" s="1"/>
  <c r="V51" i="1" a="1"/>
  <c r="V51" i="1" s="1"/>
  <c r="V50" i="1" a="1"/>
  <c r="V50" i="1" s="1"/>
  <c r="V49" i="1" a="1"/>
  <c r="V49" i="1" s="1"/>
  <c r="V48" i="1" a="1"/>
  <c r="V48" i="1" s="1"/>
  <c r="V47" i="1" a="1"/>
  <c r="V47" i="1" s="1"/>
  <c r="V46" i="1" a="1"/>
  <c r="V46" i="1" s="1"/>
  <c r="V45" i="1" a="1"/>
  <c r="V45" i="1" s="1"/>
  <c r="V44" i="1" a="1"/>
  <c r="V44" i="1" s="1"/>
  <c r="V43" i="1" a="1"/>
  <c r="V43" i="1" s="1"/>
  <c r="V42" i="1" a="1"/>
  <c r="V42" i="1" s="1"/>
  <c r="V41" i="1" a="1"/>
  <c r="V41" i="1" s="1"/>
  <c r="V40" i="1" a="1"/>
  <c r="V40" i="1" s="1"/>
  <c r="V39" i="1" a="1"/>
  <c r="V39" i="1" s="1"/>
  <c r="Q52" i="1"/>
  <c r="Q51" i="1"/>
  <c r="Q50" i="1"/>
  <c r="Q49" i="1"/>
  <c r="Q48" i="1"/>
  <c r="Q47" i="1"/>
  <c r="Q46" i="1"/>
  <c r="Q45" i="1"/>
  <c r="Q44" i="1"/>
  <c r="Q43" i="1"/>
  <c r="Q42" i="1"/>
  <c r="Q41" i="1"/>
  <c r="X53" i="4" s="1"/>
  <c r="Q40" i="1"/>
  <c r="Q39" i="1"/>
  <c r="X6" i="4" s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O52" i="1" a="1"/>
  <c r="O52" i="1" s="1"/>
  <c r="O51" i="1" a="1"/>
  <c r="O51" i="1" s="1"/>
  <c r="O50" i="1" a="1"/>
  <c r="O50" i="1" s="1"/>
  <c r="O49" i="1" a="1"/>
  <c r="O49" i="1"/>
  <c r="O48" i="1" a="1"/>
  <c r="O48" i="1" s="1"/>
  <c r="O47" i="1" a="1"/>
  <c r="O47" i="1" s="1"/>
  <c r="O46" i="1" a="1"/>
  <c r="O46" i="1" s="1"/>
  <c r="O45" i="1" a="1"/>
  <c r="O45" i="1"/>
  <c r="O44" i="1" a="1"/>
  <c r="O44" i="1" s="1"/>
  <c r="O43" i="1" a="1"/>
  <c r="O43" i="1" s="1"/>
  <c r="O42" i="1" a="1"/>
  <c r="O42" i="1" s="1"/>
  <c r="O41" i="1" a="1"/>
  <c r="O41" i="1" s="1"/>
  <c r="O40" i="1" a="1"/>
  <c r="O40" i="1" s="1"/>
  <c r="O39" i="1" a="1"/>
  <c r="O39" i="1" s="1"/>
  <c r="N52" i="1" a="1"/>
  <c r="N52" i="1" s="1"/>
  <c r="N51" i="1" a="1"/>
  <c r="N51" i="1" s="1"/>
  <c r="N50" i="1" a="1"/>
  <c r="N50" i="1" s="1"/>
  <c r="N49" i="1" a="1"/>
  <c r="N49" i="1" s="1"/>
  <c r="N48" i="1" a="1"/>
  <c r="N48" i="1" s="1"/>
  <c r="N47" i="1" a="1"/>
  <c r="N47" i="1" s="1"/>
  <c r="N46" i="1" a="1"/>
  <c r="N46" i="1" s="1"/>
  <c r="N45" i="1" a="1"/>
  <c r="N45" i="1" s="1"/>
  <c r="N44" i="1" a="1"/>
  <c r="N44" i="1" s="1"/>
  <c r="N43" i="1" a="1"/>
  <c r="N43" i="1" s="1"/>
  <c r="N42" i="1" a="1"/>
  <c r="N42" i="1" s="1"/>
  <c r="N41" i="1" a="1"/>
  <c r="N41" i="1" s="1"/>
  <c r="N40" i="1" a="1"/>
  <c r="N40" i="1" s="1"/>
  <c r="N39" i="1" a="1"/>
  <c r="N39" i="1" s="1"/>
  <c r="M52" i="1"/>
  <c r="M51" i="1"/>
  <c r="M50" i="1"/>
  <c r="M49" i="1"/>
  <c r="M48" i="1"/>
  <c r="M47" i="1"/>
  <c r="M46" i="1"/>
  <c r="M45" i="1"/>
  <c r="W153" i="4" s="1"/>
  <c r="M44" i="1"/>
  <c r="M43" i="1"/>
  <c r="M42" i="1"/>
  <c r="W74" i="4" s="1"/>
  <c r="M41" i="1"/>
  <c r="M40" i="1"/>
  <c r="M39" i="1"/>
  <c r="L52" i="1"/>
  <c r="L51" i="1"/>
  <c r="L50" i="1"/>
  <c r="L49" i="1"/>
  <c r="L48" i="1"/>
  <c r="L47" i="1"/>
  <c r="L46" i="1"/>
  <c r="L45" i="1"/>
  <c r="L44" i="1"/>
  <c r="L43" i="1"/>
  <c r="L42" i="1"/>
  <c r="W65" i="4" s="1"/>
  <c r="L41" i="1"/>
  <c r="L40" i="1"/>
  <c r="W24" i="4" s="1"/>
  <c r="L39" i="1"/>
  <c r="K52" i="1" a="1"/>
  <c r="K52" i="1" s="1"/>
  <c r="K51" i="1" a="1"/>
  <c r="K51" i="1" s="1"/>
  <c r="K50" i="1" a="1"/>
  <c r="K50" i="1" s="1"/>
  <c r="K49" i="1" a="1"/>
  <c r="K49" i="1" s="1"/>
  <c r="K48" i="1" a="1"/>
  <c r="K48" i="1" s="1"/>
  <c r="K47" i="1" a="1"/>
  <c r="K47" i="1" s="1"/>
  <c r="K46" i="1" a="1"/>
  <c r="K46" i="1" s="1"/>
  <c r="K45" i="1" a="1"/>
  <c r="K45" i="1" s="1"/>
  <c r="K44" i="1" a="1"/>
  <c r="K44" i="1" s="1"/>
  <c r="K43" i="1" a="1"/>
  <c r="K43" i="1" s="1"/>
  <c r="K42" i="1" a="1"/>
  <c r="K42" i="1" s="1"/>
  <c r="K41" i="1" a="1"/>
  <c r="K41" i="1" s="1"/>
  <c r="K40" i="1" a="1"/>
  <c r="K40" i="1" s="1"/>
  <c r="K39" i="1" a="1"/>
  <c r="K39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Y19" i="3" s="1"/>
  <c r="X21" i="1"/>
  <c r="W34" i="1" a="1"/>
  <c r="W34" i="1" s="1"/>
  <c r="W33" i="1" a="1"/>
  <c r="W33" i="1" s="1"/>
  <c r="W32" i="1" a="1"/>
  <c r="W32" i="1" s="1"/>
  <c r="W31" i="1" a="1"/>
  <c r="W31" i="1" s="1"/>
  <c r="W30" i="1" a="1"/>
  <c r="W30" i="1" s="1"/>
  <c r="W29" i="1" a="1"/>
  <c r="W29" i="1" s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V34" i="1" a="1"/>
  <c r="V34" i="1" s="1"/>
  <c r="V33" i="1" a="1"/>
  <c r="V33" i="1" s="1"/>
  <c r="V32" i="1" a="1"/>
  <c r="V32" i="1" s="1"/>
  <c r="V31" i="1" a="1"/>
  <c r="V31" i="1" s="1"/>
  <c r="V30" i="1" a="1"/>
  <c r="V30" i="1" s="1"/>
  <c r="V29" i="1" a="1"/>
  <c r="V29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V22" i="1" a="1"/>
  <c r="V22" i="1" s="1"/>
  <c r="V21" i="1" a="1"/>
  <c r="V21" i="1" s="1"/>
  <c r="Q34" i="1"/>
  <c r="Q33" i="1"/>
  <c r="Q32" i="1"/>
  <c r="Q31" i="1"/>
  <c r="Q30" i="1"/>
  <c r="Q29" i="1"/>
  <c r="Q28" i="1"/>
  <c r="Q27" i="1"/>
  <c r="Q26" i="1"/>
  <c r="Q25" i="1"/>
  <c r="Q24" i="1"/>
  <c r="W62" i="3" s="1"/>
  <c r="Q23" i="1"/>
  <c r="Q22" i="1"/>
  <c r="Q21" i="1"/>
  <c r="W9" i="3" s="1"/>
  <c r="P34" i="1"/>
  <c r="P33" i="1"/>
  <c r="P32" i="1"/>
  <c r="P31" i="1"/>
  <c r="P30" i="1"/>
  <c r="P29" i="1"/>
  <c r="P28" i="1"/>
  <c r="P27" i="1"/>
  <c r="P26" i="1"/>
  <c r="W84" i="3" s="1"/>
  <c r="P25" i="1"/>
  <c r="P24" i="1"/>
  <c r="P23" i="1"/>
  <c r="P22" i="1"/>
  <c r="P21" i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29" i="1" a="1"/>
  <c r="O29" i="1" s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N34" i="1" a="1"/>
  <c r="N34" i="1" s="1"/>
  <c r="N33" i="1" a="1"/>
  <c r="N33" i="1" s="1"/>
  <c r="N32" i="1" a="1"/>
  <c r="N32" i="1" s="1"/>
  <c r="N31" i="1" a="1"/>
  <c r="N31" i="1" s="1"/>
  <c r="N30" i="1" a="1"/>
  <c r="N30" i="1" s="1"/>
  <c r="N29" i="1" a="1"/>
  <c r="N29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N22" i="1" a="1"/>
  <c r="N22" i="1" s="1"/>
  <c r="N21" i="1" a="1"/>
  <c r="N21" i="1" s="1"/>
  <c r="M34" i="1"/>
  <c r="M33" i="1"/>
  <c r="M32" i="1"/>
  <c r="M31" i="1"/>
  <c r="M30" i="1"/>
  <c r="M29" i="1"/>
  <c r="M28" i="1"/>
  <c r="M27" i="1"/>
  <c r="M26" i="1"/>
  <c r="M25" i="1"/>
  <c r="M24" i="1"/>
  <c r="X71" i="3" s="1"/>
  <c r="M23" i="1"/>
  <c r="M22" i="1"/>
  <c r="M21" i="1"/>
  <c r="L34" i="1"/>
  <c r="L33" i="1"/>
  <c r="L32" i="1"/>
  <c r="L31" i="1"/>
  <c r="L30" i="1"/>
  <c r="L29" i="1"/>
  <c r="L28" i="1"/>
  <c r="L27" i="1"/>
  <c r="L26" i="1"/>
  <c r="L25" i="1"/>
  <c r="L24" i="1"/>
  <c r="X64" i="3" s="1"/>
  <c r="L23" i="1"/>
  <c r="L22" i="1"/>
  <c r="X31" i="3" s="1"/>
  <c r="L21" i="1"/>
  <c r="K34" i="1" a="1"/>
  <c r="K34" i="1" s="1"/>
  <c r="K33" i="1" a="1"/>
  <c r="K33" i="1" s="1"/>
  <c r="K32" i="1" a="1"/>
  <c r="K32" i="1" s="1"/>
  <c r="K31" i="1" a="1"/>
  <c r="K31" i="1" s="1"/>
  <c r="K30" i="1" a="1"/>
  <c r="K30" i="1" s="1"/>
  <c r="K29" i="1" a="1"/>
  <c r="K29" i="1" s="1"/>
  <c r="K28" i="1" a="1"/>
  <c r="K28" i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Y16" i="1"/>
  <c r="Y15" i="1"/>
  <c r="Y14" i="1"/>
  <c r="Y13" i="1"/>
  <c r="Y12" i="1"/>
  <c r="Y11" i="1"/>
  <c r="Y10" i="1"/>
  <c r="Y9" i="1"/>
  <c r="Y8" i="1"/>
  <c r="Y84" i="2" s="1"/>
  <c r="Y7" i="1"/>
  <c r="Y6" i="1"/>
  <c r="Y5" i="1"/>
  <c r="Y4" i="1"/>
  <c r="Y3" i="1"/>
  <c r="X16" i="1"/>
  <c r="X15" i="1"/>
  <c r="X14" i="1"/>
  <c r="X13" i="1"/>
  <c r="X12" i="1"/>
  <c r="X11" i="1"/>
  <c r="X10" i="1"/>
  <c r="X9" i="1"/>
  <c r="X8" i="1"/>
  <c r="X7" i="1"/>
  <c r="X6" i="1"/>
  <c r="X5" i="1"/>
  <c r="Y49" i="2" s="1"/>
  <c r="X4" i="1"/>
  <c r="X3" i="1"/>
  <c r="W16" i="1" a="1"/>
  <c r="W16" i="1" s="1"/>
  <c r="W15" i="1" a="1"/>
  <c r="W15" i="1" s="1"/>
  <c r="W14" i="1" a="1"/>
  <c r="W14" i="1" s="1"/>
  <c r="W13" i="1" a="1"/>
  <c r="W13" i="1"/>
  <c r="W12" i="1" a="1"/>
  <c r="W12" i="1" s="1"/>
  <c r="W11" i="1" a="1"/>
  <c r="W11" i="1" s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16" i="1" a="1"/>
  <c r="V16" i="1" s="1"/>
  <c r="V15" i="1" a="1"/>
  <c r="V15" i="1" s="1"/>
  <c r="V14" i="1" a="1"/>
  <c r="V14" i="1" s="1"/>
  <c r="V13" i="1" a="1"/>
  <c r="V13" i="1"/>
  <c r="V12" i="1" a="1"/>
  <c r="V12" i="1" s="1"/>
  <c r="V11" i="1" a="1"/>
  <c r="V11" i="1" s="1"/>
  <c r="V10" i="1" a="1"/>
  <c r="V10" i="1" s="1"/>
  <c r="V9" i="1" a="1"/>
  <c r="V9" i="1" s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P16" i="1"/>
  <c r="P15" i="1"/>
  <c r="P14" i="1"/>
  <c r="P13" i="1"/>
  <c r="P12" i="1"/>
  <c r="P11" i="1"/>
  <c r="P10" i="1"/>
  <c r="P9" i="1"/>
  <c r="X129" i="2" s="1"/>
  <c r="P8" i="1"/>
  <c r="P7" i="1"/>
  <c r="P6" i="1"/>
  <c r="P5" i="1"/>
  <c r="P4" i="1"/>
  <c r="P3" i="1"/>
  <c r="O16" i="1" a="1"/>
  <c r="O16" i="1" s="1"/>
  <c r="O15" i="1" a="1"/>
  <c r="O15" i="1"/>
  <c r="O14" i="1" a="1"/>
  <c r="O14" i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W24" i="2" s="1"/>
  <c r="M3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W12" i="2" s="1"/>
  <c r="K16" i="1" a="1"/>
  <c r="K16" i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/>
  <c r="K7" i="1" a="1"/>
  <c r="K7" i="1" s="1"/>
  <c r="K6" i="1" a="1"/>
  <c r="K6" i="1" s="1"/>
  <c r="K5" i="1" a="1"/>
  <c r="K5" i="1" s="1"/>
  <c r="K4" i="1" a="1"/>
  <c r="K4" i="1" s="1"/>
  <c r="K3" i="1" a="1"/>
  <c r="K3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/>
  <c r="J4" i="1" a="1"/>
  <c r="J4" i="1" s="1"/>
  <c r="J3" i="1" a="1"/>
  <c r="J3" i="1" s="1"/>
  <c r="M165" i="4"/>
  <c r="T165" i="4" s="1"/>
  <c r="M72" i="4"/>
  <c r="T72" i="4" s="1"/>
  <c r="M28" i="4"/>
  <c r="T28" i="4" s="1"/>
  <c r="M16" i="4"/>
  <c r="T16" i="4" s="1"/>
  <c r="I72" i="4"/>
  <c r="I28" i="4"/>
  <c r="I16" i="4"/>
  <c r="H72" i="4"/>
  <c r="H28" i="4"/>
  <c r="N28" i="4" s="1"/>
  <c r="H16" i="4"/>
  <c r="H10" i="4"/>
  <c r="O10" i="4" s="1"/>
  <c r="D168" i="4"/>
  <c r="D167" i="4"/>
  <c r="M167" i="4" s="1"/>
  <c r="D166" i="4"/>
  <c r="D165" i="4"/>
  <c r="I165" i="4" s="1"/>
  <c r="D164" i="4"/>
  <c r="H164" i="4" s="1"/>
  <c r="D163" i="4"/>
  <c r="D162" i="4"/>
  <c r="I162" i="4" s="1"/>
  <c r="P162" i="4" s="1"/>
  <c r="D161" i="4"/>
  <c r="D160" i="4"/>
  <c r="I160" i="4" s="1"/>
  <c r="P160" i="4" s="1"/>
  <c r="D159" i="4"/>
  <c r="D158" i="4"/>
  <c r="D157" i="4"/>
  <c r="D156" i="4"/>
  <c r="H156" i="4" s="1"/>
  <c r="O156" i="4" s="1"/>
  <c r="D155" i="4"/>
  <c r="H155" i="4" s="1"/>
  <c r="O155" i="4" s="1"/>
  <c r="D154" i="4"/>
  <c r="D153" i="4"/>
  <c r="D152" i="4"/>
  <c r="H152" i="4" s="1"/>
  <c r="O152" i="4" s="1"/>
  <c r="D151" i="4"/>
  <c r="H151" i="4" s="1"/>
  <c r="D150" i="4"/>
  <c r="I150" i="4" s="1"/>
  <c r="P150" i="4" s="1"/>
  <c r="D149" i="4"/>
  <c r="M149" i="4" s="1"/>
  <c r="D148" i="4"/>
  <c r="M148" i="4" s="1"/>
  <c r="T148" i="4" s="1"/>
  <c r="D147" i="4"/>
  <c r="H147" i="4" s="1"/>
  <c r="O147" i="4" s="1"/>
  <c r="D146" i="4"/>
  <c r="D145" i="4"/>
  <c r="H145" i="4" s="1"/>
  <c r="O145" i="4" s="1"/>
  <c r="D144" i="4"/>
  <c r="D143" i="4"/>
  <c r="I143" i="4" s="1"/>
  <c r="P143" i="4" s="1"/>
  <c r="D142" i="4"/>
  <c r="I142" i="4" s="1"/>
  <c r="P142" i="4" s="1"/>
  <c r="D141" i="4"/>
  <c r="D140" i="4"/>
  <c r="D139" i="4"/>
  <c r="D138" i="4"/>
  <c r="M138" i="4" s="1"/>
  <c r="T138" i="4" s="1"/>
  <c r="D137" i="4"/>
  <c r="I137" i="4" s="1"/>
  <c r="P137" i="4" s="1"/>
  <c r="D136" i="4"/>
  <c r="H136" i="4" s="1"/>
  <c r="D135" i="4"/>
  <c r="H135" i="4" s="1"/>
  <c r="O135" i="4" s="1"/>
  <c r="D134" i="4"/>
  <c r="M134" i="4" s="1"/>
  <c r="D133" i="4"/>
  <c r="H133" i="4" s="1"/>
  <c r="D132" i="4"/>
  <c r="H132" i="4" s="1"/>
  <c r="O132" i="4" s="1"/>
  <c r="D131" i="4"/>
  <c r="I131" i="4" s="1"/>
  <c r="D130" i="4"/>
  <c r="I130" i="4" s="1"/>
  <c r="P130" i="4" s="1"/>
  <c r="D129" i="4"/>
  <c r="M129" i="4" s="1"/>
  <c r="T129" i="4" s="1"/>
  <c r="D128" i="4"/>
  <c r="M128" i="4" s="1"/>
  <c r="D127" i="4"/>
  <c r="I127" i="4" s="1"/>
  <c r="P127" i="4" s="1"/>
  <c r="D126" i="4"/>
  <c r="H126" i="4" s="1"/>
  <c r="D125" i="4"/>
  <c r="I125" i="4" s="1"/>
  <c r="P125" i="4" s="1"/>
  <c r="D124" i="4"/>
  <c r="H124" i="4" s="1"/>
  <c r="O124" i="4" s="1"/>
  <c r="D123" i="4"/>
  <c r="H123" i="4" s="1"/>
  <c r="O123" i="4" s="1"/>
  <c r="D122" i="4"/>
  <c r="H122" i="4" s="1"/>
  <c r="O122" i="4" s="1"/>
  <c r="D121" i="4"/>
  <c r="D120" i="4"/>
  <c r="M120" i="4" s="1"/>
  <c r="D119" i="4"/>
  <c r="H119" i="4" s="1"/>
  <c r="O119" i="4" s="1"/>
  <c r="D118" i="4"/>
  <c r="M118" i="4" s="1"/>
  <c r="T118" i="4" s="1"/>
  <c r="D117" i="4"/>
  <c r="M117" i="4" s="1"/>
  <c r="T117" i="4" s="1"/>
  <c r="D116" i="4"/>
  <c r="H116" i="4" s="1"/>
  <c r="O116" i="4" s="1"/>
  <c r="D115" i="4"/>
  <c r="H115" i="4" s="1"/>
  <c r="D114" i="4"/>
  <c r="M114" i="4" s="1"/>
  <c r="D113" i="4"/>
  <c r="H113" i="4" s="1"/>
  <c r="D112" i="4"/>
  <c r="H112" i="4" s="1"/>
  <c r="D111" i="4"/>
  <c r="M111" i="4" s="1"/>
  <c r="T111" i="4" s="1"/>
  <c r="D110" i="4"/>
  <c r="I110" i="4" s="1"/>
  <c r="P110" i="4" s="1"/>
  <c r="D109" i="4"/>
  <c r="D108" i="4"/>
  <c r="D107" i="4"/>
  <c r="M107" i="4" s="1"/>
  <c r="T107" i="4" s="1"/>
  <c r="D106" i="4"/>
  <c r="D105" i="4"/>
  <c r="I105" i="4" s="1"/>
  <c r="P105" i="4" s="1"/>
  <c r="D104" i="4"/>
  <c r="D103" i="4"/>
  <c r="D102" i="4"/>
  <c r="D101" i="4"/>
  <c r="H101" i="4" s="1"/>
  <c r="O101" i="4" s="1"/>
  <c r="D100" i="4"/>
  <c r="D99" i="4"/>
  <c r="D98" i="4"/>
  <c r="H98" i="4" s="1"/>
  <c r="O98" i="4" s="1"/>
  <c r="D97" i="4"/>
  <c r="M97" i="4" s="1"/>
  <c r="T97" i="4" s="1"/>
  <c r="D96" i="4"/>
  <c r="M96" i="4" s="1"/>
  <c r="T96" i="4" s="1"/>
  <c r="D95" i="4"/>
  <c r="H95" i="4" s="1"/>
  <c r="O95" i="4" s="1"/>
  <c r="D94" i="4"/>
  <c r="D93" i="4"/>
  <c r="H93" i="4" s="1"/>
  <c r="O93" i="4" s="1"/>
  <c r="D92" i="4"/>
  <c r="H92" i="4" s="1"/>
  <c r="O92" i="4" s="1"/>
  <c r="D91" i="4"/>
  <c r="H91" i="4" s="1"/>
  <c r="O91" i="4" s="1"/>
  <c r="D90" i="4"/>
  <c r="I90" i="4" s="1"/>
  <c r="P90" i="4" s="1"/>
  <c r="D89" i="4"/>
  <c r="M89" i="4" s="1"/>
  <c r="D88" i="4"/>
  <c r="M88" i="4" s="1"/>
  <c r="T88" i="4" s="1"/>
  <c r="D87" i="4"/>
  <c r="H87" i="4" s="1"/>
  <c r="O87" i="4" s="1"/>
  <c r="D86" i="4"/>
  <c r="D85" i="4"/>
  <c r="D84" i="4"/>
  <c r="D83" i="4"/>
  <c r="D82" i="4"/>
  <c r="M82" i="4" s="1"/>
  <c r="T82" i="4" s="1"/>
  <c r="D81" i="4"/>
  <c r="D80" i="4"/>
  <c r="I80" i="4" s="1"/>
  <c r="P80" i="4" s="1"/>
  <c r="D79" i="4"/>
  <c r="D78" i="4"/>
  <c r="M78" i="4" s="1"/>
  <c r="T78" i="4" s="1"/>
  <c r="D77" i="4"/>
  <c r="I77" i="4" s="1"/>
  <c r="P77" i="4" s="1"/>
  <c r="D76" i="4"/>
  <c r="I76" i="4" s="1"/>
  <c r="P76" i="4" s="1"/>
  <c r="D75" i="4"/>
  <c r="H75" i="4" s="1"/>
  <c r="O75" i="4" s="1"/>
  <c r="D74" i="4"/>
  <c r="H74" i="4" s="1"/>
  <c r="O74" i="4" s="1"/>
  <c r="D73" i="4"/>
  <c r="D72" i="4"/>
  <c r="D71" i="4"/>
  <c r="I71" i="4" s="1"/>
  <c r="D70" i="4"/>
  <c r="I70" i="4" s="1"/>
  <c r="P70" i="4" s="1"/>
  <c r="D69" i="4"/>
  <c r="M69" i="4" s="1"/>
  <c r="T69" i="4" s="1"/>
  <c r="D68" i="4"/>
  <c r="M68" i="4" s="1"/>
  <c r="T68" i="4" s="1"/>
  <c r="D67" i="4"/>
  <c r="I67" i="4" s="1"/>
  <c r="P67" i="4" s="1"/>
  <c r="D66" i="4"/>
  <c r="D65" i="4"/>
  <c r="I65" i="4" s="1"/>
  <c r="P65" i="4" s="1"/>
  <c r="D64" i="4"/>
  <c r="I64" i="4" s="1"/>
  <c r="P64" i="4" s="1"/>
  <c r="D63" i="4"/>
  <c r="M63" i="4" s="1"/>
  <c r="T63" i="4" s="1"/>
  <c r="D62" i="4"/>
  <c r="I62" i="4" s="1"/>
  <c r="P62" i="4" s="1"/>
  <c r="D61" i="4"/>
  <c r="D60" i="4"/>
  <c r="D59" i="4"/>
  <c r="D58" i="4"/>
  <c r="M58" i="4" s="1"/>
  <c r="T58" i="4" s="1"/>
  <c r="D57" i="4"/>
  <c r="H57" i="4" s="1"/>
  <c r="O57" i="4" s="1"/>
  <c r="D56" i="4"/>
  <c r="H56" i="4" s="1"/>
  <c r="O56" i="4" s="1"/>
  <c r="D55" i="4"/>
  <c r="H55" i="4" s="1"/>
  <c r="O55" i="4" s="1"/>
  <c r="D54" i="4"/>
  <c r="M54" i="4" s="1"/>
  <c r="T54" i="4" s="1"/>
  <c r="D53" i="4"/>
  <c r="H53" i="4" s="1"/>
  <c r="D52" i="4"/>
  <c r="H52" i="4" s="1"/>
  <c r="D51" i="4"/>
  <c r="M51" i="4" s="1"/>
  <c r="T51" i="4" s="1"/>
  <c r="D50" i="4"/>
  <c r="I50" i="4" s="1"/>
  <c r="P50" i="4" s="1"/>
  <c r="D49" i="4"/>
  <c r="D48" i="4"/>
  <c r="D47" i="4"/>
  <c r="M47" i="4" s="1"/>
  <c r="T47" i="4" s="1"/>
  <c r="D46" i="4"/>
  <c r="D45" i="4"/>
  <c r="I45" i="4" s="1"/>
  <c r="P45" i="4" s="1"/>
  <c r="D44" i="4"/>
  <c r="D43" i="4"/>
  <c r="D42" i="4"/>
  <c r="D41" i="4"/>
  <c r="H41" i="4" s="1"/>
  <c r="D40" i="4"/>
  <c r="H40" i="4" s="1"/>
  <c r="D39" i="4"/>
  <c r="H39" i="4" s="1"/>
  <c r="D38" i="4"/>
  <c r="H38" i="4" s="1"/>
  <c r="D37" i="4"/>
  <c r="D36" i="4"/>
  <c r="H36" i="4" s="1"/>
  <c r="D35" i="4"/>
  <c r="H35" i="4" s="1"/>
  <c r="D34" i="4"/>
  <c r="I34" i="4" s="1"/>
  <c r="P34" i="4" s="1"/>
  <c r="D33" i="4"/>
  <c r="D32" i="4"/>
  <c r="H32" i="4" s="1"/>
  <c r="O32" i="4" s="1"/>
  <c r="D31" i="4"/>
  <c r="H31" i="4" s="1"/>
  <c r="O31" i="4" s="1"/>
  <c r="D30" i="4"/>
  <c r="I30" i="4" s="1"/>
  <c r="P30" i="4" s="1"/>
  <c r="D29" i="4"/>
  <c r="M29" i="4" s="1"/>
  <c r="T29" i="4" s="1"/>
  <c r="D28" i="4"/>
  <c r="D27" i="4"/>
  <c r="H27" i="4" s="1"/>
  <c r="O27" i="4" s="1"/>
  <c r="D26" i="4"/>
  <c r="D25" i="4"/>
  <c r="I25" i="4" s="1"/>
  <c r="P25" i="4" s="1"/>
  <c r="D24" i="4"/>
  <c r="D23" i="4"/>
  <c r="H23" i="4" s="1"/>
  <c r="D22" i="4"/>
  <c r="H22" i="4" s="1"/>
  <c r="D21" i="4"/>
  <c r="H21" i="4" s="1"/>
  <c r="D20" i="4"/>
  <c r="D19" i="4"/>
  <c r="D18" i="4"/>
  <c r="M18" i="4" s="1"/>
  <c r="T18" i="4" s="1"/>
  <c r="D17" i="4"/>
  <c r="D16" i="4"/>
  <c r="D15" i="4"/>
  <c r="H15" i="4" s="1"/>
  <c r="D14" i="4"/>
  <c r="D13" i="4"/>
  <c r="D12" i="4"/>
  <c r="H12" i="4" s="1"/>
  <c r="O12" i="4" s="1"/>
  <c r="D11" i="4"/>
  <c r="M11" i="4" s="1"/>
  <c r="T11" i="4" s="1"/>
  <c r="D10" i="4"/>
  <c r="I10" i="4" s="1"/>
  <c r="D9" i="4"/>
  <c r="M9" i="4" s="1"/>
  <c r="T9" i="4" s="1"/>
  <c r="D8" i="4"/>
  <c r="M8" i="4" s="1"/>
  <c r="T8" i="4" s="1"/>
  <c r="D7" i="4"/>
  <c r="I7" i="4" s="1"/>
  <c r="P7" i="4" s="1"/>
  <c r="D6" i="4"/>
  <c r="D5" i="4"/>
  <c r="D4" i="4"/>
  <c r="D3" i="4"/>
  <c r="D2" i="4"/>
  <c r="M163" i="3"/>
  <c r="T163" i="3" s="1"/>
  <c r="M137" i="3"/>
  <c r="T137" i="3" s="1"/>
  <c r="M126" i="3"/>
  <c r="T126" i="3" s="1"/>
  <c r="M50" i="3"/>
  <c r="T50" i="3" s="1"/>
  <c r="M14" i="3"/>
  <c r="T14" i="3" s="1"/>
  <c r="I137" i="3"/>
  <c r="P137" i="3" s="1"/>
  <c r="I126" i="3"/>
  <c r="I50" i="3"/>
  <c r="I14" i="3"/>
  <c r="P14" i="3" s="1"/>
  <c r="H137" i="3"/>
  <c r="O137" i="3" s="1"/>
  <c r="H126" i="3"/>
  <c r="N126" i="3" s="1"/>
  <c r="H50" i="3"/>
  <c r="N50" i="3" s="1"/>
  <c r="H14" i="3"/>
  <c r="O14" i="3" s="1"/>
  <c r="D168" i="3"/>
  <c r="I168" i="3" s="1"/>
  <c r="P168" i="3" s="1"/>
  <c r="D167" i="3"/>
  <c r="M167" i="3" s="1"/>
  <c r="T167" i="3" s="1"/>
  <c r="D166" i="3"/>
  <c r="I166" i="3" s="1"/>
  <c r="P166" i="3" s="1"/>
  <c r="D165" i="3"/>
  <c r="D164" i="3"/>
  <c r="I164" i="3" s="1"/>
  <c r="P164" i="3" s="1"/>
  <c r="D163" i="3"/>
  <c r="H163" i="3" s="1"/>
  <c r="O163" i="3" s="1"/>
  <c r="D162" i="3"/>
  <c r="H162" i="3" s="1"/>
  <c r="O162" i="3" s="1"/>
  <c r="D161" i="3"/>
  <c r="D160" i="3"/>
  <c r="D159" i="3"/>
  <c r="I159" i="3" s="1"/>
  <c r="P159" i="3" s="1"/>
  <c r="D158" i="3"/>
  <c r="I158" i="3" s="1"/>
  <c r="P158" i="3" s="1"/>
  <c r="D157" i="3"/>
  <c r="I157" i="3" s="1"/>
  <c r="P157" i="3" s="1"/>
  <c r="D156" i="3"/>
  <c r="D155" i="3"/>
  <c r="M155" i="3" s="1"/>
  <c r="T155" i="3" s="1"/>
  <c r="D154" i="3"/>
  <c r="I154" i="3" s="1"/>
  <c r="P154" i="3" s="1"/>
  <c r="D153" i="3"/>
  <c r="I153" i="3" s="1"/>
  <c r="P153" i="3" s="1"/>
  <c r="D152" i="3"/>
  <c r="M152" i="3" s="1"/>
  <c r="T152" i="3" s="1"/>
  <c r="D151" i="3"/>
  <c r="M151" i="3" s="1"/>
  <c r="T151" i="3" s="1"/>
  <c r="D150" i="3"/>
  <c r="M150" i="3" s="1"/>
  <c r="T150" i="3" s="1"/>
  <c r="D149" i="3"/>
  <c r="H149" i="3" s="1"/>
  <c r="D148" i="3"/>
  <c r="M148" i="3" s="1"/>
  <c r="T148" i="3" s="1"/>
  <c r="D147" i="3"/>
  <c r="I147" i="3" s="1"/>
  <c r="P147" i="3" s="1"/>
  <c r="D146" i="3"/>
  <c r="D145" i="3"/>
  <c r="D144" i="3"/>
  <c r="I144" i="3" s="1"/>
  <c r="D143" i="3"/>
  <c r="D142" i="3"/>
  <c r="I142" i="3" s="1"/>
  <c r="P142" i="3" s="1"/>
  <c r="D141" i="3"/>
  <c r="I141" i="3" s="1"/>
  <c r="P141" i="3" s="1"/>
  <c r="D140" i="3"/>
  <c r="D139" i="3"/>
  <c r="H139" i="3" s="1"/>
  <c r="O139" i="3" s="1"/>
  <c r="D138" i="3"/>
  <c r="M138" i="3" s="1"/>
  <c r="T138" i="3" s="1"/>
  <c r="D137" i="3"/>
  <c r="D136" i="3"/>
  <c r="M136" i="3" s="1"/>
  <c r="D135" i="3"/>
  <c r="I135" i="3" s="1"/>
  <c r="P135" i="3" s="1"/>
  <c r="D134" i="3"/>
  <c r="I134" i="3" s="1"/>
  <c r="P134" i="3" s="1"/>
  <c r="D133" i="3"/>
  <c r="I133" i="3" s="1"/>
  <c r="P133" i="3" s="1"/>
  <c r="D132" i="3"/>
  <c r="I132" i="3" s="1"/>
  <c r="P132" i="3" s="1"/>
  <c r="D131" i="3"/>
  <c r="M131" i="3" s="1"/>
  <c r="T131" i="3" s="1"/>
  <c r="D130" i="3"/>
  <c r="I130" i="3" s="1"/>
  <c r="P130" i="3" s="1"/>
  <c r="D129" i="3"/>
  <c r="D128" i="3"/>
  <c r="I128" i="3" s="1"/>
  <c r="P128" i="3" s="1"/>
  <c r="D127" i="3"/>
  <c r="D126" i="3"/>
  <c r="D125" i="3"/>
  <c r="D124" i="3"/>
  <c r="D123" i="3"/>
  <c r="D122" i="3"/>
  <c r="M122" i="3" s="1"/>
  <c r="T122" i="3" s="1"/>
  <c r="D121" i="3"/>
  <c r="M121" i="3" s="1"/>
  <c r="T121" i="3" s="1"/>
  <c r="D120" i="3"/>
  <c r="D119" i="3"/>
  <c r="M119" i="3" s="1"/>
  <c r="T119" i="3" s="1"/>
  <c r="D118" i="3"/>
  <c r="I118" i="3" s="1"/>
  <c r="P118" i="3" s="1"/>
  <c r="D117" i="3"/>
  <c r="D116" i="3"/>
  <c r="M116" i="3" s="1"/>
  <c r="T116" i="3" s="1"/>
  <c r="D115" i="3"/>
  <c r="H115" i="3" s="1"/>
  <c r="D114" i="3"/>
  <c r="I114" i="3" s="1"/>
  <c r="P114" i="3" s="1"/>
  <c r="D113" i="3"/>
  <c r="I113" i="3" s="1"/>
  <c r="P113" i="3" s="1"/>
  <c r="D112" i="3"/>
  <c r="H112" i="3" s="1"/>
  <c r="D111" i="3"/>
  <c r="M111" i="3" s="1"/>
  <c r="T111" i="3" s="1"/>
  <c r="D110" i="3"/>
  <c r="M110" i="3" s="1"/>
  <c r="T110" i="3" s="1"/>
  <c r="D109" i="3"/>
  <c r="H109" i="3" s="1"/>
  <c r="O109" i="3" s="1"/>
  <c r="D108" i="3"/>
  <c r="D107" i="3"/>
  <c r="I107" i="3" s="1"/>
  <c r="P107" i="3" s="1"/>
  <c r="D106" i="3"/>
  <c r="D105" i="3"/>
  <c r="D104" i="3"/>
  <c r="I104" i="3" s="1"/>
  <c r="P104" i="3" s="1"/>
  <c r="D103" i="3"/>
  <c r="D102" i="3"/>
  <c r="D101" i="3"/>
  <c r="I101" i="3" s="1"/>
  <c r="P101" i="3" s="1"/>
  <c r="D100" i="3"/>
  <c r="I100" i="3" s="1"/>
  <c r="P100" i="3" s="1"/>
  <c r="D99" i="3"/>
  <c r="M99" i="3" s="1"/>
  <c r="T99" i="3" s="1"/>
  <c r="D98" i="3"/>
  <c r="H98" i="3" s="1"/>
  <c r="O98" i="3" s="1"/>
  <c r="D97" i="3"/>
  <c r="I97" i="3" s="1"/>
  <c r="P97" i="3" s="1"/>
  <c r="D96" i="3"/>
  <c r="M96" i="3" s="1"/>
  <c r="D95" i="3"/>
  <c r="H95" i="3" s="1"/>
  <c r="O95" i="3" s="1"/>
  <c r="D94" i="3"/>
  <c r="I94" i="3" s="1"/>
  <c r="P94" i="3" s="1"/>
  <c r="D93" i="3"/>
  <c r="I93" i="3" s="1"/>
  <c r="P93" i="3" s="1"/>
  <c r="D92" i="3"/>
  <c r="I92" i="3" s="1"/>
  <c r="P92" i="3" s="1"/>
  <c r="D91" i="3"/>
  <c r="M91" i="3" s="1"/>
  <c r="T91" i="3" s="1"/>
  <c r="D90" i="3"/>
  <c r="I90" i="3" s="1"/>
  <c r="P90" i="3" s="1"/>
  <c r="D89" i="3"/>
  <c r="D88" i="3"/>
  <c r="D87" i="3"/>
  <c r="H87" i="3" s="1"/>
  <c r="O87" i="3" s="1"/>
  <c r="D86" i="3"/>
  <c r="D85" i="3"/>
  <c r="D84" i="3"/>
  <c r="H84" i="3" s="1"/>
  <c r="O84" i="3" s="1"/>
  <c r="D83" i="3"/>
  <c r="M83" i="3" s="1"/>
  <c r="D82" i="3"/>
  <c r="H82" i="3" s="1"/>
  <c r="O82" i="3" s="1"/>
  <c r="D81" i="3"/>
  <c r="M81" i="3" s="1"/>
  <c r="T81" i="3" s="1"/>
  <c r="D80" i="3"/>
  <c r="M80" i="3" s="1"/>
  <c r="T80" i="3" s="1"/>
  <c r="D79" i="3"/>
  <c r="I79" i="3" s="1"/>
  <c r="P79" i="3" s="1"/>
  <c r="D78" i="3"/>
  <c r="M78" i="3" s="1"/>
  <c r="T78" i="3" s="1"/>
  <c r="D77" i="3"/>
  <c r="H77" i="3" s="1"/>
  <c r="O77" i="3" s="1"/>
  <c r="D76" i="3"/>
  <c r="M76" i="3" s="1"/>
  <c r="T76" i="3" s="1"/>
  <c r="D75" i="3"/>
  <c r="M75" i="3" s="1"/>
  <c r="T75" i="3" s="1"/>
  <c r="D74" i="3"/>
  <c r="I74" i="3" s="1"/>
  <c r="P74" i="3" s="1"/>
  <c r="D73" i="3"/>
  <c r="I73" i="3" s="1"/>
  <c r="P73" i="3" s="1"/>
  <c r="D72" i="3"/>
  <c r="M72" i="3" s="1"/>
  <c r="T72" i="3" s="1"/>
  <c r="D71" i="3"/>
  <c r="M71" i="3" s="1"/>
  <c r="T71" i="3" s="1"/>
  <c r="D70" i="3"/>
  <c r="M70" i="3" s="1"/>
  <c r="T70" i="3" s="1"/>
  <c r="D69" i="3"/>
  <c r="D68" i="3"/>
  <c r="I68" i="3" s="1"/>
  <c r="P68" i="3" s="1"/>
  <c r="D67" i="3"/>
  <c r="D66" i="3"/>
  <c r="D65" i="3"/>
  <c r="D64" i="3"/>
  <c r="H64" i="3" s="1"/>
  <c r="O64" i="3" s="1"/>
  <c r="D63" i="3"/>
  <c r="I63" i="3" s="1"/>
  <c r="P63" i="3" s="1"/>
  <c r="D62" i="3"/>
  <c r="I62" i="3" s="1"/>
  <c r="P62" i="3" s="1"/>
  <c r="D61" i="3"/>
  <c r="D60" i="3"/>
  <c r="D59" i="3"/>
  <c r="H59" i="3" s="1"/>
  <c r="O59" i="3" s="1"/>
  <c r="D58" i="3"/>
  <c r="D57" i="3"/>
  <c r="D56" i="3"/>
  <c r="M56" i="3" s="1"/>
  <c r="T56" i="3" s="1"/>
  <c r="D55" i="3"/>
  <c r="I55" i="3" s="1"/>
  <c r="P55" i="3" s="1"/>
  <c r="D54" i="3"/>
  <c r="I54" i="3" s="1"/>
  <c r="P54" i="3" s="1"/>
  <c r="D53" i="3"/>
  <c r="I53" i="3" s="1"/>
  <c r="P53" i="3" s="1"/>
  <c r="D52" i="3"/>
  <c r="M52" i="3" s="1"/>
  <c r="T52" i="3" s="1"/>
  <c r="D51" i="3"/>
  <c r="M51" i="3" s="1"/>
  <c r="T51" i="3" s="1"/>
  <c r="D50" i="3"/>
  <c r="D49" i="3"/>
  <c r="D48" i="3"/>
  <c r="H48" i="3" s="1"/>
  <c r="O48" i="3" s="1"/>
  <c r="D47" i="3"/>
  <c r="I47" i="3" s="1"/>
  <c r="P47" i="3" s="1"/>
  <c r="D46" i="3"/>
  <c r="D45" i="3"/>
  <c r="D44" i="3"/>
  <c r="D43" i="3"/>
  <c r="D42" i="3"/>
  <c r="M42" i="3" s="1"/>
  <c r="T42" i="3" s="1"/>
  <c r="D41" i="3"/>
  <c r="D40" i="3"/>
  <c r="D39" i="3"/>
  <c r="M39" i="3" s="1"/>
  <c r="T39" i="3" s="1"/>
  <c r="D38" i="3"/>
  <c r="D37" i="3"/>
  <c r="D36" i="3"/>
  <c r="M36" i="3" s="1"/>
  <c r="T36" i="3" s="1"/>
  <c r="D35" i="3"/>
  <c r="H35" i="3" s="1"/>
  <c r="O35" i="3" s="1"/>
  <c r="D34" i="3"/>
  <c r="I34" i="3" s="1"/>
  <c r="P34" i="3" s="1"/>
  <c r="D33" i="3"/>
  <c r="I33" i="3" s="1"/>
  <c r="P33" i="3" s="1"/>
  <c r="D32" i="3"/>
  <c r="I32" i="3" s="1"/>
  <c r="P32" i="3" s="1"/>
  <c r="D31" i="3"/>
  <c r="M31" i="3" s="1"/>
  <c r="T31" i="3" s="1"/>
  <c r="D30" i="3"/>
  <c r="I30" i="3" s="1"/>
  <c r="D29" i="3"/>
  <c r="H29" i="3" s="1"/>
  <c r="O29" i="3" s="1"/>
  <c r="D28" i="3"/>
  <c r="M28" i="3" s="1"/>
  <c r="T28" i="3" s="1"/>
  <c r="D27" i="3"/>
  <c r="H27" i="3" s="1"/>
  <c r="D26" i="3"/>
  <c r="D25" i="3"/>
  <c r="D24" i="3"/>
  <c r="D23" i="3"/>
  <c r="D22" i="3"/>
  <c r="M22" i="3" s="1"/>
  <c r="T22" i="3" s="1"/>
  <c r="D21" i="3"/>
  <c r="I21" i="3" s="1"/>
  <c r="P21" i="3" s="1"/>
  <c r="D20" i="3"/>
  <c r="I20" i="3" s="1"/>
  <c r="P20" i="3" s="1"/>
  <c r="D19" i="3"/>
  <c r="M19" i="3" s="1"/>
  <c r="T19" i="3" s="1"/>
  <c r="D18" i="3"/>
  <c r="D17" i="3"/>
  <c r="M17" i="3" s="1"/>
  <c r="T17" i="3" s="1"/>
  <c r="D16" i="3"/>
  <c r="M16" i="3" s="1"/>
  <c r="T16" i="3" s="1"/>
  <c r="D15" i="3"/>
  <c r="M15" i="3" s="1"/>
  <c r="T15" i="3" s="1"/>
  <c r="D14" i="3"/>
  <c r="D13" i="3"/>
  <c r="I13" i="3" s="1"/>
  <c r="P13" i="3" s="1"/>
  <c r="D12" i="3"/>
  <c r="H12" i="3" s="1"/>
  <c r="O12" i="3" s="1"/>
  <c r="D11" i="3"/>
  <c r="M11" i="3" s="1"/>
  <c r="T11" i="3" s="1"/>
  <c r="D10" i="3"/>
  <c r="M10" i="3" s="1"/>
  <c r="T10" i="3" s="1"/>
  <c r="D9" i="3"/>
  <c r="D8" i="3"/>
  <c r="D7" i="3"/>
  <c r="D6" i="3"/>
  <c r="D5" i="3"/>
  <c r="D4" i="3"/>
  <c r="D3" i="3"/>
  <c r="D2" i="3"/>
  <c r="H2" i="3" s="1"/>
  <c r="D134" i="2"/>
  <c r="I134" i="2" s="1"/>
  <c r="P134" i="2" s="1"/>
  <c r="D133" i="2"/>
  <c r="D132" i="2"/>
  <c r="I132" i="2" s="1"/>
  <c r="P132" i="2" s="1"/>
  <c r="D131" i="2"/>
  <c r="M131" i="2" s="1"/>
  <c r="T131" i="2" s="1"/>
  <c r="D130" i="2"/>
  <c r="H130" i="2" s="1"/>
  <c r="O130" i="2" s="1"/>
  <c r="D129" i="2"/>
  <c r="M129" i="2" s="1"/>
  <c r="T129" i="2" s="1"/>
  <c r="D128" i="2"/>
  <c r="M128" i="2" s="1"/>
  <c r="T128" i="2" s="1"/>
  <c r="D127" i="2"/>
  <c r="D126" i="2"/>
  <c r="D125" i="2"/>
  <c r="M125" i="2" s="1"/>
  <c r="T125" i="2" s="1"/>
  <c r="D124" i="2"/>
  <c r="M124" i="2" s="1"/>
  <c r="T124" i="2" s="1"/>
  <c r="D123" i="2"/>
  <c r="I123" i="2" s="1"/>
  <c r="P123" i="2" s="1"/>
  <c r="D122" i="2"/>
  <c r="M122" i="2" s="1"/>
  <c r="T122" i="2" s="1"/>
  <c r="D121" i="2"/>
  <c r="D120" i="2"/>
  <c r="I120" i="2" s="1"/>
  <c r="P120" i="2" s="1"/>
  <c r="D119" i="2"/>
  <c r="D118" i="2"/>
  <c r="D117" i="2"/>
  <c r="D116" i="2"/>
  <c r="M116" i="2" s="1"/>
  <c r="T116" i="2" s="1"/>
  <c r="D115" i="2"/>
  <c r="H115" i="2" s="1"/>
  <c r="O115" i="2" s="1"/>
  <c r="D114" i="2"/>
  <c r="I114" i="2" s="1"/>
  <c r="P114" i="2" s="1"/>
  <c r="D113" i="2"/>
  <c r="I113" i="2" s="1"/>
  <c r="P113" i="2" s="1"/>
  <c r="D112" i="2"/>
  <c r="M112" i="2" s="1"/>
  <c r="T112" i="2" s="1"/>
  <c r="D111" i="2"/>
  <c r="H111" i="2" s="1"/>
  <c r="D110" i="2"/>
  <c r="M110" i="2" s="1"/>
  <c r="T110" i="2" s="1"/>
  <c r="D109" i="2"/>
  <c r="M109" i="2" s="1"/>
  <c r="T109" i="2" s="1"/>
  <c r="D108" i="2"/>
  <c r="M108" i="2" s="1"/>
  <c r="T108" i="2" s="1"/>
  <c r="D107" i="2"/>
  <c r="D106" i="2"/>
  <c r="D105" i="2"/>
  <c r="M105" i="2" s="1"/>
  <c r="T105" i="2" s="1"/>
  <c r="D104" i="2"/>
  <c r="D103" i="2"/>
  <c r="D102" i="2"/>
  <c r="M102" i="2" s="1"/>
  <c r="D101" i="2"/>
  <c r="D100" i="2"/>
  <c r="D99" i="2"/>
  <c r="D98" i="2"/>
  <c r="D97" i="2"/>
  <c r="D96" i="2"/>
  <c r="D95" i="2"/>
  <c r="H95" i="2" s="1"/>
  <c r="O95" i="2" s="1"/>
  <c r="D94" i="2"/>
  <c r="I94" i="2" s="1"/>
  <c r="P94" i="2" s="1"/>
  <c r="D93" i="2"/>
  <c r="M93" i="2" s="1"/>
  <c r="T93" i="2" s="1"/>
  <c r="D92" i="2"/>
  <c r="I92" i="2" s="1"/>
  <c r="P92" i="2" s="1"/>
  <c r="D91" i="2"/>
  <c r="D90" i="2"/>
  <c r="D89" i="2"/>
  <c r="H89" i="2" s="1"/>
  <c r="O89" i="2" s="1"/>
  <c r="D88" i="2"/>
  <c r="I88" i="2" s="1"/>
  <c r="P88" i="2" s="1"/>
  <c r="D87" i="2"/>
  <c r="D86" i="2"/>
  <c r="D85" i="2"/>
  <c r="H85" i="2" s="1"/>
  <c r="O85" i="2" s="1"/>
  <c r="D84" i="2"/>
  <c r="I84" i="2" s="1"/>
  <c r="P84" i="2" s="1"/>
  <c r="D83" i="2"/>
  <c r="M83" i="2" s="1"/>
  <c r="T83" i="2" s="1"/>
  <c r="D82" i="2"/>
  <c r="M82" i="2" s="1"/>
  <c r="T82" i="2" s="1"/>
  <c r="D81" i="2"/>
  <c r="D80" i="2"/>
  <c r="M80" i="2" s="1"/>
  <c r="T80" i="2" s="1"/>
  <c r="D79" i="2"/>
  <c r="D78" i="2"/>
  <c r="D77" i="2"/>
  <c r="D76" i="2"/>
  <c r="D75" i="2"/>
  <c r="D74" i="2"/>
  <c r="M74" i="2" s="1"/>
  <c r="T74" i="2" s="1"/>
  <c r="D73" i="2"/>
  <c r="I73" i="2" s="1"/>
  <c r="P73" i="2" s="1"/>
  <c r="D72" i="2"/>
  <c r="M72" i="2" s="1"/>
  <c r="T72" i="2" s="1"/>
  <c r="D71" i="2"/>
  <c r="M71" i="2" s="1"/>
  <c r="T71" i="2" s="1"/>
  <c r="D70" i="2"/>
  <c r="D69" i="2"/>
  <c r="M69" i="2" s="1"/>
  <c r="T69" i="2" s="1"/>
  <c r="D68" i="2"/>
  <c r="I68" i="2" s="1"/>
  <c r="P68" i="2" s="1"/>
  <c r="D67" i="2"/>
  <c r="D66" i="2"/>
  <c r="D65" i="2"/>
  <c r="D64" i="2"/>
  <c r="M64" i="2" s="1"/>
  <c r="T64" i="2" s="1"/>
  <c r="D63" i="2"/>
  <c r="D62" i="2"/>
  <c r="H62" i="2" s="1"/>
  <c r="O62" i="2" s="1"/>
  <c r="D61" i="2"/>
  <c r="D60" i="2"/>
  <c r="D59" i="2"/>
  <c r="D58" i="2"/>
  <c r="D57" i="2"/>
  <c r="D56" i="2"/>
  <c r="M56" i="2" s="1"/>
  <c r="T56" i="2" s="1"/>
  <c r="D55" i="2"/>
  <c r="H55" i="2" s="1"/>
  <c r="O55" i="2" s="1"/>
  <c r="D54" i="2"/>
  <c r="I54" i="2" s="1"/>
  <c r="P54" i="2" s="1"/>
  <c r="D53" i="2"/>
  <c r="H53" i="2" s="1"/>
  <c r="O53" i="2" s="1"/>
  <c r="D52" i="2"/>
  <c r="M52" i="2" s="1"/>
  <c r="T52" i="2" s="1"/>
  <c r="D51" i="2"/>
  <c r="D50" i="2"/>
  <c r="D49" i="2"/>
  <c r="M49" i="2" s="1"/>
  <c r="T49" i="2" s="1"/>
  <c r="D48" i="2"/>
  <c r="M48" i="2" s="1"/>
  <c r="T48" i="2" s="1"/>
  <c r="D47" i="2"/>
  <c r="D46" i="2"/>
  <c r="D45" i="2"/>
  <c r="H45" i="2" s="1"/>
  <c r="O45" i="2" s="1"/>
  <c r="D44" i="2"/>
  <c r="H44" i="2" s="1"/>
  <c r="D43" i="2"/>
  <c r="H43" i="2" s="1"/>
  <c r="O43" i="2" s="1"/>
  <c r="D42" i="2"/>
  <c r="I42" i="2" s="1"/>
  <c r="P42" i="2" s="1"/>
  <c r="D41" i="2"/>
  <c r="M41" i="2" s="1"/>
  <c r="T41" i="2" s="1"/>
  <c r="D40" i="2"/>
  <c r="M40" i="2" s="1"/>
  <c r="T40" i="2" s="1"/>
  <c r="D39" i="2"/>
  <c r="D38" i="2"/>
  <c r="D37" i="2"/>
  <c r="M37" i="2" s="1"/>
  <c r="T37" i="2" s="1"/>
  <c r="D36" i="2"/>
  <c r="H36" i="2" s="1"/>
  <c r="O36" i="2" s="1"/>
  <c r="D35" i="2"/>
  <c r="H35" i="2" s="1"/>
  <c r="O35" i="2" s="1"/>
  <c r="D34" i="2"/>
  <c r="M34" i="2" s="1"/>
  <c r="T34" i="2" s="1"/>
  <c r="D33" i="2"/>
  <c r="I33" i="2" s="1"/>
  <c r="D32" i="2"/>
  <c r="M32" i="2" s="1"/>
  <c r="T32" i="2" s="1"/>
  <c r="D31" i="2"/>
  <c r="I31" i="2" s="1"/>
  <c r="P31" i="2" s="1"/>
  <c r="D30" i="2"/>
  <c r="D29" i="2"/>
  <c r="M29" i="2" s="1"/>
  <c r="T29" i="2" s="1"/>
  <c r="D28" i="2"/>
  <c r="M28" i="2" s="1"/>
  <c r="T28" i="2" s="1"/>
  <c r="D27" i="2"/>
  <c r="D26" i="2"/>
  <c r="D25" i="2"/>
  <c r="H25" i="2" s="1"/>
  <c r="O25" i="2" s="1"/>
  <c r="D24" i="2"/>
  <c r="M24" i="2" s="1"/>
  <c r="T24" i="2" s="1"/>
  <c r="D23" i="2"/>
  <c r="H23" i="2" s="1"/>
  <c r="O23" i="2" s="1"/>
  <c r="D22" i="2"/>
  <c r="H22" i="2" s="1"/>
  <c r="O22" i="2" s="1"/>
  <c r="D21" i="2"/>
  <c r="H21" i="2" s="1"/>
  <c r="D20" i="2"/>
  <c r="D19" i="2"/>
  <c r="D18" i="2"/>
  <c r="D17" i="2"/>
  <c r="D16" i="2"/>
  <c r="D15" i="2"/>
  <c r="H15" i="2" s="1"/>
  <c r="O15" i="2" s="1"/>
  <c r="D14" i="2"/>
  <c r="M14" i="2" s="1"/>
  <c r="D13" i="2"/>
  <c r="I13" i="2" s="1"/>
  <c r="P13" i="2" s="1"/>
  <c r="D12" i="2"/>
  <c r="I12" i="2" s="1"/>
  <c r="P12" i="2" s="1"/>
  <c r="D11" i="2"/>
  <c r="D10" i="2"/>
  <c r="D9" i="2"/>
  <c r="H9" i="2" s="1"/>
  <c r="D8" i="2"/>
  <c r="H8" i="2" s="1"/>
  <c r="O8" i="2" s="1"/>
  <c r="D7" i="2"/>
  <c r="D6" i="2"/>
  <c r="D5" i="2"/>
  <c r="H5" i="2" s="1"/>
  <c r="O5" i="2" s="1"/>
  <c r="D4" i="2"/>
  <c r="D3" i="2"/>
  <c r="H3" i="2" s="1"/>
  <c r="O3" i="2" s="1"/>
  <c r="D2" i="2"/>
  <c r="H2" i="2" s="1"/>
  <c r="O2" i="2" s="1"/>
  <c r="N72" i="4"/>
  <c r="O72" i="4"/>
  <c r="O112" i="4"/>
  <c r="O115" i="4"/>
  <c r="O35" i="4"/>
  <c r="O16" i="4"/>
  <c r="P10" i="4"/>
  <c r="P72" i="4"/>
  <c r="P165" i="4"/>
  <c r="P28" i="4"/>
  <c r="P16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9" i="4"/>
  <c r="Q20" i="4"/>
  <c r="Q21" i="4"/>
  <c r="Q22" i="4"/>
  <c r="Q23" i="4"/>
  <c r="Q24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" i="4"/>
  <c r="Q16" i="4"/>
  <c r="Q17" i="4"/>
  <c r="Q18" i="4"/>
  <c r="Q123" i="4"/>
  <c r="Q124" i="4"/>
  <c r="Q125" i="4"/>
  <c r="Q126" i="4"/>
  <c r="Q127" i="4"/>
  <c r="Q128" i="4"/>
  <c r="Q129" i="4"/>
  <c r="Q117" i="4"/>
  <c r="Q118" i="4"/>
  <c r="Q119" i="4"/>
  <c r="Q120" i="4"/>
  <c r="Q121" i="4"/>
  <c r="Q122" i="4"/>
  <c r="Q76" i="4"/>
  <c r="Q77" i="4"/>
  <c r="Q78" i="4"/>
  <c r="Q79" i="4"/>
  <c r="Q80" i="4"/>
  <c r="Q81" i="4"/>
  <c r="Q82" i="4"/>
  <c r="Q83" i="4"/>
  <c r="Q168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9" i="4"/>
  <c r="R20" i="4"/>
  <c r="R21" i="4"/>
  <c r="R22" i="4"/>
  <c r="R23" i="4"/>
  <c r="R24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" i="4"/>
  <c r="R16" i="4"/>
  <c r="R17" i="4"/>
  <c r="R18" i="4"/>
  <c r="R123" i="4"/>
  <c r="R124" i="4"/>
  <c r="R125" i="4"/>
  <c r="R126" i="4"/>
  <c r="R127" i="4"/>
  <c r="R128" i="4"/>
  <c r="R129" i="4"/>
  <c r="R117" i="4"/>
  <c r="R118" i="4"/>
  <c r="R119" i="4"/>
  <c r="R120" i="4"/>
  <c r="R121" i="4"/>
  <c r="R122" i="4"/>
  <c r="R76" i="4"/>
  <c r="R77" i="4"/>
  <c r="R78" i="4"/>
  <c r="R79" i="4"/>
  <c r="R80" i="4"/>
  <c r="R81" i="4"/>
  <c r="R82" i="4"/>
  <c r="R83" i="4"/>
  <c r="R168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9" i="4"/>
  <c r="S20" i="4"/>
  <c r="S21" i="4"/>
  <c r="S22" i="4"/>
  <c r="S23" i="4"/>
  <c r="S24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" i="4"/>
  <c r="S16" i="4"/>
  <c r="S17" i="4"/>
  <c r="S18" i="4"/>
  <c r="S123" i="4"/>
  <c r="S124" i="4"/>
  <c r="S125" i="4"/>
  <c r="S126" i="4"/>
  <c r="S127" i="4"/>
  <c r="S128" i="4"/>
  <c r="S129" i="4"/>
  <c r="S117" i="4"/>
  <c r="S118" i="4"/>
  <c r="S119" i="4"/>
  <c r="S120" i="4"/>
  <c r="S121" i="4"/>
  <c r="S122" i="4"/>
  <c r="S76" i="4"/>
  <c r="S77" i="4"/>
  <c r="S78" i="4"/>
  <c r="S79" i="4"/>
  <c r="S80" i="4"/>
  <c r="S81" i="4"/>
  <c r="S82" i="4"/>
  <c r="S83" i="4"/>
  <c r="S168" i="4"/>
  <c r="T167" i="4"/>
  <c r="T134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9" i="4"/>
  <c r="W20" i="4"/>
  <c r="W21" i="4"/>
  <c r="W22" i="4"/>
  <c r="W23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6" i="4"/>
  <c r="W67" i="4"/>
  <c r="W68" i="4"/>
  <c r="W69" i="4"/>
  <c r="W70" i="4"/>
  <c r="W71" i="4"/>
  <c r="W72" i="4"/>
  <c r="W73" i="4"/>
  <c r="W75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52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" i="4"/>
  <c r="W16" i="4"/>
  <c r="W17" i="4"/>
  <c r="W18" i="4"/>
  <c r="W123" i="4"/>
  <c r="W124" i="4"/>
  <c r="W125" i="4"/>
  <c r="W126" i="4"/>
  <c r="W127" i="4"/>
  <c r="W128" i="4"/>
  <c r="W129" i="4"/>
  <c r="W117" i="4"/>
  <c r="W118" i="4"/>
  <c r="W119" i="4"/>
  <c r="W120" i="4"/>
  <c r="W121" i="4"/>
  <c r="W122" i="4"/>
  <c r="W76" i="4"/>
  <c r="W77" i="4"/>
  <c r="W78" i="4"/>
  <c r="W79" i="4"/>
  <c r="W80" i="4"/>
  <c r="W81" i="4"/>
  <c r="W82" i="4"/>
  <c r="W83" i="4"/>
  <c r="W168" i="4"/>
  <c r="X2" i="4"/>
  <c r="X3" i="4"/>
  <c r="X4" i="4"/>
  <c r="X5" i="4"/>
  <c r="X8" i="4"/>
  <c r="X9" i="4"/>
  <c r="X10" i="4"/>
  <c r="X11" i="4"/>
  <c r="X12" i="4"/>
  <c r="X13" i="4"/>
  <c r="X14" i="4"/>
  <c r="X19" i="4"/>
  <c r="X20" i="4"/>
  <c r="X21" i="4"/>
  <c r="X22" i="4"/>
  <c r="X23" i="4"/>
  <c r="X24" i="4"/>
  <c r="X47" i="4"/>
  <c r="X48" i="4"/>
  <c r="X49" i="4"/>
  <c r="X50" i="4"/>
  <c r="X51" i="4"/>
  <c r="X52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" i="4"/>
  <c r="X16" i="4"/>
  <c r="X17" i="4"/>
  <c r="X18" i="4"/>
  <c r="X123" i="4"/>
  <c r="X124" i="4"/>
  <c r="X125" i="4"/>
  <c r="X126" i="4"/>
  <c r="X127" i="4"/>
  <c r="X128" i="4"/>
  <c r="X129" i="4"/>
  <c r="X117" i="4"/>
  <c r="X118" i="4"/>
  <c r="X119" i="4"/>
  <c r="X120" i="4"/>
  <c r="X121" i="4"/>
  <c r="X122" i="4"/>
  <c r="X76" i="4"/>
  <c r="X77" i="4"/>
  <c r="X78" i="4"/>
  <c r="X79" i="4"/>
  <c r="X80" i="4"/>
  <c r="X81" i="4"/>
  <c r="X82" i="4"/>
  <c r="X83" i="4"/>
  <c r="X168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9" i="4"/>
  <c r="Y20" i="4"/>
  <c r="Y21" i="4"/>
  <c r="Y22" i="4"/>
  <c r="Y23" i="4"/>
  <c r="Y24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4" i="4"/>
  <c r="Y65" i="4"/>
  <c r="Y66" i="4"/>
  <c r="Y67" i="4"/>
  <c r="Y68" i="4"/>
  <c r="Y69" i="4"/>
  <c r="Y70" i="4"/>
  <c r="Y71" i="4"/>
  <c r="Y72" i="4"/>
  <c r="Y73" i="4"/>
  <c r="Y74" i="4"/>
  <c r="Y75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" i="4"/>
  <c r="Y16" i="4"/>
  <c r="Y17" i="4"/>
  <c r="Y18" i="4"/>
  <c r="Y123" i="4"/>
  <c r="Y124" i="4"/>
  <c r="Y125" i="4"/>
  <c r="Y126" i="4"/>
  <c r="Y127" i="4"/>
  <c r="Y128" i="4"/>
  <c r="Y129" i="4"/>
  <c r="Y117" i="4"/>
  <c r="Y118" i="4"/>
  <c r="Y119" i="4"/>
  <c r="Y120" i="4"/>
  <c r="Y121" i="4"/>
  <c r="Y122" i="4"/>
  <c r="Y76" i="4"/>
  <c r="Y77" i="4"/>
  <c r="Y78" i="4"/>
  <c r="Y79" i="4"/>
  <c r="Y80" i="4"/>
  <c r="Y81" i="4"/>
  <c r="Y82" i="4"/>
  <c r="Y83" i="4"/>
  <c r="Y168" i="4"/>
  <c r="P50" i="3"/>
  <c r="P126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6" i="3"/>
  <c r="Q17" i="3"/>
  <c r="Q122" i="3"/>
  <c r="Q123" i="3"/>
  <c r="Q124" i="3"/>
  <c r="Q125" i="3"/>
  <c r="Q126" i="3"/>
  <c r="Q127" i="3"/>
  <c r="Q119" i="3"/>
  <c r="Q120" i="3"/>
  <c r="Q121" i="3"/>
  <c r="Q73" i="3"/>
  <c r="Q74" i="3"/>
  <c r="Q75" i="3"/>
  <c r="Q76" i="3"/>
  <c r="Q77" i="3"/>
  <c r="Q78" i="3"/>
  <c r="Q79" i="3"/>
  <c r="Q80" i="3"/>
  <c r="Q81" i="3"/>
  <c r="Q165" i="3"/>
  <c r="Q166" i="3"/>
  <c r="Q167" i="3"/>
  <c r="Q168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6" i="3"/>
  <c r="R17" i="3"/>
  <c r="R122" i="3"/>
  <c r="R123" i="3"/>
  <c r="R124" i="3"/>
  <c r="R125" i="3"/>
  <c r="R126" i="3"/>
  <c r="R127" i="3"/>
  <c r="R119" i="3"/>
  <c r="R120" i="3"/>
  <c r="R121" i="3"/>
  <c r="R73" i="3"/>
  <c r="R74" i="3"/>
  <c r="R75" i="3"/>
  <c r="R76" i="3"/>
  <c r="R77" i="3"/>
  <c r="R78" i="3"/>
  <c r="R79" i="3"/>
  <c r="R80" i="3"/>
  <c r="R81" i="3"/>
  <c r="R165" i="3"/>
  <c r="R166" i="3"/>
  <c r="R167" i="3"/>
  <c r="R168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6" i="3"/>
  <c r="S17" i="3"/>
  <c r="S122" i="3"/>
  <c r="S123" i="3"/>
  <c r="S124" i="3"/>
  <c r="S125" i="3"/>
  <c r="S126" i="3"/>
  <c r="S127" i="3"/>
  <c r="S119" i="3"/>
  <c r="S120" i="3"/>
  <c r="S121" i="3"/>
  <c r="S73" i="3"/>
  <c r="S74" i="3"/>
  <c r="S75" i="3"/>
  <c r="S76" i="3"/>
  <c r="S77" i="3"/>
  <c r="S78" i="3"/>
  <c r="S79" i="3"/>
  <c r="S80" i="3"/>
  <c r="S81" i="3"/>
  <c r="S165" i="3"/>
  <c r="S166" i="3"/>
  <c r="S167" i="3"/>
  <c r="S168" i="3"/>
  <c r="W2" i="3"/>
  <c r="W3" i="3"/>
  <c r="W4" i="3"/>
  <c r="W5" i="3"/>
  <c r="W6" i="3"/>
  <c r="W7" i="3"/>
  <c r="W8" i="3"/>
  <c r="W10" i="3"/>
  <c r="W11" i="3"/>
  <c r="W12" i="3"/>
  <c r="W13" i="3"/>
  <c r="W14" i="3"/>
  <c r="W15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3" i="3"/>
  <c r="W64" i="3"/>
  <c r="W65" i="3"/>
  <c r="W66" i="3"/>
  <c r="W67" i="3"/>
  <c r="W68" i="3"/>
  <c r="W69" i="3"/>
  <c r="W70" i="3"/>
  <c r="W71" i="3"/>
  <c r="W72" i="3"/>
  <c r="W82" i="3"/>
  <c r="W83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6" i="3"/>
  <c r="W17" i="3"/>
  <c r="W122" i="3"/>
  <c r="W123" i="3"/>
  <c r="W124" i="3"/>
  <c r="W125" i="3"/>
  <c r="W126" i="3"/>
  <c r="W127" i="3"/>
  <c r="W119" i="3"/>
  <c r="W120" i="3"/>
  <c r="W121" i="3"/>
  <c r="W73" i="3"/>
  <c r="W74" i="3"/>
  <c r="W75" i="3"/>
  <c r="W76" i="3"/>
  <c r="W77" i="3"/>
  <c r="W78" i="3"/>
  <c r="W79" i="3"/>
  <c r="W80" i="3"/>
  <c r="W81" i="3"/>
  <c r="W165" i="3"/>
  <c r="W166" i="3"/>
  <c r="W167" i="3"/>
  <c r="W168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2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5" i="3"/>
  <c r="X66" i="3"/>
  <c r="X67" i="3"/>
  <c r="X68" i="3"/>
  <c r="X69" i="3"/>
  <c r="X70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6" i="3"/>
  <c r="X17" i="3"/>
  <c r="X122" i="3"/>
  <c r="X123" i="3"/>
  <c r="X124" i="3"/>
  <c r="X125" i="3"/>
  <c r="X126" i="3"/>
  <c r="X127" i="3"/>
  <c r="X119" i="3"/>
  <c r="X120" i="3"/>
  <c r="X121" i="3"/>
  <c r="X73" i="3"/>
  <c r="X74" i="3"/>
  <c r="X75" i="3"/>
  <c r="X76" i="3"/>
  <c r="X77" i="3"/>
  <c r="X78" i="3"/>
  <c r="X79" i="3"/>
  <c r="X80" i="3"/>
  <c r="X81" i="3"/>
  <c r="X165" i="3"/>
  <c r="X166" i="3"/>
  <c r="X167" i="3"/>
  <c r="X168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8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6" i="3"/>
  <c r="Y17" i="3"/>
  <c r="Y122" i="3"/>
  <c r="Y123" i="3"/>
  <c r="Y124" i="3"/>
  <c r="Y125" i="3"/>
  <c r="Y126" i="3"/>
  <c r="Y127" i="3"/>
  <c r="Y119" i="3"/>
  <c r="Y120" i="3"/>
  <c r="Y121" i="3"/>
  <c r="Y73" i="3"/>
  <c r="Y74" i="3"/>
  <c r="Y75" i="3"/>
  <c r="Y76" i="3"/>
  <c r="Y77" i="3"/>
  <c r="Y78" i="3"/>
  <c r="Y79" i="3"/>
  <c r="Y80" i="3"/>
  <c r="Y81" i="3"/>
  <c r="Y165" i="3"/>
  <c r="Y166" i="3"/>
  <c r="Y167" i="3"/>
  <c r="Y168" i="3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23" i="2"/>
  <c r="Q24" i="2"/>
  <c r="Q25" i="2"/>
  <c r="Q26" i="2"/>
  <c r="Q27" i="2"/>
  <c r="Q28" i="2"/>
  <c r="Q29" i="2"/>
  <c r="Q30" i="2"/>
  <c r="Q31" i="2"/>
  <c r="Q32" i="2"/>
  <c r="Q33" i="2"/>
  <c r="Q34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26" i="2"/>
  <c r="Q127" i="2"/>
  <c r="Q128" i="2"/>
  <c r="Q129" i="2"/>
  <c r="Q130" i="2"/>
  <c r="Q131" i="2"/>
  <c r="Q132" i="2"/>
  <c r="Q133" i="2"/>
  <c r="Q134" i="2"/>
  <c r="Q35" i="2"/>
  <c r="Q36" i="2"/>
  <c r="Q37" i="2"/>
  <c r="Q38" i="2"/>
  <c r="Q39" i="2"/>
  <c r="Q40" i="2"/>
  <c r="Q41" i="2"/>
  <c r="Q42" i="2"/>
  <c r="Q43" i="2"/>
  <c r="Q44" i="2"/>
  <c r="Q45" i="2"/>
  <c r="Q46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8" i="2"/>
  <c r="Q19" i="2"/>
  <c r="Q20" i="2"/>
  <c r="Q21" i="2"/>
  <c r="Q22" i="2"/>
  <c r="Q103" i="2"/>
  <c r="Q104" i="2"/>
  <c r="Q105" i="2"/>
  <c r="Q106" i="2"/>
  <c r="Q107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23" i="2"/>
  <c r="R24" i="2"/>
  <c r="R25" i="2"/>
  <c r="R26" i="2"/>
  <c r="R27" i="2"/>
  <c r="R28" i="2"/>
  <c r="R29" i="2"/>
  <c r="R30" i="2"/>
  <c r="R31" i="2"/>
  <c r="R32" i="2"/>
  <c r="R33" i="2"/>
  <c r="R34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26" i="2"/>
  <c r="R127" i="2"/>
  <c r="R128" i="2"/>
  <c r="R129" i="2"/>
  <c r="R130" i="2"/>
  <c r="R131" i="2"/>
  <c r="R132" i="2"/>
  <c r="R133" i="2"/>
  <c r="R134" i="2"/>
  <c r="R35" i="2"/>
  <c r="R36" i="2"/>
  <c r="R37" i="2"/>
  <c r="R38" i="2"/>
  <c r="R39" i="2"/>
  <c r="R40" i="2"/>
  <c r="R41" i="2"/>
  <c r="R42" i="2"/>
  <c r="R43" i="2"/>
  <c r="R44" i="2"/>
  <c r="R45" i="2"/>
  <c r="R46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8" i="2"/>
  <c r="R19" i="2"/>
  <c r="R20" i="2"/>
  <c r="R21" i="2"/>
  <c r="R22" i="2"/>
  <c r="R103" i="2"/>
  <c r="R104" i="2"/>
  <c r="R105" i="2"/>
  <c r="R106" i="2"/>
  <c r="R107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23" i="2"/>
  <c r="S24" i="2"/>
  <c r="S25" i="2"/>
  <c r="S26" i="2"/>
  <c r="S27" i="2"/>
  <c r="S28" i="2"/>
  <c r="S29" i="2"/>
  <c r="S30" i="2"/>
  <c r="S31" i="2"/>
  <c r="S32" i="2"/>
  <c r="S33" i="2"/>
  <c r="S34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26" i="2"/>
  <c r="S127" i="2"/>
  <c r="S128" i="2"/>
  <c r="S129" i="2"/>
  <c r="S130" i="2"/>
  <c r="S131" i="2"/>
  <c r="S132" i="2"/>
  <c r="S133" i="2"/>
  <c r="S134" i="2"/>
  <c r="S35" i="2"/>
  <c r="S36" i="2"/>
  <c r="S37" i="2"/>
  <c r="S38" i="2"/>
  <c r="S39" i="2"/>
  <c r="S40" i="2"/>
  <c r="S41" i="2"/>
  <c r="S42" i="2"/>
  <c r="S43" i="2"/>
  <c r="S44" i="2"/>
  <c r="S45" i="2"/>
  <c r="S46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8" i="2"/>
  <c r="S19" i="2"/>
  <c r="S20" i="2"/>
  <c r="S21" i="2"/>
  <c r="S22" i="2"/>
  <c r="S103" i="2"/>
  <c r="S104" i="2"/>
  <c r="S105" i="2"/>
  <c r="S106" i="2"/>
  <c r="S107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W2" i="2"/>
  <c r="W3" i="2"/>
  <c r="W4" i="2"/>
  <c r="W5" i="2"/>
  <c r="W6" i="2"/>
  <c r="W7" i="2"/>
  <c r="W8" i="2"/>
  <c r="W9" i="2"/>
  <c r="W10" i="2"/>
  <c r="W11" i="2"/>
  <c r="W14" i="2"/>
  <c r="W15" i="2"/>
  <c r="W16" i="2"/>
  <c r="W17" i="2"/>
  <c r="W23" i="2"/>
  <c r="W26" i="2"/>
  <c r="W27" i="2"/>
  <c r="W28" i="2"/>
  <c r="W29" i="2"/>
  <c r="W30" i="2"/>
  <c r="W31" i="2"/>
  <c r="W32" i="2"/>
  <c r="W33" i="2"/>
  <c r="W34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26" i="2"/>
  <c r="W127" i="2"/>
  <c r="W128" i="2"/>
  <c r="W129" i="2"/>
  <c r="W130" i="2"/>
  <c r="W131" i="2"/>
  <c r="W132" i="2"/>
  <c r="W133" i="2"/>
  <c r="W134" i="2"/>
  <c r="W35" i="2"/>
  <c r="W36" i="2"/>
  <c r="W37" i="2"/>
  <c r="W38" i="2"/>
  <c r="W39" i="2"/>
  <c r="W40" i="2"/>
  <c r="W41" i="2"/>
  <c r="W42" i="2"/>
  <c r="W43" i="2"/>
  <c r="W44" i="2"/>
  <c r="W45" i="2"/>
  <c r="W46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8" i="2"/>
  <c r="W19" i="2"/>
  <c r="W20" i="2"/>
  <c r="W21" i="2"/>
  <c r="W22" i="2"/>
  <c r="W103" i="2"/>
  <c r="W104" i="2"/>
  <c r="W105" i="2"/>
  <c r="W106" i="2"/>
  <c r="W107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23" i="2"/>
  <c r="X24" i="2"/>
  <c r="X25" i="2"/>
  <c r="X26" i="2"/>
  <c r="X27" i="2"/>
  <c r="X28" i="2"/>
  <c r="X29" i="2"/>
  <c r="X30" i="2"/>
  <c r="X31" i="2"/>
  <c r="X32" i="2"/>
  <c r="X33" i="2"/>
  <c r="X34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26" i="2"/>
  <c r="X127" i="2"/>
  <c r="X128" i="2"/>
  <c r="X130" i="2"/>
  <c r="X131" i="2"/>
  <c r="X132" i="2"/>
  <c r="X133" i="2"/>
  <c r="X134" i="2"/>
  <c r="X35" i="2"/>
  <c r="X36" i="2"/>
  <c r="X37" i="2"/>
  <c r="X38" i="2"/>
  <c r="X39" i="2"/>
  <c r="X40" i="2"/>
  <c r="X41" i="2"/>
  <c r="X42" i="2"/>
  <c r="X43" i="2"/>
  <c r="X44" i="2"/>
  <c r="X45" i="2"/>
  <c r="X46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8" i="2"/>
  <c r="X19" i="2"/>
  <c r="X20" i="2"/>
  <c r="X21" i="2"/>
  <c r="X22" i="2"/>
  <c r="X103" i="2"/>
  <c r="X104" i="2"/>
  <c r="X105" i="2"/>
  <c r="X106" i="2"/>
  <c r="X107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23" i="2"/>
  <c r="Y24" i="2"/>
  <c r="Y25" i="2"/>
  <c r="Y26" i="2"/>
  <c r="Y27" i="2"/>
  <c r="Y28" i="2"/>
  <c r="Y29" i="2"/>
  <c r="Y30" i="2"/>
  <c r="Y31" i="2"/>
  <c r="Y32" i="2"/>
  <c r="Y33" i="2"/>
  <c r="Y34" i="2"/>
  <c r="Y47" i="2"/>
  <c r="Y48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77" i="2"/>
  <c r="Y78" i="2"/>
  <c r="Y79" i="2"/>
  <c r="Y80" i="2"/>
  <c r="Y81" i="2"/>
  <c r="Y82" i="2"/>
  <c r="Y83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26" i="2"/>
  <c r="Y127" i="2"/>
  <c r="Y128" i="2"/>
  <c r="Y129" i="2"/>
  <c r="Y130" i="2"/>
  <c r="Y131" i="2"/>
  <c r="Y132" i="2"/>
  <c r="Y133" i="2"/>
  <c r="Y134" i="2"/>
  <c r="Y35" i="2"/>
  <c r="Y36" i="2"/>
  <c r="Y37" i="2"/>
  <c r="Y38" i="2"/>
  <c r="Y39" i="2"/>
  <c r="Y40" i="2"/>
  <c r="Y41" i="2"/>
  <c r="Y42" i="2"/>
  <c r="Y43" i="2"/>
  <c r="Y44" i="2"/>
  <c r="Y45" i="2"/>
  <c r="Y46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8" i="2"/>
  <c r="Y19" i="2"/>
  <c r="Y20" i="2"/>
  <c r="Y21" i="2"/>
  <c r="Y22" i="2"/>
  <c r="Y103" i="2"/>
  <c r="Y104" i="2"/>
  <c r="Y105" i="2"/>
  <c r="Y106" i="2"/>
  <c r="Y107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C1" i="12" a="1"/>
  <c r="C1" i="12" s="1"/>
  <c r="C1" i="11" a="1"/>
  <c r="C1" i="11" s="1"/>
  <c r="C1" i="9" a="1"/>
  <c r="C1" i="9" s="1"/>
  <c r="I48" i="3" l="1"/>
  <c r="P48" i="3" s="1"/>
  <c r="O126" i="3"/>
  <c r="O50" i="3"/>
  <c r="M10" i="4"/>
  <c r="T10" i="4" s="1"/>
  <c r="H167" i="4"/>
  <c r="I112" i="3"/>
  <c r="N112" i="3" s="1"/>
  <c r="I167" i="4"/>
  <c r="P167" i="4" s="1"/>
  <c r="O112" i="3"/>
  <c r="O28" i="4"/>
  <c r="H82" i="4"/>
  <c r="H134" i="4"/>
  <c r="M48" i="3"/>
  <c r="T48" i="3" s="1"/>
  <c r="H165" i="4"/>
  <c r="O165" i="4" s="1"/>
  <c r="M112" i="3"/>
  <c r="T112" i="3" s="1"/>
  <c r="I35" i="4"/>
  <c r="I82" i="4"/>
  <c r="P82" i="4" s="1"/>
  <c r="I112" i="4"/>
  <c r="P112" i="4" s="1"/>
  <c r="I115" i="4"/>
  <c r="M147" i="4"/>
  <c r="T147" i="4" s="1"/>
  <c r="H42" i="2"/>
  <c r="O42" i="2" s="1"/>
  <c r="I107" i="4"/>
  <c r="H55" i="3"/>
  <c r="O55" i="3" s="1"/>
  <c r="H54" i="2"/>
  <c r="N54" i="2" s="1"/>
  <c r="H153" i="3"/>
  <c r="N153" i="3" s="1"/>
  <c r="H112" i="2"/>
  <c r="O112" i="2" s="1"/>
  <c r="I75" i="4"/>
  <c r="P75" i="4" s="1"/>
  <c r="I35" i="2"/>
  <c r="N35" i="2" s="1"/>
  <c r="I102" i="2"/>
  <c r="P102" i="2" s="1"/>
  <c r="M88" i="2"/>
  <c r="T88" i="2" s="1"/>
  <c r="M89" i="2"/>
  <c r="T89" i="2" s="1"/>
  <c r="M92" i="2"/>
  <c r="T92" i="2" s="1"/>
  <c r="H72" i="2"/>
  <c r="O72" i="2" s="1"/>
  <c r="M113" i="2"/>
  <c r="T113" i="2" s="1"/>
  <c r="M132" i="2"/>
  <c r="T132" i="2" s="1"/>
  <c r="I75" i="3"/>
  <c r="P75" i="3" s="1"/>
  <c r="I74" i="2"/>
  <c r="P74" i="2" s="1"/>
  <c r="H160" i="4"/>
  <c r="O160" i="4" s="1"/>
  <c r="M135" i="3"/>
  <c r="T135" i="3" s="1"/>
  <c r="H29" i="2"/>
  <c r="O29" i="2" s="1"/>
  <c r="I115" i="3"/>
  <c r="P115" i="3" s="1"/>
  <c r="H113" i="2"/>
  <c r="O113" i="2" s="1"/>
  <c r="H114" i="2"/>
  <c r="O114" i="2" s="1"/>
  <c r="H39" i="3"/>
  <c r="O39" i="3" s="1"/>
  <c r="H132" i="2"/>
  <c r="O132" i="2" s="1"/>
  <c r="M95" i="3"/>
  <c r="T95" i="3" s="1"/>
  <c r="I29" i="2"/>
  <c r="P29" i="2" s="1"/>
  <c r="I163" i="3"/>
  <c r="P163" i="3" s="1"/>
  <c r="H70" i="4"/>
  <c r="I24" i="2"/>
  <c r="P24" i="2" s="1"/>
  <c r="H71" i="4"/>
  <c r="N71" i="4" s="1"/>
  <c r="I48" i="2"/>
  <c r="P48" i="2" s="1"/>
  <c r="I71" i="3"/>
  <c r="P71" i="3" s="1"/>
  <c r="I116" i="4"/>
  <c r="I69" i="2"/>
  <c r="P69" i="2" s="1"/>
  <c r="I136" i="4"/>
  <c r="P136" i="4" s="1"/>
  <c r="M118" i="3"/>
  <c r="T118" i="3" s="1"/>
  <c r="I82" i="2"/>
  <c r="P82" i="2" s="1"/>
  <c r="I95" i="3"/>
  <c r="P95" i="3" s="1"/>
  <c r="I89" i="2"/>
  <c r="P89" i="2" s="1"/>
  <c r="M164" i="3"/>
  <c r="T164" i="3" s="1"/>
  <c r="H138" i="4"/>
  <c r="O138" i="4" s="1"/>
  <c r="N14" i="3"/>
  <c r="H28" i="2"/>
  <c r="O28" i="2" s="1"/>
  <c r="I115" i="2"/>
  <c r="P115" i="2" s="1"/>
  <c r="I124" i="2"/>
  <c r="P124" i="2" s="1"/>
  <c r="M9" i="2"/>
  <c r="T9" i="2" s="1"/>
  <c r="I15" i="4"/>
  <c r="P15" i="4" s="1"/>
  <c r="O136" i="4"/>
  <c r="M71" i="4"/>
  <c r="T71" i="4" s="1"/>
  <c r="H84" i="2"/>
  <c r="N84" i="2" s="1"/>
  <c r="M55" i="2"/>
  <c r="T55" i="2" s="1"/>
  <c r="H99" i="3"/>
  <c r="O99" i="3" s="1"/>
  <c r="I31" i="4"/>
  <c r="P31" i="4" s="1"/>
  <c r="M8" i="2"/>
  <c r="T8" i="2" s="1"/>
  <c r="M31" i="4"/>
  <c r="T31" i="4" s="1"/>
  <c r="M44" i="2"/>
  <c r="T44" i="2" s="1"/>
  <c r="M68" i="2"/>
  <c r="T68" i="2" s="1"/>
  <c r="H11" i="4"/>
  <c r="O11" i="4" s="1"/>
  <c r="I87" i="4"/>
  <c r="P87" i="4" s="1"/>
  <c r="I36" i="4"/>
  <c r="P36" i="4" s="1"/>
  <c r="I11" i="3"/>
  <c r="P11" i="3" s="1"/>
  <c r="H41" i="2"/>
  <c r="O41" i="2" s="1"/>
  <c r="I28" i="2"/>
  <c r="P28" i="2" s="1"/>
  <c r="H110" i="3"/>
  <c r="I52" i="3"/>
  <c r="P52" i="3" s="1"/>
  <c r="M128" i="3"/>
  <c r="T128" i="3" s="1"/>
  <c r="H162" i="4"/>
  <c r="O162" i="4" s="1"/>
  <c r="M27" i="4"/>
  <c r="T27" i="4" s="1"/>
  <c r="M162" i="4"/>
  <c r="T162" i="4" s="1"/>
  <c r="M130" i="3"/>
  <c r="T130" i="3" s="1"/>
  <c r="I32" i="2"/>
  <c r="P32" i="2" s="1"/>
  <c r="M32" i="3"/>
  <c r="T32" i="3" s="1"/>
  <c r="M132" i="3"/>
  <c r="T132" i="3" s="1"/>
  <c r="H30" i="3"/>
  <c r="O30" i="3" s="1"/>
  <c r="H130" i="3"/>
  <c r="O130" i="3" s="1"/>
  <c r="M34" i="3"/>
  <c r="T34" i="3" s="1"/>
  <c r="H68" i="2"/>
  <c r="O68" i="2" s="1"/>
  <c r="O15" i="4"/>
  <c r="H69" i="2"/>
  <c r="I44" i="2"/>
  <c r="P44" i="2" s="1"/>
  <c r="H32" i="3"/>
  <c r="N32" i="3" s="1"/>
  <c r="H133" i="3"/>
  <c r="O133" i="3" s="1"/>
  <c r="M35" i="3"/>
  <c r="T35" i="3" s="1"/>
  <c r="H51" i="4"/>
  <c r="O51" i="4" s="1"/>
  <c r="I11" i="4"/>
  <c r="P11" i="4" s="1"/>
  <c r="M56" i="4"/>
  <c r="T56" i="4" s="1"/>
  <c r="H134" i="3"/>
  <c r="H58" i="4"/>
  <c r="O58" i="4" s="1"/>
  <c r="I114" i="4"/>
  <c r="P114" i="4" s="1"/>
  <c r="H83" i="2"/>
  <c r="O83" i="2" s="1"/>
  <c r="I49" i="2"/>
  <c r="P49" i="2" s="1"/>
  <c r="H135" i="3"/>
  <c r="O135" i="3" s="1"/>
  <c r="M139" i="3"/>
  <c r="T139" i="3" s="1"/>
  <c r="I110" i="3"/>
  <c r="P110" i="3" s="1"/>
  <c r="I18" i="4"/>
  <c r="P18" i="4" s="1"/>
  <c r="H88" i="2"/>
  <c r="O88" i="2" s="1"/>
  <c r="H51" i="3"/>
  <c r="O51" i="3" s="1"/>
  <c r="M54" i="3"/>
  <c r="T54" i="3" s="1"/>
  <c r="I135" i="4"/>
  <c r="P135" i="4" s="1"/>
  <c r="H54" i="3"/>
  <c r="H154" i="3"/>
  <c r="O154" i="3" s="1"/>
  <c r="M80" i="4"/>
  <c r="T80" i="4" s="1"/>
  <c r="H92" i="2"/>
  <c r="O92" i="2" s="1"/>
  <c r="H159" i="3"/>
  <c r="O159" i="3" s="1"/>
  <c r="I119" i="3"/>
  <c r="P119" i="3" s="1"/>
  <c r="M79" i="3"/>
  <c r="T79" i="3" s="1"/>
  <c r="H80" i="4"/>
  <c r="N80" i="4" s="1"/>
  <c r="M87" i="4"/>
  <c r="T87" i="4" s="1"/>
  <c r="H108" i="2"/>
  <c r="O108" i="2" s="1"/>
  <c r="I93" i="2"/>
  <c r="P93" i="2" s="1"/>
  <c r="M114" i="2"/>
  <c r="T114" i="2" s="1"/>
  <c r="H75" i="3"/>
  <c r="O75" i="3" s="1"/>
  <c r="H167" i="3"/>
  <c r="O167" i="3" s="1"/>
  <c r="M84" i="3"/>
  <c r="T84" i="3" s="1"/>
  <c r="I147" i="4"/>
  <c r="M90" i="3"/>
  <c r="T90" i="3" s="1"/>
  <c r="I151" i="4"/>
  <c r="P151" i="4" s="1"/>
  <c r="H79" i="3"/>
  <c r="O79" i="3" s="1"/>
  <c r="I12" i="3"/>
  <c r="I139" i="3"/>
  <c r="P139" i="3" s="1"/>
  <c r="M92" i="3"/>
  <c r="T92" i="3" s="1"/>
  <c r="H118" i="4"/>
  <c r="O118" i="4" s="1"/>
  <c r="I51" i="4"/>
  <c r="P51" i="4" s="1"/>
  <c r="I152" i="4"/>
  <c r="P152" i="4" s="1"/>
  <c r="I55" i="4"/>
  <c r="P55" i="4" s="1"/>
  <c r="I155" i="4"/>
  <c r="P155" i="4" s="1"/>
  <c r="M127" i="4"/>
  <c r="T127" i="4" s="1"/>
  <c r="H124" i="2"/>
  <c r="I125" i="2"/>
  <c r="P125" i="2" s="1"/>
  <c r="H90" i="3"/>
  <c r="O90" i="3" s="1"/>
  <c r="I35" i="3"/>
  <c r="P35" i="3" s="1"/>
  <c r="I156" i="4"/>
  <c r="P156" i="4" s="1"/>
  <c r="H128" i="2"/>
  <c r="O128" i="2" s="1"/>
  <c r="I128" i="2"/>
  <c r="P128" i="2" s="1"/>
  <c r="H93" i="3"/>
  <c r="I39" i="3"/>
  <c r="I150" i="3"/>
  <c r="P150" i="3" s="1"/>
  <c r="H7" i="4"/>
  <c r="H24" i="2"/>
  <c r="H129" i="2"/>
  <c r="I129" i="2"/>
  <c r="P129" i="2" s="1"/>
  <c r="I155" i="3"/>
  <c r="P155" i="3" s="1"/>
  <c r="M113" i="3"/>
  <c r="T113" i="3" s="1"/>
  <c r="M7" i="4"/>
  <c r="T7" i="4" s="1"/>
  <c r="M136" i="4"/>
  <c r="T136" i="4" s="1"/>
  <c r="M33" i="3"/>
  <c r="T33" i="3" s="1"/>
  <c r="I15" i="3"/>
  <c r="P15" i="3" s="1"/>
  <c r="I113" i="4"/>
  <c r="P113" i="4" s="1"/>
  <c r="H15" i="3"/>
  <c r="H12" i="2"/>
  <c r="O12" i="2" s="1"/>
  <c r="M12" i="2"/>
  <c r="T12" i="2" s="1"/>
  <c r="I78" i="4"/>
  <c r="P78" i="4" s="1"/>
  <c r="H119" i="3"/>
  <c r="H14" i="2"/>
  <c r="O14" i="2" s="1"/>
  <c r="I95" i="4"/>
  <c r="P95" i="4" s="1"/>
  <c r="I14" i="2"/>
  <c r="P14" i="2" s="1"/>
  <c r="H131" i="4"/>
  <c r="N131" i="4" s="1"/>
  <c r="M131" i="4"/>
  <c r="T131" i="4" s="1"/>
  <c r="H53" i="3"/>
  <c r="H94" i="3"/>
  <c r="O39" i="4"/>
  <c r="O40" i="4"/>
  <c r="O21" i="2"/>
  <c r="O111" i="2"/>
  <c r="H41" i="3"/>
  <c r="M41" i="3"/>
  <c r="T41" i="3" s="1"/>
  <c r="O9" i="2"/>
  <c r="M160" i="4"/>
  <c r="T160" i="4" s="1"/>
  <c r="M20" i="2"/>
  <c r="T20" i="2" s="1"/>
  <c r="H20" i="2"/>
  <c r="I20" i="2"/>
  <c r="P20" i="2" s="1"/>
  <c r="I38" i="3"/>
  <c r="P38" i="3" s="1"/>
  <c r="H38" i="3"/>
  <c r="O38" i="3" s="1"/>
  <c r="I78" i="3"/>
  <c r="P78" i="3" s="1"/>
  <c r="H78" i="3"/>
  <c r="H10" i="2"/>
  <c r="O10" i="2" s="1"/>
  <c r="M10" i="2"/>
  <c r="T10" i="2" s="1"/>
  <c r="H90" i="2"/>
  <c r="O90" i="2" s="1"/>
  <c r="M90" i="2"/>
  <c r="T90" i="2" s="1"/>
  <c r="I90" i="2"/>
  <c r="H71" i="2"/>
  <c r="O71" i="2" s="1"/>
  <c r="H40" i="3"/>
  <c r="M40" i="3"/>
  <c r="T40" i="3" s="1"/>
  <c r="I40" i="3"/>
  <c r="P40" i="3" s="1"/>
  <c r="H60" i="3"/>
  <c r="O60" i="3" s="1"/>
  <c r="M60" i="3"/>
  <c r="T60" i="3" s="1"/>
  <c r="I60" i="3"/>
  <c r="P60" i="3" s="1"/>
  <c r="H120" i="3"/>
  <c r="I120" i="3"/>
  <c r="P120" i="3" s="1"/>
  <c r="M120" i="3"/>
  <c r="T120" i="3" s="1"/>
  <c r="H140" i="3"/>
  <c r="M140" i="3"/>
  <c r="T140" i="3" s="1"/>
  <c r="I140" i="3"/>
  <c r="P140" i="3" s="1"/>
  <c r="H105" i="2"/>
  <c r="O105" i="2" s="1"/>
  <c r="M7" i="3"/>
  <c r="T7" i="3" s="1"/>
  <c r="H7" i="3"/>
  <c r="O7" i="3" s="1"/>
  <c r="I7" i="3"/>
  <c r="P7" i="3" s="1"/>
  <c r="M27" i="3"/>
  <c r="T27" i="3" s="1"/>
  <c r="I27" i="3"/>
  <c r="P27" i="3" s="1"/>
  <c r="M47" i="3"/>
  <c r="T47" i="3" s="1"/>
  <c r="H47" i="3"/>
  <c r="M67" i="3"/>
  <c r="T67" i="3" s="1"/>
  <c r="H67" i="3"/>
  <c r="I67" i="3"/>
  <c r="P67" i="3" s="1"/>
  <c r="M87" i="3"/>
  <c r="T87" i="3" s="1"/>
  <c r="I87" i="3"/>
  <c r="M107" i="3"/>
  <c r="T107" i="3" s="1"/>
  <c r="H107" i="3"/>
  <c r="M127" i="3"/>
  <c r="T127" i="3" s="1"/>
  <c r="I127" i="3"/>
  <c r="P127" i="3" s="1"/>
  <c r="M147" i="3"/>
  <c r="T147" i="3" s="1"/>
  <c r="H147" i="3"/>
  <c r="H131" i="2"/>
  <c r="I131" i="2"/>
  <c r="P131" i="2" s="1"/>
  <c r="O22" i="4"/>
  <c r="M8" i="3"/>
  <c r="T8" i="3" s="1"/>
  <c r="H8" i="3"/>
  <c r="I8" i="3"/>
  <c r="P8" i="3" s="1"/>
  <c r="I28" i="3"/>
  <c r="P28" i="3" s="1"/>
  <c r="H28" i="3"/>
  <c r="O28" i="3" s="1"/>
  <c r="I88" i="3"/>
  <c r="P88" i="3" s="1"/>
  <c r="H88" i="3"/>
  <c r="H108" i="3"/>
  <c r="O108" i="3" s="1"/>
  <c r="M108" i="3"/>
  <c r="T108" i="3" s="1"/>
  <c r="I108" i="3"/>
  <c r="P108" i="3" s="1"/>
  <c r="I71" i="2"/>
  <c r="P71" i="2" s="1"/>
  <c r="M60" i="2"/>
  <c r="T60" i="2" s="1"/>
  <c r="I60" i="2"/>
  <c r="M91" i="2"/>
  <c r="T91" i="2" s="1"/>
  <c r="H91" i="2"/>
  <c r="I91" i="2"/>
  <c r="P91" i="2" s="1"/>
  <c r="H61" i="3"/>
  <c r="O61" i="3" s="1"/>
  <c r="M61" i="3"/>
  <c r="T61" i="3" s="1"/>
  <c r="I61" i="3"/>
  <c r="P61" i="3" s="1"/>
  <c r="M102" i="3"/>
  <c r="T102" i="3" s="1"/>
  <c r="H102" i="3"/>
  <c r="O102" i="3" s="1"/>
  <c r="M21" i="2"/>
  <c r="T21" i="2" s="1"/>
  <c r="I21" i="2"/>
  <c r="P21" i="2" s="1"/>
  <c r="M61" i="2"/>
  <c r="T61" i="2" s="1"/>
  <c r="I61" i="2"/>
  <c r="P61" i="2" s="1"/>
  <c r="M81" i="2"/>
  <c r="T81" i="2" s="1"/>
  <c r="H81" i="2"/>
  <c r="O81" i="2" s="1"/>
  <c r="M101" i="2"/>
  <c r="T101" i="2" s="1"/>
  <c r="I101" i="2"/>
  <c r="P101" i="2" s="1"/>
  <c r="M121" i="2"/>
  <c r="T121" i="2" s="1"/>
  <c r="H121" i="2"/>
  <c r="I121" i="2"/>
  <c r="P121" i="2" s="1"/>
  <c r="M19" i="4"/>
  <c r="T19" i="4" s="1"/>
  <c r="H19" i="4"/>
  <c r="O19" i="4" s="1"/>
  <c r="I19" i="4"/>
  <c r="P19" i="4" s="1"/>
  <c r="M39" i="4"/>
  <c r="T39" i="4" s="1"/>
  <c r="I39" i="4"/>
  <c r="P39" i="4" s="1"/>
  <c r="M59" i="4"/>
  <c r="T59" i="4" s="1"/>
  <c r="I59" i="4"/>
  <c r="P59" i="4" s="1"/>
  <c r="H59" i="4"/>
  <c r="M79" i="4"/>
  <c r="T79" i="4" s="1"/>
  <c r="I79" i="4"/>
  <c r="P79" i="4" s="1"/>
  <c r="M99" i="4"/>
  <c r="T99" i="4" s="1"/>
  <c r="I99" i="4"/>
  <c r="P99" i="4" s="1"/>
  <c r="H99" i="4"/>
  <c r="O99" i="4" s="1"/>
  <c r="M119" i="4"/>
  <c r="T119" i="4" s="1"/>
  <c r="I119" i="4"/>
  <c r="P119" i="4" s="1"/>
  <c r="M139" i="4"/>
  <c r="T139" i="4" s="1"/>
  <c r="I139" i="4"/>
  <c r="H139" i="4"/>
  <c r="O139" i="4" s="1"/>
  <c r="M159" i="4"/>
  <c r="T159" i="4" s="1"/>
  <c r="H159" i="4"/>
  <c r="O159" i="4" s="1"/>
  <c r="I159" i="4"/>
  <c r="P159" i="4" s="1"/>
  <c r="M11" i="2"/>
  <c r="T11" i="2" s="1"/>
  <c r="H11" i="2"/>
  <c r="O11" i="2" s="1"/>
  <c r="I11" i="2"/>
  <c r="P11" i="2" s="1"/>
  <c r="M100" i="2"/>
  <c r="T100" i="2" s="1"/>
  <c r="H100" i="2"/>
  <c r="H40" i="2"/>
  <c r="O40" i="2" s="1"/>
  <c r="I83" i="2"/>
  <c r="P83" i="2" s="1"/>
  <c r="H20" i="4"/>
  <c r="I20" i="4"/>
  <c r="P20" i="4" s="1"/>
  <c r="M40" i="4"/>
  <c r="T40" i="4" s="1"/>
  <c r="I40" i="4"/>
  <c r="P40" i="4" s="1"/>
  <c r="I60" i="4"/>
  <c r="P60" i="4" s="1"/>
  <c r="M60" i="4"/>
  <c r="T60" i="4" s="1"/>
  <c r="H60" i="4"/>
  <c r="I100" i="4"/>
  <c r="P100" i="4" s="1"/>
  <c r="M100" i="4"/>
  <c r="T100" i="4" s="1"/>
  <c r="H100" i="4"/>
  <c r="O100" i="4" s="1"/>
  <c r="I120" i="4"/>
  <c r="P120" i="4" s="1"/>
  <c r="H120" i="4"/>
  <c r="I140" i="4"/>
  <c r="P140" i="4" s="1"/>
  <c r="H140" i="4"/>
  <c r="O140" i="4" s="1"/>
  <c r="M140" i="4"/>
  <c r="T140" i="4" s="1"/>
  <c r="O164" i="4"/>
  <c r="H121" i="3"/>
  <c r="O121" i="3" s="1"/>
  <c r="I121" i="3"/>
  <c r="M123" i="2"/>
  <c r="T123" i="2" s="1"/>
  <c r="H123" i="2"/>
  <c r="M4" i="2"/>
  <c r="T4" i="2" s="1"/>
  <c r="H4" i="2"/>
  <c r="O4" i="2" s="1"/>
  <c r="O44" i="2"/>
  <c r="I64" i="2"/>
  <c r="P64" i="2" s="1"/>
  <c r="H64" i="2"/>
  <c r="M104" i="2"/>
  <c r="T104" i="2" s="1"/>
  <c r="H104" i="2"/>
  <c r="I104" i="2"/>
  <c r="P104" i="2" s="1"/>
  <c r="M84" i="2"/>
  <c r="T84" i="2" s="1"/>
  <c r="I41" i="3"/>
  <c r="P41" i="3" s="1"/>
  <c r="M88" i="3"/>
  <c r="T88" i="3" s="1"/>
  <c r="M2" i="4"/>
  <c r="T2" i="4" s="1"/>
  <c r="H2" i="4"/>
  <c r="O2" i="4" s="1"/>
  <c r="I2" i="4"/>
  <c r="P2" i="4" s="1"/>
  <c r="M22" i="4"/>
  <c r="T22" i="4" s="1"/>
  <c r="I22" i="4"/>
  <c r="P22" i="4" s="1"/>
  <c r="M42" i="4"/>
  <c r="T42" i="4" s="1"/>
  <c r="I42" i="4"/>
  <c r="P42" i="4" s="1"/>
  <c r="H42" i="4"/>
  <c r="M62" i="4"/>
  <c r="T62" i="4" s="1"/>
  <c r="H62" i="4"/>
  <c r="M102" i="4"/>
  <c r="T102" i="4" s="1"/>
  <c r="I102" i="4"/>
  <c r="P102" i="4" s="1"/>
  <c r="H102" i="4"/>
  <c r="M122" i="4"/>
  <c r="T122" i="4" s="1"/>
  <c r="I122" i="4"/>
  <c r="P122" i="4" s="1"/>
  <c r="M142" i="4"/>
  <c r="T142" i="4" s="1"/>
  <c r="H142" i="4"/>
  <c r="N142" i="4" s="1"/>
  <c r="M31" i="2"/>
  <c r="T31" i="2" s="1"/>
  <c r="H31" i="2"/>
  <c r="M120" i="2"/>
  <c r="T120" i="2" s="1"/>
  <c r="H120" i="2"/>
  <c r="I100" i="2"/>
  <c r="P100" i="2" s="1"/>
  <c r="M103" i="4"/>
  <c r="T103" i="4" s="1"/>
  <c r="I103" i="4"/>
  <c r="P103" i="4" s="1"/>
  <c r="H103" i="4"/>
  <c r="M51" i="2"/>
  <c r="T51" i="2" s="1"/>
  <c r="H51" i="2"/>
  <c r="I51" i="2"/>
  <c r="P51" i="2" s="1"/>
  <c r="H141" i="3"/>
  <c r="M141" i="3"/>
  <c r="T141" i="3" s="1"/>
  <c r="M103" i="2"/>
  <c r="T103" i="2" s="1"/>
  <c r="H103" i="2"/>
  <c r="I103" i="2"/>
  <c r="P103" i="2" s="1"/>
  <c r="M83" i="4"/>
  <c r="T83" i="4" s="1"/>
  <c r="I83" i="4"/>
  <c r="P83" i="4" s="1"/>
  <c r="H83" i="4"/>
  <c r="M143" i="4"/>
  <c r="T143" i="4" s="1"/>
  <c r="H143" i="4"/>
  <c r="O143" i="4" s="1"/>
  <c r="M163" i="4"/>
  <c r="T163" i="4" s="1"/>
  <c r="I163" i="4"/>
  <c r="P163" i="4" s="1"/>
  <c r="H163" i="4"/>
  <c r="H60" i="2"/>
  <c r="O60" i="2" s="1"/>
  <c r="M4" i="4"/>
  <c r="T4" i="4" s="1"/>
  <c r="H4" i="4"/>
  <c r="I4" i="4"/>
  <c r="P4" i="4" s="1"/>
  <c r="I24" i="4"/>
  <c r="P24" i="4" s="1"/>
  <c r="M24" i="4"/>
  <c r="T24" i="4" s="1"/>
  <c r="H24" i="4"/>
  <c r="O24" i="4" s="1"/>
  <c r="M44" i="4"/>
  <c r="T44" i="4" s="1"/>
  <c r="I44" i="4"/>
  <c r="P44" i="4" s="1"/>
  <c r="H44" i="4"/>
  <c r="O44" i="4" s="1"/>
  <c r="M64" i="4"/>
  <c r="T64" i="4" s="1"/>
  <c r="H64" i="4"/>
  <c r="I84" i="4"/>
  <c r="P84" i="4" s="1"/>
  <c r="H84" i="4"/>
  <c r="O84" i="4" s="1"/>
  <c r="M84" i="4"/>
  <c r="T84" i="4" s="1"/>
  <c r="M104" i="4"/>
  <c r="T104" i="4" s="1"/>
  <c r="H104" i="4"/>
  <c r="O104" i="4" s="1"/>
  <c r="I124" i="4"/>
  <c r="M124" i="4"/>
  <c r="T124" i="4" s="1"/>
  <c r="H144" i="4"/>
  <c r="O144" i="4" s="1"/>
  <c r="M144" i="4"/>
  <c r="T144" i="4" s="1"/>
  <c r="I144" i="4"/>
  <c r="P144" i="4" s="1"/>
  <c r="I164" i="4"/>
  <c r="P164" i="4" s="1"/>
  <c r="M164" i="4"/>
  <c r="T164" i="4" s="1"/>
  <c r="I104" i="4"/>
  <c r="P104" i="4" s="1"/>
  <c r="M20" i="4"/>
  <c r="T20" i="4" s="1"/>
  <c r="M111" i="2"/>
  <c r="T111" i="2" s="1"/>
  <c r="I111" i="2"/>
  <c r="P111" i="2" s="1"/>
  <c r="M65" i="2"/>
  <c r="T65" i="2" s="1"/>
  <c r="I65" i="2"/>
  <c r="P65" i="2" s="1"/>
  <c r="M3" i="4"/>
  <c r="T3" i="4" s="1"/>
  <c r="H3" i="4"/>
  <c r="O3" i="4" s="1"/>
  <c r="I3" i="4"/>
  <c r="P3" i="4" s="1"/>
  <c r="M23" i="4"/>
  <c r="T23" i="4" s="1"/>
  <c r="I23" i="4"/>
  <c r="P23" i="4" s="1"/>
  <c r="M43" i="4"/>
  <c r="T43" i="4" s="1"/>
  <c r="I43" i="4"/>
  <c r="P43" i="4" s="1"/>
  <c r="H43" i="4"/>
  <c r="M123" i="4"/>
  <c r="T123" i="4" s="1"/>
  <c r="I123" i="4"/>
  <c r="P123" i="4" s="1"/>
  <c r="H65" i="2"/>
  <c r="H37" i="3"/>
  <c r="O37" i="3" s="1"/>
  <c r="M37" i="3"/>
  <c r="T37" i="3" s="1"/>
  <c r="M97" i="3"/>
  <c r="T97" i="3" s="1"/>
  <c r="H97" i="3"/>
  <c r="H117" i="3"/>
  <c r="O117" i="3" s="1"/>
  <c r="M117" i="3"/>
  <c r="T117" i="3" s="1"/>
  <c r="I117" i="3"/>
  <c r="P117" i="3" s="1"/>
  <c r="H127" i="3"/>
  <c r="H79" i="4"/>
  <c r="N137" i="3"/>
  <c r="H109" i="2"/>
  <c r="I72" i="2"/>
  <c r="P72" i="2" s="1"/>
  <c r="M54" i="2"/>
  <c r="T54" i="2" s="1"/>
  <c r="H155" i="3"/>
  <c r="I99" i="3"/>
  <c r="M30" i="3"/>
  <c r="T30" i="3" s="1"/>
  <c r="M168" i="3"/>
  <c r="T168" i="3" s="1"/>
  <c r="I32" i="4"/>
  <c r="I111" i="4"/>
  <c r="P111" i="4" s="1"/>
  <c r="M70" i="4"/>
  <c r="T70" i="4" s="1"/>
  <c r="H128" i="3"/>
  <c r="H168" i="3"/>
  <c r="O168" i="3" s="1"/>
  <c r="I148" i="3"/>
  <c r="P148" i="3" s="1"/>
  <c r="H125" i="4"/>
  <c r="O125" i="4" s="1"/>
  <c r="M30" i="4"/>
  <c r="T30" i="4" s="1"/>
  <c r="M130" i="4"/>
  <c r="T130" i="4" s="1"/>
  <c r="O52" i="4"/>
  <c r="H91" i="3"/>
  <c r="H131" i="3"/>
  <c r="O131" i="3" s="1"/>
  <c r="I111" i="3"/>
  <c r="P111" i="3" s="1"/>
  <c r="I151" i="3"/>
  <c r="P151" i="3" s="1"/>
  <c r="M93" i="3"/>
  <c r="T93" i="3" s="1"/>
  <c r="M133" i="3"/>
  <c r="T133" i="3" s="1"/>
  <c r="H127" i="4"/>
  <c r="N127" i="4" s="1"/>
  <c r="I118" i="4"/>
  <c r="P118" i="4" s="1"/>
  <c r="M32" i="4"/>
  <c r="T32" i="4" s="1"/>
  <c r="M132" i="4"/>
  <c r="T132" i="4" s="1"/>
  <c r="H32" i="2"/>
  <c r="H82" i="2"/>
  <c r="I34" i="2"/>
  <c r="P34" i="2" s="1"/>
  <c r="H92" i="3"/>
  <c r="H132" i="3"/>
  <c r="O132" i="3" s="1"/>
  <c r="I10" i="3"/>
  <c r="P10" i="3" s="1"/>
  <c r="I152" i="3"/>
  <c r="P152" i="3" s="1"/>
  <c r="M94" i="3"/>
  <c r="T94" i="3" s="1"/>
  <c r="M134" i="3"/>
  <c r="T134" i="3" s="1"/>
  <c r="H130" i="4"/>
  <c r="M133" i="4"/>
  <c r="T133" i="4" s="1"/>
  <c r="H50" i="4"/>
  <c r="M90" i="4"/>
  <c r="T90" i="4" s="1"/>
  <c r="M45" i="4"/>
  <c r="T45" i="4" s="1"/>
  <c r="M92" i="4"/>
  <c r="T92" i="4" s="1"/>
  <c r="H52" i="3"/>
  <c r="I167" i="3"/>
  <c r="H54" i="4"/>
  <c r="O54" i="4" s="1"/>
  <c r="I52" i="4"/>
  <c r="P52" i="4" s="1"/>
  <c r="M93" i="4"/>
  <c r="T93" i="4" s="1"/>
  <c r="I53" i="4"/>
  <c r="P53" i="4" s="1"/>
  <c r="I91" i="4"/>
  <c r="P91" i="4" s="1"/>
  <c r="M52" i="4"/>
  <c r="T52" i="4" s="1"/>
  <c r="I54" i="4"/>
  <c r="P54" i="4" s="1"/>
  <c r="I92" i="4"/>
  <c r="M53" i="4"/>
  <c r="T53" i="4" s="1"/>
  <c r="H10" i="3"/>
  <c r="H148" i="3"/>
  <c r="H48" i="2"/>
  <c r="H93" i="2"/>
  <c r="I8" i="2"/>
  <c r="P8" i="2" s="1"/>
  <c r="I108" i="2"/>
  <c r="P108" i="2" s="1"/>
  <c r="H11" i="3"/>
  <c r="M12" i="3"/>
  <c r="T12" i="3" s="1"/>
  <c r="M55" i="3"/>
  <c r="T55" i="3" s="1"/>
  <c r="M114" i="3"/>
  <c r="T114" i="3" s="1"/>
  <c r="H107" i="4"/>
  <c r="O107" i="4" s="1"/>
  <c r="I56" i="4"/>
  <c r="M57" i="4"/>
  <c r="T57" i="4" s="1"/>
  <c r="M150" i="4"/>
  <c r="T150" i="4" s="1"/>
  <c r="H49" i="2"/>
  <c r="O49" i="2" s="1"/>
  <c r="I9" i="2"/>
  <c r="P9" i="2" s="1"/>
  <c r="I109" i="2"/>
  <c r="P109" i="2" s="1"/>
  <c r="H71" i="3"/>
  <c r="H104" i="3"/>
  <c r="O104" i="3" s="1"/>
  <c r="H150" i="3"/>
  <c r="M13" i="3"/>
  <c r="T13" i="3" s="1"/>
  <c r="M115" i="3"/>
  <c r="T115" i="3" s="1"/>
  <c r="H110" i="4"/>
  <c r="O110" i="4" s="1"/>
  <c r="I57" i="4"/>
  <c r="I138" i="4"/>
  <c r="P138" i="4" s="1"/>
  <c r="M105" i="4"/>
  <c r="T105" i="4" s="1"/>
  <c r="M151" i="4"/>
  <c r="T151" i="4" s="1"/>
  <c r="I55" i="2"/>
  <c r="M35" i="2"/>
  <c r="T35" i="2" s="1"/>
  <c r="H13" i="3"/>
  <c r="H73" i="3"/>
  <c r="H151" i="3"/>
  <c r="I31" i="3"/>
  <c r="P31" i="3" s="1"/>
  <c r="I91" i="3"/>
  <c r="P91" i="3" s="1"/>
  <c r="H65" i="4"/>
  <c r="H111" i="4"/>
  <c r="O111" i="4" s="1"/>
  <c r="M113" i="4"/>
  <c r="T113" i="4" s="1"/>
  <c r="M152" i="4"/>
  <c r="T152" i="4" s="1"/>
  <c r="I112" i="2"/>
  <c r="P112" i="2" s="1"/>
  <c r="M36" i="2"/>
  <c r="T36" i="2" s="1"/>
  <c r="H74" i="3"/>
  <c r="H152" i="3"/>
  <c r="H67" i="4"/>
  <c r="H114" i="4"/>
  <c r="O114" i="4" s="1"/>
  <c r="I27" i="4"/>
  <c r="P27" i="4" s="1"/>
  <c r="M67" i="4"/>
  <c r="T67" i="4" s="1"/>
  <c r="M116" i="4"/>
  <c r="T116" i="4" s="1"/>
  <c r="M156" i="4"/>
  <c r="T156" i="4" s="1"/>
  <c r="I63" i="4"/>
  <c r="P63" i="4" s="1"/>
  <c r="H63" i="4"/>
  <c r="O63" i="4" s="1"/>
  <c r="M53" i="3"/>
  <c r="T53" i="3" s="1"/>
  <c r="M91" i="4"/>
  <c r="T91" i="4" s="1"/>
  <c r="H13" i="2"/>
  <c r="N13" i="2" s="1"/>
  <c r="I64" i="3"/>
  <c r="P64" i="3" s="1"/>
  <c r="M64" i="3"/>
  <c r="T64" i="3" s="1"/>
  <c r="H72" i="3"/>
  <c r="I70" i="3"/>
  <c r="P70" i="3" s="1"/>
  <c r="H70" i="3"/>
  <c r="I72" i="3"/>
  <c r="P72" i="3" s="1"/>
  <c r="H80" i="2"/>
  <c r="O80" i="2" s="1"/>
  <c r="I47" i="4"/>
  <c r="P47" i="4" s="1"/>
  <c r="M68" i="3"/>
  <c r="T68" i="3" s="1"/>
  <c r="H47" i="4"/>
  <c r="I52" i="2"/>
  <c r="P52" i="2" s="1"/>
  <c r="H52" i="2"/>
  <c r="I15" i="2"/>
  <c r="H68" i="3"/>
  <c r="M47" i="2"/>
  <c r="I47" i="2"/>
  <c r="H47" i="2"/>
  <c r="M27" i="2"/>
  <c r="I27" i="2"/>
  <c r="H27" i="2"/>
  <c r="O27" i="2" s="1"/>
  <c r="M127" i="2"/>
  <c r="H127" i="2"/>
  <c r="I127" i="2"/>
  <c r="I7" i="2"/>
  <c r="H7" i="2"/>
  <c r="M7" i="2"/>
  <c r="M17" i="2"/>
  <c r="I17" i="2"/>
  <c r="H17" i="2"/>
  <c r="H37" i="2"/>
  <c r="I37" i="2"/>
  <c r="H57" i="2"/>
  <c r="M57" i="2"/>
  <c r="M77" i="2"/>
  <c r="I77" i="2"/>
  <c r="H77" i="2"/>
  <c r="M97" i="2"/>
  <c r="I97" i="2"/>
  <c r="H97" i="2"/>
  <c r="M117" i="2"/>
  <c r="I117" i="2"/>
  <c r="H117" i="2"/>
  <c r="I67" i="2"/>
  <c r="M67" i="2"/>
  <c r="H67" i="2"/>
  <c r="I57" i="2"/>
  <c r="I107" i="2"/>
  <c r="H107" i="2"/>
  <c r="M107" i="2"/>
  <c r="I87" i="2"/>
  <c r="H87" i="2"/>
  <c r="M87" i="2"/>
  <c r="I6" i="2"/>
  <c r="M6" i="2"/>
  <c r="H6" i="2"/>
  <c r="I26" i="2"/>
  <c r="H26" i="2"/>
  <c r="M26" i="2"/>
  <c r="I46" i="2"/>
  <c r="H46" i="2"/>
  <c r="M46" i="2"/>
  <c r="I66" i="2"/>
  <c r="M66" i="2"/>
  <c r="H66" i="2"/>
  <c r="H86" i="2"/>
  <c r="M86" i="2"/>
  <c r="I86" i="2"/>
  <c r="I106" i="2"/>
  <c r="M106" i="2"/>
  <c r="H106" i="2"/>
  <c r="M126" i="2"/>
  <c r="H126" i="2"/>
  <c r="I126" i="2"/>
  <c r="O115" i="3"/>
  <c r="H18" i="2"/>
  <c r="I18" i="2"/>
  <c r="M18" i="2"/>
  <c r="H38" i="2"/>
  <c r="I38" i="2"/>
  <c r="M38" i="2"/>
  <c r="H58" i="2"/>
  <c r="M58" i="2"/>
  <c r="I58" i="2"/>
  <c r="H78" i="2"/>
  <c r="I78" i="2"/>
  <c r="M78" i="2"/>
  <c r="H98" i="2"/>
  <c r="M98" i="2"/>
  <c r="I98" i="2"/>
  <c r="H118" i="2"/>
  <c r="I118" i="2"/>
  <c r="M118" i="2"/>
  <c r="P30" i="3"/>
  <c r="H19" i="2"/>
  <c r="M19" i="2"/>
  <c r="H39" i="2"/>
  <c r="I39" i="2"/>
  <c r="P39" i="2" s="1"/>
  <c r="M39" i="2"/>
  <c r="H59" i="2"/>
  <c r="M59" i="2"/>
  <c r="I59" i="2"/>
  <c r="H79" i="2"/>
  <c r="I79" i="2"/>
  <c r="M79" i="2"/>
  <c r="H99" i="2"/>
  <c r="M99" i="2"/>
  <c r="H119" i="2"/>
  <c r="I119" i="2"/>
  <c r="M119" i="2"/>
  <c r="T96" i="3"/>
  <c r="I99" i="2"/>
  <c r="H3" i="3"/>
  <c r="I3" i="3"/>
  <c r="M3" i="3"/>
  <c r="H23" i="3"/>
  <c r="M23" i="3"/>
  <c r="I23" i="3"/>
  <c r="H43" i="3"/>
  <c r="M43" i="3"/>
  <c r="I43" i="3"/>
  <c r="H63" i="3"/>
  <c r="M63" i="3"/>
  <c r="H83" i="3"/>
  <c r="I83" i="3"/>
  <c r="H103" i="3"/>
  <c r="M103" i="3"/>
  <c r="I103" i="3"/>
  <c r="H123" i="3"/>
  <c r="M123" i="3"/>
  <c r="I123" i="3"/>
  <c r="H143" i="3"/>
  <c r="I143" i="3"/>
  <c r="M143" i="3"/>
  <c r="O41" i="4"/>
  <c r="P107" i="4"/>
  <c r="I6" i="4"/>
  <c r="M6" i="4"/>
  <c r="H6" i="4"/>
  <c r="I26" i="4"/>
  <c r="H26" i="4"/>
  <c r="M26" i="4"/>
  <c r="I46" i="4"/>
  <c r="M46" i="4"/>
  <c r="H46" i="4"/>
  <c r="I66" i="4"/>
  <c r="M66" i="4"/>
  <c r="H66" i="4"/>
  <c r="I86" i="4"/>
  <c r="H86" i="4"/>
  <c r="M86" i="4"/>
  <c r="I106" i="4"/>
  <c r="H106" i="4"/>
  <c r="M106" i="4"/>
  <c r="I126" i="4"/>
  <c r="N126" i="4" s="1"/>
  <c r="M126" i="4"/>
  <c r="I146" i="4"/>
  <c r="M146" i="4"/>
  <c r="H146" i="4"/>
  <c r="I166" i="4"/>
  <c r="M166" i="4"/>
  <c r="H166" i="4"/>
  <c r="P35" i="4"/>
  <c r="N35" i="4"/>
  <c r="H5" i="3"/>
  <c r="I5" i="3"/>
  <c r="M5" i="3"/>
  <c r="H25" i="3"/>
  <c r="I25" i="3"/>
  <c r="P25" i="3" s="1"/>
  <c r="M25" i="3"/>
  <c r="H45" i="3"/>
  <c r="M45" i="3"/>
  <c r="H65" i="3"/>
  <c r="I65" i="3"/>
  <c r="H85" i="3"/>
  <c r="M85" i="3"/>
  <c r="I85" i="3"/>
  <c r="H105" i="3"/>
  <c r="I105" i="3"/>
  <c r="H125" i="3"/>
  <c r="M125" i="3"/>
  <c r="T125" i="3" s="1"/>
  <c r="I125" i="3"/>
  <c r="H145" i="3"/>
  <c r="M145" i="3"/>
  <c r="H165" i="3"/>
  <c r="M165" i="3"/>
  <c r="I165" i="3"/>
  <c r="I45" i="3"/>
  <c r="M6" i="3"/>
  <c r="H6" i="3"/>
  <c r="M26" i="3"/>
  <c r="I26" i="3"/>
  <c r="H26" i="3"/>
  <c r="M46" i="3"/>
  <c r="H46" i="3"/>
  <c r="M66" i="3"/>
  <c r="H66" i="3"/>
  <c r="I66" i="3"/>
  <c r="M86" i="3"/>
  <c r="T86" i="3" s="1"/>
  <c r="H86" i="3"/>
  <c r="I86" i="3"/>
  <c r="M106" i="3"/>
  <c r="I106" i="3"/>
  <c r="H106" i="3"/>
  <c r="M146" i="3"/>
  <c r="H146" i="3"/>
  <c r="I146" i="3"/>
  <c r="M166" i="3"/>
  <c r="H166" i="3"/>
  <c r="I46" i="3"/>
  <c r="O126" i="4"/>
  <c r="I6" i="3"/>
  <c r="M105" i="3"/>
  <c r="T136" i="3"/>
  <c r="I19" i="2"/>
  <c r="M9" i="3"/>
  <c r="I9" i="3"/>
  <c r="H9" i="3"/>
  <c r="M29" i="3"/>
  <c r="I29" i="3"/>
  <c r="M49" i="3"/>
  <c r="I49" i="3"/>
  <c r="H49" i="3"/>
  <c r="M69" i="3"/>
  <c r="I69" i="3"/>
  <c r="H69" i="3"/>
  <c r="M89" i="3"/>
  <c r="I89" i="3"/>
  <c r="H89" i="3"/>
  <c r="M109" i="3"/>
  <c r="I109" i="3"/>
  <c r="N109" i="3" s="1"/>
  <c r="M129" i="3"/>
  <c r="I129" i="3"/>
  <c r="H129" i="3"/>
  <c r="M149" i="3"/>
  <c r="I149" i="3"/>
  <c r="O2" i="3"/>
  <c r="T83" i="3"/>
  <c r="O149" i="3"/>
  <c r="P144" i="3"/>
  <c r="M65" i="3"/>
  <c r="I145" i="3"/>
  <c r="H16" i="2"/>
  <c r="M16" i="2"/>
  <c r="I16" i="2"/>
  <c r="I56" i="2"/>
  <c r="H56" i="2"/>
  <c r="I76" i="2"/>
  <c r="M76" i="2"/>
  <c r="H76" i="2"/>
  <c r="I96" i="2"/>
  <c r="H96" i="2"/>
  <c r="M96" i="2"/>
  <c r="I4" i="3"/>
  <c r="M4" i="3"/>
  <c r="I24" i="3"/>
  <c r="M24" i="3"/>
  <c r="M44" i="3"/>
  <c r="H44" i="3"/>
  <c r="M124" i="3"/>
  <c r="I124" i="3"/>
  <c r="H124" i="3"/>
  <c r="H144" i="3"/>
  <c r="M144" i="3"/>
  <c r="M104" i="3"/>
  <c r="P71" i="4"/>
  <c r="O151" i="4"/>
  <c r="H4" i="3"/>
  <c r="H164" i="3"/>
  <c r="I84" i="3"/>
  <c r="T89" i="4"/>
  <c r="I44" i="3"/>
  <c r="O21" i="4"/>
  <c r="I36" i="2"/>
  <c r="M13" i="2"/>
  <c r="M21" i="4"/>
  <c r="I21" i="4"/>
  <c r="M41" i="4"/>
  <c r="I41" i="4"/>
  <c r="M61" i="4"/>
  <c r="I61" i="4"/>
  <c r="H61" i="4"/>
  <c r="M81" i="4"/>
  <c r="I81" i="4"/>
  <c r="H81" i="4"/>
  <c r="M101" i="4"/>
  <c r="I101" i="4"/>
  <c r="N101" i="4" s="1"/>
  <c r="M121" i="4"/>
  <c r="I121" i="4"/>
  <c r="H121" i="4"/>
  <c r="M141" i="4"/>
  <c r="I141" i="4"/>
  <c r="H141" i="4"/>
  <c r="M161" i="4"/>
  <c r="I161" i="4"/>
  <c r="H161" i="4"/>
  <c r="O23" i="4"/>
  <c r="I30" i="2"/>
  <c r="M30" i="2"/>
  <c r="M50" i="2"/>
  <c r="I50" i="2"/>
  <c r="H50" i="2"/>
  <c r="I70" i="2"/>
  <c r="H70" i="2"/>
  <c r="I110" i="2"/>
  <c r="H110" i="2"/>
  <c r="I130" i="2"/>
  <c r="M130" i="2"/>
  <c r="M70" i="2"/>
  <c r="H24" i="3"/>
  <c r="T149" i="4"/>
  <c r="H30" i="2"/>
  <c r="I10" i="2"/>
  <c r="M33" i="2"/>
  <c r="H33" i="2"/>
  <c r="N33" i="2" s="1"/>
  <c r="I53" i="2"/>
  <c r="M53" i="2"/>
  <c r="M73" i="2"/>
  <c r="H73" i="2"/>
  <c r="I133" i="2"/>
  <c r="M133" i="2"/>
  <c r="H133" i="2"/>
  <c r="H94" i="2"/>
  <c r="H122" i="2"/>
  <c r="I62" i="2"/>
  <c r="M42" i="2"/>
  <c r="I37" i="3"/>
  <c r="I102" i="3"/>
  <c r="M38" i="3"/>
  <c r="O134" i="4"/>
  <c r="I5" i="4"/>
  <c r="H5" i="4"/>
  <c r="I85" i="4"/>
  <c r="M85" i="4"/>
  <c r="H85" i="4"/>
  <c r="I145" i="4"/>
  <c r="N145" i="4" s="1"/>
  <c r="M145" i="4"/>
  <c r="H25" i="4"/>
  <c r="H101" i="2"/>
  <c r="H125" i="2"/>
  <c r="O125" i="2" s="1"/>
  <c r="I40" i="2"/>
  <c r="I95" i="2"/>
  <c r="I122" i="2"/>
  <c r="M15" i="2"/>
  <c r="M115" i="2"/>
  <c r="H105" i="4"/>
  <c r="M75" i="2"/>
  <c r="H75" i="2"/>
  <c r="H74" i="2"/>
  <c r="H102" i="2"/>
  <c r="I41" i="2"/>
  <c r="H42" i="3"/>
  <c r="I42" i="3"/>
  <c r="M25" i="4"/>
  <c r="M65" i="4"/>
  <c r="I116" i="2"/>
  <c r="H116" i="2"/>
  <c r="I75" i="2"/>
  <c r="I57" i="3"/>
  <c r="H57" i="3"/>
  <c r="O57" i="3" s="1"/>
  <c r="M77" i="3"/>
  <c r="I77" i="3"/>
  <c r="H118" i="3"/>
  <c r="I17" i="3"/>
  <c r="P17" i="3" s="1"/>
  <c r="M157" i="3"/>
  <c r="H13" i="4"/>
  <c r="M13" i="4"/>
  <c r="I13" i="4"/>
  <c r="H33" i="4"/>
  <c r="O33" i="4" s="1"/>
  <c r="I33" i="4"/>
  <c r="O53" i="4"/>
  <c r="H73" i="4"/>
  <c r="I73" i="4"/>
  <c r="M73" i="4"/>
  <c r="O113" i="4"/>
  <c r="O133" i="4"/>
  <c r="H153" i="4"/>
  <c r="I153" i="4"/>
  <c r="H78" i="4"/>
  <c r="I18" i="3"/>
  <c r="M18" i="3"/>
  <c r="I58" i="3"/>
  <c r="H58" i="3"/>
  <c r="I98" i="3"/>
  <c r="M98" i="3"/>
  <c r="I138" i="3"/>
  <c r="H138" i="3"/>
  <c r="I19" i="3"/>
  <c r="M158" i="3"/>
  <c r="M14" i="4"/>
  <c r="I14" i="4"/>
  <c r="M34" i="4"/>
  <c r="H34" i="4"/>
  <c r="M74" i="4"/>
  <c r="I74" i="4"/>
  <c r="M94" i="4"/>
  <c r="H94" i="4"/>
  <c r="M154" i="4"/>
  <c r="H154" i="4"/>
  <c r="I154" i="4"/>
  <c r="H45" i="4"/>
  <c r="I93" i="4"/>
  <c r="M2" i="2"/>
  <c r="I2" i="2"/>
  <c r="M22" i="2"/>
  <c r="I22" i="2"/>
  <c r="N22" i="2" s="1"/>
  <c r="H61" i="2"/>
  <c r="M62" i="2"/>
  <c r="H17" i="3"/>
  <c r="H122" i="3"/>
  <c r="I122" i="3"/>
  <c r="M57" i="3"/>
  <c r="M159" i="3"/>
  <c r="T159" i="3" s="1"/>
  <c r="I58" i="4"/>
  <c r="I94" i="4"/>
  <c r="I133" i="4"/>
  <c r="N133" i="4" s="1"/>
  <c r="M153" i="4"/>
  <c r="M3" i="2"/>
  <c r="I3" i="2"/>
  <c r="M23" i="2"/>
  <c r="I23" i="2"/>
  <c r="M43" i="2"/>
  <c r="I43" i="2"/>
  <c r="M63" i="2"/>
  <c r="T63" i="2" s="1"/>
  <c r="I63" i="2"/>
  <c r="H34" i="2"/>
  <c r="H134" i="2"/>
  <c r="I105" i="2"/>
  <c r="M94" i="2"/>
  <c r="H20" i="3"/>
  <c r="M20" i="3"/>
  <c r="H80" i="3"/>
  <c r="I80" i="3"/>
  <c r="H100" i="3"/>
  <c r="M100" i="3"/>
  <c r="H160" i="3"/>
  <c r="I160" i="3"/>
  <c r="H18" i="3"/>
  <c r="M58" i="3"/>
  <c r="M160" i="3"/>
  <c r="H76" i="4"/>
  <c r="M76" i="4"/>
  <c r="H96" i="4"/>
  <c r="I96" i="4"/>
  <c r="H14" i="4"/>
  <c r="I134" i="4"/>
  <c r="M33" i="4"/>
  <c r="H63" i="2"/>
  <c r="I4" i="2"/>
  <c r="I80" i="2"/>
  <c r="M95" i="2"/>
  <c r="M134" i="2"/>
  <c r="H21" i="3"/>
  <c r="M21" i="3"/>
  <c r="H81" i="3"/>
  <c r="I81" i="3"/>
  <c r="H101" i="3"/>
  <c r="M101" i="3"/>
  <c r="H161" i="3"/>
  <c r="I161" i="3"/>
  <c r="H19" i="3"/>
  <c r="H157" i="3"/>
  <c r="I22" i="3"/>
  <c r="I59" i="3"/>
  <c r="N59" i="3" s="1"/>
  <c r="M59" i="3"/>
  <c r="M161" i="3"/>
  <c r="H17" i="4"/>
  <c r="I17" i="4"/>
  <c r="M17" i="4"/>
  <c r="H37" i="4"/>
  <c r="I37" i="4"/>
  <c r="M37" i="4"/>
  <c r="H77" i="4"/>
  <c r="M77" i="4"/>
  <c r="H97" i="4"/>
  <c r="I97" i="4"/>
  <c r="H117" i="4"/>
  <c r="I117" i="4"/>
  <c r="H137" i="4"/>
  <c r="M137" i="4"/>
  <c r="H157" i="4"/>
  <c r="I157" i="4"/>
  <c r="P157" i="4" s="1"/>
  <c r="O82" i="4"/>
  <c r="M36" i="4"/>
  <c r="M125" i="4"/>
  <c r="M157" i="4"/>
  <c r="M5" i="2"/>
  <c r="I5" i="2"/>
  <c r="N5" i="2" s="1"/>
  <c r="M25" i="2"/>
  <c r="I25" i="2"/>
  <c r="N25" i="2" s="1"/>
  <c r="M45" i="2"/>
  <c r="I45" i="2"/>
  <c r="M85" i="2"/>
  <c r="I85" i="2"/>
  <c r="N85" i="2" s="1"/>
  <c r="I81" i="2"/>
  <c r="M2" i="3"/>
  <c r="I2" i="3"/>
  <c r="M62" i="3"/>
  <c r="H62" i="3"/>
  <c r="M82" i="3"/>
  <c r="I82" i="3"/>
  <c r="M142" i="3"/>
  <c r="H142" i="3"/>
  <c r="N142" i="3" s="1"/>
  <c r="M162" i="3"/>
  <c r="I162" i="3"/>
  <c r="H22" i="3"/>
  <c r="H158" i="3"/>
  <c r="M38" i="4"/>
  <c r="I38" i="4"/>
  <c r="N38" i="4" s="1"/>
  <c r="M98" i="4"/>
  <c r="I98" i="4"/>
  <c r="M158" i="4"/>
  <c r="I158" i="4"/>
  <c r="P158" i="4" s="1"/>
  <c r="H158" i="4"/>
  <c r="H18" i="4"/>
  <c r="M5" i="4"/>
  <c r="H31" i="3"/>
  <c r="H111" i="3"/>
  <c r="I12" i="4"/>
  <c r="M12" i="4"/>
  <c r="M73" i="3"/>
  <c r="I8" i="4"/>
  <c r="H8" i="4"/>
  <c r="I48" i="4"/>
  <c r="H48" i="4"/>
  <c r="I68" i="4"/>
  <c r="H68" i="4"/>
  <c r="I88" i="4"/>
  <c r="H88" i="4"/>
  <c r="I108" i="4"/>
  <c r="H108" i="4"/>
  <c r="I128" i="4"/>
  <c r="H128" i="4"/>
  <c r="I148" i="4"/>
  <c r="H148" i="4"/>
  <c r="I168" i="4"/>
  <c r="H168" i="4"/>
  <c r="M108" i="4"/>
  <c r="M168" i="4"/>
  <c r="H33" i="3"/>
  <c r="H113" i="3"/>
  <c r="I51" i="3"/>
  <c r="I131" i="3"/>
  <c r="M74" i="3"/>
  <c r="M153" i="3"/>
  <c r="I9" i="4"/>
  <c r="H9" i="4"/>
  <c r="I29" i="4"/>
  <c r="H29" i="4"/>
  <c r="I49" i="4"/>
  <c r="H49" i="4"/>
  <c r="I69" i="4"/>
  <c r="H69" i="4"/>
  <c r="I89" i="4"/>
  <c r="H89" i="4"/>
  <c r="I109" i="4"/>
  <c r="H109" i="4"/>
  <c r="I129" i="4"/>
  <c r="H129" i="4"/>
  <c r="I149" i="4"/>
  <c r="P149" i="4" s="1"/>
  <c r="H149" i="4"/>
  <c r="H150" i="4"/>
  <c r="M48" i="4"/>
  <c r="T48" i="4" s="1"/>
  <c r="M109" i="4"/>
  <c r="H34" i="3"/>
  <c r="H114" i="3"/>
  <c r="M154" i="3"/>
  <c r="N10" i="4"/>
  <c r="H30" i="4"/>
  <c r="H90" i="4"/>
  <c r="M49" i="4"/>
  <c r="M110" i="4"/>
  <c r="M50" i="4"/>
  <c r="I16" i="3"/>
  <c r="H16" i="3"/>
  <c r="I36" i="3"/>
  <c r="H36" i="3"/>
  <c r="I56" i="3"/>
  <c r="H56" i="3"/>
  <c r="I76" i="3"/>
  <c r="H76" i="3"/>
  <c r="I96" i="3"/>
  <c r="P96" i="3" s="1"/>
  <c r="H96" i="3"/>
  <c r="I116" i="3"/>
  <c r="H116" i="3"/>
  <c r="I136" i="3"/>
  <c r="H136" i="3"/>
  <c r="I156" i="3"/>
  <c r="H156" i="3"/>
  <c r="M156" i="3"/>
  <c r="I132" i="4"/>
  <c r="M112" i="4"/>
  <c r="M15" i="4"/>
  <c r="M35" i="4"/>
  <c r="M55" i="4"/>
  <c r="M75" i="4"/>
  <c r="M95" i="4"/>
  <c r="T95" i="4" s="1"/>
  <c r="M115" i="4"/>
  <c r="M135" i="4"/>
  <c r="M155" i="4"/>
  <c r="N16" i="4"/>
  <c r="X7" i="4"/>
  <c r="X72" i="3"/>
  <c r="W25" i="2"/>
  <c r="W13" i="2"/>
  <c r="T128" i="4"/>
  <c r="T120" i="4"/>
  <c r="T114" i="4"/>
  <c r="P131" i="4"/>
  <c r="O38" i="4"/>
  <c r="O36" i="4"/>
  <c r="P112" i="3"/>
  <c r="N48" i="3"/>
  <c r="O27" i="3"/>
  <c r="T102" i="2"/>
  <c r="T14" i="2"/>
  <c r="P33" i="2"/>
  <c r="A2" i="15" a="1"/>
  <c r="A2" i="15" s="1"/>
  <c r="N112" i="4" l="1"/>
  <c r="N55" i="3"/>
  <c r="N165" i="4"/>
  <c r="N42" i="2"/>
  <c r="N82" i="4"/>
  <c r="N167" i="4"/>
  <c r="O167" i="4"/>
  <c r="N55" i="4"/>
  <c r="P115" i="4"/>
  <c r="N115" i="4"/>
  <c r="N163" i="3"/>
  <c r="N133" i="3"/>
  <c r="O153" i="3"/>
  <c r="N160" i="4"/>
  <c r="N35" i="3"/>
  <c r="N39" i="3"/>
  <c r="N132" i="2"/>
  <c r="N28" i="2"/>
  <c r="N135" i="3"/>
  <c r="N162" i="4"/>
  <c r="O32" i="3"/>
  <c r="O54" i="2"/>
  <c r="N119" i="4"/>
  <c r="N75" i="3"/>
  <c r="P35" i="2"/>
  <c r="N156" i="4"/>
  <c r="N27" i="4"/>
  <c r="N130" i="3"/>
  <c r="N119" i="3"/>
  <c r="N168" i="3"/>
  <c r="N135" i="4"/>
  <c r="N7" i="3"/>
  <c r="N139" i="4"/>
  <c r="N11" i="4"/>
  <c r="N132" i="3"/>
  <c r="N115" i="2"/>
  <c r="N91" i="4"/>
  <c r="O80" i="4"/>
  <c r="N71" i="2"/>
  <c r="N75" i="4"/>
  <c r="N79" i="3"/>
  <c r="N36" i="4"/>
  <c r="N95" i="3"/>
  <c r="N138" i="4"/>
  <c r="O84" i="2"/>
  <c r="N28" i="3"/>
  <c r="O71" i="4"/>
  <c r="N151" i="4"/>
  <c r="N115" i="3"/>
  <c r="N113" i="2"/>
  <c r="N100" i="4"/>
  <c r="N29" i="2"/>
  <c r="N89" i="2"/>
  <c r="P139" i="4"/>
  <c r="N88" i="2"/>
  <c r="N155" i="4"/>
  <c r="O131" i="4"/>
  <c r="N30" i="3"/>
  <c r="N15" i="4"/>
  <c r="N24" i="4"/>
  <c r="N31" i="4"/>
  <c r="N113" i="4"/>
  <c r="N87" i="4"/>
  <c r="N69" i="2"/>
  <c r="N99" i="4"/>
  <c r="N27" i="3"/>
  <c r="N108" i="3"/>
  <c r="N152" i="4"/>
  <c r="N60" i="3"/>
  <c r="N58" i="4"/>
  <c r="N114" i="2"/>
  <c r="N70" i="4"/>
  <c r="O70" i="4"/>
  <c r="O127" i="4"/>
  <c r="N92" i="2"/>
  <c r="N117" i="3"/>
  <c r="N154" i="3"/>
  <c r="N44" i="2"/>
  <c r="N6" i="3"/>
  <c r="N104" i="3"/>
  <c r="N136" i="4"/>
  <c r="N139" i="3"/>
  <c r="N68" i="2"/>
  <c r="N3" i="4"/>
  <c r="N144" i="4"/>
  <c r="N116" i="4"/>
  <c r="P116" i="4"/>
  <c r="N110" i="4"/>
  <c r="N61" i="3"/>
  <c r="O119" i="3"/>
  <c r="N2" i="4"/>
  <c r="N14" i="2"/>
  <c r="N159" i="3"/>
  <c r="N53" i="4"/>
  <c r="O69" i="2"/>
  <c r="N93" i="3"/>
  <c r="O93" i="3"/>
  <c r="N128" i="2"/>
  <c r="P147" i="4"/>
  <c r="N147" i="4"/>
  <c r="N22" i="4"/>
  <c r="N54" i="4"/>
  <c r="N12" i="2"/>
  <c r="N49" i="2"/>
  <c r="N52" i="4"/>
  <c r="N124" i="2"/>
  <c r="O124" i="2"/>
  <c r="N140" i="4"/>
  <c r="N89" i="4"/>
  <c r="N111" i="2"/>
  <c r="O134" i="3"/>
  <c r="N134" i="3"/>
  <c r="O142" i="4"/>
  <c r="N90" i="3"/>
  <c r="P39" i="3"/>
  <c r="N38" i="3"/>
  <c r="N23" i="4"/>
  <c r="N86" i="2"/>
  <c r="N104" i="4"/>
  <c r="N51" i="4"/>
  <c r="N125" i="4"/>
  <c r="N129" i="2"/>
  <c r="O129" i="2"/>
  <c r="N110" i="3"/>
  <c r="O110" i="3"/>
  <c r="O24" i="2"/>
  <c r="N24" i="2"/>
  <c r="N95" i="4"/>
  <c r="N44" i="4"/>
  <c r="O7" i="4"/>
  <c r="N7" i="4"/>
  <c r="O54" i="3"/>
  <c r="N54" i="3"/>
  <c r="N19" i="4"/>
  <c r="P12" i="3"/>
  <c r="N12" i="3"/>
  <c r="N72" i="3"/>
  <c r="N20" i="4"/>
  <c r="N15" i="3"/>
  <c r="O15" i="3"/>
  <c r="O20" i="4"/>
  <c r="N143" i="4"/>
  <c r="B42" i="1" a="1"/>
  <c r="B42" i="1" s="1"/>
  <c r="S41" i="1" a="1"/>
  <c r="S41" i="1" s="1"/>
  <c r="O53" i="3"/>
  <c r="N53" i="3"/>
  <c r="N94" i="3"/>
  <c r="O94" i="3"/>
  <c r="N56" i="4"/>
  <c r="P56" i="4"/>
  <c r="N82" i="2"/>
  <c r="O82" i="2"/>
  <c r="N62" i="4"/>
  <c r="O62" i="4"/>
  <c r="O91" i="2"/>
  <c r="N91" i="2"/>
  <c r="N32" i="2"/>
  <c r="O32" i="2"/>
  <c r="O4" i="4"/>
  <c r="N4" i="4"/>
  <c r="N51" i="2"/>
  <c r="O51" i="2"/>
  <c r="O47" i="3"/>
  <c r="N47" i="3"/>
  <c r="O40" i="3"/>
  <c r="N40" i="3"/>
  <c r="G40" i="1" a="1"/>
  <c r="G40" i="1" s="1"/>
  <c r="N107" i="4"/>
  <c r="N32" i="4"/>
  <c r="P32" i="4"/>
  <c r="N65" i="2"/>
  <c r="O65" i="2"/>
  <c r="O42" i="4"/>
  <c r="N42" i="4"/>
  <c r="N60" i="4"/>
  <c r="O60" i="4"/>
  <c r="N60" i="2"/>
  <c r="P60" i="2"/>
  <c r="N55" i="2"/>
  <c r="P55" i="2"/>
  <c r="O103" i="4"/>
  <c r="N103" i="4"/>
  <c r="N121" i="2"/>
  <c r="O121" i="2"/>
  <c r="N90" i="2"/>
  <c r="P90" i="2"/>
  <c r="N9" i="2"/>
  <c r="N11" i="3"/>
  <c r="O11" i="3"/>
  <c r="N167" i="3"/>
  <c r="P167" i="3"/>
  <c r="N99" i="3"/>
  <c r="P99" i="3"/>
  <c r="N43" i="4"/>
  <c r="O43" i="4"/>
  <c r="N163" i="4"/>
  <c r="O163" i="4"/>
  <c r="N67" i="4"/>
  <c r="O67" i="4"/>
  <c r="O52" i="3"/>
  <c r="N52" i="3"/>
  <c r="N155" i="3"/>
  <c r="O155" i="3"/>
  <c r="P124" i="4"/>
  <c r="N124" i="4"/>
  <c r="N123" i="2"/>
  <c r="O123" i="2"/>
  <c r="P57" i="4"/>
  <c r="N57" i="4"/>
  <c r="N8" i="2"/>
  <c r="N74" i="3"/>
  <c r="O74" i="3"/>
  <c r="O93" i="2"/>
  <c r="N93" i="2"/>
  <c r="N131" i="2"/>
  <c r="O131" i="2"/>
  <c r="N78" i="3"/>
  <c r="O78" i="3"/>
  <c r="N152" i="3"/>
  <c r="O152" i="3"/>
  <c r="N159" i="4"/>
  <c r="N48" i="2"/>
  <c r="O48" i="2"/>
  <c r="O109" i="2"/>
  <c r="N109" i="2"/>
  <c r="O120" i="2"/>
  <c r="N120" i="2"/>
  <c r="N123" i="4"/>
  <c r="O41" i="3"/>
  <c r="N41" i="3"/>
  <c r="N50" i="4"/>
  <c r="O50" i="4"/>
  <c r="N84" i="4"/>
  <c r="N83" i="4"/>
  <c r="O83" i="4"/>
  <c r="N121" i="3"/>
  <c r="O147" i="3"/>
  <c r="N147" i="3"/>
  <c r="N112" i="2"/>
  <c r="N150" i="3"/>
  <c r="O150" i="3"/>
  <c r="N31" i="2"/>
  <c r="O31" i="2"/>
  <c r="N100" i="2"/>
  <c r="O100" i="2"/>
  <c r="O88" i="3"/>
  <c r="N88" i="3"/>
  <c r="N111" i="4"/>
  <c r="O72" i="3"/>
  <c r="N64" i="3"/>
  <c r="O148" i="3"/>
  <c r="N148" i="3"/>
  <c r="O130" i="4"/>
  <c r="N130" i="4"/>
  <c r="N91" i="3"/>
  <c r="O91" i="3"/>
  <c r="N64" i="4"/>
  <c r="O64" i="4"/>
  <c r="O140" i="3"/>
  <c r="N140" i="3"/>
  <c r="O71" i="3"/>
  <c r="N71" i="3"/>
  <c r="N10" i="3"/>
  <c r="O10" i="3"/>
  <c r="N79" i="4"/>
  <c r="O79" i="4"/>
  <c r="N164" i="4"/>
  <c r="N118" i="4"/>
  <c r="N59" i="4"/>
  <c r="O59" i="4"/>
  <c r="N20" i="2"/>
  <c r="O20" i="2"/>
  <c r="N122" i="4"/>
  <c r="N65" i="4"/>
  <c r="O65" i="4"/>
  <c r="O127" i="3"/>
  <c r="N127" i="3"/>
  <c r="N103" i="2"/>
  <c r="O103" i="2"/>
  <c r="N107" i="3"/>
  <c r="O107" i="3"/>
  <c r="N21" i="2"/>
  <c r="N120" i="3"/>
  <c r="O120" i="3"/>
  <c r="N81" i="2"/>
  <c r="N11" i="2"/>
  <c r="N8" i="3"/>
  <c r="O8" i="3"/>
  <c r="P87" i="3"/>
  <c r="N87" i="3"/>
  <c r="N40" i="4"/>
  <c r="P92" i="4"/>
  <c r="N92" i="4"/>
  <c r="P121" i="3"/>
  <c r="N151" i="3"/>
  <c r="O151" i="3"/>
  <c r="N102" i="4"/>
  <c r="O102" i="4"/>
  <c r="O104" i="2"/>
  <c r="N104" i="2"/>
  <c r="O120" i="4"/>
  <c r="N120" i="4"/>
  <c r="N83" i="2"/>
  <c r="O73" i="3"/>
  <c r="N73" i="3"/>
  <c r="N92" i="3"/>
  <c r="O92" i="3"/>
  <c r="O97" i="3"/>
  <c r="N97" i="3"/>
  <c r="N108" i="2"/>
  <c r="N72" i="2"/>
  <c r="N39" i="4"/>
  <c r="R49" i="1" a="1"/>
  <c r="R49" i="1" s="1"/>
  <c r="N114" i="4"/>
  <c r="N13" i="3"/>
  <c r="O13" i="3"/>
  <c r="N128" i="3"/>
  <c r="O128" i="3"/>
  <c r="N141" i="3"/>
  <c r="O141" i="3"/>
  <c r="O64" i="2"/>
  <c r="N64" i="2"/>
  <c r="O67" i="3"/>
  <c r="N67" i="3"/>
  <c r="B11" i="1" a="1"/>
  <c r="B11" i="1" s="1"/>
  <c r="N63" i="4"/>
  <c r="S47" i="1" a="1"/>
  <c r="S47" i="1" s="1"/>
  <c r="B34" i="1" a="1"/>
  <c r="B34" i="1" s="1"/>
  <c r="G51" i="1" a="1"/>
  <c r="G51" i="1" s="1"/>
  <c r="O13" i="2"/>
  <c r="G41" i="1" a="1"/>
  <c r="G41" i="1" s="1"/>
  <c r="F48" i="1" a="1"/>
  <c r="F48" i="1" s="1"/>
  <c r="G45" i="1" a="1"/>
  <c r="G45" i="1" s="1"/>
  <c r="F41" i="1" a="1"/>
  <c r="F41" i="1" s="1"/>
  <c r="C13" i="1" a="1"/>
  <c r="C13" i="1" s="1"/>
  <c r="N70" i="3"/>
  <c r="O70" i="3"/>
  <c r="G52" i="1" a="1"/>
  <c r="G52" i="1" s="1"/>
  <c r="B21" i="1" a="1"/>
  <c r="B21" i="1" s="1"/>
  <c r="B5" i="1" a="1"/>
  <c r="B5" i="1" s="1"/>
  <c r="N68" i="3"/>
  <c r="O68" i="3"/>
  <c r="B52" i="1" a="1"/>
  <c r="B52" i="1" s="1"/>
  <c r="N15" i="2"/>
  <c r="P15" i="2"/>
  <c r="N52" i="2"/>
  <c r="O52" i="2"/>
  <c r="R51" i="1" a="1"/>
  <c r="R51" i="1" s="1"/>
  <c r="C51" i="1" a="1"/>
  <c r="C51" i="1" s="1"/>
  <c r="O47" i="4"/>
  <c r="N47" i="4"/>
  <c r="G46" i="1" a="1"/>
  <c r="G46" i="1" s="1"/>
  <c r="G39" i="1" a="1"/>
  <c r="G39" i="1" s="1"/>
  <c r="O36" i="3"/>
  <c r="N114" i="3"/>
  <c r="O114" i="3"/>
  <c r="P51" i="3"/>
  <c r="N51" i="3"/>
  <c r="O48" i="4"/>
  <c r="N48" i="4"/>
  <c r="F47" i="1" a="1"/>
  <c r="F47" i="1" s="1"/>
  <c r="T62" i="3"/>
  <c r="N157" i="4"/>
  <c r="O157" i="4"/>
  <c r="N19" i="3"/>
  <c r="O19" i="3"/>
  <c r="N14" i="4"/>
  <c r="O14" i="4"/>
  <c r="N20" i="3"/>
  <c r="O20" i="3"/>
  <c r="N154" i="4"/>
  <c r="O154" i="4"/>
  <c r="P58" i="3"/>
  <c r="P116" i="2"/>
  <c r="N101" i="2"/>
  <c r="O101" i="2"/>
  <c r="O122" i="2"/>
  <c r="N122" i="2"/>
  <c r="S42" i="1" a="1"/>
  <c r="S42" i="1" s="1"/>
  <c r="N161" i="4"/>
  <c r="O161" i="4"/>
  <c r="T21" i="4"/>
  <c r="C16" i="1" a="1"/>
  <c r="C16" i="1" s="1"/>
  <c r="P56" i="2"/>
  <c r="C22" i="1" a="1"/>
  <c r="C22" i="1" s="1"/>
  <c r="T89" i="3"/>
  <c r="N106" i="3"/>
  <c r="O106" i="3"/>
  <c r="T165" i="3"/>
  <c r="N5" i="3"/>
  <c r="P5" i="3"/>
  <c r="P66" i="4"/>
  <c r="P123" i="3"/>
  <c r="O39" i="2"/>
  <c r="N39" i="2"/>
  <c r="O38" i="2"/>
  <c r="N38" i="2"/>
  <c r="T6" i="2"/>
  <c r="N7" i="2"/>
  <c r="O7" i="2"/>
  <c r="N40" i="2"/>
  <c r="P40" i="2"/>
  <c r="C45" i="1" a="1"/>
  <c r="C45" i="1" s="1"/>
  <c r="O62" i="3"/>
  <c r="N62" i="3"/>
  <c r="N58" i="3"/>
  <c r="T5" i="3"/>
  <c r="P38" i="2"/>
  <c r="P48" i="4"/>
  <c r="G33" i="1" a="1"/>
  <c r="G33" i="1" s="1"/>
  <c r="F27" i="1" a="1"/>
  <c r="F27" i="1" s="1"/>
  <c r="G32" i="1" a="1"/>
  <c r="G32" i="1" s="1"/>
  <c r="F26" i="1" a="1"/>
  <c r="F26" i="1" s="1"/>
  <c r="G31" i="1" a="1"/>
  <c r="G31" i="1" s="1"/>
  <c r="F25" i="1" a="1"/>
  <c r="F25" i="1" s="1"/>
  <c r="G30" i="1" a="1"/>
  <c r="G30" i="1" s="1"/>
  <c r="F24" i="1" a="1"/>
  <c r="F24" i="1" s="1"/>
  <c r="G29" i="1" a="1"/>
  <c r="G29" i="1" s="1"/>
  <c r="F23" i="1" a="1"/>
  <c r="F23" i="1" s="1"/>
  <c r="G28" i="1" a="1"/>
  <c r="G28" i="1" s="1"/>
  <c r="F22" i="1" a="1"/>
  <c r="F22" i="1" s="1"/>
  <c r="G27" i="1" a="1"/>
  <c r="G27" i="1" s="1"/>
  <c r="F21" i="1" a="1"/>
  <c r="F21" i="1" s="1"/>
  <c r="G26" i="1" a="1"/>
  <c r="G26" i="1" s="1"/>
  <c r="G25" i="1" a="1"/>
  <c r="G25" i="1" s="1"/>
  <c r="G24" i="1" a="1"/>
  <c r="G24" i="1" s="1"/>
  <c r="F29" i="1" a="1"/>
  <c r="F29" i="1" s="1"/>
  <c r="F28" i="1" a="1"/>
  <c r="F28" i="1" s="1"/>
  <c r="G34" i="1" a="1"/>
  <c r="G34" i="1" s="1"/>
  <c r="F32" i="1" a="1"/>
  <c r="F32" i="1" s="1"/>
  <c r="G23" i="1" a="1"/>
  <c r="G23" i="1" s="1"/>
  <c r="G22" i="1" a="1"/>
  <c r="G22" i="1" s="1"/>
  <c r="G21" i="1" a="1"/>
  <c r="G21" i="1" s="1"/>
  <c r="F34" i="1" a="1"/>
  <c r="F34" i="1" s="1"/>
  <c r="F33" i="1" a="1"/>
  <c r="F33" i="1" s="1"/>
  <c r="F31" i="1" a="1"/>
  <c r="F31" i="1" s="1"/>
  <c r="F30" i="1" a="1"/>
  <c r="F30" i="1" s="1"/>
  <c r="P2" i="3"/>
  <c r="P161" i="3"/>
  <c r="P33" i="4"/>
  <c r="T65" i="4"/>
  <c r="S43" i="1" a="1"/>
  <c r="S43" i="1" s="1"/>
  <c r="R52" i="1" a="1"/>
  <c r="R52" i="1" s="1"/>
  <c r="P161" i="4"/>
  <c r="B9" i="1" a="1"/>
  <c r="B9" i="1" s="1"/>
  <c r="B12" i="1" a="1"/>
  <c r="B12" i="1" s="1"/>
  <c r="T104" i="3"/>
  <c r="P16" i="2"/>
  <c r="N2" i="3"/>
  <c r="C23" i="1" a="1"/>
  <c r="C23" i="1" s="1"/>
  <c r="O69" i="3"/>
  <c r="P106" i="3"/>
  <c r="O165" i="3"/>
  <c r="N165" i="3"/>
  <c r="O5" i="3"/>
  <c r="N46" i="4"/>
  <c r="O46" i="4"/>
  <c r="T123" i="3"/>
  <c r="P99" i="2"/>
  <c r="T19" i="2"/>
  <c r="T18" i="2"/>
  <c r="N126" i="2"/>
  <c r="P126" i="2"/>
  <c r="P6" i="2"/>
  <c r="B7" i="1" a="1"/>
  <c r="B7" i="1" s="1"/>
  <c r="P7" i="2"/>
  <c r="T74" i="3"/>
  <c r="N36" i="3"/>
  <c r="P36" i="3"/>
  <c r="T94" i="2"/>
  <c r="T154" i="4"/>
  <c r="T112" i="4"/>
  <c r="N16" i="3"/>
  <c r="O16" i="3"/>
  <c r="N113" i="3"/>
  <c r="O113" i="3"/>
  <c r="O8" i="4"/>
  <c r="T5" i="4"/>
  <c r="S27" i="1" a="1"/>
  <c r="S27" i="1" s="1"/>
  <c r="R22" i="1" a="1"/>
  <c r="R22" i="1" s="1"/>
  <c r="S26" i="1" a="1"/>
  <c r="S26" i="1" s="1"/>
  <c r="R21" i="1" a="1"/>
  <c r="R21" i="1" s="1"/>
  <c r="S25" i="1" a="1"/>
  <c r="S25" i="1" s="1"/>
  <c r="S24" i="1" a="1"/>
  <c r="S24" i="1" s="1"/>
  <c r="S23" i="1" a="1"/>
  <c r="S23" i="1" s="1"/>
  <c r="S22" i="1" a="1"/>
  <c r="S22" i="1" s="1"/>
  <c r="S21" i="1" a="1"/>
  <c r="S21" i="1" s="1"/>
  <c r="R34" i="1" a="1"/>
  <c r="R34" i="1" s="1"/>
  <c r="R33" i="1" a="1"/>
  <c r="R33" i="1" s="1"/>
  <c r="R32" i="1" a="1"/>
  <c r="R32" i="1" s="1"/>
  <c r="S34" i="1" a="1"/>
  <c r="S34" i="1" s="1"/>
  <c r="R26" i="1" a="1"/>
  <c r="R26" i="1" s="1"/>
  <c r="R25" i="1" a="1"/>
  <c r="R25" i="1" s="1"/>
  <c r="R24" i="1" a="1"/>
  <c r="R24" i="1" s="1"/>
  <c r="R23" i="1" a="1"/>
  <c r="R23" i="1" s="1"/>
  <c r="S32" i="1" a="1"/>
  <c r="S32" i="1" s="1"/>
  <c r="S31" i="1" a="1"/>
  <c r="S31" i="1" s="1"/>
  <c r="R29" i="1" a="1"/>
  <c r="R29" i="1" s="1"/>
  <c r="S30" i="1" a="1"/>
  <c r="S30" i="1" s="1"/>
  <c r="S29" i="1" a="1"/>
  <c r="S29" i="1" s="1"/>
  <c r="S28" i="1" a="1"/>
  <c r="S28" i="1" s="1"/>
  <c r="R31" i="1" a="1"/>
  <c r="R31" i="1" s="1"/>
  <c r="R30" i="1" a="1"/>
  <c r="R30" i="1" s="1"/>
  <c r="R28" i="1" a="1"/>
  <c r="R28" i="1" s="1"/>
  <c r="R27" i="1" a="1"/>
  <c r="R27" i="1" s="1"/>
  <c r="S33" i="1" a="1"/>
  <c r="S33" i="1" s="1"/>
  <c r="T2" i="3"/>
  <c r="N137" i="4"/>
  <c r="O137" i="4"/>
  <c r="O161" i="3"/>
  <c r="N161" i="3"/>
  <c r="P105" i="2"/>
  <c r="N105" i="2"/>
  <c r="T18" i="3"/>
  <c r="N33" i="4"/>
  <c r="T25" i="4"/>
  <c r="N10" i="2"/>
  <c r="P10" i="2"/>
  <c r="S44" i="1" a="1"/>
  <c r="S44" i="1" s="1"/>
  <c r="S39" i="1" a="1"/>
  <c r="S39" i="1" s="1"/>
  <c r="T161" i="4"/>
  <c r="B10" i="1" a="1"/>
  <c r="B10" i="1" s="1"/>
  <c r="B13" i="1" a="1"/>
  <c r="B13" i="1" s="1"/>
  <c r="T144" i="3"/>
  <c r="T16" i="2"/>
  <c r="C24" i="1" a="1"/>
  <c r="C24" i="1" s="1"/>
  <c r="N69" i="3"/>
  <c r="P69" i="3"/>
  <c r="T106" i="3"/>
  <c r="T145" i="3"/>
  <c r="T46" i="4"/>
  <c r="O123" i="3"/>
  <c r="N123" i="3"/>
  <c r="N19" i="2"/>
  <c r="O19" i="2"/>
  <c r="P18" i="2"/>
  <c r="O126" i="2"/>
  <c r="N68" i="4"/>
  <c r="O68" i="4"/>
  <c r="P22" i="3"/>
  <c r="T41" i="4"/>
  <c r="C46" i="1" a="1"/>
  <c r="C46" i="1" s="1"/>
  <c r="F51" i="1" a="1"/>
  <c r="F51" i="1" s="1"/>
  <c r="O94" i="2"/>
  <c r="N94" i="2"/>
  <c r="N132" i="4"/>
  <c r="P132" i="4"/>
  <c r="P16" i="3"/>
  <c r="T109" i="4"/>
  <c r="N129" i="4"/>
  <c r="O129" i="4"/>
  <c r="N33" i="3"/>
  <c r="O33" i="3"/>
  <c r="N8" i="4"/>
  <c r="P8" i="4"/>
  <c r="N18" i="4"/>
  <c r="O18" i="4"/>
  <c r="P81" i="2"/>
  <c r="P117" i="4"/>
  <c r="T101" i="3"/>
  <c r="P96" i="4"/>
  <c r="T57" i="3"/>
  <c r="N94" i="4"/>
  <c r="O94" i="4"/>
  <c r="P18" i="3"/>
  <c r="P13" i="4"/>
  <c r="O25" i="4"/>
  <c r="N25" i="4"/>
  <c r="O30" i="2"/>
  <c r="N30" i="2"/>
  <c r="R41" i="1" a="1"/>
  <c r="R41" i="1" s="1"/>
  <c r="S40" i="1" a="1"/>
  <c r="S40" i="1" s="1"/>
  <c r="O141" i="4"/>
  <c r="N141" i="4"/>
  <c r="C10" i="1" a="1"/>
  <c r="C10" i="1" s="1"/>
  <c r="C3" i="1" a="1"/>
  <c r="C3" i="1" s="1"/>
  <c r="B14" i="1" a="1"/>
  <c r="B14" i="1" s="1"/>
  <c r="O144" i="3"/>
  <c r="O16" i="2"/>
  <c r="N16" i="2"/>
  <c r="B27" i="1" a="1"/>
  <c r="B27" i="1" s="1"/>
  <c r="C25" i="1" a="1"/>
  <c r="C25" i="1" s="1"/>
  <c r="T69" i="3"/>
  <c r="P86" i="3"/>
  <c r="O145" i="3"/>
  <c r="N145" i="3"/>
  <c r="P46" i="4"/>
  <c r="P103" i="3"/>
  <c r="N18" i="2"/>
  <c r="O18" i="2"/>
  <c r="T126" i="2"/>
  <c r="O117" i="2"/>
  <c r="N117" i="2"/>
  <c r="T39" i="2"/>
  <c r="P134" i="4"/>
  <c r="P89" i="3"/>
  <c r="F39" i="1" a="1"/>
  <c r="F39" i="1" s="1"/>
  <c r="T50" i="4"/>
  <c r="P129" i="4"/>
  <c r="T73" i="3"/>
  <c r="O158" i="4"/>
  <c r="N158" i="4"/>
  <c r="N117" i="4"/>
  <c r="O117" i="4"/>
  <c r="O101" i="3"/>
  <c r="N101" i="3"/>
  <c r="N96" i="4"/>
  <c r="O96" i="4"/>
  <c r="N134" i="2"/>
  <c r="O134" i="2"/>
  <c r="T94" i="4"/>
  <c r="T13" i="4"/>
  <c r="P42" i="3"/>
  <c r="T145" i="4"/>
  <c r="S45" i="1" a="1"/>
  <c r="S45" i="1" s="1"/>
  <c r="P141" i="4"/>
  <c r="P44" i="3"/>
  <c r="C4" i="1" a="1"/>
  <c r="C4" i="1" s="1"/>
  <c r="B15" i="1" a="1"/>
  <c r="B15" i="1" s="1"/>
  <c r="O124" i="3"/>
  <c r="N124" i="3"/>
  <c r="B28" i="1" a="1"/>
  <c r="B28" i="1" s="1"/>
  <c r="C26" i="1" a="1"/>
  <c r="C26" i="1" s="1"/>
  <c r="N49" i="3"/>
  <c r="O49" i="3"/>
  <c r="N86" i="3"/>
  <c r="O86" i="3"/>
  <c r="P125" i="3"/>
  <c r="O166" i="4"/>
  <c r="N166" i="4"/>
  <c r="T26" i="4"/>
  <c r="T103" i="3"/>
  <c r="N106" i="2"/>
  <c r="O106" i="2"/>
  <c r="P117" i="2"/>
  <c r="P76" i="2"/>
  <c r="T38" i="2"/>
  <c r="F40" i="1" a="1"/>
  <c r="F40" i="1" s="1"/>
  <c r="O149" i="4"/>
  <c r="N149" i="4"/>
  <c r="T137" i="4"/>
  <c r="O150" i="4"/>
  <c r="N150" i="4"/>
  <c r="O34" i="2"/>
  <c r="N34" i="2"/>
  <c r="N13" i="4"/>
  <c r="O13" i="4"/>
  <c r="O42" i="3"/>
  <c r="N42" i="3"/>
  <c r="P145" i="4"/>
  <c r="S46" i="1" a="1"/>
  <c r="S46" i="1" s="1"/>
  <c r="T70" i="2"/>
  <c r="T141" i="4"/>
  <c r="C7" i="1" a="1"/>
  <c r="C7" i="1" s="1"/>
  <c r="C5" i="1" a="1"/>
  <c r="C5" i="1" s="1"/>
  <c r="P124" i="3"/>
  <c r="P145" i="3"/>
  <c r="B29" i="1" a="1"/>
  <c r="B29" i="1" s="1"/>
  <c r="P49" i="3"/>
  <c r="T166" i="4"/>
  <c r="O26" i="4"/>
  <c r="N103" i="3"/>
  <c r="O103" i="3"/>
  <c r="T106" i="2"/>
  <c r="T87" i="2"/>
  <c r="T117" i="2"/>
  <c r="P127" i="2"/>
  <c r="O146" i="3"/>
  <c r="N146" i="3"/>
  <c r="O25" i="3"/>
  <c r="N25" i="3"/>
  <c r="N3" i="3"/>
  <c r="O3" i="3"/>
  <c r="P56" i="3"/>
  <c r="P68" i="4"/>
  <c r="P154" i="4"/>
  <c r="O56" i="2"/>
  <c r="N56" i="2"/>
  <c r="T146" i="3"/>
  <c r="T7" i="2"/>
  <c r="B49" i="1" a="1"/>
  <c r="B49" i="1" s="1"/>
  <c r="T168" i="4"/>
  <c r="N97" i="4"/>
  <c r="O97" i="4"/>
  <c r="O81" i="3"/>
  <c r="N81" i="3"/>
  <c r="N76" i="4"/>
  <c r="O76" i="4"/>
  <c r="T157" i="3"/>
  <c r="O85" i="4"/>
  <c r="N85" i="4"/>
  <c r="N121" i="4"/>
  <c r="O121" i="4"/>
  <c r="C6" i="1" a="1"/>
  <c r="C6" i="1" s="1"/>
  <c r="T124" i="3"/>
  <c r="T65" i="3"/>
  <c r="C32" i="1" a="1"/>
  <c r="C32" i="1" s="1"/>
  <c r="C27" i="1" a="1"/>
  <c r="C27" i="1" s="1"/>
  <c r="T49" i="3"/>
  <c r="P6" i="3"/>
  <c r="P66" i="3"/>
  <c r="N125" i="3"/>
  <c r="O125" i="3"/>
  <c r="P166" i="4"/>
  <c r="N26" i="4"/>
  <c r="P26" i="4"/>
  <c r="N83" i="3"/>
  <c r="P83" i="3"/>
  <c r="T118" i="2"/>
  <c r="P106" i="2"/>
  <c r="N87" i="2"/>
  <c r="O87" i="2"/>
  <c r="N97" i="2"/>
  <c r="O97" i="2"/>
  <c r="O127" i="2"/>
  <c r="N127" i="2"/>
  <c r="N62" i="2"/>
  <c r="P62" i="2"/>
  <c r="T66" i="4"/>
  <c r="G49" i="1" a="1"/>
  <c r="G49" i="1" s="1"/>
  <c r="P97" i="4"/>
  <c r="N74" i="4"/>
  <c r="P74" i="4"/>
  <c r="T158" i="4"/>
  <c r="O122" i="3"/>
  <c r="N122" i="3"/>
  <c r="T130" i="2"/>
  <c r="B51" i="1" a="1"/>
  <c r="B51" i="1" s="1"/>
  <c r="T108" i="4"/>
  <c r="T12" i="4"/>
  <c r="P98" i="4"/>
  <c r="P45" i="2"/>
  <c r="T77" i="4"/>
  <c r="N17" i="3"/>
  <c r="O17" i="3"/>
  <c r="O34" i="4"/>
  <c r="N34" i="4"/>
  <c r="N78" i="4"/>
  <c r="O78" i="4"/>
  <c r="O102" i="2"/>
  <c r="N102" i="2"/>
  <c r="T85" i="4"/>
  <c r="T133" i="2"/>
  <c r="S49" i="1" a="1"/>
  <c r="S49" i="1" s="1"/>
  <c r="N130" i="2"/>
  <c r="P130" i="2"/>
  <c r="P121" i="4"/>
  <c r="T13" i="2"/>
  <c r="C11" i="1" a="1"/>
  <c r="C11" i="1" s="1"/>
  <c r="N44" i="3"/>
  <c r="O44" i="3"/>
  <c r="C33" i="1" a="1"/>
  <c r="C33" i="1" s="1"/>
  <c r="B22" i="1" a="1"/>
  <c r="B22" i="1" s="1"/>
  <c r="P29" i="3"/>
  <c r="N29" i="3"/>
  <c r="O66" i="3"/>
  <c r="N66" i="3"/>
  <c r="P105" i="3"/>
  <c r="O146" i="4"/>
  <c r="N146" i="4"/>
  <c r="N6" i="4"/>
  <c r="O6" i="4"/>
  <c r="O83" i="3"/>
  <c r="T119" i="2"/>
  <c r="P118" i="2"/>
  <c r="P86" i="2"/>
  <c r="P87" i="2"/>
  <c r="P97" i="2"/>
  <c r="T127" i="2"/>
  <c r="P26" i="2"/>
  <c r="B44" i="1" a="1"/>
  <c r="B44" i="1" s="1"/>
  <c r="T156" i="3"/>
  <c r="N109" i="4"/>
  <c r="O109" i="4"/>
  <c r="P81" i="3"/>
  <c r="G42" i="1" a="1"/>
  <c r="G42" i="1" s="1"/>
  <c r="T110" i="4"/>
  <c r="O89" i="4"/>
  <c r="N156" i="3"/>
  <c r="O156" i="3"/>
  <c r="T49" i="4"/>
  <c r="P89" i="4"/>
  <c r="O168" i="4"/>
  <c r="N168" i="4"/>
  <c r="P12" i="4"/>
  <c r="N12" i="4"/>
  <c r="T98" i="4"/>
  <c r="T45" i="2"/>
  <c r="O77" i="4"/>
  <c r="N77" i="4"/>
  <c r="T21" i="3"/>
  <c r="T160" i="3"/>
  <c r="N43" i="2"/>
  <c r="P43" i="2"/>
  <c r="T34" i="4"/>
  <c r="O118" i="3"/>
  <c r="N118" i="3"/>
  <c r="N74" i="2"/>
  <c r="O74" i="2"/>
  <c r="P85" i="4"/>
  <c r="P133" i="2"/>
  <c r="R42" i="1" a="1"/>
  <c r="R42" i="1" s="1"/>
  <c r="N110" i="2"/>
  <c r="O110" i="2"/>
  <c r="T121" i="4"/>
  <c r="N36" i="2"/>
  <c r="P36" i="2"/>
  <c r="N84" i="3"/>
  <c r="P84" i="3"/>
  <c r="C14" i="1" a="1"/>
  <c r="C14" i="1" s="1"/>
  <c r="T44" i="3"/>
  <c r="N144" i="3"/>
  <c r="C34" i="1" a="1"/>
  <c r="C34" i="1" s="1"/>
  <c r="C28" i="1" a="1"/>
  <c r="C28" i="1" s="1"/>
  <c r="T29" i="3"/>
  <c r="T66" i="3"/>
  <c r="O105" i="3"/>
  <c r="N105" i="3"/>
  <c r="T146" i="4"/>
  <c r="T6" i="4"/>
  <c r="T63" i="3"/>
  <c r="P119" i="2"/>
  <c r="O118" i="2"/>
  <c r="N118" i="2"/>
  <c r="T86" i="2"/>
  <c r="T97" i="2"/>
  <c r="N125" i="2"/>
  <c r="C21" i="1" a="1"/>
  <c r="C21" i="1" s="1"/>
  <c r="P38" i="4"/>
  <c r="P25" i="2"/>
  <c r="T37" i="4"/>
  <c r="N21" i="3"/>
  <c r="O21" i="3"/>
  <c r="T58" i="3"/>
  <c r="T43" i="2"/>
  <c r="T62" i="2"/>
  <c r="P14" i="4"/>
  <c r="P153" i="4"/>
  <c r="N75" i="2"/>
  <c r="O75" i="2"/>
  <c r="O5" i="4"/>
  <c r="C50" i="1" a="1"/>
  <c r="C50" i="1" s="1"/>
  <c r="C49" i="1" a="1"/>
  <c r="C49" i="1" s="1"/>
  <c r="C48" i="1" a="1"/>
  <c r="C48" i="1" s="1"/>
  <c r="B50" i="1" a="1"/>
  <c r="B50" i="1" s="1"/>
  <c r="N5" i="4"/>
  <c r="B47" i="1" a="1"/>
  <c r="B47" i="1" s="1"/>
  <c r="B46" i="1" a="1"/>
  <c r="B46" i="1" s="1"/>
  <c r="B48" i="1" a="1"/>
  <c r="B48" i="1" s="1"/>
  <c r="B45" i="1" a="1"/>
  <c r="B45" i="1" s="1"/>
  <c r="B43" i="1" a="1"/>
  <c r="B43" i="1" s="1"/>
  <c r="O73" i="2"/>
  <c r="N73" i="2"/>
  <c r="S48" i="1" a="1"/>
  <c r="S48" i="1" s="1"/>
  <c r="P110" i="2"/>
  <c r="P101" i="4"/>
  <c r="N164" i="3"/>
  <c r="O164" i="3"/>
  <c r="C8" i="1" a="1"/>
  <c r="C8" i="1" s="1"/>
  <c r="N45" i="2"/>
  <c r="T24" i="3"/>
  <c r="B24" i="1" a="1"/>
  <c r="B24" i="1" s="1"/>
  <c r="B23" i="1" a="1"/>
  <c r="B23" i="1" s="1"/>
  <c r="N9" i="3"/>
  <c r="O9" i="3"/>
  <c r="O46" i="3"/>
  <c r="N46" i="3"/>
  <c r="P85" i="3"/>
  <c r="P146" i="4"/>
  <c r="P6" i="4"/>
  <c r="O63" i="3"/>
  <c r="N63" i="3"/>
  <c r="O119" i="2"/>
  <c r="N119" i="2"/>
  <c r="P98" i="2"/>
  <c r="O86" i="2"/>
  <c r="N77" i="2"/>
  <c r="O77" i="2"/>
  <c r="P45" i="3"/>
  <c r="T17" i="2"/>
  <c r="T20" i="3"/>
  <c r="G44" i="1" a="1"/>
  <c r="G44" i="1" s="1"/>
  <c r="P122" i="3"/>
  <c r="T74" i="4"/>
  <c r="C40" i="1" a="1"/>
  <c r="C40" i="1" s="1"/>
  <c r="P69" i="4"/>
  <c r="O148" i="4"/>
  <c r="T38" i="4"/>
  <c r="T25" i="2"/>
  <c r="N37" i="4"/>
  <c r="P37" i="4"/>
  <c r="T134" i="2"/>
  <c r="P23" i="2"/>
  <c r="N23" i="2"/>
  <c r="N61" i="2"/>
  <c r="O61" i="2"/>
  <c r="T14" i="4"/>
  <c r="N153" i="4"/>
  <c r="O153" i="4"/>
  <c r="P77" i="3"/>
  <c r="N77" i="3"/>
  <c r="T75" i="2"/>
  <c r="F45" i="1" a="1"/>
  <c r="F45" i="1" s="1"/>
  <c r="F44" i="1" a="1"/>
  <c r="F44" i="1" s="1"/>
  <c r="P5" i="4"/>
  <c r="T73" i="2"/>
  <c r="R44" i="1" a="1"/>
  <c r="R44" i="1" s="1"/>
  <c r="O70" i="2"/>
  <c r="N70" i="2"/>
  <c r="T101" i="4"/>
  <c r="B16" i="1" a="1"/>
  <c r="B16" i="1" s="1"/>
  <c r="C9" i="1" a="1"/>
  <c r="C9" i="1" s="1"/>
  <c r="N98" i="4"/>
  <c r="P24" i="3"/>
  <c r="B25" i="1" a="1"/>
  <c r="B25" i="1" s="1"/>
  <c r="C29" i="1" a="1"/>
  <c r="C29" i="1" s="1"/>
  <c r="P9" i="3"/>
  <c r="T46" i="3"/>
  <c r="T85" i="3"/>
  <c r="T126" i="4"/>
  <c r="P43" i="3"/>
  <c r="T99" i="2"/>
  <c r="T98" i="2"/>
  <c r="N66" i="2"/>
  <c r="O66" i="2"/>
  <c r="P77" i="2"/>
  <c r="N143" i="3"/>
  <c r="O143" i="3"/>
  <c r="T85" i="2"/>
  <c r="N41" i="2"/>
  <c r="P41" i="2"/>
  <c r="T135" i="4"/>
  <c r="N49" i="4"/>
  <c r="O49" i="4"/>
  <c r="O111" i="3"/>
  <c r="N111" i="3"/>
  <c r="O37" i="4"/>
  <c r="T95" i="2"/>
  <c r="O18" i="3"/>
  <c r="N18" i="3"/>
  <c r="T23" i="2"/>
  <c r="T158" i="3"/>
  <c r="T77" i="3"/>
  <c r="T53" i="2"/>
  <c r="S50" i="1" a="1"/>
  <c r="S50" i="1" s="1"/>
  <c r="P70" i="2"/>
  <c r="O81" i="4"/>
  <c r="N81" i="4"/>
  <c r="C15" i="1" a="1"/>
  <c r="C15" i="1" s="1"/>
  <c r="T4" i="3"/>
  <c r="B26" i="1" a="1"/>
  <c r="B26" i="1" s="1"/>
  <c r="P149" i="3"/>
  <c r="T9" i="3"/>
  <c r="O26" i="3"/>
  <c r="N26" i="3"/>
  <c r="N85" i="3"/>
  <c r="O85" i="3"/>
  <c r="P126" i="4"/>
  <c r="T43" i="3"/>
  <c r="N99" i="2"/>
  <c r="O99" i="2"/>
  <c r="N98" i="2"/>
  <c r="O98" i="2"/>
  <c r="T66" i="2"/>
  <c r="T107" i="2"/>
  <c r="T77" i="2"/>
  <c r="P143" i="3"/>
  <c r="P63" i="2"/>
  <c r="P156" i="3"/>
  <c r="B39" i="1" a="1"/>
  <c r="B39" i="1" s="1"/>
  <c r="P160" i="3"/>
  <c r="N134" i="4"/>
  <c r="P53" i="2"/>
  <c r="N53" i="2"/>
  <c r="O24" i="3"/>
  <c r="N24" i="3"/>
  <c r="B3" i="1" a="1"/>
  <c r="B3" i="1" s="1"/>
  <c r="P4" i="3"/>
  <c r="B30" i="1" a="1"/>
  <c r="B30" i="1" s="1"/>
  <c r="T149" i="3"/>
  <c r="P19" i="2"/>
  <c r="P26" i="3"/>
  <c r="P65" i="3"/>
  <c r="T106" i="4"/>
  <c r="N43" i="3"/>
  <c r="O43" i="3"/>
  <c r="T79" i="2"/>
  <c r="T78" i="2"/>
  <c r="P66" i="2"/>
  <c r="N107" i="2"/>
  <c r="O107" i="2"/>
  <c r="T57" i="2"/>
  <c r="N27" i="2"/>
  <c r="T154" i="3"/>
  <c r="N80" i="3"/>
  <c r="O80" i="3"/>
  <c r="T42" i="2"/>
  <c r="N131" i="3"/>
  <c r="P131" i="3"/>
  <c r="P21" i="4"/>
  <c r="G50" i="1" a="1"/>
  <c r="G50" i="1" s="1"/>
  <c r="P85" i="2"/>
  <c r="T76" i="4"/>
  <c r="T155" i="4"/>
  <c r="P168" i="4"/>
  <c r="O136" i="3"/>
  <c r="N136" i="3"/>
  <c r="O90" i="4"/>
  <c r="P136" i="3"/>
  <c r="P5" i="2"/>
  <c r="O116" i="3"/>
  <c r="O30" i="4"/>
  <c r="N30" i="4"/>
  <c r="N22" i="3"/>
  <c r="O22" i="3"/>
  <c r="P22" i="2"/>
  <c r="O105" i="4"/>
  <c r="N105" i="4"/>
  <c r="R45" i="1" a="1"/>
  <c r="R45" i="1" s="1"/>
  <c r="N50" i="2"/>
  <c r="O50" i="2"/>
  <c r="P81" i="4"/>
  <c r="O58" i="3"/>
  <c r="T75" i="4"/>
  <c r="N116" i="3"/>
  <c r="P116" i="3"/>
  <c r="C42" i="1" a="1"/>
  <c r="C42" i="1" s="1"/>
  <c r="O29" i="4"/>
  <c r="N29" i="4"/>
  <c r="P128" i="4"/>
  <c r="G48" i="1" a="1"/>
  <c r="G48" i="1" s="1"/>
  <c r="N162" i="3"/>
  <c r="P162" i="3"/>
  <c r="T157" i="4"/>
  <c r="P17" i="4"/>
  <c r="N4" i="2"/>
  <c r="P4" i="2"/>
  <c r="O160" i="3"/>
  <c r="N160" i="3"/>
  <c r="T3" i="2"/>
  <c r="T22" i="2"/>
  <c r="P57" i="3"/>
  <c r="O33" i="2"/>
  <c r="S51" i="1" a="1"/>
  <c r="S51" i="1" s="1"/>
  <c r="P50" i="2"/>
  <c r="T81" i="4"/>
  <c r="B4" i="1" a="1"/>
  <c r="B4" i="1" s="1"/>
  <c r="T96" i="2"/>
  <c r="B31" i="1" a="1"/>
  <c r="B31" i="1" s="1"/>
  <c r="N129" i="3"/>
  <c r="O129" i="3"/>
  <c r="T26" i="3"/>
  <c r="N65" i="3"/>
  <c r="O65" i="3"/>
  <c r="O106" i="4"/>
  <c r="N106" i="4"/>
  <c r="P23" i="3"/>
  <c r="P79" i="2"/>
  <c r="P78" i="2"/>
  <c r="T46" i="2"/>
  <c r="P107" i="2"/>
  <c r="N57" i="2"/>
  <c r="O57" i="2"/>
  <c r="P27" i="2"/>
  <c r="T82" i="3"/>
  <c r="N157" i="3"/>
  <c r="O157" i="3"/>
  <c r="O116" i="2"/>
  <c r="N116" i="2"/>
  <c r="N34" i="3"/>
  <c r="O34" i="3"/>
  <c r="G43" i="1" a="1"/>
  <c r="G43" i="1" s="1"/>
  <c r="C39" i="1" a="1"/>
  <c r="C39" i="1" s="1"/>
  <c r="C41" i="1" a="1"/>
  <c r="C41" i="1" s="1"/>
  <c r="N128" i="4"/>
  <c r="O128" i="4"/>
  <c r="T5" i="2"/>
  <c r="T17" i="4"/>
  <c r="P80" i="2"/>
  <c r="N80" i="2"/>
  <c r="P3" i="2"/>
  <c r="N3" i="2"/>
  <c r="P19" i="3"/>
  <c r="N57" i="3"/>
  <c r="B40" i="1" a="1"/>
  <c r="B40" i="1" s="1"/>
  <c r="P29" i="4"/>
  <c r="O108" i="4"/>
  <c r="N108" i="4"/>
  <c r="F52" i="1" a="1"/>
  <c r="F52" i="1" s="1"/>
  <c r="T162" i="3"/>
  <c r="T125" i="4"/>
  <c r="O17" i="4"/>
  <c r="N17" i="4"/>
  <c r="O63" i="2"/>
  <c r="N63" i="2"/>
  <c r="T153" i="4"/>
  <c r="F16" i="1" a="1"/>
  <c r="F16" i="1" s="1"/>
  <c r="F15" i="1" a="1"/>
  <c r="F15" i="1" s="1"/>
  <c r="F14" i="1" a="1"/>
  <c r="F14" i="1" s="1"/>
  <c r="F13" i="1" a="1"/>
  <c r="F13" i="1" s="1"/>
  <c r="G16" i="1" a="1"/>
  <c r="G16" i="1" s="1"/>
  <c r="G15" i="1" a="1"/>
  <c r="G15" i="1" s="1"/>
  <c r="F12" i="1" a="1"/>
  <c r="F12" i="1" s="1"/>
  <c r="G14" i="1" a="1"/>
  <c r="G14" i="1" s="1"/>
  <c r="G13" i="1" a="1"/>
  <c r="G13" i="1" s="1"/>
  <c r="F10" i="1" a="1"/>
  <c r="F10" i="1" s="1"/>
  <c r="G12" i="1" a="1"/>
  <c r="G12" i="1" s="1"/>
  <c r="F9" i="1" a="1"/>
  <c r="F9" i="1" s="1"/>
  <c r="G11" i="1" a="1"/>
  <c r="G11" i="1" s="1"/>
  <c r="F8" i="1" a="1"/>
  <c r="F8" i="1" s="1"/>
  <c r="G3" i="1" a="1"/>
  <c r="G3" i="1" s="1"/>
  <c r="F11" i="1" a="1"/>
  <c r="F11" i="1" s="1"/>
  <c r="F7" i="1" a="1"/>
  <c r="F7" i="1" s="1"/>
  <c r="F6" i="1" a="1"/>
  <c r="F6" i="1" s="1"/>
  <c r="G5" i="1" a="1"/>
  <c r="G5" i="1" s="1"/>
  <c r="G10" i="1" a="1"/>
  <c r="G10" i="1" s="1"/>
  <c r="G8" i="1" a="1"/>
  <c r="G8" i="1" s="1"/>
  <c r="G7" i="1" a="1"/>
  <c r="G7" i="1" s="1"/>
  <c r="G6" i="1" a="1"/>
  <c r="G6" i="1" s="1"/>
  <c r="G4" i="1" a="1"/>
  <c r="G4" i="1" s="1"/>
  <c r="F4" i="1" a="1"/>
  <c r="F4" i="1" s="1"/>
  <c r="F3" i="1" a="1"/>
  <c r="F3" i="1" s="1"/>
  <c r="G9" i="1" a="1"/>
  <c r="G9" i="1" s="1"/>
  <c r="F5" i="1" a="1"/>
  <c r="F5" i="1" s="1"/>
  <c r="N2" i="2"/>
  <c r="P2" i="2"/>
  <c r="O138" i="3"/>
  <c r="N138" i="3"/>
  <c r="P75" i="2"/>
  <c r="T115" i="2"/>
  <c r="T33" i="2"/>
  <c r="R46" i="1" a="1"/>
  <c r="R46" i="1" s="1"/>
  <c r="T50" i="2"/>
  <c r="O61" i="4"/>
  <c r="N61" i="4"/>
  <c r="N21" i="4"/>
  <c r="N96" i="2"/>
  <c r="O96" i="2"/>
  <c r="B32" i="1" a="1"/>
  <c r="B32" i="1" s="1"/>
  <c r="P129" i="3"/>
  <c r="P46" i="3"/>
  <c r="O6" i="3"/>
  <c r="T45" i="3"/>
  <c r="P106" i="4"/>
  <c r="T23" i="3"/>
  <c r="O79" i="2"/>
  <c r="N79" i="2"/>
  <c r="O78" i="2"/>
  <c r="N78" i="2"/>
  <c r="N149" i="3"/>
  <c r="O46" i="2"/>
  <c r="N46" i="2"/>
  <c r="P57" i="2"/>
  <c r="P37" i="2"/>
  <c r="T27" i="2"/>
  <c r="N56" i="3"/>
  <c r="O56" i="3"/>
  <c r="N45" i="4"/>
  <c r="O45" i="4"/>
  <c r="O89" i="3"/>
  <c r="N89" i="3"/>
  <c r="N66" i="4"/>
  <c r="O66" i="4"/>
  <c r="R50" i="1" a="1"/>
  <c r="R50" i="1" s="1"/>
  <c r="P165" i="3"/>
  <c r="N6" i="2"/>
  <c r="O6" i="2"/>
  <c r="F46" i="1" a="1"/>
  <c r="F46" i="1" s="1"/>
  <c r="P109" i="4"/>
  <c r="N133" i="2"/>
  <c r="O133" i="2"/>
  <c r="N69" i="4"/>
  <c r="O69" i="4"/>
  <c r="T115" i="4"/>
  <c r="N148" i="4"/>
  <c r="P148" i="4"/>
  <c r="N158" i="3"/>
  <c r="O158" i="3"/>
  <c r="P49" i="4"/>
  <c r="N31" i="3"/>
  <c r="O31" i="3"/>
  <c r="T55" i="4"/>
  <c r="N96" i="3"/>
  <c r="O96" i="3"/>
  <c r="F43" i="1" a="1"/>
  <c r="F43" i="1" s="1"/>
  <c r="T35" i="4"/>
  <c r="N90" i="4"/>
  <c r="C43" i="1" a="1"/>
  <c r="C43" i="1" s="1"/>
  <c r="N9" i="4"/>
  <c r="O9" i="4"/>
  <c r="P108" i="4"/>
  <c r="F50" i="1" a="1"/>
  <c r="F50" i="1" s="1"/>
  <c r="O142" i="3"/>
  <c r="T36" i="4"/>
  <c r="T161" i="3"/>
  <c r="T100" i="3"/>
  <c r="P133" i="4"/>
  <c r="S7" i="1" a="1"/>
  <c r="S7" i="1" s="1"/>
  <c r="S6" i="1" a="1"/>
  <c r="S6" i="1" s="1"/>
  <c r="S5" i="1" a="1"/>
  <c r="S5" i="1" s="1"/>
  <c r="S4" i="1" a="1"/>
  <c r="S4" i="1" s="1"/>
  <c r="S3" i="1" a="1"/>
  <c r="S3" i="1" s="1"/>
  <c r="R16" i="1" a="1"/>
  <c r="R16" i="1" s="1"/>
  <c r="R15" i="1" a="1"/>
  <c r="R15" i="1" s="1"/>
  <c r="R14" i="1" a="1"/>
  <c r="R14" i="1" s="1"/>
  <c r="R13" i="1" a="1"/>
  <c r="R13" i="1" s="1"/>
  <c r="R12" i="1" a="1"/>
  <c r="R12" i="1" s="1"/>
  <c r="R4" i="1" a="1"/>
  <c r="R4" i="1" s="1"/>
  <c r="R3" i="1" a="1"/>
  <c r="R3" i="1" s="1"/>
  <c r="S16" i="1" a="1"/>
  <c r="S16" i="1" s="1"/>
  <c r="S15" i="1" a="1"/>
  <c r="S15" i="1" s="1"/>
  <c r="S14" i="1" a="1"/>
  <c r="S14" i="1" s="1"/>
  <c r="S10" i="1" a="1"/>
  <c r="S10" i="1" s="1"/>
  <c r="S9" i="1" a="1"/>
  <c r="S9" i="1" s="1"/>
  <c r="R6" i="1" a="1"/>
  <c r="R6" i="1" s="1"/>
  <c r="R7" i="1" a="1"/>
  <c r="R7" i="1" s="1"/>
  <c r="R5" i="1" a="1"/>
  <c r="R5" i="1" s="1"/>
  <c r="S12" i="1" a="1"/>
  <c r="S12" i="1" s="1"/>
  <c r="S11" i="1" a="1"/>
  <c r="S11" i="1" s="1"/>
  <c r="S8" i="1" a="1"/>
  <c r="S8" i="1" s="1"/>
  <c r="R11" i="1" a="1"/>
  <c r="R11" i="1" s="1"/>
  <c r="R10" i="1" a="1"/>
  <c r="R10" i="1" s="1"/>
  <c r="R9" i="1" a="1"/>
  <c r="R9" i="1" s="1"/>
  <c r="R8" i="1" a="1"/>
  <c r="R8" i="1" s="1"/>
  <c r="S13" i="1" a="1"/>
  <c r="S13" i="1" s="1"/>
  <c r="T2" i="2"/>
  <c r="P138" i="3"/>
  <c r="T73" i="4"/>
  <c r="C52" i="1" a="1"/>
  <c r="C52" i="1" s="1"/>
  <c r="T15" i="2"/>
  <c r="T38" i="3"/>
  <c r="R39" i="1" a="1"/>
  <c r="R39" i="1" s="1"/>
  <c r="S52" i="1" a="1"/>
  <c r="S52" i="1" s="1"/>
  <c r="T30" i="2"/>
  <c r="P61" i="4"/>
  <c r="B6" i="1" a="1"/>
  <c r="B6" i="1" s="1"/>
  <c r="P96" i="2"/>
  <c r="B33" i="1" a="1"/>
  <c r="B33" i="1" s="1"/>
  <c r="T129" i="3"/>
  <c r="O166" i="3"/>
  <c r="N166" i="3"/>
  <c r="T6" i="3"/>
  <c r="N45" i="3"/>
  <c r="O45" i="3"/>
  <c r="T86" i="4"/>
  <c r="N23" i="3"/>
  <c r="O23" i="3"/>
  <c r="P59" i="2"/>
  <c r="P58" i="2"/>
  <c r="P46" i="2"/>
  <c r="O67" i="2"/>
  <c r="N67" i="2"/>
  <c r="O37" i="2"/>
  <c r="N37" i="2"/>
  <c r="N47" i="2"/>
  <c r="O47" i="2"/>
  <c r="P102" i="3"/>
  <c r="N102" i="3"/>
  <c r="R40" i="1" a="1"/>
  <c r="R40" i="1" s="1"/>
  <c r="R47" i="1" a="1"/>
  <c r="R47" i="1" s="1"/>
  <c r="P30" i="2"/>
  <c r="T61" i="4"/>
  <c r="C12" i="1" a="1"/>
  <c r="C12" i="1" s="1"/>
  <c r="N76" i="2"/>
  <c r="O76" i="2"/>
  <c r="C30" i="1" a="1"/>
  <c r="C30" i="1" s="1"/>
  <c r="P109" i="3"/>
  <c r="T105" i="3"/>
  <c r="T166" i="3"/>
  <c r="T25" i="3"/>
  <c r="O86" i="4"/>
  <c r="N86" i="4"/>
  <c r="T3" i="3"/>
  <c r="T59" i="2"/>
  <c r="T58" i="2"/>
  <c r="T26" i="2"/>
  <c r="T67" i="2"/>
  <c r="N17" i="2"/>
  <c r="O17" i="2"/>
  <c r="P47" i="2"/>
  <c r="G47" i="1" a="1"/>
  <c r="G47" i="1" s="1"/>
  <c r="T15" i="4"/>
  <c r="O76" i="3"/>
  <c r="B41" i="1" a="1"/>
  <c r="B41" i="1" s="1"/>
  <c r="P9" i="4"/>
  <c r="O88" i="4"/>
  <c r="F49" i="1" a="1"/>
  <c r="F49" i="1" s="1"/>
  <c r="T142" i="3"/>
  <c r="T59" i="3"/>
  <c r="O100" i="3"/>
  <c r="N100" i="3"/>
  <c r="P94" i="4"/>
  <c r="N93" i="4"/>
  <c r="P93" i="4"/>
  <c r="T98" i="3"/>
  <c r="P73" i="4"/>
  <c r="P122" i="2"/>
  <c r="F42" i="1" a="1"/>
  <c r="F42" i="1" s="1"/>
  <c r="N76" i="3"/>
  <c r="P76" i="3"/>
  <c r="C44" i="1" a="1"/>
  <c r="C44" i="1" s="1"/>
  <c r="T153" i="3"/>
  <c r="N88" i="4"/>
  <c r="P88" i="4"/>
  <c r="C47" i="1" a="1"/>
  <c r="C47" i="1" s="1"/>
  <c r="N82" i="3"/>
  <c r="P82" i="3"/>
  <c r="P59" i="3"/>
  <c r="T33" i="4"/>
  <c r="P80" i="3"/>
  <c r="P58" i="4"/>
  <c r="P98" i="3"/>
  <c r="N98" i="3"/>
  <c r="O73" i="4"/>
  <c r="N73" i="4"/>
  <c r="P95" i="2"/>
  <c r="N95" i="2"/>
  <c r="N37" i="3"/>
  <c r="P37" i="3"/>
  <c r="R43" i="1" a="1"/>
  <c r="R43" i="1" s="1"/>
  <c r="R48" i="1" a="1"/>
  <c r="R48" i="1" s="1"/>
  <c r="P41" i="4"/>
  <c r="N41" i="4"/>
  <c r="N4" i="3"/>
  <c r="O4" i="3"/>
  <c r="B8" i="1" a="1"/>
  <c r="B8" i="1" s="1"/>
  <c r="T76" i="2"/>
  <c r="C31" i="1" a="1"/>
  <c r="C31" i="1" s="1"/>
  <c r="T109" i="3"/>
  <c r="P146" i="3"/>
  <c r="P86" i="4"/>
  <c r="T143" i="3"/>
  <c r="P3" i="3"/>
  <c r="N59" i="2"/>
  <c r="O59" i="2"/>
  <c r="N58" i="2"/>
  <c r="O58" i="2"/>
  <c r="N26" i="2"/>
  <c r="O26" i="2"/>
  <c r="P67" i="2"/>
  <c r="P17" i="2"/>
  <c r="T47" i="2"/>
  <c r="I47" i="1" l="1"/>
  <c r="T41" i="1"/>
  <c r="I48" i="1"/>
  <c r="T40" i="1"/>
  <c r="E34" i="1"/>
  <c r="H51" i="1"/>
  <c r="T47" i="1"/>
  <c r="H40" i="1"/>
  <c r="H45" i="1"/>
  <c r="E42" i="1"/>
  <c r="D32" i="1"/>
  <c r="H52" i="1"/>
  <c r="D41" i="1"/>
  <c r="T43" i="1"/>
  <c r="T42" i="1"/>
  <c r="H46" i="1"/>
  <c r="U51" i="1"/>
  <c r="U49" i="1"/>
  <c r="E31" i="1"/>
  <c r="U29" i="1"/>
  <c r="E11" i="1"/>
  <c r="H41" i="1"/>
  <c r="D6" i="1"/>
  <c r="E5" i="1"/>
  <c r="D4" i="1"/>
  <c r="T50" i="1"/>
  <c r="E29" i="1"/>
  <c r="D24" i="1"/>
  <c r="E21" i="1"/>
  <c r="D46" i="1"/>
  <c r="D8" i="1"/>
  <c r="E30" i="1"/>
  <c r="T13" i="1"/>
  <c r="D45" i="1"/>
  <c r="T44" i="1"/>
  <c r="I11" i="1"/>
  <c r="D13" i="1"/>
  <c r="E12" i="1"/>
  <c r="E47" i="1"/>
  <c r="I40" i="1"/>
  <c r="U5" i="1"/>
  <c r="I4" i="1"/>
  <c r="U6" i="1"/>
  <c r="I7" i="1"/>
  <c r="T45" i="1"/>
  <c r="D16" i="1"/>
  <c r="I13" i="1"/>
  <c r="D40" i="1"/>
  <c r="U3" i="1"/>
  <c r="D7" i="1"/>
  <c r="I41" i="1"/>
  <c r="H16" i="1"/>
  <c r="E13" i="1"/>
  <c r="H42" i="1"/>
  <c r="H49" i="1"/>
  <c r="T8" i="1"/>
  <c r="I14" i="1"/>
  <c r="U21" i="1"/>
  <c r="H29" i="1"/>
  <c r="E50" i="1"/>
  <c r="H15" i="1"/>
  <c r="T22" i="1"/>
  <c r="U27" i="1"/>
  <c r="D51" i="1"/>
  <c r="D25" i="1"/>
  <c r="T39" i="1"/>
  <c r="E28" i="1"/>
  <c r="E10" i="1"/>
  <c r="H50" i="1"/>
  <c r="U15" i="1"/>
  <c r="I3" i="1"/>
  <c r="E9" i="1"/>
  <c r="D22" i="1"/>
  <c r="H8" i="1"/>
  <c r="T25" i="1"/>
  <c r="I21" i="1"/>
  <c r="H26" i="1"/>
  <c r="U16" i="1"/>
  <c r="E52" i="1"/>
  <c r="D39" i="1"/>
  <c r="E14" i="1"/>
  <c r="H9" i="1"/>
  <c r="T12" i="1"/>
  <c r="D48" i="1"/>
  <c r="U32" i="1"/>
  <c r="H33" i="1"/>
  <c r="D26" i="1"/>
  <c r="T24" i="1"/>
  <c r="H34" i="1"/>
  <c r="I31" i="1"/>
  <c r="T26" i="1"/>
  <c r="I22" i="1"/>
  <c r="I32" i="1"/>
  <c r="U41" i="1"/>
  <c r="H12" i="1"/>
  <c r="T34" i="1"/>
  <c r="T48" i="1"/>
  <c r="E44" i="1"/>
  <c r="T11" i="1"/>
  <c r="U4" i="1"/>
  <c r="U33" i="1"/>
  <c r="I24" i="1"/>
  <c r="I44" i="1"/>
  <c r="D23" i="1"/>
  <c r="E49" i="1"/>
  <c r="U23" i="1"/>
  <c r="I25" i="1"/>
  <c r="T28" i="1"/>
  <c r="E43" i="1"/>
  <c r="T52" i="1"/>
  <c r="D33" i="1"/>
  <c r="I27" i="1"/>
  <c r="T7" i="1"/>
  <c r="I5" i="1"/>
  <c r="D3" i="1"/>
  <c r="I28" i="1"/>
  <c r="I10" i="1"/>
  <c r="U9" i="1"/>
  <c r="H6" i="1"/>
  <c r="D15" i="1"/>
  <c r="U30" i="1"/>
  <c r="H23" i="1"/>
  <c r="U10" i="1"/>
  <c r="E27" i="1"/>
  <c r="U14" i="1"/>
  <c r="T46" i="1"/>
  <c r="I43" i="1"/>
  <c r="H39" i="1"/>
  <c r="U31" i="1"/>
  <c r="H30" i="1"/>
  <c r="U45" i="1"/>
  <c r="T14" i="1"/>
  <c r="U43" i="1"/>
  <c r="E16" i="1"/>
  <c r="E40" i="1"/>
  <c r="D47" i="1"/>
  <c r="U46" i="1"/>
  <c r="T29" i="1"/>
  <c r="T9" i="1"/>
  <c r="T16" i="1"/>
  <c r="I12" i="1"/>
  <c r="D14" i="1"/>
  <c r="E24" i="1"/>
  <c r="I26" i="1"/>
  <c r="U13" i="1"/>
  <c r="T10" i="1"/>
  <c r="H10" i="1"/>
  <c r="D50" i="1"/>
  <c r="D44" i="1"/>
  <c r="E3" i="1"/>
  <c r="H21" i="1"/>
  <c r="U50" i="1"/>
  <c r="E8" i="1"/>
  <c r="E48" i="1"/>
  <c r="T23" i="1"/>
  <c r="E32" i="1"/>
  <c r="H22" i="1"/>
  <c r="I39" i="1"/>
  <c r="U8" i="1"/>
  <c r="I9" i="1"/>
  <c r="U42" i="1"/>
  <c r="I46" i="1"/>
  <c r="T15" i="1"/>
  <c r="U11" i="1"/>
  <c r="U52" i="1"/>
  <c r="U12" i="1"/>
  <c r="U7" i="1"/>
  <c r="H3" i="1"/>
  <c r="I15" i="1"/>
  <c r="I49" i="1"/>
  <c r="D42" i="1"/>
  <c r="D11" i="1"/>
  <c r="T5" i="1"/>
  <c r="H43" i="1"/>
  <c r="H4" i="1"/>
  <c r="I16" i="1"/>
  <c r="D30" i="1"/>
  <c r="E26" i="1"/>
  <c r="U40" i="1"/>
  <c r="D10" i="1"/>
  <c r="U34" i="1"/>
  <c r="I29" i="1"/>
  <c r="E45" i="1"/>
  <c r="T49" i="1"/>
  <c r="H5" i="1"/>
  <c r="H13" i="1"/>
  <c r="E41" i="1"/>
  <c r="H44" i="1"/>
  <c r="D28" i="1"/>
  <c r="T32" i="1"/>
  <c r="E23" i="1"/>
  <c r="H24" i="1"/>
  <c r="E51" i="1"/>
  <c r="T6" i="1"/>
  <c r="I6" i="1"/>
  <c r="H14" i="1"/>
  <c r="E39" i="1"/>
  <c r="D31" i="1"/>
  <c r="I50" i="1"/>
  <c r="E6" i="1"/>
  <c r="D49" i="1"/>
  <c r="D29" i="1"/>
  <c r="T33" i="1"/>
  <c r="H31" i="1"/>
  <c r="I30" i="1"/>
  <c r="I52" i="1"/>
  <c r="U39" i="1"/>
  <c r="H25" i="1"/>
  <c r="D5" i="1"/>
  <c r="I8" i="1"/>
  <c r="U48" i="1"/>
  <c r="U44" i="1"/>
  <c r="D34" i="1"/>
  <c r="U22" i="1"/>
  <c r="H47" i="1"/>
  <c r="T51" i="1"/>
  <c r="E4" i="1"/>
  <c r="T27" i="1"/>
  <c r="I51" i="1"/>
  <c r="E33" i="1"/>
  <c r="E25" i="1"/>
  <c r="E46" i="1"/>
  <c r="U24" i="1"/>
  <c r="D12" i="1"/>
  <c r="I23" i="1"/>
  <c r="H27" i="1"/>
  <c r="D21" i="1"/>
  <c r="I42" i="1"/>
  <c r="T3" i="1"/>
  <c r="H7" i="1"/>
  <c r="E7" i="1"/>
  <c r="H48" i="1"/>
  <c r="D27" i="1"/>
  <c r="T30" i="1"/>
  <c r="U25" i="1"/>
  <c r="D9" i="1"/>
  <c r="H32" i="1"/>
  <c r="I33" i="1"/>
  <c r="U47" i="1"/>
  <c r="T4" i="1"/>
  <c r="H11" i="1"/>
  <c r="D43" i="1"/>
  <c r="T31" i="1"/>
  <c r="T21" i="1"/>
  <c r="I34" i="1"/>
  <c r="E22" i="1"/>
  <c r="I45" i="1"/>
  <c r="E15" i="1"/>
  <c r="U28" i="1"/>
  <c r="U26" i="1"/>
  <c r="H28" i="1"/>
  <c r="D52" i="1"/>
  <c r="V81" i="4" l="1"/>
  <c r="V21" i="4"/>
  <c r="Z134" i="4"/>
  <c r="Z48" i="4"/>
  <c r="Z22" i="4"/>
  <c r="V43" i="4"/>
  <c r="V156" i="4"/>
  <c r="V168" i="4"/>
  <c r="U49" i="4"/>
  <c r="U43" i="3"/>
  <c r="V47" i="4"/>
  <c r="U119" i="3"/>
  <c r="Z117" i="4"/>
  <c r="V41" i="4"/>
  <c r="Z61" i="4"/>
  <c r="U102" i="2"/>
  <c r="Z85" i="4"/>
  <c r="V57" i="4"/>
  <c r="U95" i="3"/>
  <c r="Z23" i="3"/>
  <c r="V56" i="4"/>
  <c r="V53" i="4"/>
  <c r="U13" i="2"/>
  <c r="Z111" i="4"/>
  <c r="U20" i="3"/>
  <c r="U65" i="3"/>
  <c r="V51" i="3"/>
  <c r="U55" i="2"/>
  <c r="V129" i="4"/>
  <c r="V24" i="4"/>
  <c r="Z161" i="4"/>
  <c r="V23" i="4"/>
  <c r="V20" i="4"/>
  <c r="V13" i="4"/>
  <c r="V22" i="4"/>
  <c r="U64" i="2"/>
  <c r="U8" i="2"/>
  <c r="V133" i="2"/>
  <c r="Z107" i="2"/>
  <c r="U37" i="4"/>
  <c r="V113" i="3"/>
  <c r="V8" i="4"/>
  <c r="Z41" i="3"/>
  <c r="U20" i="4"/>
  <c r="U164" i="4"/>
  <c r="Z166" i="3"/>
  <c r="V19" i="4"/>
  <c r="V75" i="3"/>
  <c r="Z10" i="4"/>
  <c r="V165" i="3"/>
  <c r="V139" i="3"/>
  <c r="V121" i="4"/>
  <c r="Z62" i="3"/>
  <c r="Z36" i="3"/>
  <c r="V92" i="3"/>
  <c r="Z97" i="2"/>
  <c r="Z94" i="2"/>
  <c r="Z34" i="3"/>
  <c r="V29" i="4"/>
  <c r="Z39" i="3"/>
  <c r="Z37" i="3"/>
  <c r="U168" i="4"/>
  <c r="Z42" i="3"/>
  <c r="U22" i="4"/>
  <c r="V82" i="3"/>
  <c r="U30" i="4"/>
  <c r="Z33" i="3"/>
  <c r="Z153" i="4"/>
  <c r="V95" i="2"/>
  <c r="U99" i="2"/>
  <c r="U106" i="2"/>
  <c r="U98" i="2"/>
  <c r="Z119" i="2"/>
  <c r="U86" i="2"/>
  <c r="V55" i="2"/>
  <c r="Z79" i="2"/>
  <c r="V55" i="4"/>
  <c r="V50" i="4"/>
  <c r="V54" i="4"/>
  <c r="Z154" i="4"/>
  <c r="U105" i="2"/>
  <c r="V48" i="4"/>
  <c r="Z35" i="4"/>
  <c r="Z17" i="4"/>
  <c r="Z86" i="2"/>
  <c r="V31" i="4"/>
  <c r="V127" i="2"/>
  <c r="V35" i="4"/>
  <c r="U103" i="2"/>
  <c r="U17" i="4"/>
  <c r="U13" i="4"/>
  <c r="V49" i="4"/>
  <c r="V36" i="4"/>
  <c r="V27" i="4"/>
  <c r="U104" i="2"/>
  <c r="Z84" i="2"/>
  <c r="Z25" i="4"/>
  <c r="Z37" i="4"/>
  <c r="U120" i="3"/>
  <c r="V60" i="3"/>
  <c r="Z31" i="4"/>
  <c r="Z32" i="4"/>
  <c r="U10" i="4"/>
  <c r="Z44" i="4"/>
  <c r="Z43" i="4"/>
  <c r="Z40" i="4"/>
  <c r="U107" i="4"/>
  <c r="Z41" i="4"/>
  <c r="Z30" i="4"/>
  <c r="V64" i="2"/>
  <c r="Z26" i="4"/>
  <c r="Z46" i="4"/>
  <c r="Z22" i="2"/>
  <c r="U5" i="4"/>
  <c r="U80" i="4"/>
  <c r="V21" i="2"/>
  <c r="U50" i="3"/>
  <c r="U27" i="3"/>
  <c r="U23" i="4"/>
  <c r="V52" i="4"/>
  <c r="Z24" i="4"/>
  <c r="U108" i="3"/>
  <c r="U82" i="3"/>
  <c r="V51" i="4"/>
  <c r="U157" i="4"/>
  <c r="Z85" i="2"/>
  <c r="Z164" i="4"/>
  <c r="U92" i="2"/>
  <c r="Z70" i="3"/>
  <c r="Z14" i="4"/>
  <c r="V75" i="4"/>
  <c r="U24" i="4"/>
  <c r="V88" i="3"/>
  <c r="Z88" i="3"/>
  <c r="Z100" i="2"/>
  <c r="Z95" i="2"/>
  <c r="U89" i="2"/>
  <c r="Z87" i="2"/>
  <c r="U155" i="4"/>
  <c r="U92" i="3"/>
  <c r="U107" i="2"/>
  <c r="Z162" i="4"/>
  <c r="V110" i="3"/>
  <c r="U16" i="4"/>
  <c r="Z49" i="4"/>
  <c r="V114" i="3"/>
  <c r="Z2" i="4"/>
  <c r="V104" i="3"/>
  <c r="Z82" i="3"/>
  <c r="V61" i="2"/>
  <c r="V93" i="3"/>
  <c r="V81" i="2"/>
  <c r="Z4" i="4"/>
  <c r="Z78" i="2"/>
  <c r="V60" i="2"/>
  <c r="V115" i="3"/>
  <c r="V3" i="4"/>
  <c r="V56" i="2"/>
  <c r="Z50" i="4"/>
  <c r="Z64" i="3"/>
  <c r="V54" i="2"/>
  <c r="V90" i="3"/>
  <c r="V89" i="2"/>
  <c r="Z23" i="4"/>
  <c r="V125" i="4"/>
  <c r="Z54" i="4"/>
  <c r="Z163" i="4"/>
  <c r="U49" i="3"/>
  <c r="Z53" i="4"/>
  <c r="Z167" i="4"/>
  <c r="U167" i="4"/>
  <c r="Z29" i="4"/>
  <c r="Z51" i="4"/>
  <c r="Z152" i="4"/>
  <c r="V134" i="2"/>
  <c r="Z28" i="4"/>
  <c r="U68" i="2"/>
  <c r="Z56" i="4"/>
  <c r="U6" i="2"/>
  <c r="U159" i="4"/>
  <c r="Z38" i="4"/>
  <c r="Z45" i="4"/>
  <c r="V87" i="2"/>
  <c r="Z47" i="4"/>
  <c r="Z66" i="4"/>
  <c r="Z156" i="4"/>
  <c r="Z34" i="4"/>
  <c r="V87" i="3"/>
  <c r="Z57" i="4"/>
  <c r="V18" i="2"/>
  <c r="V58" i="3"/>
  <c r="V11" i="4"/>
  <c r="U66" i="3"/>
  <c r="U85" i="2"/>
  <c r="Z109" i="2"/>
  <c r="Z98" i="4"/>
  <c r="U82" i="4"/>
  <c r="U160" i="4"/>
  <c r="V79" i="2"/>
  <c r="U56" i="3"/>
  <c r="V4" i="4"/>
  <c r="V97" i="2"/>
  <c r="U88" i="2"/>
  <c r="Z72" i="4"/>
  <c r="V83" i="4"/>
  <c r="Z52" i="4"/>
  <c r="U163" i="4"/>
  <c r="U152" i="4"/>
  <c r="V131" i="3"/>
  <c r="Z55" i="4"/>
  <c r="V2" i="4"/>
  <c r="Z121" i="4"/>
  <c r="U93" i="2"/>
  <c r="Z71" i="4"/>
  <c r="Z16" i="4"/>
  <c r="V99" i="2"/>
  <c r="Z165" i="4"/>
  <c r="U165" i="4"/>
  <c r="V20" i="2"/>
  <c r="Z157" i="4"/>
  <c r="U91" i="2"/>
  <c r="Z63" i="4"/>
  <c r="V127" i="4"/>
  <c r="U48" i="3"/>
  <c r="U83" i="4"/>
  <c r="Z108" i="4"/>
  <c r="V167" i="4"/>
  <c r="U83" i="2"/>
  <c r="V126" i="4"/>
  <c r="U31" i="4"/>
  <c r="U79" i="4"/>
  <c r="V160" i="4"/>
  <c r="U28" i="3"/>
  <c r="V162" i="4"/>
  <c r="U53" i="4"/>
  <c r="Z168" i="4"/>
  <c r="U82" i="2"/>
  <c r="Z123" i="2"/>
  <c r="V161" i="4"/>
  <c r="Z115" i="2"/>
  <c r="V34" i="4"/>
  <c r="Z117" i="2"/>
  <c r="U18" i="3"/>
  <c r="U71" i="2"/>
  <c r="U57" i="3"/>
  <c r="Z19" i="2"/>
  <c r="Z77" i="2"/>
  <c r="U54" i="4"/>
  <c r="V47" i="3"/>
  <c r="Z84" i="4"/>
  <c r="U84" i="2"/>
  <c r="Z122" i="2"/>
  <c r="V19" i="2"/>
  <c r="V130" i="3"/>
  <c r="U48" i="4"/>
  <c r="V66" i="2"/>
  <c r="U78" i="4"/>
  <c r="Z112" i="4"/>
  <c r="U56" i="4"/>
  <c r="U79" i="2"/>
  <c r="Z111" i="2"/>
  <c r="U46" i="4"/>
  <c r="V25" i="4"/>
  <c r="Z73" i="4"/>
  <c r="U55" i="4"/>
  <c r="U69" i="3"/>
  <c r="Z155" i="4"/>
  <c r="U58" i="3"/>
  <c r="U97" i="2"/>
  <c r="V136" i="3"/>
  <c r="U29" i="3"/>
  <c r="U81" i="3"/>
  <c r="Z39" i="4"/>
  <c r="U166" i="4"/>
  <c r="V67" i="2"/>
  <c r="V45" i="4"/>
  <c r="Z75" i="4"/>
  <c r="Z27" i="4"/>
  <c r="U19" i="4"/>
  <c r="U50" i="4"/>
  <c r="V126" i="2"/>
  <c r="U96" i="2"/>
  <c r="Z21" i="2"/>
  <c r="Z83" i="3"/>
  <c r="Z20" i="2"/>
  <c r="Z108" i="3"/>
  <c r="V138" i="3"/>
  <c r="Z106" i="3"/>
  <c r="V112" i="3"/>
  <c r="Z111" i="3"/>
  <c r="U102" i="3"/>
  <c r="V78" i="4"/>
  <c r="Z90" i="3"/>
  <c r="V130" i="2"/>
  <c r="Z87" i="4"/>
  <c r="U162" i="4"/>
  <c r="U112" i="3"/>
  <c r="V55" i="3"/>
  <c r="V77" i="4"/>
  <c r="V94" i="3"/>
  <c r="Z42" i="4"/>
  <c r="U15" i="4"/>
  <c r="Z97" i="4"/>
  <c r="U11" i="4"/>
  <c r="U84" i="3"/>
  <c r="U18" i="4"/>
  <c r="V123" i="4"/>
  <c r="Z18" i="4"/>
  <c r="Z119" i="4"/>
  <c r="Z93" i="4"/>
  <c r="U12" i="4"/>
  <c r="V75" i="2"/>
  <c r="U98" i="3"/>
  <c r="Z68" i="3"/>
  <c r="U25" i="4"/>
  <c r="V118" i="3"/>
  <c r="Z110" i="4"/>
  <c r="Z18" i="2"/>
  <c r="V124" i="4"/>
  <c r="Z159" i="4"/>
  <c r="V46" i="4"/>
  <c r="V96" i="2"/>
  <c r="V128" i="4"/>
  <c r="U7" i="2"/>
  <c r="U51" i="2"/>
  <c r="U52" i="2"/>
  <c r="U49" i="2"/>
  <c r="U48" i="2"/>
  <c r="U47" i="2"/>
  <c r="U50" i="2"/>
  <c r="V155" i="4"/>
  <c r="Z119" i="3"/>
  <c r="Z120" i="3"/>
  <c r="Z121" i="3"/>
  <c r="V24" i="2"/>
  <c r="V31" i="2"/>
  <c r="V28" i="2"/>
  <c r="V33" i="2"/>
  <c r="V32" i="2"/>
  <c r="V34" i="2"/>
  <c r="V29" i="2"/>
  <c r="V27" i="2"/>
  <c r="V25" i="2"/>
  <c r="V23" i="2"/>
  <c r="V26" i="2"/>
  <c r="V30" i="2"/>
  <c r="Z94" i="3"/>
  <c r="V14" i="4"/>
  <c r="V6" i="4"/>
  <c r="V9" i="4"/>
  <c r="V5" i="4"/>
  <c r="V12" i="4"/>
  <c r="Z102" i="4"/>
  <c r="Z131" i="4"/>
  <c r="V64" i="4"/>
  <c r="V122" i="4"/>
  <c r="V132" i="2"/>
  <c r="Z74" i="4"/>
  <c r="Z81" i="2"/>
  <c r="U118" i="3"/>
  <c r="U52" i="3"/>
  <c r="Z158" i="4"/>
  <c r="U67" i="3"/>
  <c r="V69" i="2"/>
  <c r="V132" i="3"/>
  <c r="U26" i="3"/>
  <c r="U63" i="2"/>
  <c r="V77" i="2"/>
  <c r="V78" i="2"/>
  <c r="U99" i="3"/>
  <c r="Z165" i="3"/>
  <c r="V17" i="3"/>
  <c r="V16" i="3"/>
  <c r="Z115" i="3"/>
  <c r="V8" i="2"/>
  <c r="V9" i="2"/>
  <c r="V11" i="2"/>
  <c r="V13" i="2"/>
  <c r="V14" i="2"/>
  <c r="V15" i="2"/>
  <c r="V12" i="2"/>
  <c r="V3" i="2"/>
  <c r="V10" i="2"/>
  <c r="V5" i="2"/>
  <c r="V16" i="2"/>
  <c r="V4" i="2"/>
  <c r="V17" i="2"/>
  <c r="V6" i="2"/>
  <c r="V2" i="2"/>
  <c r="V7" i="2"/>
  <c r="U19" i="3"/>
  <c r="Z116" i="4"/>
  <c r="Z130" i="4"/>
  <c r="V72" i="4"/>
  <c r="V120" i="4"/>
  <c r="V131" i="2"/>
  <c r="V70" i="2"/>
  <c r="Z80" i="2"/>
  <c r="U21" i="3"/>
  <c r="U51" i="3"/>
  <c r="U39" i="4"/>
  <c r="V98" i="2"/>
  <c r="V73" i="2"/>
  <c r="V141" i="3"/>
  <c r="U101" i="3"/>
  <c r="Z126" i="3"/>
  <c r="Z122" i="3"/>
  <c r="Z125" i="3"/>
  <c r="Z127" i="3"/>
  <c r="Z123" i="3"/>
  <c r="Z124" i="3"/>
  <c r="V150" i="4"/>
  <c r="V151" i="4"/>
  <c r="V135" i="4"/>
  <c r="V140" i="4"/>
  <c r="V142" i="4"/>
  <c r="V143" i="4"/>
  <c r="V144" i="4"/>
  <c r="V130" i="4"/>
  <c r="V136" i="4"/>
  <c r="V137" i="4"/>
  <c r="V147" i="4"/>
  <c r="V131" i="4"/>
  <c r="V138" i="4"/>
  <c r="V139" i="4"/>
  <c r="V141" i="4"/>
  <c r="V134" i="4"/>
  <c r="V146" i="4"/>
  <c r="V132" i="4"/>
  <c r="V133" i="4"/>
  <c r="V148" i="4"/>
  <c r="V145" i="4"/>
  <c r="U107" i="3"/>
  <c r="U16" i="2"/>
  <c r="V76" i="3"/>
  <c r="V81" i="3"/>
  <c r="V77" i="3"/>
  <c r="V80" i="3"/>
  <c r="Z12" i="2"/>
  <c r="Z8" i="2"/>
  <c r="Z10" i="2"/>
  <c r="Z9" i="2"/>
  <c r="Z4" i="2"/>
  <c r="Z11" i="2"/>
  <c r="Z14" i="2"/>
  <c r="Z6" i="2"/>
  <c r="Z7" i="2"/>
  <c r="Z17" i="2"/>
  <c r="Z5" i="2"/>
  <c r="Z15" i="2"/>
  <c r="Z3" i="2"/>
  <c r="Z2" i="2"/>
  <c r="Z16" i="2"/>
  <c r="Z13" i="2"/>
  <c r="U94" i="3"/>
  <c r="V117" i="3"/>
  <c r="V111" i="3"/>
  <c r="V86" i="2"/>
  <c r="V126" i="3"/>
  <c r="V127" i="3"/>
  <c r="V124" i="3"/>
  <c r="V122" i="3"/>
  <c r="V123" i="3"/>
  <c r="V125" i="3"/>
  <c r="V157" i="4"/>
  <c r="V117" i="4"/>
  <c r="V85" i="2"/>
  <c r="Z124" i="4"/>
  <c r="Z129" i="4"/>
  <c r="Z127" i="4"/>
  <c r="Z123" i="4"/>
  <c r="Z128" i="4"/>
  <c r="Z126" i="4"/>
  <c r="Z125" i="4"/>
  <c r="U45" i="4"/>
  <c r="V61" i="4"/>
  <c r="Z93" i="3"/>
  <c r="V66" i="4"/>
  <c r="Z113" i="4"/>
  <c r="Z148" i="4"/>
  <c r="U14" i="2"/>
  <c r="U63" i="3"/>
  <c r="V118" i="4"/>
  <c r="V128" i="2"/>
  <c r="Z88" i="2"/>
  <c r="U132" i="4"/>
  <c r="U133" i="4"/>
  <c r="U134" i="4"/>
  <c r="U135" i="4"/>
  <c r="U138" i="4"/>
  <c r="U140" i="4"/>
  <c r="U142" i="4"/>
  <c r="U143" i="4"/>
  <c r="U144" i="4"/>
  <c r="U145" i="4"/>
  <c r="U130" i="4"/>
  <c r="U139" i="4"/>
  <c r="U147" i="4"/>
  <c r="U151" i="4"/>
  <c r="U131" i="4"/>
  <c r="U136" i="4"/>
  <c r="U148" i="4"/>
  <c r="U150" i="4"/>
  <c r="U137" i="4"/>
  <c r="U141" i="4"/>
  <c r="U146" i="4"/>
  <c r="U149" i="4"/>
  <c r="Z68" i="4"/>
  <c r="U38" i="4"/>
  <c r="Z101" i="4"/>
  <c r="V71" i="2"/>
  <c r="V78" i="3"/>
  <c r="U57" i="2"/>
  <c r="U153" i="4"/>
  <c r="U158" i="4"/>
  <c r="V84" i="4"/>
  <c r="V85" i="4"/>
  <c r="U113" i="3"/>
  <c r="Z114" i="3"/>
  <c r="Z115" i="4"/>
  <c r="V25" i="3"/>
  <c r="V27" i="3"/>
  <c r="V20" i="3"/>
  <c r="V21" i="3"/>
  <c r="V30" i="3"/>
  <c r="V31" i="3"/>
  <c r="V32" i="3"/>
  <c r="V28" i="3"/>
  <c r="V19" i="3"/>
  <c r="V24" i="3"/>
  <c r="V29" i="3"/>
  <c r="V26" i="3"/>
  <c r="V23" i="3"/>
  <c r="V22" i="3"/>
  <c r="V18" i="3"/>
  <c r="Z100" i="4"/>
  <c r="Z147" i="4"/>
  <c r="U12" i="2"/>
  <c r="V119" i="4"/>
  <c r="Z120" i="4"/>
  <c r="U121" i="3"/>
  <c r="Z59" i="4"/>
  <c r="U36" i="4"/>
  <c r="V80" i="2"/>
  <c r="V74" i="2"/>
  <c r="Z28" i="3"/>
  <c r="U24" i="2"/>
  <c r="U26" i="2"/>
  <c r="U33" i="2"/>
  <c r="V79" i="3"/>
  <c r="Z78" i="3"/>
  <c r="Z79" i="3"/>
  <c r="Z80" i="3"/>
  <c r="Z75" i="3"/>
  <c r="Z76" i="3"/>
  <c r="Z81" i="3"/>
  <c r="Z77" i="3"/>
  <c r="Z73" i="3"/>
  <c r="Z74" i="3"/>
  <c r="V149" i="3"/>
  <c r="V146" i="3"/>
  <c r="V145" i="3"/>
  <c r="V129" i="3"/>
  <c r="Z49" i="2"/>
  <c r="Z51" i="2"/>
  <c r="Z48" i="2"/>
  <c r="Z52" i="2"/>
  <c r="Z50" i="2"/>
  <c r="Z47" i="2"/>
  <c r="Z96" i="3"/>
  <c r="Z92" i="3"/>
  <c r="Z98" i="2"/>
  <c r="Z96" i="2"/>
  <c r="Z67" i="3"/>
  <c r="Z88" i="4"/>
  <c r="Z144" i="4"/>
  <c r="U10" i="2"/>
  <c r="U161" i="4"/>
  <c r="Z122" i="4"/>
  <c r="Z101" i="2"/>
  <c r="U2" i="4"/>
  <c r="Z67" i="4"/>
  <c r="U33" i="4"/>
  <c r="V72" i="2"/>
  <c r="Z27" i="3"/>
  <c r="Z21" i="4"/>
  <c r="U131" i="2"/>
  <c r="U132" i="2"/>
  <c r="U128" i="2"/>
  <c r="U129" i="2"/>
  <c r="U130" i="2"/>
  <c r="U127" i="2"/>
  <c r="U134" i="2"/>
  <c r="U133" i="2"/>
  <c r="U126" i="2"/>
  <c r="U27" i="2"/>
  <c r="U41" i="4"/>
  <c r="V101" i="2"/>
  <c r="Z32" i="3"/>
  <c r="U56" i="2"/>
  <c r="U34" i="2"/>
  <c r="Z140" i="4"/>
  <c r="U2" i="2"/>
  <c r="U84" i="4"/>
  <c r="U85" i="4"/>
  <c r="U97" i="3"/>
  <c r="V39" i="4"/>
  <c r="V100" i="3"/>
  <c r="U32" i="2"/>
  <c r="V74" i="3"/>
  <c r="U151" i="3"/>
  <c r="U139" i="3"/>
  <c r="U141" i="3"/>
  <c r="U152" i="3"/>
  <c r="U135" i="3"/>
  <c r="U132" i="3"/>
  <c r="U133" i="3"/>
  <c r="U134" i="3"/>
  <c r="U148" i="3"/>
  <c r="U147" i="3"/>
  <c r="U137" i="3"/>
  <c r="U149" i="3"/>
  <c r="U150" i="3"/>
  <c r="U128" i="3"/>
  <c r="U129" i="3"/>
  <c r="U140" i="3"/>
  <c r="U130" i="3"/>
  <c r="U145" i="3"/>
  <c r="U131" i="3"/>
  <c r="U142" i="3"/>
  <c r="U143" i="3"/>
  <c r="U146" i="3"/>
  <c r="U144" i="3"/>
  <c r="U138" i="3"/>
  <c r="U136" i="3"/>
  <c r="U126" i="3"/>
  <c r="U127" i="3"/>
  <c r="U122" i="3"/>
  <c r="U125" i="3"/>
  <c r="U123" i="3"/>
  <c r="U124" i="3"/>
  <c r="V103" i="2"/>
  <c r="V104" i="2"/>
  <c r="V107" i="2"/>
  <c r="V105" i="2"/>
  <c r="V106" i="2"/>
  <c r="U35" i="2"/>
  <c r="U41" i="2"/>
  <c r="U36" i="2"/>
  <c r="U42" i="2"/>
  <c r="U40" i="2"/>
  <c r="U44" i="2"/>
  <c r="U45" i="2"/>
  <c r="U43" i="2"/>
  <c r="U38" i="2"/>
  <c r="U37" i="2"/>
  <c r="U46" i="2"/>
  <c r="U39" i="2"/>
  <c r="Z11" i="4"/>
  <c r="Z112" i="3"/>
  <c r="Z91" i="3"/>
  <c r="Z71" i="3"/>
  <c r="Z107" i="4"/>
  <c r="Z139" i="4"/>
  <c r="U15" i="2"/>
  <c r="Z125" i="2"/>
  <c r="V15" i="3"/>
  <c r="V8" i="3"/>
  <c r="V10" i="3"/>
  <c r="V14" i="3"/>
  <c r="V13" i="3"/>
  <c r="V7" i="3"/>
  <c r="V12" i="3"/>
  <c r="V11" i="3"/>
  <c r="V4" i="3"/>
  <c r="V3" i="3"/>
  <c r="V9" i="3"/>
  <c r="V5" i="3"/>
  <c r="V2" i="3"/>
  <c r="V6" i="3"/>
  <c r="Z118" i="4"/>
  <c r="Z83" i="2"/>
  <c r="U4" i="4"/>
  <c r="Z70" i="4"/>
  <c r="U42" i="4"/>
  <c r="V100" i="2"/>
  <c r="V142" i="3"/>
  <c r="Z31" i="3"/>
  <c r="Z13" i="4"/>
  <c r="U66" i="2"/>
  <c r="Z16" i="3"/>
  <c r="Z17" i="3"/>
  <c r="V40" i="4"/>
  <c r="V95" i="3"/>
  <c r="U72" i="2"/>
  <c r="U31" i="2"/>
  <c r="V73" i="3"/>
  <c r="U124" i="4"/>
  <c r="U123" i="4"/>
  <c r="U126" i="4"/>
  <c r="U127" i="4"/>
  <c r="U125" i="4"/>
  <c r="U128" i="4"/>
  <c r="U129" i="4"/>
  <c r="Z25" i="3"/>
  <c r="Z7" i="4"/>
  <c r="Z160" i="4"/>
  <c r="Z113" i="3"/>
  <c r="Z110" i="3"/>
  <c r="U76" i="3"/>
  <c r="U101" i="2"/>
  <c r="Z72" i="3"/>
  <c r="Z104" i="4"/>
  <c r="Z143" i="4"/>
  <c r="U5" i="2"/>
  <c r="Z124" i="2"/>
  <c r="U8" i="4"/>
  <c r="Z131" i="2"/>
  <c r="Z128" i="2"/>
  <c r="Z129" i="2"/>
  <c r="Z132" i="2"/>
  <c r="Z130" i="2"/>
  <c r="Z133" i="2"/>
  <c r="Z134" i="2"/>
  <c r="Z127" i="2"/>
  <c r="Z126" i="2"/>
  <c r="U78" i="3"/>
  <c r="U7" i="4"/>
  <c r="Z62" i="4"/>
  <c r="U32" i="4"/>
  <c r="V94" i="2"/>
  <c r="V150" i="3"/>
  <c r="Z30" i="3"/>
  <c r="V74" i="4"/>
  <c r="V92" i="2"/>
  <c r="V151" i="3"/>
  <c r="Z19" i="3"/>
  <c r="V120" i="3"/>
  <c r="V119" i="3"/>
  <c r="V121" i="3"/>
  <c r="U116" i="3"/>
  <c r="U100" i="3"/>
  <c r="U96" i="3"/>
  <c r="U89" i="3"/>
  <c r="U85" i="3"/>
  <c r="U111" i="3"/>
  <c r="Z142" i="4"/>
  <c r="U54" i="2"/>
  <c r="U73" i="3"/>
  <c r="U104" i="3"/>
  <c r="U17" i="2"/>
  <c r="U69" i="2"/>
  <c r="U25" i="2"/>
  <c r="Z12" i="4"/>
  <c r="V62" i="2"/>
  <c r="V58" i="2"/>
  <c r="V59" i="2"/>
  <c r="V57" i="2"/>
  <c r="V48" i="2"/>
  <c r="V49" i="2"/>
  <c r="V51" i="2"/>
  <c r="V52" i="2"/>
  <c r="V50" i="2"/>
  <c r="V47" i="2"/>
  <c r="Z3" i="4"/>
  <c r="Z107" i="3"/>
  <c r="Z96" i="4"/>
  <c r="Z136" i="4"/>
  <c r="U4" i="2"/>
  <c r="Z120" i="2"/>
  <c r="U95" i="4"/>
  <c r="U112" i="4"/>
  <c r="U114" i="4"/>
  <c r="U115" i="4"/>
  <c r="U116" i="4"/>
  <c r="U91" i="4"/>
  <c r="U92" i="4"/>
  <c r="U100" i="4"/>
  <c r="U101" i="4"/>
  <c r="U102" i="4"/>
  <c r="U93" i="4"/>
  <c r="U98" i="4"/>
  <c r="U99" i="4"/>
  <c r="U103" i="4"/>
  <c r="U110" i="4"/>
  <c r="U113" i="4"/>
  <c r="U87" i="4"/>
  <c r="U111" i="4"/>
  <c r="U104" i="4"/>
  <c r="U109" i="4"/>
  <c r="U90" i="4"/>
  <c r="U96" i="4"/>
  <c r="U86" i="4"/>
  <c r="U97" i="4"/>
  <c r="U108" i="4"/>
  <c r="U106" i="4"/>
  <c r="U105" i="4"/>
  <c r="U88" i="4"/>
  <c r="U94" i="4"/>
  <c r="U89" i="4"/>
  <c r="U14" i="4"/>
  <c r="U53" i="2"/>
  <c r="U79" i="3"/>
  <c r="U3" i="4"/>
  <c r="Z64" i="4"/>
  <c r="U28" i="4"/>
  <c r="V91" i="2"/>
  <c r="V134" i="3"/>
  <c r="Z22" i="3"/>
  <c r="Z109" i="4"/>
  <c r="U3" i="2"/>
  <c r="V96" i="3"/>
  <c r="V98" i="3"/>
  <c r="V109" i="3"/>
  <c r="V86" i="3"/>
  <c r="V83" i="3"/>
  <c r="V116" i="3"/>
  <c r="V102" i="3"/>
  <c r="V105" i="3"/>
  <c r="V103" i="3"/>
  <c r="V84" i="3"/>
  <c r="V85" i="3"/>
  <c r="U62" i="2"/>
  <c r="U77" i="3"/>
  <c r="U44" i="4"/>
  <c r="V90" i="2"/>
  <c r="V38" i="3"/>
  <c r="V40" i="3"/>
  <c r="V41" i="3"/>
  <c r="V34" i="3"/>
  <c r="V35" i="3"/>
  <c r="V39" i="3"/>
  <c r="V33" i="3"/>
  <c r="V37" i="3"/>
  <c r="V36" i="3"/>
  <c r="V44" i="3"/>
  <c r="V45" i="3"/>
  <c r="V46" i="3"/>
  <c r="V43" i="3"/>
  <c r="V42" i="3"/>
  <c r="U115" i="3"/>
  <c r="U65" i="2"/>
  <c r="U167" i="3"/>
  <c r="U168" i="3"/>
  <c r="U166" i="3"/>
  <c r="U165" i="3"/>
  <c r="Z168" i="3"/>
  <c r="V37" i="4"/>
  <c r="Z9" i="4"/>
  <c r="Z97" i="3"/>
  <c r="Z69" i="2"/>
  <c r="Z68" i="2"/>
  <c r="Z64" i="2"/>
  <c r="Z65" i="2"/>
  <c r="Z71" i="2"/>
  <c r="Z72" i="2"/>
  <c r="Z74" i="2"/>
  <c r="Z67" i="2"/>
  <c r="Z75" i="2"/>
  <c r="Z66" i="2"/>
  <c r="Z73" i="2"/>
  <c r="Z76" i="2"/>
  <c r="Z70" i="2"/>
  <c r="Z92" i="4"/>
  <c r="V71" i="4"/>
  <c r="U11" i="2"/>
  <c r="Z110" i="2"/>
  <c r="U118" i="4"/>
  <c r="U119" i="4"/>
  <c r="U120" i="4"/>
  <c r="U122" i="4"/>
  <c r="U117" i="4"/>
  <c r="U121" i="4"/>
  <c r="U60" i="2"/>
  <c r="U75" i="3"/>
  <c r="Z106" i="2"/>
  <c r="Z60" i="4"/>
  <c r="U43" i="4"/>
  <c r="V88" i="2"/>
  <c r="V152" i="3"/>
  <c r="Z103" i="2"/>
  <c r="U30" i="2"/>
  <c r="Z167" i="3"/>
  <c r="Z90" i="4"/>
  <c r="V67" i="4"/>
  <c r="U9" i="2"/>
  <c r="U61" i="2"/>
  <c r="U74" i="3"/>
  <c r="Z58" i="4"/>
  <c r="U40" i="4"/>
  <c r="V84" i="2"/>
  <c r="V148" i="3"/>
  <c r="Z105" i="2"/>
  <c r="V63" i="2"/>
  <c r="U59" i="2"/>
  <c r="U58" i="2"/>
  <c r="Z86" i="3"/>
  <c r="Z103" i="3"/>
  <c r="Z109" i="3"/>
  <c r="Z104" i="3"/>
  <c r="Z105" i="3"/>
  <c r="Z100" i="3"/>
  <c r="Z101" i="3"/>
  <c r="Z98" i="3"/>
  <c r="Z85" i="3"/>
  <c r="U93" i="3"/>
  <c r="Z44" i="3"/>
  <c r="Z45" i="3"/>
  <c r="Z38" i="3"/>
  <c r="Z46" i="3"/>
  <c r="Z43" i="3"/>
  <c r="U80" i="3"/>
  <c r="Z8" i="4"/>
  <c r="U110" i="2"/>
  <c r="U115" i="2"/>
  <c r="U124" i="2"/>
  <c r="U109" i="2"/>
  <c r="U111" i="2"/>
  <c r="U112" i="2"/>
  <c r="U113" i="2"/>
  <c r="U121" i="2"/>
  <c r="U108" i="2"/>
  <c r="U120" i="2"/>
  <c r="U123" i="2"/>
  <c r="U114" i="2"/>
  <c r="U116" i="2"/>
  <c r="U117" i="2"/>
  <c r="U118" i="2"/>
  <c r="U125" i="2"/>
  <c r="U122" i="2"/>
  <c r="U119" i="2"/>
  <c r="Z137" i="4"/>
  <c r="V42" i="4"/>
  <c r="V157" i="3"/>
  <c r="V158" i="3"/>
  <c r="V159" i="3"/>
  <c r="V154" i="3"/>
  <c r="V153" i="3"/>
  <c r="V155" i="3"/>
  <c r="V164" i="3"/>
  <c r="V163" i="3"/>
  <c r="V160" i="3"/>
  <c r="V161" i="3"/>
  <c r="V156" i="3"/>
  <c r="V162" i="3"/>
  <c r="U106" i="3"/>
  <c r="Z86" i="4"/>
  <c r="Z87" i="3"/>
  <c r="U72" i="4"/>
  <c r="U64" i="4"/>
  <c r="U67" i="4"/>
  <c r="U70" i="4"/>
  <c r="U75" i="4"/>
  <c r="U60" i="4"/>
  <c r="U63" i="4"/>
  <c r="U65" i="4"/>
  <c r="U58" i="4"/>
  <c r="U62" i="4"/>
  <c r="U59" i="4"/>
  <c r="U71" i="4"/>
  <c r="U74" i="4"/>
  <c r="U73" i="4"/>
  <c r="U69" i="4"/>
  <c r="U61" i="4"/>
  <c r="U66" i="4"/>
  <c r="U68" i="4"/>
  <c r="Z91" i="4"/>
  <c r="Z149" i="4"/>
  <c r="Z108" i="2"/>
  <c r="U29" i="4"/>
  <c r="U86" i="3"/>
  <c r="Z102" i="2"/>
  <c r="Z65" i="4"/>
  <c r="U61" i="3"/>
  <c r="Z69" i="4"/>
  <c r="U35" i="4"/>
  <c r="V102" i="2"/>
  <c r="V147" i="3"/>
  <c r="Z104" i="2"/>
  <c r="V58" i="4"/>
  <c r="V69" i="4"/>
  <c r="V108" i="2"/>
  <c r="V109" i="2"/>
  <c r="V112" i="2"/>
  <c r="V120" i="2"/>
  <c r="V123" i="2"/>
  <c r="V124" i="2"/>
  <c r="V125" i="2"/>
  <c r="V113" i="2"/>
  <c r="V111" i="2"/>
  <c r="V115" i="2"/>
  <c r="V114" i="2"/>
  <c r="V121" i="2"/>
  <c r="V118" i="2"/>
  <c r="V116" i="2"/>
  <c r="V117" i="2"/>
  <c r="V110" i="2"/>
  <c r="V122" i="2"/>
  <c r="V119" i="2"/>
  <c r="Z99" i="3"/>
  <c r="U154" i="3"/>
  <c r="U155" i="3"/>
  <c r="U162" i="3"/>
  <c r="U153" i="3"/>
  <c r="U159" i="3"/>
  <c r="U163" i="3"/>
  <c r="U158" i="3"/>
  <c r="U156" i="3"/>
  <c r="U160" i="3"/>
  <c r="U164" i="3"/>
  <c r="U161" i="3"/>
  <c r="U157" i="3"/>
  <c r="Z24" i="2"/>
  <c r="Z28" i="2"/>
  <c r="Z29" i="2"/>
  <c r="Z34" i="2"/>
  <c r="Z31" i="2"/>
  <c r="Z32" i="2"/>
  <c r="Z26" i="2"/>
  <c r="Z23" i="2"/>
  <c r="Z27" i="2"/>
  <c r="Z33" i="2"/>
  <c r="Z25" i="2"/>
  <c r="Z30" i="2"/>
  <c r="U90" i="3"/>
  <c r="V166" i="4"/>
  <c r="V153" i="4"/>
  <c r="V158" i="4"/>
  <c r="V154" i="4"/>
  <c r="U88" i="3"/>
  <c r="U32" i="3"/>
  <c r="U31" i="3"/>
  <c r="U24" i="3"/>
  <c r="U22" i="3"/>
  <c r="U23" i="3"/>
  <c r="U87" i="3"/>
  <c r="V30" i="4"/>
  <c r="V48" i="3"/>
  <c r="V49" i="3"/>
  <c r="V59" i="3"/>
  <c r="V56" i="3"/>
  <c r="V57" i="3"/>
  <c r="Z164" i="3"/>
  <c r="Z155" i="3"/>
  <c r="Z163" i="3"/>
  <c r="Z157" i="3"/>
  <c r="Z153" i="3"/>
  <c r="Z161" i="3"/>
  <c r="Z158" i="3"/>
  <c r="Z160" i="3"/>
  <c r="Z162" i="3"/>
  <c r="Z159" i="3"/>
  <c r="Z156" i="3"/>
  <c r="Z154" i="3"/>
  <c r="U30" i="3"/>
  <c r="V108" i="3"/>
  <c r="V166" i="3"/>
  <c r="V159" i="4"/>
  <c r="V10" i="4"/>
  <c r="U57" i="4"/>
  <c r="U105" i="3"/>
  <c r="Z15" i="4"/>
  <c r="V54" i="3"/>
  <c r="Z117" i="3"/>
  <c r="U25" i="3"/>
  <c r="U62" i="3"/>
  <c r="U81" i="2"/>
  <c r="Z114" i="4"/>
  <c r="Z151" i="4"/>
  <c r="V62" i="4"/>
  <c r="V33" i="4"/>
  <c r="Z113" i="2"/>
  <c r="V35" i="2"/>
  <c r="V42" i="2"/>
  <c r="V44" i="2"/>
  <c r="V37" i="2"/>
  <c r="V40" i="2"/>
  <c r="V41" i="2"/>
  <c r="V45" i="2"/>
  <c r="V43" i="2"/>
  <c r="V36" i="2"/>
  <c r="V39" i="2"/>
  <c r="V46" i="2"/>
  <c r="V38" i="2"/>
  <c r="Z91" i="2"/>
  <c r="Z5" i="4"/>
  <c r="U60" i="3"/>
  <c r="U114" i="3"/>
  <c r="U27" i="4"/>
  <c r="V93" i="2"/>
  <c r="V137" i="3"/>
  <c r="U154" i="4"/>
  <c r="Z166" i="4"/>
  <c r="U2" i="3"/>
  <c r="U11" i="3"/>
  <c r="U7" i="3"/>
  <c r="U8" i="3"/>
  <c r="U10" i="3"/>
  <c r="U12" i="3"/>
  <c r="U13" i="3"/>
  <c r="U15" i="3"/>
  <c r="U14" i="3"/>
  <c r="U9" i="3"/>
  <c r="U6" i="3"/>
  <c r="U4" i="3"/>
  <c r="U3" i="3"/>
  <c r="U5" i="3"/>
  <c r="Z54" i="2"/>
  <c r="Z55" i="2"/>
  <c r="Z56" i="2"/>
  <c r="Z60" i="2"/>
  <c r="Z61" i="2"/>
  <c r="Z63" i="2"/>
  <c r="Z62" i="2"/>
  <c r="Z59" i="2"/>
  <c r="Z57" i="2"/>
  <c r="Z53" i="2"/>
  <c r="Z58" i="2"/>
  <c r="V73" i="4"/>
  <c r="V91" i="3"/>
  <c r="Z141" i="4"/>
  <c r="U77" i="2"/>
  <c r="U78" i="2"/>
  <c r="V53" i="2"/>
  <c r="U74" i="2"/>
  <c r="U91" i="3"/>
  <c r="V44" i="4"/>
  <c r="U20" i="2"/>
  <c r="U21" i="2"/>
  <c r="U22" i="2"/>
  <c r="U19" i="2"/>
  <c r="U18" i="2"/>
  <c r="V76" i="4"/>
  <c r="Z29" i="3"/>
  <c r="V107" i="3"/>
  <c r="V168" i="3"/>
  <c r="U21" i="4"/>
  <c r="V152" i="4"/>
  <c r="V7" i="4"/>
  <c r="U51" i="4"/>
  <c r="V38" i="4"/>
  <c r="Z19" i="4"/>
  <c r="V53" i="3"/>
  <c r="Z95" i="3"/>
  <c r="V106" i="3"/>
  <c r="U80" i="2"/>
  <c r="Z89" i="4"/>
  <c r="Z150" i="4"/>
  <c r="V70" i="4"/>
  <c r="Z56" i="3"/>
  <c r="Z60" i="3"/>
  <c r="Z48" i="3"/>
  <c r="Z47" i="3"/>
  <c r="Z50" i="3"/>
  <c r="Z51" i="3"/>
  <c r="Z52" i="3"/>
  <c r="Z54" i="3"/>
  <c r="Z55" i="3"/>
  <c r="Z61" i="3"/>
  <c r="Z53" i="3"/>
  <c r="Z59" i="3"/>
  <c r="Z57" i="3"/>
  <c r="Z49" i="3"/>
  <c r="Z58" i="3"/>
  <c r="Z116" i="2"/>
  <c r="U9" i="4"/>
  <c r="Z90" i="2"/>
  <c r="Z147" i="3"/>
  <c r="Z148" i="3"/>
  <c r="Z150" i="3"/>
  <c r="Z131" i="3"/>
  <c r="Z132" i="3"/>
  <c r="Z133" i="3"/>
  <c r="Z139" i="3"/>
  <c r="Z140" i="3"/>
  <c r="Z141" i="3"/>
  <c r="Z152" i="3"/>
  <c r="Z151" i="3"/>
  <c r="Z135" i="3"/>
  <c r="Z138" i="3"/>
  <c r="Z128" i="3"/>
  <c r="Z130" i="3"/>
  <c r="Z134" i="3"/>
  <c r="Z136" i="3"/>
  <c r="Z137" i="3"/>
  <c r="Z129" i="3"/>
  <c r="Z142" i="3"/>
  <c r="Z145" i="3"/>
  <c r="Z146" i="3"/>
  <c r="Z143" i="3"/>
  <c r="Z149" i="3"/>
  <c r="Z144" i="3"/>
  <c r="U55" i="3"/>
  <c r="U72" i="3"/>
  <c r="V83" i="2"/>
  <c r="V140" i="3"/>
  <c r="Z135" i="4"/>
  <c r="U28" i="2"/>
  <c r="U29" i="2"/>
  <c r="U23" i="2"/>
  <c r="U34" i="4"/>
  <c r="U117" i="3"/>
  <c r="V32" i="4"/>
  <c r="Z69" i="3"/>
  <c r="Z65" i="3"/>
  <c r="Z63" i="3"/>
  <c r="Z66" i="3"/>
  <c r="V80" i="4"/>
  <c r="V101" i="3"/>
  <c r="V167" i="3"/>
  <c r="V165" i="4"/>
  <c r="U41" i="3"/>
  <c r="U38" i="3"/>
  <c r="U39" i="3"/>
  <c r="U40" i="3"/>
  <c r="U35" i="3"/>
  <c r="U37" i="3"/>
  <c r="U33" i="3"/>
  <c r="U44" i="3"/>
  <c r="U46" i="3"/>
  <c r="U34" i="3"/>
  <c r="U42" i="3"/>
  <c r="U36" i="3"/>
  <c r="U45" i="3"/>
  <c r="U52" i="4"/>
  <c r="V143" i="3"/>
  <c r="Z20" i="4"/>
  <c r="V52" i="3"/>
  <c r="Z84" i="3"/>
  <c r="U100" i="2"/>
  <c r="Z138" i="4"/>
  <c r="V65" i="4"/>
  <c r="U26" i="4"/>
  <c r="Z121" i="2"/>
  <c r="Z44" i="2"/>
  <c r="Z35" i="2"/>
  <c r="Z41" i="2"/>
  <c r="Z40" i="2"/>
  <c r="Z37" i="2"/>
  <c r="Z36" i="2"/>
  <c r="Z43" i="2"/>
  <c r="Z42" i="2"/>
  <c r="Z45" i="2"/>
  <c r="Z39" i="2"/>
  <c r="Z46" i="2"/>
  <c r="Z38" i="2"/>
  <c r="Z92" i="2"/>
  <c r="Z145" i="4"/>
  <c r="U54" i="3"/>
  <c r="U71" i="3"/>
  <c r="V82" i="2"/>
  <c r="V128" i="3"/>
  <c r="V149" i="4"/>
  <c r="V15" i="4"/>
  <c r="V18" i="4"/>
  <c r="V16" i="4"/>
  <c r="V17" i="4"/>
  <c r="Z89" i="3"/>
  <c r="U83" i="3"/>
  <c r="U110" i="3"/>
  <c r="Z35" i="3"/>
  <c r="Z95" i="4"/>
  <c r="Z106" i="4"/>
  <c r="V164" i="4"/>
  <c r="U16" i="3"/>
  <c r="U17" i="3"/>
  <c r="Z94" i="4"/>
  <c r="U95" i="2"/>
  <c r="Z99" i="4"/>
  <c r="Z133" i="4"/>
  <c r="V63" i="4"/>
  <c r="Z114" i="2"/>
  <c r="Z89" i="2"/>
  <c r="Z36" i="4"/>
  <c r="Z33" i="4"/>
  <c r="U47" i="3"/>
  <c r="Z18" i="3"/>
  <c r="U70" i="3"/>
  <c r="V68" i="2"/>
  <c r="V144" i="3"/>
  <c r="V89" i="3"/>
  <c r="V22" i="2"/>
  <c r="U67" i="2"/>
  <c r="U73" i="2"/>
  <c r="U76" i="2"/>
  <c r="U70" i="2"/>
  <c r="V79" i="4"/>
  <c r="V99" i="3"/>
  <c r="U77" i="4"/>
  <c r="U81" i="4"/>
  <c r="Z102" i="3"/>
  <c r="Z146" i="4"/>
  <c r="U156" i="4"/>
  <c r="Z15" i="3"/>
  <c r="Z7" i="3"/>
  <c r="Z8" i="3"/>
  <c r="Z14" i="3"/>
  <c r="Z10" i="3"/>
  <c r="Z11" i="3"/>
  <c r="Z12" i="3"/>
  <c r="Z13" i="3"/>
  <c r="Z4" i="3"/>
  <c r="Z6" i="3"/>
  <c r="Z2" i="3"/>
  <c r="Z3" i="3"/>
  <c r="Z9" i="3"/>
  <c r="Z5" i="3"/>
  <c r="U109" i="3"/>
  <c r="V28" i="4"/>
  <c r="Z40" i="3"/>
  <c r="V82" i="4"/>
  <c r="Z78" i="4"/>
  <c r="Z80" i="4"/>
  <c r="Z82" i="4"/>
  <c r="Z83" i="4"/>
  <c r="Z79" i="4"/>
  <c r="Z81" i="4"/>
  <c r="Z76" i="4"/>
  <c r="Z77" i="4"/>
  <c r="V97" i="3"/>
  <c r="U94" i="2"/>
  <c r="V163" i="4"/>
  <c r="V63" i="3"/>
  <c r="V62" i="3"/>
  <c r="V67" i="3"/>
  <c r="V70" i="3"/>
  <c r="V71" i="3"/>
  <c r="V72" i="3"/>
  <c r="V64" i="3"/>
  <c r="V68" i="3"/>
  <c r="V66" i="3"/>
  <c r="V65" i="3"/>
  <c r="V69" i="3"/>
  <c r="Z21" i="3"/>
  <c r="U47" i="4"/>
  <c r="V50" i="3"/>
  <c r="Z118" i="3"/>
  <c r="Z20" i="3"/>
  <c r="V76" i="2"/>
  <c r="U90" i="2"/>
  <c r="Z105" i="4"/>
  <c r="Z132" i="4"/>
  <c r="V60" i="4"/>
  <c r="Z6" i="4"/>
  <c r="Z112" i="2"/>
  <c r="V129" i="2"/>
  <c r="Z82" i="2"/>
  <c r="U103" i="3"/>
  <c r="U59" i="3"/>
  <c r="V68" i="4"/>
  <c r="U64" i="3"/>
  <c r="V65" i="2"/>
  <c r="V135" i="3"/>
  <c r="V26" i="4"/>
  <c r="U76" i="4"/>
  <c r="V102" i="4"/>
  <c r="V116" i="4"/>
  <c r="V92" i="4"/>
  <c r="V95" i="4"/>
  <c r="V87" i="4"/>
  <c r="V90" i="4"/>
  <c r="V100" i="4"/>
  <c r="V104" i="4"/>
  <c r="V105" i="4"/>
  <c r="V107" i="4"/>
  <c r="V110" i="4"/>
  <c r="V111" i="4"/>
  <c r="V115" i="4"/>
  <c r="V91" i="4"/>
  <c r="V99" i="4"/>
  <c r="V112" i="4"/>
  <c r="V114" i="4"/>
  <c r="V103" i="4"/>
  <c r="V113" i="4"/>
  <c r="V109" i="4"/>
  <c r="V86" i="4"/>
  <c r="V106" i="4"/>
  <c r="V88" i="4"/>
  <c r="V101" i="4"/>
  <c r="V98" i="4"/>
  <c r="V93" i="4"/>
  <c r="V108" i="4"/>
  <c r="V96" i="4"/>
  <c r="V97" i="4"/>
  <c r="V89" i="4"/>
  <c r="V94" i="4"/>
  <c r="V61" i="3"/>
  <c r="Z116" i="3"/>
  <c r="Z26" i="3"/>
  <c r="Z118" i="2"/>
  <c r="Z103" i="4"/>
  <c r="V59" i="4"/>
  <c r="Z24" i="3"/>
  <c r="Z93" i="2"/>
  <c r="U6" i="4"/>
  <c r="U53" i="3"/>
  <c r="U87" i="2"/>
  <c r="U68" i="3"/>
  <c r="V133" i="3"/>
  <c r="U75" i="2"/>
  <c r="Z99" i="2"/>
  <c r="A9" i="11" l="1" a="1"/>
  <c r="A6" i="11" s="1"/>
  <c r="A9" i="12" a="1"/>
  <c r="A6" i="12" s="1"/>
  <c r="A9" i="9" a="1"/>
  <c r="A9" i="11" l="1"/>
  <c r="T9" i="11" s="1"/>
  <c r="A9" i="12"/>
  <c r="T9" i="12" s="1"/>
  <c r="T10" i="9"/>
  <c r="T11" i="9"/>
  <c r="T25" i="9"/>
  <c r="T12" i="9"/>
  <c r="T13" i="9"/>
  <c r="T23" i="9"/>
  <c r="T14" i="9"/>
  <c r="T24" i="9"/>
  <c r="T15" i="9"/>
  <c r="T16" i="9"/>
  <c r="T17" i="9"/>
  <c r="T18" i="9"/>
  <c r="T19" i="9"/>
  <c r="T20" i="9"/>
  <c r="T21" i="9"/>
  <c r="T22" i="9"/>
  <c r="T11" i="12"/>
  <c r="T10" i="12"/>
  <c r="T12" i="12"/>
  <c r="T13" i="12"/>
  <c r="T14" i="11"/>
  <c r="T15" i="11"/>
  <c r="T27" i="11"/>
  <c r="T10" i="11"/>
  <c r="T16" i="11"/>
  <c r="T17" i="11"/>
  <c r="T18" i="11"/>
  <c r="T12" i="11"/>
  <c r="T19" i="11"/>
  <c r="T20" i="11"/>
  <c r="T11" i="11"/>
  <c r="T13" i="11"/>
  <c r="T21" i="11"/>
  <c r="T22" i="11"/>
  <c r="T24" i="11"/>
  <c r="T25" i="11"/>
  <c r="T28" i="11"/>
  <c r="T23" i="11"/>
  <c r="T26" i="11"/>
  <c r="A9" i="9"/>
  <c r="T9" i="9" s="1"/>
  <c r="A6" i="9"/>
  <c r="T2" i="12" l="1"/>
  <c r="T2" i="1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<sst xmlns="http://schemas.openxmlformats.org/spreadsheetml/2006/main" count="1622" uniqueCount="587">
  <si>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</si>
  <si>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</si>
  <si>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</si>
  <si>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</si>
  <si>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</si>
  <si>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</si>
  <si>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</si>
  <si>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</si>
  <si>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</si>
  <si>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</si>
  <si>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</si>
  <si>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</si>
  <si>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</si>
  <si>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</si>
  <si>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</si>
  <si>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</si>
  <si>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</si>
  <si>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</si>
  <si>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</si>
  <si>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</si>
  <si>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</si>
  <si>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</si>
  <si>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</si>
  <si>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</si>
  <si>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</si>
  <si>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</si>
  <si>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</si>
  <si>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</si>
  <si>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</si>
  <si>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</si>
  <si>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</si>
  <si>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</si>
  <si>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</si>
  <si>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</si>
  <si>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</si>
  <si>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</si>
  <si>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</si>
  <si>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</si>
  <si>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</si>
  <si>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</si>
  <si>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</si>
  <si>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</si>
  <si>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</si>
  <si>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</si>
  <si>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</si>
  <si>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</si>
  <si>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</si>
  <si>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</si>
  <si>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</si>
  <si>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</si>
  <si>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</si>
  <si>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</si>
  <si>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</si>
  <si>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</si>
  <si>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</si>
  <si>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</si>
  <si>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</si>
  <si>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</si>
  <si>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</si>
  <si>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</si>
  <si>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</si>
  <si>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</si>
  <si>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</si>
  <si>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</si>
  <si>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</si>
  <si>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</si>
  <si>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</si>
  <si>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</si>
  <si>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</si>
  <si>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</si>
  <si>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</si>
  <si>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</si>
  <si>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</si>
  <si>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</si>
  <si>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</si>
  <si>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</si>
  <si>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</si>
  <si>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</si>
  <si>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</si>
  <si>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</si>
  <si>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</si>
  <si>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</si>
  <si>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</si>
  <si>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</si>
  <si>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</si>
  <si>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</si>
  <si>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</si>
  <si>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</si>
  <si>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</si>
  <si>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</si>
  <si>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</si>
  <si>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</si>
  <si>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</si>
  <si>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</si>
  <si>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</si>
  <si>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</si>
  <si>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</si>
  <si>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</si>
  <si>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</si>
  <si>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</si>
  <si>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</si>
  <si>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</si>
  <si>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</si>
  <si>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</si>
  <si>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</si>
  <si>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Aerospace &amp; Defense</t>
  </si>
  <si>
    <t>AXON</t>
  </si>
  <si>
    <t>BA</t>
  </si>
  <si>
    <t>BWXT</t>
  </si>
  <si>
    <t>CW</t>
  </si>
  <si>
    <t>GD</t>
  </si>
  <si>
    <t>GE</t>
  </si>
  <si>
    <t>HEI</t>
  </si>
  <si>
    <t>HWM</t>
  </si>
  <si>
    <t>LHX</t>
  </si>
  <si>
    <t>LMT</t>
  </si>
  <si>
    <t>NOC</t>
  </si>
  <si>
    <t>RKLB</t>
  </si>
  <si>
    <t>RTX</t>
  </si>
  <si>
    <t>TDG</t>
  </si>
  <si>
    <t>TXT</t>
  </si>
  <si>
    <t>WWD</t>
  </si>
  <si>
    <t>Building Products</t>
  </si>
  <si>
    <t>AAON</t>
  </si>
  <si>
    <t>ALLE</t>
  </si>
  <si>
    <t>AOS</t>
  </si>
  <si>
    <t>BLDR</t>
  </si>
  <si>
    <t>CARR</t>
  </si>
  <si>
    <t>CSL</t>
  </si>
  <si>
    <t>JCI</t>
  </si>
  <si>
    <t>LII</t>
  </si>
  <si>
    <t>MAS</t>
  </si>
  <si>
    <t>OC</t>
  </si>
  <si>
    <t>TT</t>
  </si>
  <si>
    <t>WMS</t>
  </si>
  <si>
    <t>Construction &amp; Engineering</t>
  </si>
  <si>
    <t>ACM</t>
  </si>
  <si>
    <t>APG</t>
  </si>
  <si>
    <t>EME</t>
  </si>
  <si>
    <t>FIX</t>
  </si>
  <si>
    <t>MTZ</t>
  </si>
  <si>
    <t>PWR</t>
  </si>
  <si>
    <t>Electrical Equipment</t>
  </si>
  <si>
    <t>AME</t>
  </si>
  <si>
    <t>AYI</t>
  </si>
  <si>
    <t>EMR</t>
  </si>
  <si>
    <t>ETN</t>
  </si>
  <si>
    <t>GNRC</t>
  </si>
  <si>
    <t>HUBB</t>
  </si>
  <si>
    <t>NVT</t>
  </si>
  <si>
    <t>ROK</t>
  </si>
  <si>
    <t>RRX</t>
  </si>
  <si>
    <t>VRT</t>
  </si>
  <si>
    <t>GEV</t>
  </si>
  <si>
    <t>Industrial Conglomerates</t>
  </si>
  <si>
    <t>HON</t>
  </si>
  <si>
    <t>MMM</t>
  </si>
  <si>
    <t>Machinery</t>
  </si>
  <si>
    <t>ALSN</t>
  </si>
  <si>
    <t>CAT</t>
  </si>
  <si>
    <t>CMI</t>
  </si>
  <si>
    <t>PCAR</t>
  </si>
  <si>
    <t>WAB</t>
  </si>
  <si>
    <t>DE</t>
  </si>
  <si>
    <t>CR</t>
  </si>
  <si>
    <t>DOV</t>
  </si>
  <si>
    <t>FTV</t>
  </si>
  <si>
    <t>GGG</t>
  </si>
  <si>
    <t>IEX</t>
  </si>
  <si>
    <t>IR</t>
  </si>
  <si>
    <t>ITT</t>
  </si>
  <si>
    <t>ITW</t>
  </si>
  <si>
    <t>LECO</t>
  </si>
  <si>
    <t>MHVIY</t>
  </si>
  <si>
    <t>NDSN</t>
  </si>
  <si>
    <t>OTIS</t>
  </si>
  <si>
    <t>PH</t>
  </si>
  <si>
    <t>PNR</t>
  </si>
  <si>
    <t>RBC</t>
  </si>
  <si>
    <t>SNA</t>
  </si>
  <si>
    <t>SWK</t>
  </si>
  <si>
    <t>XYL</t>
  </si>
  <si>
    <t>Trading Companies &amp; Distributors</t>
  </si>
  <si>
    <t>AER</t>
  </si>
  <si>
    <t>AIT</t>
  </si>
  <si>
    <t>CNM</t>
  </si>
  <si>
    <t>FAST</t>
  </si>
  <si>
    <t>FERG</t>
  </si>
  <si>
    <t>GWW</t>
  </si>
  <si>
    <t>URI</t>
  </si>
  <si>
    <t>WCC</t>
  </si>
  <si>
    <t>WSO</t>
  </si>
  <si>
    <t>Commercial Services &amp; Supplies</t>
  </si>
  <si>
    <t>CLH</t>
  </si>
  <si>
    <t>GFL</t>
  </si>
  <si>
    <t>ROL</t>
  </si>
  <si>
    <t>RSG</t>
  </si>
  <si>
    <t>RTO</t>
  </si>
  <si>
    <t>TTEK</t>
  </si>
  <si>
    <t>VLTO</t>
  </si>
  <si>
    <t>WCN</t>
  </si>
  <si>
    <t>WM</t>
  </si>
  <si>
    <t>CPRT</t>
  </si>
  <si>
    <t>CTAS</t>
  </si>
  <si>
    <t>RBA</t>
  </si>
  <si>
    <t>Professional Services</t>
  </si>
  <si>
    <t>ADP</t>
  </si>
  <si>
    <t>DAY</t>
  </si>
  <si>
    <t>PAYC</t>
  </si>
  <si>
    <t>PAYX</t>
  </si>
  <si>
    <t>PCTY</t>
  </si>
  <si>
    <t>BAH</t>
  </si>
  <si>
    <t>CACI</t>
  </si>
  <si>
    <t>EFX</t>
  </si>
  <si>
    <t>J</t>
  </si>
  <si>
    <t>LDOS</t>
  </si>
  <si>
    <t>PSN</t>
  </si>
  <si>
    <t>RELX</t>
  </si>
  <si>
    <t>TRI</t>
  </si>
  <si>
    <t>TRU</t>
  </si>
  <si>
    <t>ULS</t>
  </si>
  <si>
    <t>VRSK</t>
  </si>
  <si>
    <t>BR</t>
  </si>
  <si>
    <t>SSNC</t>
  </si>
  <si>
    <t>Air Freight &amp; Logistics</t>
  </si>
  <si>
    <t>CHRW</t>
  </si>
  <si>
    <t>EXPD</t>
  </si>
  <si>
    <t>FDX</t>
  </si>
  <si>
    <t>UPS</t>
  </si>
  <si>
    <t>ZTO</t>
  </si>
  <si>
    <t>Passenger Airlines</t>
  </si>
  <si>
    <t>AAL</t>
  </si>
  <si>
    <t>DAL</t>
  </si>
  <si>
    <t>LUV</t>
  </si>
  <si>
    <t>RYAAY</t>
  </si>
  <si>
    <t>UAL</t>
  </si>
  <si>
    <t>Ground Transportation</t>
  </si>
  <si>
    <t>CNI</t>
  </si>
  <si>
    <t>CP</t>
  </si>
  <si>
    <t>CSX</t>
  </si>
  <si>
    <t>NSC</t>
  </si>
  <si>
    <t>UNP</t>
  </si>
  <si>
    <t>JBHT</t>
  </si>
  <si>
    <t>ODFL</t>
  </si>
  <si>
    <t>SAIA</t>
  </si>
  <si>
    <t>TFII</t>
  </si>
  <si>
    <t>UHAL</t>
  </si>
  <si>
    <t>XPO</t>
  </si>
  <si>
    <t>YMM</t>
  </si>
  <si>
    <t>UBER</t>
  </si>
  <si>
    <t>Marine Transportation</t>
  </si>
  <si>
    <t>Transportation Infrastructure</t>
  </si>
  <si>
    <t>ACHR</t>
  </si>
  <si>
    <t>AIR</t>
  </si>
  <si>
    <t>AVAV</t>
  </si>
  <si>
    <t>BDRBF</t>
  </si>
  <si>
    <t>CAE</t>
  </si>
  <si>
    <t>DRS</t>
  </si>
  <si>
    <t>ERJ</t>
  </si>
  <si>
    <t>HII</t>
  </si>
  <si>
    <t>HXL</t>
  </si>
  <si>
    <t>KTOS</t>
  </si>
  <si>
    <t>LOAR</t>
  </si>
  <si>
    <t>MRCY</t>
  </si>
  <si>
    <t>SARO</t>
  </si>
  <si>
    <t>SPR</t>
  </si>
  <si>
    <t>AWI</t>
  </si>
  <si>
    <t>AZEK</t>
  </si>
  <si>
    <t>AZZ</t>
  </si>
  <si>
    <t>CSWI</t>
  </si>
  <si>
    <t>FBIN</t>
  </si>
  <si>
    <t>GFF</t>
  </si>
  <si>
    <t>HAYW</t>
  </si>
  <si>
    <t>MBC</t>
  </si>
  <si>
    <t>REZI</t>
  </si>
  <si>
    <t>ROCK</t>
  </si>
  <si>
    <t>SSD</t>
  </si>
  <si>
    <t>TGLS</t>
  </si>
  <si>
    <t>TREX</t>
  </si>
  <si>
    <t>UFPI</t>
  </si>
  <si>
    <t>ZWS</t>
  </si>
  <si>
    <t>ACA</t>
  </si>
  <si>
    <t>CDLR</t>
  </si>
  <si>
    <t>DY</t>
  </si>
  <si>
    <t>ECG</t>
  </si>
  <si>
    <t>FLR</t>
  </si>
  <si>
    <t>GVA</t>
  </si>
  <si>
    <t>IESC</t>
  </si>
  <si>
    <t>MYRG</t>
  </si>
  <si>
    <t>PRIM</t>
  </si>
  <si>
    <t>ROAD</t>
  </si>
  <si>
    <t>STN</t>
  </si>
  <si>
    <t>STRL</t>
  </si>
  <si>
    <t>TISCY</t>
  </si>
  <si>
    <t>VMI</t>
  </si>
  <si>
    <t>WSC</t>
  </si>
  <si>
    <t>ATKR</t>
  </si>
  <si>
    <t>ENS</t>
  </si>
  <si>
    <t>FLNC</t>
  </si>
  <si>
    <t>NXT</t>
  </si>
  <si>
    <t>PLUG</t>
  </si>
  <si>
    <t>POWL</t>
  </si>
  <si>
    <t>RUN</t>
  </si>
  <si>
    <t>ST</t>
  </si>
  <si>
    <t>VICR</t>
  </si>
  <si>
    <t>BE</t>
  </si>
  <si>
    <t>SMR</t>
  </si>
  <si>
    <t>IEP</t>
  </si>
  <si>
    <t>ATMU</t>
  </si>
  <si>
    <t>FSS</t>
  </si>
  <si>
    <t>GBX</t>
  </si>
  <si>
    <t>OSK</t>
  </si>
  <si>
    <t>TEX</t>
  </si>
  <si>
    <t>TRN</t>
  </si>
  <si>
    <t>AGCO</t>
  </si>
  <si>
    <t>ALG</t>
  </si>
  <si>
    <t>TTC</t>
  </si>
  <si>
    <t>AIN</t>
  </si>
  <si>
    <t>ATS</t>
  </si>
  <si>
    <t>B</t>
  </si>
  <si>
    <t>DCI</t>
  </si>
  <si>
    <t>DFKCY</t>
  </si>
  <si>
    <t>EPAC</t>
  </si>
  <si>
    <t>ESAB</t>
  </si>
  <si>
    <t>ESE</t>
  </si>
  <si>
    <t>FELE</t>
  </si>
  <si>
    <t>FLS</t>
  </si>
  <si>
    <t>GTES</t>
  </si>
  <si>
    <t>GTLS</t>
  </si>
  <si>
    <t>HI</t>
  </si>
  <si>
    <t>HLMN</t>
  </si>
  <si>
    <t>JBT</t>
  </si>
  <si>
    <t>KAI</t>
  </si>
  <si>
    <t>KMT</t>
  </si>
  <si>
    <t>KTWIY</t>
  </si>
  <si>
    <t>MIDD</t>
  </si>
  <si>
    <t>MLI</t>
  </si>
  <si>
    <t>MSSMY</t>
  </si>
  <si>
    <t>MWA</t>
  </si>
  <si>
    <t>NPO</t>
  </si>
  <si>
    <t>SPXC</t>
  </si>
  <si>
    <t>SXI</t>
  </si>
  <si>
    <t>TKR</t>
  </si>
  <si>
    <t>WTS</t>
  </si>
  <si>
    <t>AL</t>
  </si>
  <si>
    <t>BCC</t>
  </si>
  <si>
    <t>BECN</t>
  </si>
  <si>
    <t>GATX</t>
  </si>
  <si>
    <t>GMS</t>
  </si>
  <si>
    <t>HEES</t>
  </si>
  <si>
    <t>HRI</t>
  </si>
  <si>
    <t>MGRC</t>
  </si>
  <si>
    <t>MSM</t>
  </si>
  <si>
    <t>RUSHA</t>
  </si>
  <si>
    <t>RUSHB</t>
  </si>
  <si>
    <t>SITE</t>
  </si>
  <si>
    <t>BRC</t>
  </si>
  <si>
    <t>ABM</t>
  </si>
  <si>
    <t>CWST</t>
  </si>
  <si>
    <t>HNI</t>
  </si>
  <si>
    <t>MSA</t>
  </si>
  <si>
    <t>ACVA</t>
  </si>
  <si>
    <t>DRVN</t>
  </si>
  <si>
    <t>KAR</t>
  </si>
  <si>
    <t>UNF</t>
  </si>
  <si>
    <t>VSEC</t>
  </si>
  <si>
    <t>VSTS</t>
  </si>
  <si>
    <t>BCO</t>
  </si>
  <si>
    <t>CXW</t>
  </si>
  <si>
    <t>GEO</t>
  </si>
  <si>
    <t>ALIT</t>
  </si>
  <si>
    <t>FA</t>
  </si>
  <si>
    <t>KFY</t>
  </si>
  <si>
    <t>MAN</t>
  </si>
  <si>
    <t>NSP</t>
  </si>
  <si>
    <t>PYCR</t>
  </si>
  <si>
    <t>RHI</t>
  </si>
  <si>
    <t>TNET</t>
  </si>
  <si>
    <t>UPWK</t>
  </si>
  <si>
    <t>AMTM</t>
  </si>
  <si>
    <t>CBZ</t>
  </si>
  <si>
    <t>CLVT</t>
  </si>
  <si>
    <t>DNB</t>
  </si>
  <si>
    <t>EXPO</t>
  </si>
  <si>
    <t>FCN</t>
  </si>
  <si>
    <t>HURN</t>
  </si>
  <si>
    <t>ICFI</t>
  </si>
  <si>
    <t>KBR</t>
  </si>
  <si>
    <t>SAIC</t>
  </si>
  <si>
    <t>CNXC</t>
  </si>
  <si>
    <t>EXLS</t>
  </si>
  <si>
    <t>G</t>
  </si>
  <si>
    <t>MMS</t>
  </si>
  <si>
    <t>VRRM</t>
  </si>
  <si>
    <t>WNS</t>
  </si>
  <si>
    <t>GXO</t>
  </si>
  <si>
    <t>HUBG</t>
  </si>
  <si>
    <t>ALK</t>
  </si>
  <si>
    <t>CPA</t>
  </si>
  <si>
    <t>JBLU</t>
  </si>
  <si>
    <t>JOBY</t>
  </si>
  <si>
    <t>LTM</t>
  </si>
  <si>
    <t>SKYW</t>
  </si>
  <si>
    <t>KEX</t>
  </si>
  <si>
    <t>MATX</t>
  </si>
  <si>
    <t>ZIM</t>
  </si>
  <si>
    <t>ARCB</t>
  </si>
  <si>
    <t>KNX</t>
  </si>
  <si>
    <t>LSTR</t>
  </si>
  <si>
    <t>R</t>
  </si>
  <si>
    <t>RXO</t>
  </si>
  <si>
    <t>SNDR</t>
  </si>
  <si>
    <t>WERN</t>
  </si>
  <si>
    <t>CAR</t>
  </si>
  <si>
    <t>LYFT</t>
  </si>
  <si>
    <t>ASR</t>
  </si>
  <si>
    <t>CAAP</t>
  </si>
  <si>
    <t>OMAB</t>
  </si>
  <si>
    <t>PAC</t>
  </si>
  <si>
    <t>ASLE</t>
  </si>
  <si>
    <t>ATRO</t>
  </si>
  <si>
    <t>BYRN</t>
  </si>
  <si>
    <t>CDRE</t>
  </si>
  <si>
    <t>DCO</t>
  </si>
  <si>
    <t>EH</t>
  </si>
  <si>
    <t>EVEX</t>
  </si>
  <si>
    <t>LUNR</t>
  </si>
  <si>
    <t>NPK</t>
  </si>
  <si>
    <t>PKE</t>
  </si>
  <si>
    <t>RDW</t>
  </si>
  <si>
    <t>TGI</t>
  </si>
  <si>
    <t>VVX</t>
  </si>
  <si>
    <t>AMWD</t>
  </si>
  <si>
    <t>APOG</t>
  </si>
  <si>
    <t>IIIN</t>
  </si>
  <si>
    <t>JBI</t>
  </si>
  <si>
    <t>JELD</t>
  </si>
  <si>
    <t>NX</t>
  </si>
  <si>
    <t>AGX</t>
  </si>
  <si>
    <t>AMRC</t>
  </si>
  <si>
    <t>BBCP</t>
  </si>
  <si>
    <t>BWMN</t>
  </si>
  <si>
    <t>CTRI</t>
  </si>
  <si>
    <t>GLDD</t>
  </si>
  <si>
    <t>LMB</t>
  </si>
  <si>
    <t>MTRX</t>
  </si>
  <si>
    <t>NWPX</t>
  </si>
  <si>
    <t>ORN</t>
  </si>
  <si>
    <t>TPC</t>
  </si>
  <si>
    <t>ALNT</t>
  </si>
  <si>
    <t>AMSC</t>
  </si>
  <si>
    <t>ARRY</t>
  </si>
  <si>
    <t>BLDP</t>
  </si>
  <si>
    <t>CHPT</t>
  </si>
  <si>
    <t>EAF</t>
  </si>
  <si>
    <t>ENVX</t>
  </si>
  <si>
    <t>EOSE</t>
  </si>
  <si>
    <t>KULR</t>
  </si>
  <si>
    <t>LYTS</t>
  </si>
  <si>
    <t>PLPC</t>
  </si>
  <si>
    <t>SDST</t>
  </si>
  <si>
    <t>SHLS</t>
  </si>
  <si>
    <t>THR</t>
  </si>
  <si>
    <t>XCH</t>
  </si>
  <si>
    <t>NNE</t>
  </si>
  <si>
    <t>NPWR</t>
  </si>
  <si>
    <t>NRGV</t>
  </si>
  <si>
    <t>BBU</t>
  </si>
  <si>
    <t>BBUC</t>
  </si>
  <si>
    <t>ASTE</t>
  </si>
  <si>
    <t>BLBD</t>
  </si>
  <si>
    <t>CYD</t>
  </si>
  <si>
    <t>HYLN</t>
  </si>
  <si>
    <t>MLR</t>
  </si>
  <si>
    <t>MTW</t>
  </si>
  <si>
    <t>MVST</t>
  </si>
  <si>
    <t>PLOW</t>
  </si>
  <si>
    <t>REVG</t>
  </si>
  <si>
    <t>SHYF</t>
  </si>
  <si>
    <t>WNC</t>
  </si>
  <si>
    <t>LNN</t>
  </si>
  <si>
    <t>TWI</t>
  </si>
  <si>
    <t>AIRJ</t>
  </si>
  <si>
    <t>CMCO</t>
  </si>
  <si>
    <t>DDD</t>
  </si>
  <si>
    <t>ERII</t>
  </si>
  <si>
    <t>FSTR</t>
  </si>
  <si>
    <t>GENC</t>
  </si>
  <si>
    <t>GHM</t>
  </si>
  <si>
    <t>GRC</t>
  </si>
  <si>
    <t>HLIO</t>
  </si>
  <si>
    <t>HY</t>
  </si>
  <si>
    <t>LXFR</t>
  </si>
  <si>
    <t>MEC</t>
  </si>
  <si>
    <t>NNDM</t>
  </si>
  <si>
    <t>OFLX</t>
  </si>
  <si>
    <t>PKOH</t>
  </si>
  <si>
    <t>PRLB</t>
  </si>
  <si>
    <t>SISXF</t>
  </si>
  <si>
    <t>TNC</t>
  </si>
  <si>
    <t>ALTG</t>
  </si>
  <si>
    <t>BXC</t>
  </si>
  <si>
    <t>CTOS</t>
  </si>
  <si>
    <t>DNOW</t>
  </si>
  <si>
    <t>DSGR</t>
  </si>
  <si>
    <t>DXPE</t>
  </si>
  <si>
    <t>EVI</t>
  </si>
  <si>
    <t>GIC</t>
  </si>
  <si>
    <t>HDSN</t>
  </si>
  <si>
    <t>KRT</t>
  </si>
  <si>
    <t>MRC</t>
  </si>
  <si>
    <t>TITN</t>
  </si>
  <si>
    <t>TRNS</t>
  </si>
  <si>
    <t>WLFC</t>
  </si>
  <si>
    <t>XMTR</t>
  </si>
  <si>
    <t>ZKH</t>
  </si>
  <si>
    <t>DLX</t>
  </si>
  <si>
    <t>EBF</t>
  </si>
  <si>
    <t>QUAD</t>
  </si>
  <si>
    <t>SFHG</t>
  </si>
  <si>
    <t>ARIS</t>
  </si>
  <si>
    <t>BV</t>
  </si>
  <si>
    <t>CECO</t>
  </si>
  <si>
    <t>MEG</t>
  </si>
  <si>
    <t>NVRI</t>
  </si>
  <si>
    <t>ACCO</t>
  </si>
  <si>
    <t>CIX</t>
  </si>
  <si>
    <t>MLKN</t>
  </si>
  <si>
    <t>NL</t>
  </si>
  <si>
    <t>PBI</t>
  </si>
  <si>
    <t>SCS</t>
  </si>
  <si>
    <t>TILE</t>
  </si>
  <si>
    <t>VIRC</t>
  </si>
  <si>
    <t>CVEO</t>
  </si>
  <si>
    <t>HCSG</t>
  </si>
  <si>
    <t>LQDT</t>
  </si>
  <si>
    <t>MATW</t>
  </si>
  <si>
    <t>VVI</t>
  </si>
  <si>
    <t>BBSI</t>
  </si>
  <si>
    <t>FVRR</t>
  </si>
  <si>
    <t>HSII</t>
  </si>
  <si>
    <t>KELYA</t>
  </si>
  <si>
    <t>KELYB</t>
  </si>
  <si>
    <t>KFRC</t>
  </si>
  <si>
    <t>BKSY</t>
  </si>
  <si>
    <t>CRAI</t>
  </si>
  <si>
    <t>FC</t>
  </si>
  <si>
    <t>FORR</t>
  </si>
  <si>
    <t>INOD</t>
  </si>
  <si>
    <t>LZ</t>
  </si>
  <si>
    <t>MG</t>
  </si>
  <si>
    <t>NVEE</t>
  </si>
  <si>
    <t>PL</t>
  </si>
  <si>
    <t>RGP</t>
  </si>
  <si>
    <t>SPIR</t>
  </si>
  <si>
    <t>WLDN</t>
  </si>
  <si>
    <t>CNDT</t>
  </si>
  <si>
    <t>CSGS</t>
  </si>
  <si>
    <t>TASK</t>
  </si>
  <si>
    <t>TIXT</t>
  </si>
  <si>
    <t>ATSG</t>
  </si>
  <si>
    <t>FLX</t>
  </si>
  <si>
    <t>FWRD</t>
  </si>
  <si>
    <t>RLGT</t>
  </si>
  <si>
    <t>ALGT</t>
  </si>
  <si>
    <t>AZUL</t>
  </si>
  <si>
    <t>BLDE</t>
  </si>
  <si>
    <t>SNCY</t>
  </si>
  <si>
    <t>ULCC</t>
  </si>
  <si>
    <t>UP</t>
  </si>
  <si>
    <t>VLRS</t>
  </si>
  <si>
    <t>CMRE</t>
  </si>
  <si>
    <t>DAC</t>
  </si>
  <si>
    <t>GNK</t>
  </si>
  <si>
    <t>GSL</t>
  </si>
  <si>
    <t>NMM</t>
  </si>
  <si>
    <t>SB</t>
  </si>
  <si>
    <t>FIP</t>
  </si>
  <si>
    <t>CVLG</t>
  </si>
  <si>
    <t>HTLD</t>
  </si>
  <si>
    <t>MRTN</t>
  </si>
  <si>
    <t>PAL</t>
  </si>
  <si>
    <t>PAMT</t>
  </si>
  <si>
    <t>ULH</t>
  </si>
  <si>
    <t>HTZ</t>
  </si>
  <si>
    <t>SKYH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</si>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</sst>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7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47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48.2</v>
        <stp/>
        <stp>LAST</stp>
        <stp>MHVIY</stp>
        <tr r="D94" s="2"/>
      </tp>
      <tp>
        <v>112</v>
        <stp/>
        <stp>LAST</stp>
        <stp>VRT</stp>
        <tr r="D62" s="2"/>
      </tp>
      <tp>
        <v>44.93</v>
        <stp/>
        <stp>LAST</stp>
        <stp>VVX</stp>
        <tr r="D14" s="4"/>
      </tp>
      <tp>
        <v>42.51</v>
        <stp/>
        <stp>LAST</stp>
        <stp>VVI</stp>
        <tr r="D46" s="4"/>
      </tp>
      <tp>
        <v>324.7</v>
        <stp/>
        <stp>LAST</stp>
        <stp>VMI</stp>
        <tr r="D60" s="3"/>
      </tp>
      <tp>
        <v>75.91</v>
        <stp/>
        <stp>LAST</stp>
        <stp>KTWIY</stp>
        <tr r="D109" s="3"/>
      </tp>
      <tp>
        <v>28.29</v>
        <stp/>
        <stp>LAST</stp>
        <stp>WSC</stp>
        <tr r="D61" s="3"/>
      </tp>
      <tp>
        <v>444.48</v>
        <stp/>
        <stp>LAST</stp>
        <stp>WSO</stp>
        <tr r="D134" s="2"/>
      </tp>
      <tp>
        <v>234.56</v>
        <stp/>
        <stp>LAST</stp>
        <stp>WWD</stp>
        <tr r="D17" s="2"/>
      </tp>
      <tp>
        <v>245.25</v>
        <stp/>
        <stp>LAST</stp>
        <stp>WTS</stp>
        <tr r="D118" s="3"/>
      </tp>
      <tp>
        <v>59.61</v>
        <stp/>
        <stp>LAST</stp>
        <stp>WNS</stp>
        <tr r="D152" s="3"/>
      </tp>
      <tp>
        <v>9.92</v>
        <stp/>
        <stp>LAST</stp>
        <stp>WNC</stp>
        <tr r="D96" s="4"/>
      </tp>
      <tp>
        <v>116.75</v>
        <stp/>
        <stp>LAST</stp>
        <stp>WMS</stp>
        <tr r="D34" s="2"/>
      </tp>
      <tp>
        <v>176.51</v>
        <stp/>
        <stp>LAST</stp>
        <stp>WCC</stp>
        <tr r="D133" s="2"/>
      </tp>
      <tp>
        <v>188.99</v>
        <stp/>
        <stp>LAST</stp>
        <stp>WCN</stp>
        <tr r="D42" s="2"/>
      </tp>
      <tp>
        <v>205.37</v>
        <stp/>
        <stp>LAST</stp>
        <stp>WAB</stp>
        <tr r="D83" s="2"/>
      </tp>
      <tp>
        <v>77.08</v>
        <stp/>
        <stp>LAST</stp>
        <stp>TXT</stp>
        <tr r="D16" s="2"/>
      </tp>
      <tp>
        <v>87.36</v>
        <stp/>
        <stp>LAST</stp>
        <stp>TRU</stp>
        <tr r="D121" s="2"/>
      </tp>
      <tp>
        <v>26.34</v>
        <stp/>
        <stp>LAST</stp>
        <stp>TRN</stp>
        <tr r="D88" s="3"/>
      </tp>
      <tp>
        <v>192.66</v>
        <stp/>
        <stp>LAST</stp>
        <stp>TRI</stp>
        <tr r="D120" s="2"/>
      </tp>
      <tp>
        <v>40.56</v>
        <stp/>
        <stp>LAST</stp>
        <stp>TPC</stp>
        <tr r="D57" s="4"/>
      </tp>
      <tp>
        <v>9.32</v>
        <stp/>
        <stp>LAST</stp>
        <stp>TWI</stp>
        <tr r="D98" s="4"/>
      </tp>
      <tp>
        <v>71.41</v>
        <stp/>
        <stp>LAST</stp>
        <stp>TTC</stp>
        <tr r="D91" s="3"/>
      </tp>
      <tp>
        <v>72.63</v>
        <stp/>
        <stp>LAST</stp>
        <stp>TKR</stp>
        <tr r="D117" s="3"/>
      </tp>
      <tp>
        <v>27.86</v>
        <stp/>
        <stp>LAST</stp>
        <stp>THR</stp>
        <tr r="D71" s="4"/>
      </tp>
      <tp>
        <v>75.63</v>
        <stp/>
        <stp>LAST</stp>
        <stp>TNC</stp>
        <tr r="D116" s="4"/>
      </tp>
      <tp>
        <v>25.94</v>
        <stp/>
        <stp>LAST</stp>
        <stp>TGI</stp>
        <tr r="D13" s="4"/>
      </tp>
      <tp>
        <v>1460.06</v>
        <stp/>
        <stp>LAST</stp>
        <stp>TDG</stp>
        <tr r="D15" s="2"/>
      </tp>
      <tp>
        <v>47.63</v>
        <stp/>
        <stp>LAST</stp>
        <stp>TEX</stp>
        <tr r="D87" s="3"/>
      </tp>
      <tp>
        <v>707.21</v>
        <stp/>
        <stp>LAST</stp>
        <stp>URI</stp>
        <tr r="D132" s="2"/>
      </tp>
      <tp>
        <v>99.31</v>
        <stp/>
        <stp>LAST</stp>
        <stp>UPS</stp>
        <tr r="D21" s="2"/>
      </tp>
      <tp>
        <v>224.14</v>
        <stp/>
        <stp>LAST</stp>
        <stp>UNP</stp>
        <tr r="D68" s="2"/>
      </tp>
      <tp>
        <v>189.64</v>
        <stp/>
        <stp>LAST</stp>
        <stp>UNF</stp>
        <tr r="D41" s="3"/>
      </tp>
      <tp>
        <v>70.55</v>
        <stp/>
        <stp>LAST</stp>
        <stp>ULS</stp>
        <tr r="D122" s="2"/>
      </tp>
      <tp>
        <v>24.69</v>
        <stp/>
        <stp>LAST</stp>
        <stp>ULH</stp>
        <tr r="D82" s="4"/>
      </tp>
      <tp>
        <v>83.47</v>
        <stp/>
        <stp>LAST</stp>
        <stp>UAL</stp>
        <tr r="D107" s="2"/>
      </tp>
      <tp>
        <v>77.48</v>
        <stp/>
        <stp>LAST</stp>
        <stp>BDRBF</stp>
        <tr r="D5" s="3"/>
      </tp>
      <tp>
        <v>16.21</v>
        <stp/>
        <stp>LAST</stp>
        <stp>RXO</stp>
        <tr r="D77" s="3"/>
      </tp>
      <tp>
        <v>142.09</v>
        <stp/>
        <stp>LAST</stp>
        <stp>RRX</stp>
        <tr r="D61" s="2"/>
      </tp>
      <tp>
        <v>249.4</v>
        <stp/>
        <stp>LAST</stp>
        <stp>RSG</stp>
        <tr r="D38" s="2"/>
      </tp>
      <tp>
        <v>140.97999999999999</v>
        <stp/>
        <stp>LAST</stp>
        <stp>RTX</stp>
        <tr r="D14" s="2"/>
      </tp>
      <tp>
        <v>23.8</v>
        <stp/>
        <stp>LAST</stp>
        <stp>RTO</stp>
        <tr r="D39" s="2"/>
      </tp>
      <tp>
        <v>8.27</v>
        <stp/>
        <stp>LAST</stp>
        <stp>RUN</stp>
        <tr r="D68" s="3"/>
      </tp>
      <tp>
        <v>44.5</v>
        <stp/>
        <stp>LAST</stp>
        <stp>RHI</stp>
        <tr r="D134" s="3"/>
      </tp>
      <tp>
        <v>57.06</v>
        <stp/>
        <stp>LAST</stp>
        <stp>ROL</stp>
        <tr r="D37" s="2"/>
      </tp>
      <tp>
        <v>324.35000000000002</v>
        <stp/>
        <stp>LAST</stp>
        <stp>ROK</stp>
        <tr r="D60" s="2"/>
      </tp>
      <tp>
        <v>381.22</v>
        <stp/>
        <stp>LAST</stp>
        <stp>RBC</stp>
        <tr r="D99" s="2"/>
      </tp>
      <tp>
        <v>106.16</v>
        <stp/>
        <stp>LAST</stp>
        <stp>RBA</stp>
        <tr r="D46" s="2"/>
      </tp>
      <tp>
        <v>5.32</v>
        <stp/>
        <stp>LAST</stp>
        <stp>RGP</stp>
        <tr r="D145" s="4"/>
      </tp>
      <tp>
        <v>19.96</v>
        <stp/>
        <stp>LAST</stp>
        <stp>RDW</stp>
        <tr r="D12" s="4"/>
      </tp>
      <tp>
        <v>14.1335</v>
        <stp/>
        <stp>LAST</stp>
        <stp>SISXF</stp>
        <tr r="D115" s="4"/>
      </tp>
      <tp>
        <v>14.2</v>
        <stp/>
        <stp>LAST</stp>
        <stp>TISCY</stp>
        <tr r="D59" s="3"/>
      </tp>
      <tp>
        <v>51.31</v>
        <stp/>
        <stp>LAST</stp>
        <stp>RUSHA</stp>
        <tr r="D162" s="3"/>
      </tp>
      <tp>
        <v>51.53</v>
        <stp/>
        <stp>LAST</stp>
        <stp>RUSHB</stp>
        <tr r="D163" s="3"/>
      </tp>
      <tp>
        <v>6.45</v>
        <stp/>
        <stp>LAST</stp>
        <stp>MSSMY</stp>
        <tr r="D112" s="3"/>
      </tp>
      <tp>
        <v>156.59</v>
        <stp/>
        <stp>LAST</stp>
        <stp>SXI</stp>
        <tr r="D116" s="3"/>
      </tp>
      <tp>
        <v>158.86000000000001</v>
        <stp/>
        <stp>LAST</stp>
        <stp>SSD</stp>
        <tr r="D28" s="3"/>
      </tp>
      <tp>
        <v>38.72</v>
        <stp/>
        <stp>LAST</stp>
        <stp>SPR</stp>
        <tr r="D15" s="3"/>
      </tp>
      <tp>
        <v>67.209999999999994</v>
        <stp/>
        <stp>LAST</stp>
        <stp>SWK</stp>
        <tr r="D101" s="2"/>
      </tp>
      <tp>
        <v>104.98</v>
        <stp/>
        <stp>LAST</stp>
        <stp>STN</stp>
        <tr r="D57" s="3"/>
      </tp>
      <tp>
        <v>320.76</v>
        <stp/>
        <stp>LAST</stp>
        <stp>SNA</stp>
        <tr r="D100" s="2"/>
      </tp>
      <tp>
        <v>35.24</v>
        <stp/>
        <stp>LAST</stp>
        <stp>SMR</stp>
        <tr r="D72" s="3"/>
      </tp>
      <tp>
        <v>10.57</v>
        <stp/>
        <stp>LAST</stp>
        <stp>SCS</stp>
        <tr r="D39" s="4"/>
      </tp>
      <tp>
        <v>69.52</v>
        <stp/>
        <stp>LAST</stp>
        <stp>PSN</stp>
        <tr r="D118" s="2"/>
      </tp>
      <tp>
        <v>355.66</v>
        <stp/>
        <stp>LAST</stp>
        <stp>PWR</stp>
        <tr r="D52" s="2"/>
      </tp>
      <tp>
        <v>14.11</v>
        <stp/>
        <stp>LAST</stp>
        <stp>PKE</stp>
        <tr r="D11" s="4"/>
      </tp>
      <tp>
        <v>99.67</v>
        <stp/>
        <stp>LAST</stp>
        <stp>PNR</stp>
        <tr r="D98" s="2"/>
      </tp>
      <tp>
        <v>10.53</v>
        <stp/>
        <stp>LAST</stp>
        <stp>PBI</stp>
        <tr r="D38" s="4"/>
      </tp>
      <tp>
        <v>237.93</v>
        <stp/>
        <stp>LAST</stp>
        <stp>PAC</stp>
        <tr r="D168" s="3"/>
      </tp>
      <tp>
        <v>7.54</v>
        <stp/>
        <stp>LAST</stp>
        <stp>PAL</stp>
        <tr r="D80" s="4"/>
      </tp>
      <tp>
        <v>36.590000000000003</v>
        <stp/>
        <stp>LAST</stp>
        <stp>ZWS</stp>
        <tr r="D32" s="3"/>
      </tp>
      <tp>
        <v>17.8</v>
        <stp/>
        <stp>LAST</stp>
        <stp>ZTO</stp>
        <tr r="D22" s="2"/>
      </tp>
      <tp>
        <v>3.04</v>
        <stp/>
        <stp>LAST</stp>
        <stp>ZKH</stp>
        <tr r="D167" s="4"/>
      </tp>
      <tp>
        <v>17.38</v>
        <stp/>
        <stp>LAST</stp>
        <stp>ZIM</stp>
        <tr r="D121" s="3"/>
      </tp>
      <tp>
        <v>127.63</v>
        <stp/>
        <stp>LAST</stp>
        <stp>XYL</stp>
        <tr r="D102" s="2"/>
      </tp>
      <tp>
        <v>119.54</v>
        <stp/>
        <stp>LAST</stp>
        <stp>XPO</stp>
        <tr r="D74" s="2"/>
      </tp>
      <tp>
        <v>1.33</v>
        <stp/>
        <stp>LAST</stp>
        <stp>XCH</stp>
        <tr r="D72" s="4"/>
      </tp>
      <tp>
        <v>12.36</v>
        <stp/>
        <stp>LAST</stp>
        <stp>YMM</stp>
        <tr r="D75" s="2"/>
      </tp>
      <tp>
        <v>100.46</v>
        <stp/>
        <stp>LAST</stp>
        <stp>FSS</stp>
        <tr r="D84" s="3"/>
      </tp>
      <tp>
        <v>73.209999999999994</v>
        <stp/>
        <stp>LAST</stp>
        <stp>FTV</stp>
        <tr r="D87" s="2"/>
      </tp>
      <tp>
        <v>6.44</v>
        <stp/>
        <stp>LAST</stp>
        <stp>FIP</stp>
        <tr r="D76" s="4"/>
      </tp>
      <tp>
        <v>501.33</v>
        <stp/>
        <stp>LAST</stp>
        <stp>FIX</stp>
        <tr r="D50" s="2"/>
      </tp>
      <tp>
        <v>45.14</v>
        <stp/>
        <stp>LAST</stp>
        <stp>FLR</stp>
        <tr r="D51" s="3"/>
      </tp>
      <tp>
        <v>48.17</v>
        <stp/>
        <stp>LAST</stp>
        <stp>FLS</stp>
        <tr r="D101" s="3"/>
      </tp>
      <tp>
        <v>3.12</v>
        <stp/>
        <stp>LAST</stp>
        <stp>FLX</stp>
        <tr r="D16" s="4"/>
      </tp>
      <tp>
        <v>160.05000000000001</v>
        <stp/>
        <stp>LAST</stp>
        <stp>FCN</stp>
        <tr r="D142" s="3"/>
      </tp>
      <tp>
        <v>222.18</v>
        <stp/>
        <stp>LAST</stp>
        <stp>FDX</stp>
        <tr r="D20" s="2"/>
      </tp>
      <tp>
        <v>42.77</v>
        <stp/>
        <stp>LAST</stp>
        <stp>GXO</stp>
        <tr r="D16" s="3"/>
      </tp>
      <tp>
        <v>37.159999999999997</v>
        <stp/>
        <stp>LAST</stp>
        <stp>GRC</stp>
        <tr r="D106" s="4"/>
      </tp>
      <tp>
        <v>25.65</v>
        <stp/>
        <stp>LAST</stp>
        <stp>GSL</stp>
        <tr r="D120" s="4"/>
      </tp>
      <tp>
        <v>90.79</v>
        <stp/>
        <stp>LAST</stp>
        <stp>GVA</stp>
        <tr r="D52" s="3"/>
      </tp>
      <tp>
        <v>1078.3599999999999</v>
        <stp/>
        <stp>LAST</stp>
        <stp>GWW</stp>
        <tr r="D131" s="2"/>
      </tp>
      <tp>
        <v>44.66</v>
        <stp/>
        <stp>LAST</stp>
        <stp>GHM</stp>
        <tr r="D105" s="4"/>
      </tp>
      <tp>
        <v>27.01</v>
        <stp/>
        <stp>LAST</stp>
        <stp>GIC</stp>
        <tr r="D159" s="4"/>
      </tp>
      <tp>
        <v>13.5</v>
        <stp/>
        <stp>LAST</stp>
        <stp>GNK</stp>
        <tr r="D119" s="4"/>
      </tp>
      <tp>
        <v>79.17</v>
        <stp/>
        <stp>LAST</stp>
        <stp>GMS</stp>
        <tr r="D157" s="3"/>
      </tp>
      <tp>
        <v>46.33</v>
        <stp/>
        <stp>LAST</stp>
        <stp>GBX</stp>
        <tr r="D85" s="3"/>
      </tp>
      <tp>
        <v>70.81</v>
        <stp/>
        <stp>LAST</stp>
        <stp>GFF</stp>
        <tr r="D23" s="3"/>
      </tp>
      <tp>
        <v>50.7</v>
        <stp/>
        <stp>LAST</stp>
        <stp>GFL</stp>
        <tr r="D36" s="2"/>
      </tp>
      <tp>
        <v>85.01</v>
        <stp/>
        <stp>LAST</stp>
        <stp>GGG</stp>
        <tr r="D88" s="2"/>
      </tp>
      <tp>
        <v>480</v>
        <stp/>
        <stp>LAST</stp>
        <stp>GEV</stp>
        <tr r="D63" s="2"/>
      </tp>
      <tp>
        <v>26.96</v>
        <stp/>
        <stp>LAST</stp>
        <stp>GEO</stp>
        <tr r="D46" s="3"/>
      </tp>
      <tp>
        <v>44.54</v>
        <stp/>
        <stp>LAST</stp>
        <stp>DRS</stp>
        <tr r="D7" s="3"/>
      </tp>
      <tp>
        <v>9.02</v>
        <stp/>
        <stp>LAST</stp>
        <stp>DNB</stp>
        <tr r="D140" s="3"/>
      </tp>
      <tp>
        <v>180.73</v>
        <stp/>
        <stp>LAST</stp>
        <stp>DOV</stp>
        <tr r="D86" s="2"/>
      </tp>
      <tp>
        <v>15.35</v>
        <stp/>
        <stp>LAST</stp>
        <stp>DLX</stp>
        <tr r="D25" s="4"/>
      </tp>
      <tp>
        <v>73.900000000000006</v>
        <stp/>
        <stp>LAST</stp>
        <stp>DCO</stp>
        <tr r="D6" s="4"/>
      </tp>
      <tp>
        <v>70.55</v>
        <stp/>
        <stp>LAST</stp>
        <stp>DCI</stp>
        <tr r="D95" s="3"/>
      </tp>
      <tp>
        <v>59.16</v>
        <stp/>
        <stp>LAST</stp>
        <stp>DAY</stp>
        <tr r="D109" s="2"/>
      </tp>
      <tp>
        <v>86</v>
        <stp/>
        <stp>LAST</stp>
        <stp>DAC</stp>
        <tr r="D118" s="4"/>
      </tp>
      <tp>
        <v>51.2</v>
        <stp/>
        <stp>LAST</stp>
        <stp>DAL</stp>
        <tr r="D104" s="2"/>
      </tp>
      <tp>
        <v>1.84</v>
        <stp/>
        <stp>LAST</stp>
        <stp>DDD</stp>
        <tr r="D101" s="4"/>
      </tp>
      <tp>
        <v>48.37</v>
        <stp/>
        <stp>LAST</stp>
        <stp>ERJ</stp>
        <tr r="D8" s="3"/>
      </tp>
      <tp>
        <v>184.96</v>
        <stp/>
        <stp>LAST</stp>
        <stp>ESE</stp>
        <tr r="D99" s="3"/>
      </tp>
      <tp>
        <v>18.239999999999998</v>
        <stp/>
        <stp>LAST</stp>
        <stp>EVI</stp>
        <tr r="D158" s="4"/>
      </tp>
      <tp>
        <v>325.81</v>
        <stp/>
        <stp>LAST</stp>
        <stp>ETN</stp>
        <tr r="D56" s="2"/>
      </tp>
      <tp>
        <v>88.19</v>
        <stp/>
        <stp>LAST</stp>
        <stp>ENS</stp>
        <tr r="D63" s="3"/>
      </tp>
      <tp>
        <v>125.6</v>
        <stp/>
        <stp>LAST</stp>
        <stp>EMR</stp>
        <tr r="D55" s="2"/>
      </tp>
      <tp>
        <v>473.79</v>
        <stp/>
        <stp>LAST</stp>
        <stp>EME</stp>
        <tr r="D49" s="2"/>
      </tp>
      <tp>
        <v>18.649999999999999</v>
        <stp/>
        <stp>LAST</stp>
        <stp>EBF</stp>
        <tr r="D26" s="4"/>
      </tp>
      <tp>
        <v>61.03</v>
        <stp/>
        <stp>LAST</stp>
        <stp>ECG</stp>
        <tr r="D50" s="3"/>
      </tp>
      <tp>
        <v>1.3</v>
        <stp/>
        <stp>LAST</stp>
        <stp>EAF</stp>
        <tr r="D63" s="4"/>
      </tp>
      <tp>
        <v>268.52</v>
        <stp/>
        <stp>LAST</stp>
        <stp>EFX</stp>
        <tr r="D115" s="2"/>
      </tp>
      <tp>
        <v>69.23</v>
        <stp/>
        <stp>LAST</stp>
        <stp>BXC</stp>
        <tr r="D153" s="4"/>
      </tp>
      <tp>
        <v>70.03</v>
        <stp/>
        <stp>LAST</stp>
        <stp>BRC</stp>
        <tr r="D33" s="3"/>
      </tp>
      <tp>
        <v>24.91</v>
        <stp/>
        <stp>LAST</stp>
        <stp>BBU</stp>
        <tr r="D84" s="4"/>
      </tp>
      <tp>
        <v>88.65</v>
        <stp/>
        <stp>LAST</stp>
        <stp>BCC</stp>
        <tr r="D154" s="3"/>
      </tp>
      <tp>
        <v>84.07</v>
        <stp/>
        <stp>LAST</stp>
        <stp>BCO</stp>
        <tr r="D44" s="3"/>
      </tp>
      <tp>
        <v>101.9</v>
        <stp/>
        <stp>LAST</stp>
        <stp>BAH</stp>
        <tr r="D113" s="2"/>
      </tp>
      <tp>
        <v>22.29</v>
        <stp/>
        <stp>LAST</stp>
        <stp>CXW</stp>
        <tr r="D45" s="3"/>
      </tp>
      <tp>
        <v>19.04</v>
        <stp/>
        <stp>LAST</stp>
        <stp>CYD</stp>
        <tr r="D88" s="4"/>
      </tp>
      <tp>
        <v>31.98</v>
        <stp/>
        <stp>LAST</stp>
        <stp>CSX</stp>
        <tr r="D66" s="2"/>
      </tp>
      <tp>
        <v>379.19</v>
        <stp/>
        <stp>LAST</stp>
        <stp>CSL</stp>
        <tr r="D28" s="2"/>
      </tp>
      <tp>
        <v>107.69</v>
        <stp/>
        <stp>LAST</stp>
        <stp>CPA</stp>
        <tr r="D123" s="3"/>
      </tp>
      <tp>
        <v>23.95</v>
        <stp/>
        <stp>LAST</stp>
        <stp>CIX</stp>
        <tr r="D35" s="4"/>
      </tp>
      <tp>
        <v>59.33</v>
        <stp/>
        <stp>LAST</stp>
        <stp>CNM</stp>
        <tr r="D128" s="2"/>
      </tp>
      <tp>
        <v>104.6</v>
        <stp/>
        <stp>LAST</stp>
        <stp>CNI</stp>
        <tr r="D64" s="2"/>
      </tp>
      <tp>
        <v>225.32</v>
        <stp/>
        <stp>LAST</stp>
        <stp>CLH</stp>
        <tr r="D35" s="2"/>
      </tp>
      <tp>
        <v>325.68</v>
        <stp/>
        <stp>LAST</stp>
        <stp>CMI</stp>
        <tr r="D81" s="2"/>
      </tp>
      <tp>
        <v>72.58</v>
        <stp/>
        <stp>LAST</stp>
        <stp>CBZ</stp>
        <tr r="D138" s="3"/>
      </tp>
      <tp>
        <v>358.07</v>
        <stp/>
        <stp>LAST</stp>
        <stp>CAT</stp>
        <tr r="D80" s="2"/>
      </tp>
      <tp>
        <v>126.1</v>
        <stp/>
        <stp>LAST</stp>
        <stp>CAR</stp>
        <tr r="D80" s="3"/>
      </tp>
      <tp>
        <v>27.25</v>
        <stp/>
        <stp>LAST</stp>
        <stp>CAE</stp>
        <tr r="D6" s="3"/>
      </tp>
      <tp>
        <v>57.6</v>
        <stp/>
        <stp>LAST</stp>
        <stp>RYAAY</stp>
        <tr r="D106" s="2"/>
      </tp>
      <tp>
        <v>92.85</v>
        <stp/>
        <stp>LAST</stp>
        <stp>AZZ</stp>
        <tr r="D20" s="3"/>
      </tp>
      <tp>
        <v>269.72000000000003</v>
        <stp/>
        <stp>LAST</stp>
        <stp>AYI</stp>
        <tr r="D54" s="2"/>
      </tp>
      <tp>
        <v>318.89999999999998</v>
        <stp/>
        <stp>LAST</stp>
        <stp>ASR</stp>
        <tr r="D165" s="3"/>
      </tp>
      <tp>
        <v>47.69</v>
        <stp/>
        <stp>LAST</stp>
        <stp>APG</stp>
        <tr r="D48" s="2"/>
      </tp>
      <tp>
        <v>154.53</v>
        <stp/>
        <stp>LAST</stp>
        <stp>AWI</stp>
        <tr r="D18" s="3"/>
      </tp>
      <tp>
        <v>30.52</v>
        <stp/>
        <stp>LAST</stp>
        <stp>ATS</stp>
        <tr r="D93" s="3"/>
      </tp>
      <tp>
        <v>233.17</v>
        <stp/>
        <stp>LAST</stp>
        <stp>AIT</stp>
        <tr r="D127" s="2"/>
      </tp>
      <tp>
        <v>67.349999999999994</v>
        <stp/>
        <stp>LAST</stp>
        <stp>AIR</stp>
        <tr r="D3" s="3"/>
      </tp>
      <tp>
        <v>68.16</v>
        <stp/>
        <stp>LAST</stp>
        <stp>AIN</stp>
        <tr r="D92" s="3"/>
      </tp>
      <tp>
        <v>64.83</v>
        <stp/>
        <stp>LAST</stp>
        <stp>AOS</stp>
        <tr r="D25" s="2"/>
      </tp>
      <tp>
        <v>209.28</v>
        <stp/>
        <stp>LAST</stp>
        <stp>ALG</stp>
        <tr r="D90" s="3"/>
      </tp>
      <tp>
        <v>51.73</v>
        <stp/>
        <stp>LAST</stp>
        <stp>ALK</stp>
        <tr r="D122" s="3"/>
      </tp>
      <tp>
        <v>178.64</v>
        <stp/>
        <stp>LAST</stp>
        <stp>AME</stp>
        <tr r="D53" s="2"/>
      </tp>
      <tp>
        <v>48.25</v>
        <stp/>
        <stp>LAST</stp>
        <stp>ABM</stp>
        <tr r="D34" s="3"/>
      </tp>
      <tp>
        <v>89.94</v>
        <stp/>
        <stp>LAST</stp>
        <stp>ACA</stp>
        <tr r="D47" s="3"/>
      </tp>
      <tp>
        <v>110.93</v>
        <stp/>
        <stp>LAST</stp>
        <stp>ACM</stp>
        <tr r="D47" s="2"/>
      </tp>
      <tp>
        <v>11.76</v>
        <stp/>
        <stp>LAST</stp>
        <stp>AAL</stp>
        <tr r="D103" s="2"/>
      </tp>
      <tp>
        <v>217.97</v>
        <stp/>
        <stp>LAST</stp>
        <stp>AGX</stp>
        <tr r="D47" s="4"/>
      </tp>
      <tp>
        <v>318.47399999999999</v>
        <stp/>
        <stp>LAST</stp>
        <stp>ADP</stp>
        <tr r="D108" s="2"/>
      </tp>
      <tp>
        <v>115.95</v>
        <stp/>
        <stp>LAST</stp>
        <stp>AER</stp>
        <tr r="D126" s="2"/>
      </tp>
      <tp>
        <v>59.02</v>
        <stp/>
        <stp>LAST</stp>
        <stp>NXT</stp>
        <tr r="D65" s="3"/>
      </tp>
      <tp>
        <v>62.81</v>
        <stp/>
        <stp>LAST</stp>
        <stp>NSP</stp>
        <tr r="D132" s="3"/>
      </tp>
      <tp>
        <v>250.57</v>
        <stp/>
        <stp>LAST</stp>
        <stp>NSC</stp>
        <tr r="D67" s="2"/>
      </tp>
      <tp>
        <v>191.32</v>
        <stp/>
        <stp>LAST</stp>
        <stp>NPO</stp>
        <tr r="D114" s="3"/>
      </tp>
      <tp>
        <v>94.94</v>
        <stp/>
        <stp>LAST</stp>
        <stp>NPK</stp>
        <tr r="D10" s="4"/>
      </tp>
      <tp>
        <v>68.319999999999993</v>
        <stp/>
        <stp>LAST</stp>
        <stp>NVT</stp>
        <tr r="D59" s="2"/>
      </tp>
      <tp>
        <v>31.15</v>
        <stp/>
        <stp>LAST</stp>
        <stp>NNE</stp>
        <tr r="D73" s="4"/>
      </tp>
      <tp>
        <v>491.36</v>
        <stp/>
        <stp>LAST</stp>
        <stp>NOC</stp>
        <tr r="D12" s="2"/>
      </tp>
      <tp>
        <v>38.99</v>
        <stp/>
        <stp>LAST</stp>
        <stp>NMM</stp>
        <tr r="D121" s="4"/>
      </tp>
      <tp>
        <v>8.9</v>
        <stp/>
        <stp>LAST</stp>
        <stp>ORN</stp>
        <tr r="D56" s="4"/>
      </tp>
      <tp>
        <v>110.69</v>
        <stp/>
        <stp>LAST</stp>
        <stp>OSK</stp>
        <tr r="D86" s="3"/>
      </tp>
      <tp>
        <v>12.06</v>
        <stp/>
        <stp>LAST</stp>
        <stp>KELYA</stp>
        <tr r="D133" s="4"/>
      </tp>
      <tp>
        <v>11.440099999999999</v>
        <stp/>
        <stp>LAST</stp>
        <stp>KELYB</stp>
        <tr r="D134" s="4"/>
      </tp>
      <tp>
        <v>38.729999999999997</v>
        <stp/>
        <stp>LAST</stp>
        <stp>LTM</stp>
        <tr r="D126" s="3"/>
      </tp>
      <tp>
        <v>33.57</v>
        <stp/>
        <stp>LAST</stp>
        <stp>LUV</stp>
        <tr r="D105" s="2"/>
      </tp>
      <tp>
        <v>245.41</v>
        <stp/>
        <stp>LAST</stp>
        <stp>LHX</stp>
        <tr r="D10" s="2"/>
      </tp>
      <tp>
        <v>556.09</v>
        <stp/>
        <stp>LAST</stp>
        <stp>LII</stp>
        <tr r="D30" s="2"/>
      </tp>
      <tp>
        <v>137.22</v>
        <stp/>
        <stp>LAST</stp>
        <stp>LNN</stp>
        <tr r="D97" s="4"/>
      </tp>
      <tp>
        <v>480.83</v>
        <stp/>
        <stp>LAST</stp>
        <stp>LMT</stp>
        <tr r="D11" s="2"/>
      </tp>
      <tp>
        <v>137.46</v>
        <stp/>
        <stp>LAST</stp>
        <stp>LMB</stp>
        <tr r="D53" s="4"/>
      </tp>
      <tp>
        <v>12.85</v>
        <stp/>
        <stp>LAST</stp>
        <stp>MRC</stp>
        <tr r="D162" s="4"/>
      </tp>
      <tp>
        <v>166.09</v>
        <stp/>
        <stp>LAST</stp>
        <stp>MSA</stp>
        <tr r="D37" s="3"/>
      </tp>
      <tp>
        <v>81.680000000000007</v>
        <stp/>
        <stp>LAST</stp>
        <stp>MSM</stp>
        <tr r="D161" s="3"/>
      </tp>
      <tp>
        <v>24.59</v>
        <stp/>
        <stp>LAST</stp>
        <stp>MWA</stp>
        <tr r="D113" s="3"/>
      </tp>
      <tp>
        <v>11.26</v>
        <stp/>
        <stp>LAST</stp>
        <stp>MTW</stp>
        <tr r="D91" s="4"/>
      </tp>
      <tp>
        <v>162.32</v>
        <stp/>
        <stp>LAST</stp>
        <stp>MTZ</stp>
        <tr r="D51" s="2"/>
      </tp>
      <tp>
        <v>45.79</v>
        <stp/>
        <stp>LAST</stp>
        <stp>MLR</stp>
        <tr r="D90" s="4"/>
      </tp>
      <tp>
        <v>77.44</v>
        <stp/>
        <stp>LAST</stp>
        <stp>MLI</stp>
        <tr r="D111" s="3"/>
      </tp>
      <tp>
        <v>71.14</v>
        <stp/>
        <stp>LAST</stp>
        <stp>MMS</stp>
        <tr r="D150" s="3"/>
      </tp>
      <tp>
        <v>144.22999999999999</v>
        <stp/>
        <stp>LAST</stp>
        <stp>MMM</stp>
        <tr r="D78" s="2"/>
      </tp>
      <tp>
        <v>10.6</v>
        <stp/>
        <stp>LAST</stp>
        <stp>MBC</stp>
        <tr r="D25" s="3"/>
      </tp>
      <tp>
        <v>63.72</v>
        <stp/>
        <stp>LAST</stp>
        <stp>MAS</stp>
        <tr r="D31" s="2"/>
      </tp>
      <tp>
        <v>40.76</v>
        <stp/>
        <stp>LAST</stp>
        <stp>MAN</stp>
        <tr r="D131" s="3"/>
      </tp>
      <tp>
        <v>22.12</v>
        <stp/>
        <stp>LAST</stp>
        <stp>MEG</stp>
        <tr r="D32" s="4"/>
      </tp>
      <tp>
        <v>14.91</v>
        <stp/>
        <stp>LAST</stp>
        <stp>MEC</stp>
        <tr r="D110" s="4"/>
      </tp>
      <tp>
        <v>125.32</v>
        <stp/>
        <stp>LAST</stp>
        <stp>JBT</stp>
        <tr r="D106" s="3"/>
      </tp>
      <tp>
        <v>8.49</v>
        <stp/>
        <stp>LAST</stp>
        <stp>JBI</stp>
        <tr r="D22" s="4"/>
      </tp>
      <tp>
        <v>103.54</v>
        <stp/>
        <stp>LAST</stp>
        <stp>JCI</stp>
        <tr r="D29" s="2"/>
      </tp>
      <tp>
        <v>13.07</v>
        <stp/>
        <stp>LAST</stp>
        <stp>DFKCY</stp>
        <tr r="D96" s="3"/>
      </tp>
      <tp>
        <v>31.32</v>
        <stp/>
        <stp>LAST</stp>
        <stp>KRT</stp>
        <tr r="D161" s="4"/>
      </tp>
      <tp>
        <v>44.36</v>
        <stp/>
        <stp>LAST</stp>
        <stp>KNX</stp>
        <tr r="D74" s="3"/>
      </tp>
      <tp>
        <v>22.17</v>
        <stp/>
        <stp>LAST</stp>
        <stp>KMT</stp>
        <tr r="D108" s="3"/>
      </tp>
      <tp>
        <v>52.85</v>
        <stp/>
        <stp>LAST</stp>
        <stp>KBR</stp>
        <tr r="D145" s="3"/>
      </tp>
      <tp>
        <v>23.8</v>
        <stp/>
        <stp>LAST</stp>
        <stp>KAR</stp>
        <tr r="D40" s="3"/>
      </tp>
      <tp>
        <v>333.06</v>
        <stp/>
        <stp>LAST</stp>
        <stp>KAI</stp>
        <tr r="D107" s="3"/>
      </tp>
      <tp>
        <v>69.790000000000006</v>
        <stp/>
        <stp>LAST</stp>
        <stp>KFY</stp>
        <tr r="D130" s="3"/>
      </tp>
      <tp>
        <v>112.33</v>
        <stp/>
        <stp>LAST</stp>
        <stp>KEX</stp>
        <tr r="D119" s="3"/>
      </tp>
      <tp>
        <v>57.32</v>
        <stp/>
        <stp>LAST</stp>
        <stp>HXL</stp>
        <tr r="D10" s="3"/>
      </tp>
      <tp>
        <v>121.42</v>
        <stp/>
        <stp>LAST</stp>
        <stp>HRI</stp>
        <tr r="D159" s="3"/>
      </tp>
      <tp>
        <v>172.87</v>
        <stp/>
        <stp>LAST</stp>
        <stp>HWM</stp>
        <tr r="D9" s="2"/>
      </tp>
      <tp>
        <v>6.31</v>
        <stp/>
        <stp>LAST</stp>
        <stp>HTZ</stp>
        <tr r="D83" s="4"/>
      </tp>
      <tp>
        <v>228.07</v>
        <stp/>
        <stp>LAST</stp>
        <stp>HII</stp>
        <tr r="D9" s="3"/>
      </tp>
      <tp>
        <v>47.94</v>
        <stp/>
        <stp>LAST</stp>
        <stp>HNI</stp>
        <tr r="D36" s="3"/>
      </tp>
      <tp>
        <v>227.13</v>
        <stp/>
        <stp>LAST</stp>
        <stp>HON</stp>
        <tr r="D77" s="2"/>
      </tp>
      <tp>
        <v>303.72000000000003</v>
        <stp/>
        <stp>LAST</stp>
        <stp>HEI</stp>
        <tr r="D8" s="2"/>
      </tp>
      <tp>
        <v>247.28</v>
        <stp/>
        <stp>LAST</stp>
        <stp>ITW</stp>
        <tr r="D92" s="2"/>
      </tp>
      <tp>
        <v>151.96</v>
        <stp/>
        <stp>LAST</stp>
        <stp>ITT</stp>
        <tr r="D91" s="2"/>
      </tp>
      <tp>
        <v>8.39</v>
        <stp/>
        <stp>LAST</stp>
        <stp>IEP</stp>
        <tr r="D82" s="3"/>
      </tp>
      <tp>
        <v>183.23</v>
        <stp/>
        <stp>LAST</stp>
        <stp>IEX</stp>
        <tr r="D89" s="2"/>
      </tp>
      <tp>
        <v>0.5</v>
        <stp/>
        <stp>LAST</stp>
        <stp>AZUL</stp>
        <tr r="D124" s="4"/>
      </tp>
      <tp>
        <v>54.05</v>
        <stp/>
        <stp>LAST</stp>
        <stp>AZEK</stp>
        <tr r="D19" s="3"/>
      </tp>
      <tp>
        <v>80.599999999999994</v>
        <stp/>
        <stp>LAST</stp>
        <stp>DXPE</stp>
        <tr r="D157" s="4"/>
      </tp>
      <tp>
        <v>113</v>
        <stp/>
        <stp>LAST</stp>
        <stp>EXPD</stp>
        <tr r="D19" s="2"/>
      </tp>
      <tp>
        <v>77.39</v>
        <stp/>
        <stp>LAST</stp>
        <stp>EXPO</stp>
        <tr r="D141" s="3"/>
      </tp>
      <tp>
        <v>12.18</v>
        <stp/>
        <stp>LAST</stp>
        <stp>LXFR</stp>
        <tr r="D109" s="4"/>
      </tp>
      <tp>
        <v>783.8</v>
        <stp/>
        <stp>LAST</stp>
        <stp>AXON</stp>
        <tr r="D2" s="2"/>
      </tp>
      <tp>
        <v>47.66</v>
        <stp/>
        <stp>LAST</stp>
        <stp>EXLS</stp>
        <tr r="D148" s="3"/>
      </tp>
      <tp>
        <v>16.350000000000001</v>
        <stp/>
        <stp>LAST</stp>
        <stp>LYTS</stp>
        <tr r="D67" s="4"/>
      </tp>
      <tp>
        <v>166.2</v>
        <stp/>
        <stp>LAST</stp>
        <stp>MYRG</stp>
        <tr r="D54" s="3"/>
      </tp>
      <tp>
        <v>29.61</v>
        <stp/>
        <stp>LAST</stp>
        <stp>BYRN</stp>
        <tr r="D4" s="4"/>
      </tp>
      <tp>
        <v>15.63</v>
        <stp/>
        <stp>LAST</stp>
        <stp>LYFT</stp>
        <tr r="D81" s="3"/>
      </tp>
      <tp>
        <v>22.49</v>
        <stp/>
        <stp>LAST</stp>
        <stp>PYCR</stp>
        <tr r="D133" s="3"/>
      </tp>
      <tp>
        <v>1.61</v>
        <stp/>
        <stp>LAST</stp>
        <stp>HYLN</stp>
        <tr r="D89" s="4"/>
      </tp>
      <tp>
        <v>18.23</v>
        <stp/>
        <stp>LAST</stp>
        <stp>DRVN</stp>
        <tr r="D39" s="3"/>
      </tp>
      <tp>
        <v>13.16</v>
        <stp/>
        <stp>LAST</stp>
        <stp>MRTN</stp>
        <tr r="D79" s="4"/>
      </tp>
      <tp>
        <v>7.49</v>
        <stp/>
        <stp>LAST</stp>
        <stp>ARRY</stp>
        <tr r="D60" s="4"/>
      </tp>
      <tp>
        <v>24.14</v>
        <stp/>
        <stp>LAST</stp>
        <stp>VRRM</stp>
        <tr r="D151" s="3"/>
      </tp>
      <tp>
        <v>313.221</v>
        <stp/>
        <stp>LAST</stp>
        <stp>VRSK</stp>
        <tr r="D123" s="2"/>
      </tp>
      <tp>
        <v>0.88700000000000001</v>
        <stp/>
        <stp>LAST</stp>
        <stp>NRGV</stp>
        <tr r="D75" s="4"/>
      </tp>
      <tp>
        <v>57.08</v>
        <stp/>
        <stp>LAST</stp>
        <stp>TREX</stp>
        <tr r="D30" s="3"/>
      </tp>
      <tp>
        <v>53.87</v>
        <stp/>
        <stp>LAST</stp>
        <stp>MRCY</stp>
        <tr r="D13" s="3"/>
      </tp>
      <tp>
        <v>67.27</v>
        <stp/>
        <stp>LAST</stp>
        <stp>ARCB</stp>
        <tr r="D73" s="3"/>
      </tp>
      <tp>
        <v>188.77</v>
        <stp/>
        <stp>LAST</stp>
        <stp>CRAI</stp>
        <tr r="D137" s="4"/>
      </tp>
      <tp>
        <v>76.680000000000007</v>
        <stp/>
        <stp>LAST</stp>
        <stp>TRNS</stp>
        <tr r="D164" s="4"/>
      </tp>
      <tp>
        <v>39.200000000000003</v>
        <stp/>
        <stp>LAST</stp>
        <stp>PRLB</stp>
        <tr r="D114" s="4"/>
      </tp>
      <tp>
        <v>24.57</v>
        <stp/>
        <stp>LAST</stp>
        <stp>ARIS</stp>
        <tr r="D29" s="4"/>
      </tp>
      <tp>
        <v>12.72</v>
        <stp/>
        <stp>LAST</stp>
        <stp>ERII</stp>
        <tr r="D102" s="4"/>
      </tp>
      <tp>
        <v>73.83</v>
        <stp/>
        <stp>LAST</stp>
        <stp>PRIM</stp>
        <tr r="D55" s="3"/>
      </tp>
      <tp>
        <v>305.10000000000002</v>
        <stp/>
        <stp>LAST</stp>
        <stp>CSWI</stp>
        <tr r="D21" s="3"/>
      </tp>
      <tp>
        <v>6.38</v>
        <stp/>
        <stp>LAST</stp>
        <stp>VSTS</stp>
        <tr r="D43" s="3"/>
      </tp>
      <tp>
        <v>19.27</v>
        <stp/>
        <stp>LAST</stp>
        <stp>FSTR</stp>
        <tr r="D103" s="4"/>
      </tp>
      <tp>
        <v>140.22</v>
        <stp/>
        <stp>LAST</stp>
        <stp>LSTR</stp>
        <tr r="D75" s="3"/>
      </tp>
      <tp>
        <v>40.65</v>
        <stp/>
        <stp>LAST</stp>
        <stp>ASTE</stp>
        <tr r="D86" s="4"/>
      </tp>
      <tp>
        <v>64.599999999999994</v>
        <stp/>
        <stp>LAST</stp>
        <stp>CSGS</stp>
        <tr r="D149" s="4"/>
      </tp>
      <tp>
        <v>27.57</v>
        <stp/>
        <stp>LAST</stp>
        <stp>DSGR</stp>
        <tr r="D156" s="4"/>
      </tp>
      <tp>
        <v>133.31700000000001</v>
        <stp/>
        <stp>LAST</stp>
        <stp>VSEC</stp>
        <tr r="D42" s="3"/>
      </tp>
      <tp>
        <v>127.5</v>
        <stp/>
        <stp>LAST</stp>
        <stp>ESAB</stp>
        <tr r="D98" s="3"/>
      </tp>
      <tp>
        <v>81.22</v>
        <stp/>
        <stp>LAST</stp>
        <stp>SSNC</stp>
        <tr r="D125" s="2"/>
      </tp>
      <tp>
        <v>5.92</v>
        <stp/>
        <stp>LAST</stp>
        <stp>ASLE</stp>
        <tr r="D2" s="4"/>
      </tp>
      <tp>
        <v>44.3</v>
        <stp/>
        <stp>LAST</stp>
        <stp>HSII</stp>
        <tr r="D132" s="4"/>
      </tp>
      <tp>
        <v>2.62</v>
        <stp/>
        <stp>LAST</stp>
        <stp>NPWR</stp>
        <tr r="D74" s="4"/>
      </tp>
      <tp>
        <v>15.48</v>
        <stp/>
        <stp>LAST</stp>
        <stp>UPWK</stp>
        <tr r="D136" s="3"/>
      </tp>
      <tp>
        <v>50.15</v>
        <stp/>
        <stp>LAST</stp>
        <stp>CPRT</stp>
        <tr r="D44" s="2"/>
      </tp>
      <tp>
        <v>160</v>
        <stp/>
        <stp>LAST</stp>
        <stp>SPXC</stp>
        <tr r="D115" s="3"/>
      </tp>
      <tp>
        <v>43.45</v>
        <stp/>
        <stp>LAST</stp>
        <stp>EPAC</stp>
        <tr r="D97" s="3"/>
      </tp>
      <tp>
        <v>39.86</v>
        <stp/>
        <stp>LAST</stp>
        <stp>APOG</stp>
        <tr r="D20" s="4"/>
      </tp>
      <tp>
        <v>12.32</v>
        <stp/>
        <stp>LAST</stp>
        <stp>SPIR</stp>
        <tr r="D146" s="4"/>
      </tp>
      <tp>
        <v>24.78</v>
        <stp/>
        <stp>LAST</stp>
        <stp>LQDT</stp>
        <tr r="D44" s="4"/>
      </tp>
      <tp>
        <v>32.18</v>
        <stp/>
        <stp>LAST</stp>
        <stp>FVRR</stp>
        <tr r="D131" s="4"/>
      </tp>
      <tp>
        <v>8.5</v>
        <stp/>
        <stp>LAST</stp>
        <stp>NVRI</stp>
        <tr r="D33" s="4"/>
      </tp>
      <tp>
        <v>4.09</v>
        <stp/>
        <stp>LAST</stp>
        <stp>MVST</stp>
        <tr r="D92" s="4"/>
      </tp>
      <tp>
        <v>5.65</v>
        <stp/>
        <stp>LAST</stp>
        <stp>EVEX</stp>
        <tr r="D8" s="4"/>
      </tp>
      <tp>
        <v>22.53</v>
        <stp/>
        <stp>LAST</stp>
        <stp>NVEE</stp>
        <tr r="D143" s="4"/>
      </tp>
      <tp>
        <v>23.24</v>
        <stp/>
        <stp>LAST</stp>
        <stp>CVEO</stp>
        <tr r="D42" s="4"/>
      </tp>
      <tp>
        <v>195.72</v>
        <stp/>
        <stp>LAST</stp>
        <stp>AVAV</stp>
        <tr r="D4" s="3"/>
      </tp>
      <tp>
        <v>22.89</v>
        <stp/>
        <stp>LAST</stp>
        <stp>CVLG</stp>
        <tr r="D77" s="4"/>
      </tp>
      <tp>
        <v>19.53</v>
        <stp/>
        <stp>LAST</stp>
        <stp>FWRD</stp>
        <tr r="D17" s="4"/>
      </tp>
      <tp>
        <v>116.97</v>
        <stp/>
        <stp>LAST</stp>
        <stp>CWST</stp>
        <tr r="D35" s="3"/>
      </tp>
      <tp>
        <v>39.5</v>
        <stp/>
        <stp>LAST</stp>
        <stp>NWPX</stp>
        <tr r="D55" s="4"/>
      </tp>
      <tp>
        <v>132.62</v>
        <stp/>
        <stp>LAST</stp>
        <stp>BWXT</stp>
        <tr r="D4" s="2"/>
      </tp>
      <tp>
        <v>27.22</v>
        <stp/>
        <stp>LAST</stp>
        <stp>BWMN</stp>
        <tr r="D50" s="4"/>
      </tp>
      <tp>
        <v>12.5</v>
        <stp/>
        <stp>LAST</stp>
        <stp>MTRX</stp>
        <tr r="D54" s="4"/>
      </tp>
      <tp>
        <v>22.64</v>
        <stp/>
        <stp>LAST</stp>
        <stp>CTRI</stp>
        <tr r="D51" s="4"/>
      </tp>
      <tp>
        <v>33.200000000000003</v>
        <stp/>
        <stp>LAST</stp>
        <stp>ATRO</stp>
        <tr r="D3" s="4"/>
      </tp>
      <tp>
        <v>202.91</v>
        <stp/>
        <stp>LAST</stp>
        <stp>STRL</stp>
        <tr r="D58" s="3"/>
      </tp>
      <tp>
        <v>22.48</v>
        <stp/>
        <stp>LAST</stp>
        <stp>ATSG</stp>
        <tr r="D15" s="4"/>
      </tp>
      <tp>
        <v>21.96</v>
        <stp/>
        <stp>LAST</stp>
        <stp>GTES</stp>
        <tr r="D102" s="3"/>
      </tp>
      <tp>
        <v>35.270000000000003</v>
        <stp/>
        <stp>LAST</stp>
        <stp>TTEK</stp>
        <tr r="D40" s="2"/>
      </tp>
      <tp>
        <v>224.6</v>
        <stp/>
        <stp>LAST</stp>
        <stp>CTAS</stp>
        <tr r="D45" s="2"/>
      </tp>
      <tp>
        <v>4.6399999999999997</v>
        <stp/>
        <stp>LAST</stp>
        <stp>CTOS</stp>
        <tr r="D154" s="4"/>
      </tp>
      <tp>
        <v>40.590000000000003</v>
        <stp/>
        <stp>LAST</stp>
        <stp>KTOS</stp>
        <tr r="D11" s="3"/>
      </tp>
      <tp>
        <v>150</v>
        <stp/>
        <stp>LAST</stp>
        <stp>GTLS</stp>
        <tr r="D103" s="3"/>
      </tp>
      <tp>
        <v>8.7899999999999991</v>
        <stp/>
        <stp>LAST</stp>
        <stp>HTLD</stp>
        <tr r="D78" s="4"/>
      </tp>
      <tp>
        <v>36.58</v>
        <stp/>
        <stp>LAST</stp>
        <stp>ATMU</stp>
        <tr r="D83" s="3"/>
      </tp>
      <tp>
        <v>69.540000000000006</v>
        <stp/>
        <stp>LAST</stp>
        <stp>ATKR</stp>
        <tr r="D62" s="3"/>
      </tp>
      <tp>
        <v>95.32</v>
        <stp/>
        <stp>LAST</stp>
        <stp>OTIS</stp>
        <tr r="D96" s="2"/>
      </tp>
      <tp>
        <v>140.02000000000001</v>
        <stp/>
        <stp>LAST</stp>
        <stp>HURN</stp>
        <tr r="D143" s="3"/>
      </tp>
      <tp>
        <v>392.34</v>
        <stp/>
        <stp>LAST</stp>
        <stp>HUBB</stp>
        <tr r="D58" s="2"/>
      </tp>
      <tp>
        <v>33.83</v>
        <stp/>
        <stp>LAST</stp>
        <stp>HUBG</stp>
        <tr r="D17" s="3"/>
      </tp>
      <tp>
        <v>5.52</v>
        <stp/>
        <stp>LAST</stp>
        <stp>QUAD</stp>
        <tr r="D27" s="4"/>
      </tp>
      <tp>
        <v>11.79</v>
        <stp/>
        <stp>LAST</stp>
        <stp>LUNR</stp>
        <tr r="D9" s="4"/>
      </tp>
      <tp>
        <v>1.23</v>
        <stp/>
        <stp>LAST</stp>
        <stp>KULR</stp>
        <tr r="D66" s="4"/>
      </tp>
      <tp>
        <v>12.72</v>
        <stp/>
        <stp>LAST</stp>
        <stp>BKSY</stp>
        <tr r="D136" s="4"/>
      </tp>
      <tp>
        <v>102.95</v>
        <stp/>
        <stp>LAST</stp>
        <stp>SKYW</stp>
        <tr r="D127" s="3"/>
      </tp>
      <tp>
        <v>10.31</v>
        <stp/>
        <stp>LAST</stp>
        <stp>SKYH</stp>
        <tr r="D168" s="4"/>
      </tp>
      <tp>
        <v>17.7</v>
        <stp/>
        <stp>LAST</stp>
        <stp>PKOH</stp>
        <tr r="D113" s="4"/>
      </tp>
      <tp>
        <v>29.64</v>
        <stp/>
        <stp>LAST</stp>
        <stp>RKLB</stp>
        <tr r="D13" s="2"/>
      </tp>
      <tp>
        <v>95.74</v>
        <stp/>
        <stp>LAST</stp>
        <stp>CHRW</stp>
        <tr r="D18" s="2"/>
      </tp>
      <tp>
        <v>0.78400000000000003</v>
        <stp/>
        <stp>LAST</stp>
        <stp>CHPT</stp>
        <tr r="D62" s="4"/>
      </tp>
      <tp>
        <v>11.81</v>
        <stp/>
        <stp>LAST</stp>
        <stp>SHYF</stp>
        <tr r="D95" s="4"/>
      </tp>
      <tp>
        <v>63.52</v>
        <stp/>
        <stp>LAST</stp>
        <stp>UHAL</stp>
        <tr r="D73" s="2"/>
      </tp>
      <tp>
        <v>5.0999999999999996</v>
        <stp/>
        <stp>LAST</stp>
        <stp>SHLS</stp>
        <tr r="D70" s="4"/>
      </tp>
      <tp>
        <v>124.29</v>
        <stp/>
        <stp>LAST</stp>
        <stp>SITE</stp>
        <tr r="D164" s="3"/>
      </tp>
      <tp>
        <v>19.61</v>
        <stp/>
        <stp>LAST</stp>
        <stp>TITN</stp>
        <tr r="D163" s="4"/>
      </tp>
      <tp>
        <v>8.44</v>
        <stp/>
        <stp>LAST</stp>
        <stp>VIRC</stp>
        <tr r="D41" s="4"/>
      </tp>
      <tp>
        <v>4.43</v>
        <stp/>
        <stp>LAST</stp>
        <stp>AIRJ</stp>
        <tr r="D99" s="4"/>
      </tp>
      <tp>
        <v>2.84</v>
        <stp/>
        <stp>LAST</stp>
        <stp>TIXT</stp>
        <tr r="D151" s="4"/>
      </tp>
      <tp>
        <v>149.97</v>
        <stp/>
        <stp>LAST</stp>
        <stp>MIDD</stp>
        <tr r="D110" s="3"/>
      </tp>
      <tp>
        <v>45.84</v>
        <stp/>
        <stp>LAST</stp>
        <stp>VICR</stp>
        <tr r="D70" s="3"/>
      </tp>
      <tp>
        <v>20.85</v>
        <stp/>
        <stp>LAST</stp>
        <stp>TILE</stp>
        <tr r="D40" s="4"/>
      </tp>
      <tp>
        <v>36.31</v>
        <stp/>
        <stp>LAST</stp>
        <stp>IIIN</stp>
        <tr r="D21" s="4"/>
      </tp>
      <tp>
        <v>8.59</v>
        <stp/>
        <stp>LAST</stp>
        <stp>ENVX</stp>
        <tr r="D64" s="4"/>
      </tp>
      <tp>
        <v>128.46</v>
        <stp/>
        <stp>LAST</stp>
        <stp>GNRC</stp>
        <tr r="D57" s="2"/>
      </tp>
      <tp>
        <v>55.83</v>
        <stp/>
        <stp>LAST</stp>
        <stp>CNXC</stp>
        <tr r="D147" s="3"/>
      </tp>
      <tp>
        <v>24.14</v>
        <stp/>
        <stp>LAST</stp>
        <stp>SNDR</stp>
        <tr r="D78" s="3"/>
      </tp>
      <tp>
        <v>2.72</v>
        <stp/>
        <stp>LAST</stp>
        <stp>CNDT</stp>
        <tr r="D148" s="4"/>
      </tp>
      <tp>
        <v>1.49</v>
        <stp/>
        <stp>LAST</stp>
        <stp>NNDM</stp>
        <tr r="D111" s="4"/>
      </tp>
      <tp>
        <v>82.64</v>
        <stp/>
        <stp>LAST</stp>
        <stp>TNET</stp>
        <tr r="D135" s="3"/>
      </tp>
      <tp>
        <v>11.88</v>
        <stp/>
        <stp>LAST</stp>
        <stp>SNCY</stp>
        <tr r="D126" s="4"/>
      </tp>
      <tp>
        <v>14.81</v>
        <stp/>
        <stp>LAST</stp>
        <stp>DNOW</stp>
        <tr r="D155" s="4"/>
      </tp>
      <tp>
        <v>48.67</v>
        <stp/>
        <stp>LAST</stp>
        <stp>INOD</stp>
        <tr r="D140" s="4"/>
      </tp>
      <tp>
        <v>190.24</v>
        <stp/>
        <stp>LAST</stp>
        <stp>POWL</stp>
        <tr r="D67" s="3"/>
      </tp>
      <tp>
        <v>10.68</v>
        <stp/>
        <stp>LAST</stp>
        <stp>FORR</stp>
        <tr r="D139" s="4"/>
      </tp>
      <tp>
        <v>4.18</v>
        <stp/>
        <stp>LAST</stp>
        <stp>EOSE</stp>
        <tr r="D65" s="4"/>
      </tp>
      <tp>
        <v>9.23</v>
        <stp/>
        <stp>LAST</stp>
        <stp>JOBY</stp>
        <tr r="D125" s="3"/>
      </tp>
      <tp>
        <v>60.44</v>
        <stp/>
        <stp>LAST</stp>
        <stp>ROCK</stp>
        <tr r="D27" s="3"/>
      </tp>
      <tp>
        <v>89.21</v>
        <stp/>
        <stp>LAST</stp>
        <stp>LOAR</stp>
        <tr r="D12" s="3"/>
      </tp>
      <tp>
        <v>104.7</v>
        <stp/>
        <stp>LAST</stp>
        <stp>ROAD</stp>
        <tr r="D56" s="3"/>
      </tp>
      <tp>
        <v>4.34</v>
        <stp/>
        <stp>LAST</stp>
        <stp>CLVT</stp>
        <tr r="D139" s="3"/>
      </tp>
      <tp>
        <v>6.01</v>
        <stp/>
        <stp>LAST</stp>
        <stp>ALTG</stp>
        <tr r="D152" s="4"/>
      </tp>
      <tp>
        <v>99.72</v>
        <stp/>
        <stp>LAST</stp>
        <stp>VLTO</stp>
        <tr r="D41" s="2"/>
      </tp>
      <tp>
        <v>1.22</v>
        <stp/>
        <stp>LAST</stp>
        <stp>PLUG</stp>
        <tr r="D66" s="3"/>
      </tp>
      <tp>
        <v>4.99</v>
        <stp/>
        <stp>LAST</stp>
        <stp>VLRS</stp>
        <tr r="D129" s="4"/>
      </tp>
      <tp>
        <v>101.07</v>
        <stp/>
        <stp>LAST</stp>
        <stp>ALSN</stp>
        <tr r="D79" s="2"/>
      </tp>
      <tp>
        <v>150.87</v>
        <stp/>
        <stp>LAST</stp>
        <stp>PLPC</stp>
        <tr r="D68" s="4"/>
      </tp>
      <tp>
        <v>144.5</v>
        <stp/>
        <stp>LAST</stp>
        <stp>WLFC</stp>
        <tr r="D165" s="4"/>
      </tp>
      <tp>
        <v>5.95</v>
        <stp/>
        <stp>LAST</stp>
        <stp>RLGT</stp>
        <tr r="D18" s="4"/>
      </tp>
      <tp>
        <v>57.17</v>
        <stp/>
        <stp>LAST</stp>
        <stp>ALGT</stp>
        <tr r="D123" s="4"/>
      </tp>
      <tp>
        <v>112.96</v>
        <stp/>
        <stp>LAST</stp>
        <stp>BLDR</stp>
        <tr r="D26" s="2"/>
      </tp>
      <tp>
        <v>1.64</v>
        <stp/>
        <stp>LAST</stp>
        <stp>BLDP</stp>
        <tr r="D61" s="4"/>
      </tp>
      <tp>
        <v>4.24</v>
        <stp/>
        <stp>LAST</stp>
        <stp>BLDE</stp>
        <tr r="D125" s="4"/>
      </tp>
      <tp>
        <v>11.48</v>
        <stp/>
        <stp>LAST</stp>
        <stp>GLDD</stp>
        <tr r="D52" s="4"/>
      </tp>
      <tp>
        <v>57.21</v>
        <stp/>
        <stp>LAST</stp>
        <stp>WLDN</stp>
        <tr r="D147" s="4"/>
      </tp>
      <tp>
        <v>40.847000000000001</v>
        <stp/>
        <stp>LAST</stp>
        <stp>BLBD</stp>
        <tr r="D87" s="4"/>
      </tp>
      <tp>
        <v>3.99</v>
        <stp/>
        <stp>LAST</stp>
        <stp>ULCC</stp>
        <tr r="D127" s="4"/>
      </tp>
      <tp>
        <v>33.36</v>
        <stp/>
        <stp>LAST</stp>
        <stp>ALNT</stp>
        <tr r="D58" s="4"/>
      </tp>
      <tp>
        <v>4.76</v>
        <stp/>
        <stp>LAST</stp>
        <stp>FLNC</stp>
        <tr r="D64" s="3"/>
      </tp>
      <tp>
        <v>28.47</v>
        <stp/>
        <stp>LAST</stp>
        <stp>PLOW</stp>
        <tr r="D93" s="4"/>
      </tp>
      <tp>
        <v>139.6</v>
        <stp/>
        <stp>LAST</stp>
        <stp>ALLE</stp>
        <tr r="D24" s="2"/>
      </tp>
      <tp>
        <v>7.44</v>
        <stp/>
        <stp>LAST</stp>
        <stp>HLMN</stp>
        <tr r="D105" s="3"/>
      </tp>
      <tp>
        <v>17.440000000000001</v>
        <stp/>
        <stp>LAST</stp>
        <stp>MLKN</stp>
        <tr r="D36" s="4"/>
      </tp>
      <tp>
        <v>5.42</v>
        <stp/>
        <stp>LAST</stp>
        <stp>ALIT</stp>
        <tr r="D128" s="3"/>
      </tp>
      <tp>
        <v>32.76</v>
        <stp/>
        <stp>LAST</stp>
        <stp>HLIO</stp>
        <tr r="D107" s="4"/>
      </tp>
      <tp>
        <v>55.96</v>
        <stp/>
        <stp>LAST</stp>
        <stp>AMWD</stp>
        <tr r="D19" s="4"/>
      </tp>
      <tp>
        <v>36.200000000000003</v>
        <stp/>
        <stp>LAST</stp>
        <stp>XMTR</stp>
        <tr r="D166" s="4"/>
      </tp>
      <tp>
        <v>23.13</v>
        <stp/>
        <stp>LAST</stp>
        <stp>AMTM</stp>
        <tr r="D137" s="3"/>
      </tp>
      <tp>
        <v>15.97</v>
        <stp/>
        <stp>LAST</stp>
        <stp>AMRC</stp>
        <tr r="D48" s="4"/>
      </tp>
      <tp>
        <v>8.9</v>
        <stp/>
        <stp>LAST</stp>
        <stp>CMRE</stp>
        <tr r="D117" s="4"/>
      </tp>
      <tp>
        <v>33.090000000000003</v>
        <stp/>
        <stp>LAST</stp>
        <stp>AMSC</stp>
        <tr r="D59" s="4"/>
      </tp>
      <tp>
        <v>16.149999999999999</v>
        <stp/>
        <stp>LAST</stp>
        <stp>CMCO</stp>
        <tr r="D100" s="4"/>
      </tp>
      <tp>
        <v>103.7</v>
        <stp/>
        <stp>LAST</stp>
        <stp>OMAB</stp>
        <tr r="D167" s="3"/>
      </tp>
      <tp>
        <v>29</v>
        <stp/>
        <stp>LAST</stp>
        <stp>BBUC</stp>
        <tr r="D85" s="4"/>
      </tp>
      <tp>
        <v>42.1</v>
        <stp/>
        <stp>LAST</stp>
        <stp>BBSI</stp>
        <tr r="D130" s="4"/>
      </tp>
      <tp>
        <v>87.12</v>
        <stp/>
        <stp>LAST</stp>
        <stp>UBER</stp>
        <tr r="D76" s="2"/>
      </tp>
      <tp>
        <v>5.875</v>
        <stp/>
        <stp>LAST</stp>
        <stp>BBCP</stp>
        <tr r="D49" s="4"/>
      </tp>
      <tp>
        <v>4.97</v>
        <stp/>
        <stp>LAST</stp>
        <stp>JBLU</stp>
        <tr r="D124" s="3"/>
      </tp>
      <tp>
        <v>141.63999999999999</v>
        <stp/>
        <stp>LAST</stp>
        <stp>JBHT</stp>
        <tr r="D69" s="2"/>
      </tp>
      <tp>
        <v>52.04</v>
        <stp/>
        <stp>LAST</stp>
        <stp>FBIN</stp>
        <tr r="D22" s="3"/>
      </tp>
      <tp>
        <v>16.690000000000001</v>
        <stp/>
        <stp>LAST</stp>
        <stp>ACVA</stp>
        <tr r="D38" s="3"/>
      </tp>
      <tp>
        <v>186.12</v>
        <stp/>
        <stp>LAST</stp>
        <stp>PCTY</stp>
        <tr r="D112" s="2"/>
      </tp>
      <tp>
        <v>14.63</v>
        <stp/>
        <stp>LAST</stp>
        <stp>HCSG</stp>
        <tr r="D43" s="4"/>
      </tp>
      <tp>
        <v>83.82</v>
        <stp/>
        <stp>LAST</stp>
        <stp>ICFI</stp>
        <tr r="D144" s="3"/>
      </tp>
      <tp>
        <v>3.81</v>
        <stp/>
        <stp>LAST</stp>
        <stp>ACCO</stp>
        <tr r="D34" s="4"/>
      </tp>
      <tp>
        <v>94.430999999999997</v>
        <stp/>
        <stp>LAST</stp>
        <stp>PCAR</stp>
        <tr r="D82" s="2"/>
      </tp>
      <tp>
        <v>11.26</v>
        <stp/>
        <stp>LAST</stp>
        <stp>ACHR</stp>
        <tr r="D2" s="3"/>
      </tp>
      <tp>
        <v>22.81</v>
        <stp/>
        <stp>LAST</stp>
        <stp>MATW</stp>
        <tr r="D45" s="4"/>
      </tp>
      <tp>
        <v>157.27000000000001</v>
        <stp/>
        <stp>LAST</stp>
        <stp>GATX</stp>
        <tr r="D156" s="3"/>
      </tp>
      <tp>
        <v>114.49</v>
        <stp/>
        <stp>LAST</stp>
        <stp>MATX</stp>
        <tr r="D120" s="3"/>
      </tp>
      <tp>
        <v>71.650000000000006</v>
        <stp/>
        <stp>LAST</stp>
        <stp>CARR</stp>
        <tr r="D27" s="2"/>
      </tp>
      <tp>
        <v>30.75</v>
        <stp/>
        <stp>LAST</stp>
        <stp>SARO</stp>
        <tr r="D14" s="3"/>
      </tp>
      <tp>
        <v>42.13</v>
        <stp/>
        <stp>LAST</stp>
        <stp>FAST</stp>
        <tr r="D129" s="2"/>
      </tp>
      <tp>
        <v>16.68</v>
        <stp/>
        <stp>LAST</stp>
        <stp>TASK</stp>
        <tr r="D150" s="4"/>
      </tp>
      <tp>
        <v>14.21</v>
        <stp/>
        <stp>LAST</stp>
        <stp>HAYW</stp>
        <tr r="D24" s="3"/>
      </tp>
      <tp>
        <v>156.97</v>
        <stp/>
        <stp>LAST</stp>
        <stp>PAYX</stp>
        <tr r="D111" s="2"/>
      </tp>
      <tp>
        <v>258.45</v>
        <stp/>
        <stp>LAST</stp>
        <stp>PAYC</stp>
        <tr r="D110" s="2"/>
      </tp>
      <tp>
        <v>441.05</v>
        <stp/>
        <stp>LAST</stp>
        <stp>CACI</stp>
        <tr r="D114" s="2"/>
      </tp>
      <tp>
        <v>20.170000000000002</v>
        <stp/>
        <stp>LAST</stp>
        <stp>CAAP</stp>
        <tr r="D166" s="3"/>
      </tp>
      <tp>
        <v>93.96</v>
        <stp/>
        <stp>LAST</stp>
        <stp>AAON</stp>
        <tr r="D23" s="2"/>
      </tp>
      <tp>
        <v>12.52</v>
        <stp/>
        <stp>LAST</stp>
        <stp>PAMT</stp>
        <tr r="D81" s="4"/>
      </tp>
      <tp>
        <v>103.52</v>
        <stp/>
        <stp>LAST</stp>
        <stp>SAIC</stp>
        <tr r="D146" s="3"/>
      </tp>
      <tp>
        <v>256.5</v>
        <stp/>
        <stp>LAST</stp>
        <stp>SAIA</stp>
        <tr r="D71" s="2"/>
      </tp>
      <tp>
        <v>41.52</v>
        <stp/>
        <stp>LAST</stp>
        <stp>KFRC</stp>
        <tr r="D135" s="4"/>
      </tp>
      <tp>
        <v>97.62</v>
        <stp/>
        <stp>LAST</stp>
        <stp>UFPI</stp>
        <tr r="D31" s="3"/>
      </tp>
      <tp>
        <v>31.87</v>
        <stp/>
        <stp>LAST</stp>
        <stp>OFLX</stp>
        <tr r="D112" s="4"/>
      </tp>
      <tp>
        <v>0.75480000000000003</v>
        <stp/>
        <stp>LAST</stp>
        <stp>SFHG</stp>
        <tr r="D28" s="4"/>
      </tp>
      <tp>
        <v>87.89</v>
        <stp/>
        <stp>LAST</stp>
        <stp>TFII</stp>
        <tr r="D72" s="2"/>
      </tp>
      <tp>
        <v>116.12</v>
        <stp/>
        <stp>LAST</stp>
        <stp>MGRC</stp>
        <tr r="D160" s="3"/>
      </tp>
      <tp>
        <v>103.1</v>
        <stp/>
        <stp>LAST</stp>
        <stp>AGCO</stp>
        <tr r="D89" s="3"/>
      </tp>
      <tp>
        <v>88.16</v>
        <stp/>
        <stp>LAST</stp>
        <stp>TGLS</stp>
        <tr r="D29" s="3"/>
      </tp>
      <tp>
        <v>35.04</v>
        <stp/>
        <stp>LAST</stp>
        <stp>CDRE</stp>
        <tr r="D5" s="4"/>
      </tp>
      <tp>
        <v>0.61429999999999996</v>
        <stp/>
        <stp>LAST</stp>
        <stp>SDST</stp>
        <tr r="D69" s="4"/>
      </tp>
      <tp>
        <v>219.28</v>
        <stp/>
        <stp>LAST</stp>
        <stp>NDSN</stp>
        <tr r="D95" s="2"/>
      </tp>
      <tp>
        <v>7.31</v>
        <stp/>
        <stp>LAST</stp>
        <stp>HDSN</stp>
        <tr r="D160" s="4"/>
      </tp>
      <tp>
        <v>162.21</v>
        <stp/>
        <stp>LAST</stp>
        <stp>ODFL</stp>
        <tr r="D70" s="2"/>
      </tp>
      <tp>
        <v>146.34</v>
        <stp/>
        <stp>LAST</stp>
        <stp>LDOS</stp>
        <tr r="D117" s="2"/>
      </tp>
      <tp>
        <v>21.39</v>
        <stp/>
        <stp>LAST</stp>
        <stp>CDLR</stp>
        <tr r="D48" s="3"/>
      </tp>
      <tp>
        <v>45.94</v>
        <stp/>
        <stp>LAST</stp>
        <stp>REVG</stp>
        <tr r="D94" s="4"/>
      </tp>
      <tp>
        <v>213.83</v>
        <stp/>
        <stp>LAST</stp>
        <stp>FERG</stp>
        <tr r="D130" s="2"/>
      </tp>
      <tp>
        <v>27.35</v>
        <stp/>
        <stp>LAST</stp>
        <stp>WERN</stp>
        <tr r="D79" s="3"/>
      </tp>
      <tp>
        <v>276.69</v>
        <stp/>
        <stp>LAST</stp>
        <stp>IESC</stp>
        <tr r="D53" s="3"/>
      </tp>
      <tp>
        <v>21.47</v>
        <stp/>
        <stp>LAST</stp>
        <stp>REZI</stp>
        <tr r="D26" s="3"/>
      </tp>
      <tp>
        <v>94.64</v>
        <stp/>
        <stp>LAST</stp>
        <stp>HEES</stp>
        <tr r="D158" s="3"/>
      </tp>
      <tp>
        <v>27.2</v>
        <stp/>
        <stp>LAST</stp>
        <stp>CECO</stp>
        <tr r="D31" s="4"/>
      </tp>
      <tp>
        <v>202.99</v>
        <stp/>
        <stp>LAST</stp>
        <stp>LECO</stp>
        <tr r="D93" s="2"/>
      </tp>
      <tp>
        <v>124.17</v>
        <stp/>
        <stp>LAST</stp>
        <stp>BECN</stp>
        <tr r="D155" s="3"/>
      </tp>
      <tp>
        <v>14.15</v>
        <stp/>
        <stp>LAST</stp>
        <stp>GENC</stp>
        <tr r="D104" s="4"/>
      </tp>
      <tp>
        <v>53.03</v>
        <stp/>
        <stp>LAST</stp>
        <stp>RELX</stp>
        <tr r="D119" s="2"/>
      </tp>
      <tp>
        <v>86.83</v>
        <stp/>
        <stp>LAST</stp>
        <stp>FELE</stp>
        <tr r="D100" s="3"/>
      </tp>
      <tp>
        <v>3.83</v>
        <stp/>
        <stp>LAST</stp>
        <stp>JELD</stp>
        <tr r="D23" s="4"/>
      </tp>
      <tp>
        <v>233.99</v>
        <stp/>
        <stp>LAST</stp>
        <stp>WM</stp>
        <tr r="D43" s="2"/>
      </tp>
      <tp>
        <v>427.77</v>
        <stp/>
        <stp>LAST</stp>
        <stp>TT</stp>
        <tr r="D33" s="2"/>
      </tp>
      <tp>
        <v>1.62</v>
        <stp/>
        <stp>LAST</stp>
        <stp>UP</stp>
        <tr r="D128" s="4"/>
      </tp>
      <tp>
        <v>27.77</v>
        <stp/>
        <stp>LAST</stp>
        <stp>ST</stp>
        <tr r="D69" s="3"/>
      </tp>
      <tp>
        <v>3.76</v>
        <stp/>
        <stp>LAST</stp>
        <stp>SB</stp>
        <tr r="D122" s="4"/>
      </tp>
      <tp>
        <v>669.88</v>
        <stp/>
        <stp>LAST</stp>
        <stp>PH</stp>
        <tr r="D97" s="2"/>
      </tp>
      <tp>
        <v>5.83</v>
        <stp/>
        <stp>LAST</stp>
        <stp>PL</stp>
        <tr r="D144" s="4"/>
      </tp>
      <tp>
        <v>23</v>
        <stp/>
        <stp>LAST</stp>
        <stp>FC</stp>
        <tr r="D138" s="4"/>
      </tp>
      <tp>
        <v>18.55</v>
        <stp/>
        <stp>LAST</stp>
        <stp>FA</stp>
        <tr r="D129" s="3"/>
      </tp>
      <tp>
        <v>277.31</v>
        <stp/>
        <stp>LAST</stp>
        <stp>GD</stp>
        <tr r="D6" s="2"/>
      </tp>
      <tp>
        <v>251.41</v>
        <stp/>
        <stp>LAST</stp>
        <stp>GE</stp>
        <tr r="D7" s="2"/>
      </tp>
      <tp>
        <v>238.24</v>
        <stp/>
        <stp>LAST</stp>
        <stp>DY</stp>
        <tr r="D49" s="3"/>
      </tp>
      <tp>
        <v>521.67999999999995</v>
        <stp/>
        <stp>LAST</stp>
        <stp>DE</stp>
        <tr r="D84" s="2"/>
      </tp>
      <tp>
        <v>17.03</v>
        <stp/>
        <stp>LAST</stp>
        <stp>EH</stp>
        <tr r="D7" s="4"/>
      </tp>
      <tp>
        <v>243.71</v>
        <stp/>
        <stp>LAST</stp>
        <stp>BR</stp>
        <tr r="D124" s="2"/>
      </tp>
      <tp>
        <v>16.940000000000001</v>
        <stp/>
        <stp>LAST</stp>
        <stp>BV</stp>
        <tr r="D30" s="4"/>
      </tp>
      <tp>
        <v>217.51</v>
        <stp/>
        <stp>LAST</stp>
        <stp>BA</stp>
        <tr r="D3" s="2"/>
      </tp>
      <tp>
        <v>21.43</v>
        <stp/>
        <stp>LAST</stp>
        <stp>BE</stp>
        <tr r="D71" s="3"/>
      </tp>
      <tp>
        <v>185.99</v>
        <stp/>
        <stp>LAST</stp>
        <stp>CR</stp>
        <tr r="D85" s="2"/>
      </tp>
      <tp>
        <v>81.66</v>
        <stp/>
        <stp>LAST</stp>
        <stp>CP</stp>
        <tr r="D65" s="2"/>
      </tp>
      <tp>
        <v>460.06</v>
        <stp/>
        <stp>LAST</stp>
        <stp>CW</stp>
        <tr r="D5" s="2"/>
      </tp>
      <tp>
        <v>58.04</v>
        <stp/>
        <stp>LAST</stp>
        <stp>AL</stp>
        <tr r="D153" s="3"/>
      </tp>
      <tp>
        <v>19.02</v>
        <stp/>
        <stp>LAST</stp>
        <stp>NX</stp>
        <tr r="D24" s="4"/>
      </tp>
      <tp>
        <v>6.74</v>
        <stp/>
        <stp>LAST</stp>
        <stp>NL</stp>
        <tr r="D37" s="4"/>
      </tp>
      <tp>
        <v>137.12</v>
        <stp/>
        <stp>LAST</stp>
        <stp>OC</stp>
        <tr r="D32" s="2"/>
      </tp>
      <tp>
        <v>9.35</v>
        <stp/>
        <stp>LAST</stp>
        <stp>LZ</stp>
        <tr r="D141" s="4"/>
      </tp>
      <tp>
        <v>7.68</v>
        <stp/>
        <stp>LAST</stp>
        <stp>MG</stp>
        <tr r="D142" s="4"/>
      </tp>
      <tp>
        <v>41.97</v>
        <stp/>
        <stp>LAST</stp>
        <stp>HY</stp>
        <tr r="D108" s="4"/>
      </tp>
      <tp>
        <v>21.42</v>
        <stp/>
        <stp>LAST</stp>
        <stp>HI</stp>
        <tr r="D104" s="3"/>
      </tp>
      <tp>
        <v>83.46</v>
        <stp/>
        <stp>LAST</stp>
        <stp>IR</stp>
        <tr r="D90" s="2"/>
      </tp>
      <tp>
        <v>153.05000000000001</v>
        <stp/>
        <stp>LAST</stp>
        <stp>R</stp>
        <tr r="D76" s="3"/>
      </tp>
      <tp>
        <v>43.2</v>
        <stp/>
        <stp>LAST</stp>
        <stp>G</stp>
        <tr r="D149" s="3"/>
      </tp>
      <tp>
        <v>20.309999999999999</v>
        <stp/>
        <stp>LAST</stp>
        <stp>B</stp>
        <tr r="D94" s="3"/>
      </tp>
      <tp>
        <v>127.74</v>
        <stp/>
        <stp>LAST</stp>
        <stp>J</stp>
        <tr r="D11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854944791667" createdVersion="8" refreshedVersion="8" minRefreshableVersion="3" recordCount="133" xr:uid="{3432845B-C090-4238-AA0B-FA56B072311B}">
  <cacheSource type="worksheet">
    <worksheetSource name="Main_L"/>
  </cacheSource>
  <cacheFields count="26">
    <cacheField name="Industry" numFmtId="0">
      <sharedItems count="58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Passenger Airlines"/>
        <s v="Professional Services"/>
        <s v="Trading Companies &amp; Distributors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22" maxValue="190721"/>
    </cacheField>
    <cacheField name="Current Price" numFmtId="0">
      <sharedItems containsSemiMixedTypes="0" containsString="0" containsNumber="1" minValue="12.3" maxValue="1415.84"/>
    </cacheField>
    <cacheField name="Free CF" numFmtId="0">
      <sharedItems containsSemiMixedTypes="0" containsString="0" containsNumber="1" minValue="-14.77" maxValue="38.25"/>
    </cacheField>
    <cacheField name="BVPS" numFmtId="0">
      <sharedItems containsSemiMixedTypes="0" containsString="0" containsNumber="1" minValue="-111.89" maxValue="163.71"/>
    </cacheField>
    <cacheField name="EPS" numFmtId="0">
      <sharedItems containsSemiMixedTypes="0" containsString="0" containsNumber="1" minValue="-12.99" maxValue="38.25"/>
    </cacheField>
    <cacheField name="P/FCF" numFmtId="2">
      <sharedItems containsSemiMixedTypes="0" containsString="0" containsNumber="1" minValue="-127.12169312169313" maxValue="249.06185567010309"/>
    </cacheField>
    <cacheField name="P/B" numFmtId="2">
      <sharedItems containsSemiMixedTypes="0" containsString="0" containsNumber="1" minValue="-166.02439024390245" maxValue="142.25"/>
    </cacheField>
    <cacheField name="ROE" numFmtId="0">
      <sharedItems containsSemiMixedTypes="0" containsString="0" containsNumber="1" minValue="-41.52" maxValue="570.87"/>
    </cacheField>
    <cacheField name="ROA" numFmtId="0">
      <sharedItems containsSemiMixedTypes="0" containsString="0" containsNumber="1" minValue="-11.06" maxValue="20.34"/>
    </cacheField>
    <cacheField name="A/E" numFmtId="0">
      <sharedItems containsSemiMixedTypes="0" containsString="0" containsNumber="1" minValue="-60.18" maxValue="15.23"/>
    </cacheField>
    <cacheField name="P/E" numFmtId="2">
      <sharedItems containsSemiMixedTypes="0" containsString="0" containsNumber="1" minValue="-391.125" maxValue="188.25194805194803"/>
    </cacheField>
    <cacheField name="Preliminary Criteria" numFmtId="0">
      <sharedItems/>
    </cacheField>
    <cacheField name="P/FCF Z-Score" numFmtId="2">
      <sharedItems containsSemiMixedTypes="0" containsString="0" containsNumber="1" minValue="-6.5750175589486037" maxValue="17.67940655484027"/>
    </cacheField>
    <cacheField name="P/B Z-Score" numFmtId="2">
      <sharedItems containsSemiMixedTypes="0" containsString="0" containsNumber="1" minValue="-54.827012734912216" maxValue="19.508790948793745"/>
    </cacheField>
    <cacheField name="ROE Z-Score" numFmtId="2">
      <sharedItems containsSemiMixedTypes="0" containsString="0" containsNumber="1" minValue="-6.966177224827006" maxValue="52.761312413721377"/>
    </cacheField>
    <cacheField name="ROA Z-Score" numFmtId="2">
      <sharedItems containsSemiMixedTypes="0" containsString="0" containsNumber="1" minValue="-11.254200182471651" maxValue="18.557891012591984"/>
    </cacheField>
    <cacheField name="A/E Z-Score" numFmtId="2">
      <sharedItems containsSemiMixedTypes="0" containsString="0" containsNumber="1" minValue="-115.76763851314777" maxValue="17.235921095526855"/>
    </cacheField>
    <cacheField name="P/E Z-Score" numFmtId="2">
      <sharedItems containsSemiMixedTypes="0" containsString="0" containsNumber="1" minValue="-35.976444128764065" maxValue="8.8683834098363779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854946527776" createdVersion="8" refreshedVersion="8" minRefreshableVersion="3" recordCount="167" xr:uid="{A2646FF5-8A5C-4026-A340-9C8CC354FDFF}">
  <cacheSource type="worksheet">
    <worksheetSource name="Main_M"/>
  </cacheSource>
  <cacheFields count="26">
    <cacheField name="Industry" numFmtId="0">
      <sharedItems count="59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107" maxValue="9870"/>
    </cacheField>
    <cacheField name="Current Price" numFmtId="0">
      <sharedItems containsSemiMixedTypes="0" containsString="0" containsNumber="1" minValue="0.81169999999999998" maxValue="338.47"/>
    </cacheField>
    <cacheField name="Free CF" numFmtId="0">
      <sharedItems containsString="0" containsBlank="1" containsNumber="1" minValue="-34.479999999999997" maxValue="21.45"/>
    </cacheField>
    <cacheField name="BVPS" numFmtId="0">
      <sharedItems containsString="0" containsBlank="1" containsNumber="1" minValue="-23.75" maxValue="113.42"/>
    </cacheField>
    <cacheField name="EPS" numFmtId="0">
      <sharedItems containsString="0" containsBlank="1" containsNumber="1" minValue="-12.43" maxValue="17.73"/>
    </cacheField>
    <cacheField name="P/FCF" numFmtId="2">
      <sharedItems containsMixedTypes="1" containsNumber="1" minValue="-126.78481012658227" maxValue="4605"/>
    </cacheField>
    <cacheField name="P/B" numFmtId="2">
      <sharedItems containsMixedTypes="1" containsNumber="1" minValue="-15.896860986547084" maxValue="105.88669950738917"/>
    </cacheField>
    <cacheField name="ROE" numFmtId="0">
      <sharedItems containsSemiMixedTypes="0" containsString="0" containsNumber="1" minValue="-311.27999999999997" maxValue="378.42"/>
    </cacheField>
    <cacheField name="ROA" numFmtId="0">
      <sharedItems containsSemiMixedTypes="0" containsString="0" containsNumber="1" minValue="-51.72" maxValue="19.2"/>
    </cacheField>
    <cacheField name="A/E" numFmtId="0">
      <sharedItems containsSemiMixedTypes="0" containsString="0" containsNumber="1" minValue="-137.6" maxValue="28.91"/>
    </cacheField>
    <cacheField name="P/E" numFmtId="2">
      <sharedItems containsMixedTypes="1" containsNumber="1" minValue="-112.125" maxValue="935.25000000000011"/>
    </cacheField>
    <cacheField name="Preliminary Criteria" numFmtId="0">
      <sharedItems/>
    </cacheField>
    <cacheField name="P/FCF Z-Score" numFmtId="2">
      <sharedItems containsMixedTypes="1" containsNumber="1" minValue="-14.508617358307649" maxValue="230.67775946518421"/>
    </cacheField>
    <cacheField name="P/B Z-Score" numFmtId="2">
      <sharedItems containsMixedTypes="1" containsNumber="1" minValue="-45.724939973724616" maxValue="37.794463970102029"/>
    </cacheField>
    <cacheField name="ROE Z-Score" numFmtId="2">
      <sharedItems containsMixedTypes="1" containsNumber="1" minValue="-10.528009733889263" maxValue="9.6555488161457745"/>
    </cacheField>
    <cacheField name="ROA Z-Score" numFmtId="2">
      <sharedItems containsMixedTypes="1" containsNumber="1" minValue="-26.393342373237669" maxValue="3.8405246432846183"/>
    </cacheField>
    <cacheField name="A/E Z-Score" numFmtId="2">
      <sharedItems containsMixedTypes="1" containsNumber="1" minValue="-687.22408229902442" maxValue="40.72421317179171"/>
    </cacheField>
    <cacheField name="P/E Z-Score" numFmtId="2">
      <sharedItems containsMixedTypes="1" containsNumber="1" minValue="-9.5085865592782053" maxValue="40.34032607496765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854948379631" createdVersion="8" refreshedVersion="8" minRefreshableVersion="3" recordCount="167" xr:uid="{FEEDC4AE-CB7E-4F82-B64E-6462C5DE2153}">
  <cacheSource type="worksheet">
    <worksheetSource name="Main_S"/>
  </cacheSource>
  <cacheFields count="26">
    <cacheField name="Industry" numFmtId="0">
      <sharedItems count="60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6" maxValue="1986"/>
    </cacheField>
    <cacheField name="Current Price" numFmtId="0">
      <sharedItems containsSemiMixedTypes="0" containsString="0" containsNumber="1" minValue="0.69389999999999996" maxValue="189.98"/>
    </cacheField>
    <cacheField name="Free CF" numFmtId="0">
      <sharedItems containsString="0" containsBlank="1" containsNumber="1" minValue="-9.89" maxValue="13.06"/>
    </cacheField>
    <cacheField name="BVPS" numFmtId="0">
      <sharedItems containsString="0" containsBlank="1" containsNumber="1" minValue="-13.74" maxValue="175.16"/>
    </cacheField>
    <cacheField name="EPS" numFmtId="0">
      <sharedItems containsString="0" containsBlank="1" containsNumber="1" minValue="-53.77" maxValue="28.9"/>
    </cacheField>
    <cacheField name="P/FCF" numFmtId="2">
      <sharedItems containsMixedTypes="1" containsNumber="1" minValue="-1390.3333333333335" maxValue="960.24999999999989"/>
    </cacheField>
    <cacheField name="P/B" numFmtId="2">
      <sharedItems containsMixedTypes="1" containsNumber="1" minValue="-28.24666666666667" maxValue="60.711111111111109"/>
    </cacheField>
    <cacheField name="ROE" numFmtId="0">
      <sharedItems containsString="0" containsBlank="1" containsNumber="1" minValue="-2416.9" maxValue="539.21"/>
    </cacheField>
    <cacheField name="ROA" numFmtId="0">
      <sharedItems containsString="0" containsBlank="1" containsNumber="1" minValue="-83.47" maxValue="18.46"/>
    </cacheField>
    <cacheField name="A/E" numFmtId="0">
      <sharedItems containsSemiMixedTypes="0" containsString="0" containsNumber="1" minValue="-127.03" maxValue="54.56"/>
    </cacheField>
    <cacheField name="P/E" numFmtId="2">
      <sharedItems containsMixedTypes="1" containsNumber="1" minValue="-786" maxValue="681"/>
    </cacheField>
    <cacheField name="Preliminary Criteria" numFmtId="0">
      <sharedItems/>
    </cacheField>
    <cacheField name="P/FCF Z-Score" numFmtId="2">
      <sharedItems containsMixedTypes="1" containsNumber="1" minValue="-128.70956874983966" maxValue="83.570121104559476"/>
    </cacheField>
    <cacheField name="P/B Z-Score" numFmtId="2">
      <sharedItems containsMixedTypes="1" containsNumber="1" minValue="-17.788814062589999" maxValue="23.540905307389021"/>
    </cacheField>
    <cacheField name="ROE Z-Score" numFmtId="2">
      <sharedItems containsMixedTypes="1" containsNumber="1" minValue="-179.12841431791512" maxValue="114.8681099591643"/>
    </cacheField>
    <cacheField name="ROA Z-Score" numFmtId="2">
      <sharedItems containsMixedTypes="1" containsNumber="1" minValue="-5.7407450847301051" maxValue="10.599114145363249"/>
    </cacheField>
    <cacheField name="A/E Z-Score" numFmtId="2">
      <sharedItems containsMixedTypes="1" containsNumber="1" minValue="-136.50177609305618" maxValue="65.705847321102965"/>
    </cacheField>
    <cacheField name="P/E Z-Score" numFmtId="2">
      <sharedItems containsMixedTypes="1" containsNumber="1" minValue="-51.931497132651891" maxValue="50.339151435318612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">
  <r>
    <x v="0"/>
    <s v="AXON"/>
    <n v="52440"/>
    <n v="724.77"/>
    <n v="2.91"/>
    <n v="27.6"/>
    <n v="3.85"/>
    <n v="249.06185567010309"/>
    <n v="26.259782608695652"/>
    <n v="16.420000000000002"/>
    <n v="2.2799999999999998"/>
    <n v="1.91"/>
    <n v="188.25194805194803"/>
    <s v="NO"/>
    <n v="10.471085154245877"/>
    <n v="1.9057819596674248"/>
    <n v="-0.24744129816725674"/>
    <n v="-0.96699403550239182"/>
    <n v="-1.275279464836454"/>
    <n v="7.0963125567885728"/>
    <x v="0"/>
    <x v="0"/>
    <x v="0"/>
    <x v="0"/>
    <x v="0"/>
    <x v="0"/>
  </r>
  <r>
    <x v="0"/>
    <s v="BA"/>
    <n v="115167"/>
    <n v="203.42"/>
    <n v="-11.97"/>
    <n v="-38.119999999999997"/>
    <n v="-12.99"/>
    <n v="-16.994152046783622"/>
    <n v="-5.3363064008394545"/>
    <n v="39.71"/>
    <n v="-2.67"/>
    <n v="-5.85"/>
    <n v="-15.659738260200152"/>
    <s v="NO"/>
    <n v="-2.4541130031280693"/>
    <n v="-1.3344256147169853"/>
    <n v="2.4532725391110577"/>
    <n v="-2.4728519871813468"/>
    <n v="-21.100659058420874"/>
    <n v="-2.3262917297104266"/>
    <x v="1"/>
    <x v="0"/>
    <x v="0"/>
    <x v="0"/>
    <x v="1"/>
    <x v="1"/>
  </r>
  <r>
    <x v="0"/>
    <s v="BWXT"/>
    <n v="11523"/>
    <n v="107.19"/>
    <n v="2.2000000000000002"/>
    <n v="11.58"/>
    <n v="3.02"/>
    <n v="48.722727272727269"/>
    <n v="9.256476683937823"/>
    <n v="28.75"/>
    <n v="7.44"/>
    <n v="2.78"/>
    <n v="35.493377483443709"/>
    <s v="NO"/>
    <n v="0.73846172870346483"/>
    <n v="0.16207752111019635"/>
    <n v="1.1823483803918509"/>
    <n v="0.60274879897506428"/>
    <n v="0.94741128856798473"/>
    <n v="3.7454931361263356E-2"/>
    <x v="1"/>
    <x v="0"/>
    <x v="0"/>
    <x v="0"/>
    <x v="0"/>
    <x v="1"/>
  </r>
  <r>
    <x v="0"/>
    <s v="CW"/>
    <n v="14269"/>
    <n v="395.15"/>
    <n v="12.42"/>
    <n v="65.61"/>
    <n v="10.58"/>
    <n v="31.815619967793879"/>
    <n v="6.0227099527511045"/>
    <n v="17.41"/>
    <n v="7.7"/>
    <n v="1.96"/>
    <n v="37.348771266540638"/>
    <s v="YES"/>
    <n v="-8.2898082185626443E-2"/>
    <n v="-0.16954818905353414"/>
    <n v="-0.13264066704207308"/>
    <n v="0.68184436815416083"/>
    <n v="-1.1475386169396471"/>
    <n v="0.12319127011621964"/>
    <x v="1"/>
    <x v="0"/>
    <x v="0"/>
    <x v="0"/>
    <x v="0"/>
    <x v="1"/>
  </r>
  <r>
    <x v="0"/>
    <s v="GD"/>
    <n v="74736"/>
    <n v="273.02"/>
    <n v="8.33"/>
    <n v="83.68"/>
    <n v="13.12"/>
    <n v="32.775510204081627"/>
    <n v="3.262667304015296"/>
    <n v="16.95"/>
    <n v="5.1100000000000003"/>
    <n v="2.4900000000000002"/>
    <n v="20.809451219512194"/>
    <s v="NO"/>
    <n v="-3.6265902668936721E-2"/>
    <n v="-0.45259306506204627"/>
    <n v="-0.18598237443357274"/>
    <n v="-0.10606918636068619"/>
    <n v="0.20651437076650606"/>
    <n v="-0.64107815842621196"/>
    <x v="1"/>
    <x v="0"/>
    <x v="0"/>
    <x v="0"/>
    <x v="0"/>
    <x v="1"/>
  </r>
  <r>
    <x v="0"/>
    <s v="GE"/>
    <n v="190029"/>
    <n v="221.58"/>
    <n v="4.41"/>
    <n v="17.440000000000001"/>
    <n v="5"/>
    <n v="50.244897959183675"/>
    <n v="12.705275229357797"/>
    <n v="22.55"/>
    <n v="3.02"/>
    <n v="6.71"/>
    <n v="44.316000000000003"/>
    <s v="NO"/>
    <n v="0.81240990946670721"/>
    <n v="0.51575493878120571"/>
    <n v="0.46339493294120471"/>
    <n v="-0.74187587706957836"/>
    <n v="10.987841933257002"/>
    <n v="0.44514162282144415"/>
    <x v="1"/>
    <x v="0"/>
    <x v="0"/>
    <x v="0"/>
    <x v="1"/>
    <x v="1"/>
  </r>
  <r>
    <x v="0"/>
    <s v="HEI"/>
    <n v="36552"/>
    <n v="268.36"/>
    <n v="4.03"/>
    <n v="25.54"/>
    <n v="3.41"/>
    <n v="66.590570719602979"/>
    <n v="10.507439310884887"/>
    <n v="14.44"/>
    <n v="7.86"/>
    <n v="2.1"/>
    <n v="78.697947214076251"/>
    <s v="NO"/>
    <n v="1.6064948138332538"/>
    <n v="0.29036487268343897"/>
    <n v="-0.47704256041762466"/>
    <n v="0.73051856457206654"/>
    <n v="-0.78986424282858769"/>
    <n v="2.0339053129103366"/>
    <x v="1"/>
    <x v="0"/>
    <x v="0"/>
    <x v="0"/>
    <x v="0"/>
    <x v="1"/>
  </r>
  <r>
    <x v="0"/>
    <s v="HWM"/>
    <n v="48065"/>
    <n v="158.30000000000001"/>
    <n v="2.44"/>
    <n v="10.93"/>
    <n v="2.6"/>
    <n v="64.877049180327873"/>
    <n v="14.483074107959744"/>
    <n v="25.72"/>
    <n v="9.0500000000000007"/>
    <n v="2.37"/>
    <n v="60.884615384615387"/>
    <s v="NO"/>
    <n v="1.5232506667376289"/>
    <n v="0.69806982561545117"/>
    <n v="0.83098887300871227"/>
    <n v="1.0925329004302395"/>
    <n v="-0.10006366418583065"/>
    <n v="1.2107647666830585"/>
    <x v="1"/>
    <x v="0"/>
    <x v="0"/>
    <x v="0"/>
    <x v="0"/>
    <x v="1"/>
  </r>
  <r>
    <x v="0"/>
    <s v="LHX"/>
    <n v="44504"/>
    <n v="218.37"/>
    <n v="9.4499999999999993"/>
    <n v="100.23"/>
    <n v="6.33"/>
    <n v="23.107936507936511"/>
    <n v="2.1786890152648906"/>
    <n v="6.26"/>
    <n v="3.55"/>
    <n v="2.2000000000000002"/>
    <n v="34.497630331753555"/>
    <s v="NO"/>
    <n v="-0.50592380213143673"/>
    <n v="-0.56375602135759806"/>
    <n v="-1.4255972701186386"/>
    <n v="-0.58064260143526603"/>
    <n v="-0.53438254703497379"/>
    <n v="-8.5577888975550773E-3"/>
    <x v="1"/>
    <x v="0"/>
    <x v="0"/>
    <x v="0"/>
    <x v="0"/>
    <x v="1"/>
  </r>
  <r>
    <x v="0"/>
    <s v="LMT"/>
    <n v="121606"/>
    <n v="459.83"/>
    <n v="27.07"/>
    <n v="30.51"/>
    <n v="27.67"/>
    <n v="16.986701145179165"/>
    <n v="15.071451982956406"/>
    <n v="81.040000000000006"/>
    <n v="9.99"/>
    <n v="7.71"/>
    <n v="16.618359233827249"/>
    <s v="NO"/>
    <n v="-0.80329795545540172"/>
    <n v="0.75840851014659838"/>
    <n v="7.2459089880038343"/>
    <n v="1.3784938043854349"/>
    <n v="13.54265889119314"/>
    <n v="-0.83474533868273593"/>
    <x v="1"/>
    <x v="0"/>
    <x v="1"/>
    <x v="0"/>
    <x v="1"/>
    <x v="1"/>
  </r>
  <r>
    <x v="0"/>
    <s v="NOC"/>
    <n v="69009"/>
    <n v="470.67"/>
    <n v="16.77"/>
    <n v="101.14"/>
    <n v="15.99"/>
    <n v="28.066189624329162"/>
    <n v="4.6536484081471228"/>
    <n v="15.48"/>
    <n v="4.16"/>
    <n v="3.27"/>
    <n v="29.435272045028142"/>
    <s v="NO"/>
    <n v="-0.26504818878318631"/>
    <n v="-0.30994669170636335"/>
    <n v="-0.35644391761945166"/>
    <n v="-0.39507222759200084"/>
    <n v="2.1992715979566926"/>
    <n v="-0.24248552376642618"/>
    <x v="1"/>
    <x v="0"/>
    <x v="0"/>
    <x v="0"/>
    <x v="0"/>
    <x v="1"/>
  </r>
  <r>
    <x v="0"/>
    <s v="RKLB"/>
    <n v="12338"/>
    <n v="21.83"/>
    <n v="-0.28999999999999998"/>
    <n v="0.84"/>
    <n v="-0.38"/>
    <n v="-75.275862068965523"/>
    <n v="25.988095238095237"/>
    <n v="-37.450000000000003"/>
    <n v="-11.06"/>
    <n v="2.75"/>
    <n v="-57.447368421052623"/>
    <s v="NO"/>
    <n v="-5.2854816967036964"/>
    <n v="1.8779201734881803"/>
    <n v="-6.4942190746456951"/>
    <n v="-5.025205161845272"/>
    <n v="0.87076677982990114"/>
    <n v="-4.2572664089817911"/>
    <x v="0"/>
    <x v="0"/>
    <x v="1"/>
    <x v="1"/>
    <x v="0"/>
    <x v="0"/>
  </r>
  <r>
    <x v="0"/>
    <s v="RTX"/>
    <n v="157047"/>
    <n v="130.72"/>
    <n v="5.47"/>
    <n v="45.92"/>
    <n v="3.51"/>
    <n v="23.897623400365632"/>
    <n v="2.8466898954703832"/>
    <n v="7.35"/>
    <n v="3.17"/>
    <n v="2.7"/>
    <n v="37.242165242165242"/>
    <s v="NO"/>
    <n v="-0.46756022727922564"/>
    <n v="-0.49525192545243413"/>
    <n v="-1.2992006156474765"/>
    <n v="-0.69624381792779189"/>
    <n v="0.74302593193309474"/>
    <n v="0.11826508662760625"/>
    <x v="1"/>
    <x v="0"/>
    <x v="0"/>
    <x v="0"/>
    <x v="0"/>
    <x v="1"/>
  </r>
  <r>
    <x v="0"/>
    <s v="TDG"/>
    <n v="71931"/>
    <n v="1415.84"/>
    <n v="32.53"/>
    <n v="-111.89"/>
    <n v="25.62"/>
    <n v="43.524131570857669"/>
    <n v="-12.653856466172133"/>
    <n v="-41.52"/>
    <n v="9.8699999999999992"/>
    <n v="-4.07"/>
    <n v="55.263075722092111"/>
    <s v="NO"/>
    <n v="0.48591009431888138"/>
    <n v="-2.0848470083417703"/>
    <n v="-6.966177224827006"/>
    <n v="1.3419881570720054"/>
    <n v="-16.553084873294551"/>
    <n v="0.95099768477226432"/>
    <x v="1"/>
    <x v="0"/>
    <x v="1"/>
    <x v="0"/>
    <x v="1"/>
    <x v="1"/>
  </r>
  <r>
    <x v="0"/>
    <s v="TXT"/>
    <n v="15334"/>
    <n v="76.52"/>
    <n v="3.81"/>
    <n v="37.47"/>
    <n v="4.5599999999999996"/>
    <n v="20.083989501312335"/>
    <n v="2.0421670669869227"/>
    <n v="12.6"/>
    <n v="4.79"/>
    <n v="2.37"/>
    <n v="16.780701754385966"/>
    <s v="NO"/>
    <n v="-0.65282939021951392"/>
    <n v="-0.57775647093053384"/>
    <n v="-0.69040938998362289"/>
    <n v="-0.2034175791964975"/>
    <n v="-0.10006366418583065"/>
    <n v="-0.82724361400102264"/>
    <x v="1"/>
    <x v="0"/>
    <x v="0"/>
    <x v="0"/>
    <x v="0"/>
    <x v="1"/>
  </r>
  <r>
    <x v="0"/>
    <s v="WWD"/>
    <n v="10626"/>
    <n v="203.33"/>
    <n v="5.71"/>
    <n v="36.78"/>
    <n v="6.01"/>
    <n v="35.609457092819618"/>
    <n v="5.5282762370853726"/>
    <n v="17.559999999999999"/>
    <n v="6.56"/>
    <n v="2.0099999999999998"/>
    <n v="33.831946755407657"/>
    <s v="NO"/>
    <n v="0.10140933879146134"/>
    <n v="-0.22025281487123136"/>
    <n v="-0.11524663202310599"/>
    <n v="0.33504071867658319"/>
    <n v="-1.0197977690428408"/>
    <n v="-3.9318521807815754E-2"/>
    <x v="1"/>
    <x v="0"/>
    <x v="0"/>
    <x v="0"/>
    <x v="0"/>
    <x v="1"/>
  </r>
  <r>
    <x v="1"/>
    <s v="CHRW"/>
    <n v="12462"/>
    <n v="96.28"/>
    <n v="1.79"/>
    <n v="13.89"/>
    <n v="2.89"/>
    <n v="53.787709497206706"/>
    <n v="6.9316054715622748"/>
    <n v="22.82"/>
    <n v="7.15"/>
    <n v="3.42"/>
    <n v="33.31487889273356"/>
    <s v="NO"/>
    <n v="8.1172386494854276"/>
    <n v="1.0687523592388926"/>
    <n v="5.5536391093839808E-4"/>
    <n v="-1.3982902518631828"/>
    <n v="0.61456542023277849"/>
    <n v="1.7893208327973775"/>
    <x v="0"/>
    <x v="0"/>
    <x v="0"/>
    <x v="0"/>
    <x v="0"/>
    <x v="1"/>
  </r>
  <r>
    <x v="1"/>
    <s v="EXPD"/>
    <n v="16696"/>
    <n v="115.31"/>
    <n v="4.1500000000000004"/>
    <n v="16.84"/>
    <n v="5.12"/>
    <n v="27.785542168674699"/>
    <n v="6.8473871733966751"/>
    <n v="30.29"/>
    <n v="12.05"/>
    <n v="2.19"/>
    <n v="22.521484375"/>
    <s v="NO"/>
    <n v="1.7078999573563871"/>
    <n v="1.0314378601053118"/>
    <n v="1.0376974675889714"/>
    <n v="18.557891012591984"/>
    <n v="-0.75982633774234365"/>
    <n v="0.38976827594827657"/>
    <x v="1"/>
    <x v="0"/>
    <x v="0"/>
    <x v="1"/>
    <x v="0"/>
    <x v="1"/>
  </r>
  <r>
    <x v="1"/>
    <s v="FDX"/>
    <n v="68577"/>
    <n v="231.15"/>
    <n v="12.65"/>
    <n v="112.9"/>
    <n v="16.2"/>
    <n v="18.272727272727273"/>
    <n v="2.0473870682019486"/>
    <n v="15.07"/>
    <n v="4.7300000000000004"/>
    <n v="3.15"/>
    <n v="14.268518518518519"/>
    <s v="NO"/>
    <n v="-0.63693737152097918"/>
    <n v="-1.095292359665814"/>
    <n v="-1.0754622135328042"/>
    <n v="-11.254200182471651"/>
    <n v="0.31286966848214193"/>
    <n v="-0.68037323023400631"/>
    <x v="1"/>
    <x v="0"/>
    <x v="0"/>
    <x v="1"/>
    <x v="0"/>
    <x v="1"/>
  </r>
  <r>
    <x v="1"/>
    <s v="UPS"/>
    <n v="107192"/>
    <n v="99.81"/>
    <n v="5.09"/>
    <n v="19.760000000000002"/>
    <n v="6.62"/>
    <n v="19.609037328094303"/>
    <n v="5.0511133603238862"/>
    <n v="31.42"/>
    <n v="7.62"/>
    <n v="4.05"/>
    <n v="15.077039274924472"/>
    <s v="NO"/>
    <n v="-0.30754699285255066"/>
    <n v="0.23556500228785715"/>
    <n v="1.1945877724291563"/>
    <n v="0.51587407350292369"/>
    <n v="1.318522174317597"/>
    <n v="-0.57553435956784527"/>
    <x v="1"/>
    <x v="0"/>
    <x v="0"/>
    <x v="0"/>
    <x v="0"/>
    <x v="1"/>
  </r>
  <r>
    <x v="1"/>
    <s v="ZTO"/>
    <n v="14869"/>
    <n v="18.47"/>
    <n v="1.04"/>
    <n v="10.74"/>
    <n v="1.49"/>
    <n v="17.759615384615383"/>
    <n v="1.7197392923649906"/>
    <n v="14.48"/>
    <n v="7.71"/>
    <n v="1.54"/>
    <n v="12.395973154362416"/>
    <s v="YES"/>
    <n v="-0.76341559298285888"/>
    <n v="-1.2404628619662479"/>
    <n v="-1.1573783903962633"/>
    <n v="0.88241617836026287"/>
    <n v="-1.4861309252901722"/>
    <n v="-0.92318151894380462"/>
    <x v="1"/>
    <x v="0"/>
    <x v="0"/>
    <x v="0"/>
    <x v="0"/>
    <x v="1"/>
  </r>
  <r>
    <x v="2"/>
    <s v="AAON"/>
    <n v="11156"/>
    <n v="105.95"/>
    <n v="1.27"/>
    <n v="9.81"/>
    <n v="2.2799999999999998"/>
    <n v="83.425196850393704"/>
    <n v="10.800203873598369"/>
    <n v="25.81"/>
    <n v="15.98"/>
    <n v="1.29"/>
    <n v="46.469298245614041"/>
    <s v="NO"/>
    <n v="6.2947592605862352"/>
    <n v="1.3800311106713159"/>
    <n v="-0.1342136876641403"/>
    <n v="1.013910922980926"/>
    <n v="-2.1532577451555377"/>
    <n v="1.5324795351903058"/>
    <x v="0"/>
    <x v="0"/>
    <x v="0"/>
    <x v="0"/>
    <x v="0"/>
    <x v="1"/>
  </r>
  <r>
    <x v="2"/>
    <s v="ALLE"/>
    <n v="12213"/>
    <n v="142.85"/>
    <n v="6.68"/>
    <n v="18.07"/>
    <n v="6.5"/>
    <n v="21.384730538922156"/>
    <n v="7.9053680132816817"/>
    <n v="40.82"/>
    <n v="10.7"/>
    <n v="3.17"/>
    <n v="21.976923076923075"/>
    <s v="NO"/>
    <n v="-5.8136699266331734E-2"/>
    <n v="0.4598527444285192"/>
    <n v="1.3224366751982908"/>
    <n v="-0.17244911543221286"/>
    <n v="1.3215272856533997"/>
    <n v="-0.42782328400654362"/>
    <x v="1"/>
    <x v="0"/>
    <x v="0"/>
    <x v="0"/>
    <x v="0"/>
    <x v="1"/>
  </r>
  <r>
    <x v="2"/>
    <s v="AOS"/>
    <n v="10528"/>
    <n v="70.12"/>
    <n v="3.29"/>
    <n v="13.22"/>
    <n v="3.79"/>
    <n v="21.31306990881459"/>
    <n v="5.3040847201210291"/>
    <n v="29.54"/>
    <n v="14.34"/>
    <n v="1.65"/>
    <n v="18.50131926121372"/>
    <s v="YES"/>
    <n v="-6.5474692588388145E-2"/>
    <n v="-0.36701438252955071"/>
    <n v="0.22776538318708342"/>
    <n v="0.64542030498896619"/>
    <n v="-1.4878733775538266"/>
    <n v="-0.70600112145269933"/>
    <x v="1"/>
    <x v="0"/>
    <x v="0"/>
    <x v="0"/>
    <x v="0"/>
    <x v="1"/>
  </r>
  <r>
    <x v="2"/>
    <s v="BLDR"/>
    <n v="20234"/>
    <n v="123.81"/>
    <n v="14.42"/>
    <n v="38.479999999999997"/>
    <n v="10.23"/>
    <n v="8.5859916782246888"/>
    <n v="3.2175155925155927"/>
    <n v="27.44"/>
    <n v="10.3"/>
    <n v="2.4500000000000002"/>
    <n v="12.102639296187682"/>
    <s v="YES"/>
    <n v="-1.3687176995947996"/>
    <n v="-1.0302698704184508"/>
    <n v="2.3970195844571638E-2"/>
    <n v="-0.26232487591805637"/>
    <n v="-9.2414495500227536E-3"/>
    <n v="-1.2181339908941786"/>
    <x v="1"/>
    <x v="0"/>
    <x v="0"/>
    <x v="0"/>
    <x v="0"/>
    <x v="1"/>
  </r>
  <r>
    <x v="2"/>
    <s v="CARR"/>
    <n v="66099"/>
    <n v="74.650000000000006"/>
    <n v="1.06"/>
    <n v="16.37"/>
    <n v="1.7"/>
    <n v="70.424528301886795"/>
    <n v="4.5601710445937691"/>
    <n v="13.93"/>
    <n v="4.18"/>
    <n v="2.74"/>
    <n v="43.911764705882355"/>
    <s v="NO"/>
    <n v="4.9635008157747027"/>
    <n v="-0.60348142370316049"/>
    <n v="-1.2871121760589224"/>
    <n v="-1.6374240113514673"/>
    <n v="0.52676262435135601"/>
    <n v="1.3277815353599172"/>
    <x v="0"/>
    <x v="0"/>
    <x v="0"/>
    <x v="0"/>
    <x v="0"/>
    <x v="1"/>
  </r>
  <r>
    <x v="2"/>
    <s v="CSL"/>
    <n v="19945"/>
    <n v="400.39"/>
    <n v="19.55"/>
    <n v="61.03"/>
    <n v="18.64"/>
    <n v="20.480306905370842"/>
    <n v="6.560543994756677"/>
    <n v="31.46"/>
    <n v="10.96"/>
    <n v="2.34"/>
    <n v="21.480150214592275"/>
    <s v="NO"/>
    <n v="-0.15074898265468073"/>
    <n v="3.2374977825533009E-2"/>
    <n v="0.41409241161452315"/>
    <n v="-0.11402987111641402"/>
    <n v="-0.21255333965054629"/>
    <n v="-0.46758362720806435"/>
    <x v="1"/>
    <x v="0"/>
    <x v="0"/>
    <x v="0"/>
    <x v="0"/>
    <x v="1"/>
  </r>
  <r>
    <x v="2"/>
    <s v="JCI"/>
    <n v="55849"/>
    <n v="96.06"/>
    <n v="2.38"/>
    <n v="24.29"/>
    <n v="2.08"/>
    <n v="40.361344537815128"/>
    <n v="3.9547138740222314"/>
    <n v="8.0500000000000007"/>
    <n v="3.62"/>
    <n v="2.65"/>
    <n v="46.182692307692307"/>
    <s v="NO"/>
    <n v="1.885053956329328"/>
    <n v="-0.79593744433071878"/>
    <n v="-1.8577387006179558"/>
    <n v="-1.7632500760316485"/>
    <n v="0.36041653245092758"/>
    <n v="1.5095403786472223"/>
    <x v="1"/>
    <x v="0"/>
    <x v="0"/>
    <x v="0"/>
    <x v="0"/>
    <x v="1"/>
  </r>
  <r>
    <x v="2"/>
    <s v="LII"/>
    <n v="23551"/>
    <n v="602.34"/>
    <n v="19.420000000000002"/>
    <n v="21.16"/>
    <n v="21.04"/>
    <n v="31.016477857878474"/>
    <n v="28.465973534971646"/>
    <n v="165.01"/>
    <n v="19.37"/>
    <n v="4.3899999999999997"/>
    <n v="28.628326996197721"/>
    <s v="NO"/>
    <n v="0.92814680675567562"/>
    <n v="6.9954303422000086"/>
    <n v="13.374495873325223"/>
    <n v="1.7756079930984525"/>
    <n v="3.5764409758591995"/>
    <n v="0.10453692053738914"/>
    <x v="1"/>
    <x v="1"/>
    <x v="1"/>
    <x v="0"/>
    <x v="1"/>
    <x v="1"/>
  </r>
  <r>
    <x v="2"/>
    <s v="MAS"/>
    <n v="17478"/>
    <n v="68.069999999999993"/>
    <n v="4.4400000000000004"/>
    <n v="-0.41"/>
    <n v="3.76"/>
    <n v="15.331081081081079"/>
    <n v="-166.02439024390245"/>
    <n v="570.87"/>
    <n v="15.69"/>
    <n v="-60.18"/>
    <n v="18.103723404255319"/>
    <s v="NO"/>
    <n v="-0.67802574055761522"/>
    <n v="-54.827012734912216"/>
    <n v="52.761312413721377"/>
    <n v="0.948750996628689"/>
    <n v="-115.76763851314777"/>
    <n v="-0.73782360799916014"/>
    <x v="1"/>
    <x v="1"/>
    <x v="1"/>
    <x v="0"/>
    <x v="1"/>
    <x v="1"/>
  </r>
  <r>
    <x v="2"/>
    <s v="OC"/>
    <n v="17321"/>
    <n v="142.61000000000001"/>
    <n v="15.17"/>
    <n v="65.540000000000006"/>
    <n v="11.72"/>
    <n v="9.4007910349373773"/>
    <n v="2.1759231003967043"/>
    <n v="19.13"/>
    <n v="8.67"/>
    <n v="2.68"/>
    <n v="12.168088737201366"/>
    <s v="NO"/>
    <n v="-1.2852828731161763"/>
    <n v="-1.3613597573538261"/>
    <n v="-0.7824764740679403"/>
    <n v="-0.62856859989787017"/>
    <n v="0.41586522975107065"/>
    <n v="-1.2128955963795465"/>
    <x v="1"/>
    <x v="0"/>
    <x v="0"/>
    <x v="0"/>
    <x v="0"/>
    <x v="1"/>
  </r>
  <r>
    <x v="2"/>
    <s v="TT"/>
    <n v="92750"/>
    <n v="421.87"/>
    <n v="12.57"/>
    <n v="33.71"/>
    <n v="10.91"/>
    <n v="33.561654733492439"/>
    <n v="12.514684070008899"/>
    <n v="35.15"/>
    <n v="10.54"/>
    <n v="2.75"/>
    <n v="38.668194317140241"/>
    <s v="NO"/>
    <n v="1.1887709582412742"/>
    <n v="1.9250110895762627"/>
    <n v="0.7721896693735083"/>
    <n v="-0.20839941962655043"/>
    <n v="0.5452455234514032"/>
    <n v="0.90810048177030467"/>
    <x v="1"/>
    <x v="0"/>
    <x v="0"/>
    <x v="0"/>
    <x v="0"/>
    <x v="1"/>
  </r>
  <r>
    <x v="2"/>
    <s v="WMS"/>
    <n v="10070"/>
    <n v="123.55"/>
    <n v="6.83"/>
    <n v="16.27"/>
    <n v="6.28"/>
    <n v="18.08931185944363"/>
    <n v="7.5937307928703133"/>
    <n v="40.6"/>
    <n v="13.26"/>
    <n v="2.83"/>
    <n v="19.673566878980889"/>
    <s v="NO"/>
    <n v="-0.39558503354828667"/>
    <n v="0.36079295583407767"/>
    <n v="1.3010867031909801"/>
    <n v="0.4027557516771878"/>
    <n v="0.69310871625178361"/>
    <n v="-0.61217762356494465"/>
    <x v="1"/>
    <x v="0"/>
    <x v="0"/>
    <x v="0"/>
    <x v="0"/>
    <x v="1"/>
  </r>
  <r>
    <x v="3"/>
    <s v="CLH"/>
    <n v="13367"/>
    <n v="228.8"/>
    <n v="4.9800000000000004"/>
    <n v="46.91"/>
    <n v="7.68"/>
    <n v="45.943775100401602"/>
    <n v="4.8774248561074405"/>
    <n v="17.68"/>
    <n v="6.28"/>
    <n v="2.89"/>
    <n v="29.791666666666668"/>
    <s v="NO"/>
    <n v="0.40601444188576513"/>
    <n v="-0.75420042854664282"/>
    <n v="-0.262791531607666"/>
    <n v="-0.43254818338806605"/>
    <n v="0.83278386588316533"/>
    <n v="-1.1459257003023513"/>
    <x v="1"/>
    <x v="0"/>
    <x v="0"/>
    <x v="0"/>
    <x v="0"/>
    <x v="1"/>
  </r>
  <r>
    <x v="3"/>
    <s v="GFL"/>
    <n v="18107"/>
    <n v="48.1"/>
    <n v="0.56000000000000005"/>
    <n v="12.74"/>
    <n v="-1.22"/>
    <n v="85.892857142857139"/>
    <n v="3.7755102040816326"/>
    <n v="-8.27"/>
    <n v="1.28"/>
    <n v="2.97"/>
    <n v="-39.426229508196727"/>
    <s v="NO"/>
    <n v="4.0487176002785397"/>
    <n v="-0.98597839710487079"/>
    <n v="-1.8422797181088668"/>
    <n v="-1.5788772913069684"/>
    <n v="1.0633122716639725"/>
    <n v="-7.452378459104974"/>
    <x v="0"/>
    <x v="0"/>
    <x v="0"/>
    <x v="0"/>
    <x v="0"/>
    <x v="0"/>
  </r>
  <r>
    <x v="3"/>
    <s v="ROL"/>
    <n v="23934"/>
    <n v="54.85"/>
    <n v="1.1100000000000001"/>
    <n v="2.72"/>
    <n v="0.97"/>
    <n v="49.414414414414409"/>
    <n v="20.165441176470587"/>
    <n v="38.79"/>
    <n v="14.86"/>
    <n v="2.14"/>
    <n v="56.546391752577321"/>
    <s v="NO"/>
    <n v="0.72248000615982955"/>
    <n v="2.4614981371312128"/>
    <n v="1.0221023264671065"/>
    <n v="1.5345525658007702"/>
    <n v="-1.3284199383118993"/>
    <n v="1.2917012596791431"/>
    <x v="1"/>
    <x v="0"/>
    <x v="0"/>
    <x v="0"/>
    <x v="0"/>
    <x v="1"/>
  </r>
  <r>
    <x v="3"/>
    <s v="RSG"/>
    <n v="67854"/>
    <n v="237.99"/>
    <n v="6.06"/>
    <n v="35.840000000000003"/>
    <n v="6.26"/>
    <n v="39.272277227722775"/>
    <n v="6.6403459821428568"/>
    <n v="18.28"/>
    <n v="6.33"/>
    <n v="2.83"/>
    <n v="38.017571884984029"/>
    <s v="NO"/>
    <n v="-0.2023170923955683"/>
    <n v="-0.38338561401479787"/>
    <n v="-0.22627157353827398"/>
    <n v="-0.42108489230887708"/>
    <n v="0.65988756154756001"/>
    <n v="-0.39646225913313854"/>
    <x v="1"/>
    <x v="0"/>
    <x v="0"/>
    <x v="0"/>
    <x v="0"/>
    <x v="1"/>
  </r>
  <r>
    <x v="3"/>
    <s v="RTO"/>
    <n v="13311"/>
    <n v="23.28"/>
    <n v="0.25"/>
    <n v="2.09"/>
    <n v="0.2"/>
    <n v="93.12"/>
    <n v="11.138755980861246"/>
    <n v="9.66"/>
    <n v="4.1100000000000003"/>
    <n v="2.7"/>
    <n v="116.4"/>
    <s v="NO"/>
    <n v="4.7077148729540932"/>
    <n v="0.56281500989754241"/>
    <n v="-0.7509416378018714"/>
    <n v="-0.93005501622486964"/>
    <n v="0.28527890215374913"/>
    <n v="6.7449723603013387"/>
    <x v="0"/>
    <x v="0"/>
    <x v="0"/>
    <x v="0"/>
    <x v="0"/>
    <x v="0"/>
  </r>
  <r>
    <x v="3"/>
    <s v="TTEK"/>
    <n v="11430"/>
    <n v="35.04"/>
    <n v="1.27"/>
    <n v="6.84"/>
    <n v="1.23"/>
    <n v="27.590551181102359"/>
    <n v="5.1228070175438596"/>
    <n v="20.62"/>
    <n v="7.99"/>
    <n v="2.29"/>
    <n v="28.487804878048781"/>
    <s v="YES"/>
    <n v="-1.267499524379373"/>
    <n v="-0.70258646843312555"/>
    <n v="-8.3843737067645488E-2"/>
    <n v="-4.0503628479801441E-2"/>
    <n v="-0.89617917747288667"/>
    <n v="-1.2647207407230208"/>
    <x v="1"/>
    <x v="0"/>
    <x v="0"/>
    <x v="0"/>
    <x v="0"/>
    <x v="1"/>
  </r>
  <r>
    <x v="3"/>
    <s v="VLTO"/>
    <n v="26346"/>
    <n v="100.25"/>
    <n v="3.23"/>
    <n v="7.9"/>
    <n v="3.24"/>
    <n v="31.037151702786378"/>
    <n v="12.689873417721518"/>
    <n v="53.68"/>
    <n v="12.97"/>
    <n v="3.21"/>
    <n v="30.941358024691358"/>
    <s v="NO"/>
    <n v="-0.95322590495768256"/>
    <n v="0.88907879797747347"/>
    <n v="1.9284059525558497"/>
    <n v="1.1012401630074253"/>
    <n v="1.7548974890063924"/>
    <n v="-1.0411771506170264"/>
    <x v="1"/>
    <x v="0"/>
    <x v="0"/>
    <x v="0"/>
    <x v="0"/>
    <x v="1"/>
  </r>
  <r>
    <x v="3"/>
    <s v="WCN"/>
    <n v="49112"/>
    <n v="185.77"/>
    <n v="4.8"/>
    <n v="32.020000000000003"/>
    <n v="3.64"/>
    <n v="38.702083333333334"/>
    <n v="5.801686445971268"/>
    <n v="11.85"/>
    <n v="5.07"/>
    <n v="2.4300000000000002"/>
    <n v="51.035714285714285"/>
    <s v="YES"/>
    <n v="-0.25430945351619"/>
    <n v="-0.55979020510402122"/>
    <n v="-0.61764379084859089"/>
    <n v="-0.70995982750444042"/>
    <n v="-0.49275446735647421"/>
    <n v="0.78962262056571686"/>
    <x v="1"/>
    <x v="0"/>
    <x v="0"/>
    <x v="0"/>
    <x v="0"/>
    <x v="1"/>
  </r>
  <r>
    <x v="3"/>
    <s v="WM"/>
    <n v="89179"/>
    <n v="222.38"/>
    <n v="5.24"/>
    <n v="19.88"/>
    <n v="6.55"/>
    <n v="42.438931297709921"/>
    <n v="11.186116700201207"/>
    <n v="35.020000000000003"/>
    <n v="7.95"/>
    <n v="4.3499999999999996"/>
    <n v="33.951145038167937"/>
    <s v="NO"/>
    <n v="8.6429987450236417E-2"/>
    <n v="0.57277691692717636"/>
    <n v="0.79263525659776091"/>
    <n v="-4.9674261343152663E-2"/>
    <n v="5.03992727138289"/>
    <n v="-0.76695501062889015"/>
    <x v="1"/>
    <x v="0"/>
    <x v="0"/>
    <x v="0"/>
    <x v="1"/>
    <x v="1"/>
  </r>
  <r>
    <x v="3"/>
    <s v="CPRT"/>
    <n v="59816"/>
    <n v="62.39"/>
    <n v="1"/>
    <n v="7.81"/>
    <n v="1.43"/>
    <n v="62.39"/>
    <n v="7.9884763124199747"/>
    <n v="19.38"/>
    <n v="12.21"/>
    <n v="1.1200000000000001"/>
    <n v="43.629370629370634"/>
    <s v="NO"/>
    <n v="1.9056412749062965"/>
    <n v="-9.9818362477747863E-2"/>
    <n v="-0.15931831707772226"/>
    <n v="0.92699813860375224"/>
    <n v="-4.2676571120171873"/>
    <n v="0.11482955453273434"/>
    <x v="1"/>
    <x v="0"/>
    <x v="0"/>
    <x v="0"/>
    <x v="1"/>
    <x v="1"/>
  </r>
  <r>
    <x v="3"/>
    <s v="CTAS"/>
    <n v="90222"/>
    <n v="215.33"/>
    <n v="4.1100000000000003"/>
    <n v="9.9700000000000006"/>
    <n v="3.96"/>
    <n v="52.391727493917273"/>
    <n v="21.59779338014042"/>
    <n v="40.46"/>
    <n v="14.96"/>
    <n v="2.2599999999999998"/>
    <n v="54.37626262626263"/>
    <s v="NO"/>
    <n v="0.99396228319195945"/>
    <n v="2.7627807123435075"/>
    <n v="1.1237495430935809"/>
    <n v="1.5574791479591485"/>
    <n v="-0.98262732964068999"/>
    <n v="1.093980473987664"/>
    <x v="1"/>
    <x v="1"/>
    <x v="0"/>
    <x v="0"/>
    <x v="0"/>
    <x v="1"/>
  </r>
  <r>
    <x v="3"/>
    <s v="RBA"/>
    <n v="17859"/>
    <n v="104.72"/>
    <n v="4.07"/>
    <n v="28.25"/>
    <n v="1.84"/>
    <n v="25.729729729729726"/>
    <n v="3.7069026548672568"/>
    <n v="6.82"/>
    <n v="3.99"/>
    <n v="2.29"/>
    <n v="56.913043478260867"/>
    <s v="NO"/>
    <n v="-1.4371760183452773"/>
    <n v="-1.0004093862521992"/>
    <n v="-0.92380277266365984"/>
    <n v="-0.95756691481492329"/>
    <n v="-0.89617917747288667"/>
    <n v="1.3251069526391732"/>
    <x v="1"/>
    <x v="0"/>
    <x v="0"/>
    <x v="0"/>
    <x v="0"/>
    <x v="1"/>
  </r>
  <r>
    <x v="4"/>
    <s v="ACM"/>
    <n v="15068"/>
    <n v="106.68"/>
    <n v="5.22"/>
    <n v="16.48"/>
    <n v="3.71"/>
    <n v="20.436781609195403"/>
    <n v="6.4733009708737868"/>
    <n v="23.78"/>
    <n v="5"/>
    <n v="5.52"/>
    <n v="28.754716981132077"/>
    <s v="NO"/>
    <n v="2.5963882173623267E-3"/>
    <n v="-0.13142915425161142"/>
    <n v="0.32841928663501146"/>
    <n v="-0.3420106120306291"/>
    <n v="16.106239154173331"/>
    <n v="-0.60183383311135086"/>
    <x v="1"/>
    <x v="0"/>
    <x v="0"/>
    <x v="0"/>
    <x v="1"/>
    <x v="1"/>
  </r>
  <r>
    <x v="4"/>
    <s v="APG"/>
    <n v="10606"/>
    <n v="45.81"/>
    <n v="2.12"/>
    <n v="10.8"/>
    <n v="-1.71"/>
    <n v="21.608490566037737"/>
    <n v="4.2416666666666663"/>
    <n v="6.94"/>
    <n v="3.39"/>
    <n v="2.78"/>
    <n v="-26.789473684210527"/>
    <s v="NO"/>
    <n v="0.24319752204094042"/>
    <n v="-1.1855887305105071"/>
    <n v="-1.0090851358398605"/>
    <n v="-0.79458903836157135"/>
    <n v="-0.11842822907480403"/>
    <n v="-4.2299622287436502"/>
    <x v="1"/>
    <x v="0"/>
    <x v="0"/>
    <x v="0"/>
    <x v="0"/>
    <x v="0"/>
  </r>
  <r>
    <x v="4"/>
    <s v="EME"/>
    <n v="23416"/>
    <n v="472.38"/>
    <n v="27.35"/>
    <n v="59.96"/>
    <n v="19.670000000000002"/>
    <n v="17.271663619744057"/>
    <n v="7.8782521681120743"/>
    <n v="36.770000000000003"/>
    <n v="11.5"/>
    <n v="2.65"/>
    <n v="24.015251652262325"/>
    <s v="NO"/>
    <n v="-0.64733546772719364"/>
    <n v="0.53222920408830598"/>
    <n v="1.3601403346129561"/>
    <n v="1.4851693700508151"/>
    <n v="-0.88821171806102894"/>
    <n v="-0.91141416066334402"/>
    <x v="1"/>
    <x v="0"/>
    <x v="0"/>
    <x v="0"/>
    <x v="0"/>
    <x v="1"/>
  </r>
  <r>
    <x v="4"/>
    <s v="FIX"/>
    <n v="17690"/>
    <n v="465.23"/>
    <n v="20.04"/>
    <n v="44.75"/>
    <n v="13.07"/>
    <n v="23.215069860279442"/>
    <n v="10.396201117318435"/>
    <n v="33.5"/>
    <n v="10.71"/>
    <n v="2.78"/>
    <n v="35.595256312165262"/>
    <s v="NO"/>
    <n v="0.57309582785721302"/>
    <n v="1.7216355473825158"/>
    <n v="1.1004230269233579"/>
    <n v="1.263096726074763"/>
    <n v="-0.11842822907480403"/>
    <n v="-0.15501203786919321"/>
    <x v="1"/>
    <x v="0"/>
    <x v="0"/>
    <x v="0"/>
    <x v="0"/>
    <x v="1"/>
  </r>
  <r>
    <x v="4"/>
    <s v="MTZ"/>
    <n v="11245"/>
    <n v="156.75"/>
    <n v="12.88"/>
    <n v="36.06"/>
    <n v="1.1299999999999999"/>
    <n v="12.170031055900621"/>
    <n v="4.3469217970049918"/>
    <n v="4.18"/>
    <n v="2.37"/>
    <n v="3.12"/>
    <n v="138.71681415929206"/>
    <s v="NO"/>
    <n v="-1.6949152203988174"/>
    <n v="-1.1358692476241989"/>
    <n v="-1.2282960744402553"/>
    <n v="-1.0813157432420442"/>
    <n v="1.8948516651968645"/>
    <n v="6.5808544451120259"/>
    <x v="1"/>
    <x v="0"/>
    <x v="0"/>
    <x v="0"/>
    <x v="0"/>
    <x v="0"/>
  </r>
  <r>
    <x v="4"/>
    <s v="PWR"/>
    <n v="49076"/>
    <n v="343.58"/>
    <n v="12.34"/>
    <n v="47.9"/>
    <n v="5.41"/>
    <n v="27.842787682333874"/>
    <n v="7.1728601252609598"/>
    <n v="12.7"/>
    <n v="4.33"/>
    <n v="2.67"/>
    <n v="63.508317929759698"/>
    <s v="NO"/>
    <n v="1.5233609500104957"/>
    <n v="0.19902238091549204"/>
    <n v="-0.55160143789121086"/>
    <n v="-0.53035070249133176"/>
    <n v="-0.76978348898622484"/>
    <n v="1.6682600316438891"/>
    <x v="1"/>
    <x v="0"/>
    <x v="0"/>
    <x v="0"/>
    <x v="0"/>
    <x v="1"/>
  </r>
  <r>
    <x v="5"/>
    <s v="AME"/>
    <n v="44305"/>
    <n v="180.5"/>
    <n v="7.29"/>
    <n v="41.29"/>
    <n v="5.74"/>
    <n v="24.759945130315501"/>
    <n v="4.3715185274884965"/>
    <n v="14.89"/>
    <n v="7.89"/>
    <n v="1.55"/>
    <n v="31.445993031358885"/>
    <s v="YES"/>
    <n v="-0.34666294565017258"/>
    <n v="-0.34178046448515498"/>
    <n v="-8.4358102296802351E-2"/>
    <n v="0.32730042777259766"/>
    <n v="-1.2795226757897371"/>
    <n v="-5.7700260508977919E-2"/>
    <x v="1"/>
    <x v="0"/>
    <x v="0"/>
    <x v="0"/>
    <x v="0"/>
    <x v="1"/>
  </r>
  <r>
    <x v="5"/>
    <s v="AYI"/>
    <n v="10022"/>
    <n v="274.05"/>
    <n v="17.98"/>
    <n v="77.989999999999995"/>
    <n v="13.44"/>
    <n v="15.241935483870968"/>
    <n v="3.5139120400051294"/>
    <n v="19.23"/>
    <n v="9.5500000000000007"/>
    <n v="1.6"/>
    <n v="20.390625"/>
    <s v="YES"/>
    <n v="-1.1045729238252824"/>
    <n v="-0.60167211438315482"/>
    <n v="0.33039532753320133"/>
    <n v="1.0767055451553749"/>
    <n v="-1.1681522301213847"/>
    <n v="-1.3343985449621267"/>
    <x v="1"/>
    <x v="0"/>
    <x v="0"/>
    <x v="0"/>
    <x v="0"/>
    <x v="1"/>
  </r>
  <r>
    <x v="5"/>
    <s v="EMR"/>
    <n v="74685"/>
    <n v="121.49"/>
    <n v="5.0999999999999996"/>
    <n v="37.94"/>
    <n v="2.82"/>
    <n v="23.821568627450983"/>
    <n v="3.2021613073273589"/>
    <n v="5.93"/>
    <n v="4.34"/>
    <n v="2.04"/>
    <n v="43.081560283687942"/>
    <s v="NO"/>
    <n v="-0.42138496645330914"/>
    <n v="-0.6961459942511723"/>
    <n v="-0.94062324775229389"/>
    <n v="-1.2753430461484005"/>
    <n v="-0.18809230823988377"/>
    <n v="1.2860007096939843"/>
    <x v="1"/>
    <x v="0"/>
    <x v="0"/>
    <x v="0"/>
    <x v="0"/>
    <x v="1"/>
  </r>
  <r>
    <x v="5"/>
    <s v="ETN"/>
    <n v="146706"/>
    <n v="330.75"/>
    <n v="8.1"/>
    <n v="48.37"/>
    <n v="9.4"/>
    <n v="40.833333333333336"/>
    <n v="6.8379160636758325"/>
    <n v="20.079999999999998"/>
    <n v="7.4"/>
    <n v="2.0499999999999998"/>
    <n v="35.186170212765958"/>
    <s v="NO"/>
    <n v="0.93324553886160633"/>
    <n v="0.4056440645259089"/>
    <n v="0.41162583798377789"/>
    <n v="0.10609048348491089"/>
    <n v="-0.16581821910621375"/>
    <n v="0.3742236498944182"/>
    <x v="1"/>
    <x v="0"/>
    <x v="0"/>
    <x v="0"/>
    <x v="0"/>
    <x v="1"/>
  </r>
  <r>
    <x v="5"/>
    <s v="GNRC"/>
    <n v="10663"/>
    <n v="129.07"/>
    <n v="9.75"/>
    <n v="40.5"/>
    <n v="4.82"/>
    <n v="13.237948717948717"/>
    <n v="3.1869135802469133"/>
    <n v="12.38"/>
    <n v="5.92"/>
    <n v="2.15"/>
    <n v="26.778008298755182"/>
    <s v="NO"/>
    <n v="-1.2641484677091561"/>
    <n v="-0.70076671133525137"/>
    <n v="-0.32422702139203485"/>
    <n v="-0.56205383803708298"/>
    <n v="5.6922672230491217E-2"/>
    <n v="-0.59676943333651566"/>
    <x v="1"/>
    <x v="0"/>
    <x v="0"/>
    <x v="0"/>
    <x v="0"/>
    <x v="1"/>
  </r>
  <r>
    <x v="5"/>
    <s v="HUBB"/>
    <n v="24794"/>
    <n v="386.66"/>
    <n v="13.6"/>
    <n v="59.9"/>
    <n v="13.89"/>
    <n v="28.430882352941179"/>
    <n v="6.4550918196994997"/>
    <n v="25.34"/>
    <n v="10.55"/>
    <n v="2.16"/>
    <n v="27.837293016558675"/>
    <s v="NO"/>
    <n v="-5.4349735889796282E-2"/>
    <n v="0.28963185398407443"/>
    <n v="0.91429934971322946"/>
    <n v="1.5281544110486136"/>
    <n v="7.9196761364162205E-2"/>
    <n v="-0.47444089772096026"/>
    <x v="1"/>
    <x v="0"/>
    <x v="0"/>
    <x v="0"/>
    <x v="0"/>
    <x v="1"/>
  </r>
  <r>
    <x v="5"/>
    <s v="NVT"/>
    <n v="12673"/>
    <n v="68.099999999999994"/>
    <n v="3.51"/>
    <n v="19.920000000000002"/>
    <n v="3.43"/>
    <n v="19.4017094017094"/>
    <n v="3.4186746987951802"/>
    <n v="18.53"/>
    <n v="6.32"/>
    <n v="2.11"/>
    <n v="19.854227405247812"/>
    <s v="YES"/>
    <n v="-0.77333411693249621"/>
    <n v="-0.63053312476518331"/>
    <n v="0.2634996130444911"/>
    <n v="-0.38147429167978719"/>
    <n v="-3.2173684304190771E-2"/>
    <n v="-1.3963429223055501"/>
    <x v="1"/>
    <x v="0"/>
    <x v="0"/>
    <x v="0"/>
    <x v="0"/>
    <x v="1"/>
  </r>
  <r>
    <x v="5"/>
    <s v="ROK"/>
    <n v="33352"/>
    <n v="308.51"/>
    <n v="5.61"/>
    <n v="30.93"/>
    <n v="8.2799999999999994"/>
    <n v="54.992869875222809"/>
    <n v="9.9744584545748456"/>
    <n v="25.54"/>
    <n v="7.25"/>
    <n v="3.21"/>
    <n v="37.259661835748794"/>
    <s v="NO"/>
    <n v="2.0607558514238495"/>
    <n v="1.3561513063004429"/>
    <n v="0.93341241099571803"/>
    <n v="3.8373153600924893E-2"/>
    <n v="2.4179761203995618"/>
    <n v="0.61367503589814354"/>
    <x v="1"/>
    <x v="0"/>
    <x v="0"/>
    <x v="0"/>
    <x v="0"/>
    <x v="1"/>
  </r>
  <r>
    <x v="5"/>
    <s v="RRX"/>
    <n v="11289"/>
    <n v="144.34"/>
    <n v="7.34"/>
    <n v="97.78"/>
    <n v="3.16"/>
    <n v="19.664850136239782"/>
    <n v="1.4761709961137246"/>
    <n v="3.36"/>
    <n v="3.11"/>
    <n v="2.25"/>
    <n v="45.677215189873415"/>
    <s v="NO"/>
    <n v="-0.75238047265462937"/>
    <n v="-1.2191952904448107"/>
    <n v="-1.186226085232273"/>
    <n v="-1.8306251511970846"/>
    <n v="0.27966356356719618"/>
    <n v="1.5857526633475856"/>
    <x v="1"/>
    <x v="0"/>
    <x v="0"/>
    <x v="0"/>
    <x v="0"/>
    <x v="1"/>
  </r>
  <r>
    <x v="5"/>
    <s v="VRT"/>
    <n v="50239"/>
    <n v="105.58"/>
    <n v="2.86"/>
    <n v="4.83"/>
    <n v="1.5"/>
    <n v="36.91608391608392"/>
    <n v="21.859213250517598"/>
    <n v="32.96"/>
    <n v="9.32"/>
    <n v="4.9000000000000004"/>
    <n v="70.38666666666667"/>
    <s v="NO"/>
    <n v="0.62131872531366972"/>
    <n v="4.9577431524799334"/>
    <n v="1.6425069845760474"/>
    <n v="0.97287230599992958"/>
    <n v="6.1822971839898733"/>
    <n v="4.4392546201090104"/>
    <x v="1"/>
    <x v="1"/>
    <x v="0"/>
    <x v="0"/>
    <x v="1"/>
    <x v="0"/>
  </r>
  <r>
    <x v="5"/>
    <s v="GEV"/>
    <n v="95517"/>
    <n v="433.33"/>
    <n v="10.09"/>
    <n v="34.51"/>
    <n v="4.59"/>
    <n v="42.946481665014865"/>
    <n v="12.556650246305418"/>
    <n v="-4.74"/>
    <n v="-0.6"/>
    <n v="5.35"/>
    <n v="94.407407407407405"/>
    <s v="NO"/>
    <n v="1.1015135135157179"/>
    <n v="2.1386664748543027"/>
    <n v="-1.9603050671730633"/>
    <n v="-3.5055004436610004"/>
    <n v="7.1846311950050437"/>
    <n v="7.21322274202128"/>
    <x v="1"/>
    <x v="0"/>
    <x v="0"/>
    <x v="1"/>
    <x v="1"/>
    <x v="0"/>
  </r>
  <r>
    <x v="6"/>
    <s v="CNI"/>
    <n v="67256"/>
    <n v="105.2"/>
    <n v="4.1500000000000004"/>
    <n v="22.88"/>
    <n v="6.28"/>
    <n v="25.349397590361445"/>
    <n v="4.5979020979020984"/>
    <n v="27.55"/>
    <n v="8.18"/>
    <n v="2.8"/>
    <n v="16.751592356687897"/>
    <s v="NO"/>
    <n v="0.2745003154022766"/>
    <n v="-0.20821083697823403"/>
    <n v="0.540504603474112"/>
    <n v="0.73235808288816762"/>
    <n v="0.14338961018724772"/>
    <n v="-1.0530150543666859"/>
    <x v="1"/>
    <x v="0"/>
    <x v="0"/>
    <x v="0"/>
    <x v="0"/>
    <x v="1"/>
  </r>
  <r>
    <x v="6"/>
    <s v="CP"/>
    <n v="70290"/>
    <n v="78.53"/>
    <n v="1.65"/>
    <n v="34.979999999999997"/>
    <n v="2.8"/>
    <n v="47.593939393939394"/>
    <n v="2.2449971412235565"/>
    <n v="8.09"/>
    <n v="4.4000000000000004"/>
    <n v="1.86"/>
    <n v="28.046428571428574"/>
    <s v="NO"/>
    <n v="1.2738004842329467"/>
    <n v="-0.9257641565491036"/>
    <n v="-1.2717797515541296"/>
    <n v="-0.80559389117698355"/>
    <n v="-0.74606269259862845"/>
    <n v="0.53012305950873839"/>
    <x v="1"/>
    <x v="0"/>
    <x v="0"/>
    <x v="0"/>
    <x v="0"/>
    <x v="1"/>
  </r>
  <r>
    <x v="6"/>
    <s v="CSX"/>
    <n v="66434"/>
    <n v="30.54"/>
    <n v="1.53"/>
    <n v="6.71"/>
    <n v="1.88"/>
    <n v="19.96078431372549"/>
    <n v="4.5514157973174365"/>
    <n v="29.46"/>
    <n v="8.16"/>
    <n v="3.33"/>
    <n v="16.24468085106383"/>
    <s v="NO"/>
    <n v="3.2425553662775733E-2"/>
    <n v="-0.22238752490794142"/>
    <n v="0.71838040604882636"/>
    <n v="0.72422077085607706"/>
    <n v="0.64488931282183792"/>
    <n v="-1.1240661886777878"/>
    <x v="1"/>
    <x v="0"/>
    <x v="0"/>
    <x v="0"/>
    <x v="0"/>
    <x v="1"/>
  </r>
  <r>
    <x v="6"/>
    <s v="NSC"/>
    <n v="58999"/>
    <n v="240.26"/>
    <n v="-1.89"/>
    <n v="60.93"/>
    <n v="10.66"/>
    <n v="-127.12169312169313"/>
    <n v="3.9432135237157393"/>
    <n v="18.3"/>
    <n v="6.77"/>
    <n v="3.14"/>
    <n v="22.538461538461537"/>
    <s v="NO"/>
    <n v="-6.5750175589486037"/>
    <n v="-0.40786784325004444"/>
    <n v="-0.32093580166521141"/>
    <n v="0.15867758462576984"/>
    <n v="0.46510640055660757"/>
    <n v="-0.2418998697373991"/>
    <x v="0"/>
    <x v="0"/>
    <x v="0"/>
    <x v="0"/>
    <x v="0"/>
    <x v="1"/>
  </r>
  <r>
    <x v="6"/>
    <s v="UNP"/>
    <n v="141603"/>
    <n v="228.25"/>
    <n v="9.08"/>
    <n v="27.33"/>
    <n v="10.88"/>
    <n v="25.137665198237887"/>
    <n v="8.3516282473472376"/>
    <n v="43.4"/>
    <n v="8.99"/>
    <n v="4.07"/>
    <n v="20.978860294117645"/>
    <s v="NO"/>
    <n v="0.2649885791271801"/>
    <n v="0.93654371489988009"/>
    <n v="2.0165943787668983"/>
    <n v="1.0619192201878431"/>
    <n v="1.3450964448022089"/>
    <n v="-0.46050101856557107"/>
    <x v="1"/>
    <x v="0"/>
    <x v="0"/>
    <x v="0"/>
    <x v="0"/>
    <x v="1"/>
  </r>
  <r>
    <x v="6"/>
    <s v="JBHT"/>
    <n v="18249"/>
    <n v="147.32"/>
    <n v="4.25"/>
    <n v="39.67"/>
    <n v="5.5"/>
    <n v="34.663529411764706"/>
    <n v="3.7136375094529868"/>
    <n v="14.19"/>
    <n v="6.19"/>
    <n v="2.08"/>
    <n v="26.785454545454545"/>
    <s v="NO"/>
    <n v="0.69292266744830977"/>
    <n v="-0.47788045921249767"/>
    <n v="-0.70369472762441354"/>
    <n v="-7.7304464304861542E-2"/>
    <n v="-0.53789300471257229"/>
    <n v="0.3533789258911923"/>
    <x v="1"/>
    <x v="0"/>
    <x v="0"/>
    <x v="0"/>
    <x v="0"/>
    <x v="1"/>
  </r>
  <r>
    <x v="6"/>
    <s v="ODFL"/>
    <n v="43340"/>
    <n v="171.34"/>
    <n v="4.57"/>
    <n v="19.53"/>
    <n v="5.72"/>
    <n v="37.492341356673961"/>
    <n v="8.7731694828469013"/>
    <n v="30.24"/>
    <n v="19.010000000000002"/>
    <n v="1.3"/>
    <n v="29.954545454545457"/>
    <s v="NO"/>
    <n v="0.82000248231252737"/>
    <n v="1.0650989767731773"/>
    <n v="0.79102078615787175"/>
    <n v="5.1387125482653087"/>
    <n v="-1.2759491708540442"/>
    <n v="0.79757382249095055"/>
    <x v="1"/>
    <x v="0"/>
    <x v="0"/>
    <x v="1"/>
    <x v="0"/>
    <x v="1"/>
  </r>
  <r>
    <x v="6"/>
    <s v="SAIA"/>
    <n v="13721"/>
    <n v="285.05"/>
    <n v="-14.77"/>
    <n v="84.13"/>
    <n v="14.01"/>
    <n v="-19.299255247122549"/>
    <n v="3.3882087245928925"/>
    <n v="18.39"/>
    <n v="11.1"/>
    <n v="1.38"/>
    <n v="20.346181299072093"/>
    <s v="NO"/>
    <n v="-1.731268412609158"/>
    <n v="-0.57712480148712608"/>
    <n v="-0.31255421934493693"/>
    <n v="1.9204056395734168"/>
    <n v="-1.2002511025318421"/>
    <n v="-0.54918032403419059"/>
    <x v="1"/>
    <x v="0"/>
    <x v="0"/>
    <x v="0"/>
    <x v="0"/>
    <x v="1"/>
  </r>
  <r>
    <x v="6"/>
    <s v="TFII"/>
    <n v="12859"/>
    <n v="90.27"/>
    <n v="8.23"/>
    <n v="32.51"/>
    <n v="5.49"/>
    <n v="10.968408262454433"/>
    <n v="2.7766840972008615"/>
    <n v="17.489999999999998"/>
    <n v="6.99"/>
    <n v="2.73"/>
    <n v="16.442622950819672"/>
    <s v="NO"/>
    <n v="-0.37154243927554875"/>
    <n v="-0.76361832097204463"/>
    <n v="-0.3963700425476821"/>
    <n v="0.24818801697876833"/>
    <n v="7.715380040532091E-2"/>
    <n v="-1.0963216799035009"/>
    <x v="1"/>
    <x v="0"/>
    <x v="0"/>
    <x v="0"/>
    <x v="0"/>
    <x v="1"/>
  </r>
  <r>
    <x v="6"/>
    <s v="UHAL"/>
    <n v="13718"/>
    <n v="65.72"/>
    <n v="-7.85"/>
    <n v="37.35"/>
    <n v="3.21"/>
    <n v="-8.3719745222929944"/>
    <n v="1.7595716198125835"/>
    <n v="6.61"/>
    <n v="2.4700000000000002"/>
    <n v="2.6"/>
    <n v="20.473520249221185"/>
    <s v="NO"/>
    <n v="-1.2403779474512775"/>
    <n v="-1.0738018804291896"/>
    <n v="-1.4096102163764213"/>
    <n v="-1.5908445022737407"/>
    <n v="-4.5855560618257643E-2"/>
    <n v="-0.53133188944610754"/>
    <x v="1"/>
    <x v="0"/>
    <x v="0"/>
    <x v="0"/>
    <x v="0"/>
    <x v="1"/>
  </r>
  <r>
    <x v="6"/>
    <s v="XPO"/>
    <n v="17650"/>
    <n v="126"/>
    <n v="-6.84"/>
    <n v="14.1"/>
    <n v="3.08"/>
    <n v="-18.421052631578949"/>
    <n v="8.9361702127659584"/>
    <n v="26.08"/>
    <n v="6.32"/>
    <n v="4.83"/>
    <n v="40.909090909090907"/>
    <s v="NO"/>
    <n v="-1.6918165763012014"/>
    <n v="1.114808470781385"/>
    <n v="0.40360542557629497"/>
    <n v="-2.4411936096271725E-2"/>
    <n v="2.0642280938631301"/>
    <n v="2.3330151604218399"/>
    <x v="1"/>
    <x v="0"/>
    <x v="0"/>
    <x v="0"/>
    <x v="0"/>
    <x v="1"/>
  </r>
  <r>
    <x v="6"/>
    <s v="YMM"/>
    <n v="11252"/>
    <n v="12.68"/>
    <n v="0.28999999999999998"/>
    <n v="4.9800000000000004"/>
    <n v="0.4"/>
    <n v="43.724137931034484"/>
    <n v="2.546184738955823"/>
    <n v="8.57"/>
    <n v="2.96"/>
    <n v="1.1200000000000001"/>
    <n v="31.7"/>
    <s v="NO"/>
    <n v="1.0999558939793481"/>
    <n v="-0.83391252439841745"/>
    <n v="-1.2270779791793323"/>
    <n v="-1.3914803574875176"/>
    <n v="-1.4462698245789993"/>
    <n v="1.0422250564185276"/>
    <x v="1"/>
    <x v="0"/>
    <x v="0"/>
    <x v="0"/>
    <x v="0"/>
    <x v="1"/>
  </r>
  <r>
    <x v="6"/>
    <s v="UBER"/>
    <n v="139166"/>
    <n v="91.72"/>
    <n v="2.86"/>
    <n v="7.02"/>
    <n v="2.02"/>
    <n v="32.069930069930074"/>
    <n v="13.065527065527066"/>
    <n v="34.33"/>
    <n v="4.03"/>
    <n v="3.19"/>
    <n v="45.405940594059402"/>
    <s v="NO"/>
    <n v="0.57640939947182201"/>
    <n v="2.3741171857301575"/>
    <n v="1.1719171382681239"/>
    <n v="-0.9561341637706624"/>
    <n v="0.51241769325798381"/>
    <n v="2.9633150597113285"/>
    <x v="1"/>
    <x v="0"/>
    <x v="0"/>
    <x v="0"/>
    <x v="0"/>
    <x v="0"/>
  </r>
  <r>
    <x v="7"/>
    <s v="HON"/>
    <n v="147203"/>
    <n v="218.22"/>
    <n v="8.64"/>
    <n v="26.77"/>
    <n v="8.65"/>
    <n v="25.256944444444443"/>
    <n v="8.1516623085543518"/>
    <n v="31.86"/>
    <n v="7.33"/>
    <n v="4.22"/>
    <n v="25.227745664739885"/>
    <s v="YES"/>
    <n v="-1.0000000000000002"/>
    <n v="-0.99999999999999889"/>
    <n v="-1"/>
    <n v="-0.99999999999999212"/>
    <n v="-1.0000000000000013"/>
    <n v="0.99999999999999978"/>
    <x v="1"/>
    <x v="0"/>
    <x v="0"/>
    <x v="0"/>
    <x v="0"/>
    <x v="1"/>
  </r>
  <r>
    <x v="7"/>
    <s v="MMM"/>
    <n v="72486"/>
    <n v="150.74"/>
    <n v="1.34"/>
    <n v="8.52"/>
    <n v="9.6"/>
    <n v="112.49253731343283"/>
    <n v="17.6924882629108"/>
    <n v="113.29"/>
    <n v="9.0299999999999994"/>
    <n v="8.81"/>
    <n v="15.702083333333334"/>
    <s v="NO"/>
    <n v="1.0000000000000002"/>
    <n v="0.99999999999999922"/>
    <n v="1"/>
    <n v="0.99999999999999212"/>
    <n v="1.0000000000000009"/>
    <n v="-0.99999999999999978"/>
    <x v="1"/>
    <x v="0"/>
    <x v="0"/>
    <x v="0"/>
    <x v="0"/>
    <x v="1"/>
  </r>
  <r>
    <x v="8"/>
    <s v="ALSN"/>
    <n v="10171"/>
    <n v="104.98"/>
    <n v="8.14"/>
    <n v="18.690000000000001"/>
    <n v="8.18"/>
    <n v="12.896805896805896"/>
    <n v="5.6169074371321557"/>
    <n v="51.76"/>
    <n v="12.07"/>
    <n v="3.31"/>
    <n v="12.833740831295845"/>
    <s v="NO"/>
    <n v="-1.6583021035574936"/>
    <n v="0.45128250012700366"/>
    <n v="2.3051150278330597"/>
    <n v="1.0580548407676558"/>
    <n v="2.1984148698903332"/>
    <n v="-1.5254182479729452"/>
    <x v="1"/>
    <x v="0"/>
    <x v="0"/>
    <x v="0"/>
    <x v="0"/>
    <x v="1"/>
  </r>
  <r>
    <x v="8"/>
    <s v="CAT"/>
    <n v="190721"/>
    <n v="352.54"/>
    <n v="19.510000000000002"/>
    <n v="40.18"/>
    <n v="21.54"/>
    <n v="18.069707842132239"/>
    <n v="8.7740169238427086"/>
    <n v="53.48"/>
    <n v="9.93"/>
    <n v="4.45"/>
    <n v="16.366759517177346"/>
    <s v="NO"/>
    <n v="-0.86033979070696387"/>
    <n v="2.0865613625482071"/>
    <n v="2.4332446956355196"/>
    <n v="0.44897955919595856"/>
    <n v="4.2138494912614481"/>
    <n v="-1.0927267720730691"/>
    <x v="1"/>
    <x v="0"/>
    <x v="0"/>
    <x v="0"/>
    <x v="1"/>
    <x v="1"/>
  </r>
  <r>
    <x v="8"/>
    <s v="CMI"/>
    <n v="52074"/>
    <n v="334.58"/>
    <n v="2.42"/>
    <n v="75.19"/>
    <n v="14.95"/>
    <n v="138.25619834710744"/>
    <n v="4.4497938555658996"/>
    <n v="19.38"/>
    <n v="6.91"/>
    <n v="3.11"/>
    <n v="22.379933110367894"/>
    <s v="NO"/>
    <n v="17.67940655484027"/>
    <n v="-0.1532439434486233"/>
    <n v="-0.10700046254116684"/>
    <n v="-0.41055658582578197"/>
    <n v="1.844829848597155"/>
    <n v="-0.35628884513054332"/>
    <x v="0"/>
    <x v="0"/>
    <x v="0"/>
    <x v="0"/>
    <x v="0"/>
    <x v="1"/>
  </r>
  <r>
    <x v="8"/>
    <s v="PCAR"/>
    <n v="60756"/>
    <n v="96.26"/>
    <n v="5.29"/>
    <n v="35.6"/>
    <n v="8.94"/>
    <n v="18.196597353497165"/>
    <n v="2.7039325842696629"/>
    <n v="27.14"/>
    <n v="8.4600000000000009"/>
    <n v="2.3199999999999998"/>
    <n v="10.767337807606266"/>
    <s v="NO"/>
    <n v="-0.84076604872704663"/>
    <n v="-1.0575426526597469"/>
    <n v="0.47107292242807347"/>
    <n v="3.0596071387363265E-2"/>
    <n v="0.44816901448910201"/>
    <n v="-1.7784921922736745"/>
    <x v="1"/>
    <x v="0"/>
    <x v="0"/>
    <x v="0"/>
    <x v="0"/>
    <x v="1"/>
  </r>
  <r>
    <x v="8"/>
    <s v="WAB"/>
    <n v="35308"/>
    <n v="203.85"/>
    <n v="9.16"/>
    <n v="59.11"/>
    <n v="5.99"/>
    <n v="22.254366812227072"/>
    <n v="3.4486550499069533"/>
    <n v="10.37"/>
    <n v="5.44"/>
    <n v="1.82"/>
    <n v="34.031719532554256"/>
    <s v="YES"/>
    <n v="-0.21482201643627277"/>
    <n v="-0.67180091276977594"/>
    <n v="-0.77819133864591605"/>
    <n v="-0.82894007363437761"/>
    <n v="-0.43579353874384252"/>
    <n v="1.0707142681088788"/>
    <x v="1"/>
    <x v="0"/>
    <x v="0"/>
    <x v="0"/>
    <x v="0"/>
    <x v="1"/>
  </r>
  <r>
    <x v="8"/>
    <s v="DE"/>
    <n v="121478"/>
    <n v="498.57"/>
    <n v="16.05"/>
    <n v="83.77"/>
    <n v="25.62"/>
    <n v="31.063551401869159"/>
    <n v="5.9516533365166531"/>
    <n v="31.64"/>
    <n v="5.6"/>
    <n v="4.7"/>
    <n v="19.460187353629976"/>
    <s v="NO"/>
    <n v="1.1440665501310914"/>
    <n v="0.62466986469255514"/>
    <n v="0.806295890515906"/>
    <n v="-0.78340173482527897"/>
    <n v="4.6558307678779203"/>
    <n v="-0.7138723206394253"/>
    <x v="1"/>
    <x v="0"/>
    <x v="0"/>
    <x v="0"/>
    <x v="1"/>
    <x v="1"/>
  </r>
  <r>
    <x v="8"/>
    <s v="CR"/>
    <n v="10094"/>
    <n v="175.89"/>
    <n v="3.25"/>
    <n v="27.51"/>
    <n v="4.5199999999999996"/>
    <n v="54.12"/>
    <n v="6.3936750272628124"/>
    <n v="18.38"/>
    <n v="9.9"/>
    <n v="1.68"/>
    <n v="38.913716814159294"/>
    <s v="NO"/>
    <n v="4.700711784071081"/>
    <n v="0.85362256039459872"/>
    <n v="-0.18149445544957407"/>
    <n v="0.44044112066925273"/>
    <n v="-0.68330305364906729"/>
    <n v="1.6686161749282071"/>
    <x v="0"/>
    <x v="0"/>
    <x v="0"/>
    <x v="0"/>
    <x v="0"/>
    <x v="1"/>
  </r>
  <r>
    <x v="8"/>
    <s v="DOV"/>
    <n v="27639"/>
    <n v="185.59"/>
    <n v="7.9"/>
    <n v="41.53"/>
    <n v="11.01"/>
    <n v="23.492405063291137"/>
    <n v="4.4688177221285814"/>
    <n v="29.11"/>
    <n v="7.85"/>
    <n v="2.09"/>
    <n v="16.856494096276112"/>
    <s v="NO"/>
    <n v="-2.3844519345095648E-2"/>
    <n v="-0.1433902063506779"/>
    <n v="0.61782608845763565"/>
    <n v="-0.14301884532232642"/>
    <n v="4.1546240001947364E-2"/>
    <n v="-1.0327486070335659"/>
    <x v="1"/>
    <x v="0"/>
    <x v="0"/>
    <x v="0"/>
    <x v="0"/>
    <x v="1"/>
  </r>
  <r>
    <x v="8"/>
    <s v="FTV"/>
    <n v="27371"/>
    <n v="73.650000000000006"/>
    <n v="3.86"/>
    <n v="30.43"/>
    <n v="2.5"/>
    <n v="19.080310880829018"/>
    <n v="2.4203089056851792"/>
    <n v="8.6199999999999992"/>
    <n v="4.43"/>
    <n v="1.65"/>
    <n v="29.46"/>
    <s v="NO"/>
    <n v="-0.7044460299793226"/>
    <n v="-1.2044503884933233"/>
    <n v="-0.90855582623562869"/>
    <n v="-1.1164008373668142"/>
    <n v="-0.73634080684304404"/>
    <n v="0.51081231235467706"/>
    <x v="1"/>
    <x v="0"/>
    <x v="0"/>
    <x v="0"/>
    <x v="0"/>
    <x v="1"/>
  </r>
  <r>
    <x v="8"/>
    <s v="GGG"/>
    <n v="15114"/>
    <n v="85.74"/>
    <n v="2.75"/>
    <n v="14.89"/>
    <n v="2.83"/>
    <n v="31.178181818181816"/>
    <n v="5.7582269979852247"/>
    <n v="20.73"/>
    <n v="12.5"/>
    <n v="1.18"/>
    <n v="30.296819787985864"/>
    <s v="NO"/>
    <n v="1.1617492267197149"/>
    <n v="0.52448138400557787"/>
    <n v="-6.43357211481696E-3"/>
    <n v="1.1804391263171088"/>
    <n v="-1.5672656068820121"/>
    <n v="0.61329826595938697"/>
    <x v="1"/>
    <x v="0"/>
    <x v="0"/>
    <x v="0"/>
    <x v="0"/>
    <x v="1"/>
  </r>
  <r>
    <x v="8"/>
    <s v="IEX"/>
    <n v="17394"/>
    <n v="190.31"/>
    <n v="8.26"/>
    <n v="50.31"/>
    <n v="6.45"/>
    <n v="23.03995157384988"/>
    <n v="3.7827469687934805"/>
    <n v="13.59"/>
    <n v="6.91"/>
    <n v="1.82"/>
    <n v="29.505426356589147"/>
    <s v="YES"/>
    <n v="-9.363916009177263E-2"/>
    <n v="-0.49875228858977905"/>
    <n v="-0.53832068148084466"/>
    <n v="-0.41055658582578197"/>
    <n v="-0.43579353874384252"/>
    <n v="0.5163757126717653"/>
    <x v="1"/>
    <x v="0"/>
    <x v="0"/>
    <x v="0"/>
    <x v="0"/>
    <x v="1"/>
  </r>
  <r>
    <x v="8"/>
    <s v="IR"/>
    <n v="41220"/>
    <n v="84.5"/>
    <n v="3.24"/>
    <n v="25.46"/>
    <n v="2.0499999999999998"/>
    <n v="26.080246913580247"/>
    <n v="3.3189316575019636"/>
    <n v="8.48"/>
    <n v="5.34"/>
    <n v="1.77"/>
    <n v="41.219512195121958"/>
    <s v="NO"/>
    <n v="0.37535119129732158"/>
    <n v="-0.73899336284298411"/>
    <n v="-0.9189849852428057"/>
    <n v="-0.85740153539006447"/>
    <n v="-0.52418979406713706"/>
    <n v="1.9510086826437225"/>
    <x v="1"/>
    <x v="0"/>
    <x v="0"/>
    <x v="0"/>
    <x v="0"/>
    <x v="1"/>
  </r>
  <r>
    <x v="8"/>
    <s v="ITT"/>
    <n v="12691"/>
    <n v="150.44999999999999"/>
    <n v="4.67"/>
    <n v="33.729999999999997"/>
    <n v="5.86"/>
    <n v="32.216274089935759"/>
    <n v="4.4604209902164245"/>
    <n v="18.84"/>
    <n v="8.5"/>
    <n v="1.8"/>
    <n v="25.674061433447097"/>
    <s v="NO"/>
    <n v="1.3218834258358316"/>
    <n v="-0.14773943727446015"/>
    <n v="-0.14722721871170669"/>
    <n v="4.1980656089637733E-2"/>
    <n v="-0.47115204087316032"/>
    <n v="4.7145546997812079E-2"/>
    <x v="1"/>
    <x v="0"/>
    <x v="0"/>
    <x v="0"/>
    <x v="0"/>
    <x v="1"/>
  </r>
  <r>
    <x v="8"/>
    <s v="ITW"/>
    <n v="80773"/>
    <n v="249.14"/>
    <n v="9.24"/>
    <n v="11.48"/>
    <n v="11.55"/>
    <n v="26.96320346320346"/>
    <n v="21.702090592334493"/>
    <n v="108.04"/>
    <n v="17.03"/>
    <n v="4.67"/>
    <n v="21.57056277056277"/>
    <s v="NO"/>
    <n v="0.51155444005992956"/>
    <n v="8.7828782596653667"/>
    <n v="6.4976369487182195"/>
    <n v="2.4697433438497201"/>
    <n v="4.6027930146839431"/>
    <n v="-0.45541304401444627"/>
    <x v="1"/>
    <x v="1"/>
    <x v="1"/>
    <x v="0"/>
    <x v="1"/>
    <x v="1"/>
  </r>
  <r>
    <x v="8"/>
    <s v="LECO"/>
    <n v="11845"/>
    <n v="195.57"/>
    <n v="9.07"/>
    <n v="23.73"/>
    <n v="8.39"/>
    <n v="21.56229327453142"/>
    <n v="8.2414664981036658"/>
    <n v="37.630000000000003"/>
    <n v="12.4"/>
    <n v="2.74"/>
    <n v="23.309892729439806"/>
    <s v="NO"/>
    <n v="-0.32158000385593016"/>
    <n v="1.8107177600218207"/>
    <n v="1.2525149080372655"/>
    <n v="1.1519776645614221"/>
    <n v="1.1906975592047764"/>
    <n v="-0.24239598582823946"/>
    <x v="1"/>
    <x v="0"/>
    <x v="0"/>
    <x v="0"/>
    <x v="0"/>
    <x v="1"/>
  </r>
  <r>
    <x v="8"/>
    <s v="MHVIY"/>
    <n v="52172"/>
    <n v="36.86"/>
    <n v="0.59"/>
    <n v="4.67"/>
    <n v="0.49"/>
    <n v="62.474576271186443"/>
    <n v="7.8929336188436832"/>
    <n v="11.59"/>
    <n v="3.47"/>
    <n v="2.87"/>
    <n v="75.224489795918373"/>
    <s v="NO"/>
    <n v="5.9894733099425146"/>
    <n v="1.6301891933972625"/>
    <n v="-0.68730866729765916"/>
    <n v="-1.3896308702214071"/>
    <n v="1.4205278230453418"/>
    <n v="6.115624059524956"/>
    <x v="0"/>
    <x v="0"/>
    <x v="0"/>
    <x v="0"/>
    <x v="0"/>
    <x v="0"/>
  </r>
  <r>
    <x v="8"/>
    <s v="NDSN"/>
    <n v="14547"/>
    <n v="202.6"/>
    <n v="9.9600000000000009"/>
    <n v="49.91"/>
    <n v="8.2100000000000009"/>
    <n v="20.341365461847388"/>
    <n v="4.0593067521538773"/>
    <n v="17.41"/>
    <n v="9.15"/>
    <n v="1.82"/>
    <n v="24.677222898903771"/>
    <s v="YES"/>
    <n v="-0.50991807628220454"/>
    <n v="-0.3555034181186274"/>
    <n v="-0.25375362857072903"/>
    <n v="0.22698015750160189"/>
    <n v="-0.43579353874384252"/>
    <n v="-7.4938023765359338E-2"/>
    <x v="1"/>
    <x v="0"/>
    <x v="0"/>
    <x v="0"/>
    <x v="0"/>
    <x v="1"/>
  </r>
  <r>
    <x v="8"/>
    <s v="OTIS"/>
    <n v="39866"/>
    <n v="96.99"/>
    <n v="3.32"/>
    <n v="-12.27"/>
    <n v="4.0199999999999996"/>
    <n v="29.213855421686748"/>
    <n v="-7.9046454767726164"/>
    <n v="-36.74"/>
    <n v="14.08"/>
    <n v="-2.09"/>
    <n v="24.126865671641792"/>
    <s v="NO"/>
    <n v="0.85873585992726464"/>
    <n v="-6.5524371238815604"/>
    <n v="-4.2876033445609814"/>
    <n v="1.63013022205696"/>
    <n v="-7.3483807050254715"/>
    <n v="-0.14234069046728595"/>
    <x v="1"/>
    <x v="1"/>
    <x v="1"/>
    <x v="0"/>
    <x v="1"/>
    <x v="1"/>
  </r>
  <r>
    <x v="8"/>
    <s v="PH"/>
    <n v="89610"/>
    <n v="678.42"/>
    <n v="23.22"/>
    <n v="100.15"/>
    <n v="21.84"/>
    <n v="29.217054263565892"/>
    <n v="6.7740389415876177"/>
    <n v="24.64"/>
    <n v="8.5399999999999991"/>
    <n v="2.2999999999999998"/>
    <n v="31.06318681318681"/>
    <s v="NO"/>
    <n v="0.85922930737539005"/>
    <n v="1.0506385561151708"/>
    <n v="0.28483794015705538"/>
    <n v="5.3365240791912204E-2"/>
    <n v="0.41281051235978417"/>
    <n v="0.70715581631436319"/>
    <x v="1"/>
    <x v="0"/>
    <x v="0"/>
    <x v="0"/>
    <x v="0"/>
    <x v="1"/>
  </r>
  <r>
    <x v="8"/>
    <s v="PNR"/>
    <n v="17863"/>
    <n v="98.46"/>
    <n v="4.38"/>
    <n v="21.18"/>
    <n v="4"/>
    <n v="22.479452054794521"/>
    <n v="4.6487252124645888"/>
    <n v="20.41"/>
    <n v="8.3800000000000008"/>
    <n v="1.85"/>
    <n v="24.614999999999998"/>
    <s v="YES"/>
    <n v="-0.18010078207962329"/>
    <n v="-5.0204044332505145E-2"/>
    <n v="-3.0271649845507297E-2"/>
    <n v="7.8269019828138241E-3"/>
    <n v="-0.38275578554986578"/>
    <n v="-8.2558509348702597E-2"/>
    <x v="1"/>
    <x v="0"/>
    <x v="0"/>
    <x v="0"/>
    <x v="0"/>
    <x v="1"/>
  </r>
  <r>
    <x v="8"/>
    <s v="RBC"/>
    <n v="10503"/>
    <n v="370"/>
    <n v="7.56"/>
    <n v="94.77"/>
    <n v="6.86"/>
    <n v="48.941798941798943"/>
    <n v="3.9041890893742748"/>
    <n v="8.11"/>
    <n v="4.75"/>
    <n v="1.7"/>
    <n v="53.935860058309032"/>
    <s v="NO"/>
    <n v="3.9019320398425252"/>
    <n v="-0.43584926491279657"/>
    <n v="-0.94654776261891638"/>
    <n v="-1.0253241597486165"/>
    <n v="-0.6479445515197495"/>
    <n v="3.5083894423228403"/>
    <x v="0"/>
    <x v="0"/>
    <x v="0"/>
    <x v="0"/>
    <x v="0"/>
    <x v="0"/>
  </r>
  <r>
    <x v="8"/>
    <s v="SNA"/>
    <n v="18786"/>
    <n v="327.32"/>
    <n v="21.53"/>
    <n v="104.27"/>
    <n v="19.45"/>
    <n v="15.202972596377148"/>
    <n v="3.1391579553083342"/>
    <n v="20.6"/>
    <n v="11.4"/>
    <n v="1.45"/>
    <n v="16.828791773778921"/>
    <s v="YES"/>
    <n v="-1.3025570821249146"/>
    <n v="-0.83211022700430581"/>
    <n v="-1.6117791192909826E-2"/>
    <n v="0.86736304700455436"/>
    <n v="-1.0899258281362219"/>
    <n v="-1.0361413314635453"/>
    <x v="1"/>
    <x v="0"/>
    <x v="0"/>
    <x v="0"/>
    <x v="0"/>
    <x v="1"/>
  </r>
  <r>
    <x v="8"/>
    <s v="SWK"/>
    <n v="13021"/>
    <n v="73.819999999999993"/>
    <n v="5.56"/>
    <n v="57.47"/>
    <n v="-1.23"/>
    <n v="13.276978417266188"/>
    <n v="1.284496258917696"/>
    <n v="-2.0299999999999998"/>
    <n v="2.99"/>
    <n v="2.54"/>
    <n v="-60.016260162601618"/>
    <s v="NO"/>
    <n v="-1.5996573917661179"/>
    <n v="-1.7927639774733406"/>
    <n v="-1.7019168507101659"/>
    <n v="-1.5262458866487036"/>
    <n v="0.83711253791159812"/>
    <n v="-10.447413077867877"/>
    <x v="1"/>
    <x v="0"/>
    <x v="0"/>
    <x v="0"/>
    <x v="0"/>
    <x v="0"/>
  </r>
  <r>
    <x v="8"/>
    <s v="XYL"/>
    <n v="30701"/>
    <n v="126.93"/>
    <n v="3.42"/>
    <n v="43.59"/>
    <n v="3.42"/>
    <n v="37.114035087719301"/>
    <n v="2.9119064005505848"/>
    <n v="8.08"/>
    <n v="4.43"/>
    <n v="1.51"/>
    <n v="37.114035087719301"/>
    <s v="NO"/>
    <n v="2.0774030036061997"/>
    <n v="-0.94981905703126157"/>
    <n v="-0.94878258240616853"/>
    <n v="-1.1164008373668142"/>
    <n v="-0.98385032174826847"/>
    <n v="1.448207790031973"/>
    <x v="1"/>
    <x v="0"/>
    <x v="0"/>
    <x v="0"/>
    <x v="0"/>
    <x v="1"/>
  </r>
  <r>
    <x v="9"/>
    <s v="AAL"/>
    <n v="11434"/>
    <n v="12.3"/>
    <n v="-0.84"/>
    <n v="-7.39"/>
    <n v="0.42"/>
    <n v="-14.642857142857144"/>
    <n v="-1.6644113667117728"/>
    <n v="-5.51"/>
    <n v="2.75"/>
    <n v="-13.09"/>
    <n v="29.285714285714288"/>
    <s v="NO"/>
    <n v="-1.1169045886106181"/>
    <n v="-12.924584316973132"/>
    <n v="-1.2617123938375114"/>
    <n v="-0.50556792565783482"/>
    <n v="-10.326869914641994"/>
    <n v="0.81620927915027763"/>
    <x v="1"/>
    <x v="1"/>
    <x v="0"/>
    <x v="0"/>
    <x v="1"/>
    <x v="1"/>
  </r>
  <r>
    <x v="9"/>
    <s v="DAL"/>
    <n v="41640"/>
    <n v="52.99"/>
    <n v="1.94"/>
    <n v="21.28"/>
    <n v="7.2"/>
    <n v="27.314432989690722"/>
    <n v="2.4901315789473686"/>
    <n v="40.67"/>
    <n v="5.27"/>
    <n v="5.52"/>
    <n v="7.3597222222222225"/>
    <s v="NO"/>
    <n v="-2.9003637892465572E-2"/>
    <n v="0.88994140525528487"/>
    <n v="1.4255802151199777"/>
    <n v="0.72657053919491499"/>
    <n v="0.70386902130218787"/>
    <n v="-1.1026652861361206"/>
    <x v="1"/>
    <x v="0"/>
    <x v="0"/>
    <x v="0"/>
    <x v="0"/>
    <x v="1"/>
  </r>
  <r>
    <x v="9"/>
    <s v="LUV"/>
    <n v="20499"/>
    <n v="31.29"/>
    <n v="-3.23"/>
    <n v="17.36"/>
    <n v="-0.08"/>
    <n v="-9.6873065015479867"/>
    <n v="1.8024193548387097"/>
    <n v="-0.45"/>
    <n v="0.46"/>
    <n v="3.35"/>
    <n v="-391.125"/>
    <s v="NO"/>
    <n v="-0.98841325285035031"/>
    <n v="-1.396812717569816"/>
    <n v="-0.96726240247057993"/>
    <n v="-1.6252493084010085"/>
    <n v="-0.58235900078265201"/>
    <n v="-35.976444128764065"/>
    <x v="1"/>
    <x v="0"/>
    <x v="0"/>
    <x v="0"/>
    <x v="0"/>
    <x v="0"/>
  </r>
  <r>
    <x v="9"/>
    <s v="RYAAY"/>
    <n v="25277"/>
    <n v="49.86"/>
    <n v="0.99"/>
    <n v="7.89"/>
    <n v="1.5"/>
    <n v="50.363636363636367"/>
    <n v="6.3193916349809891"/>
    <n v="18.91"/>
    <n v="6.33"/>
    <n v="2.11"/>
    <n v="33.24"/>
    <s v="NO"/>
    <n v="0.56863386883392075"/>
    <n v="13.622849027849492"/>
    <n v="0.15932886884637512"/>
    <n v="1.2448510045694847"/>
    <n v="-1.3173464419739893"/>
    <n v="1.1622724474231634"/>
    <x v="1"/>
    <x v="1"/>
    <x v="0"/>
    <x v="0"/>
    <x v="0"/>
    <x v="1"/>
  </r>
  <r>
    <x v="9"/>
    <s v="UAL"/>
    <n v="32980"/>
    <n v="82.6"/>
    <n v="0.93"/>
    <n v="34.78"/>
    <n v="8.3000000000000007"/>
    <n v="88.817204301075265"/>
    <n v="2.3749281196089704"/>
    <n v="27.24"/>
    <n v="4.1100000000000003"/>
    <n v="6.35"/>
    <n v="9.9518072289156603"/>
    <s v="NO"/>
    <n v="1.5656876105195134"/>
    <n v="0.50687131231453197"/>
    <n v="0.64406571234173848"/>
    <n v="0.15939569029444309"/>
    <n v="1.1958364214544539"/>
    <n v="-0.8758164404373191"/>
    <x v="1"/>
    <x v="0"/>
    <x v="0"/>
    <x v="0"/>
    <x v="0"/>
    <x v="1"/>
  </r>
  <r>
    <x v="10"/>
    <s v="ADP"/>
    <n v="124134"/>
    <n v="308.19"/>
    <n v="9.9600000000000009"/>
    <n v="13.12"/>
    <n v="9.36"/>
    <n v="30.942771084337348"/>
    <n v="23.490091463414636"/>
    <n v="87.26"/>
    <n v="6.54"/>
    <n v="9.26"/>
    <n v="32.926282051282051"/>
    <s v="NO"/>
    <n v="-0.25967250954282595"/>
    <n v="2.0362703897575538"/>
    <n v="2.4496326478525443"/>
    <n v="-0.28094709207761548"/>
    <n v="8.9305146485594111"/>
    <n v="-0.40279883355532242"/>
    <x v="1"/>
    <x v="0"/>
    <x v="0"/>
    <x v="0"/>
    <x v="1"/>
    <x v="1"/>
  </r>
  <r>
    <x v="10"/>
    <s v="DAY"/>
    <n v="12389"/>
    <n v="59.26"/>
    <n v="1.1499999999999999"/>
    <n v="16.2"/>
    <n v="0.34"/>
    <n v="51.530434782608701"/>
    <n v="3.6580246913580248"/>
    <n v="2.19"/>
    <n v="0.78"/>
    <n v="3.18"/>
    <n v="174.29411764705881"/>
    <s v="NO"/>
    <n v="1.451544774162695"/>
    <n v="-0.88151725990360552"/>
    <n v="-1.1116269789937328"/>
    <n v="-1.8262306202795884"/>
    <n v="0.47207726203310313"/>
    <n v="8.8683834098363779"/>
    <x v="1"/>
    <x v="0"/>
    <x v="0"/>
    <x v="0"/>
    <x v="0"/>
    <x v="0"/>
  </r>
  <r>
    <x v="10"/>
    <s v="PAYC"/>
    <n v="13636"/>
    <n v="260.20999999999998"/>
    <n v="5.4"/>
    <n v="26.92"/>
    <n v="8.2899999999999991"/>
    <n v="48.18703703703703"/>
    <n v="9.6660475482912318"/>
    <n v="32.58"/>
    <n v="10.08"/>
    <n v="2.38"/>
    <n v="31.38841978287093"/>
    <s v="NO"/>
    <n v="1.1736463155335741"/>
    <n v="2.4115354321197395E-3"/>
    <n v="0.16058038035572469"/>
    <n v="0.66875840962984712"/>
    <n v="-0.64087502566772714"/>
    <n v="-0.50365488256808111"/>
    <x v="1"/>
    <x v="0"/>
    <x v="0"/>
    <x v="0"/>
    <x v="0"/>
    <x v="1"/>
  </r>
  <r>
    <x v="10"/>
    <s v="PAYX"/>
    <n v="51415"/>
    <n v="151.26"/>
    <n v="4.42"/>
    <n v="10.7"/>
    <n v="4.6900000000000004"/>
    <n v="34.22171945701357"/>
    <n v="14.136448598130841"/>
    <n v="45.67"/>
    <n v="12.04"/>
    <n v="2.72"/>
    <n v="32.251599147121532"/>
    <s v="NO"/>
    <n v="1.2869009006108349E-2"/>
    <n v="0.66011812356406585"/>
    <n v="0.70856308301727144"/>
    <n v="1.1945840546430182"/>
    <n v="-0.16787030339487399"/>
    <n v="-0.44704587273938856"/>
    <x v="1"/>
    <x v="0"/>
    <x v="0"/>
    <x v="0"/>
    <x v="0"/>
    <x v="1"/>
  </r>
  <r>
    <x v="10"/>
    <s v="PCTY"/>
    <n v="11473"/>
    <n v="199.23"/>
    <n v="5.98"/>
    <n v="19.84"/>
    <n v="3.9"/>
    <n v="33.316053511705682"/>
    <n v="10.041834677419354"/>
    <n v="22.2"/>
    <n v="4.55"/>
    <n v="3.64"/>
    <n v="51.084615384615383"/>
    <s v="NO"/>
    <n v="-6.2408654432919236E-2"/>
    <n v="5.7699118762394773E-2"/>
    <n v="-0.27395441365702189"/>
    <n v="-0.81482108880017223"/>
    <n v="1.1120248274610802"/>
    <n v="0.78806057841842136"/>
    <x v="1"/>
    <x v="0"/>
    <x v="0"/>
    <x v="0"/>
    <x v="0"/>
    <x v="1"/>
  </r>
  <r>
    <x v="10"/>
    <s v="BAH"/>
    <n v="18622"/>
    <n v="123.72"/>
    <n v="1.47"/>
    <n v="8.07"/>
    <n v="4.59"/>
    <n v="84.163265306122454"/>
    <n v="15.330855018587361"/>
    <n v="72.94"/>
    <n v="10.68"/>
    <n v="6.27"/>
    <n v="26.954248366013072"/>
    <s v="NO"/>
    <n v="4.1639391685183105"/>
    <n v="0.83584485655361129"/>
    <n v="1.8501588279813945"/>
    <n v="0.82972544381755253"/>
    <n v="4.7708554732775577"/>
    <n v="-0.79445661360452702"/>
    <x v="0"/>
    <x v="0"/>
    <x v="0"/>
    <x v="0"/>
    <x v="1"/>
    <x v="1"/>
  </r>
  <r>
    <x v="10"/>
    <s v="CACI"/>
    <n v="10185"/>
    <n v="462.04"/>
    <n v="17.97"/>
    <n v="163.71"/>
    <n v="20.190000000000001"/>
    <n v="25.711741791875351"/>
    <n v="2.8223077392950948"/>
    <n v="13.32"/>
    <n v="6.22"/>
    <n v="1.97"/>
    <n v="22.884596334819218"/>
    <s v="YES"/>
    <n v="-0.69446821380636703"/>
    <n v="-1.0044718984376717"/>
    <n v="-0.64569516229220392"/>
    <n v="-0.36679617697772515"/>
    <n v="-1.2112630731144023"/>
    <n v="-1.0613524424143628"/>
    <x v="1"/>
    <x v="0"/>
    <x v="0"/>
    <x v="0"/>
    <x v="0"/>
    <x v="1"/>
  </r>
  <r>
    <x v="10"/>
    <s v="EFX"/>
    <n v="33073"/>
    <n v="273.76"/>
    <n v="6.34"/>
    <n v="39.619999999999997"/>
    <n v="4.5"/>
    <n v="43.179810725552052"/>
    <n v="6.9096415951539631"/>
    <n v="11.93"/>
    <n v="5.22"/>
    <n v="2.5099999999999998"/>
    <n v="60.835555555555551"/>
    <s v="NO"/>
    <n v="0.75745279628750295"/>
    <n v="-0.40312397127807625"/>
    <n v="-0.70388431100874704"/>
    <n v="-0.63507456729056766"/>
    <n v="-0.4600202789163424"/>
    <n v="1.4275465193908106"/>
    <x v="1"/>
    <x v="0"/>
    <x v="0"/>
    <x v="0"/>
    <x v="0"/>
    <x v="1"/>
  </r>
  <r>
    <x v="10"/>
    <s v="J"/>
    <n v="17086"/>
    <n v="126.94"/>
    <n v="7.45"/>
    <n v="36.61"/>
    <n v="4.79"/>
    <n v="17.038926174496645"/>
    <n v="3.4673586451789129"/>
    <n v="10.23"/>
    <n v="4.37"/>
    <n v="2.58"/>
    <n v="26.501043841336116"/>
    <s v="NO"/>
    <n v="-1.4153402952798828"/>
    <n v="-0.90956895220301814"/>
    <n v="-0.77505089576998687"/>
    <n v="-0.86311119905648381"/>
    <n v="-0.36263695374251936"/>
    <n v="-0.82417866264136819"/>
    <x v="1"/>
    <x v="0"/>
    <x v="0"/>
    <x v="0"/>
    <x v="0"/>
    <x v="1"/>
  </r>
  <r>
    <x v="10"/>
    <s v="LDOS"/>
    <n v="21770"/>
    <n v="155.43"/>
    <n v="9.27"/>
    <n v="34.6"/>
    <n v="8.73"/>
    <n v="16.766990291262136"/>
    <n v="4.4921965317919073"/>
    <n v="27.04"/>
    <n v="8.4499999999999993"/>
    <n v="2.89"/>
    <n v="17.804123711340207"/>
    <s v="NO"/>
    <n v="-1.4379432185775707"/>
    <n v="-0.75878994551484402"/>
    <n v="-7.1338960572080293E-2"/>
    <n v="0.23146463341991355"/>
    <n v="6.8632057741552274E-2"/>
    <n v="-1.3945398847793882"/>
    <x v="1"/>
    <x v="0"/>
    <x v="0"/>
    <x v="0"/>
    <x v="0"/>
    <x v="1"/>
  </r>
  <r>
    <x v="10"/>
    <s v="PSN"/>
    <n v="10410"/>
    <n v="65.3"/>
    <n v="5.16"/>
    <n v="21.77"/>
    <n v="0.72"/>
    <n v="12.655038759689921"/>
    <n v="2.9995406522737711"/>
    <n v="5.67"/>
    <n v="5.89"/>
    <n v="2.35"/>
    <n v="90.694444444444443"/>
    <s v="NO"/>
    <n v="-1.7797227732521779"/>
    <n v="-0.97839655235567458"/>
    <n v="-0.96594479371778319"/>
    <n v="-0.45532804578096325"/>
    <n v="-0.68261073645650794"/>
    <n v="3.3857515050399112"/>
    <x v="1"/>
    <x v="0"/>
    <x v="0"/>
    <x v="0"/>
    <x v="0"/>
    <x v="0"/>
  </r>
  <r>
    <x v="10"/>
    <s v="RELX"/>
    <n v="88322"/>
    <n v="52.4"/>
    <n v="1.36"/>
    <n v="2.1800000000000002"/>
    <n v="1.26"/>
    <n v="38.529411764705877"/>
    <n v="24.036697247706421"/>
    <n v="59.12"/>
    <n v="11.74"/>
    <n v="4.58"/>
    <n v="41.587301587301589"/>
    <s v="NO"/>
    <n v="0.37091825819931995"/>
    <n v="2.1166896231622694"/>
    <n v="1.2716163565694332"/>
    <n v="1.1141005375491657"/>
    <n v="2.4197437655095553"/>
    <n v="0.16520795662865195"/>
    <x v="1"/>
    <x v="0"/>
    <x v="0"/>
    <x v="0"/>
    <x v="0"/>
    <x v="1"/>
  </r>
  <r>
    <x v="10"/>
    <s v="TRI"/>
    <n v="76738"/>
    <n v="184.26"/>
    <n v="4.46"/>
    <n v="26.39"/>
    <n v="4.93"/>
    <n v="41.313901345291477"/>
    <n v="6.9821902235695337"/>
    <n v="19.38"/>
    <n v="6.31"/>
    <n v="1.55"/>
    <n v="37.375253549695742"/>
    <s v="NO"/>
    <n v="0.60236106620458663"/>
    <n v="-0.39245027325034132"/>
    <n v="-0.39200721896684321"/>
    <n v="-0.34265112184956936"/>
    <n v="-1.7955630241573379"/>
    <n v="-0.11102648390012973"/>
    <x v="1"/>
    <x v="0"/>
    <x v="0"/>
    <x v="0"/>
    <x v="0"/>
    <x v="1"/>
  </r>
  <r>
    <x v="10"/>
    <s v="TRU"/>
    <n v="19426"/>
    <n v="91.47"/>
    <n v="2.4900000000000002"/>
    <n v="21.64"/>
    <n v="1.1399999999999999"/>
    <n v="36.734939759036138"/>
    <n v="4.2268946395563773"/>
    <n v="5.72"/>
    <n v="3.95"/>
    <n v="2.62"/>
    <n v="80.236842105263165"/>
    <s v="NO"/>
    <n v="0.22176430094453908"/>
    <n v="-0.79782241719284708"/>
    <n v="-0.9638516588718643"/>
    <n v="-0.97578812298787765"/>
    <n v="-0.30698933935747785"/>
    <n v="2.6999212614992412"/>
    <x v="1"/>
    <x v="0"/>
    <x v="0"/>
    <x v="0"/>
    <x v="0"/>
    <x v="1"/>
  </r>
  <r>
    <x v="10"/>
    <s v="ULS"/>
    <n v="10676"/>
    <n v="71.14"/>
    <n v="1.41"/>
    <n v="4.3600000000000003"/>
    <n v="1.51"/>
    <n v="50.453900709219859"/>
    <n v="16.316513761467888"/>
    <n v="30.77"/>
    <n v="9.35"/>
    <n v="3.3"/>
    <n v="47.11258278145695"/>
    <s v="NO"/>
    <n v="1.3620647952841021"/>
    <n v="0.98085964194196784"/>
    <n v="8.480889893346355E-2"/>
    <n v="0.47291518470147192"/>
    <n v="0.63902010518822716"/>
    <n v="0.52756682476237049"/>
    <x v="1"/>
    <x v="0"/>
    <x v="0"/>
    <x v="0"/>
    <x v="0"/>
    <x v="1"/>
  </r>
  <r>
    <x v="10"/>
    <s v="VRSK"/>
    <n v="40536"/>
    <n v="301.57"/>
    <n v="6.4"/>
    <n v="2.12"/>
    <n v="6.47"/>
    <n v="47.120312499999997"/>
    <n v="142.25"/>
    <n v="265.61"/>
    <n v="17.25"/>
    <n v="15.23"/>
    <n v="46.61051004636785"/>
    <s v="NO"/>
    <n v="1.0849816913448755"/>
    <n v="19.508790948793745"/>
    <n v="9.9158446432449683"/>
    <n v="2.592314468172928"/>
    <n v="17.235921095526855"/>
    <n v="0.49463990183940093"/>
    <x v="1"/>
    <x v="1"/>
    <x v="1"/>
    <x v="0"/>
    <x v="1"/>
    <x v="1"/>
  </r>
  <r>
    <x v="10"/>
    <s v="BR"/>
    <n v="27519"/>
    <n v="237.31"/>
    <n v="7.34"/>
    <n v="18.87"/>
    <n v="5.79"/>
    <n v="32.33106267029973"/>
    <n v="12.576046634870163"/>
    <n v="31.81"/>
    <n v="8.27"/>
    <n v="3.63"/>
    <n v="40.986183074265973"/>
    <s v="NO"/>
    <n v="-0.14427969025361007"/>
    <n v="0.43054439182753806"/>
    <n v="0.12834610372857491"/>
    <n v="0.18317452316360197"/>
    <n v="1.0981129238648195"/>
    <n v="0.12578541570381721"/>
    <x v="1"/>
    <x v="0"/>
    <x v="0"/>
    <x v="0"/>
    <x v="0"/>
    <x v="1"/>
  </r>
  <r>
    <x v="10"/>
    <s v="SSNC"/>
    <n v="18854"/>
    <n v="79.66"/>
    <n v="4.17"/>
    <n v="27.55"/>
    <n v="2.79"/>
    <n v="19.103117505995204"/>
    <n v="2.8914700544464607"/>
    <n v="10.82"/>
    <n v="4.88"/>
    <n v="2.71"/>
    <n v="28.551971326164875"/>
    <s v="NO"/>
    <n v="-1.2437676518219447"/>
    <n v="-0.99429641086544518"/>
    <n v="-0.75035190458814482"/>
    <n v="-0.72628921999693419"/>
    <n v="-0.18178220699113468"/>
    <n v="-0.68967478204014021"/>
    <x v="1"/>
    <x v="0"/>
    <x v="0"/>
    <x v="0"/>
    <x v="0"/>
    <x v="1"/>
  </r>
  <r>
    <x v="11"/>
    <s v="AER"/>
    <n v="18197"/>
    <n v="112.09"/>
    <n v="-5.23"/>
    <n v="90.66"/>
    <n v="12.74"/>
    <n v="-21.432122370936902"/>
    <n v="1.2363776748290316"/>
    <n v="15.3"/>
    <n v="3.48"/>
    <n v="4.41"/>
    <n v="8.7982731554160125"/>
    <s v="NO"/>
    <n v="-5.0722526855030177"/>
    <n v="-8.9972442439644968"/>
    <n v="-1.2631135958136912"/>
    <n v="-2.9653428343827843"/>
    <n v="1.7220464892422902"/>
    <n v="-1.619881017678841"/>
    <x v="0"/>
    <x v="1"/>
    <x v="0"/>
    <x v="1"/>
    <x v="0"/>
    <x v="1"/>
  </r>
  <r>
    <x v="11"/>
    <s v="AIT"/>
    <n v="10527"/>
    <n v="232.1"/>
    <n v="10.54"/>
    <n v="43.97"/>
    <n v="9.8000000000000007"/>
    <n v="22.020872865275145"/>
    <n v="5.2785990448032747"/>
    <n v="23.36"/>
    <n v="10.61"/>
    <n v="1.75"/>
    <n v="23.683673469387752"/>
    <s v="YES"/>
    <n v="-0.24547845362067974"/>
    <n v="-1.3719431708226684"/>
    <n v="-0.10834874882564646"/>
    <n v="0.85796537703661013"/>
    <n v="-1.0410763627992932"/>
    <n v="-4.6963426979149674E-2"/>
    <x v="1"/>
    <x v="0"/>
    <x v="0"/>
    <x v="0"/>
    <x v="0"/>
    <x v="1"/>
  </r>
  <r>
    <x v="11"/>
    <s v="CNM"/>
    <n v="10244"/>
    <n v="54.12"/>
    <n v="3.44"/>
    <n v="8.7899999999999991"/>
    <n v="2.11"/>
    <n v="15.732558139534882"/>
    <n v="6.1569965870307168"/>
    <n v="22.35"/>
    <n v="7.93"/>
    <n v="3.72"/>
    <n v="25.649289099526065"/>
    <s v="NO"/>
    <n v="-0.94398669948896297"/>
    <n v="0.28507783528683595"/>
    <n v="-0.25305253238122005"/>
    <n v="-0.57912662949971205"/>
    <n v="1.0052965764946615"/>
    <n v="0.16074018434374027"/>
    <x v="1"/>
    <x v="0"/>
    <x v="0"/>
    <x v="0"/>
    <x v="0"/>
    <x v="1"/>
  </r>
  <r>
    <x v="11"/>
    <s v="FAST"/>
    <n v="46432"/>
    <n v="79.97"/>
    <n v="1.82"/>
    <n v="6.28"/>
    <n v="2.02"/>
    <n v="43.939560439560438"/>
    <n v="12.734076433121018"/>
    <n v="32.700000000000003"/>
    <n v="20.34"/>
    <n v="1.32"/>
    <n v="39.589108910891085"/>
    <s v="NO"/>
    <n v="2.1892571913015155"/>
    <n v="12.692170227866868"/>
    <n v="1.2298030713813439"/>
    <n v="6.0754673261404966"/>
    <n v="-1.4877465982796994"/>
    <n v="1.633739722817672"/>
    <x v="1"/>
    <x v="1"/>
    <x v="0"/>
    <x v="1"/>
    <x v="0"/>
    <x v="1"/>
  </r>
  <r>
    <x v="11"/>
    <s v="FERG"/>
    <n v="43535"/>
    <n v="177.01"/>
    <n v="7.4"/>
    <n v="27.89"/>
    <n v="8.5299999999999994"/>
    <n v="23.920270270270269"/>
    <n v="6.3467192542129789"/>
    <n v="32.57"/>
    <n v="10.14"/>
    <n v="2.95"/>
    <n v="20.751465416178196"/>
    <s v="NO"/>
    <n v="-3.4492711425066519E-2"/>
    <n v="0.64297324111747978"/>
    <n v="1.2111778319137945"/>
    <n v="0.60593804753210645"/>
    <n v="0.20544522458788744"/>
    <n v="-0.35680538817622792"/>
    <x v="1"/>
    <x v="0"/>
    <x v="0"/>
    <x v="0"/>
    <x v="0"/>
    <x v="1"/>
  </r>
  <r>
    <x v="11"/>
    <s v="GWW"/>
    <n v="57717"/>
    <n v="1066.3699999999999"/>
    <n v="38.25"/>
    <n v="71.92"/>
    <n v="36.880000000000003"/>
    <n v="27.878954248366011"/>
    <n v="14.827169076751945"/>
    <n v="52.61"/>
    <n v="18.87"/>
    <n v="2.6"/>
    <n v="28.914587852494574"/>
    <s v="NO"/>
    <n v="0.40523931887038234"/>
    <n v="16.640608504953576"/>
    <n v="4.0823301313729035"/>
    <n v="5.2872116359881121"/>
    <n v="-0.15812357173337363"/>
    <n v="0.50577933271068987"/>
    <x v="1"/>
    <x v="1"/>
    <x v="1"/>
    <x v="1"/>
    <x v="0"/>
    <x v="1"/>
  </r>
  <r>
    <x v="11"/>
    <s v="URI"/>
    <n v="56364"/>
    <n v="721.95"/>
    <n v="33.659999999999997"/>
    <n v="130.6"/>
    <n v="38.25"/>
    <n v="21.448306595365423"/>
    <n v="5.5279479326186838"/>
    <n v="31.4"/>
    <n v="9.49"/>
    <n v="3.31"/>
    <n v="18.874509803921569"/>
    <s v="NO"/>
    <n v="-0.30907931939810063"/>
    <n v="-0.90156805580078236"/>
    <n v="1.0435506767058522"/>
    <n v="0.25738961311098335"/>
    <n v="0.57940170080404141"/>
    <n v="-0.55514043037928318"/>
    <x v="1"/>
    <x v="0"/>
    <x v="0"/>
    <x v="0"/>
    <x v="0"/>
    <x v="1"/>
  </r>
  <r>
    <x v="11"/>
    <s v="WCC"/>
    <n v="10127"/>
    <n v="173.88"/>
    <n v="14.69"/>
    <n v="102.9"/>
    <n v="12.46"/>
    <n v="11.836623553437713"/>
    <n v="1.6897959183673468"/>
    <n v="14.03"/>
    <n v="5.36"/>
    <n v="3.03"/>
    <n v="13.95505617977528"/>
    <s v="NO"/>
    <n v="-1.3767485049076562"/>
    <n v="-8.141909935775228"/>
    <n v="-1.4450678583043635"/>
    <n v="-1.9572335163647669"/>
    <n v="0.28854666374703242"/>
    <n v="-1.0749716058155325"/>
    <x v="1"/>
    <x v="1"/>
    <x v="0"/>
    <x v="0"/>
    <x v="0"/>
    <x v="1"/>
  </r>
  <r>
    <x v="11"/>
    <s v="WSO"/>
    <n v="21273"/>
    <n v="481.29"/>
    <n v="17.78"/>
    <n v="71.63"/>
    <n v="13.03"/>
    <n v="27.069178852643418"/>
    <n v="6.7191121038670953"/>
    <n v="21.22"/>
    <n v="10.53"/>
    <n v="1.68"/>
    <n v="36.937068303914046"/>
    <s v="NO"/>
    <n v="0.31528917866856593"/>
    <n v="1.3454601502191383"/>
    <n v="-0.41494884467607035"/>
    <n v="0.81506710818477957"/>
    <n v="-1.1137901220635453"/>
    <n v="1.3535026291569343"/>
    <x v="1"/>
    <x v="0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s v="ACHR"/>
    <n v="3562"/>
    <n v="11.16"/>
    <n v="-1.22"/>
    <n v="1.1000000000000001"/>
    <n v="-1.32"/>
    <n v="-9.1475409836065573"/>
    <n v="10.145454545454545"/>
    <n v="-107.62"/>
    <n v="-51.72"/>
    <n v="1.39"/>
    <n v="-8.454545454545455"/>
    <s v="NO"/>
    <n v="-1.3340167037348103"/>
    <n v="1.7250415801368941"/>
    <n v="-10.528009733889263"/>
    <n v="-26.393342373237669"/>
    <n v="-0.94279528346975017"/>
    <n v="-0.86689210918551673"/>
    <x v="0"/>
    <x v="0"/>
    <x v="0"/>
    <x v="0"/>
    <x v="0"/>
    <x v="0"/>
  </r>
  <r>
    <x v="0"/>
    <s v="AIR"/>
    <n v="2428"/>
    <n v="61.38"/>
    <n v="0.43"/>
    <n v="34.31"/>
    <n v="1.81"/>
    <n v="142.74418604651163"/>
    <n v="1.7889828038472748"/>
    <n v="5.57"/>
    <n v="4.37"/>
    <n v="2.2999999999999998"/>
    <n v="33.911602209944753"/>
    <s v="NO"/>
    <n v="0.78900615943597008"/>
    <n v="-0.40958745340943653"/>
    <n v="0.33799260750653209"/>
    <n v="0.51939813878161689"/>
    <n v="1.0854404327417677"/>
    <n v="0.31461682473898356"/>
    <x v="0"/>
    <x v="0"/>
    <x v="1"/>
    <x v="1"/>
    <x v="0"/>
    <x v="0"/>
  </r>
  <r>
    <x v="0"/>
    <s v="AVAV"/>
    <n v="4607"/>
    <n v="166.6"/>
    <n v="1.24"/>
    <n v="30.19"/>
    <n v="2.11"/>
    <n v="134.35483870967741"/>
    <n v="5.5183835707187807"/>
    <n v="8.3000000000000007"/>
    <n v="4.82"/>
    <n v="1.18"/>
    <n v="78.957345971563981"/>
    <s v="NO"/>
    <n v="0.67174647353057315"/>
    <n v="0.54307383724702929"/>
    <n v="0.60006687548082771"/>
    <n v="0.7353142241873698"/>
    <n v="-1.4108496795185619"/>
    <n v="1.5708544489645084"/>
    <x v="0"/>
    <x v="0"/>
    <x v="1"/>
    <x v="1"/>
    <x v="0"/>
    <x v="0"/>
  </r>
  <r>
    <x v="0"/>
    <s v="BDRBF"/>
    <n v="7463"/>
    <n v="64.86"/>
    <n v="0.43"/>
    <n v="-23.75"/>
    <n v="4.3899999999999997"/>
    <n v="150.83720930232559"/>
    <n v="-2.7309473684210528"/>
    <n v="-20.64"/>
    <n v="4.1500000000000004"/>
    <n v="-5.41"/>
    <n v="14.774487471526196"/>
    <s v="NO"/>
    <n v="0.9021240608530694"/>
    <n v="-1.5641864843959623"/>
    <n v="-2.1781123608474195"/>
    <n v="0.41383916369436002"/>
    <n v="-16.098842393621755"/>
    <n v="-0.21907984770903349"/>
    <x v="0"/>
    <x v="0"/>
    <x v="1"/>
    <x v="1"/>
    <x v="1"/>
    <x v="0"/>
  </r>
  <r>
    <x v="0"/>
    <s v="CAE"/>
    <n v="7490"/>
    <n v="25.99"/>
    <n v="0.3"/>
    <n v="10.17"/>
    <n v="-0.8"/>
    <n v="86.633333333333326"/>
    <n v="2.5555555555555554"/>
    <n v="-7.37"/>
    <n v="2.79"/>
    <n v="2.31"/>
    <n v="-32.487499999999997"/>
    <s v="NO"/>
    <n v="4.7328779921106895E-3"/>
    <n v="-0.21376934946318116"/>
    <n v="-0.9042202231115577"/>
    <n v="-0.23870722775413772"/>
    <n v="1.1077287373155211"/>
    <n v="-1.5371241710884633"/>
    <x v="0"/>
    <x v="0"/>
    <x v="1"/>
    <x v="1"/>
    <x v="0"/>
    <x v="0"/>
  </r>
  <r>
    <x v="0"/>
    <s v="DRS"/>
    <n v="9796"/>
    <n v="40.64"/>
    <n v="1.02"/>
    <n v="9.36"/>
    <n v="0.74"/>
    <n v="39.843137254901961"/>
    <n v="4.3418803418803424"/>
    <n v="8.4"/>
    <n v="4.7699999999999996"/>
    <n v="1.56"/>
    <n v="54.918918918918919"/>
    <s v="NO"/>
    <n v="-0.64926361009217048"/>
    <n v="0.24254054664363228"/>
    <n v="0.60966666551651616"/>
    <n v="0.7113235480311747"/>
    <n v="-0.56389410571594978"/>
    <n v="0.90046976954750879"/>
    <x v="0"/>
    <x v="0"/>
    <x v="1"/>
    <x v="1"/>
    <x v="0"/>
    <x v="0"/>
  </r>
  <r>
    <x v="0"/>
    <s v="ERJ"/>
    <n v="6950"/>
    <n v="49.4"/>
    <n v="0.14000000000000001"/>
    <n v="4.2699999999999996"/>
    <n v="0.65"/>
    <n v="352.85714285714283"/>
    <n v="11.569086651053865"/>
    <n v="16.43"/>
    <n v="2.34"/>
    <n v="3.72"/>
    <n v="76"/>
    <s v="NO"/>
    <n v="3.7257994916293282"/>
    <n v="2.0887030056366114"/>
    <n v="1.3805298053823014"/>
    <n v="-0.45462331315989069"/>
    <n v="4.2503796822146871"/>
    <n v="1.4883798583130405"/>
    <x v="1"/>
    <x v="1"/>
    <x v="1"/>
    <x v="1"/>
    <x v="1"/>
    <x v="0"/>
  </r>
  <r>
    <x v="0"/>
    <s v="HII"/>
    <n v="7354"/>
    <n v="225.73"/>
    <n v="4.63"/>
    <n v="107.41"/>
    <n v="17.73"/>
    <n v="48.753779697624189"/>
    <n v="2.101573410296993"/>
    <n v="17.670000000000002"/>
    <n v="4.2699999999999996"/>
    <n v="2.64"/>
    <n v="12.731528482797517"/>
    <s v="NO"/>
    <n v="-0.52471767199978092"/>
    <n v="-0.32973736777831075"/>
    <n v="1.4995672018248387"/>
    <n v="0.47141678646922708"/>
    <n v="1.8432427882493685"/>
    <n v="-0.27605397516427621"/>
    <x v="0"/>
    <x v="0"/>
    <x v="1"/>
    <x v="1"/>
    <x v="0"/>
    <x v="0"/>
  </r>
  <r>
    <x v="0"/>
    <s v="HXL"/>
    <n v="5067"/>
    <n v="53.58"/>
    <n v="2.46"/>
    <n v="19.62"/>
    <n v="1.3"/>
    <n v="21.780487804878049"/>
    <n v="2.7308868501529049"/>
    <n v="6.68"/>
    <n v="4.9800000000000004"/>
    <n v="1.8"/>
    <n v="41.215384615384615"/>
    <s v="NO"/>
    <n v="-0.90172908995491563"/>
    <n v="-0.16898163480206735"/>
    <n v="0.44455027690267424"/>
    <n v="0.81208438788719306"/>
    <n v="-2.8974795945879102E-2"/>
    <n v="0.51830502013043522"/>
    <x v="0"/>
    <x v="0"/>
    <x v="1"/>
    <x v="1"/>
    <x v="0"/>
    <x v="0"/>
  </r>
  <r>
    <x v="0"/>
    <s v="KTOS"/>
    <n v="4229"/>
    <n v="33.78"/>
    <n v="0.05"/>
    <n v="8.89"/>
    <n v="0.1"/>
    <n v="675.6"/>
    <n v="3.7997750281214846"/>
    <n v="1.54"/>
    <n v="1.37"/>
    <n v="1.42"/>
    <n v="337.8"/>
    <s v="NO"/>
    <n v="8.236844813429391"/>
    <n v="0.10406179894109673"/>
    <n v="-4.8878930931713832E-2"/>
    <n v="-0.92004243059006896"/>
    <n v="-0.87593036974849126"/>
    <n v="8.7894694298979115"/>
    <x v="1"/>
    <x v="0"/>
    <x v="1"/>
    <x v="1"/>
    <x v="0"/>
    <x v="1"/>
  </r>
  <r>
    <x v="0"/>
    <s v="LOAR"/>
    <n v="8253"/>
    <n v="93.14"/>
    <n v="0.4"/>
    <n v="8.58"/>
    <n v="0.2"/>
    <n v="232.85"/>
    <n v="10.855477855477856"/>
    <n v="-1.1000000000000001"/>
    <n v="4.55"/>
    <n v="1.91"/>
    <n v="465.7"/>
    <s v="NO"/>
    <n v="2.0484342195958027"/>
    <n v="1.9064143435394199"/>
    <n v="-0.30231338787388984"/>
    <n v="0.60576457294391783"/>
    <n v="0.21619655436540303"/>
    <n v="12.356350087673714"/>
    <x v="0"/>
    <x v="0"/>
    <x v="1"/>
    <x v="1"/>
    <x v="0"/>
    <x v="1"/>
  </r>
  <r>
    <x v="0"/>
    <s v="MRCY"/>
    <n v="2285"/>
    <n v="46.73"/>
    <n v="0.45"/>
    <n v="25.35"/>
    <n v="-2.38"/>
    <n v="103.84444444444443"/>
    <n v="1.8433925049309663"/>
    <n v="-7.9"/>
    <n v="-2.65"/>
    <n v="1.62"/>
    <n v="-19.634453781512605"/>
    <s v="NO"/>
    <n v="0.24529622600260637"/>
    <n v="-0.39568870149222057"/>
    <n v="-0.95509911030070671"/>
    <n v="-2.8488927935481283"/>
    <n v="-0.43016427827343201"/>
    <n v="-1.1786778696793851"/>
    <x v="0"/>
    <x v="0"/>
    <x v="1"/>
    <x v="1"/>
    <x v="0"/>
    <x v="0"/>
  </r>
  <r>
    <x v="0"/>
    <s v="SARO"/>
    <n v="9515"/>
    <n v="29.85"/>
    <m/>
    <m/>
    <m/>
    <s v=""/>
    <s v=""/>
    <n v="-2.99"/>
    <n v="3.69"/>
    <n v="5.21"/>
    <s v=""/>
    <s v="NO"/>
    <e v="#VALUE!"/>
    <e v="#VALUE!"/>
    <n v="-0.48374941954840217"/>
    <n v="0.19312494305736799"/>
    <n v="7.5713370637038748"/>
    <e v="#VALUE!"/>
    <x v="1"/>
    <x v="1"/>
    <x v="1"/>
    <x v="1"/>
    <x v="1"/>
    <x v="1"/>
  </r>
  <r>
    <x v="0"/>
    <s v="SPR"/>
    <n v="3766"/>
    <n v="37.299999999999997"/>
    <n v="-11.47"/>
    <n v="-16.64"/>
    <n v="-12.43"/>
    <n v="-3.251961639058413"/>
    <n v="-2.2415865384615383"/>
    <n v="102.63"/>
    <n v="-9.58"/>
    <n v="-3.63"/>
    <n v="-3.0008045052292838"/>
    <s v="NO"/>
    <n v="-1.251612941628456"/>
    <n v="-1.4391811151668921"/>
    <n v="9.6555488161457745"/>
    <n v="-6.1740005087967225"/>
    <n v="-12.131524179493727"/>
    <n v="-0.71479794886780224"/>
    <x v="0"/>
    <x v="0"/>
    <x v="0"/>
    <x v="0"/>
    <x v="1"/>
    <x v="0"/>
  </r>
  <r>
    <x v="1"/>
    <s v="GXO"/>
    <n v="5944"/>
    <n v="40.56"/>
    <n v="2.13"/>
    <n v="26"/>
    <n v="0.89"/>
    <n v="19.042253521126764"/>
    <n v="1.56"/>
    <n v="3.73"/>
    <n v="2.23"/>
    <n v="3.83"/>
    <n v="45.573033707865171"/>
    <s v="NO"/>
    <n v="1"/>
    <n v="0.99999999999999056"/>
    <n v="-1.0000000000000007"/>
    <n v="-1.0000000000000067"/>
    <n v="1.0000000000000002"/>
    <n v="0.99999999999999967"/>
    <x v="0"/>
    <x v="0"/>
    <x v="1"/>
    <x v="1"/>
    <x v="0"/>
    <x v="0"/>
  </r>
  <r>
    <x v="1"/>
    <s v="HUBG"/>
    <n v="3055"/>
    <n v="35.53"/>
    <n v="3.53"/>
    <n v="26.49"/>
    <n v="1.77"/>
    <n v="10.065155807365439"/>
    <n v="1.3412608531521331"/>
    <n v="6.66"/>
    <n v="2.99"/>
    <n v="1.74"/>
    <n v="20.073446327683616"/>
    <s v="NO"/>
    <n v="-1"/>
    <n v="-0.99999999999999056"/>
    <n v="1.0000000000000004"/>
    <n v="1.0000000000000056"/>
    <n v="-1.0000000000000004"/>
    <n v="-1"/>
    <x v="0"/>
    <x v="0"/>
    <x v="1"/>
    <x v="1"/>
    <x v="0"/>
    <x v="0"/>
  </r>
  <r>
    <x v="2"/>
    <s v="AWI"/>
    <n v="6877"/>
    <n v="157.65"/>
    <n v="3.64"/>
    <n v="16.420000000000002"/>
    <n v="5.66"/>
    <n v="43.310439560439562"/>
    <n v="9.6010962241169295"/>
    <n v="38.31"/>
    <n v="9.84"/>
    <n v="2.52"/>
    <n v="27.853356890459363"/>
    <s v="NO"/>
    <n v="0.86135651158746018"/>
    <n v="2.2415206144253723"/>
    <n v="1.0242065230445503"/>
    <n v="0.42038662557175882"/>
    <n v="1.1856729042009784"/>
    <n v="6.832179722917657E-2"/>
    <x v="0"/>
    <x v="0"/>
    <x v="1"/>
    <x v="1"/>
    <x v="0"/>
    <x v="0"/>
  </r>
  <r>
    <x v="2"/>
    <s v="AZEK"/>
    <n v="7753"/>
    <n v="51.91"/>
    <n v="1.01"/>
    <n v="9.49"/>
    <n v="1.04"/>
    <n v="51.396039603960389"/>
    <n v="5.4699683877766061"/>
    <n v="11.09"/>
    <n v="5.96"/>
    <n v="1.6"/>
    <n v="49.913461538461533"/>
    <s v="NO"/>
    <n v="1.2788395954517275"/>
    <n v="0.57392323048301852"/>
    <n v="-0.48748882457471132"/>
    <n v="-0.69299228720532258"/>
    <n v="-0.59837697969021197"/>
    <n v="1.8227357271533804"/>
    <x v="0"/>
    <x v="0"/>
    <x v="1"/>
    <x v="1"/>
    <x v="0"/>
    <x v="0"/>
  </r>
  <r>
    <x v="2"/>
    <s v="AZZ"/>
    <n v="2850"/>
    <n v="94.15"/>
    <n v="5.01"/>
    <n v="33.46"/>
    <n v="1.08"/>
    <n v="18.792415169660682"/>
    <n v="2.8138075313807533"/>
    <n v="12.62"/>
    <n v="6.68"/>
    <n v="2.2400000000000002"/>
    <n v="87.175925925925924"/>
    <s v="NO"/>
    <n v="-0.40458050951512542"/>
    <n v="-0.49827958456705301"/>
    <n v="-0.40251843949545091"/>
    <n v="-0.48638589101988489"/>
    <n v="0.64270120040800771"/>
    <n v="4.7861752768652419"/>
    <x v="0"/>
    <x v="0"/>
    <x v="1"/>
    <x v="1"/>
    <x v="0"/>
    <x v="1"/>
  </r>
  <r>
    <x v="2"/>
    <s v="CSWI"/>
    <n v="6992"/>
    <n v="336.3"/>
    <n v="11.62"/>
    <n v="61.36"/>
    <n v="7.36"/>
    <n v="28.941480206540451"/>
    <n v="5.4807692307692308"/>
    <n v="14.1"/>
    <n v="9.5299999999999994"/>
    <n v="1.32"/>
    <n v="45.692934782608695"/>
    <s v="NO"/>
    <n v="0.11944528289725517"/>
    <n v="0.57828316758310816"/>
    <n v="-0.32032486438610086"/>
    <n v="0.33143109388080627"/>
    <n v="-1.141348683483183"/>
    <n v="1.4870822454389767"/>
    <x v="0"/>
    <x v="0"/>
    <x v="1"/>
    <x v="1"/>
    <x v="0"/>
    <x v="0"/>
  </r>
  <r>
    <x v="2"/>
    <s v="FBIN"/>
    <n v="9798"/>
    <n v="56.44"/>
    <n v="3.21"/>
    <n v="19.29"/>
    <n v="3.55"/>
    <n v="17.582554517133957"/>
    <n v="2.9258683255572837"/>
    <n v="19.420000000000002"/>
    <n v="7.26"/>
    <n v="2.75"/>
    <n v="15.898591549295775"/>
    <s v="NO"/>
    <n v="-0.46704913936871767"/>
    <n v="-0.45304441039320548"/>
    <n v="-2.4872283587626425E-2"/>
    <n v="-0.31995296075939333"/>
    <n v="1.6316853751737759"/>
    <n v="-0.88242649604385237"/>
    <x v="0"/>
    <x v="0"/>
    <x v="1"/>
    <x v="1"/>
    <x v="0"/>
    <x v="0"/>
  </r>
  <r>
    <x v="2"/>
    <s v="GFF"/>
    <n v="3892"/>
    <n v="73.52"/>
    <n v="6.49"/>
    <n v="4.66"/>
    <n v="4.2300000000000004"/>
    <n v="11.32819722650231"/>
    <n v="15.776824034334762"/>
    <n v="77.72"/>
    <n v="11.49"/>
    <n v="10.54"/>
    <n v="17.380614657210398"/>
    <s v="NO"/>
    <n v="-0.78997982543130463"/>
    <n v="4.7344542510137355"/>
    <n v="3.2128881413279848"/>
    <n v="0.89385961683005388"/>
    <n v="16.737933848556789"/>
    <n v="-0.76456295792911155"/>
    <x v="0"/>
    <x v="1"/>
    <x v="1"/>
    <x v="0"/>
    <x v="1"/>
    <x v="0"/>
  </r>
  <r>
    <x v="2"/>
    <s v="HAYW"/>
    <n v="3458"/>
    <n v="14.76"/>
    <n v="1.01"/>
    <n v="6.37"/>
    <n v="0.43"/>
    <n v="14.613861386138614"/>
    <n v="2.3171114599686029"/>
    <n v="7.16"/>
    <n v="4.2699999999999996"/>
    <n v="2.1"/>
    <n v="34.325581395348834"/>
    <s v="NO"/>
    <n v="-0.62033141362215982"/>
    <n v="-0.69877908545761613"/>
    <n v="-0.70574608820967455"/>
    <n v="-1.1779434115850309"/>
    <n v="0.37121534851152199"/>
    <n v="0.58305012740521733"/>
    <x v="0"/>
    <x v="0"/>
    <x v="1"/>
    <x v="1"/>
    <x v="0"/>
    <x v="0"/>
  </r>
  <r>
    <x v="2"/>
    <s v="MBC"/>
    <n v="2107"/>
    <n v="11.16"/>
    <n v="1.38"/>
    <n v="10.130000000000001"/>
    <n v="1.1399999999999999"/>
    <n v="8.0869565217391308"/>
    <n v="1.1016781836130305"/>
    <n v="12.11"/>
    <n v="6.53"/>
    <n v="2.2999999999999998"/>
    <n v="9.7894736842105274"/>
    <s v="NO"/>
    <n v="-0.95733452485837367"/>
    <n v="-1.1894086259374339"/>
    <n v="-0.43084190118853771"/>
    <n v="-0.52942889022518425"/>
    <n v="0.75905227979221501"/>
    <n v="-1.3682773862854369"/>
    <x v="0"/>
    <x v="0"/>
    <x v="1"/>
    <x v="1"/>
    <x v="0"/>
    <x v="0"/>
  </r>
  <r>
    <x v="2"/>
    <s v="REZI"/>
    <n v="4006"/>
    <n v="21.51"/>
    <n v="2.84"/>
    <n v="19.55"/>
    <n v="1.0900000000000001"/>
    <n v="7.5739436619718319"/>
    <n v="1.1002557544757035"/>
    <n v="5.83"/>
    <n v="4.96"/>
    <n v="2.83"/>
    <n v="19.73394495412844"/>
    <s v="NO"/>
    <n v="-0.98382287323139284"/>
    <n v="-1.1899828127460297"/>
    <n v="-0.77960923340929311"/>
    <n v="-0.97994561524065293"/>
    <n v="1.7868201476860535"/>
    <n v="-0.57740539360633369"/>
    <x v="0"/>
    <x v="0"/>
    <x v="1"/>
    <x v="1"/>
    <x v="0"/>
    <x v="0"/>
  </r>
  <r>
    <x v="2"/>
    <s v="ROCK"/>
    <n v="2143"/>
    <n v="63.09"/>
    <n v="4.7699999999999996"/>
    <n v="33.049999999999997"/>
    <n v="3.59"/>
    <n v="13.226415094339625"/>
    <n v="1.9089258698941001"/>
    <n v="11.69"/>
    <n v="7.49"/>
    <n v="1.42"/>
    <n v="17.573816155988858"/>
    <s v="YES"/>
    <n v="-0.69196930734415241"/>
    <n v="-0.86354988150594536"/>
    <n v="-0.45416710493578566"/>
    <n v="-0.25395369531126721"/>
    <n v="-0.94743021784283643"/>
    <n v="-0.74919787212613631"/>
    <x v="0"/>
    <x v="0"/>
    <x v="1"/>
    <x v="1"/>
    <x v="0"/>
    <x v="0"/>
  </r>
  <r>
    <x v="2"/>
    <s v="SSD"/>
    <n v="7802"/>
    <n v="165.8"/>
    <n v="2.25"/>
    <n v="44.04"/>
    <n v="7.55"/>
    <n v="73.688888888888897"/>
    <n v="3.7647593097184382"/>
    <n v="18.239999999999998"/>
    <n v="9.4"/>
    <n v="1.56"/>
    <n v="21.960264900662253"/>
    <s v="NO"/>
    <n v="2.4298843438314224"/>
    <n v="-0.11441233072383079"/>
    <n v="-9.040499887751377E-2"/>
    <n v="0.29412716123621363"/>
    <n v="-0.67594436594635077"/>
    <n v="-0.40034881164579622"/>
    <x v="0"/>
    <x v="0"/>
    <x v="1"/>
    <x v="1"/>
    <x v="0"/>
    <x v="0"/>
  </r>
  <r>
    <x v="2"/>
    <s v="TGLS"/>
    <n v="3912"/>
    <n v="87.5"/>
    <n v="1.79"/>
    <n v="13.05"/>
    <n v="3.2"/>
    <n v="48.882681564245807"/>
    <n v="6.7049808429118771"/>
    <n v="26.62"/>
    <n v="13.92"/>
    <n v="1.62"/>
    <n v="27.34375"/>
    <s v="NO"/>
    <n v="1.1490675983671192"/>
    <n v="1.0724562270179965"/>
    <n v="0.37498835207948167"/>
    <n v="1.5911562039559064"/>
    <n v="-0.55959328656214258"/>
    <n v="2.7793366304972724E-2"/>
    <x v="0"/>
    <x v="0"/>
    <x v="1"/>
    <x v="1"/>
    <x v="0"/>
    <x v="0"/>
  </r>
  <r>
    <x v="2"/>
    <s v="TREX"/>
    <n v="8318"/>
    <n v="61.67"/>
    <n v="0.45"/>
    <n v="8.23"/>
    <n v="2.19"/>
    <n v="137.04444444444445"/>
    <n v="7.493317132442284"/>
    <n v="30.21"/>
    <n v="17.579999999999998"/>
    <n v="1.43"/>
    <n v="28.159817351598175"/>
    <s v="NO"/>
    <n v="5.7011162339695112"/>
    <n v="1.3906810765429458"/>
    <n v="0.57436330791905366"/>
    <n v="2.6414053845652146"/>
    <n v="-0.92803837127880173"/>
    <n v="9.2694233832355546E-2"/>
    <x v="1"/>
    <x v="0"/>
    <x v="0"/>
    <x v="1"/>
    <x v="0"/>
    <x v="0"/>
  </r>
  <r>
    <x v="2"/>
    <s v="UFPI"/>
    <n v="8079"/>
    <n v="103.59"/>
    <n v="9"/>
    <n v="52.28"/>
    <n v="7.26"/>
    <n v="11.51"/>
    <n v="1.9814460596786534"/>
    <n v="14.72"/>
    <n v="8.16"/>
    <n v="1.33"/>
    <n v="14.268595041322316"/>
    <s v="YES"/>
    <n v="-0.78059281863819563"/>
    <n v="-0.83427591963434733"/>
    <n v="-0.28589242075921095"/>
    <n v="-6.1694965527595971E-2"/>
    <n v="-1.1219568369191484"/>
    <n v="-1.0120581829712954"/>
    <x v="0"/>
    <x v="0"/>
    <x v="1"/>
    <x v="1"/>
    <x v="0"/>
    <x v="0"/>
  </r>
  <r>
    <x v="2"/>
    <s v="ZWS"/>
    <n v="6858"/>
    <n v="37.46"/>
    <n v="1.57"/>
    <n v="9.34"/>
    <n v="0.78"/>
    <n v="23.859872611464969"/>
    <n v="4.0107066381156322"/>
    <n v="8.52"/>
    <n v="5.67"/>
    <n v="1.7"/>
    <n v="48.025641025641022"/>
    <s v="NO"/>
    <n v="-0.14293292012556058"/>
    <n v="-1.5131665086984551E-2"/>
    <n v="-0.6302168570281097"/>
    <n v="-0.77620875233556841"/>
    <n v="-0.40445851404986538"/>
    <n v="1.6725996032438819"/>
    <x v="0"/>
    <x v="0"/>
    <x v="1"/>
    <x v="1"/>
    <x v="0"/>
    <x v="0"/>
  </r>
  <r>
    <x v="3"/>
    <s v="BRC"/>
    <n v="3539"/>
    <n v="75.010000000000005"/>
    <n v="3.64"/>
    <n v="22.42"/>
    <n v="4.05"/>
    <n v="20.607142857142858"/>
    <n v="3.3456735057983944"/>
    <n v="18.7"/>
    <n v="10.07"/>
    <n v="1.42"/>
    <n v="18.52098765432099"/>
    <s v="NO"/>
    <n v="0.84222727712136858"/>
    <n v="0.20119271531693031"/>
    <n v="1.6219022599469266"/>
    <n v="1.7943943137231462"/>
    <n v="-1.3402519245465701"/>
    <n v="-0.51245472085489474"/>
    <x v="0"/>
    <x v="0"/>
    <x v="0"/>
    <x v="1"/>
    <x v="0"/>
    <x v="0"/>
  </r>
  <r>
    <x v="3"/>
    <s v="ABM"/>
    <n v="3607"/>
    <n v="51.95"/>
    <n v="4.28"/>
    <n v="29.23"/>
    <n v="2.4300000000000002"/>
    <n v="12.13785046728972"/>
    <n v="1.7772836127266507"/>
    <n v="8.44"/>
    <n v="3.27"/>
    <n v="2.75"/>
    <n v="21.378600823045268"/>
    <s v="NO"/>
    <n v="-0.50766578271553764"/>
    <n v="-0.79942628539347349"/>
    <n v="0.19418297863025755"/>
    <n v="-0.72225581055300991"/>
    <n v="0.72446049975490301"/>
    <n v="-0.44023635379953036"/>
    <x v="0"/>
    <x v="0"/>
    <x v="1"/>
    <x v="1"/>
    <x v="0"/>
    <x v="0"/>
  </r>
  <r>
    <x v="3"/>
    <s v="CWST"/>
    <n v="7041"/>
    <n v="112.23"/>
    <n v="0.96"/>
    <n v="24.19"/>
    <n v="0.12"/>
    <n v="116.90625000000001"/>
    <n v="4.6395204630012401"/>
    <n v="0.53"/>
    <n v="2.2000000000000002"/>
    <n v="2.04"/>
    <n v="935.25000000000011"/>
    <s v="NO"/>
    <n v="16.191029800030567"/>
    <n v="1.0266557300350991"/>
    <n v="-0.90652457645890905"/>
    <n v="-1.1182581095199933"/>
    <n v="-0.37775440344362765"/>
    <n v="22.655366952306562"/>
    <x v="1"/>
    <x v="0"/>
    <x v="1"/>
    <x v="1"/>
    <x v="0"/>
    <x v="1"/>
  </r>
  <r>
    <x v="3"/>
    <s v="HNI"/>
    <n v="2680"/>
    <n v="48.76"/>
    <n v="4.6900000000000004"/>
    <n v="17.71"/>
    <n v="2.56"/>
    <n v="10.396588486140724"/>
    <n v="2.7532467532467528"/>
    <n v="15.6"/>
    <n v="7.08"/>
    <n v="2.2599999999999998"/>
    <n v="19.046875"/>
    <s v="YES"/>
    <n v="-0.78519988539063157"/>
    <n v="-0.17677035862977025"/>
    <n v="1.190525089178732"/>
    <n v="0.68780845025465986"/>
    <n v="-3.6223024987745288E-2"/>
    <n v="-0.49916435469348291"/>
    <x v="0"/>
    <x v="0"/>
    <x v="1"/>
    <x v="1"/>
    <x v="0"/>
    <x v="0"/>
  </r>
  <r>
    <x v="3"/>
    <s v="MSA"/>
    <n v="6921"/>
    <n v="161"/>
    <n v="7.51"/>
    <n v="27.77"/>
    <n v="6.89"/>
    <n v="21.438082556591212"/>
    <n v="5.7976233345336698"/>
    <n v="27.84"/>
    <n v="11.69"/>
    <n v="2.0499999999999998"/>
    <n v="23.367198838896954"/>
    <s v="NO"/>
    <n v="0.97466806223018787"/>
    <n v="1.7655152082500742"/>
    <n v="2.8937691440828286"/>
    <n v="2.3939491962712891"/>
    <n v="-0.3622302498774515"/>
    <n v="-0.3899799709531217"/>
    <x v="0"/>
    <x v="0"/>
    <x v="0"/>
    <x v="1"/>
    <x v="0"/>
    <x v="0"/>
  </r>
  <r>
    <x v="3"/>
    <s v="ACVA"/>
    <n v="3745"/>
    <n v="16.920000000000002"/>
    <n v="0.05"/>
    <n v="2.73"/>
    <n v="-0.47"/>
    <n v="338.40000000000003"/>
    <n v="6.1978021978021989"/>
    <n v="-16.64"/>
    <n v="-4.9800000000000004"/>
    <n v="2.27"/>
    <n v="-36.000000000000007"/>
    <s v="NO"/>
    <n v="51.494200615158782"/>
    <n v="2.0208258143933797"/>
    <n v="-3.2957974868104882"/>
    <n v="-3.7755445642704051"/>
    <n v="-2.0698871421568441E-2"/>
    <n v="-1.890323755661492"/>
    <x v="1"/>
    <x v="0"/>
    <x v="0"/>
    <x v="0"/>
    <x v="0"/>
    <x v="0"/>
  </r>
  <r>
    <x v="3"/>
    <s v="DRVN"/>
    <n v="2729"/>
    <n v="17.850000000000001"/>
    <n v="-0.64"/>
    <n v="5.87"/>
    <n v="0.03"/>
    <n v="-27.890625"/>
    <n v="3.040885860306644"/>
    <n v="0.69"/>
    <n v="3.25"/>
    <n v="5.98"/>
    <n v="595.00000000000011"/>
    <s v="NO"/>
    <n v="-6.8876747305567214"/>
    <n v="6.7408697598756962E-3"/>
    <n v="-0.88425994829022803"/>
    <n v="-0.72965772268323392"/>
    <n v="5.7387621016299093"/>
    <n v="14.056477620634872"/>
    <x v="1"/>
    <x v="0"/>
    <x v="1"/>
    <x v="1"/>
    <x v="1"/>
    <x v="1"/>
  </r>
  <r>
    <x v="3"/>
    <s v="KAR"/>
    <n v="2158"/>
    <n v="22.33"/>
    <n v="1.68"/>
    <n v="12.42"/>
    <n v="0.18"/>
    <n v="13.291666666666666"/>
    <n v="1.7979066022544281"/>
    <n v="3.69"/>
    <n v="3.42"/>
    <n v="3.49"/>
    <n v="124.05555555555556"/>
    <s v="NO"/>
    <n v="-0.32376275892427325"/>
    <n v="-0.78626899888958646"/>
    <n v="-0.46679817012745944"/>
    <n v="-0.66674146957633007"/>
    <n v="1.8732478636519634"/>
    <n v="2.1546432072817918"/>
    <x v="0"/>
    <x v="0"/>
    <x v="1"/>
    <x v="1"/>
    <x v="0"/>
    <x v="0"/>
  </r>
  <r>
    <x v="3"/>
    <s v="UNF"/>
    <n v="3649"/>
    <n v="186.05"/>
    <n v="7.23"/>
    <n v="113.42"/>
    <n v="7.77"/>
    <n v="25.733056708160444"/>
    <n v="1.6403632516311057"/>
    <n v="7.07"/>
    <n v="4.6100000000000003"/>
    <n v="1.28"/>
    <n v="23.944658944658947"/>
    <s v="NO"/>
    <n v="1.6592300695979305"/>
    <n v="-0.88678027530474668"/>
    <n v="3.5420999359266373E-3"/>
    <n v="-0.22632769782800258"/>
    <n v="-1.5575900744730409"/>
    <n v="-0.37538624415546468"/>
    <x v="0"/>
    <x v="0"/>
    <x v="1"/>
    <x v="1"/>
    <x v="0"/>
    <x v="0"/>
  </r>
  <r>
    <x v="3"/>
    <s v="VSEC"/>
    <n v="2421"/>
    <n v="132.54"/>
    <n v="-4.99"/>
    <n v="42.75"/>
    <n v="2.0099999999999998"/>
    <n v="-26.561122244488974"/>
    <n v="3.1003508771929824"/>
    <n v="4.84"/>
    <n v="4.2"/>
    <n v="1.86"/>
    <n v="65.940298507462686"/>
    <s v="NO"/>
    <n v="-6.6757695960913495"/>
    <n v="4.467902916582478E-2"/>
    <n v="-0.30677115516506481"/>
    <n v="-0.3780668964975944"/>
    <n v="-0.65718916763480439"/>
    <n v="0.68593883156333813"/>
    <x v="1"/>
    <x v="0"/>
    <x v="1"/>
    <x v="1"/>
    <x v="0"/>
    <x v="0"/>
  </r>
  <r>
    <x v="3"/>
    <s v="VSTS"/>
    <n v="2148"/>
    <n v="6.42"/>
    <n v="2.99"/>
    <n v="6.87"/>
    <n v="0.16"/>
    <n v="2.1471571906354514"/>
    <n v="0.93449781659388642"/>
    <n v="2.36"/>
    <n v="3.35"/>
    <n v="3.25"/>
    <n v="40.125"/>
    <s v="NO"/>
    <n v="-2.100049998104363"/>
    <n v="-1.3371162340883374"/>
    <n v="-0.65187289177962016"/>
    <n v="-0.69264816203211388"/>
    <n v="1.5006681780637274"/>
    <n v="3.3527678206274183E-2"/>
    <x v="0"/>
    <x v="0"/>
    <x v="1"/>
    <x v="1"/>
    <x v="0"/>
    <x v="0"/>
  </r>
  <r>
    <x v="3"/>
    <s v="BCO"/>
    <n v="4130"/>
    <n v="89.87"/>
    <n v="5.29"/>
    <n v="6.34"/>
    <n v="2.62"/>
    <n v="16.988657844990549"/>
    <n v="14.175078864353313"/>
    <n v="25.86"/>
    <n v="4.93"/>
    <n v="24.07"/>
    <n v="34.301526717557252"/>
    <s v="NO"/>
    <n v="0.26548868076822435"/>
    <n v="7.1102583858067065"/>
    <n v="2.6182443704954013"/>
    <n v="-0.10789710374441898"/>
    <n v="33.821955902843179"/>
    <n v="-0.11364470175455482"/>
    <x v="0"/>
    <x v="1"/>
    <x v="1"/>
    <x v="1"/>
    <x v="1"/>
    <x v="0"/>
  </r>
  <r>
    <x v="3"/>
    <s v="CXW"/>
    <n v="2373"/>
    <n v="21.72"/>
    <n v="1.59"/>
    <n v="13.39"/>
    <n v="0.67"/>
    <n v="13.660377358490564"/>
    <n v="1.6221060492905151"/>
    <n v="5.18"/>
    <n v="4.26"/>
    <n v="1.97"/>
    <n v="32.417910447761187"/>
    <s v="NO"/>
    <n v="-0.26499515697242065"/>
    <n v="-0.89842821032556597"/>
    <n v="-0.25945882030661771"/>
    <n v="-0.35586116010692254"/>
    <n v="-0.48642347840686317"/>
    <n v="-0.16124795773490047"/>
    <x v="0"/>
    <x v="0"/>
    <x v="1"/>
    <x v="1"/>
    <x v="0"/>
    <x v="0"/>
  </r>
  <r>
    <x v="3"/>
    <s v="GEO"/>
    <n v="3974"/>
    <n v="26.59"/>
    <n v="1.58"/>
    <n v="9.68"/>
    <n v="0.27"/>
    <n v="16.829113924050631"/>
    <n v="2.7469008264462809"/>
    <n v="3.23"/>
    <n v="5.55"/>
    <n v="2.76"/>
    <n v="98.481481481481481"/>
    <s v="NO"/>
    <n v="0.24005949238951291"/>
    <n v="-0.18081900428970449"/>
    <n v="-0.53080897611241729"/>
    <n v="0.1215621722925247"/>
    <n v="0.7399846533210791"/>
    <n v="1.5083283425560396"/>
    <x v="0"/>
    <x v="0"/>
    <x v="1"/>
    <x v="1"/>
    <x v="0"/>
    <x v="0"/>
  </r>
  <r>
    <x v="4"/>
    <s v="ACA"/>
    <n v="5285"/>
    <n v="90.5"/>
    <n v="2.4900000000000002"/>
    <n v="49.88"/>
    <n v="2.63"/>
    <n v="36.345381526104411"/>
    <n v="1.8143544506816358"/>
    <n v="5.41"/>
    <n v="3.37"/>
    <n v="1.79"/>
    <n v="34.410646387832699"/>
    <s v="NO"/>
    <n v="0.93042596209266581"/>
    <n v="-1.2232093546813156"/>
    <n v="-0.7825574243398904"/>
    <n v="-0.49290524500960348"/>
    <n v="-1.6551425261117927"/>
    <n v="-9.0041662622554114E-2"/>
    <x v="0"/>
    <x v="0"/>
    <x v="1"/>
    <x v="1"/>
    <x v="0"/>
    <x v="0"/>
  </r>
  <r>
    <x v="4"/>
    <s v="CDLR"/>
    <n v="2118"/>
    <n v="20.440000000000001"/>
    <n v="-1.92"/>
    <n v="3.49"/>
    <n v="0.03"/>
    <n v="-10.645833333333334"/>
    <n v="5.8567335243553007"/>
    <n v="-2.09"/>
    <n v="-0.61"/>
    <n v="1.61"/>
    <n v="681.33333333333337"/>
    <s v="NO"/>
    <n v="-1.7655162829689235"/>
    <n v="0.39371923843611067"/>
    <n v="-1.5708203709600792"/>
    <n v="-1.7733099187594925"/>
    <n v="-2.0445878263733905"/>
    <n v="33.434878282717079"/>
    <x v="0"/>
    <x v="0"/>
    <x v="1"/>
    <x v="1"/>
    <x v="0"/>
    <x v="1"/>
  </r>
  <r>
    <x v="4"/>
    <s v="DY"/>
    <n v="5620"/>
    <n v="193.99"/>
    <n v="3.66"/>
    <n v="42.28"/>
    <n v="7.59"/>
    <n v="53.002732240437162"/>
    <n v="4.588221381267739"/>
    <n v="19.600000000000001"/>
    <n v="7.22"/>
    <n v="2.52"/>
    <n v="25.558629776021082"/>
    <s v="NO"/>
    <n v="1.886078111455161"/>
    <n v="-0.1136783899141998"/>
    <n v="0.70883607066550691"/>
    <n v="0.74567716552734919"/>
    <n v="-7.5725475050866631E-2"/>
    <n v="-0.54877213266835356"/>
    <x v="0"/>
    <x v="0"/>
    <x v="1"/>
    <x v="1"/>
    <x v="0"/>
    <x v="0"/>
  </r>
  <r>
    <x v="4"/>
    <s v="ECG"/>
    <n v="3498"/>
    <n v="51.42"/>
    <m/>
    <m/>
    <m/>
    <s v=""/>
    <s v=""/>
    <n v="33.020000000000003"/>
    <n v="10.6"/>
    <n v="2.82"/>
    <s v=""/>
    <s v="NO"/>
    <e v="#VALUE!"/>
    <e v="#VALUE!"/>
    <n v="2.1193012364845649"/>
    <n v="1.8330560090636869"/>
    <n v="0.57335002538513002"/>
    <e v="#VALUE!"/>
    <x v="1"/>
    <x v="1"/>
    <x v="1"/>
    <x v="1"/>
    <x v="0"/>
    <x v="1"/>
  </r>
  <r>
    <x v="4"/>
    <s v="FLR"/>
    <n v="9569"/>
    <n v="38.770000000000003"/>
    <n v="3.72"/>
    <n v="13.14"/>
    <n v="1.5"/>
    <n v="10.422043010752688"/>
    <n v="2.9505327245053272"/>
    <n v="8.2100000000000009"/>
    <n v="2.04"/>
    <n v="3.15"/>
    <n v="25.846666666666668"/>
    <s v="NO"/>
    <n v="-0.55682699881971998"/>
    <n v="-0.76874451990401316"/>
    <n v="-0.48827259093501979"/>
    <n v="-0.92077916864964171"/>
    <n v="1.2873330758647268"/>
    <n v="-0.5338454437531891"/>
    <x v="0"/>
    <x v="0"/>
    <x v="1"/>
    <x v="1"/>
    <x v="0"/>
    <x v="0"/>
  </r>
  <r>
    <x v="4"/>
    <s v="GVA"/>
    <n v="4296"/>
    <n v="85.62"/>
    <n v="6.68"/>
    <n v="23.04"/>
    <n v="2.1800000000000002"/>
    <n v="12.81736526946108"/>
    <n v="3.7161458333333335"/>
    <n v="11.09"/>
    <n v="2.67"/>
    <n v="3.11"/>
    <n v="39.275229357798167"/>
    <s v="NO"/>
    <n v="-0.41940449363221388"/>
    <n v="-0.46250363938102429"/>
    <n v="-0.18557961943286744"/>
    <n v="-0.71810204692541313"/>
    <n v="1.2007896758065939"/>
    <n v="0.16205145132522392"/>
    <x v="0"/>
    <x v="0"/>
    <x v="1"/>
    <x v="1"/>
    <x v="0"/>
    <x v="0"/>
  </r>
  <r>
    <x v="4"/>
    <s v="IESC"/>
    <n v="5356"/>
    <n v="272.97000000000003"/>
    <n v="9.39"/>
    <n v="30.6"/>
    <n v="9.89"/>
    <n v="29.070287539936103"/>
    <n v="8.9205882352941188"/>
    <n v="40.36"/>
    <n v="16.84"/>
    <n v="2.04"/>
    <n v="27.600606673407484"/>
    <s v="NO"/>
    <n v="0.51304511180452905"/>
    <n v="1.6192436627876192"/>
    <n v="2.8907479069101893"/>
    <n v="3.8405246432846183"/>
    <n v="-1.1142462757484617"/>
    <n v="-0.44295251403921243"/>
    <x v="0"/>
    <x v="0"/>
    <x v="0"/>
    <x v="0"/>
    <x v="0"/>
    <x v="0"/>
  </r>
  <r>
    <x v="4"/>
    <s v="MYRG"/>
    <n v="2681"/>
    <n v="164.3"/>
    <n v="1.45"/>
    <n v="36.5"/>
    <n v="2.29"/>
    <n v="113.31034482758622"/>
    <n v="4.5013698630136991"/>
    <n v="6.32"/>
    <n v="2.2000000000000002"/>
    <n v="2.71"/>
    <n v="71.746724890829697"/>
    <s v="NO"/>
    <n v="5.3459980339095452"/>
    <n v="-0.14841850227407152"/>
    <n v="-0.6869148534833075"/>
    <n v="-0.86930561392602801"/>
    <n v="0.33535567522526472"/>
    <n v="1.8447939338779249"/>
    <x v="1"/>
    <x v="0"/>
    <x v="1"/>
    <x v="1"/>
    <x v="0"/>
    <x v="0"/>
  </r>
  <r>
    <x v="4"/>
    <s v="PRIM"/>
    <n v="4439"/>
    <n v="76.53"/>
    <n v="5.54"/>
    <n v="25.28"/>
    <n v="3.03"/>
    <n v="13.814079422382672"/>
    <n v="3.0272943037974684"/>
    <n v="12.88"/>
    <n v="4.78"/>
    <n v="3.12"/>
    <n v="25.257425742574259"/>
    <s v="NO"/>
    <n v="-0.36222180961032119"/>
    <n v="-0.73804032562924993"/>
    <n v="2.5524704938177266E-3"/>
    <n v="-3.9294544007758385E-2"/>
    <n v="1.2224255258211276"/>
    <n v="-0.56438117113969843"/>
    <x v="0"/>
    <x v="0"/>
    <x v="1"/>
    <x v="1"/>
    <x v="0"/>
    <x v="0"/>
  </r>
  <r>
    <x v="4"/>
    <s v="ROAD"/>
    <n v="5691"/>
    <n v="103.36"/>
    <n v="2.34"/>
    <n v="10.89"/>
    <n v="1.31"/>
    <n v="44.17094017094017"/>
    <n v="9.4912764003673082"/>
    <n v="12.64"/>
    <n v="5.38"/>
    <n v="2.69"/>
    <n v="78.900763358778619"/>
    <s v="NO"/>
    <n v="1.379387628755822"/>
    <n v="1.8475156766296963"/>
    <n v="-2.2671943798028338E-2"/>
    <n v="0.15373128620579257"/>
    <n v="0.29208397519619816"/>
    <n v="2.2155315378662555"/>
    <x v="0"/>
    <x v="0"/>
    <x v="1"/>
    <x v="1"/>
    <x v="0"/>
    <x v="0"/>
  </r>
  <r>
    <x v="4"/>
    <s v="STN"/>
    <n v="9870"/>
    <n v="94.63"/>
    <n v="3.02"/>
    <n v="17.72"/>
    <n v="2.27"/>
    <n v="31.334437086092713"/>
    <n v="5.3402934537246054"/>
    <n v="13.42"/>
    <n v="5.87"/>
    <n v="2.54"/>
    <n v="41.687224669603523"/>
    <s v="NO"/>
    <n v="0.64294208145894716"/>
    <n v="0.18714615322679254"/>
    <n v="5.9307402650471228E-2"/>
    <n v="0.31136904754685935"/>
    <n v="-3.2453775021800121E-2"/>
    <n v="0.28704621711185213"/>
    <x v="0"/>
    <x v="0"/>
    <x v="1"/>
    <x v="1"/>
    <x v="0"/>
    <x v="0"/>
  </r>
  <r>
    <x v="4"/>
    <s v="STRL"/>
    <n v="6012"/>
    <n v="187.48"/>
    <n v="12.63"/>
    <n v="23.34"/>
    <n v="5.89"/>
    <n v="14.844022169437844"/>
    <n v="8.0325621251071126"/>
    <n v="29.8"/>
    <n v="8.6300000000000008"/>
    <n v="2.82"/>
    <n v="31.830220713073004"/>
    <s v="NO"/>
    <n v="-0.30313276136829315"/>
    <n v="1.2640382793174068"/>
    <n v="1.7808736780689634"/>
    <n v="1.1992878665291946"/>
    <n v="0.57335002538513002"/>
    <n v="-0.22376485075137856"/>
    <x v="0"/>
    <x v="0"/>
    <x v="1"/>
    <x v="1"/>
    <x v="0"/>
    <x v="0"/>
  </r>
  <r>
    <x v="4"/>
    <s v="TISCY"/>
    <n v="7325"/>
    <n v="13.74"/>
    <n v="-2.89"/>
    <n v="33.25"/>
    <n v="1.42"/>
    <n v="-4.7543252595155705"/>
    <n v="0.4132330827067669"/>
    <n v="8.08"/>
    <n v="1.55"/>
    <n v="2.58"/>
    <n v="9.6760563380281699"/>
    <s v="NO"/>
    <n v="-1.4275134126273674"/>
    <n v="-1.7836499172848368"/>
    <n v="-0.50193581534310316"/>
    <n v="-1.0784169299907085"/>
    <n v="5.408962503633289E-2"/>
    <n v="-1.3718411234139924"/>
    <x v="0"/>
    <x v="0"/>
    <x v="1"/>
    <x v="1"/>
    <x v="0"/>
    <x v="0"/>
  </r>
  <r>
    <x v="4"/>
    <s v="VMI"/>
    <n v="6781"/>
    <n v="322.33999999999997"/>
    <n v="20.53"/>
    <n v="76.95"/>
    <n v="14.66"/>
    <n v="15.700925474914756"/>
    <n v="4.1889538661468482"/>
    <n v="19.47"/>
    <n v="9.01"/>
    <n v="2.27"/>
    <n v="21.987721691678033"/>
    <s v="YES"/>
    <n v="-0.25397119301815829"/>
    <n v="-0.27338312065218356"/>
    <n v="0.69517284625742337"/>
    <n v="1.3215375589977765"/>
    <n v="-0.61662172541419746"/>
    <n v="-0.73382424179287409"/>
    <x v="0"/>
    <x v="0"/>
    <x v="1"/>
    <x v="1"/>
    <x v="0"/>
    <x v="0"/>
  </r>
  <r>
    <x v="4"/>
    <s v="WSC"/>
    <n v="7235"/>
    <n v="30.3"/>
    <n v="1.95"/>
    <n v="5.64"/>
    <n v="0.13"/>
    <n v="15.538461538461538"/>
    <n v="5.3723404255319149"/>
    <n v="2.13"/>
    <n v="5.92"/>
    <n v="5.73"/>
    <n v="233.07692307692307"/>
    <s v="NO"/>
    <n v="-0.26329194352212754"/>
    <n v="0.19996475932327018"/>
    <n v="-1.1272910863284529"/>
    <n v="0.32745453339798858"/>
    <n v="6.8693823796143025"/>
    <n v="10.205270522651812"/>
    <x v="0"/>
    <x v="0"/>
    <x v="1"/>
    <x v="1"/>
    <x v="1"/>
    <x v="1"/>
  </r>
  <r>
    <x v="5"/>
    <s v="ATKR"/>
    <n v="3106"/>
    <n v="70.16"/>
    <n v="10.97"/>
    <n v="44.18"/>
    <n v="12.69"/>
    <n v="6.3956244302643563"/>
    <n v="1.5880488909008601"/>
    <n v="31.44"/>
    <n v="13.09"/>
    <n v="1.96"/>
    <n v="5.52876280535855"/>
    <s v="YES"/>
    <n v="-1.024779056574642E-2"/>
    <n v="-0.65908521923469421"/>
    <n v="0.86247299621425944"/>
    <n v="1.0147688428200488"/>
    <n v="-0.41569493487481618"/>
    <n v="0.24936644464697535"/>
    <x v="0"/>
    <x v="0"/>
    <x v="1"/>
    <x v="1"/>
    <x v="0"/>
    <x v="0"/>
  </r>
  <r>
    <x v="5"/>
    <s v="ENS"/>
    <n v="3771"/>
    <n v="100.4"/>
    <n v="4.92"/>
    <n v="46.17"/>
    <n v="7.05"/>
    <n v="20.40650406504065"/>
    <n v="2.1745722330517654"/>
    <n v="16.52"/>
    <n v="7.02"/>
    <n v="2.15"/>
    <n v="14.241134751773052"/>
    <s v="NO"/>
    <n v="1.1435783708785132"/>
    <n v="-0.51623285752998327"/>
    <n v="0.36530894631599603"/>
    <n v="0.32352803079920978"/>
    <n v="-0.21922220446134619"/>
    <n v="0.62408347881639592"/>
    <x v="0"/>
    <x v="0"/>
    <x v="1"/>
    <x v="1"/>
    <x v="0"/>
    <x v="0"/>
  </r>
  <r>
    <x v="5"/>
    <s v="FLNC"/>
    <n v="2193"/>
    <n v="5.78"/>
    <n v="0.48"/>
    <n v="3.65"/>
    <n v="0.13"/>
    <n v="12.041666666666668"/>
    <n v="1.5835616438356166"/>
    <n v="5.22"/>
    <n v="1.02"/>
    <n v="4.03"/>
    <n v="44.46153846153846"/>
    <s v="NO"/>
    <n v="0.45471596694242078"/>
    <n v="-0.66017812346331695"/>
    <n v="-1.1229509706147061E-2"/>
    <n v="-0.35974130562995565"/>
    <n v="1.7248237596298315"/>
    <n v="1.9238558162664952"/>
    <x v="0"/>
    <x v="0"/>
    <x v="1"/>
    <x v="1"/>
    <x v="0"/>
    <x v="0"/>
  </r>
  <r>
    <x v="5"/>
    <s v="NXT"/>
    <n v="5213"/>
    <n v="54.09"/>
    <n v="3.55"/>
    <n v="6.83"/>
    <n v="3.98"/>
    <n v="15.236619718309861"/>
    <n v="7.9194729136163984"/>
    <n v="60.61"/>
    <n v="18.649999999999999"/>
    <n v="2.62"/>
    <n v="13.590452261306533"/>
    <s v="NO"/>
    <n v="0.71782724272713694"/>
    <n v="0.8829827763577992"/>
    <n v="1.834475364547526"/>
    <n v="1.6479317612444087"/>
    <n v="0.26678928656144835"/>
    <n v="0.59609778048840745"/>
    <x v="0"/>
    <x v="0"/>
    <x v="1"/>
    <x v="1"/>
    <x v="0"/>
    <x v="0"/>
  </r>
  <r>
    <x v="5"/>
    <s v="PLUG"/>
    <n v="2169"/>
    <n v="0.81169999999999998"/>
    <n v="-1.86"/>
    <n v="3.44"/>
    <n v="-1.99"/>
    <n v="-0.43639784946236554"/>
    <n v="0.2359593023255814"/>
    <n v="-43.18"/>
    <n v="-13.18"/>
    <n v="1.56"/>
    <n v="-0.40788944723618087"/>
    <s v="NO"/>
    <n v="-0.57287956297441778"/>
    <n v="-0.98839724670833351"/>
    <n v="-1.6240136930222291"/>
    <n v="-1.9768120685123141"/>
    <n v="-0.82932173574527934"/>
    <n v="-5.9675492033453613E-3"/>
    <x v="0"/>
    <x v="0"/>
    <x v="1"/>
    <x v="1"/>
    <x v="0"/>
    <x v="0"/>
  </r>
  <r>
    <x v="5"/>
    <s v="POWL"/>
    <n v="3370"/>
    <n v="194.88"/>
    <n v="8.0500000000000007"/>
    <n v="40.29"/>
    <n v="12.29"/>
    <n v="24.208695652173912"/>
    <n v="4.8369322412509304"/>
    <n v="36.19"/>
    <n v="13.3"/>
    <n v="1.92"/>
    <n v="15.85679414157852"/>
    <s v="NO"/>
    <n v="1.4566970499633383"/>
    <n v="0.13220581071584386"/>
    <n v="1.0207524356925939"/>
    <n v="1.0386832695950698"/>
    <n v="-0.45705761496186254"/>
    <n v="0.6935726028459358"/>
    <x v="0"/>
    <x v="0"/>
    <x v="1"/>
    <x v="1"/>
    <x v="0"/>
    <x v="0"/>
  </r>
  <r>
    <x v="5"/>
    <s v="RUN"/>
    <n v="2374"/>
    <n v="11.9"/>
    <n v="-14.42"/>
    <n v="23.55"/>
    <n v="-1.73"/>
    <n v="-0.82524271844660202"/>
    <n v="0.50530785562632696"/>
    <n v="-21.13"/>
    <n v="-1.89"/>
    <n v="4.1900000000000004"/>
    <n v="-6.8786127167630058"/>
    <s v="NO"/>
    <n v="-0.60490177673063072"/>
    <n v="-0.92279529330669208"/>
    <n v="-0.88926387397017104"/>
    <n v="-0.69112693379810086"/>
    <n v="1.8902744799780171"/>
    <n v="-0.28427180978831812"/>
    <x v="0"/>
    <x v="0"/>
    <x v="1"/>
    <x v="1"/>
    <x v="0"/>
    <x v="0"/>
  </r>
  <r>
    <x v="5"/>
    <s v="ST"/>
    <n v="4580"/>
    <n v="28.23"/>
    <n v="2.17"/>
    <n v="19.71"/>
    <n v="-0.87"/>
    <n v="13.009216589861751"/>
    <n v="1.4322678843226788"/>
    <n v="-4.2300000000000004"/>
    <n v="3.94"/>
    <n v="2.4700000000000002"/>
    <n v="-32.448275862068968"/>
    <s v="NO"/>
    <n v="0.53439579026449846"/>
    <n v="-0.69702690560785951"/>
    <n v="-0.32612228929988624"/>
    <n v="-2.7216895234428461E-2"/>
    <n v="0.11167923623502472"/>
    <n v="-1.3840169076159334"/>
    <x v="0"/>
    <x v="0"/>
    <x v="1"/>
    <x v="1"/>
    <x v="0"/>
    <x v="0"/>
  </r>
  <r>
    <x v="5"/>
    <s v="VICR"/>
    <n v="2565"/>
    <n v="44.57"/>
    <n v="0.74"/>
    <n v="12.29"/>
    <n v="0.1"/>
    <n v="60.229729729729733"/>
    <n v="3.6265256305939793"/>
    <n v="0.84"/>
    <n v="1.73"/>
    <n v="1.1399999999999999"/>
    <n v="445.7"/>
    <s v="NO"/>
    <n v="4.4231069088988448"/>
    <n v="-0.16259821587454656"/>
    <n v="-0.15717981389880076"/>
    <n v="-0.27888776748583771"/>
    <n v="-1.263629876659266"/>
    <n v="19.181026105497427"/>
    <x v="1"/>
    <x v="0"/>
    <x v="1"/>
    <x v="1"/>
    <x v="0"/>
    <x v="1"/>
  </r>
  <r>
    <x v="5"/>
    <s v="BE"/>
    <n v="6190"/>
    <n v="19.16"/>
    <n v="-1.48"/>
    <n v="1.89"/>
    <n v="-0.56999999999999995"/>
    <n v="-12.945945945945946"/>
    <n v="10.137566137566138"/>
    <n v="-26.71"/>
    <n v="-1.89"/>
    <n v="6.04"/>
    <n v="-33.614035087719301"/>
    <s v="NO"/>
    <n v="-1.6030678336481492"/>
    <n v="1.423216783687234"/>
    <n v="-1.0752005628731407"/>
    <n v="-0.69112693379810086"/>
    <n v="3.8032984340039091"/>
    <n v="-1.4341559331623699"/>
    <x v="0"/>
    <x v="0"/>
    <x v="1"/>
    <x v="1"/>
    <x v="1"/>
    <x v="0"/>
  </r>
  <r>
    <x v="5"/>
    <s v="SMR"/>
    <n v="2598"/>
    <n v="21.64"/>
    <n v="-1.82"/>
    <n v="1.64"/>
    <n v="-0.94"/>
    <n v="-11.890109890109891"/>
    <n v="13.195121951219514"/>
    <n v="-166.45"/>
    <n v="-44.04"/>
    <n v="1.58"/>
    <n v="-23.021276595744684"/>
    <s v="NO"/>
    <n v="-1.5161174568569626"/>
    <n v="2.1679084909645487"/>
    <n v="-5.731615062389448"/>
    <n v="-5.4910940222129883"/>
    <n v="-0.80864039570175617"/>
    <n v="-0.97856392329424235"/>
    <x v="0"/>
    <x v="0"/>
    <x v="0"/>
    <x v="0"/>
    <x v="0"/>
    <x v="0"/>
  </r>
  <r>
    <x v="6"/>
    <s v="ARCB"/>
    <n v="2510"/>
    <n v="69.97"/>
    <n v="3.44"/>
    <n v="55.71"/>
    <n v="8.0399999999999991"/>
    <n v="20.340116279069768"/>
    <n v="1.255968407826243"/>
    <n v="15.28"/>
    <n v="4.93"/>
    <n v="1.85"/>
    <n v="8.7027363184079611"/>
    <s v="NO"/>
    <n v="-0.33701362960644288"/>
    <n v="-0.54473500256292995"/>
    <n v="0.51842364692339316"/>
    <n v="0.7659976020973901"/>
    <n v="-4.1065078117658922E-2"/>
    <n v="-0.60115061206154763"/>
    <x v="0"/>
    <x v="0"/>
    <x v="1"/>
    <x v="1"/>
    <x v="0"/>
    <x v="0"/>
  </r>
  <r>
    <x v="6"/>
    <s v="KNX"/>
    <n v="8985"/>
    <n v="46.05"/>
    <n v="0.01"/>
    <n v="43.61"/>
    <n v="0.23"/>
    <n v="4605"/>
    <n v="1.0559504700756706"/>
    <n v="0.51"/>
    <n v="0.77"/>
    <n v="1.82"/>
    <n v="200.21739130434781"/>
    <s v="NO"/>
    <n v="230.67775946518421"/>
    <n v="-1.0715781966335418"/>
    <n v="0.37613441294400091"/>
    <n v="-0.57218613531999274"/>
    <n v="-0.1888993593412317"/>
    <n v="11.757202443313082"/>
    <x v="1"/>
    <x v="0"/>
    <x v="1"/>
    <x v="1"/>
    <x v="0"/>
    <x v="1"/>
  </r>
  <r>
    <x v="6"/>
    <s v="LSTR"/>
    <n v="6405"/>
    <n v="140.21"/>
    <n v="7.87"/>
    <n v="28.75"/>
    <n v="5.83"/>
    <n v="17.815756035578147"/>
    <n v="4.8768695652173912"/>
    <n v="20.18"/>
    <n v="9.1300000000000008"/>
    <n v="1.73"/>
    <n v="24.049742710120071"/>
    <s v="NO"/>
    <n v="-0.46421270732438003"/>
    <n v="8.9926452575656057"/>
    <n v="0.56562860606347587"/>
    <n v="2.1170484908360945"/>
    <n v="-0.63240220301195005"/>
    <n v="0.38918468810539564"/>
    <x v="0"/>
    <x v="1"/>
    <x v="0"/>
    <x v="1"/>
    <x v="0"/>
    <x v="0"/>
  </r>
  <r>
    <x v="6"/>
    <s v="R"/>
    <n v="6944"/>
    <n v="159.81"/>
    <n v="2.52"/>
    <n v="72.260000000000005"/>
    <n v="10.69"/>
    <n v="63.416666666666664"/>
    <n v="2.2115970107943537"/>
    <n v="15.54"/>
    <n v="3.05"/>
    <n v="5.4"/>
    <n v="14.949485500467727"/>
    <s v="NO"/>
    <n v="1.8335551292303582"/>
    <n v="1.972371368970566"/>
    <n v="0.52092839985735673"/>
    <n v="0.16124148999530358"/>
    <n v="17.452658200005107"/>
    <n v="-0.19805074565218636"/>
    <x v="0"/>
    <x v="0"/>
    <x v="1"/>
    <x v="1"/>
    <x v="1"/>
    <x v="0"/>
  </r>
  <r>
    <x v="6"/>
    <s v="RXO"/>
    <n v="4591"/>
    <n v="16.62"/>
    <n v="-0.3"/>
    <n v="10.27"/>
    <n v="-2.17"/>
    <n v="-55.400000000000006"/>
    <n v="1.6183057448880236"/>
    <n v="-23.46"/>
    <n v="0.91"/>
    <n v="2.0499999999999998"/>
    <n v="-7.6589861751152082"/>
    <s v="NO"/>
    <n v="-4.1534550276936768"/>
    <n v="0.40965419940314252"/>
    <n v="0.14521545976282077"/>
    <n v="-0.52715110569536927"/>
    <n v="0.94449679670615738"/>
    <n v="-1.656965077977322"/>
    <x v="1"/>
    <x v="0"/>
    <x v="1"/>
    <x v="1"/>
    <x v="0"/>
    <x v="0"/>
  </r>
  <r>
    <x v="6"/>
    <s v="SNDR"/>
    <n v="5513"/>
    <n v="24.37"/>
    <n v="0.56999999999999995"/>
    <n v="16.940000000000001"/>
    <n v="0.64"/>
    <n v="42.754385964912288"/>
    <n v="1.4386068476977567"/>
    <n v="3.77"/>
    <n v="2.12"/>
    <n v="1.54"/>
    <n v="38.078125"/>
    <s v="NO"/>
    <n v="0.79241092028139837"/>
    <n v="-6.3669053658023236E-2"/>
    <n v="0.40754016126985193"/>
    <n v="-0.13791977822540935"/>
    <n v="-1.5686859840945766"/>
    <n v="1.2944297783405467"/>
    <x v="0"/>
    <x v="0"/>
    <x v="1"/>
    <x v="1"/>
    <x v="0"/>
    <x v="0"/>
  </r>
  <r>
    <x v="6"/>
    <s v="WERN"/>
    <n v="2433"/>
    <n v="28.04"/>
    <n v="-0.39"/>
    <n v="23.44"/>
    <n v="0.73"/>
    <n v="-71.897435897435898"/>
    <n v="1.1962457337883958"/>
    <n v="2.98"/>
    <n v="1.51"/>
    <n v="2.16"/>
    <n v="38.410958904109592"/>
    <s v="NO"/>
    <n v="-4.9847383741474731"/>
    <n v="-0.70204331551921295"/>
    <n v="0.39992956581665484"/>
    <n v="-0.33414383587555446"/>
    <n v="1.4865558278592588"/>
    <n v="1.3159073978787854"/>
    <x v="1"/>
    <x v="0"/>
    <x v="1"/>
    <x v="1"/>
    <x v="0"/>
    <x v="0"/>
  </r>
  <r>
    <x v="6"/>
    <s v="CAR"/>
    <n v="3600"/>
    <n v="106.35"/>
    <n v="14.91"/>
    <n v="-6.69"/>
    <n v="11.08"/>
    <n v="7.1327967806841039"/>
    <n v="-15.896860986547084"/>
    <n v="-311.27999999999997"/>
    <n v="3.29"/>
    <n v="-137.6"/>
    <n v="9.5983754512635375"/>
    <s v="NO"/>
    <n v="-1.002512487644674"/>
    <n v="-45.724939973724616"/>
    <n v="-2.6275460381348541"/>
    <n v="0.23844439792322958"/>
    <n v="-687.22408229902442"/>
    <n v="-0.54335542863367159"/>
    <x v="0"/>
    <x v="1"/>
    <x v="1"/>
    <x v="0"/>
    <x v="1"/>
    <x v="0"/>
  </r>
  <r>
    <x v="6"/>
    <s v="LYFT"/>
    <n v="6612"/>
    <n v="17.03"/>
    <n v="1.59"/>
    <n v="1.58"/>
    <n v="-0.17"/>
    <n v="10.710691823899371"/>
    <n v="10.778481012658228"/>
    <n v="-11.61"/>
    <n v="-2.0299999999999998"/>
    <n v="8.0299999999999994"/>
    <n v="-100.17647058823529"/>
    <s v="NO"/>
    <n v="-0.82222722493626077"/>
    <n v="24.537370196239355"/>
    <n v="0.25937439156077591"/>
    <n v="-1.4728867278124618"/>
    <n v="30.412796853938303"/>
    <n v="-7.6270760141685905"/>
    <x v="0"/>
    <x v="1"/>
    <x v="1"/>
    <x v="1"/>
    <x v="1"/>
    <x v="1"/>
  </r>
  <r>
    <x v="7"/>
    <s v="IEP"/>
    <n v="5322"/>
    <n v="9.19"/>
    <n v="0.91"/>
    <n v="6.78"/>
    <n v="-1.06"/>
    <n v="10.098901098901099"/>
    <n v="1.3554572271386429"/>
    <n v="-11.12"/>
    <n v="-0.44"/>
    <n v="5.0999999999999996"/>
    <n v="-8.6698113207547163"/>
    <s v="NO"/>
    <e v="#DIV/0!"/>
    <e v="#DIV/0!"/>
    <e v="#DIV/0!"/>
    <e v="#DIV/0!"/>
    <e v="#DIV/0!"/>
    <e v="#DIV/0!"/>
    <x v="0"/>
    <x v="0"/>
    <x v="1"/>
    <x v="1"/>
    <x v="0"/>
    <x v="0"/>
  </r>
  <r>
    <x v="8"/>
    <s v="ATMU"/>
    <n v="3543"/>
    <n v="38.82"/>
    <n v="0.87"/>
    <n v="2.66"/>
    <n v="2.15"/>
    <n v="44.620689655172413"/>
    <n v="14.593984962406015"/>
    <n v="141.08000000000001"/>
    <n v="15.31"/>
    <n v="5.51"/>
    <n v="18.055813953488371"/>
    <s v="NO"/>
    <n v="2.1048660349865935"/>
    <n v="7.7459605024527205"/>
    <n v="5.4572470635599295"/>
    <n v="2.9294278698615379"/>
    <n v="6.7445943982562806"/>
    <n v="-0.46669546675571433"/>
    <x v="0"/>
    <x v="1"/>
    <x v="1"/>
    <x v="0"/>
    <x v="1"/>
    <x v="0"/>
  </r>
  <r>
    <x v="8"/>
    <s v="FSS"/>
    <n v="5977"/>
    <n v="94.4"/>
    <n v="3.33"/>
    <n v="18.809999999999999"/>
    <n v="3.45"/>
    <n v="28.348348348348349"/>
    <n v="5.0186071238702823"/>
    <n v="20.21"/>
    <n v="10.119999999999999"/>
    <n v="1.51"/>
    <n v="27.362318840579711"/>
    <s v="NO"/>
    <n v="0.52766884811013148"/>
    <n v="1.4019486549740094"/>
    <n v="0.19122465971211142"/>
    <n v="1.082205021391816"/>
    <n v="-0.96151189941384041"/>
    <n v="0.25699637968386935"/>
    <x v="0"/>
    <x v="0"/>
    <x v="1"/>
    <x v="1"/>
    <x v="0"/>
    <x v="0"/>
  </r>
  <r>
    <x v="8"/>
    <s v="GBX"/>
    <n v="2116"/>
    <n v="47.55"/>
    <n v="-2.21"/>
    <n v="44.2"/>
    <n v="4.96"/>
    <n v="-21.515837104072396"/>
    <n v="1.0757918552036199"/>
    <n v="11.35"/>
    <n v="4.7300000000000004"/>
    <n v="3.09"/>
    <n v="9.5866935483870961"/>
    <s v="NO"/>
    <n v="-4.3054188765471002"/>
    <n v="-1.2102998848357045"/>
    <n v="-0.19478475948282253"/>
    <n v="-0.83620175187442625"/>
    <n v="2.0824000881658571"/>
    <n v="-1.1252706738872573"/>
    <x v="1"/>
    <x v="0"/>
    <x v="1"/>
    <x v="1"/>
    <x v="0"/>
    <x v="0"/>
  </r>
  <r>
    <x v="8"/>
    <s v="OSK"/>
    <n v="6938"/>
    <n v="100.16"/>
    <n v="-0.79"/>
    <n v="63.05"/>
    <n v="10.3"/>
    <n v="-126.78481012658227"/>
    <n v="1.5885804916732751"/>
    <n v="17.760000000000002"/>
    <n v="7.07"/>
    <n v="2.41"/>
    <n v="9.7242718446601923"/>
    <s v="NO"/>
    <n v="-14.508617358307649"/>
    <n v="-0.87056006047871426"/>
    <n v="8.4483906097259531E-2"/>
    <n v="-3.349831755129885E-3"/>
    <n v="0.77236201756193712"/>
    <n v="-1.1145723190840497"/>
    <x v="1"/>
    <x v="0"/>
    <x v="1"/>
    <x v="1"/>
    <x v="0"/>
    <x v="0"/>
  </r>
  <r>
    <x v="8"/>
    <s v="TEX"/>
    <n v="3536"/>
    <n v="46.85"/>
    <n v="2.92"/>
    <n v="29.65"/>
    <n v="6.85"/>
    <n v="16.044520547945208"/>
    <n v="1.5801011804384486"/>
    <n v="26.91"/>
    <n v="10.039999999999999"/>
    <n v="1.93"/>
    <n v="6.8394160583941614"/>
    <s v="YES"/>
    <n v="-0.66488004382284516"/>
    <n v="-0.87617789111049471"/>
    <n v="0.48312794510782892"/>
    <n v="1.0537314514732075"/>
    <n v="-0.15237073815847785"/>
    <n v="-1.3389042929027717"/>
    <x v="0"/>
    <x v="0"/>
    <x v="1"/>
    <x v="1"/>
    <x v="0"/>
    <x v="0"/>
  </r>
  <r>
    <x v="8"/>
    <s v="TRN"/>
    <n v="3121"/>
    <n v="26.79"/>
    <n v="-1.34"/>
    <n v="12.86"/>
    <n v="2.25"/>
    <n v="-19.992537313432834"/>
    <n v="2.0832037325038879"/>
    <n v="15.99"/>
    <n v="3.16"/>
    <n v="8.36"/>
    <n v="11.906666666666666"/>
    <s v="NO"/>
    <n v="-4.1577729969981831"/>
    <n v="-0.54285542544704113"/>
    <n v="7.3691575673460411E-3"/>
    <n v="-1.3949955615271166"/>
    <n v="12.23519513534624"/>
    <n v="-0.94486507049185864"/>
    <x v="1"/>
    <x v="0"/>
    <x v="1"/>
    <x v="1"/>
    <x v="1"/>
    <x v="0"/>
  </r>
  <r>
    <x v="8"/>
    <s v="AGCO"/>
    <n v="7200"/>
    <n v="105.99"/>
    <n v="4.7300000000000004"/>
    <n v="55.58"/>
    <n v="2.2599999999999998"/>
    <n v="22.408033826638476"/>
    <n v="1.9069809283915078"/>
    <n v="3.78"/>
    <n v="5.56"/>
    <n v="3.26"/>
    <n v="46.898230088495581"/>
    <s v="NO"/>
    <n v="-4.8096321519954174E-2"/>
    <n v="-0.65960899652657334"/>
    <n v="-0.52459190432544667"/>
    <n v="-0.54078846396886415"/>
    <n v="2.409909605816837"/>
    <n v="1.7761466787928573"/>
    <x v="0"/>
    <x v="0"/>
    <x v="1"/>
    <x v="1"/>
    <x v="0"/>
    <x v="0"/>
  </r>
  <r>
    <x v="8"/>
    <s v="ALG"/>
    <n v="2365"/>
    <n v="202.64"/>
    <n v="12.97"/>
    <n v="85.3"/>
    <n v="9.93"/>
    <n v="15.623747108712411"/>
    <n v="2.3756154747948415"/>
    <n v="12.53"/>
    <n v="7.46"/>
    <n v="1.46"/>
    <n v="20.406847935548843"/>
    <s v="YES"/>
    <n v="-0.70566352249729936"/>
    <n v="-0.34912275100676254"/>
    <n v="-0.14337492712954691"/>
    <n v="0.13545882159808606"/>
    <n v="-1.057838228134717"/>
    <n v="-0.28387451042875606"/>
    <x v="0"/>
    <x v="0"/>
    <x v="1"/>
    <x v="1"/>
    <x v="0"/>
    <x v="0"/>
  </r>
  <r>
    <x v="8"/>
    <s v="TTC"/>
    <n v="8844"/>
    <n v="75.900000000000006"/>
    <n v="3.59"/>
    <n v="15.88"/>
    <n v="3.81"/>
    <n v="21.14206128133705"/>
    <n v="4.7795969773299749"/>
    <n v="25.65"/>
    <n v="9.19"/>
    <n v="2.2799999999999998"/>
    <n v="19.921259842519685"/>
    <s v="NO"/>
    <n v="-0.17080074981724547"/>
    <n v="1.2435963448210765"/>
    <n v="0.42823270039161926"/>
    <n v="0.75119977108799307"/>
    <n v="0.52191356288765756"/>
    <n v="-0.32163478111219829"/>
    <x v="0"/>
    <x v="0"/>
    <x v="1"/>
    <x v="1"/>
    <x v="0"/>
    <x v="0"/>
  </r>
  <r>
    <x v="8"/>
    <s v="AIN"/>
    <n v="2507"/>
    <n v="68.290000000000006"/>
    <n v="3.74"/>
    <n v="31.71"/>
    <n v="3.2"/>
    <n v="18.259358288770056"/>
    <n v="2.1535793125197098"/>
    <n v="10.52"/>
    <n v="5.98"/>
    <n v="1.77"/>
    <n v="21.340624999999999"/>
    <s v="YES"/>
    <n v="-0.4502068269605719"/>
    <n v="-0.4962292221867598"/>
    <n v="-0.23094591274826215"/>
    <n v="-0.39130222189616959"/>
    <n v="-0.46061499006528256"/>
    <n v="-0.21126219719901507"/>
    <x v="0"/>
    <x v="0"/>
    <x v="1"/>
    <x v="1"/>
    <x v="0"/>
    <x v="0"/>
  </r>
  <r>
    <x v="8"/>
    <s v="ATS"/>
    <n v="3058"/>
    <n v="28.09"/>
    <n v="-0.24"/>
    <n v="12.86"/>
    <n v="0.97"/>
    <n v="-117.04166666666667"/>
    <n v="2.1842923794712288"/>
    <n v="7.99"/>
    <n v="4.5"/>
    <n v="2.63"/>
    <n v="28.958762886597938"/>
    <s v="NO"/>
    <n v="-13.564262875657487"/>
    <n v="-0.47588077600548212"/>
    <n v="-0.34117207872604799"/>
    <n v="-0.9180632653904256"/>
    <n v="1.1961978639337933"/>
    <n v="0.38113896096622862"/>
    <x v="1"/>
    <x v="0"/>
    <x v="1"/>
    <x v="1"/>
    <x v="0"/>
    <x v="0"/>
  </r>
  <r>
    <x v="8"/>
    <s v="B"/>
    <n v="2393"/>
    <n v="18.16"/>
    <n v="0.61"/>
    <n v="25.66"/>
    <n v="-0.78"/>
    <n v="29.770491803278688"/>
    <n v="0.70771628994544034"/>
    <n v="-3.01"/>
    <n v="4.4400000000000004"/>
    <n v="2.36"/>
    <n v="-23.282051282051281"/>
    <s v="NO"/>
    <n v="0.66551014667669151"/>
    <n v="-1.4541624024449726"/>
    <n v="-0.82041627862946476"/>
    <n v="-0.93941844282938181"/>
    <n v="0.67603568884106002"/>
    <n v="-3.6812079376698401"/>
    <x v="0"/>
    <x v="0"/>
    <x v="1"/>
    <x v="1"/>
    <x v="0"/>
    <x v="1"/>
  </r>
  <r>
    <x v="8"/>
    <s v="DCI"/>
    <n v="8727"/>
    <n v="70.319999999999993"/>
    <n v="3.37"/>
    <n v="12.4"/>
    <n v="3.44"/>
    <n v="20.866468842729969"/>
    <n v="5.6709677419354829"/>
    <n v="29.24"/>
    <n v="11.97"/>
    <n v="1.96"/>
    <n v="20.441860465116278"/>
    <s v="NO"/>
    <n v="-0.19751255549411073"/>
    <n v="1.8341596402344136"/>
    <n v="0.5846405801782798"/>
    <n v="1.7406563257596361"/>
    <n v="-9.4574940925951881E-2"/>
    <n v="-0.28115186831137817"/>
    <x v="0"/>
    <x v="0"/>
    <x v="1"/>
    <x v="1"/>
    <x v="0"/>
    <x v="0"/>
  </r>
  <r>
    <x v="8"/>
    <s v="DFKCY"/>
    <n v="8341"/>
    <n v="12.21"/>
    <n v="1.6"/>
    <n v="7.4"/>
    <n v="1.0900000000000001"/>
    <n v="7.6312500000000005"/>
    <n v="1.6500000000000001"/>
    <n v="16.809999999999999"/>
    <n v="7.74"/>
    <n v="1.75"/>
    <n v="11.20183486238532"/>
    <s v="YES"/>
    <n v="-1.4803365531504269"/>
    <n v="-0.82986755778467469"/>
    <n v="4.3094634287418866E-2"/>
    <n v="0.23511631631321564"/>
    <n v="-0.49914552155363318"/>
    <n v="-0.99967415683072924"/>
    <x v="0"/>
    <x v="0"/>
    <x v="1"/>
    <x v="1"/>
    <x v="0"/>
    <x v="0"/>
  </r>
  <r>
    <x v="8"/>
    <s v="EPAC"/>
    <n v="2555"/>
    <n v="46.08"/>
    <n v="1.26"/>
    <n v="7.23"/>
    <n v="1.5"/>
    <n v="36.571428571428569"/>
    <n v="6.3734439834024892"/>
    <n v="22.88"/>
    <n v="11.14"/>
    <n v="1.98"/>
    <n v="30.72"/>
    <s v="NO"/>
    <n v="1.3246911542894311"/>
    <n v="2.2995739219042108"/>
    <n v="0.30755029732503159"/>
    <n v="1.4452430378540737"/>
    <n v="-5.6044409437601243E-2"/>
    <n v="0.51809617036755762"/>
    <x v="0"/>
    <x v="0"/>
    <x v="1"/>
    <x v="1"/>
    <x v="0"/>
    <x v="0"/>
  </r>
  <r>
    <x v="8"/>
    <s v="ESAB"/>
    <n v="7762"/>
    <n v="129.44"/>
    <n v="5.04"/>
    <n v="30.39"/>
    <n v="4.45"/>
    <n v="25.682539682539684"/>
    <n v="4.2592958209937475"/>
    <n v="16.32"/>
    <n v="7.43"/>
    <n v="2.2200000000000002"/>
    <n v="29.087640449438201"/>
    <s v="NO"/>
    <n v="0.26928526032850753"/>
    <n v="0.89887922182985902"/>
    <n v="2.1746483564448547E-2"/>
    <n v="0.12478123287860782"/>
    <n v="0.40632196842260643"/>
    <n v="0.39116072988464085"/>
    <x v="0"/>
    <x v="0"/>
    <x v="1"/>
    <x v="1"/>
    <x v="0"/>
    <x v="0"/>
  </r>
  <r>
    <x v="8"/>
    <s v="ESE"/>
    <n v="3700"/>
    <n v="185.41"/>
    <n v="3.08"/>
    <n v="48.05"/>
    <n v="3.94"/>
    <n v="60.198051948051948"/>
    <n v="3.8586888657648286"/>
    <n v="8.6"/>
    <n v="5.22"/>
    <n v="1.49"/>
    <n v="47.058375634517766"/>
    <s v="NO"/>
    <n v="3.614702359337894"/>
    <n v="0.63346355750728289"/>
    <n v="-0.31459580945867671"/>
    <n v="-0.66180113612294988"/>
    <n v="-1.0000424309021911"/>
    <n v="1.7885999066486364"/>
    <x v="1"/>
    <x v="0"/>
    <x v="1"/>
    <x v="1"/>
    <x v="0"/>
    <x v="0"/>
  </r>
  <r>
    <x v="8"/>
    <s v="FELE"/>
    <n v="4869"/>
    <n v="89.68"/>
    <n v="4.96"/>
    <n v="27.79"/>
    <n v="3.96"/>
    <n v="18.080645161290324"/>
    <n v="3.2270600935588343"/>
    <n v="15.15"/>
    <n v="8.94"/>
    <n v="1.42"/>
    <n v="22.646464646464647"/>
    <s v="NO"/>
    <n v="-0.46752860239559935"/>
    <n v="0.21498812169137149"/>
    <n v="-2.9227672243460328E-2"/>
    <n v="0.66221986509234176"/>
    <n v="-1.1348992911114184"/>
    <n v="-0.10971757691790188"/>
    <x v="0"/>
    <x v="0"/>
    <x v="1"/>
    <x v="1"/>
    <x v="0"/>
    <x v="0"/>
  </r>
  <r>
    <x v="8"/>
    <s v="FLS"/>
    <n v="7992"/>
    <n v="52.11"/>
    <n v="2.67"/>
    <n v="15.67"/>
    <n v="2.0299999999999998"/>
    <n v="19.516853932584269"/>
    <n v="3.3254626675175496"/>
    <n v="14.19"/>
    <n v="6.03"/>
    <n v="2.57"/>
    <n v="25.66995073891626"/>
    <s v="NO"/>
    <n v="-0.32832402260337434"/>
    <n v="0.28018315686838058"/>
    <n v="-7.1052620598667654E-2"/>
    <n v="-0.37350624069703942"/>
    <n v="1.0806062694687413"/>
    <n v="0.12539455803253394"/>
    <x v="0"/>
    <x v="0"/>
    <x v="1"/>
    <x v="1"/>
    <x v="0"/>
    <x v="0"/>
  </r>
  <r>
    <x v="8"/>
    <s v="GTES"/>
    <n v="5767"/>
    <n v="22.6"/>
    <n v="1.29"/>
    <n v="12.21"/>
    <n v="0.72"/>
    <n v="17.519379844961239"/>
    <n v="1.8509418509418509"/>
    <n v="6.34"/>
    <n v="9.08"/>
    <n v="2.29"/>
    <n v="31.388888888888893"/>
    <s v="NO"/>
    <n v="-0.52192926062382405"/>
    <n v="-0.69673678169152564"/>
    <n v="-0.41305870871156053"/>
    <n v="0.71204861244990669"/>
    <n v="0.54117882863183331"/>
    <n v="0.57011026598516779"/>
    <x v="0"/>
    <x v="0"/>
    <x v="1"/>
    <x v="1"/>
    <x v="0"/>
    <x v="0"/>
  </r>
  <r>
    <x v="8"/>
    <s v="GTLS"/>
    <n v="8152"/>
    <n v="175.1"/>
    <n v="4.8600000000000003"/>
    <n v="70.66"/>
    <n v="3.22"/>
    <n v="36.028806584362137"/>
    <n v="2.4780639682988963"/>
    <n v="6.94"/>
    <n v="4.4400000000000004"/>
    <n v="3.2"/>
    <n v="54.378881987577635"/>
    <s v="NO"/>
    <n v="1.2720975013293871"/>
    <n v="-0.28124715721761367"/>
    <n v="-0.38691811598955594"/>
    <n v="-0.93941844282938181"/>
    <n v="2.2943180113517863"/>
    <n v="2.3578566602626534"/>
    <x v="0"/>
    <x v="0"/>
    <x v="1"/>
    <x v="1"/>
    <x v="0"/>
    <x v="0"/>
  </r>
  <r>
    <x v="8"/>
    <s v="HI"/>
    <n v="2331"/>
    <n v="23.12"/>
    <n v="1.62"/>
    <n v="20.27"/>
    <n v="-3.03"/>
    <n v="14.271604938271604"/>
    <n v="1.1406018746916626"/>
    <n v="-13.09"/>
    <n v="4.0999999999999996"/>
    <n v="3.68"/>
    <n v="-7.6303630363036312"/>
    <s v="NO"/>
    <n v="-0.83671994438920849"/>
    <n v="-1.1673610537628678"/>
    <n v="-1.2595782363591412"/>
    <n v="-1.0604311149834678"/>
    <n v="3.2190507670722006"/>
    <n v="-2.4641023428322928"/>
    <x v="0"/>
    <x v="0"/>
    <x v="1"/>
    <x v="0"/>
    <x v="1"/>
    <x v="0"/>
  </r>
  <r>
    <x v="8"/>
    <s v="HLMN"/>
    <n v="2194"/>
    <n v="8.36"/>
    <n v="0.66"/>
    <n v="6.01"/>
    <n v="0.04"/>
    <n v="12.666666666666666"/>
    <n v="1.3910149750415972"/>
    <n v="0.72"/>
    <n v="2.6"/>
    <n v="2.0299999999999998"/>
    <n v="208.99999999999997"/>
    <s v="NO"/>
    <n v="-0.9922786362428595"/>
    <n v="-1.0014539008366923"/>
    <n v="-0.6579089272076698"/>
    <n v="-1.5943105509573758"/>
    <n v="4.0281919283274931E-2"/>
    <n v="14.381494293352143"/>
    <x v="0"/>
    <x v="0"/>
    <x v="1"/>
    <x v="1"/>
    <x v="0"/>
    <x v="1"/>
  </r>
  <r>
    <x v="8"/>
    <s v="JBT"/>
    <n v="3911"/>
    <n v="125.32"/>
    <n v="1.25"/>
    <n v="49.78"/>
    <n v="4.47"/>
    <n v="100.256"/>
    <n v="2.517476898352752"/>
    <n v="9.75"/>
    <n v="4.3899999999999997"/>
    <n v="1.76"/>
    <n v="28.035794183445191"/>
    <s v="NO"/>
    <n v="7.4973202191956316"/>
    <n v="-0.25513475732888558"/>
    <n v="-0.26449300674150134"/>
    <n v="-0.95721442402851231"/>
    <n v="-0.47988025580945787"/>
    <n v="0.3093671268465219"/>
    <x v="1"/>
    <x v="0"/>
    <x v="1"/>
    <x v="1"/>
    <x v="0"/>
    <x v="0"/>
  </r>
  <r>
    <x v="8"/>
    <s v="KAI"/>
    <n v="4794"/>
    <n v="327.69"/>
    <n v="11.72"/>
    <n v="72.52"/>
    <n v="9.77"/>
    <n v="27.959897610921502"/>
    <n v="4.5186155543298403"/>
    <n v="14.53"/>
    <n v="8.6"/>
    <n v="1.75"/>
    <n v="33.54042988741044"/>
    <s v="NO"/>
    <n v="0.49001824831274521"/>
    <n v="1.0706873205085807"/>
    <n v="-5.6239618056198405E-2"/>
    <n v="0.54120719293825603"/>
    <n v="-0.49914552155363318"/>
    <n v="0.73741826150024514"/>
    <x v="0"/>
    <x v="0"/>
    <x v="1"/>
    <x v="1"/>
    <x v="0"/>
    <x v="0"/>
  </r>
  <r>
    <x v="8"/>
    <s v="KMT"/>
    <n v="2119"/>
    <n v="22.16"/>
    <n v="2.14"/>
    <n v="16.43"/>
    <n v="1.28"/>
    <n v="10.355140186915888"/>
    <n v="1.3487522824102252"/>
    <n v="8.16"/>
    <n v="4.28"/>
    <n v="1.97"/>
    <n v="17.3125"/>
    <s v="NO"/>
    <n v="-1.2163234121304254"/>
    <n v="-1.0294543648685925"/>
    <n v="-0.33376557745481339"/>
    <n v="-0.99636558266659869"/>
    <n v="-7.5309675181776559E-2"/>
    <n v="-0.52449699955568596"/>
    <x v="0"/>
    <x v="0"/>
    <x v="1"/>
    <x v="1"/>
    <x v="0"/>
    <x v="0"/>
  </r>
  <r>
    <x v="8"/>
    <s v="KTWIY"/>
    <n v="4282"/>
    <n v="73.180000000000007"/>
    <n v="1.44"/>
    <n v="20.57"/>
    <n v="1.94"/>
    <n v="50.81944444444445"/>
    <n v="3.5576081672338358"/>
    <n v="9.77"/>
    <n v="5.17"/>
    <n v="1.64"/>
    <n v="37.721649484536087"/>
    <s v="NO"/>
    <n v="2.7056805355819602"/>
    <n v="0.43398740620170984"/>
    <n v="-0.26362165365076784"/>
    <n v="-0.67959711732208006"/>
    <n v="-0.71106344473956173"/>
    <n v="1.062557996269025"/>
    <x v="0"/>
    <x v="0"/>
    <x v="1"/>
    <x v="1"/>
    <x v="0"/>
    <x v="0"/>
  </r>
  <r>
    <x v="8"/>
    <s v="MIDD"/>
    <n v="7639"/>
    <n v="149.91"/>
    <n v="12.12"/>
    <n v="66.819999999999993"/>
    <n v="7.26"/>
    <n v="12.368811881188119"/>
    <n v="2.2434899730619575"/>
    <n v="11.74"/>
    <n v="6.23"/>
    <n v="2"/>
    <n v="20.648760330578511"/>
    <s v="YES"/>
    <n v="-1.0211482205821119"/>
    <n v="-0.43666036701332456"/>
    <n v="-0.17779337421351954"/>
    <n v="-0.30232231590051828"/>
    <n v="-1.7513877949250602E-2"/>
    <n v="-0.26506293401423386"/>
    <x v="0"/>
    <x v="0"/>
    <x v="1"/>
    <x v="1"/>
    <x v="0"/>
    <x v="0"/>
  </r>
  <r>
    <x v="8"/>
    <s v="MLI"/>
    <n v="8953"/>
    <n v="79.05"/>
    <n v="5.51"/>
    <n v="23.55"/>
    <n v="5.14"/>
    <n v="14.346642468239564"/>
    <n v="3.3566878980891719"/>
    <n v="24.04"/>
    <n v="15.58"/>
    <n v="1.2"/>
    <n v="15.379377431906615"/>
    <s v="NO"/>
    <n v="-0.82944692946504439"/>
    <n v="0.30087092877952204"/>
    <n v="0.35808877658757376"/>
    <n v="3.0255261683368411"/>
    <n v="-1.558735137483275"/>
    <n v="-0.67482035485075542"/>
    <x v="0"/>
    <x v="0"/>
    <x v="0"/>
    <x v="1"/>
    <x v="0"/>
    <x v="0"/>
  </r>
  <r>
    <x v="8"/>
    <s v="MSSMY"/>
    <n v="4638"/>
    <n v="6.78"/>
    <n v="1.1000000000000001"/>
    <n v="8.4700000000000006"/>
    <n v="0.8"/>
    <n v="6.1636363636363631"/>
    <n v="0.80047225501770958"/>
    <n v="9.64"/>
    <n v="6.82"/>
    <n v="1.19"/>
    <n v="8.4749999999999996"/>
    <s v="NO"/>
    <n v="-1.6225850504655337"/>
    <n v="-1.3927084367356899"/>
    <n v="-0.26928544874053545"/>
    <n v="-9.232973775078121E-2"/>
    <n v="-1.5780004032274502"/>
    <n v="-1.211718117526722"/>
    <x v="0"/>
    <x v="0"/>
    <x v="1"/>
    <x v="1"/>
    <x v="0"/>
    <x v="0"/>
  </r>
  <r>
    <x v="8"/>
    <s v="MWA"/>
    <n v="3953"/>
    <n v="25.95"/>
    <n v="1.23"/>
    <n v="5.19"/>
    <n v="0.74"/>
    <n v="21.097560975609756"/>
    <n v="4.9999999999999991"/>
    <n v="15.23"/>
    <n v="8.35"/>
    <n v="2.02"/>
    <n v="35.067567567567565"/>
    <s v="NO"/>
    <n v="-0.17511394333284586"/>
    <n v="1.3896208057474737"/>
    <n v="-2.5742259880526384E-2"/>
    <n v="0.45222728694260467"/>
    <n v="2.1016653539100039E-2"/>
    <n v="0.85617144552890412"/>
    <x v="0"/>
    <x v="0"/>
    <x v="1"/>
    <x v="1"/>
    <x v="0"/>
    <x v="0"/>
  </r>
  <r>
    <x v="8"/>
    <s v="NPO"/>
    <n v="4052"/>
    <n v="186.5"/>
    <n v="5.89"/>
    <n v="69.45"/>
    <n v="2.56"/>
    <n v="31.663837011884553"/>
    <n v="2.685385169186465"/>
    <n v="3.78"/>
    <n v="3.47"/>
    <n v="1.74"/>
    <n v="72.8515625"/>
    <s v="NO"/>
    <n v="0.8490226898622808"/>
    <n v="-0.14388984590911527"/>
    <n v="-0.52459190432544667"/>
    <n v="-1.2846604780925091"/>
    <n v="-0.51841078729780854"/>
    <n v="3.7943280779337898"/>
    <x v="0"/>
    <x v="0"/>
    <x v="1"/>
    <x v="1"/>
    <x v="0"/>
    <x v="1"/>
  </r>
  <r>
    <x v="8"/>
    <s v="SPXC"/>
    <n v="7391"/>
    <n v="157.06"/>
    <n v="4.57"/>
    <n v="29.3"/>
    <n v="3.76"/>
    <n v="34.367614879649892"/>
    <n v="5.3604095563139929"/>
    <n v="14.12"/>
    <n v="7.39"/>
    <n v="2.0699999999999998"/>
    <n v="41.771276595744681"/>
    <s v="NO"/>
    <n v="1.1110864437235639"/>
    <n v="1.6284043330145466"/>
    <n v="-7.410235641623486E-2"/>
    <n v="0.1105444479193036"/>
    <n v="0.11734298225997621"/>
    <n v="1.3774648444422173"/>
    <x v="0"/>
    <x v="0"/>
    <x v="1"/>
    <x v="1"/>
    <x v="0"/>
    <x v="0"/>
  </r>
  <r>
    <x v="8"/>
    <s v="SXI"/>
    <n v="2465"/>
    <n v="156.66"/>
    <n v="6.15"/>
    <n v="52.84"/>
    <n v="6.13"/>
    <n v="25.473170731707317"/>
    <n v="2.9647993943981827"/>
    <n v="11.64"/>
    <n v="6.83"/>
    <n v="1.62"/>
    <n v="25.556280587275694"/>
    <s v="NO"/>
    <n v="0.24899216826230289"/>
    <n v="4.1231533632006788E-2"/>
    <n v="-0.18215013966718696"/>
    <n v="-8.8770541510955231E-2"/>
    <n v="-0.74959397622791191"/>
    <n v="0.11655534686530712"/>
    <x v="0"/>
    <x v="0"/>
    <x v="1"/>
    <x v="1"/>
    <x v="0"/>
    <x v="0"/>
  </r>
  <r>
    <x v="8"/>
    <s v="TKR"/>
    <n v="5353"/>
    <n v="73.3"/>
    <n v="3.65"/>
    <n v="41.83"/>
    <n v="4.8099999999999996"/>
    <n v="20.082191780821919"/>
    <n v="1.7523308630169734"/>
    <n v="12.73"/>
    <n v="5.59"/>
    <n v="2.31"/>
    <n v="15.23908523908524"/>
    <s v="NO"/>
    <n v="-0.27352863409334549"/>
    <n v="-0.76206989817381665"/>
    <n v="-0.13466139622221202"/>
    <n v="-0.53011087524938583"/>
    <n v="0.57970936012018393"/>
    <n v="-0.68572974750629301"/>
    <x v="0"/>
    <x v="0"/>
    <x v="1"/>
    <x v="1"/>
    <x v="0"/>
    <x v="0"/>
  </r>
  <r>
    <x v="8"/>
    <s v="WTS"/>
    <n v="7172"/>
    <n v="243.38"/>
    <n v="8.89"/>
    <n v="50.66"/>
    <n v="8.34"/>
    <n v="27.376827896512932"/>
    <n v="4.8041847611527837"/>
    <n v="17.78"/>
    <n v="11.16"/>
    <n v="1.42"/>
    <n v="29.182254196642685"/>
    <s v="NO"/>
    <n v="0.43350419812302832"/>
    <n v="1.2598865836508579"/>
    <n v="8.5355259187992999E-2"/>
    <n v="1.4523614303337258"/>
    <n v="-1.1348992911114184"/>
    <n v="0.39851807813123707"/>
    <x v="0"/>
    <x v="0"/>
    <x v="1"/>
    <x v="1"/>
    <x v="0"/>
    <x v="0"/>
  </r>
  <r>
    <x v="9"/>
    <s v="KEX"/>
    <n v="6831"/>
    <n v="108.53"/>
    <n v="6.04"/>
    <n v="57.4"/>
    <n v="5.2"/>
    <n v="17.968543046357617"/>
    <n v="1.8907665505226481"/>
    <n v="9.4700000000000006"/>
    <n v="4.84"/>
    <n v="1.78"/>
    <n v="20.871153846153845"/>
    <s v="NO"/>
    <n v="1.254503945203417"/>
    <n v="0.997629157241264"/>
    <n v="-0.93048419903521351"/>
    <n v="-1.0055518914949781"/>
    <n v="-0.66633814502234789"/>
    <n v="1.272883862217091"/>
    <x v="0"/>
    <x v="0"/>
    <x v="1"/>
    <x v="1"/>
    <x v="0"/>
    <x v="0"/>
  </r>
  <r>
    <x v="9"/>
    <s v="MATX"/>
    <n v="5019"/>
    <n v="117.62"/>
    <n v="13.47"/>
    <n v="76.989999999999995"/>
    <n v="11.85"/>
    <n v="8.731997030438011"/>
    <n v="1.5277308741394988"/>
    <n v="16.61"/>
    <n v="6.79"/>
    <n v="1.74"/>
    <n v="9.9257383966244728"/>
    <s v="NO"/>
    <n v="-6.1862824667476168E-2"/>
    <n v="0.36925917888305154"/>
    <n v="-0.45706444741207158"/>
    <n v="-0.35841453558236841"/>
    <n v="-0.74710640502505676"/>
    <n v="-0.10275194152613298"/>
    <x v="0"/>
    <x v="0"/>
    <x v="1"/>
    <x v="1"/>
    <x v="0"/>
    <x v="0"/>
  </r>
  <r>
    <x v="9"/>
    <s v="ZIM"/>
    <n v="2523"/>
    <n v="17.11"/>
    <n v="21.45"/>
    <n v="32.61"/>
    <n v="11.94"/>
    <n v="0.79766899766899768"/>
    <n v="0.52468567923949705"/>
    <n v="44.43"/>
    <n v="11.98"/>
    <n v="2.81"/>
    <n v="1.432998324958124"/>
    <s v="NO"/>
    <n v="-1.1926411205359404"/>
    <n v="-1.3668883361243149"/>
    <n v="1.3875486464472857"/>
    <n v="1.3639664270773466"/>
    <n v="1.4134445500474055"/>
    <n v="-1.1701319206909588"/>
    <x v="0"/>
    <x v="0"/>
    <x v="1"/>
    <x v="1"/>
    <x v="0"/>
    <x v="0"/>
  </r>
  <r>
    <x v="10"/>
    <s v="ALK"/>
    <n v="6898"/>
    <n v="54.88"/>
    <n v="-1.72"/>
    <n v="35.51"/>
    <n v="2.5099999999999998"/>
    <n v="-31.90697674418605"/>
    <n v="1.5454801464376233"/>
    <n v="7.51"/>
    <n v="2.85"/>
    <n v="4.37"/>
    <n v="21.864541832669325"/>
    <s v="NO"/>
    <n v="-1.5267215787848605"/>
    <n v="-1.413078459857056"/>
    <n v="-0.42524494699116044"/>
    <n v="0.43037675252625213"/>
    <n v="0.52458228810861462"/>
    <n v="1.2573366017101348"/>
    <x v="0"/>
    <x v="0"/>
    <x v="1"/>
    <x v="1"/>
    <x v="0"/>
    <x v="0"/>
  </r>
  <r>
    <x v="10"/>
    <s v="CPA"/>
    <n v="3728"/>
    <n v="101.9"/>
    <n v="2.62"/>
    <n v="55.84"/>
    <n v="15.07"/>
    <n v="38.893129770992367"/>
    <n v="1.8248567335243553"/>
    <n v="29.15"/>
    <n v="9.06"/>
    <n v="2.38"/>
    <n v="6.7617783676177838"/>
    <s v="NO"/>
    <n v="3.177316997023826"/>
    <n v="0.75559990375151587"/>
    <n v="-4.2326311301716636E-2"/>
    <n v="0.8665124629028883"/>
    <n v="-0.61756076805784443"/>
    <n v="-5.2921629512992525E-3"/>
    <x v="1"/>
    <x v="0"/>
    <x v="1"/>
    <x v="1"/>
    <x v="0"/>
    <x v="0"/>
  </r>
  <r>
    <x v="10"/>
    <s v="JBLU"/>
    <n v="2286"/>
    <n v="4.93"/>
    <n v="-4.55"/>
    <n v="7.62"/>
    <n v="-2.4900000000000002"/>
    <n v="-1.0835164835164834"/>
    <n v="0.64698162729658792"/>
    <n v="-28.17"/>
    <n v="-0.62"/>
    <n v="6.29"/>
    <n v="-1.9799196787148592"/>
    <s v="NO"/>
    <n v="0.52122373150942769"/>
    <n v="-8.3877298381795367"/>
    <n v="-1.0566006272776371"/>
    <n v="0.18667451178439592"/>
    <n v="1.6265494578772584"/>
    <n v="-0.73611996349426367"/>
    <x v="0"/>
    <x v="1"/>
    <x v="1"/>
    <x v="1"/>
    <x v="0"/>
    <x v="0"/>
  </r>
  <r>
    <x v="10"/>
    <s v="JOBY"/>
    <n v="6763"/>
    <n v="7.19"/>
    <n v="-0.63"/>
    <n v="1.0900000000000001"/>
    <n v="-0.7"/>
    <n v="-11.412698412698413"/>
    <n v="6.5963302752293576"/>
    <n v="-50.45"/>
    <n v="-31.07"/>
    <n v="1.23"/>
    <n v="-10.271428571428572"/>
    <s v="NO"/>
    <n v="-0.16505871413916892"/>
    <n v="37.794463970102029"/>
    <n v="-1.4508440285327575"/>
    <n v="-1.9518653241203656"/>
    <n v="-1.2775931874505215"/>
    <n v="-1.4293108258561327"/>
    <x v="0"/>
    <x v="1"/>
    <x v="0"/>
    <x v="1"/>
    <x v="0"/>
    <x v="0"/>
  </r>
  <r>
    <x v="10"/>
    <s v="LTM"/>
    <n v="8634"/>
    <n v="35.25"/>
    <n v="0"/>
    <n v="0"/>
    <n v="0"/>
    <s v=""/>
    <s v=""/>
    <n v="138.29"/>
    <n v="5.98"/>
    <n v="21.02"/>
    <s v=""/>
    <s v="NO"/>
    <e v="#VALUE!"/>
    <e v="#VALUE!"/>
    <n v="1.8889001165700898"/>
    <n v="0.65020038754700438"/>
    <n v="10.080703838446071"/>
    <e v="#VALUE!"/>
    <x v="1"/>
    <x v="1"/>
    <x v="1"/>
    <x v="0"/>
    <x v="1"/>
    <x v="1"/>
  </r>
  <r>
    <x v="10"/>
    <s v="SKYW"/>
    <n v="4419"/>
    <n v="103.84"/>
    <n v="11.95"/>
    <n v="57.3"/>
    <n v="5.85"/>
    <n v="8.6895397489539761"/>
    <n v="1.8122164048865621"/>
    <n v="10.93"/>
    <n v="3.39"/>
    <n v="3.01"/>
    <n v="17.750427350427351"/>
    <s v="NO"/>
    <n v="1.1705565614146016"/>
    <n v="0.65747855610553851"/>
    <n v="-0.36472823099957546"/>
    <n v="0.46830159690682921"/>
    <n v="-0.25597779047750824"/>
    <n v="0.91338635059156115"/>
    <x v="0"/>
    <x v="0"/>
    <x v="1"/>
    <x v="1"/>
    <x v="0"/>
    <x v="0"/>
  </r>
  <r>
    <x v="11"/>
    <s v="ALIT"/>
    <n v="3983"/>
    <n v="5.89"/>
    <n v="0.24"/>
    <n v="8.1199999999999992"/>
    <n v="-0.61"/>
    <n v="24.541666666666668"/>
    <n v="0.72536945812807885"/>
    <n v="-7.27"/>
    <n v="0.11"/>
    <n v="1.91"/>
    <n v="-9.6557377049180317"/>
    <s v="NO"/>
    <n v="0.88580976318425975"/>
    <n v="-1.1357753780144815"/>
    <n v="-0.50219309546079804"/>
    <n v="-1.8098315818695632"/>
    <n v="-0.61239418303446191"/>
    <n v="-2.2781795234636402"/>
    <x v="0"/>
    <x v="0"/>
    <x v="1"/>
    <x v="1"/>
    <x v="0"/>
    <x v="0"/>
  </r>
  <r>
    <x v="11"/>
    <s v="FA"/>
    <n v="3422"/>
    <n v="17.829999999999998"/>
    <n v="0.99"/>
    <n v="6.33"/>
    <n v="0.03"/>
    <n v="18.010101010101007"/>
    <n v="2.8167456556082144"/>
    <n v="0.54"/>
    <n v="3.09"/>
    <n v="1.8"/>
    <n v="594.33333333333326"/>
    <s v="NO"/>
    <n v="-5.3311998929994622E-2"/>
    <n v="-0.29068021961947477"/>
    <n v="-0.397735604820948"/>
    <n v="-0.78696469818535131"/>
    <n v="-0.78080258336893871"/>
    <n v="40.340326074967656"/>
    <x v="0"/>
    <x v="0"/>
    <x v="1"/>
    <x v="1"/>
    <x v="0"/>
    <x v="1"/>
  </r>
  <r>
    <x v="11"/>
    <s v="KFY"/>
    <n v="3703"/>
    <n v="68.459999999999994"/>
    <n v="4.4800000000000004"/>
    <n v="33.340000000000003"/>
    <n v="3.23"/>
    <n v="15.281249999999996"/>
    <n v="2.0533893221355726"/>
    <n v="10.99"/>
    <n v="5.32"/>
    <n v="2.12"/>
    <n v="21.195046439628481"/>
    <s v="YES"/>
    <n v="-0.44567173377813518"/>
    <n v="-0.59914157742070373"/>
    <n v="-0.25796853988030366"/>
    <n v="-2.1530755025689258E-2"/>
    <n v="-0.29088723694136925"/>
    <n v="-0.10129523891822952"/>
    <x v="0"/>
    <x v="0"/>
    <x v="1"/>
    <x v="1"/>
    <x v="0"/>
    <x v="0"/>
  </r>
  <r>
    <x v="11"/>
    <s v="MAN"/>
    <n v="2880"/>
    <n v="43.81"/>
    <n v="2.33"/>
    <n v="46.01"/>
    <n v="0.78"/>
    <n v="18.802575107296139"/>
    <n v="0.95218430775918284"/>
    <n v="1.66"/>
    <n v="2.79"/>
    <n v="3.9"/>
    <n v="56.166666666666664"/>
    <s v="NO"/>
    <n v="6.0631534629938422E-2"/>
    <n v="-1.0441227468397125"/>
    <n v="-0.38275578542061101"/>
    <n v="-0.88993787439517125"/>
    <n v="2.4342668775619853"/>
    <n v="2.3663623130142768"/>
    <x v="0"/>
    <x v="0"/>
    <x v="1"/>
    <x v="1"/>
    <x v="0"/>
    <x v="0"/>
  </r>
  <r>
    <x v="11"/>
    <s v="NSP"/>
    <n v="3099"/>
    <n v="69.319999999999993"/>
    <n v="-2.21"/>
    <n v="3.34"/>
    <n v="3.16"/>
    <n v="-31.366515837104071"/>
    <n v="20.754491017964071"/>
    <n v="114.72"/>
    <n v="4.92"/>
    <n v="15.46"/>
    <n v="21.936708860759492"/>
    <s v="NO"/>
    <n v="-7.1527821503438282"/>
    <n v="6.9577056884320596"/>
    <n v="1.1294034836884084"/>
    <n v="-0.15882832330544938"/>
    <n v="20.13245876725793"/>
    <n v="-4.8962265421236745E-2"/>
    <x v="1"/>
    <x v="1"/>
    <x v="1"/>
    <x v="0"/>
    <x v="1"/>
    <x v="0"/>
  </r>
  <r>
    <x v="11"/>
    <s v="PYCR"/>
    <n v="3449"/>
    <n v="22.49"/>
    <n v="0.15"/>
    <n v="7.22"/>
    <n v="-0.33"/>
    <n v="149.93333333333334"/>
    <n v="3.1149584487534625"/>
    <n v="-3.55"/>
    <n v="-1.17"/>
    <n v="2.0299999999999998"/>
    <n v="-68.151515151515142"/>
    <s v="NO"/>
    <n v="18.914878005967743"/>
    <n v="-0.1701767023841953"/>
    <n v="-0.45243869530967867"/>
    <n v="-2.2491838003647953"/>
    <n v="-0.42867592812412358"/>
    <n v="-6.4057419879747002"/>
    <x v="1"/>
    <x v="0"/>
    <x v="1"/>
    <x v="1"/>
    <x v="0"/>
    <x v="1"/>
  </r>
  <r>
    <x v="11"/>
    <s v="RHI"/>
    <n v="7675"/>
    <n v="47.69"/>
    <n v="3.06"/>
    <n v="14.52"/>
    <n v="2.75"/>
    <n v="15.584967320261438"/>
    <n v="3.2844352617079888"/>
    <n v="18.64"/>
    <n v="5.08"/>
    <n v="2.02"/>
    <n v="17.34181818181818"/>
    <s v="YES"/>
    <n v="-0.40200264125330881"/>
    <n v="-0.10169355035222008"/>
    <n v="-0.15565102344050175"/>
    <n v="-0.10390929599354533"/>
    <n v="-0.44398578269998479"/>
    <n v="-0.37318563884753853"/>
    <x v="0"/>
    <x v="0"/>
    <x v="1"/>
    <x v="1"/>
    <x v="0"/>
    <x v="0"/>
  </r>
  <r>
    <x v="11"/>
    <s v="TNET"/>
    <n v="4694"/>
    <n v="83.85"/>
    <n v="4.5999999999999996"/>
    <n v="2.6"/>
    <n v="5.19"/>
    <n v="18.228260869565219"/>
    <n v="32.25"/>
    <n v="378.42"/>
    <n v="6.53"/>
    <n v="28.91"/>
    <n v="16.156069364161848"/>
    <s v="NO"/>
    <n v="-2.1944531707693869E-2"/>
    <n v="11.602876172685479"/>
    <n v="4.6563484621427556"/>
    <n v="0.39379438902058472"/>
    <n v="40.72421317179171"/>
    <n v="-0.45685411075672516"/>
    <x v="0"/>
    <x v="1"/>
    <x v="1"/>
    <x v="0"/>
    <x v="1"/>
    <x v="0"/>
  </r>
  <r>
    <x v="11"/>
    <s v="UPWK"/>
    <n v="2267"/>
    <n v="17.5"/>
    <n v="0.91"/>
    <n v="3.08"/>
    <n v="0.62"/>
    <n v="19.23076923076923"/>
    <n v="5.6818181818181817"/>
    <n v="22.75"/>
    <n v="3.71"/>
    <n v="2.58"/>
    <n v="28.225806451612904"/>
    <s v="NO"/>
    <n v="0.12219815447380268"/>
    <n v="0.86705454051977171"/>
    <n v="-0.10068043617676507"/>
    <n v="-0.57415346735172335"/>
    <n v="0.41336607354826171"/>
    <n v="0.39480725581218995"/>
    <x v="0"/>
    <x v="0"/>
    <x v="1"/>
    <x v="1"/>
    <x v="0"/>
    <x v="0"/>
  </r>
  <r>
    <x v="11"/>
    <s v="AMTM"/>
    <n v="5637"/>
    <n v="21.15"/>
    <m/>
    <m/>
    <m/>
    <s v=""/>
    <s v=""/>
    <n v="7.43"/>
    <n v="4.8899999999999997"/>
    <n v="1.26"/>
    <s v=""/>
    <s v="NO"/>
    <e v="#VALUE!"/>
    <e v="#VALUE!"/>
    <n v="-0.30558296583137484"/>
    <n v="-0.16912564092643145"/>
    <n v="-1.6075347304654621"/>
    <e v="#VALUE!"/>
    <x v="1"/>
    <x v="1"/>
    <x v="1"/>
    <x v="1"/>
    <x v="0"/>
    <x v="1"/>
  </r>
  <r>
    <x v="11"/>
    <s v="CBZ"/>
    <n v="3960"/>
    <n v="73.83"/>
    <n v="3.01"/>
    <n v="18.489999999999998"/>
    <n v="2.37"/>
    <n v="24.528239202657808"/>
    <n v="3.9929691725256897"/>
    <n v="13.69"/>
    <n v="4.5999999999999996"/>
    <n v="2.2999999999999998"/>
    <n v="31.151898734177212"/>
    <s v="NO"/>
    <n v="0.88387913516583805"/>
    <n v="0.18461485189132501"/>
    <n v="-0.2218564752544912"/>
    <n v="-0.26866637792925746"/>
    <n v="-1.5309854575861898E-2"/>
    <n v="0.60127734990118686"/>
    <x v="0"/>
    <x v="0"/>
    <x v="1"/>
    <x v="1"/>
    <x v="0"/>
    <x v="0"/>
  </r>
  <r>
    <x v="11"/>
    <s v="CLVT"/>
    <n v="4064"/>
    <n v="4.4400000000000004"/>
    <n v="0.54"/>
    <n v="7.76"/>
    <n v="-1.96"/>
    <n v="8.2222222222222232"/>
    <n v="0.57216494845360832"/>
    <n v="-21.14"/>
    <n v="1.3"/>
    <n v="2.1800000000000002"/>
    <n v="-2.2653061224489797"/>
    <s v="NO"/>
    <n v="-1.4606330698578298"/>
    <n v="-1.1976831254231854"/>
    <n v="-0.68770210892747152"/>
    <n v="-1.4013713162372774"/>
    <n v="-0.19902810948619989"/>
    <n v="-1.7566979853443299"/>
    <x v="0"/>
    <x v="0"/>
    <x v="1"/>
    <x v="0"/>
    <x v="0"/>
    <x v="0"/>
  </r>
  <r>
    <x v="11"/>
    <s v="DNB"/>
    <n v="5488"/>
    <n v="8.9700000000000006"/>
    <n v="0.53"/>
    <n v="7.55"/>
    <n v="-0.08"/>
    <n v="16.924528301886792"/>
    <n v="1.1880794701986757"/>
    <n v="-0.91"/>
    <n v="1.49"/>
    <n v="2.7"/>
    <n v="-112.125"/>
    <s v="NO"/>
    <n v="-0.209397845455394"/>
    <n v="-0.94880089135210721"/>
    <n v="-0.41712912100888433"/>
    <n v="-1.3361549713043912"/>
    <n v="0.59708432845860038"/>
    <n v="-9.5085865592782053"/>
    <x v="0"/>
    <x v="0"/>
    <x v="1"/>
    <x v="1"/>
    <x v="0"/>
    <x v="1"/>
  </r>
  <r>
    <x v="11"/>
    <s v="EXPO"/>
    <n v="4853"/>
    <n v="79.14"/>
    <n v="3.01"/>
    <n v="8.08"/>
    <n v="2.06"/>
    <n v="26.292358803986712"/>
    <n v="9.7945544554455441"/>
    <n v="27.84"/>
    <n v="10.28"/>
    <n v="1.81"/>
    <n v="38.417475728155338"/>
    <s v="NO"/>
    <n v="1.1375278306994925"/>
    <n v="2.5289523457954379"/>
    <n v="-3.2602506937733512E-2"/>
    <n v="1.6809590916433343"/>
    <n v="-0.76549272879307717"/>
    <n v="1.1139489339439386"/>
    <x v="0"/>
    <x v="0"/>
    <x v="1"/>
    <x v="1"/>
    <x v="0"/>
    <x v="0"/>
  </r>
  <r>
    <x v="11"/>
    <s v="FCN"/>
    <n v="7117"/>
    <n v="162.91"/>
    <n v="12.39"/>
    <n v="63.75"/>
    <n v="8.7100000000000009"/>
    <n v="13.148506860371267"/>
    <n v="2.5554509803921568"/>
    <n v="15.16"/>
    <n v="7.56"/>
    <n v="1.56"/>
    <n v="18.703788748564865"/>
    <s v="YES"/>
    <n v="-0.75232186955558988"/>
    <n v="-0.39626565432297145"/>
    <n v="-0.20219546229154889"/>
    <n v="0.74733562734096648"/>
    <n v="-1.1482390931896158"/>
    <n v="-0.27708265783827424"/>
    <x v="0"/>
    <x v="0"/>
    <x v="1"/>
    <x v="1"/>
    <x v="0"/>
    <x v="0"/>
  </r>
  <r>
    <x v="11"/>
    <s v="HURN"/>
    <n v="2184"/>
    <n v="149.80000000000001"/>
    <n v="5.88"/>
    <n v="32.01"/>
    <n v="4.5199999999999996"/>
    <n v="25.476190476190478"/>
    <n v="4.6797875663855049"/>
    <n v="15.88"/>
    <n v="7.09"/>
    <n v="2.54"/>
    <n v="33.141592920353986"/>
    <s v="NO"/>
    <n v="1.0201774925900744"/>
    <n v="0.46214832484894558"/>
    <n v="-0.19256557839133223"/>
    <n v="0.58601098461224854"/>
    <n v="0.35212665524481546"/>
    <n v="0.741673586983713"/>
    <x v="0"/>
    <x v="0"/>
    <x v="1"/>
    <x v="1"/>
    <x v="0"/>
    <x v="0"/>
  </r>
  <r>
    <x v="11"/>
    <s v="ICFI"/>
    <n v="2486"/>
    <n v="86.1"/>
    <n v="8.68"/>
    <n v="52.03"/>
    <n v="5.69"/>
    <n v="9.9193548387096779"/>
    <n v="1.6548145300788006"/>
    <n v="11.53"/>
    <n v="5.33"/>
    <n v="2.08"/>
    <n v="15.131810193321614"/>
    <s v="YES"/>
    <n v="-1.2166158989158002"/>
    <n v="-0.76019994053649309"/>
    <n v="-0.2507461269551412"/>
    <n v="-1.8098315818695334E-2"/>
    <n v="-0.35212665524481546"/>
    <n v="-0.5291275959899282"/>
    <x v="0"/>
    <x v="0"/>
    <x v="1"/>
    <x v="1"/>
    <x v="0"/>
    <x v="0"/>
  </r>
  <r>
    <x v="11"/>
    <s v="KBR"/>
    <n v="7915"/>
    <n v="55.96"/>
    <n v="3.23"/>
    <n v="11.28"/>
    <n v="2.39"/>
    <n v="17.325077399380806"/>
    <n v="4.960992907801419"/>
    <n v="21.05"/>
    <n v="5.33"/>
    <n v="4.51"/>
    <n v="23.414225941422593"/>
    <s v="NO"/>
    <n v="-0.15180608353630112"/>
    <n v="0.57577937450502314"/>
    <n v="-0.1234176620522766"/>
    <n v="-1.8098315818695334E-2"/>
    <n v="3.368168006689539"/>
    <n v="5.5293875945318427E-2"/>
    <x v="0"/>
    <x v="0"/>
    <x v="1"/>
    <x v="1"/>
    <x v="1"/>
    <x v="0"/>
  </r>
  <r>
    <x v="11"/>
    <s v="SAIC"/>
    <n v="5846"/>
    <n v="119.08"/>
    <n v="7.2"/>
    <n v="32.5"/>
    <n v="5.54"/>
    <n v="16.538888888888888"/>
    <n v="3.6640000000000001"/>
    <n v="16.72"/>
    <n v="5.83"/>
    <n v="3.23"/>
    <n v="21.494584837545126"/>
    <s v="NO"/>
    <n v="-0.26484586268710397"/>
    <n v="5.1683122392996668E-2"/>
    <n v="-0.18133071384107952"/>
    <n v="0.15352364453100464"/>
    <n v="1.4085066209792618"/>
    <n v="-8.0159295404199915E-2"/>
    <x v="0"/>
    <x v="0"/>
    <x v="1"/>
    <x v="1"/>
    <x v="0"/>
    <x v="0"/>
  </r>
  <r>
    <x v="11"/>
    <s v="CNXC"/>
    <n v="2805"/>
    <n v="55.17"/>
    <n v="5.73"/>
    <n v="64.739999999999995"/>
    <n v="3.08"/>
    <n v="9.6282722513088999"/>
    <n v="0.85217794253938839"/>
    <n v="5.8"/>
    <n v="4.6100000000000003"/>
    <n v="2.93"/>
    <n v="17.912337662337663"/>
    <s v="NO"/>
    <n v="-1.2584683439150792"/>
    <n v="-1.0845338862405347"/>
    <n v="-0.32738395299436529"/>
    <n v="-0.26523393872226325"/>
    <n v="0.94921098370341583"/>
    <n v="-0.33292880500659339"/>
    <x v="0"/>
    <x v="0"/>
    <x v="1"/>
    <x v="1"/>
    <x v="0"/>
    <x v="0"/>
  </r>
  <r>
    <x v="11"/>
    <s v="EXLS"/>
    <n v="7499"/>
    <n v="46.86"/>
    <n v="1.19"/>
    <n v="5.64"/>
    <n v="1.1399999999999999"/>
    <n v="39.378151260504204"/>
    <n v="8.3085106382978733"/>
    <n v="21.31"/>
    <n v="10.24"/>
    <n v="1.77"/>
    <n v="41.10526315789474"/>
    <s v="NO"/>
    <n v="3.0190296201016737"/>
    <n v="1.9284633297363079"/>
    <n v="-0.11994020397719839"/>
    <n v="1.6672293348153586"/>
    <n v="-0.82673214709652343"/>
    <n v="1.3036038285678304"/>
    <x v="0"/>
    <x v="0"/>
    <x v="1"/>
    <x v="1"/>
    <x v="0"/>
    <x v="0"/>
  </r>
  <r>
    <x v="11"/>
    <s v="G"/>
    <n v="7964"/>
    <n v="43.72"/>
    <n v="2.9"/>
    <n v="13.58"/>
    <n v="3.66"/>
    <n v="15.075862068965517"/>
    <n v="3.2194403534609721"/>
    <n v="30.11"/>
    <n v="8.44"/>
    <n v="2.2200000000000002"/>
    <n v="11.94535519125683"/>
    <s v="YES"/>
    <n v="-0.47520282721760942"/>
    <n v="-0.12795706159714196"/>
    <n v="-2.2416229745504807E-3"/>
    <n v="1.0493902775564383"/>
    <n v="-0.13778869118275366"/>
    <n v="-0.7539693304789401"/>
    <x v="0"/>
    <x v="0"/>
    <x v="1"/>
    <x v="1"/>
    <x v="0"/>
    <x v="0"/>
  </r>
  <r>
    <x v="11"/>
    <s v="MMS"/>
    <n v="4351"/>
    <n v="75.36"/>
    <n v="6.27"/>
    <n v="30.53"/>
    <n v="4.99"/>
    <n v="12.019138755980862"/>
    <n v="2.4683917458237796"/>
    <n v="17.48"/>
    <n v="7.62"/>
    <n v="2.2400000000000002"/>
    <n v="15.102204408817634"/>
    <s v="YES"/>
    <n v="-0.91470470700048356"/>
    <n v="-0.43144504372022963"/>
    <n v="-0.17116583639085081"/>
    <n v="0.76793026258293062"/>
    <n v="-0.10716898203103056"/>
    <n v="-0.53121663096279603"/>
    <x v="0"/>
    <x v="0"/>
    <x v="1"/>
    <x v="1"/>
    <x v="0"/>
    <x v="0"/>
  </r>
  <r>
    <x v="11"/>
    <s v="VRRM"/>
    <n v="3908"/>
    <n v="23.55"/>
    <n v="0.9"/>
    <n v="2.95"/>
    <n v="0.6"/>
    <n v="26.166666666666668"/>
    <n v="7.9830508474576272"/>
    <n v="22.71"/>
    <n v="8.27"/>
    <n v="3.8"/>
    <n v="39.25"/>
    <s v="NO"/>
    <n v="1.1194555601765359"/>
    <n v="1.7969496910983909"/>
    <n v="-0.10121542972677711"/>
    <n v="0.99103881103754043"/>
    <n v="2.2811683318033698"/>
    <n v="1.1726932755914625"/>
    <x v="0"/>
    <x v="0"/>
    <x v="1"/>
    <x v="1"/>
    <x v="0"/>
    <x v="0"/>
  </r>
  <r>
    <x v="11"/>
    <s v="WNS"/>
    <n v="2154"/>
    <n v="54.82"/>
    <n v="3.9"/>
    <n v="16.760000000000002"/>
    <n v="2.83"/>
    <n v="14.056410256410256"/>
    <n v="3.2708830548926011"/>
    <n v="15.38"/>
    <n v="7.91"/>
    <n v="1.84"/>
    <n v="19.371024734982331"/>
    <s v="YES"/>
    <n v="-0.62178167721126754"/>
    <n v="-0.10716980296475884"/>
    <n v="-0.19925299776648267"/>
    <n v="0.86747099958575669"/>
    <n v="-0.71956316506549245"/>
    <n v="-0.23000134132748809"/>
    <x v="0"/>
    <x v="0"/>
    <x v="1"/>
    <x v="1"/>
    <x v="0"/>
    <x v="0"/>
  </r>
  <r>
    <x v="12"/>
    <s v="AL"/>
    <n v="5572"/>
    <n v="56.94"/>
    <n v="-19.66"/>
    <n v="68.92"/>
    <n v="4.3899999999999997"/>
    <n v="-2.8962360122075279"/>
    <n v="0.82617527568195004"/>
    <n v="7.32"/>
    <n v="2.81"/>
    <n v="4.1900000000000004"/>
    <n v="12.970387243735763"/>
    <s v="NO"/>
    <n v="-1.3962255506799004"/>
    <n v="-1.8851780122887694"/>
    <n v="-2.1136376940212696"/>
    <n v="-1.5662179399218084"/>
    <n v="0.7396161972328571"/>
    <n v="-0.56072435465658843"/>
    <x v="0"/>
    <x v="0"/>
    <x v="0"/>
    <x v="1"/>
    <x v="0"/>
    <x v="0"/>
  </r>
  <r>
    <x v="12"/>
    <s v="BCC"/>
    <n v="5602"/>
    <n v="93.71"/>
    <n v="6.56"/>
    <n v="55.22"/>
    <n v="10.210000000000001"/>
    <n v="14.285060975609756"/>
    <n v="1.6970300615718941"/>
    <n v="18.28"/>
    <n v="9.3800000000000008"/>
    <n v="1.62"/>
    <n v="9.1782566111655228"/>
    <s v="YES"/>
    <n v="-0.20904354628130717"/>
    <n v="-0.86772506898458324"/>
    <n v="-0.14147899431088398"/>
    <n v="1.4774256978261671"/>
    <n v="-1.1300365505262648"/>
    <n v="-1.4198064141370867"/>
    <x v="0"/>
    <x v="0"/>
    <x v="0"/>
    <x v="1"/>
    <x v="0"/>
    <x v="0"/>
  </r>
  <r>
    <x v="12"/>
    <s v="BECN"/>
    <n v="6905"/>
    <n v="124.17"/>
    <n v="3.12"/>
    <n v="30.66"/>
    <n v="5.85"/>
    <n v="39.79807692307692"/>
    <n v="4.049902152641879"/>
    <n v="20.46"/>
    <n v="6.22"/>
    <n v="3.91"/>
    <n v="21.225641025641028"/>
    <s v="NO"/>
    <n v="1.5538381169740354"/>
    <n v="1.8812253565803623"/>
    <n v="0.25079344778479479"/>
    <n v="1.35118629275972E-2"/>
    <n v="0.53591862160151293"/>
    <n v="1.3094486714468276"/>
    <x v="0"/>
    <x v="0"/>
    <x v="1"/>
    <x v="1"/>
    <x v="0"/>
    <x v="0"/>
  </r>
  <r>
    <x v="12"/>
    <s v="GATX"/>
    <n v="5716"/>
    <n v="149.24"/>
    <n v="-34.479999999999997"/>
    <n v="68.56"/>
    <n v="7.5"/>
    <n v="-4.328306264501161"/>
    <n v="2.1767794632438742"/>
    <n v="11.87"/>
    <n v="2.46"/>
    <n v="5.08"/>
    <n v="19.898666666666667"/>
    <s v="NO"/>
    <n v="-1.4951778028738449"/>
    <n v="-0.30721549989407615"/>
    <n v="-1.2949039272619398"/>
    <n v="-1.7283602950529791"/>
    <n v="1.3870834912039147"/>
    <n v="1.0088314259874196"/>
    <x v="0"/>
    <x v="0"/>
    <x v="0"/>
    <x v="1"/>
    <x v="0"/>
    <x v="0"/>
  </r>
  <r>
    <x v="12"/>
    <s v="GMS"/>
    <n v="3772"/>
    <n v="77.45"/>
    <n v="8.7899999999999991"/>
    <n v="37.43"/>
    <n v="6.07"/>
    <n v="8.8111490329920379"/>
    <n v="2.0691958322201445"/>
    <n v="17.45"/>
    <n v="7.14"/>
    <n v="2.65"/>
    <n v="12.759472817133442"/>
    <s v="YES"/>
    <n v="-0.58727632792440443"/>
    <n v="-0.43290956945652864"/>
    <n v="-0.29083042868676201"/>
    <n v="0.43971462498667435"/>
    <n v="-0.38072046873953524"/>
    <n v="-0.60850562000209696"/>
    <x v="0"/>
    <x v="0"/>
    <x v="1"/>
    <x v="1"/>
    <x v="0"/>
    <x v="0"/>
  </r>
  <r>
    <x v="12"/>
    <s v="HEES"/>
    <n v="2196"/>
    <n v="95.18"/>
    <n v="2.65"/>
    <n v="16.54"/>
    <n v="3.94"/>
    <n v="35.916981132075477"/>
    <n v="5.754534461910521"/>
    <n v="26.49"/>
    <n v="5.7"/>
    <n v="4.84"/>
    <n v="24.157360406091371"/>
    <s v="NO"/>
    <n v="1.2856647023772727"/>
    <n v="3.8728124597555378"/>
    <n v="1.3358406155999059"/>
    <n v="-0.22738535041014188"/>
    <n v="1.2124855692341909"/>
    <n v="1.9736102648118525"/>
    <x v="0"/>
    <x v="1"/>
    <x v="1"/>
    <x v="1"/>
    <x v="0"/>
    <x v="0"/>
  </r>
  <r>
    <x v="12"/>
    <s v="HRI"/>
    <n v="6537"/>
    <n v="136.77000000000001"/>
    <n v="11.93"/>
    <n v="52.01"/>
    <n v="12.22"/>
    <n v="11.464375523889355"/>
    <n v="2.6296865987310136"/>
    <n v="26.01"/>
    <n v="5.85"/>
    <n v="5.53"/>
    <n v="11.192307692307693"/>
    <s v="NO"/>
    <n v="-0.40394542189208388"/>
    <n v="0.22193322330429849"/>
    <n v="1.2494687017439772"/>
    <n v="-0.15789576963964042"/>
    <n v="1.7144545948971461"/>
    <n v="-0.96353649141192543"/>
    <x v="0"/>
    <x v="0"/>
    <x v="1"/>
    <x v="1"/>
    <x v="0"/>
    <x v="0"/>
  </r>
  <r>
    <x v="12"/>
    <s v="MGRC"/>
    <n v="2999"/>
    <n v="115.46"/>
    <n v="3.74"/>
    <n v="44.56"/>
    <n v="9.15"/>
    <n v="30.871657754010691"/>
    <n v="2.5911131059245958"/>
    <n v="22.42"/>
    <n v="6.67"/>
    <n v="2.09"/>
    <n v="12.618579234972676"/>
    <s v="NO"/>
    <n v="0.93704625261430341"/>
    <n v="0.17686633680920311"/>
    <n v="0.60347876269650613"/>
    <n v="0.22198060523910243"/>
    <n v="-0.78811562000222324"/>
    <n v="-0.64042412715758945"/>
    <x v="0"/>
    <x v="0"/>
    <x v="1"/>
    <x v="1"/>
    <x v="0"/>
    <x v="0"/>
  </r>
  <r>
    <x v="12"/>
    <s v="MSM"/>
    <n v="4647"/>
    <n v="79.03"/>
    <n v="5.53"/>
    <n v="24.9"/>
    <n v="4.58"/>
    <n v="14.291139240506329"/>
    <n v="3.1738955823293176"/>
    <n v="17.690000000000001"/>
    <n v="10.14"/>
    <n v="1.77"/>
    <n v="17.255458515283841"/>
    <s v="NO"/>
    <n v="-0.20862355431514212"/>
    <n v="0.85775338655784195"/>
    <n v="-0.24764447175879703"/>
    <n v="1.8295062403967091"/>
    <n v="-1.0209128492951878"/>
    <n v="0.41003013923255499"/>
    <x v="0"/>
    <x v="0"/>
    <x v="0"/>
    <x v="1"/>
    <x v="0"/>
    <x v="0"/>
  </r>
  <r>
    <x v="12"/>
    <s v="RUSHA"/>
    <n v="4895"/>
    <n v="51.77"/>
    <n v="-0.91"/>
    <n v="26.37"/>
    <n v="3.77"/>
    <n v="-56.890109890109891"/>
    <n v="1.9632157755024651"/>
    <n v="15.31"/>
    <n v="6.7"/>
    <n v="2.23"/>
    <n v="13.732095490716182"/>
    <s v="NO"/>
    <n v="-5.1270588784004243"/>
    <n v="-0.55673012184489745"/>
    <n v="-0.67590521129444647"/>
    <n v="0.23587852139320289"/>
    <n v="-0.68626683218655116"/>
    <n v="-0.38816440012366726"/>
    <x v="1"/>
    <x v="0"/>
    <x v="1"/>
    <x v="1"/>
    <x v="0"/>
    <x v="0"/>
  </r>
  <r>
    <x v="12"/>
    <s v="RUSHB"/>
    <n v="4541"/>
    <n v="56.22"/>
    <n v="-0.91"/>
    <n v="26.37"/>
    <n v="3.77"/>
    <n v="-61.780219780219774"/>
    <n v="2.1319681456200228"/>
    <n v="15.31"/>
    <n v="6.7"/>
    <n v="2.23"/>
    <n v="14.912466843501326"/>
    <s v="NO"/>
    <n v="-5.4649524882476026"/>
    <n v="-0.35957027562529464"/>
    <n v="-0.67590521129444647"/>
    <n v="0.23587852139320289"/>
    <n v="-0.68626683218655116"/>
    <n v="-0.12075909398969907"/>
    <x v="1"/>
    <x v="0"/>
    <x v="1"/>
    <x v="1"/>
    <x v="0"/>
    <x v="0"/>
  </r>
  <r>
    <x v="12"/>
    <s v="SITE"/>
    <n v="6816"/>
    <n v="126.94"/>
    <n v="5.0999999999999996"/>
    <n v="35.979999999999997"/>
    <n v="3.11"/>
    <n v="24.890196078431373"/>
    <n v="3.5280711506392444"/>
    <n v="9.08"/>
    <n v="4.5199999999999996"/>
    <n v="1.94"/>
    <n v="40.816720257234728"/>
    <s v="NO"/>
    <n v="0.52374313200107048"/>
    <n v="1.2715502448424432"/>
    <n v="-1.7969406765495286"/>
    <n v="-0.77403671913808902"/>
    <n v="-0.8972393212333003"/>
    <n v="5.7476778160783297"/>
    <x v="0"/>
    <x v="0"/>
    <x v="1"/>
    <x v="1"/>
    <x v="0"/>
    <x v="1"/>
  </r>
  <r>
    <x v="13"/>
    <s v="ASR"/>
    <n v="7938"/>
    <n v="338.47"/>
    <n v="1.94"/>
    <n v="8.52"/>
    <n v="2.15"/>
    <n v="174.46907216494847"/>
    <n v="39.726525821596248"/>
    <n v="24.24"/>
    <n v="13.92"/>
    <n v="1.56"/>
    <n v="157.4279069767442"/>
    <s v="YES"/>
    <n v="-2.8051619329094047E-2"/>
    <n v="-0.44979199760118072"/>
    <n v="-1.0334060017792572"/>
    <n v="0.21684089921077879"/>
    <n v="-1.584376190519037"/>
    <n v="-0.61502552657924059"/>
    <x v="0"/>
    <x v="0"/>
    <x v="1"/>
    <x v="1"/>
    <x v="0"/>
    <x v="0"/>
  </r>
  <r>
    <x v="13"/>
    <s v="CAAP"/>
    <n v="3169"/>
    <n v="21.87"/>
    <n v="2.44"/>
    <n v="8.06"/>
    <n v="2.09"/>
    <n v="8.9631147540983616"/>
    <n v="2.7133995037220844"/>
    <n v="26.5"/>
    <n v="6.1"/>
    <n v="3.28"/>
    <n v="10.464114832535886"/>
    <s v="NO"/>
    <n v="-1.6137115320682098"/>
    <n v="-1.3867503938089047"/>
    <n v="-0.85953683639521683"/>
    <n v="-1.457920416175188"/>
    <n v="0.40840410029832525"/>
    <n v="-4.0429751428567231"/>
    <x v="0"/>
    <x v="0"/>
    <x v="1"/>
    <x v="1"/>
    <x v="0"/>
    <x v="1"/>
  </r>
  <r>
    <x v="13"/>
    <s v="OMAB"/>
    <n v="3501"/>
    <n v="98.8"/>
    <n v="0.4"/>
    <n v="1.21"/>
    <n v="0.66"/>
    <n v="246.99999999999997"/>
    <n v="81.652892561983478"/>
    <n v="55.8"/>
    <n v="19.2"/>
    <n v="2.95"/>
    <n v="149.69696969696969"/>
    <s v="NO"/>
    <n v="0.6668441203832649"/>
    <n v="0.61154124408501642"/>
    <n v="1.3946076528757478"/>
    <n v="1.3476260328729148"/>
    <n v="2.6068346827552664E-2"/>
    <n v="-0.79535064676710243"/>
    <x v="0"/>
    <x v="0"/>
    <x v="1"/>
    <x v="1"/>
    <x v="0"/>
    <x v="0"/>
  </r>
  <r>
    <x v="13"/>
    <s v="PAC"/>
    <n v="9699"/>
    <n v="214.95"/>
    <n v="0.77"/>
    <n v="2.0299999999999998"/>
    <n v="0.88"/>
    <n v="279.15584415584414"/>
    <n v="105.88669950738917"/>
    <n v="44.15"/>
    <n v="12.41"/>
    <n v="3.92"/>
    <n v="244.26136363636363"/>
    <s v="NO"/>
    <n v="0.97491903101403976"/>
    <n v="1.2250011473250688"/>
    <n v="0.49833518529872606"/>
    <n v="-0.10654651590850631"/>
    <n v="1.149903743393158"/>
    <n v="1.4103761733463445"/>
    <x v="0"/>
    <x v="0"/>
    <x v="1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s v="ASLE"/>
    <n v="330"/>
    <n v="6.1"/>
    <n v="-0.97"/>
    <n v="8.49"/>
    <n v="-0.02"/>
    <n v="-6.2886597938144329"/>
    <n v="0.71849234393403993"/>
    <n v="0.09"/>
    <n v="0.41"/>
    <n v="1.33"/>
    <n v="-305"/>
    <s v="NO"/>
    <n v="-0.16867787421199373"/>
    <n v="-0.71528559423732541"/>
    <n v="-0.96253391556384882"/>
    <n v="0.11459457476337997"/>
    <n v="-0.77654078222776735"/>
    <n v="-12.224373603485137"/>
    <x v="0"/>
    <x v="0"/>
    <x v="0"/>
    <x v="0"/>
    <x v="0"/>
    <x v="0"/>
  </r>
  <r>
    <x v="0"/>
    <s v="ATRO"/>
    <n v="580"/>
    <n v="29.78"/>
    <n v="-0.13"/>
    <n v="7.11"/>
    <n v="-0.18"/>
    <n v="-229.07692307692307"/>
    <n v="4.1884669479606185"/>
    <n v="-2.66"/>
    <n v="2.1800000000000002"/>
    <n v="2.61"/>
    <n v="-165.44444444444446"/>
    <s v="NO"/>
    <n v="-5.806479822411343"/>
    <n v="0.69155547184967281"/>
    <n v="-1.5533750467693364"/>
    <n v="0.34207016055536055"/>
    <n v="2.1279234422085591"/>
    <n v="-6.7982410110789413"/>
    <x v="1"/>
    <x v="0"/>
    <x v="0"/>
    <x v="0"/>
    <x v="0"/>
    <x v="0"/>
  </r>
  <r>
    <x v="0"/>
    <s v="BYRN"/>
    <n v="437"/>
    <n v="24.66"/>
    <n v="0.45"/>
    <n v="1.98"/>
    <n v="0.1"/>
    <n v="54.8"/>
    <n v="12.454545454545455"/>
    <n v="5.28"/>
    <n v="1.97"/>
    <n v="1.32"/>
    <n v="246.6"/>
    <s v="NO"/>
    <n v="1.3772104060911743"/>
    <n v="4.042893745354097"/>
    <n v="0.15254443751123495"/>
    <n v="0.31508153173258319"/>
    <n v="-0.79923190898117624"/>
    <n v="9.2226746781560465"/>
    <x v="0"/>
    <x v="1"/>
    <x v="0"/>
    <x v="0"/>
    <x v="0"/>
    <x v="0"/>
  </r>
  <r>
    <x v="0"/>
    <s v="CDRE"/>
    <n v="1443"/>
    <n v="36.01"/>
    <n v="0.72"/>
    <n v="7.39"/>
    <n v="0.83"/>
    <n v="50.013888888888886"/>
    <n v="4.8728010825439787"/>
    <n v="13.36"/>
    <n v="7.39"/>
    <n v="2.0499999999999998"/>
    <n v="43.385542168674696"/>
    <s v="NO"/>
    <n v="1.2560947505854267"/>
    <n v="0.9690068867216427"/>
    <n v="1.8885431066531762"/>
    <n v="1.0116451899204557"/>
    <n v="0.85722034401766589"/>
    <n v="1.3213869902735764"/>
    <x v="0"/>
    <x v="0"/>
    <x v="0"/>
    <x v="0"/>
    <x v="0"/>
    <x v="1"/>
  </r>
  <r>
    <x v="0"/>
    <s v="DCO"/>
    <n v="941"/>
    <n v="66.06"/>
    <n v="1.93"/>
    <n v="45.04"/>
    <n v="2"/>
    <n v="34.2279792746114"/>
    <n v="1.4666962699822381"/>
    <n v="4.59"/>
    <n v="3.33"/>
    <n v="1.7"/>
    <n v="33.03"/>
    <s v="NO"/>
    <n v="0.85662203749919796"/>
    <n v="-0.41193927932462343"/>
    <n v="4.2970264087670903E-3"/>
    <n v="0.48986503268009368"/>
    <n v="6.3030907648358059E-2"/>
    <n v="0.91874773560690226"/>
    <x v="0"/>
    <x v="0"/>
    <x v="0"/>
    <x v="0"/>
    <x v="0"/>
    <x v="1"/>
  </r>
  <r>
    <x v="0"/>
    <s v="EH"/>
    <n v="959"/>
    <n v="19.239999999999998"/>
    <n v="-0.23"/>
    <n v="1.54"/>
    <n v="-0.56000000000000005"/>
    <n v="-83.65217391304347"/>
    <n v="12.493506493506493"/>
    <n v="-49.73"/>
    <n v="-17.38"/>
    <n v="1.86"/>
    <n v="-34.357142857142854"/>
    <s v="NO"/>
    <n v="-2.1264119316236529"/>
    <n v="4.0586898233784723"/>
    <n v="-11.666426699802898"/>
    <n v="-2.1717278383661873"/>
    <n v="0.42608893570289924"/>
    <n v="-1.7013670331004849"/>
    <x v="0"/>
    <x v="1"/>
    <x v="1"/>
    <x v="0"/>
    <x v="0"/>
    <x v="1"/>
  </r>
  <r>
    <x v="0"/>
    <s v="EVEX"/>
    <n v="1327"/>
    <n v="3.93"/>
    <n v="-0.45"/>
    <n v="0.55000000000000004"/>
    <n v="-0.49"/>
    <n v="-8.7333333333333343"/>
    <n v="7.1454545454545455"/>
    <n v="-74.78"/>
    <n v="-35.24"/>
    <n v="1.77"/>
    <n v="-8.0204081632653068"/>
    <s v="NO"/>
    <n v="-0.23054192863166847"/>
    <n v="1.8904148465658701"/>
    <n v="-17.048452276783792"/>
    <n v="-4.4670464611033465"/>
    <n v="0.22186879492221984"/>
    <n v="-0.6773546680526854"/>
    <x v="0"/>
    <x v="0"/>
    <x v="1"/>
    <x v="1"/>
    <x v="0"/>
    <x v="1"/>
  </r>
  <r>
    <x v="0"/>
    <s v="LUNR"/>
    <n v="1004"/>
    <n v="11.63"/>
    <n v="-1.89"/>
    <n v="-6.2"/>
    <n v="-2.79"/>
    <n v="-6.1534391534391544"/>
    <n v="-1.8758064516129034"/>
    <n v="539.21"/>
    <n v="-15.48"/>
    <n v="-0.45"/>
    <n v="-4.1684587813620073"/>
    <s v="NO"/>
    <n v="-0.16525602793288452"/>
    <n v="-1.7670990798577293"/>
    <n v="114.8681099591643"/>
    <n v="-1.9275450061601065"/>
    <n v="-4.8155613443345349"/>
    <n v="-0.52758500820475573"/>
    <x v="0"/>
    <x v="0"/>
    <x v="1"/>
    <x v="0"/>
    <x v="1"/>
    <x v="1"/>
  </r>
  <r>
    <x v="0"/>
    <s v="NPK"/>
    <n v="629"/>
    <n v="85.64"/>
    <n v="-4.66"/>
    <n v="48.81"/>
    <n v="4.76"/>
    <n v="-18.377682403433475"/>
    <n v="1.7545584921122721"/>
    <n v="9.83"/>
    <n v="5.12"/>
    <n v="1.24"/>
    <n v="17.991596638655462"/>
    <s v="NO"/>
    <n v="-0.47459845645436916"/>
    <n v="-0.29523053021802986"/>
    <n v="1.1301179455057688"/>
    <n v="0.71991096407424349"/>
    <n v="-0.98076092300844675"/>
    <n v="0.33403170411750521"/>
    <x v="0"/>
    <x v="0"/>
    <x v="0"/>
    <x v="0"/>
    <x v="0"/>
    <x v="1"/>
  </r>
  <r>
    <x v="0"/>
    <s v="PKE"/>
    <n v="299"/>
    <n v="13.6"/>
    <n v="0.38"/>
    <n v="5.58"/>
    <n v="0.37"/>
    <n v="35.789473684210527"/>
    <n v="2.4372759856630823"/>
    <n v="6.22"/>
    <n v="4.53"/>
    <n v="1.17"/>
    <n v="36.756756756756758"/>
    <s v="NO"/>
    <n v="0.89613666944079817"/>
    <n v="-1.8434554435174149E-2"/>
    <n v="0.35450467872329239"/>
    <n v="0.64408576881025004"/>
    <n v="-1.1395988102823085"/>
    <n v="1.0636497154765445"/>
    <x v="0"/>
    <x v="0"/>
    <x v="0"/>
    <x v="0"/>
    <x v="0"/>
    <x v="1"/>
  </r>
  <r>
    <x v="0"/>
    <s v="RDW"/>
    <n v="936"/>
    <n v="11.39"/>
    <n v="-0.28000000000000003"/>
    <n v="-1.45"/>
    <n v="-1.21"/>
    <n v="-40.678571428571423"/>
    <n v="-7.8551724137931043"/>
    <n v="-160.53"/>
    <n v="-5.75"/>
    <n v="-3.01"/>
    <n v="-9.4132231404958677"/>
    <s v="NO"/>
    <n v="-1.0389369621714817"/>
    <n v="-4.1913293825799887"/>
    <n v="-35.471953004373084"/>
    <n v="-0.67707187070475572"/>
    <n v="-10.624489793207188"/>
    <n v="-0.73150943611660257"/>
    <x v="0"/>
    <x v="1"/>
    <x v="1"/>
    <x v="0"/>
    <x v="1"/>
    <x v="1"/>
  </r>
  <r>
    <x v="0"/>
    <s v="TGI"/>
    <n v="1470"/>
    <n v="25.65"/>
    <n v="-0.81"/>
    <n v="-1.23"/>
    <n v="-0.17"/>
    <n v="-31.666666666666664"/>
    <n v="-20.853658536585364"/>
    <n v="3.5"/>
    <n v="4.9800000000000004"/>
    <n v="-15.88"/>
    <n v="-150.88235294117646"/>
    <s v="NO"/>
    <n v="-0.81088484903529678"/>
    <n v="-9.4613403081026135"/>
    <n v="-0.22989091286904428"/>
    <n v="0.70191854485905869"/>
    <n v="-39.827969924844318"/>
    <n v="-6.2320447102227678"/>
    <x v="0"/>
    <x v="1"/>
    <x v="0"/>
    <x v="0"/>
    <x v="1"/>
    <x v="0"/>
  </r>
  <r>
    <x v="0"/>
    <s v="VVX"/>
    <n v="1931"/>
    <n v="52"/>
    <n v="2.06"/>
    <n v="31.77"/>
    <n v="0.28000000000000003"/>
    <n v="25.242718446601941"/>
    <n v="1.6367642429965377"/>
    <n v="0.92"/>
    <n v="2.92"/>
    <n v="3.12"/>
    <n v="185.71428571428569"/>
    <s v="NO"/>
    <n v="0.62924416644475023"/>
    <n v="-0.34298816706430457"/>
    <n v="-0.78420731960001078"/>
    <n v="0.4371729478356236"/>
    <n v="3.2851709066324082"/>
    <n v="6.8553453562780087"/>
    <x v="0"/>
    <x v="0"/>
    <x v="0"/>
    <x v="0"/>
    <x v="1"/>
    <x v="0"/>
  </r>
  <r>
    <x v="1"/>
    <s v="ATSG"/>
    <n v="1445"/>
    <n v="22.48"/>
    <n v="1.45"/>
    <n v="22.48"/>
    <n v="-0.04"/>
    <n v="15.50344827586207"/>
    <n v="1"/>
    <n v="-0.2"/>
    <n v="1.49"/>
    <n v="2.65"/>
    <n v="-562"/>
    <s v="NO"/>
    <n v="-0.59111107554277464"/>
    <n v="-1.0265998483940131"/>
    <n v="-1.1973218933607106"/>
    <n v="-0.76554645504720598"/>
    <n v="1.0230559210576711"/>
    <n v="-1.4120625738619967"/>
    <x v="0"/>
    <x v="0"/>
    <x v="0"/>
    <x v="0"/>
    <x v="0"/>
    <x v="1"/>
  </r>
  <r>
    <x v="1"/>
    <s v="FLX"/>
    <n v="756"/>
    <n v="2.2749999999999999"/>
    <m/>
    <m/>
    <m/>
    <s v=""/>
    <s v=""/>
    <n v="9.17"/>
    <n v="9.16"/>
    <n v="-0.39"/>
    <s v=""/>
    <s v="NO"/>
    <e v="#VALUE!"/>
    <e v="#VALUE!"/>
    <n v="1.2504394464479853"/>
    <n v="10.599114145363249"/>
    <n v="-1.3571149973213998"/>
    <e v="#VALUE!"/>
    <x v="1"/>
    <x v="1"/>
    <x v="0"/>
    <x v="1"/>
    <x v="0"/>
    <x v="0"/>
  </r>
  <r>
    <x v="1"/>
    <s v="FWRD"/>
    <n v="982"/>
    <n v="18.899999999999999"/>
    <n v="-2.56"/>
    <n v="7.88"/>
    <n v="-29.66"/>
    <n v="-7.3828124999999991"/>
    <n v="2.3984771573604058"/>
    <n v="-220.34"/>
    <n v="2.96"/>
    <n v="13.52"/>
    <n v="-0.6372218476062036"/>
    <s v="NO"/>
    <n v="-0.81707233006133884"/>
    <n v="1.3556594456948297"/>
    <n v="-58.705345516144732"/>
    <n v="1.4125566847967794"/>
    <n v="9.5337328561828354"/>
    <n v="0.63850747169759647"/>
    <x v="0"/>
    <x v="0"/>
    <x v="1"/>
    <x v="0"/>
    <x v="1"/>
    <x v="1"/>
  </r>
  <r>
    <x v="1"/>
    <s v="RLGT"/>
    <n v="338"/>
    <n v="6.54"/>
    <n v="0.03"/>
    <n v="4.6399999999999997"/>
    <n v="0.18"/>
    <n v="218"/>
    <n v="1.4094827586206897"/>
    <n v="4.18"/>
    <n v="1.57"/>
    <n v="1.77"/>
    <n v="36.333333333333336"/>
    <s v="NO"/>
    <n v="1.4081834056041131"/>
    <n v="-0.32905959730081724"/>
    <n v="-5.3117553087275331E-2"/>
    <n v="-0.64701022974957401"/>
    <n v="0.33405907626372949"/>
    <n v="0.77355510216440004"/>
    <x v="0"/>
    <x v="0"/>
    <x v="0"/>
    <x v="0"/>
    <x v="0"/>
    <x v="1"/>
  </r>
  <r>
    <x v="2"/>
    <s v="AMWD"/>
    <n v="1346"/>
    <n v="61.67"/>
    <n v="3.83"/>
    <n v="60.36"/>
    <n v="6.67"/>
    <n v="16.101827676240209"/>
    <n v="1.0217031146454607"/>
    <n v="11.64"/>
    <n v="6.24"/>
    <n v="1.75"/>
    <n v="9.2458770614692654"/>
    <s v="NO"/>
    <n v="0.94998585222544552"/>
    <n v="-0.71014450411827101"/>
    <n v="-0.48551871300386484"/>
    <n v="1.4131880708160679E-2"/>
    <n v="-4.7091293497539292E-3"/>
    <n v="-0.24924133123075681"/>
    <x v="0"/>
    <x v="0"/>
    <x v="0"/>
    <x v="0"/>
    <x v="0"/>
    <x v="1"/>
  </r>
  <r>
    <x v="2"/>
    <s v="APOG"/>
    <n v="1821"/>
    <n v="42.2"/>
    <n v="7.36"/>
    <n v="21.32"/>
    <n v="4.74"/>
    <n v="5.7336956521739131"/>
    <n v="1.9793621013133209"/>
    <n v="22.22"/>
    <n v="10.79"/>
    <n v="1.88"/>
    <n v="8.9029535864978904"/>
    <s v="NO"/>
    <n v="-1.0272496292512789"/>
    <n v="0.75619082342197952"/>
    <n v="1.2008857464777154"/>
    <n v="1.3444778922005154"/>
    <n v="0.30138427838425091"/>
    <n v="-0.50785376739113186"/>
    <x v="0"/>
    <x v="0"/>
    <x v="0"/>
    <x v="0"/>
    <x v="0"/>
    <x v="1"/>
  </r>
  <r>
    <x v="2"/>
    <s v="IIIN"/>
    <n v="574"/>
    <n v="37.369999999999997"/>
    <n v="2"/>
    <n v="18.04"/>
    <n v="0.99"/>
    <n v="18.684999999999999"/>
    <n v="2.0715077605321506"/>
    <n v="5.27"/>
    <n v="2.88"/>
    <n v="1.2"/>
    <n v="37.747474747474747"/>
    <s v="NO"/>
    <n v="1.4426049625387614"/>
    <n v="0.89728116692952353"/>
    <n v="-1.500868089837293"/>
    <n v="-0.96827748162465543"/>
    <n v="-1.2997197005320833"/>
    <n v="21.244964081962546"/>
    <x v="0"/>
    <x v="0"/>
    <x v="0"/>
    <x v="0"/>
    <x v="0"/>
    <x v="0"/>
  </r>
  <r>
    <x v="2"/>
    <s v="JBI"/>
    <n v="1037"/>
    <n v="8.5"/>
    <n v="1.04"/>
    <n v="3.73"/>
    <n v="0.72"/>
    <n v="8.1730769230769234"/>
    <n v="2.2788203753351208"/>
    <n v="21.02"/>
    <n v="9.7899999999999991"/>
    <n v="2.46"/>
    <n v="11.805555555555555"/>
    <s v="NO"/>
    <n v="-0.56205192628186929"/>
    <n v="1.2147112909740549"/>
    <n v="1.0096111385970068"/>
    <n v="1.0520941534109869"/>
    <n v="1.6670317898128892"/>
    <n v="1.6811155543637102"/>
    <x v="0"/>
    <x v="0"/>
    <x v="0"/>
    <x v="0"/>
    <x v="0"/>
    <x v="1"/>
  </r>
  <r>
    <x v="2"/>
    <s v="JELD"/>
    <n v="911"/>
    <n v="4.4400000000000004"/>
    <n v="0.02"/>
    <n v="8.51"/>
    <n v="-1.67"/>
    <n v="222.00000000000003"/>
    <n v="0.52173913043478271"/>
    <n v="-18.21"/>
    <n v="1.18"/>
    <n v="3.94"/>
    <n v="-2.6586826347305395"/>
    <s v="NO"/>
    <n v="40.215416784699428"/>
    <n v="-1.475672591623344"/>
    <n v="-5.2434745840364911"/>
    <n v="-1.465329837566854"/>
    <n v="5.1517875086307932"/>
    <n v="-9.2269503804809805"/>
    <x v="1"/>
    <x v="0"/>
    <x v="1"/>
    <x v="0"/>
    <x v="1"/>
    <x v="0"/>
  </r>
  <r>
    <x v="2"/>
    <s v="NX"/>
    <n v="1379"/>
    <n v="18.79"/>
    <n v="2.72"/>
    <n v="18.07"/>
    <n v="2.25"/>
    <n v="6.9080882352941169"/>
    <n v="1.0398450470392915"/>
    <n v="13.28"/>
    <n v="6.27"/>
    <n v="1.47"/>
    <n v="8.3511111111111109"/>
    <s v="YES"/>
    <n v="-0.80328925923105998"/>
    <n v="-0.68236618558394369"/>
    <n v="-0.22411008223356332"/>
    <n v="2.290339287184635E-2"/>
    <n v="-0.66398723831530349"/>
    <n v="-0.9240204557418189"/>
    <x v="0"/>
    <x v="0"/>
    <x v="0"/>
    <x v="0"/>
    <x v="0"/>
    <x v="1"/>
  </r>
  <r>
    <x v="3"/>
    <s v="DLX"/>
    <n v="1031"/>
    <n v="16.22"/>
    <n v="2.91"/>
    <n v="13.84"/>
    <n v="1.24"/>
    <n v="5.5738831615120272"/>
    <n v="1.171965317919075"/>
    <n v="9.1199999999999992"/>
    <n v="5.34"/>
    <n v="4.28"/>
    <n v="13.080645161290322"/>
    <s v="NO"/>
    <n v="-0.41215128151603997"/>
    <n v="-0.54190321902181693"/>
    <n v="0.29284740713388491"/>
    <n v="0.52405798698865635"/>
    <n v="1.1693212263640735"/>
    <n v="0.17831400320596377"/>
    <x v="0"/>
    <x v="0"/>
    <x v="0"/>
    <x v="0"/>
    <x v="0"/>
    <x v="1"/>
  </r>
  <r>
    <x v="3"/>
    <s v="EBF"/>
    <n v="550"/>
    <n v="19.47"/>
    <n v="2.42"/>
    <n v="13.8"/>
    <n v="1.57"/>
    <n v="8.045454545454545"/>
    <n v="1.410869565217391"/>
    <n v="11.7"/>
    <n v="8.0299999999999994"/>
    <n v="1.1399999999999999"/>
    <n v="12.401273885350317"/>
    <s v="YES"/>
    <n v="-0.24061429518506758"/>
    <n v="-7.5714612938578979E-2"/>
    <n v="0.49888676093956352"/>
    <n v="2.0537326708830146"/>
    <n v="-1.3036211474353101"/>
    <n v="0.13460571881231703"/>
    <x v="0"/>
    <x v="0"/>
    <x v="0"/>
    <x v="0"/>
    <x v="0"/>
    <x v="1"/>
  </r>
  <r>
    <x v="3"/>
    <s v="QUAD"/>
    <n v="450"/>
    <n v="5.87"/>
    <n v="0.08"/>
    <n v="0.98"/>
    <n v="-1.64"/>
    <n v="73.375"/>
    <n v="5.9897959183673475"/>
    <n v="-79.88"/>
    <n v="4.93"/>
    <n v="27.28"/>
    <n v="-3.5792682926829271"/>
    <s v="NO"/>
    <n v="4.2935186934276679"/>
    <n v="8.8594270518610685"/>
    <n v="-6.8147116970154915"/>
    <n v="0.29091054446200681"/>
    <n v="19.283230333811787"/>
    <n v="-0.89352441712211261"/>
    <x v="1"/>
    <x v="1"/>
    <x v="1"/>
    <x v="0"/>
    <x v="1"/>
    <x v="1"/>
  </r>
  <r>
    <x v="3"/>
    <s v="SFHG"/>
    <n v="490"/>
    <n v="0.96209999999999996"/>
    <m/>
    <m/>
    <m/>
    <s v=""/>
    <s v=""/>
    <n v="-13.86"/>
    <n v="-1.17"/>
    <n v="4.51"/>
    <s v=""/>
    <s v="NO"/>
    <e v="#VALUE!"/>
    <e v="#VALUE!"/>
    <n v="-1.5423403256004147"/>
    <n v="-3.1778684784954603"/>
    <n v="1.3504603174385501"/>
    <e v="#VALUE!"/>
    <x v="1"/>
    <x v="1"/>
    <x v="0"/>
    <x v="1"/>
    <x v="0"/>
    <x v="0"/>
  </r>
  <r>
    <x v="3"/>
    <s v="ARIS"/>
    <n v="783"/>
    <n v="24.33"/>
    <n v="0.57999999999999996"/>
    <n v="11.21"/>
    <n v="0.81"/>
    <n v="41.948275862068968"/>
    <n v="2.1703835860838532"/>
    <n v="8.4499999999999993"/>
    <n v="4.8600000000000003"/>
    <n v="4.0999999999999996"/>
    <n v="30.037037037037035"/>
    <s v="NO"/>
    <n v="2.1123777464580002"/>
    <n v="1.4063719832293036"/>
    <n v="0.2393410633161312"/>
    <n v="0.25110488354282307"/>
    <n v="1.027560198566656"/>
    <n v="1.2692267701165094"/>
    <x v="0"/>
    <x v="0"/>
    <x v="0"/>
    <x v="0"/>
    <x v="0"/>
    <x v="1"/>
  </r>
  <r>
    <x v="3"/>
    <s v="BV"/>
    <n v="1636"/>
    <n v="16.7"/>
    <n v="1.1599999999999999"/>
    <n v="13.45"/>
    <n v="0.2"/>
    <n v="14.396551724137931"/>
    <n v="1.241635687732342"/>
    <n v="3.77"/>
    <n v="2.92"/>
    <n v="2.66"/>
    <n v="83.499999999999986"/>
    <s v="NO"/>
    <n v="0.20017737160816915"/>
    <n v="-0.40595112542846212"/>
    <n v="-0.13440474126161128"/>
    <n v="-0.85208057621742084"/>
    <n v="-0.10652802381267852"/>
    <n v="4.7088399425735501"/>
    <x v="0"/>
    <x v="0"/>
    <x v="0"/>
    <x v="0"/>
    <x v="0"/>
    <x v="0"/>
  </r>
  <r>
    <x v="3"/>
    <s v="CECO"/>
    <n v="1145"/>
    <n v="26.33"/>
    <n v="0.69"/>
    <n v="6.9"/>
    <n v="0.33"/>
    <n v="38.159420289855071"/>
    <n v="3.8159420289855066"/>
    <n v="5.84"/>
    <n v="4.24"/>
    <n v="2.58"/>
    <n v="79.787878787878782"/>
    <s v="NO"/>
    <n v="1.8494159438075133"/>
    <n v="4.6174517584955366"/>
    <n v="3.090590307085175E-2"/>
    <n v="-0.10145954174137857"/>
    <n v="-0.16953292505597495"/>
    <n v="4.4700155244840651"/>
    <x v="0"/>
    <x v="1"/>
    <x v="0"/>
    <x v="0"/>
    <x v="0"/>
    <x v="0"/>
  </r>
  <r>
    <x v="3"/>
    <s v="MEG"/>
    <n v="582"/>
    <n v="18.600000000000001"/>
    <n v="-1.06"/>
    <n v="13.1"/>
    <n v="-1.5"/>
    <n v="-17.547169811320757"/>
    <n v="1.419847328244275"/>
    <n v="-7.04"/>
    <n v="-0.98"/>
    <n v="2.2400000000000002"/>
    <n v="-12.4"/>
    <s v="NO"/>
    <n v="-2.0168452723616417"/>
    <n v="-5.8195749717941114E-2"/>
    <n v="-0.99769366166447382"/>
    <n v="-3.0698245417148176"/>
    <n v="-0.4373037553399845"/>
    <n v="-1.461018309898231"/>
    <x v="0"/>
    <x v="0"/>
    <x v="0"/>
    <x v="1"/>
    <x v="0"/>
    <x v="1"/>
  </r>
  <r>
    <x v="3"/>
    <s v="NVRI"/>
    <n v="607"/>
    <n v="7.65"/>
    <n v="-0.48"/>
    <n v="6.04"/>
    <n v="-0.73"/>
    <n v="-15.937500000000002"/>
    <n v="1.2665562913907285"/>
    <n v="-9.35"/>
    <n v="2.27"/>
    <n v="5.79"/>
    <n v="-10.479452054794521"/>
    <s v="NO"/>
    <n v="-1.9051277188182523"/>
    <n v="-0.35732201308058004"/>
    <n v="-1.1821707575137441"/>
    <n v="-1.2217045704669871"/>
    <n v="2.3585387373312927"/>
    <n v="-1.3374572192934995"/>
    <x v="0"/>
    <x v="0"/>
    <x v="0"/>
    <x v="0"/>
    <x v="0"/>
    <x v="1"/>
  </r>
  <r>
    <x v="3"/>
    <s v="ACCO"/>
    <n v="566"/>
    <n v="3.92"/>
    <n v="1.47"/>
    <n v="6.59"/>
    <n v="-1.89"/>
    <n v="2.6666666666666665"/>
    <n v="0.59484066767830046"/>
    <n v="-24.99"/>
    <n v="3.55"/>
    <n v="3.83"/>
    <n v="-2.074074074074074"/>
    <s v="NO"/>
    <n v="-0.61392378923215318"/>
    <n v="-1.6680821768034493"/>
    <n v="-2.4311845146923536"/>
    <n v="-0.49382962794476443"/>
    <n v="0.81491865687053111"/>
    <n v="-0.79668567915280453"/>
    <x v="0"/>
    <x v="0"/>
    <x v="0"/>
    <x v="0"/>
    <x v="0"/>
    <x v="1"/>
  </r>
  <r>
    <x v="3"/>
    <s v="CIX"/>
    <n v="398"/>
    <n v="25.78"/>
    <n v="2.2599999999999998"/>
    <n v="11.8"/>
    <n v="1.52"/>
    <n v="11.407079646017701"/>
    <n v="2.1847457627118643"/>
    <n v="12.09"/>
    <n v="7.15"/>
    <n v="1.1000000000000001"/>
    <n v="16.960526315789473"/>
    <s v="NO"/>
    <n v="-7.3040041404586155E-3"/>
    <n v="1.4343977851070457"/>
    <n v="0.53003224465437537"/>
    <n v="1.5533186478989871"/>
    <n v="-1.3351235980569582"/>
    <n v="0.42793148766577954"/>
    <x v="0"/>
    <x v="0"/>
    <x v="0"/>
    <x v="0"/>
    <x v="0"/>
    <x v="1"/>
  </r>
  <r>
    <x v="3"/>
    <s v="MLKN"/>
    <n v="1737"/>
    <n v="17.829999999999998"/>
    <n v="3.74"/>
    <n v="19.68"/>
    <n v="1.1100000000000001"/>
    <n v="4.7673796791443843"/>
    <n v="0.90599593495934949"/>
    <n v="4.63"/>
    <n v="3.54"/>
    <n v="2.92"/>
    <n v="16.063063063063058"/>
    <s v="NO"/>
    <n v="-0.46812586421658053"/>
    <n v="-1.0609056951393159"/>
    <n v="-6.5724956659718434E-2"/>
    <n v="-0.49951615093321922"/>
    <n v="9.8237905228034578E-2"/>
    <n v="0.37019195631933288"/>
    <x v="0"/>
    <x v="0"/>
    <x v="0"/>
    <x v="0"/>
    <x v="0"/>
    <x v="1"/>
  </r>
  <r>
    <x v="3"/>
    <s v="NL"/>
    <n v="393"/>
    <n v="7.52"/>
    <n v="0.74"/>
    <n v="7.9"/>
    <n v="1.19"/>
    <n v="10.162162162162161"/>
    <n v="0.95189873417721504"/>
    <n v="15.33"/>
    <n v="2.78"/>
    <n v="1.52"/>
    <n v="6.3193277310924367"/>
    <s v="NO"/>
    <n v="-9.3706280359838426E-2"/>
    <n v="-0.97133272929758918"/>
    <n v="0.78877934013127404"/>
    <n v="-0.931691898055789"/>
    <n v="-1.0043478665296521"/>
    <n v="-0.25668464271987279"/>
    <x v="0"/>
    <x v="0"/>
    <x v="0"/>
    <x v="0"/>
    <x v="0"/>
    <x v="1"/>
  </r>
  <r>
    <x v="3"/>
    <s v="PBI"/>
    <n v="1421"/>
    <n v="9.56"/>
    <n v="0.48"/>
    <n v="-2.86"/>
    <n v="-1.36"/>
    <n v="19.916666666666668"/>
    <n v="-3.3426573426573429"/>
    <n v="74.959999999999994"/>
    <n v="1.88"/>
    <n v="-7.03"/>
    <n v="-7.0294117647058822"/>
    <s v="NO"/>
    <n v="0.58329553181744387"/>
    <n v="-9.3515651188282938"/>
    <n v="5.5508439399113563"/>
    <n v="-1.4434789670167267"/>
    <n v="-7.7379966869069543"/>
    <n v="-1.1154941373835565"/>
    <x v="0"/>
    <x v="1"/>
    <x v="1"/>
    <x v="0"/>
    <x v="1"/>
    <x v="1"/>
  </r>
  <r>
    <x v="3"/>
    <s v="SCS"/>
    <n v="1524"/>
    <n v="10.71"/>
    <n v="2.29"/>
    <n v="7.77"/>
    <n v="1.06"/>
    <n v="4.6768558951965069"/>
    <n v="1.3783783783783785"/>
    <n v="14.12"/>
    <n v="3.9"/>
    <n v="2.52"/>
    <n v="10.10377358490566"/>
    <s v="NO"/>
    <n v="-0.47440857860248886"/>
    <n v="-0.13911667160334371"/>
    <n v="0.69214848040070376"/>
    <n v="-0.29480132334884412"/>
    <n v="-0.21678660098844729"/>
    <n v="-1.3207119443729537E-2"/>
    <x v="0"/>
    <x v="0"/>
    <x v="0"/>
    <x v="0"/>
    <x v="0"/>
    <x v="1"/>
  </r>
  <r>
    <x v="3"/>
    <s v="TILE"/>
    <n v="1546"/>
    <n v="21.01"/>
    <n v="1.88"/>
    <n v="8.6"/>
    <n v="1.44"/>
    <n v="11.175531914893618"/>
    <n v="2.4430232558139537"/>
    <n v="19.059999999999999"/>
    <n v="7.02"/>
    <n v="2.48"/>
    <n v="14.590277777777779"/>
    <s v="NO"/>
    <n v="-2.3374347180861472E-2"/>
    <n v="1.93839060170016"/>
    <n v="1.086657940788321"/>
    <n v="1.4793938490490735"/>
    <n v="-0.24828905161009551"/>
    <n v="0.27543829160049665"/>
    <x v="0"/>
    <x v="0"/>
    <x v="0"/>
    <x v="0"/>
    <x v="0"/>
    <x v="1"/>
  </r>
  <r>
    <x v="3"/>
    <s v="VIRC"/>
    <n v="266"/>
    <n v="9.08"/>
    <n v="3.11"/>
    <n v="6.62"/>
    <n v="1.63"/>
    <n v="2.919614147909968"/>
    <n v="1.3716012084592144"/>
    <n v="28.18"/>
    <n v="10.67"/>
    <n v="2.0099999999999998"/>
    <n v="5.5705521472392645"/>
    <s v="YES"/>
    <n v="-0.59636821753619307"/>
    <n v="-0.15234138164317496"/>
    <n v="1.8149830984269988"/>
    <n v="3.554974739835099"/>
    <n v="-0.6184428464144619"/>
    <n v="-0.30485814861440741"/>
    <x v="0"/>
    <x v="0"/>
    <x v="0"/>
    <x v="1"/>
    <x v="0"/>
    <x v="1"/>
  </r>
  <r>
    <x v="3"/>
    <s v="CVEO"/>
    <n v="313"/>
    <n v="20.79"/>
    <n v="5.86"/>
    <n v="20.36"/>
    <n v="1.44"/>
    <n v="3.5477815699658701"/>
    <n v="1.0211198428290766"/>
    <n v="6.8"/>
    <n v="1.75"/>
    <n v="1.69"/>
    <n v="14.4375"/>
    <s v="NO"/>
    <n v="-0.55277087408464276"/>
    <n v="-0.83625730674282583"/>
    <n v="0.10757170913808098"/>
    <n v="-1.5174037658666399"/>
    <n v="-0.87046245138764733"/>
    <n v="0.26560912337300419"/>
    <x v="0"/>
    <x v="0"/>
    <x v="0"/>
    <x v="0"/>
    <x v="0"/>
    <x v="1"/>
  </r>
  <r>
    <x v="3"/>
    <s v="HCSG"/>
    <n v="910"/>
    <n v="14.52"/>
    <n v="0.51"/>
    <n v="6.67"/>
    <n v="0.69"/>
    <n v="28.470588235294116"/>
    <n v="2.1769115442278859"/>
    <n v="10.98"/>
    <n v="4.8"/>
    <n v="1.65"/>
    <n v="21.043478260869566"/>
    <s v="NO"/>
    <n v="1.1769720635683807"/>
    <n v="1.4191103909476739"/>
    <n v="0.44138740638914165"/>
    <n v="0.21698574561209363"/>
    <n v="-0.90196490200929558"/>
    <n v="0.69061381042696968"/>
    <x v="0"/>
    <x v="0"/>
    <x v="0"/>
    <x v="0"/>
    <x v="0"/>
    <x v="1"/>
  </r>
  <r>
    <x v="3"/>
    <s v="LQDT"/>
    <n v="755"/>
    <n v="24.89"/>
    <n v="1.81"/>
    <n v="5.63"/>
    <n v="0.62"/>
    <n v="13.751381215469614"/>
    <n v="4.4209591474245116"/>
    <n v="12.14"/>
    <n v="5.24"/>
    <n v="1.89"/>
    <n v="40.145161290322584"/>
    <s v="NO"/>
    <n v="0.15539994561691667"/>
    <n v="5.7980590113644359"/>
    <n v="0.53402525538704371"/>
    <n v="0.4671927571041079"/>
    <n v="-0.71295019827940642"/>
    <n v="1.9195468310252064"/>
    <x v="0"/>
    <x v="1"/>
    <x v="0"/>
    <x v="0"/>
    <x v="0"/>
    <x v="1"/>
  </r>
  <r>
    <x v="3"/>
    <s v="MATW"/>
    <n v="903"/>
    <n v="21.22"/>
    <n v="1.1000000000000001"/>
    <n v="14.29"/>
    <n v="-1.93"/>
    <n v="19.290909090909089"/>
    <n v="1.4849545136459061"/>
    <n v="-12.4"/>
    <n v="3.46"/>
    <n v="4.2"/>
    <n v="-10.994818652849741"/>
    <s v="NO"/>
    <n v="0.53986544138323345"/>
    <n v="6.8851920432891414E-2"/>
    <n v="-1.4257444122065037"/>
    <n v="-0.5450083348408582"/>
    <n v="1.106316325120777"/>
    <n v="-1.3706140374171629"/>
    <x v="0"/>
    <x v="0"/>
    <x v="0"/>
    <x v="0"/>
    <x v="0"/>
    <x v="1"/>
  </r>
  <r>
    <x v="3"/>
    <s v="VVI"/>
    <n v="938"/>
    <n v="42.51"/>
    <n v="1.86"/>
    <n v="4.57"/>
    <n v="1.02"/>
    <n v="22.854838709677416"/>
    <n v="9.3019693654266948"/>
    <n v="14.49"/>
    <n v="6.29"/>
    <n v="12.36"/>
    <n v="41.67647058823529"/>
    <s v="NO"/>
    <n v="0.78721647897455893"/>
    <n v="15.322675570261914"/>
    <n v="0.72169675982244852"/>
    <n v="1.0642776708918686"/>
    <n v="7.5328162519370077"/>
    <n v="2.0180657184997997"/>
    <x v="0"/>
    <x v="1"/>
    <x v="0"/>
    <x v="0"/>
    <x v="1"/>
    <x v="1"/>
  </r>
  <r>
    <x v="4"/>
    <s v="AGX"/>
    <n v="1986"/>
    <n v="175.52"/>
    <n v="12.69"/>
    <n v="22.82"/>
    <n v="3.19"/>
    <n v="13.831363278171791"/>
    <n v="7.6914986853637162"/>
    <n v="14.69"/>
    <n v="4.54"/>
    <n v="2.36"/>
    <n v="55.021943573667713"/>
    <s v="NO"/>
    <n v="0.40259974699420004"/>
    <n v="8.1150291864157307"/>
    <n v="0.99893771330041803"/>
    <n v="0.66104133163728052"/>
    <n v="-0.69018203916539844"/>
    <n v="1.6420127154502919"/>
    <x v="0"/>
    <x v="1"/>
    <x v="0"/>
    <x v="0"/>
    <x v="0"/>
    <x v="1"/>
  </r>
  <r>
    <x v="4"/>
    <s v="AMRC"/>
    <n v="1457"/>
    <n v="14.57"/>
    <n v="-7.31"/>
    <n v="17.87"/>
    <n v="1"/>
    <n v="-1.9931600547195625"/>
    <n v="0.81533296026860658"/>
    <n v="5.0199999999999996"/>
    <n v="1.7"/>
    <n v="4.25"/>
    <n v="14.57"/>
    <s v="NO"/>
    <n v="-0.9384522316052728"/>
    <n v="-1.3596013722149576"/>
    <n v="0.1814943954012013"/>
    <n v="-0.17031660718512862"/>
    <n v="1.771033157103663"/>
    <n v="0.23914428685949998"/>
    <x v="0"/>
    <x v="0"/>
    <x v="0"/>
    <x v="0"/>
    <x v="0"/>
    <x v="1"/>
  </r>
  <r>
    <x v="4"/>
    <s v="BBCP"/>
    <n v="383"/>
    <n v="7.05"/>
    <n v="0.87"/>
    <n v="5.85"/>
    <n v="0.26"/>
    <n v="8.1034482758620694"/>
    <n v="1.2051282051282051"/>
    <n v="4.84"/>
    <n v="3.62"/>
    <n v="2.83"/>
    <n v="27.115384615384613"/>
    <s v="NO"/>
    <n v="-8.2813404827640963E-2"/>
    <n v="-0.82250466945848055"/>
    <n v="0.16627828400287051"/>
    <n v="0.39172819652579594"/>
    <n v="-7.8133815754573441E-2"/>
    <n v="0.67421668256283429"/>
    <x v="0"/>
    <x v="0"/>
    <x v="0"/>
    <x v="0"/>
    <x v="0"/>
    <x v="1"/>
  </r>
  <r>
    <x v="4"/>
    <s v="BWMN"/>
    <n v="497"/>
    <n v="25.72"/>
    <n v="0.74"/>
    <n v="13.71"/>
    <n v="-0.7"/>
    <n v="34.756756756756758"/>
    <n v="1.8760029175784096"/>
    <n v="-5.32"/>
    <n v="-1.1100000000000001"/>
    <n v="2.04"/>
    <n v="-36.74285714285714"/>
    <s v="NO"/>
    <n v="2.1759258521225471"/>
    <n v="0.10188987042229951"/>
    <n v="-0.69258667048069111"/>
    <n v="-0.99289259594955448"/>
    <n v="-1.1068957231897896"/>
    <n v="-1.5403792886989984"/>
    <x v="0"/>
    <x v="0"/>
    <x v="0"/>
    <x v="0"/>
    <x v="0"/>
    <x v="1"/>
  </r>
  <r>
    <x v="4"/>
    <s v="CTRI"/>
    <n v="1885"/>
    <n v="20.13"/>
    <n v="1.24"/>
    <n v="5.96"/>
    <n v="-2.57"/>
    <n v="16.233870967741936"/>
    <n v="3.3775167785234896"/>
    <n v="-42.47"/>
    <n v="3.87"/>
    <n v="4.01"/>
    <n v="-7.8326848249027234"/>
    <s v="NO"/>
    <n v="0.60620067846755321"/>
    <n v="2.1708174791909247"/>
    <n v="-3.8330229951917461"/>
    <n v="0.46491111367565585"/>
    <n v="1.4584978940853692"/>
    <n v="-0.53777806791665483"/>
    <x v="0"/>
    <x v="0"/>
    <x v="1"/>
    <x v="0"/>
    <x v="0"/>
    <x v="1"/>
  </r>
  <r>
    <x v="4"/>
    <s v="GLDD"/>
    <n v="840"/>
    <n v="11.42"/>
    <n v="-1.1000000000000001"/>
    <n v="6.32"/>
    <n v="0.87"/>
    <n v="-10.381818181818181"/>
    <n v="1.8069620253164556"/>
    <n v="14.94"/>
    <n v="4.8099999999999996"/>
    <n v="2.69"/>
    <n v="13.126436781609195"/>
    <s v="NO"/>
    <n v="-1.6493505217141284"/>
    <n v="6.7588084653552793E-3"/>
    <n v="1.0200712013536553"/>
    <n v="0.7400788821591292"/>
    <n v="-0.26044605251524483"/>
    <n v="0.189081691966689"/>
    <x v="0"/>
    <x v="0"/>
    <x v="0"/>
    <x v="0"/>
    <x v="0"/>
    <x v="1"/>
  </r>
  <r>
    <x v="4"/>
    <s v="LMB"/>
    <n v="1105"/>
    <n v="122.17"/>
    <n v="2.21"/>
    <n v="12.61"/>
    <n v="2.1800000000000002"/>
    <n v="55.280542986425338"/>
    <n v="9.6883425852498029"/>
    <n v="20.51"/>
    <n v="7.68"/>
    <n v="2.2799999999999998"/>
    <n v="56.041284403669721"/>
    <s v="NO"/>
    <n v="3.9152176811814359"/>
    <n v="10.866469304507753"/>
    <n v="1.4909253151797812"/>
    <n v="1.5802187710395217"/>
    <n v="-0.79436046017149642"/>
    <n v="1.6773633300821735"/>
    <x v="1"/>
    <x v="1"/>
    <x v="0"/>
    <x v="0"/>
    <x v="0"/>
    <x v="1"/>
  </r>
  <r>
    <x v="4"/>
    <s v="MTRX"/>
    <n v="355"/>
    <n v="12.97"/>
    <n v="2.4"/>
    <n v="6.01"/>
    <n v="-0.91"/>
    <n v="5.4041666666666668"/>
    <n v="2.1580698835274545"/>
    <n v="-18.489999999999998"/>
    <n v="-5.15"/>
    <n v="3"/>
    <n v="-14.252747252747254"/>
    <s v="NO"/>
    <n v="-0.31156449366990208"/>
    <n v="0.49054837604959045"/>
    <n v="-1.8058988211252291"/>
    <n v="-2.1755285370912913"/>
    <n v="0.14324532888338437"/>
    <n v="-0.76042504341248363"/>
    <x v="0"/>
    <x v="0"/>
    <x v="0"/>
    <x v="0"/>
    <x v="0"/>
    <x v="1"/>
  </r>
  <r>
    <x v="4"/>
    <s v="NWPX"/>
    <n v="552"/>
    <n v="40.799999999999997"/>
    <n v="0.64"/>
    <n v="36.53"/>
    <n v="2.94"/>
    <n v="63.749999999999993"/>
    <n v="1.1168902272105119"/>
    <n v="8.4700000000000006"/>
    <n v="4.8099999999999996"/>
    <n v="1.7"/>
    <n v="13.877551020408163"/>
    <s v="NO"/>
    <n v="4.6329632869596429"/>
    <n v="-0.94408728910937501"/>
    <n v="0.4731365305358754"/>
    <n v="0.7400788821591292"/>
    <n v="-1.5496540124657054"/>
    <n v="0.21513024140059048"/>
    <x v="1"/>
    <x v="0"/>
    <x v="0"/>
    <x v="0"/>
    <x v="0"/>
    <x v="1"/>
  </r>
  <r>
    <x v="4"/>
    <s v="ORN"/>
    <n v="331"/>
    <n v="8.4700000000000006"/>
    <n v="0.97"/>
    <n v="3.66"/>
    <n v="-0.38"/>
    <n v="8.7319587628865989"/>
    <n v="2.3142076502732243"/>
    <n v="-9.52"/>
    <n v="0.87"/>
    <n v="3.02"/>
    <n v="-22.289473684210527"/>
    <s v="NO"/>
    <n v="-2.9550174431129506E-2"/>
    <n v="0.70568973757420062"/>
    <n v="-1.0476292697750769"/>
    <n v="-0.41328389212266364"/>
    <n v="0.16928993413490884"/>
    <n v="-1.0391377277459035"/>
    <x v="0"/>
    <x v="0"/>
    <x v="0"/>
    <x v="0"/>
    <x v="0"/>
    <x v="1"/>
  </r>
  <r>
    <x v="4"/>
    <s v="TPC"/>
    <n v="1404"/>
    <n v="35.83"/>
    <n v="5.09"/>
    <n v="23.14"/>
    <n v="-2.52"/>
    <n v="7.0392927308447932"/>
    <n v="1.548401037165082"/>
    <n v="-6.41"/>
    <n v="-0.54"/>
    <n v="3.61"/>
    <n v="-14.218253968253967"/>
    <s v="NO"/>
    <n v="-0.17299545133622737"/>
    <n v="-0.34951094091955592"/>
    <n v="-0.78472867839280547"/>
    <n v="-0.82603554484787389"/>
    <n v="0.93760578905488023"/>
    <n v="-0.75922882054803931"/>
    <x v="0"/>
    <x v="0"/>
    <x v="0"/>
    <x v="0"/>
    <x v="0"/>
    <x v="1"/>
  </r>
  <r>
    <x v="5"/>
    <s v="ALNT"/>
    <n v="443"/>
    <n v="31.35"/>
    <n v="2.2400000000000002"/>
    <n v="16.2"/>
    <n v="0.87"/>
    <n v="13.995535714285714"/>
    <n v="1.9351851851851853"/>
    <n v="5.63"/>
    <n v="3.45"/>
    <n v="2.19"/>
    <n v="36.03448275862069"/>
    <s v="NO"/>
    <n v="1.2418759136122941"/>
    <n v="0.11835813575255841"/>
    <n v="0.70756604239114074"/>
    <n v="0.7177938155517255"/>
    <n v="0.72974508242206004"/>
    <n v="1.8511902757599958"/>
    <x v="0"/>
    <x v="0"/>
    <x v="0"/>
    <x v="0"/>
    <x v="0"/>
    <x v="1"/>
  </r>
  <r>
    <x v="5"/>
    <s v="AMSC"/>
    <n v="1231"/>
    <n v="23.58"/>
    <n v="0.54"/>
    <n v="4.74"/>
    <n v="-0.03"/>
    <n v="43.666666666666657"/>
    <n v="4.9746835443037964"/>
    <n v="-0.66"/>
    <n v="0.82"/>
    <n v="1.6"/>
    <n v="-786"/>
    <s v="NO"/>
    <n v="4.271316099625925"/>
    <n v="1.2243380863214113"/>
    <n v="0.61498180534012392"/>
    <n v="0.55720307079181197"/>
    <n v="0.10316562495779649"/>
    <n v="-51.931497132651891"/>
    <x v="1"/>
    <x v="0"/>
    <x v="0"/>
    <x v="0"/>
    <x v="0"/>
    <x v="0"/>
  </r>
  <r>
    <x v="5"/>
    <s v="ARRY"/>
    <n v="854"/>
    <n v="8.25"/>
    <n v="1.18"/>
    <n v="0.42"/>
    <n v="-0.98"/>
    <n v="6.991525423728814"/>
    <n v="19.642857142857142"/>
    <n v="-17.54"/>
    <n v="3.89"/>
    <n v="24.24"/>
    <n v="-8.4183673469387763"/>
    <s v="NO"/>
    <n v="0.52676228105413103"/>
    <n v="6.5616352303697525"/>
    <n v="0.36652045058318194"/>
    <n v="0.7446607082111788"/>
    <n v="24.146824806298355"/>
    <n v="-1.057195919448215"/>
    <x v="0"/>
    <x v="1"/>
    <x v="0"/>
    <x v="0"/>
    <x v="1"/>
    <x v="1"/>
  </r>
  <r>
    <x v="5"/>
    <s v="BLDP"/>
    <n v="482"/>
    <n v="1.39"/>
    <n v="-0.44"/>
    <n v="2.4"/>
    <n v="-1.0900000000000001"/>
    <n v="-3.1590909090909087"/>
    <n v="0.57916666666666661"/>
    <n v="-37.08"/>
    <n v="-11.2"/>
    <n v="1.1499999999999999"/>
    <n v="-1.275229357798165"/>
    <s v="NO"/>
    <n v="-0.50962170716667565"/>
    <n v="-0.37505528872991095"/>
    <n v="7.8905825467622398E-2"/>
    <n v="-0.17675158776870592"/>
    <n v="-0.37473396124376074"/>
    <n v="-0.58984671981870274"/>
    <x v="0"/>
    <x v="0"/>
    <x v="0"/>
    <x v="0"/>
    <x v="0"/>
    <x v="1"/>
  </r>
  <r>
    <x v="5"/>
    <s v="CHPT"/>
    <n v="578"/>
    <n v="0.69389999999999996"/>
    <n v="-0.65"/>
    <n v="0.54"/>
    <n v="-0.96"/>
    <n v="-1.0675384615384615"/>
    <n v="1.2849999999999999"/>
    <n v="-155.55000000000001"/>
    <n v="-21.01"/>
    <n v="4.3499999999999996"/>
    <n v="-0.72281249999999997"/>
    <s v="NO"/>
    <n v="-0.29607295346599799"/>
    <n v="-0.11822425186887557"/>
    <n v="-1.664886632947953"/>
    <n v="-0.77576117183515203"/>
    <n v="3.0236630961895337"/>
    <n v="-0.55370412020123649"/>
    <x v="0"/>
    <x v="0"/>
    <x v="0"/>
    <x v="0"/>
    <x v="1"/>
    <x v="1"/>
  </r>
  <r>
    <x v="5"/>
    <s v="EAF"/>
    <n v="530"/>
    <n v="0.84740000000000004"/>
    <n v="-0.12"/>
    <n v="-0.03"/>
    <n v="-1.1599999999999999"/>
    <n v="-7.0616666666666674"/>
    <n v="-28.24666666666667"/>
    <n v="-213.73"/>
    <n v="-4.04"/>
    <n v="-127.03"/>
    <n v="-0.7305172413793104"/>
    <s v="NO"/>
    <n v="-0.90807702213045849"/>
    <n v="-10.863889286439564"/>
    <n v="-2.5212540274834319"/>
    <n v="0.26044602914421483"/>
    <n v="-136.50177609305618"/>
    <n v="-0.55420821304144863"/>
    <x v="0"/>
    <x v="1"/>
    <x v="0"/>
    <x v="0"/>
    <x v="1"/>
    <x v="1"/>
  </r>
  <r>
    <x v="5"/>
    <s v="ENVX"/>
    <n v="1801"/>
    <n v="7.93"/>
    <n v="-1.23"/>
    <n v="0.94"/>
    <n v="-1.45"/>
    <n v="-6.4471544715447155"/>
    <n v="8.4361702127659584"/>
    <n v="-115.97"/>
    <n v="-25.69"/>
    <n v="2.67"/>
    <n v="-5.4689655172413794"/>
    <s v="NO"/>
    <n v="-0.84533496010101938"/>
    <n v="2.483866601280261"/>
    <n v="-1.0822977454313794"/>
    <n v="-1.0615272119402455"/>
    <n v="1.239504641037054"/>
    <n v="-0.86422742484676429"/>
    <x v="0"/>
    <x v="0"/>
    <x v="0"/>
    <x v="0"/>
    <x v="0"/>
    <x v="1"/>
  </r>
  <r>
    <x v="5"/>
    <s v="EOSE"/>
    <n v="699"/>
    <n v="6.8"/>
    <n v="-0.89"/>
    <n v="-2.64"/>
    <n v="-2.64"/>
    <n v="-7.6404494382022472"/>
    <n v="-2.5757575757575757"/>
    <n v="168.11"/>
    <n v="-54.66"/>
    <n v="-0.38"/>
    <n v="-2.5757575757575757"/>
    <s v="NO"/>
    <n v="-0.9671710886787217"/>
    <n v="-1.5230351674545883"/>
    <n v="3.0991537746724163"/>
    <n v="-2.8304678490865181"/>
    <n v="-1.9995925543290547"/>
    <n v="-0.67493548930389791"/>
    <x v="0"/>
    <x v="0"/>
    <x v="1"/>
    <x v="0"/>
    <x v="0"/>
    <x v="1"/>
  </r>
  <r>
    <x v="5"/>
    <s v="KULR"/>
    <n v="306"/>
    <n v="1.57"/>
    <n v="-0.09"/>
    <n v="0.03"/>
    <n v="-0.11"/>
    <n v="-17.444444444444446"/>
    <n v="52.333333333333336"/>
    <n v="-567.80999999999995"/>
    <n v="-83.47"/>
    <n v="2.39"/>
    <n v="-14.272727272727273"/>
    <s v="NO"/>
    <n v="-1.9681648324983778"/>
    <n v="18.456693878040578"/>
    <n v="-7.7330547675508479"/>
    <n v="-4.5896387070838989"/>
    <n v="0.94214489851164107"/>
    <n v="-1.4402251189148649"/>
    <x v="0"/>
    <x v="1"/>
    <x v="1"/>
    <x v="1"/>
    <x v="0"/>
    <x v="1"/>
  </r>
  <r>
    <x v="5"/>
    <s v="LYTS"/>
    <n v="600"/>
    <n v="16.7"/>
    <n v="1.36"/>
    <n v="7.33"/>
    <n v="0.78"/>
    <n v="12.27941176470588"/>
    <n v="2.2783083219645293"/>
    <n v="11.88"/>
    <n v="6.75"/>
    <n v="1.71"/>
    <n v="21.410256410256409"/>
    <s v="NO"/>
    <n v="1.0666586337121358"/>
    <n v="0.24321008992972454"/>
    <n v="0.79956150845932128"/>
    <n v="0.91929551049762481"/>
    <n v="0.21998552380706585"/>
    <n v="0.89438102896968685"/>
    <x v="0"/>
    <x v="0"/>
    <x v="0"/>
    <x v="0"/>
    <x v="0"/>
    <x v="1"/>
  </r>
  <r>
    <x v="5"/>
    <s v="PLPC"/>
    <n v="669"/>
    <n v="141.80000000000001"/>
    <n v="8.82"/>
    <n v="87.59"/>
    <n v="6.65"/>
    <n v="16.077097505668934"/>
    <n v="1.6189062678387944"/>
    <n v="7.96"/>
    <n v="4.1900000000000004"/>
    <n v="1.38"/>
    <n v="21.323308270676691"/>
    <s v="NO"/>
    <n v="1.4544046153529611"/>
    <n v="3.2739672339856187E-3"/>
    <n v="0.74186195214135842"/>
    <n v="0.76297904411535156"/>
    <n v="-0.13047417274074272"/>
    <n v="0.88869233255872127"/>
    <x v="0"/>
    <x v="0"/>
    <x v="0"/>
    <x v="0"/>
    <x v="0"/>
    <x v="1"/>
  </r>
  <r>
    <x v="5"/>
    <s v="SDST"/>
    <n v="330"/>
    <n v="0.74509999999999998"/>
    <n v="-1.1499999999999999"/>
    <n v="-0.28000000000000003"/>
    <n v="-1.63"/>
    <n v="-0.64791304347826095"/>
    <n v="-2.6610714285714283"/>
    <m/>
    <m/>
    <n v="-0.4"/>
    <n v="-0.45711656441717796"/>
    <s v="NO"/>
    <n v="-0.2532289477358311"/>
    <n v="-1.5540782540332776"/>
    <n v="0.62469652655692376"/>
    <n v="0.50713295265373992"/>
    <n v="-2.0208325359380126"/>
    <n v="-0.53632061409674558"/>
    <x v="0"/>
    <x v="0"/>
    <x v="0"/>
    <x v="0"/>
    <x v="0"/>
    <x v="1"/>
  </r>
  <r>
    <x v="5"/>
    <s v="SHLS"/>
    <n v="755"/>
    <n v="6.03"/>
    <n v="0.49"/>
    <n v="3.27"/>
    <n v="0.19"/>
    <n v="12.306122448979593"/>
    <n v="1.8440366972477065"/>
    <n v="6.15"/>
    <n v="5.07"/>
    <n v="1.47"/>
    <n v="31.736842105263158"/>
    <s v="NO"/>
    <n v="1.0693858105246601"/>
    <n v="8.519200493985718E-2"/>
    <n v="0.7152200651680134"/>
    <n v="0.81671282943425794"/>
    <n v="-3.4894255500431209E-2"/>
    <n v="1.5700114825327998"/>
    <x v="0"/>
    <x v="0"/>
    <x v="0"/>
    <x v="0"/>
    <x v="0"/>
    <x v="1"/>
  </r>
  <r>
    <x v="5"/>
    <s v="THR"/>
    <n v="1077"/>
    <n v="30.51"/>
    <n v="2.13"/>
    <n v="14.52"/>
    <n v="1.29"/>
    <n v="14.323943661971832"/>
    <n v="2.1012396694214877"/>
    <n v="9.42"/>
    <n v="6.28"/>
    <n v="1.55"/>
    <n v="23.651162790697676"/>
    <s v="NO"/>
    <n v="1.2754065611539493"/>
    <n v="0.17878025432894656"/>
    <n v="0.76335209301488549"/>
    <n v="0.89059678424775435"/>
    <n v="5.0065670935401221E-2"/>
    <n v="1.0409952767885073"/>
    <x v="0"/>
    <x v="0"/>
    <x v="0"/>
    <x v="0"/>
    <x v="0"/>
    <x v="1"/>
  </r>
  <r>
    <x v="5"/>
    <s v="XCH"/>
    <n v="1380"/>
    <n v="1.32"/>
    <m/>
    <m/>
    <m/>
    <s v=""/>
    <s v=""/>
    <n v="-48.4"/>
    <n v="-11.62"/>
    <n v="-1.32"/>
    <s v=""/>
    <s v="NO"/>
    <e v="#VALUE!"/>
    <e v="#VALUE!"/>
    <n v="-8.7716362675066162E-2"/>
    <n v="-0.20239725803454764"/>
    <n v="-2.997871689950085"/>
    <e v="#VALUE!"/>
    <x v="1"/>
    <x v="1"/>
    <x v="0"/>
    <x v="0"/>
    <x v="1"/>
    <x v="0"/>
  </r>
  <r>
    <x v="5"/>
    <s v="NNE"/>
    <n v="952"/>
    <n v="27.32"/>
    <n v="-0.28999999999999998"/>
    <n v="0.45"/>
    <n v="-0.37"/>
    <n v="-94.206896551724142"/>
    <n v="60.711111111111109"/>
    <n v="-303.54000000000002"/>
    <n v="-82.84"/>
    <n v="1.26"/>
    <n v="-73.837837837837839"/>
    <s v="NO"/>
    <n v="-9.8056570252952699"/>
    <n v="21.505109490684742"/>
    <n v="-3.8431920766967584"/>
    <n v="-4.551170201685137"/>
    <n v="-0.25791406239449111"/>
    <n v="-5.337350834639274"/>
    <x v="1"/>
    <x v="1"/>
    <x v="1"/>
    <x v="1"/>
    <x v="0"/>
    <x v="0"/>
  </r>
  <r>
    <x v="5"/>
    <s v="NPWR"/>
    <n v="805"/>
    <n v="1.93"/>
    <n v="-0.93"/>
    <n v="10.199999999999999"/>
    <n v="0.11"/>
    <n v="-2.075268817204301"/>
    <n v="0.1892156862745098"/>
    <n v="-0.22"/>
    <n v="-4.01"/>
    <n v="3.04"/>
    <n v="17.545454545454543"/>
    <s v="NO"/>
    <n v="-0.39896282446617731"/>
    <n v="-0.51694645466015166"/>
    <n v="0.62145828615132381"/>
    <n v="0.26227786273463211"/>
    <n v="1.6324443008027789"/>
    <n v="0.64152128287662524"/>
    <x v="0"/>
    <x v="0"/>
    <x v="0"/>
    <x v="0"/>
    <x v="0"/>
    <x v="1"/>
  </r>
  <r>
    <x v="5"/>
    <s v="NRGV"/>
    <n v="268"/>
    <n v="1.0900000000000001"/>
    <n v="-0.37"/>
    <n v="1.18"/>
    <n v="-0.65"/>
    <n v="-2.9459459459459461"/>
    <n v="0.92372881355932213"/>
    <n v="-46.06"/>
    <n v="-22.8"/>
    <n v="1.41"/>
    <n v="-1.676923076923077"/>
    <s v="NO"/>
    <n v="-0.48785947916687206"/>
    <n v="-0.24967972303993916"/>
    <n v="-5.3273260179139435E-2"/>
    <n v="-0.88506057606338218"/>
    <n v="-9.8614200327305543E-2"/>
    <n v="-0.61612805981446217"/>
    <x v="0"/>
    <x v="0"/>
    <x v="0"/>
    <x v="0"/>
    <x v="0"/>
    <x v="1"/>
  </r>
  <r>
    <x v="6"/>
    <s v="FIP"/>
    <n v="940"/>
    <n v="5.14"/>
    <n v="-0.83"/>
    <n v="3.26"/>
    <n v="-1.98"/>
    <n v="-6.1927710843373491"/>
    <n v="1.5766871165644172"/>
    <n v="-35.61"/>
    <n v="-0.54"/>
    <n v="6.57"/>
    <n v="-2.595959595959596"/>
    <s v="NO"/>
    <n v="-0.26556726687248167"/>
    <n v="1.5699920261880946"/>
    <n v="-1.9733677384051027"/>
    <n v="-0.29311351679451908"/>
    <n v="9.5577777593993147"/>
    <n v="-9.0695009904008167E-2"/>
    <x v="0"/>
    <x v="0"/>
    <x v="0"/>
    <x v="0"/>
    <x v="1"/>
    <x v="1"/>
  </r>
  <r>
    <x v="6"/>
    <s v="CVLG"/>
    <n v="749"/>
    <n v="23.05"/>
    <n v="-7.96"/>
    <n v="32.74"/>
    <n v="2.98"/>
    <n v="-2.8957286432160805"/>
    <n v="0.70403176542455714"/>
    <n v="10.029999999999999"/>
    <n v="4.07"/>
    <n v="2.34"/>
    <n v="7.7348993288590604"/>
    <s v="NO"/>
    <n v="0.25841173605300144"/>
    <n v="-1.0500304622478867"/>
    <n v="0.57538719737856547"/>
    <n v="1.6280997236169492"/>
    <n v="0.81628588431626492"/>
    <n v="0.45459662396308931"/>
    <x v="0"/>
    <x v="0"/>
    <x v="0"/>
    <x v="0"/>
    <x v="0"/>
    <x v="1"/>
  </r>
  <r>
    <x v="6"/>
    <s v="HTLD"/>
    <n v="938"/>
    <n v="8.91"/>
    <n v="1.1299999999999999"/>
    <n v="10.52"/>
    <n v="-0.28999999999999998"/>
    <n v="7.8849557522123899"/>
    <n v="0.84695817490494296"/>
    <n v="-2.7"/>
    <n v="-1.59"/>
    <n v="1.65"/>
    <n v="-30.724137931034484"/>
    <s v="NO"/>
    <n v="1.9717206670869145"/>
    <n v="-0.62091442400794672"/>
    <n v="-0.13551662235250589"/>
    <n v="-0.73070004660624177"/>
    <n v="-0.60963123005898412"/>
    <n v="-1.5753789489315964"/>
    <x v="0"/>
    <x v="0"/>
    <x v="0"/>
    <x v="0"/>
    <x v="0"/>
    <x v="1"/>
  </r>
  <r>
    <x v="6"/>
    <s v="MRTN"/>
    <n v="1379"/>
    <n v="13.78"/>
    <n v="-1.1200000000000001"/>
    <n v="9.41"/>
    <n v="0.41"/>
    <n v="-12.303571428571427"/>
    <n v="1.4643995749202974"/>
    <n v="4.4400000000000004"/>
    <n v="2.2400000000000002"/>
    <n v="1.3"/>
    <n v="33.609756097560975"/>
    <s v="NO"/>
    <n v="-1.2367197857219352"/>
    <n v="1.2328647927453527"/>
    <n v="0.26321497803082872"/>
    <n v="0.86544891451651829"/>
    <n v="-1.3329225199594725"/>
    <n v="1.8203439472167811"/>
    <x v="0"/>
    <x v="0"/>
    <x v="0"/>
    <x v="0"/>
    <x v="0"/>
    <x v="1"/>
  </r>
  <r>
    <x v="6"/>
    <s v="PAL"/>
    <n v="259"/>
    <n v="8.0500000000000007"/>
    <n v="0.09"/>
    <n v="12.52"/>
    <n v="-0.43"/>
    <n v="89.444444444444457"/>
    <n v="0.64297124600638988"/>
    <m/>
    <m/>
    <n v="1.47"/>
    <n v="-18.720930232558143"/>
    <s v="NO"/>
    <n v="14.933476643007674"/>
    <n v="-1.2333559112034391"/>
    <n v="1.5264234935309699E-2"/>
    <n v="-6.8069015748490239E-2"/>
    <n v="-0.98160960772209249"/>
    <n v="-0.94181606851861277"/>
    <x v="1"/>
    <x v="0"/>
    <x v="0"/>
    <x v="0"/>
    <x v="0"/>
    <x v="1"/>
  </r>
  <r>
    <x v="6"/>
    <s v="PAMT"/>
    <n v="380"/>
    <n v="15.09"/>
    <n v="-1.29"/>
    <n v="14.18"/>
    <n v="-0.11"/>
    <n v="-11.697674418604651"/>
    <n v="1.0641748942172073"/>
    <n v="-0.78"/>
    <n v="0.01"/>
    <n v="2.4500000000000002"/>
    <n v="-137.18181818181819"/>
    <s v="NO"/>
    <n v="-1.1404282405485118"/>
    <n v="3.1247610773649074E-2"/>
    <n v="-2.8294679392281478E-2"/>
    <n v="-6.3901524988378589E-2"/>
    <n v="1.0436060039992763"/>
    <n v="-7.1945131200692467"/>
    <x v="0"/>
    <x v="0"/>
    <x v="0"/>
    <x v="0"/>
    <x v="0"/>
    <x v="0"/>
  </r>
  <r>
    <x v="6"/>
    <s v="ULH"/>
    <n v="1260"/>
    <n v="25.83"/>
    <n v="-5.99"/>
    <n v="23.98"/>
    <n v="4.9800000000000004"/>
    <n v="-4.3121869782971611"/>
    <n v="1.0771476230191825"/>
    <n v="22.98"/>
    <n v="9.8000000000000007"/>
    <n v="2.46"/>
    <n v="5.1867469879518069"/>
    <s v="NO"/>
    <n v="3.3302584637629695E-2"/>
    <n v="7.0196367752174499E-2"/>
    <n v="1.2985768647404958"/>
    <n v="4.0160719291609217"/>
    <n v="1.0642714694250042"/>
    <n v="0.32009801514194752"/>
    <x v="0"/>
    <x v="0"/>
    <x v="0"/>
    <x v="1"/>
    <x v="0"/>
    <x v="1"/>
  </r>
  <r>
    <x v="6"/>
    <s v="HTZ"/>
    <n v="1445"/>
    <n v="5.7649999999999997"/>
    <n v="-2.7"/>
    <n v="2.2200000000000002"/>
    <n v="-9.09"/>
    <n v="-2.1351851851851849"/>
    <n v="2.5968468468468466"/>
    <n v="-134.16999999999999"/>
    <n v="-3.21"/>
    <n v="33.74"/>
    <n v="-0.63421342134213421"/>
    <s v="NO"/>
    <n v="0.37928030536538238"/>
    <n v="4.6328752499550632"/>
    <n v="-7.4774274770299556"/>
    <n v="-1.4058335497443282"/>
    <n v="65.705847321102965"/>
    <n v="1.2851441032399477E-2"/>
    <x v="0"/>
    <x v="1"/>
    <x v="1"/>
    <x v="0"/>
    <x v="1"/>
    <x v="1"/>
  </r>
  <r>
    <x v="7"/>
    <s v="BBU"/>
    <n v="1838"/>
    <n v="24.69"/>
    <n v="1"/>
    <n v="9.1300000000000008"/>
    <n v="2.77"/>
    <n v="24.69"/>
    <n v="2.7042716319824751"/>
    <n v="29.02"/>
    <n v="3.14"/>
    <n v="40.53"/>
    <n v="8.9133574007220222"/>
    <s v="NO"/>
    <n v="1"/>
    <n v="-0.99999999999999856"/>
    <n v="1"/>
    <n v="1"/>
    <n v="-1.000000000000002"/>
    <n v="1"/>
    <x v="0"/>
    <x v="0"/>
    <x v="0"/>
    <x v="0"/>
    <x v="0"/>
    <x v="1"/>
  </r>
  <r>
    <x v="7"/>
    <s v="BBUC"/>
    <n v="1944"/>
    <n v="28.9"/>
    <n v="-5.39"/>
    <n v="5.18"/>
    <n v="-53.77"/>
    <n v="-5.3617810760667908"/>
    <n v="5.5791505791505793"/>
    <n v="-43.54"/>
    <n v="0.99"/>
    <n v="54.56"/>
    <n v="-0.53747442811976931"/>
    <s v="NO"/>
    <n v="-1"/>
    <n v="0.99999999999999889"/>
    <n v="-1"/>
    <n v="-0.99999999999999978"/>
    <n v="1.000000000000002"/>
    <n v="-1.0000000000000002"/>
    <x v="0"/>
    <x v="0"/>
    <x v="0"/>
    <x v="0"/>
    <x v="0"/>
    <x v="1"/>
  </r>
  <r>
    <x v="8"/>
    <s v="ASTE"/>
    <n v="859"/>
    <n v="42.44"/>
    <n v="0.35"/>
    <n v="27.69"/>
    <n v="-0.09"/>
    <n v="121.25714285714285"/>
    <n v="1.5326832791621523"/>
    <n v="-0.32"/>
    <n v="4.37"/>
    <n v="1.69"/>
    <n v="-471.55555555555554"/>
    <s v="NO"/>
    <n v="9.7672616088170798"/>
    <n v="-0.15150150563723849"/>
    <n v="-0.53286497524314702"/>
    <n v="0.25342437989688821"/>
    <n v="-0.54391359047572907"/>
    <n v="-30.626879073605274"/>
    <x v="1"/>
    <x v="0"/>
    <x v="0"/>
    <x v="0"/>
    <x v="0"/>
    <x v="0"/>
  </r>
  <r>
    <x v="8"/>
    <s v="BLBD"/>
    <n v="1293"/>
    <n v="40.590000000000003"/>
    <n v="2.97"/>
    <n v="4.9400000000000004"/>
    <n v="3.16"/>
    <n v="13.666666666666666"/>
    <n v="8.2165991902834001"/>
    <n v="105.78"/>
    <n v="18.46"/>
    <n v="3.29"/>
    <n v="12.844936708860759"/>
    <s v="NO"/>
    <n v="0.302956007448069"/>
    <n v="6.8823917361772358"/>
    <n v="7.4560552459837313"/>
    <n v="5.1129092910933407"/>
    <n v="1.347959767700722"/>
    <n v="-0.21878695241598134"/>
    <x v="0"/>
    <x v="1"/>
    <x v="1"/>
    <x v="1"/>
    <x v="0"/>
    <x v="1"/>
  </r>
  <r>
    <x v="8"/>
    <s v="CYD"/>
    <n v="346"/>
    <n v="17.989999999999998"/>
    <n v="2.82"/>
    <n v="31.82"/>
    <n v="1.17"/>
    <n v="6.3794326241134751"/>
    <n v="0.56536769327466996"/>
    <n v="3.52"/>
    <n v="0.95"/>
    <n v="2.79"/>
    <n v="15.376068376068377"/>
    <s v="NO"/>
    <n v="-0.33807294241290531"/>
    <n v="-1.1694668200952982"/>
    <n v="-0.24372780606773506"/>
    <n v="-0.92609573339565032"/>
    <n v="0.75674934327058108"/>
    <n v="-5.9895939428952223E-2"/>
    <x v="0"/>
    <x v="0"/>
    <x v="0"/>
    <x v="0"/>
    <x v="0"/>
    <x v="1"/>
  </r>
  <r>
    <x v="8"/>
    <s v="HYLN"/>
    <n v="561"/>
    <n v="1.91"/>
    <n v="-0.45"/>
    <n v="1.48"/>
    <n v="-0.38"/>
    <n v="-4.2444444444444445"/>
    <n v="1.2905405405405406"/>
    <n v="-22.56"/>
    <n v="-13.01"/>
    <n v="1.06"/>
    <n v="-5.0263157894736841"/>
    <s v="NO"/>
    <n v="-1.2726130876781874"/>
    <n v="-0.40632310952831519"/>
    <n v="-2.2074510800507414"/>
    <n v="-5.7407450847301051"/>
    <n v="-1.2888387252577065"/>
    <n v="-1.3406493389507774"/>
    <x v="0"/>
    <x v="0"/>
    <x v="0"/>
    <x v="1"/>
    <x v="0"/>
    <x v="1"/>
  </r>
  <r>
    <x v="8"/>
    <s v="MLR"/>
    <n v="834"/>
    <n v="47.29"/>
    <n v="1.65"/>
    <n v="34.549999999999997"/>
    <n v="6.02"/>
    <n v="28.66060606060606"/>
    <n v="1.3687409551374821"/>
    <n v="19.149999999999999"/>
    <n v="8.65"/>
    <n v="1.91"/>
    <n v="7.8554817275747508"/>
    <s v="NO"/>
    <n v="1.6219131272345653"/>
    <n v="-0.32402803354968224"/>
    <n v="0.93315082784155889"/>
    <n v="1.7295489661226382"/>
    <n v="-0.28378100372646708"/>
    <n v="-0.53199845638500187"/>
    <x v="0"/>
    <x v="0"/>
    <x v="0"/>
    <x v="0"/>
    <x v="0"/>
    <x v="1"/>
  </r>
  <r>
    <x v="8"/>
    <s v="MTW"/>
    <n v="359"/>
    <n v="11.39"/>
    <n v="-2.14"/>
    <n v="17.3"/>
    <n v="-0.25"/>
    <n v="-5.3224299065420562"/>
    <n v="0.65838150289017339"/>
    <n v="-1.49"/>
    <n v="2.2999999999999998"/>
    <n v="2.92"/>
    <n v="-45.56"/>
    <s v="NO"/>
    <n v="-1.367439174599326"/>
    <n v="-1.071582703127083"/>
    <n v="-0.62096145647628043"/>
    <n v="-0.46049568867491147"/>
    <n v="0.91046405362241756"/>
    <n v="-3.8851389155882754"/>
    <x v="0"/>
    <x v="0"/>
    <x v="0"/>
    <x v="0"/>
    <x v="0"/>
    <x v="0"/>
  </r>
  <r>
    <x v="8"/>
    <s v="MVST"/>
    <n v="399"/>
    <n v="3.11"/>
    <n v="-0.22"/>
    <n v="1.58"/>
    <n v="-0.36"/>
    <n v="-14.136363636363635"/>
    <n v="1.9683544303797467"/>
    <n v="-21.29"/>
    <n v="-3.22"/>
    <n v="2.0099999999999998"/>
    <n v="-8.6388888888888893"/>
    <s v="NO"/>
    <n v="-2.1427658143063981"/>
    <n v="0.30698187550525341"/>
    <n v="-2.1118249850369981"/>
    <n v="-2.3642825381997103"/>
    <n v="-0.16553891884043909"/>
    <n v="-1.56742750568638"/>
    <x v="0"/>
    <x v="0"/>
    <x v="0"/>
    <x v="0"/>
    <x v="0"/>
    <x v="1"/>
  </r>
  <r>
    <x v="8"/>
    <s v="PLOW"/>
    <n v="587"/>
    <n v="29.31"/>
    <n v="1.59"/>
    <n v="11.29"/>
    <n v="2.33"/>
    <n v="18.433962264150942"/>
    <n v="2.596102745792737"/>
    <n v="22.23"/>
    <n v="4.42"/>
    <n v="2.5499999999999998"/>
    <n v="12.579399141630901"/>
    <s v="NO"/>
    <n v="0.72231601052839889"/>
    <n v="0.96759979650527062"/>
    <n v="1.1650629322843373"/>
    <n v="0.27066882599765624"/>
    <n v="0.47296833954411316"/>
    <n v="-0.23545599164056258"/>
    <x v="0"/>
    <x v="0"/>
    <x v="0"/>
    <x v="0"/>
    <x v="0"/>
    <x v="1"/>
  </r>
  <r>
    <x v="8"/>
    <s v="REVG"/>
    <n v="1594"/>
    <n v="38.409999999999997"/>
    <n v="0.04"/>
    <n v="7.59"/>
    <n v="4.37"/>
    <n v="960.24999999999989"/>
    <n v="5.0606060606060606"/>
    <n v="56.9"/>
    <n v="5.72"/>
    <n v="3.38"/>
    <n v="8.7894736842105257"/>
    <s v="NO"/>
    <n v="83.570121104559476"/>
    <n v="3.5611472679286202"/>
    <n v="3.7755800300217155"/>
    <n v="0.71902442461762694"/>
    <n v="1.4543776440981471"/>
    <n v="-0.47336739817722562"/>
    <x v="1"/>
    <x v="1"/>
    <x v="1"/>
    <x v="0"/>
    <x v="0"/>
    <x v="1"/>
  </r>
  <r>
    <x v="8"/>
    <s v="SHYF"/>
    <n v="445"/>
    <n v="10.119999999999999"/>
    <n v="0.37"/>
    <n v="7.33"/>
    <n v="-0.11"/>
    <n v="27.351351351351351"/>
    <n v="1.3806275579809002"/>
    <n v="-1.49"/>
    <n v="7.0000000000000007E-2"/>
    <n v="2.25"/>
    <n v="-91.999999999999986"/>
    <s v="NO"/>
    <n v="1.5067432059073191"/>
    <n v="-0.31151903485486981"/>
    <n v="-0.62096145647628043"/>
    <n v="-1.2295979847691689"/>
    <n v="0.11824208488602882"/>
    <n v="-6.8003956518204687"/>
    <x v="0"/>
    <x v="0"/>
    <x v="0"/>
    <x v="0"/>
    <x v="0"/>
    <x v="0"/>
  </r>
  <r>
    <x v="8"/>
    <s v="WNC"/>
    <n v="837"/>
    <n v="9.77"/>
    <n v="1.94"/>
    <n v="4.63"/>
    <n v="-5.17"/>
    <n v="5.036082474226804"/>
    <n v="2.1101511879049677"/>
    <n v="-64.38"/>
    <n v="-12.95"/>
    <n v="7.26"/>
    <n v="-1.8897485493230173"/>
    <s v="NO"/>
    <n v="-0.45624210383258251"/>
    <n v="0.45620327022811791"/>
    <n v="-5.3563355631017115"/>
    <n v="-5.7200517494091834"/>
    <n v="6.0421705376760411"/>
    <n v="-1.1437522938281577"/>
    <x v="0"/>
    <x v="0"/>
    <x v="1"/>
    <x v="1"/>
    <x v="1"/>
    <x v="1"/>
  </r>
  <r>
    <x v="8"/>
    <s v="LNN"/>
    <n v="1408"/>
    <n v="138.9"/>
    <n v="6.08"/>
    <n v="44.33"/>
    <n v="6.01"/>
    <n v="22.845394736842106"/>
    <n v="3.1333182946086175"/>
    <n v="14.15"/>
    <n v="6.32"/>
    <n v="1.58"/>
    <n v="23.111480865224628"/>
    <s v="NO"/>
    <n v="1.1103721521095244"/>
    <n v="1.5329445537494988"/>
    <n v="0.55667013881107474"/>
    <n v="0.92595777782684441"/>
    <n v="-0.6739798838503599"/>
    <n v="0.42569220369222371"/>
    <x v="0"/>
    <x v="0"/>
    <x v="0"/>
    <x v="0"/>
    <x v="0"/>
    <x v="1"/>
  </r>
  <r>
    <x v="8"/>
    <s v="TWI"/>
    <n v="439"/>
    <n v="7.76"/>
    <n v="1.48"/>
    <n v="8.4"/>
    <n v="-0.15"/>
    <n v="5.243243243243243"/>
    <n v="0.92380952380952375"/>
    <n v="-1.18"/>
    <n v="3.79"/>
    <n v="2.82"/>
    <n v="-51.733333333333334"/>
    <s v="NO"/>
    <n v="-0.43801899621183804"/>
    <n v="-0.79225657345116141"/>
    <n v="-0.59761965375639037"/>
    <n v="5.3388805127978146E-2"/>
    <n v="0.79222196873638928"/>
    <n v="-4.2726680194859226"/>
    <x v="0"/>
    <x v="0"/>
    <x v="0"/>
    <x v="0"/>
    <x v="0"/>
    <x v="0"/>
  </r>
  <r>
    <x v="8"/>
    <s v="AIRJ"/>
    <n v="466"/>
    <n v="4.55"/>
    <n v="-0.41"/>
    <n v="4.76"/>
    <n v="4.07"/>
    <n v="-11.097560975609756"/>
    <n v="0.95588235294117652"/>
    <n v="172.82"/>
    <n v="-3.78"/>
    <n v="1.41"/>
    <n v="1.1179361179361178"/>
    <s v="NO"/>
    <n v="-1.8754544493793432"/>
    <n v="-0.75850437502813284"/>
    <n v="12.503908324504465"/>
    <n v="-2.5574203345283131"/>
    <n v="-0.87499142815660802"/>
    <n v="-0.9549458126332937"/>
    <x v="0"/>
    <x v="0"/>
    <x v="1"/>
    <x v="0"/>
    <x v="0"/>
    <x v="1"/>
  </r>
  <r>
    <x v="8"/>
    <s v="CMCO"/>
    <n v="1139"/>
    <n v="18.23"/>
    <n v="1.48"/>
    <n v="31.36"/>
    <n v="0.52"/>
    <n v="12.317567567567568"/>
    <n v="0.58131377551020413"/>
    <n v="1.73"/>
    <n v="2.2400000000000002"/>
    <n v="2.0699999999999998"/>
    <n v="35.057692307692307"/>
    <s v="NO"/>
    <n v="0.18428113386724443"/>
    <n v="-1.1526857831161654"/>
    <n v="-0.37850789274064844"/>
    <n v="-0.48118902399583308"/>
    <n v="-9.4593667908822107E-2"/>
    <n v="1.1756119577858504"/>
    <x v="0"/>
    <x v="0"/>
    <x v="0"/>
    <x v="0"/>
    <x v="0"/>
    <x v="1"/>
  </r>
  <r>
    <x v="8"/>
    <s v="DDD"/>
    <n v="393"/>
    <n v="1.87"/>
    <n v="-0.48"/>
    <n v="1.62"/>
    <n v="-3.92"/>
    <n v="-3.8958333333333335"/>
    <n v="1.154320987654321"/>
    <n v="-111.75"/>
    <n v="-8.24"/>
    <n v="3.02"/>
    <n v="-0.47704081632653067"/>
    <s v="NO"/>
    <n v="-1.2419471569340272"/>
    <n v="-0.54967527092446833"/>
    <n v="-8.9231136109765217"/>
    <n v="-4.0956249267168277"/>
    <n v="1.0287061385084459"/>
    <n v="-1.0550699997940207"/>
    <x v="0"/>
    <x v="0"/>
    <x v="1"/>
    <x v="1"/>
    <x v="0"/>
    <x v="1"/>
  </r>
  <r>
    <x v="8"/>
    <s v="ERII"/>
    <n v="941"/>
    <n v="12.26"/>
    <n v="0.4"/>
    <n v="4.04"/>
    <n v="0.33"/>
    <n v="30.65"/>
    <n v="3.0346534653465347"/>
    <n v="9.06"/>
    <n v="3.79"/>
    <n v="1.1200000000000001"/>
    <n v="37.151515151515149"/>
    <s v="NO"/>
    <n v="1.7969121872870784"/>
    <n v="1.4291135234104406"/>
    <n v="0.17341279737804163"/>
    <n v="5.3388805127978146E-2"/>
    <n v="-1.2178934743260896"/>
    <n v="1.3070510437016858"/>
    <x v="0"/>
    <x v="0"/>
    <x v="0"/>
    <x v="0"/>
    <x v="0"/>
    <x v="1"/>
  </r>
  <r>
    <x v="8"/>
    <s v="FSTR"/>
    <n v="314"/>
    <n v="19.260000000000002"/>
    <n v="0.97"/>
    <n v="17.059999999999999"/>
    <n v="3.85"/>
    <n v="19.855670103092784"/>
    <n v="1.1289566236811257"/>
    <n v="26.28"/>
    <n v="3.04"/>
    <n v="1.89"/>
    <n v="5.0025974025974032"/>
    <s v="NO"/>
    <n v="0.8473779857146243"/>
    <n v="-0.57636774143223268"/>
    <n v="1.4700122903990298"/>
    <n v="-0.20527788638354344"/>
    <n v="-0.30742942070367274"/>
    <n v="-0.71108739363912443"/>
    <x v="0"/>
    <x v="0"/>
    <x v="0"/>
    <x v="0"/>
    <x v="0"/>
    <x v="1"/>
  </r>
  <r>
    <x v="8"/>
    <s v="GENC"/>
    <n v="322"/>
    <n v="13.26"/>
    <n v="1.54"/>
    <n v="13.28"/>
    <n v="1.1100000000000001"/>
    <n v="8.6103896103896105"/>
    <n v="0.99849397590361444"/>
    <n v="8.69"/>
    <n v="4.83"/>
    <n v="1.04"/>
    <n v="11.945945945945944"/>
    <s v="NO"/>
    <n v="-0.14182454339805281"/>
    <n v="-0.71366155971390499"/>
    <n v="0.14555322638978571"/>
    <n v="0.41207328402395477"/>
    <n v="-1.3124871422349123"/>
    <n v="-0.27522082143833138"/>
    <x v="0"/>
    <x v="0"/>
    <x v="0"/>
    <x v="0"/>
    <x v="0"/>
    <x v="1"/>
  </r>
  <r>
    <x v="8"/>
    <s v="GHM"/>
    <n v="471"/>
    <n v="37.35"/>
    <n v="2.44"/>
    <n v="10.33"/>
    <n v="0.71"/>
    <n v="15.307377049180328"/>
    <n v="3.6156824782187802"/>
    <n v="7.27"/>
    <n v="2.5099999999999998"/>
    <n v="2.2200000000000002"/>
    <n v="52.605633802816904"/>
    <s v="NO"/>
    <n v="0.44728276399069766"/>
    <n v="2.0405658668099305"/>
    <n v="3.8632710705128172E-2"/>
    <n v="-0.38806901505168545"/>
    <n v="8.2769459420220584E-2"/>
    <n v="2.2771785953971864"/>
    <x v="0"/>
    <x v="0"/>
    <x v="0"/>
    <x v="0"/>
    <x v="0"/>
    <x v="1"/>
  </r>
  <r>
    <x v="8"/>
    <s v="GRC"/>
    <n v="1102"/>
    <n v="39.03"/>
    <n v="2.78"/>
    <n v="14.01"/>
    <n v="1.45"/>
    <n v="14.039568345323742"/>
    <n v="2.7858672376873663"/>
    <n v="10.67"/>
    <n v="6.28"/>
    <n v="2.41"/>
    <n v="26.917241379310347"/>
    <s v="NO"/>
    <n v="0.33575868265721986"/>
    <n v="1.1673005699475381"/>
    <n v="0.29463957924585754"/>
    <n v="0.9121622209462299"/>
    <n v="0.30742942070367407"/>
    <n v="0.66459765104741086"/>
    <x v="0"/>
    <x v="0"/>
    <x v="0"/>
    <x v="0"/>
    <x v="0"/>
    <x v="1"/>
  </r>
  <r>
    <x v="8"/>
    <s v="HLIO"/>
    <n v="1711"/>
    <n v="33.72"/>
    <n v="2.65"/>
    <n v="26.67"/>
    <n v="1.1299999999999999"/>
    <n v="12.724528301886792"/>
    <n v="1.2643419572553429"/>
    <n v="4.3499999999999996"/>
    <n v="3.66"/>
    <n v="1.77"/>
    <n v="29.840707964601773"/>
    <s v="NO"/>
    <n v="0.22007984852797213"/>
    <n v="-0.43389348000653266"/>
    <n v="-0.18123201168867467"/>
    <n v="8.5532452659811097E-3"/>
    <n v="-0.44931992256690645"/>
    <n v="0.8481173680138312"/>
    <x v="0"/>
    <x v="0"/>
    <x v="0"/>
    <x v="0"/>
    <x v="0"/>
    <x v="1"/>
  </r>
  <r>
    <x v="8"/>
    <s v="HY"/>
    <n v="963"/>
    <n v="43.32"/>
    <n v="5.13"/>
    <n v="30.28"/>
    <n v="8.9"/>
    <n v="8.4444444444444446"/>
    <n v="1.4306472919418758"/>
    <n v="36.619999999999997"/>
    <n v="7.64"/>
    <n v="4.0999999999999996"/>
    <n v="4.8674157303370782"/>
    <s v="NO"/>
    <n v="-0.15642207859990898"/>
    <n v="-0.25888021154471197"/>
    <n v="2.2485743553140711"/>
    <n v="1.381211154887122"/>
    <n v="2.30572065527755"/>
    <n v="-0.71957338159502549"/>
    <x v="0"/>
    <x v="0"/>
    <x v="0"/>
    <x v="0"/>
    <x v="0"/>
    <x v="1"/>
  </r>
  <r>
    <x v="8"/>
    <s v="LXFR"/>
    <n v="370"/>
    <n v="12.45"/>
    <n v="1.19"/>
    <n v="8.4"/>
    <n v="0.32"/>
    <n v="10.46218487394958"/>
    <n v="1.482142857142857"/>
    <n v="3.95"/>
    <n v="4.58"/>
    <n v="1.8"/>
    <n v="38.90625"/>
    <s v="NO"/>
    <n v="2.1070509268798426E-2"/>
    <n v="-0.20468828081621246"/>
    <n v="-0.21135046681111339"/>
    <n v="0.32585105352011423"/>
    <n v="-0.41384729710109797"/>
    <n v="1.4172039848590252"/>
    <x v="0"/>
    <x v="0"/>
    <x v="0"/>
    <x v="0"/>
    <x v="0"/>
    <x v="1"/>
  </r>
  <r>
    <x v="8"/>
    <s v="MEC"/>
    <n v="354"/>
    <n v="15.44"/>
    <n v="3.02"/>
    <n v="11.55"/>
    <n v="0.59"/>
    <n v="5.1125827814569531"/>
    <n v="1.3367965367965366"/>
    <n v="5.25"/>
    <n v="3.13"/>
    <n v="1.96"/>
    <n v="26.16949152542373"/>
    <s v="NO"/>
    <n v="-0.44951267654625882"/>
    <n v="-0.357645097449036"/>
    <n v="-0.11346548766318747"/>
    <n v="-0.1742378834021609"/>
    <n v="-0.22465996128345297"/>
    <n v="0.61765788363656682"/>
    <x v="0"/>
    <x v="0"/>
    <x v="0"/>
    <x v="0"/>
    <x v="0"/>
    <x v="1"/>
  </r>
  <r>
    <x v="8"/>
    <s v="NNDM"/>
    <n v="528"/>
    <n v="1.59"/>
    <n v="-0.35"/>
    <n v="5.19"/>
    <n v="-0.4"/>
    <n v="-4.5428571428571436"/>
    <n v="0.30635838150289019"/>
    <n v="-14.6"/>
    <n v="-6.22"/>
    <n v="1.05"/>
    <n v="-3.9750000000000001"/>
    <s v="NO"/>
    <n v="-1.2988632640237865"/>
    <n v="-1.4420381498164287"/>
    <n v="-1.6080938231142101"/>
    <n v="-3.3989493042457966"/>
    <n v="-1.3006629337463094"/>
    <n v="-1.2746533131719138"/>
    <x v="0"/>
    <x v="0"/>
    <x v="0"/>
    <x v="1"/>
    <x v="0"/>
    <x v="1"/>
  </r>
  <r>
    <x v="8"/>
    <s v="OFLX"/>
    <n v="477"/>
    <n v="34.17"/>
    <n v="2.12"/>
    <n v="8.1199999999999992"/>
    <n v="1.81"/>
    <n v="16.117924528301888"/>
    <n v="4.2081280788177349"/>
    <n v="22.76"/>
    <n v="13.81"/>
    <n v="1.25"/>
    <n v="18.878453038674035"/>
    <s v="NO"/>
    <n v="0.51858339689471644"/>
    <n v="2.6640325832690612"/>
    <n v="1.2049698853215689"/>
    <n v="3.5091758037219067"/>
    <n v="-1.064178763974253"/>
    <n v="0.1599651820296496"/>
    <x v="0"/>
    <x v="0"/>
    <x v="0"/>
    <x v="1"/>
    <x v="0"/>
    <x v="1"/>
  </r>
  <r>
    <x v="8"/>
    <s v="PKOH"/>
    <n v="440"/>
    <n v="19.989999999999998"/>
    <n v="0.35"/>
    <n v="25.14"/>
    <n v="3.35"/>
    <n v="57.114285714285714"/>
    <n v="0.79514717581543348"/>
    <n v="13.1"/>
    <n v="4.22"/>
    <n v="4.1900000000000004"/>
    <n v="5.9671641791044774"/>
    <s v="NO"/>
    <n v="4.12486998048918"/>
    <n v="-0.92765582623436971"/>
    <n v="0.4776091941146729"/>
    <n v="0.20169104159458376"/>
    <n v="2.4121385316749762"/>
    <n v="-0.65053701050480006"/>
    <x v="1"/>
    <x v="0"/>
    <x v="0"/>
    <x v="0"/>
    <x v="0"/>
    <x v="1"/>
  </r>
  <r>
    <x v="8"/>
    <s v="PRLB"/>
    <n v="1046"/>
    <n v="41.36"/>
    <n v="2.0099999999999998"/>
    <n v="27.74"/>
    <n v="0.94"/>
    <n v="20.5771144278607"/>
    <n v="1.4909877433309302"/>
    <n v="3.51"/>
    <n v="2.42"/>
    <n v="1.1100000000000001"/>
    <n v="44"/>
    <s v="NO"/>
    <n v="0.91084056907459343"/>
    <n v="-0.1953802664710006"/>
    <n v="-0.24448076744579603"/>
    <n v="-0.41910901803306799"/>
    <n v="-1.2297176828146923"/>
    <n v="1.7369625765942263"/>
    <x v="0"/>
    <x v="0"/>
    <x v="0"/>
    <x v="0"/>
    <x v="0"/>
    <x v="1"/>
  </r>
  <r>
    <x v="8"/>
    <s v="SISXF"/>
    <n v="1070"/>
    <n v="13.615"/>
    <n v="1.08"/>
    <n v="5.97"/>
    <n v="0.48"/>
    <n v="12.606481481481481"/>
    <n v="2.2805695142378561"/>
    <n v="8.2200000000000006"/>
    <n v="5.62"/>
    <n v="1.96"/>
    <n v="28.364583333333336"/>
    <s v="NO"/>
    <n v="0.20969573997910892"/>
    <n v="0.63554489119012536"/>
    <n v="0.11016404162092028"/>
    <n v="0.68453553241609089"/>
    <n v="-0.22465996128345297"/>
    <n v="0.75545409766879301"/>
    <x v="0"/>
    <x v="0"/>
    <x v="0"/>
    <x v="0"/>
    <x v="0"/>
    <x v="1"/>
  </r>
  <r>
    <x v="8"/>
    <s v="TNC"/>
    <n v="1619"/>
    <n v="76.959999999999994"/>
    <n v="5.12"/>
    <n v="34.29"/>
    <n v="5.67"/>
    <n v="15.031249999999998"/>
    <n v="2.2443861184018665"/>
    <n v="18.100000000000001"/>
    <n v="7.33"/>
    <n v="1.88"/>
    <n v="13.573192239858905"/>
    <s v="NO"/>
    <n v="0.42299296743268017"/>
    <n v="0.59746689218161142"/>
    <n v="0.85408988314515744"/>
    <n v="1.27429558906236"/>
    <n v="-0.31925362919227557"/>
    <n v="-0.17307093513689653"/>
    <x v="0"/>
    <x v="0"/>
    <x v="0"/>
    <x v="0"/>
    <x v="0"/>
    <x v="1"/>
  </r>
  <r>
    <x v="9"/>
    <s v="CMRE"/>
    <n v="1583"/>
    <n v="8.67"/>
    <n v="2.6"/>
    <n v="20.79"/>
    <n v="3.01"/>
    <n v="3.3346153846153843"/>
    <n v="0.41702741702741702"/>
    <n v="15.83"/>
    <n v="5.16"/>
    <n v="2.11"/>
    <n v="2.8803986710963456"/>
    <s v="NO"/>
    <n v="1.0626109895817819"/>
    <n v="-0.9642420478839715"/>
    <n v="0.27826888449989806"/>
    <n v="-0.71418345127065452"/>
    <n v="1.5474585434580508"/>
    <n v="-0.56257551844030629"/>
    <x v="0"/>
    <x v="0"/>
    <x v="0"/>
    <x v="0"/>
    <x v="0"/>
    <x v="1"/>
  </r>
  <r>
    <x v="9"/>
    <s v="DAC"/>
    <n v="1573"/>
    <n v="88.8"/>
    <n v="-5.67"/>
    <n v="175.16"/>
    <n v="28.9"/>
    <n v="-15.661375661375661"/>
    <n v="0.50696506051609957"/>
    <n v="17.98"/>
    <n v="8.59"/>
    <n v="1.26"/>
    <n v="3.0726643598615917"/>
    <s v="NO"/>
    <n v="-1.745739754578697"/>
    <n v="-6.9914781779219046E-2"/>
    <n v="1.4808379330924215"/>
    <n v="0.84942244523467214"/>
    <n v="-1.006599246715431"/>
    <n v="-0.13835150300481711"/>
    <x v="0"/>
    <x v="0"/>
    <x v="0"/>
    <x v="0"/>
    <x v="0"/>
    <x v="1"/>
  </r>
  <r>
    <x v="9"/>
    <s v="GNK"/>
    <n v="643"/>
    <n v="14.56"/>
    <n v="0.97"/>
    <n v="21.75"/>
    <n v="1.58"/>
    <n v="15.010309278350517"/>
    <n v="0.6694252873563219"/>
    <n v="7.48"/>
    <n v="4.8499999999999996"/>
    <n v="1.1200000000000001"/>
    <n v="9.2151898734177209"/>
    <s v="NO"/>
    <n v="2.7887353889708297"/>
    <n v="1.5455668439880503"/>
    <n v="-4.3921736995687386"/>
    <n v="-0.85550060226676294"/>
    <n v="-1.4272675886263573"/>
    <n v="13.414804314918461"/>
    <x v="1"/>
    <x v="0"/>
    <x v="1"/>
    <x v="0"/>
    <x v="0"/>
    <x v="0"/>
  </r>
  <r>
    <x v="9"/>
    <s v="GSL"/>
    <n v="780"/>
    <n v="24.4"/>
    <n v="11.31"/>
    <n v="39.15"/>
    <n v="8.9600000000000009"/>
    <n v="2.1573828470380194"/>
    <n v="0.62324393358876118"/>
    <n v="25.95"/>
    <n v="10.75"/>
    <n v="1.61"/>
    <n v="2.7232142857142851"/>
    <s v="NO"/>
    <n v="0.88856995824253815"/>
    <n v="1.0863459631879413"/>
    <n v="5.938733429502844"/>
    <n v="1.834083884433362"/>
    <n v="4.507160806188535E-2"/>
    <n v="-0.9093945039741953"/>
    <x v="0"/>
    <x v="0"/>
    <x v="1"/>
    <x v="0"/>
    <x v="0"/>
    <x v="1"/>
  </r>
  <r>
    <x v="9"/>
    <s v="NMM"/>
    <n v="1455"/>
    <n v="39.67"/>
    <n v="-9.89"/>
    <n v="99.1"/>
    <n v="13.27"/>
    <n v="-4.0111223458038419"/>
    <n v="0.40030272452068622"/>
    <n v="14.3"/>
    <n v="5.15"/>
    <n v="1.84"/>
    <n v="2.989449886963075"/>
    <s v="NO"/>
    <n v="-2.3376468070985042E-2"/>
    <n v="-1.130550035794166"/>
    <n v="-0.57751281054501336"/>
    <n v="-0.71874206904472238"/>
    <n v="0.73616959834412166"/>
    <n v="-0.32195981118537453"/>
    <x v="0"/>
    <x v="0"/>
    <x v="0"/>
    <x v="0"/>
    <x v="0"/>
    <x v="1"/>
  </r>
  <r>
    <x v="9"/>
    <s v="SB"/>
    <n v="410"/>
    <n v="3.61"/>
    <n v="-0.71"/>
    <n v="7.73"/>
    <n v="0.9"/>
    <n v="-5.084507042253521"/>
    <n v="0.46701164294954717"/>
    <n v="13.22"/>
    <n v="5.86"/>
    <n v="1.63"/>
    <n v="4.0111111111111111"/>
    <s v="NO"/>
    <n v="-0.18206472517463851"/>
    <n v="-0.46720594171863561"/>
    <n v="-1.1815940070473041"/>
    <n v="-0.39508020708589386"/>
    <n v="0.10516708547773138"/>
    <n v="1.932281336604698"/>
    <x v="0"/>
    <x v="0"/>
    <x v="0"/>
    <x v="0"/>
    <x v="0"/>
    <x v="1"/>
  </r>
  <r>
    <x v="10"/>
    <s v="ALGT"/>
    <n v="1465"/>
    <n v="58.34"/>
    <n v="-9.8000000000000007"/>
    <n v="73.209999999999994"/>
    <n v="-1.47"/>
    <n v="-5.9530612244897956"/>
    <n v="0.79688567135637223"/>
    <n v="-1.96"/>
    <n v="1.0900000000000001"/>
    <n v="3.68"/>
    <n v="-39.687074829931973"/>
    <s v="NO"/>
    <n v="-0.81466582702519352"/>
    <n v="-0.30765133755910951"/>
    <n v="-0.21751364604198009"/>
    <n v="0.31377453915645692"/>
    <n v="-7.4222433040983316E-4"/>
    <n v="-1.8918936105392083"/>
    <x v="0"/>
    <x v="0"/>
    <x v="0"/>
    <x v="0"/>
    <x v="0"/>
    <x v="1"/>
  </r>
  <r>
    <x v="10"/>
    <s v="AZUL"/>
    <n v="256"/>
    <n v="0.69589999999999996"/>
    <n v="1.17"/>
    <n v="-13.74"/>
    <n v="-2.5299999999999998"/>
    <n v="0.59478632478632476"/>
    <n v="-5.0647743813682672E-2"/>
    <n v="20.25"/>
    <n v="7.33"/>
    <n v="-0.9"/>
    <n v="-0.27505928853754941"/>
    <s v="NO"/>
    <n v="0.21973966416362548"/>
    <n v="-1.7026881067938273"/>
    <n v="1.4279148548409826"/>
    <n v="1.1330017878327294"/>
    <n v="-0.59563502515393019"/>
    <n v="4.745704016426739E-2"/>
    <x v="0"/>
    <x v="0"/>
    <x v="0"/>
    <x v="0"/>
    <x v="0"/>
    <x v="1"/>
  </r>
  <r>
    <x v="10"/>
    <s v="BLDE"/>
    <n v="370"/>
    <n v="3.45"/>
    <n v="-0.5"/>
    <n v="2.98"/>
    <n v="-0.68"/>
    <n v="-6.9"/>
    <n v="1.1577181208053693"/>
    <n v="-20.73"/>
    <n v="-7.14"/>
    <n v="1.21"/>
    <n v="-5.0735294117647056"/>
    <s v="NO"/>
    <n v="-0.96425982136241051"/>
    <n v="0.28627749817107578"/>
    <n v="-1.6080896461128134"/>
    <n v="-0.76671268145343452"/>
    <n v="-0.32156869115008135"/>
    <n v="-0.18866171773299806"/>
    <x v="0"/>
    <x v="0"/>
    <x v="0"/>
    <x v="0"/>
    <x v="0"/>
    <x v="1"/>
  </r>
  <r>
    <x v="10"/>
    <s v="SNCY"/>
    <n v="758"/>
    <n v="12.77"/>
    <n v="1.8"/>
    <n v="10.44"/>
    <n v="0.82"/>
    <n v="7.0944444444444441"/>
    <n v="1.2231800766283525"/>
    <n v="8.42"/>
    <n v="3.78"/>
    <n v="2.91"/>
    <n v="15.573170731707318"/>
    <s v="NO"/>
    <n v="1.2465323619514088"/>
    <n v="0.39402762781140022"/>
    <n v="0.55148895815275878"/>
    <n v="0.66693500373004222"/>
    <n v="-0.10075695285314143"/>
    <n v="0.82730234317798912"/>
    <x v="0"/>
    <x v="0"/>
    <x v="0"/>
    <x v="0"/>
    <x v="0"/>
    <x v="1"/>
  </r>
  <r>
    <x v="10"/>
    <s v="ULCC"/>
    <n v="1309"/>
    <n v="4.3899999999999997"/>
    <n v="-1.27"/>
    <n v="2.4500000000000002"/>
    <n v="-0.03"/>
    <n v="-3.4566929133858264"/>
    <n v="1.7918367346938773"/>
    <n v="-1.1000000000000001"/>
    <n v="-3.46"/>
    <n v="10.61"/>
    <n v="-146.33333333333331"/>
    <s v="NO"/>
    <n v="-0.42029850713834338"/>
    <n v="1.3300343183704606"/>
    <n v="-0.15380052083894777"/>
    <n v="-0.28357866300332513"/>
    <n v="0.89939033237417443"/>
    <n v="-7.1396457993719462"/>
    <x v="0"/>
    <x v="0"/>
    <x v="0"/>
    <x v="0"/>
    <x v="0"/>
    <x v="0"/>
  </r>
  <r>
    <x v="10"/>
    <s v="UP"/>
    <n v="1493"/>
    <n v="1.67"/>
    <n v="-0.25"/>
    <n v="-0.17"/>
    <n v="-0.53"/>
    <n v="-6.68"/>
    <n v="-9.8235294117647047"/>
    <n v="-2416.9"/>
    <n v="-16.04"/>
    <n v="-8.8699999999999992"/>
    <n v="-3.1509433962264146"/>
    <s v="NO"/>
    <n v="-0.92950500974699668"/>
    <n v="-17.788814062589999"/>
    <n v="-179.12841431791512"/>
    <n v="-1.9351618021615797"/>
    <n v="-1.630852409993113"/>
    <n v="-9.4056851956684895E-2"/>
    <x v="0"/>
    <x v="1"/>
    <x v="1"/>
    <x v="0"/>
    <x v="0"/>
    <x v="1"/>
  </r>
  <r>
    <x v="10"/>
    <s v="VLRS"/>
    <n v="976"/>
    <n v="4.28"/>
    <n v="0.44"/>
    <n v="0.28000000000000003"/>
    <n v="0.17"/>
    <n v="9.7272727272727284"/>
    <n v="15.285714285714285"/>
    <n v="85.45"/>
    <n v="5.34"/>
    <n v="17.16"/>
    <n v="25.176470588235293"/>
    <s v="NO"/>
    <n v="1.6624571391579102"/>
    <n v="23.540905307389021"/>
    <n v="6.2582587655825028"/>
    <n v="0.87174181589911048"/>
    <n v="1.7501649711065017"/>
    <n v="1.2998527968866347"/>
    <x v="0"/>
    <x v="1"/>
    <x v="1"/>
    <x v="0"/>
    <x v="0"/>
    <x v="1"/>
  </r>
  <r>
    <x v="11"/>
    <s v="BBSI"/>
    <n v="1130"/>
    <n v="41.71"/>
    <n v="-0.03"/>
    <n v="8.3000000000000007"/>
    <n v="1.89"/>
    <n v="-1390.3333333333335"/>
    <n v="5.0253012048192769"/>
    <n v="25.64"/>
    <n v="5.0599999999999996"/>
    <n v="3.37"/>
    <n v="22.06878306878307"/>
    <s v="NO"/>
    <n v="-128.70956874983966"/>
    <n v="1.3035898998082602"/>
    <n v="0.84248802658557986"/>
    <n v="5.9751070555962855E-2"/>
    <n v="1.1247432332146465"/>
    <n v="0.3346679862876098"/>
    <x v="1"/>
    <x v="0"/>
    <x v="0"/>
    <x v="0"/>
    <x v="0"/>
    <x v="1"/>
  </r>
  <r>
    <x v="11"/>
    <s v="FVRR"/>
    <n v="1247"/>
    <n v="32.4"/>
    <n v="2.1"/>
    <n v="9.16"/>
    <n v="0.25"/>
    <n v="15.428571428571427"/>
    <n v="3.5371179039301306"/>
    <n v="3.12"/>
    <n v="-0.62"/>
    <n v="3.19"/>
    <n v="129.6"/>
    <s v="NO"/>
    <n v="0.5376520221105312"/>
    <n v="0.51713494383192005"/>
    <n v="-0.55891840662764514"/>
    <n v="-1.4539427168617751"/>
    <n v="0.90015108204975658"/>
    <n v="6.069214856918431"/>
    <x v="0"/>
    <x v="0"/>
    <x v="0"/>
    <x v="0"/>
    <x v="0"/>
    <x v="0"/>
  </r>
  <r>
    <x v="11"/>
    <s v="HSII"/>
    <n v="917"/>
    <n v="43.43"/>
    <n v="4.9800000000000004"/>
    <n v="23.68"/>
    <n v="1.83"/>
    <n v="8.7208835341365454"/>
    <n v="1.8340371621621623"/>
    <n v="8.36"/>
    <n v="4.4400000000000004"/>
    <n v="2.37"/>
    <n v="23.73224043715847"/>
    <s v="NO"/>
    <n v="-7.9059823063704654E-2"/>
    <n v="-0.38288610128465272"/>
    <n v="-0.23283627030272075"/>
    <n v="-0.10547606821146609"/>
    <n v="-0.12299093992363039"/>
    <n v="0.42337873018579086"/>
    <x v="0"/>
    <x v="0"/>
    <x v="0"/>
    <x v="0"/>
    <x v="0"/>
    <x v="1"/>
  </r>
  <r>
    <x v="11"/>
    <s v="KELYA"/>
    <n v="510"/>
    <n v="12.38"/>
    <n v="1.22"/>
    <n v="36.03"/>
    <n v="1.1599999999999999"/>
    <n v="10.147540983606559"/>
    <n v="0.34360255342769913"/>
    <n v="3.38"/>
    <n v="1.55"/>
    <n v="2.1"/>
    <n v="10.67241379310345"/>
    <s v="NO"/>
    <n v="5.210855595765513E-2"/>
    <n v="-1.1705307979410022"/>
    <n v="-0.54273875864205734"/>
    <n v="-0.8756477311757731"/>
    <n v="-0.45987916667096518"/>
    <n v="-0.27309053845972286"/>
    <x v="0"/>
    <x v="0"/>
    <x v="0"/>
    <x v="0"/>
    <x v="0"/>
    <x v="1"/>
  </r>
  <r>
    <x v="11"/>
    <s v="KELYB"/>
    <n v="524"/>
    <n v="12.071"/>
    <n v="1.22"/>
    <n v="36.03"/>
    <n v="1.1599999999999999"/>
    <n v="9.8942622950819672"/>
    <n v="0.33502636691645848"/>
    <n v="3.38"/>
    <n v="1.55"/>
    <n v="2.1"/>
    <n v="10.406034482758621"/>
    <s v="NO"/>
    <n v="2.8821848257240965E-2"/>
    <n v="-1.1750630248387994"/>
    <n v="-0.54273875864205734"/>
    <n v="-0.8756477311757731"/>
    <n v="-0.45987916667096518"/>
    <n v="-0.28729631687582557"/>
    <x v="0"/>
    <x v="0"/>
    <x v="0"/>
    <x v="0"/>
    <x v="0"/>
    <x v="1"/>
  </r>
  <r>
    <x v="11"/>
    <s v="KFRC"/>
    <n v="1140"/>
    <n v="41.61"/>
    <n v="4.13"/>
    <n v="9.07"/>
    <n v="2.9"/>
    <n v="10.075060532687651"/>
    <n v="4.587651598676957"/>
    <n v="31.8"/>
    <n v="11.84"/>
    <n v="2.21"/>
    <n v="14.348275862068967"/>
    <s v="NO"/>
    <n v="4.5444627443278963E-2"/>
    <n v="1.0723067631636842"/>
    <n v="1.2258212250133536"/>
    <n v="1.8665897815933332"/>
    <n v="-0.3226284076257549"/>
    <n v="-7.7059990996093564E-2"/>
    <x v="0"/>
    <x v="0"/>
    <x v="0"/>
    <x v="0"/>
    <x v="0"/>
    <x v="1"/>
  </r>
  <r>
    <x v="11"/>
    <s v="BKSY"/>
    <n v="331"/>
    <n v="11.84"/>
    <n v="-3"/>
    <n v="3.62"/>
    <n v="-2.2799999999999998"/>
    <n v="-3.9466666666666668"/>
    <n v="3.270718232044199"/>
    <n v="-41.09"/>
    <n v="-11.69"/>
    <n v="2.23"/>
    <n v="-5.192982456140351"/>
    <s v="NO"/>
    <n v="-1.2437276461829236"/>
    <n v="0.37635165315799235"/>
    <n v="-3.3100808583308727"/>
    <n v="-4.4040466300157117"/>
    <n v="-0.29767372416298932"/>
    <n v="-1.1191784095810506"/>
    <x v="0"/>
    <x v="0"/>
    <x v="1"/>
    <x v="1"/>
    <x v="0"/>
    <x v="1"/>
  </r>
  <r>
    <x v="11"/>
    <s v="CRAI"/>
    <n v="1257"/>
    <n v="189.98"/>
    <n v="3.5"/>
    <n v="30.25"/>
    <n v="6.18"/>
    <n v="54.279999999999994"/>
    <n v="6.2803305785123964"/>
    <n v="20.91"/>
    <n v="7.3"/>
    <n v="2.85"/>
    <n v="30.741100323624597"/>
    <s v="NO"/>
    <n v="4.1096930262573652"/>
    <n v="1.9668308260080893"/>
    <n v="0.54814289207853917"/>
    <n v="0.65670073319957789"/>
    <n v="0.47592146318274253"/>
    <n v="0.79715517088518062"/>
    <x v="1"/>
    <x v="0"/>
    <x v="0"/>
    <x v="0"/>
    <x v="0"/>
    <x v="1"/>
  </r>
  <r>
    <x v="11"/>
    <s v="FC"/>
    <n v="477"/>
    <n v="23.19"/>
    <n v="4.24"/>
    <n v="6.41"/>
    <n v="1.74"/>
    <n v="5.4693396226415096"/>
    <n v="3.6177847113884556"/>
    <n v="28.93"/>
    <n v="9.11"/>
    <n v="3.15"/>
    <n v="13.327586206896553"/>
    <s v="NO"/>
    <n v="-0.3780101733009078"/>
    <n v="0.55976464574463791"/>
    <n v="1.0472228030185953"/>
    <n v="1.1390573802464274"/>
    <n v="0.85024171512422542"/>
    <n v="-0.13149248822802062"/>
    <x v="0"/>
    <x v="0"/>
    <x v="0"/>
    <x v="0"/>
    <x v="0"/>
    <x v="1"/>
  </r>
  <r>
    <x v="11"/>
    <s v="FORR"/>
    <n v="322"/>
    <n v="10.17"/>
    <n v="0.28999999999999998"/>
    <n v="12.34"/>
    <n v="-0.36"/>
    <n v="35.068965517241381"/>
    <n v="0.82414910858995138"/>
    <n v="-2.93"/>
    <n v="0.67"/>
    <n v="2.16"/>
    <n v="-28.25"/>
    <s v="NO"/>
    <n v="2.3434104099481732"/>
    <n v="-0.91657806264360286"/>
    <n v="-0.93540636936920873"/>
    <n v="-1.110163670071479"/>
    <n v="-0.38501511628266849"/>
    <n v="-2.3487892293562673"/>
    <x v="0"/>
    <x v="0"/>
    <x v="0"/>
    <x v="0"/>
    <x v="0"/>
    <x v="1"/>
  </r>
  <r>
    <x v="11"/>
    <s v="INOD"/>
    <n v="1292"/>
    <n v="36.32"/>
    <n v="0.38"/>
    <n v="1.65"/>
    <n v="0.62"/>
    <n v="95.578947368421055"/>
    <n v="22.012121212121212"/>
    <n v="57.92"/>
    <n v="13.51"/>
    <n v="1.85"/>
    <n v="58.58064516129032"/>
    <s v="NO"/>
    <n v="7.9067614701340911"/>
    <n v="10.280554480071206"/>
    <n v="2.8512535534116412"/>
    <n v="2.3116370747249571"/>
    <n v="-0.77181270995553442"/>
    <n v="2.2818140381864014"/>
    <x v="1"/>
    <x v="1"/>
    <x v="1"/>
    <x v="0"/>
    <x v="0"/>
    <x v="1"/>
  </r>
  <r>
    <x v="11"/>
    <s v="LZ"/>
    <n v="1417"/>
    <n v="9.51"/>
    <n v="0.43"/>
    <n v="0.35"/>
    <n v="0.13"/>
    <n v="22.11627906976744"/>
    <n v="27.171428571428571"/>
    <n v="23.61"/>
    <n v="6.29"/>
    <n v="5.8"/>
    <n v="73.153846153846146"/>
    <s v="NO"/>
    <n v="1.152526861890969"/>
    <n v="13.007075359393129"/>
    <n v="0.71616231346733616"/>
    <n v="0.38754039423973369"/>
    <n v="4.1567372739406592"/>
    <n v="3.0589902529816975"/>
    <x v="0"/>
    <x v="1"/>
    <x v="0"/>
    <x v="0"/>
    <x v="1"/>
    <x v="0"/>
  </r>
  <r>
    <x v="11"/>
    <s v="MG"/>
    <n v="281"/>
    <n v="7.96"/>
    <n v="0.49"/>
    <n v="6.62"/>
    <n v="0.36"/>
    <n v="16.244897959183675"/>
    <n v="1.202416918429003"/>
    <n v="5.77"/>
    <n v="4.67"/>
    <n v="2.69"/>
    <n v="22.111111111111111"/>
    <s v="NO"/>
    <n v="0.6127059376894366"/>
    <n v="-0.7166762134853063"/>
    <n v="-0.39401045600530743"/>
    <n v="-4.4182129636452169E-2"/>
    <n v="0.27628399548061805"/>
    <n v="0.33692530420513567"/>
    <x v="0"/>
    <x v="0"/>
    <x v="0"/>
    <x v="0"/>
    <x v="0"/>
    <x v="1"/>
  </r>
  <r>
    <x v="11"/>
    <s v="NVEE"/>
    <n v="1362"/>
    <n v="19.47"/>
    <n v="0.94"/>
    <n v="12.63"/>
    <n v="0.54"/>
    <n v="20.712765957446809"/>
    <n v="1.5415676959619951"/>
    <n v="4.24"/>
    <n v="2.78"/>
    <n v="1.57"/>
    <n v="36.05555555555555"/>
    <s v="NO"/>
    <n v="1.02348639744962"/>
    <n v="-0.53744640378734143"/>
    <n v="-0.48922146145895901"/>
    <n v="-0.54785840749200232"/>
    <n v="-1.1211782784342521"/>
    <n v="1.0805704756600854"/>
    <x v="0"/>
    <x v="0"/>
    <x v="0"/>
    <x v="0"/>
    <x v="0"/>
    <x v="1"/>
  </r>
  <r>
    <x v="11"/>
    <s v="PL"/>
    <n v="1221"/>
    <n v="3.78"/>
    <n v="-0.32"/>
    <n v="1.61"/>
    <n v="-0.47"/>
    <n v="-11.8125"/>
    <n v="2.3478260869565215"/>
    <n v="-26.87"/>
    <n v="-12.51"/>
    <n v="1.39"/>
    <n v="-8.0425531914893611"/>
    <s v="NO"/>
    <n v="-1.9669205951061532"/>
    <n v="-0.11136588869467287"/>
    <n v="-2.4251785723498753"/>
    <n v="-4.6225728458048927"/>
    <n v="-1.3457704295991422"/>
    <n v="-1.2711435543026013"/>
    <x v="0"/>
    <x v="0"/>
    <x v="0"/>
    <x v="1"/>
    <x v="0"/>
    <x v="1"/>
  </r>
  <r>
    <x v="11"/>
    <s v="RGP"/>
    <n v="287"/>
    <n v="5.53"/>
    <n v="0.69"/>
    <n v="12.48"/>
    <n v="0.36"/>
    <n v="8.0144927536231894"/>
    <n v="0.44310897435897434"/>
    <n v="2.96"/>
    <n v="3.12"/>
    <n v="1.22"/>
    <n v="15.361111111111112"/>
    <s v="NO"/>
    <n v="-0.14400613072150345"/>
    <n v="-1.117944992250189"/>
    <n v="-0.56887511308031458"/>
    <n v="-0.45724997655502503"/>
    <n v="-1.5578852390326492"/>
    <n v="-2.304636245532805E-2"/>
    <x v="0"/>
    <x v="0"/>
    <x v="0"/>
    <x v="0"/>
    <x v="0"/>
    <x v="1"/>
  </r>
  <r>
    <x v="11"/>
    <s v="SPIR"/>
    <n v="359"/>
    <n v="9.9600000000000009"/>
    <n v="-2.61"/>
    <n v="3.51"/>
    <n v="-3.49"/>
    <n v="-3.8160919540229892"/>
    <n v="2.8376068376068382"/>
    <n v="-79.87"/>
    <n v="-10.24"/>
    <n v="3.14"/>
    <n v="-2.8538681948424069"/>
    <s v="NO"/>
    <n v="-1.231722470445038"/>
    <n v="0.14746680917299812"/>
    <n v="-5.7233375847966306"/>
    <n v="-4.0176283216080142"/>
    <n v="0.83776437339284293"/>
    <n v="-0.99443546748494982"/>
    <x v="0"/>
    <x v="0"/>
    <x v="1"/>
    <x v="1"/>
    <x v="0"/>
    <x v="1"/>
  </r>
  <r>
    <x v="11"/>
    <s v="WLDN"/>
    <n v="613"/>
    <n v="45.99"/>
    <n v="3.31"/>
    <n v="15.86"/>
    <n v="1.63"/>
    <n v="13.894259818731118"/>
    <n v="2.8997477931904165"/>
    <n v="11.04"/>
    <n v="4.75"/>
    <n v="2"/>
    <n v="28.214723926380373"/>
    <s v="NO"/>
    <n v="0.39658580691558759"/>
    <n v="0.18030621978767966"/>
    <n v="-6.6061437220507488E-2"/>
    <n v="-2.2862498827751616E-2"/>
    <n v="-0.58465258398479303"/>
    <n v="0.66242570091071229"/>
    <x v="0"/>
    <x v="0"/>
    <x v="0"/>
    <x v="0"/>
    <x v="0"/>
    <x v="1"/>
  </r>
  <r>
    <x v="11"/>
    <s v="CNDT"/>
    <n v="644"/>
    <n v="2.2999999999999998"/>
    <n v="-0.36"/>
    <n v="5.49"/>
    <n v="2.2000000000000002"/>
    <n v="-6.3888888888888884"/>
    <n v="0.41894353369763199"/>
    <n v="49.75"/>
    <n v="-0.02"/>
    <n v="3.24"/>
    <n v="1.0454545454545452"/>
    <s v="NO"/>
    <n v="-1.4682681132851247"/>
    <n v="-1.1307156170516568"/>
    <n v="2.3428392301722072"/>
    <n v="-1.2940454857965209"/>
    <n v="0.96253779070667067"/>
    <n v="-0.78648795553358086"/>
    <x v="0"/>
    <x v="0"/>
    <x v="0"/>
    <x v="0"/>
    <x v="0"/>
    <x v="1"/>
  </r>
  <r>
    <x v="11"/>
    <s v="CSGS"/>
    <n v="1579"/>
    <n v="65.45"/>
    <n v="3.9"/>
    <n v="10.28"/>
    <n v="2.27"/>
    <n v="16.782051282051285"/>
    <n v="6.3667315175097281"/>
    <n v="23.7"/>
    <n v="6.17"/>
    <n v="4.8099999999999996"/>
    <n v="28.832599118942731"/>
    <s v="NO"/>
    <n v="0.66209237637004326"/>
    <n v="2.0124908240976143"/>
    <n v="0.72176296084696268"/>
    <n v="0.35556094802668287"/>
    <n v="2.921480442533765"/>
    <n v="0.69537645096327927"/>
    <x v="0"/>
    <x v="0"/>
    <x v="0"/>
    <x v="0"/>
    <x v="0"/>
    <x v="1"/>
  </r>
  <r>
    <x v="11"/>
    <s v="TASK"/>
    <n v="1359"/>
    <n v="16.77"/>
    <n v="1.25"/>
    <n v="5.48"/>
    <n v="0.57999999999999996"/>
    <n v="13.416"/>
    <n v="3.0602189781021893"/>
    <n v="11.6"/>
    <n v="7.62"/>
    <n v="1.92"/>
    <n v="28.913793103448278"/>
    <s v="NO"/>
    <n v="0.35261409864229853"/>
    <n v="0.26510985828426581"/>
    <n v="-3.1212964636164388E-2"/>
    <n v="0.74197925643438012"/>
    <n v="-0.68447131783585524"/>
    <n v="0.69970645598924452"/>
    <x v="0"/>
    <x v="0"/>
    <x v="0"/>
    <x v="0"/>
    <x v="0"/>
    <x v="1"/>
  </r>
  <r>
    <x v="11"/>
    <s v="TIXT"/>
    <n v="1089"/>
    <n v="2.96"/>
    <n v="1.47"/>
    <n v="7.45"/>
    <n v="-0.05"/>
    <n v="2.0136054421768708"/>
    <n v="0.3973154362416107"/>
    <n v="1.54"/>
    <n v="2.09"/>
    <n v="2.2799999999999998"/>
    <n v="-59.199999999999996"/>
    <s v="NO"/>
    <n v="-0.69573399056947716"/>
    <n v="-1.1421453410799163"/>
    <n v="-0.65724088284775606"/>
    <n v="-0.73174022321704446"/>
    <n v="-0.2352870155060757"/>
    <n v="-3.9993259824142458"/>
    <x v="0"/>
    <x v="0"/>
    <x v="0"/>
    <x v="0"/>
    <x v="0"/>
    <x v="0"/>
  </r>
  <r>
    <x v="12"/>
    <s v="ALTG"/>
    <n v="268"/>
    <n v="5.37"/>
    <n v="1.1100000000000001"/>
    <n v="2.89"/>
    <n v="-1.7"/>
    <n v="4.8378378378378377"/>
    <n v="1.8581314878892734"/>
    <n v="-43.91"/>
    <n v="1.17"/>
    <n v="16.190000000000001"/>
    <n v="-3.158823529411765"/>
    <s v="NO"/>
    <n v="-0.12632998799271036"/>
    <n v="-0.2901959039673645"/>
    <n v="-4.741629153387521"/>
    <n v="-1.059565299247202"/>
    <n v="16.655598312882457"/>
    <n v="-1.4822585479232493"/>
    <x v="0"/>
    <x v="0"/>
    <x v="1"/>
    <x v="0"/>
    <x v="1"/>
    <x v="1"/>
  </r>
  <r>
    <x v="12"/>
    <s v="BXC"/>
    <n v="1067"/>
    <n v="73.77"/>
    <n v="13.06"/>
    <n v="77.83"/>
    <n v="3.41"/>
    <n v="5.6485451761102601"/>
    <n v="0.94783502505460615"/>
    <n v="4.62"/>
    <n v="3.93"/>
    <n v="2.46"/>
    <n v="21.633431085043988"/>
    <s v="NO"/>
    <n v="-6.2919813954152401E-2"/>
    <n v="-1.0617288412855563"/>
    <n v="-0.30629089144559468"/>
    <n v="-0.18312167509467125"/>
    <n v="0.15537098874564387"/>
    <n v="0.39562352652959831"/>
    <x v="0"/>
    <x v="0"/>
    <x v="0"/>
    <x v="0"/>
    <x v="0"/>
    <x v="1"/>
  </r>
  <r>
    <x v="12"/>
    <s v="CTOS"/>
    <n v="1328"/>
    <n v="4.5599999999999996"/>
    <n v="-0.56000000000000005"/>
    <n v="3.59"/>
    <n v="-0.17"/>
    <n v="-8.1428571428571406"/>
    <n v="1.2701949860724233"/>
    <n v="-4.58"/>
    <n v="2.41"/>
    <n v="4.2699999999999996"/>
    <n v="-26.823529411764703"/>
    <s v="NO"/>
    <n v="-1.1416262472091467"/>
    <n v="-0.78850870064767431"/>
    <n v="-1.1471133107710785"/>
    <n v="-0.66580077245403602"/>
    <n v="2.3305648311846547"/>
    <n v="-3.274734773452082"/>
    <x v="0"/>
    <x v="0"/>
    <x v="0"/>
    <x v="0"/>
    <x v="0"/>
    <x v="0"/>
  </r>
  <r>
    <x v="12"/>
    <s v="DNOW"/>
    <n v="1549"/>
    <n v="15.57"/>
    <n v="2.56"/>
    <n v="10.51"/>
    <n v="1.88"/>
    <n v="6.08203125"/>
    <n v="1.4814462416745957"/>
    <n v="20.350000000000001"/>
    <n v="5.95"/>
    <n v="1.42"/>
    <n v="8.2819148936170226"/>
    <s v="YES"/>
    <n v="-2.9014326621061307E-2"/>
    <n v="-0.60946010669910844"/>
    <n v="1.1313326581185204"/>
    <n v="0.45833344113290553"/>
    <n v="-1.0944641472414125"/>
    <n v="-0.61568316229524345"/>
    <x v="0"/>
    <x v="0"/>
    <x v="0"/>
    <x v="0"/>
    <x v="0"/>
    <x v="1"/>
  </r>
  <r>
    <x v="12"/>
    <s v="DSGR"/>
    <n v="1851"/>
    <n v="27.24"/>
    <n v="0.39"/>
    <n v="14.53"/>
    <n v="0.04"/>
    <n v="69.84615384615384"/>
    <n v="1.8747419132828631"/>
    <n v="0.33"/>
    <n v="1.81"/>
    <n v="2.62"/>
    <n v="681"/>
    <s v="NO"/>
    <n v="4.9583515455741063"/>
    <n v="-0.27611753409859285"/>
    <n v="-0.69837004132671698"/>
    <n v="-0.85633199509589053"/>
    <n v="0.34765331735903732"/>
    <n v="50.339151435318612"/>
    <x v="1"/>
    <x v="0"/>
    <x v="0"/>
    <x v="0"/>
    <x v="0"/>
    <x v="0"/>
  </r>
  <r>
    <x v="12"/>
    <s v="DXPE"/>
    <n v="1208"/>
    <n v="89.88"/>
    <n v="5.73"/>
    <n v="25.64"/>
    <n v="3.87"/>
    <n v="15.685863874345548"/>
    <n v="3.5054602184087362"/>
    <n v="17.010000000000002"/>
    <n v="7.5"/>
    <n v="3.06"/>
    <n v="23.224806201550386"/>
    <s v="NO"/>
    <n v="0.72215772943142287"/>
    <n v="1.1060177759458014"/>
    <n v="0.82607756240687746"/>
    <n v="0.95053909962436289"/>
    <n v="0.8764297210458688"/>
    <n v="0.51616176927881596"/>
    <x v="0"/>
    <x v="0"/>
    <x v="0"/>
    <x v="0"/>
    <x v="0"/>
    <x v="1"/>
  </r>
  <r>
    <x v="12"/>
    <s v="EVI"/>
    <n v="268"/>
    <n v="17.670000000000002"/>
    <n v="2.2000000000000002"/>
    <n v="10.77"/>
    <n v="0.49"/>
    <n v="8.0318181818181813"/>
    <n v="1.6406685236768805"/>
    <n v="5.62"/>
    <n v="3.54"/>
    <n v="1.69"/>
    <n v="36.061224489795926"/>
    <s v="NO"/>
    <n v="0.12348994076124685"/>
    <n v="-0.4745093077723635"/>
    <n v="-0.21489715021456388"/>
    <n v="-0.30696696981187671"/>
    <n v="-0.76998771770631136"/>
    <n v="1.4884525180846873"/>
    <x v="0"/>
    <x v="0"/>
    <x v="0"/>
    <x v="0"/>
    <x v="0"/>
    <x v="1"/>
  </r>
  <r>
    <x v="12"/>
    <s v="GIC"/>
    <n v="1052"/>
    <n v="26.96"/>
    <n v="1.03"/>
    <n v="7.3"/>
    <n v="1.7"/>
    <n v="26.174757281553397"/>
    <n v="3.6931506849315072"/>
    <n v="24.86"/>
    <n v="10.43"/>
    <n v="1.9"/>
    <n v="15.858823529411765"/>
    <s v="NO"/>
    <n v="1.5425555783521367"/>
    <n v="1.2650971339958132"/>
    <n v="1.5435184310704693"/>
    <n v="1.8809665701920857"/>
    <n v="-0.51761716140123271"/>
    <n v="-4.1772433795802547E-2"/>
    <x v="0"/>
    <x v="0"/>
    <x v="0"/>
    <x v="0"/>
    <x v="0"/>
    <x v="1"/>
  </r>
  <r>
    <x v="12"/>
    <s v="HDSN"/>
    <n v="264"/>
    <n v="7.61"/>
    <n v="1.78"/>
    <n v="5.62"/>
    <n v="0.65"/>
    <n v="4.2752808988764048"/>
    <n v="1.3540925266903916"/>
    <n v="12.92"/>
    <n v="7.76"/>
    <n v="1.22"/>
    <n v="11.707692307692307"/>
    <s v="YES"/>
    <n v="-0.17033086441521547"/>
    <n v="-0.7174003105906761"/>
    <n v="0.45227716077196117"/>
    <n v="1.0331026294358332"/>
    <n v="-1.334817058008154"/>
    <n v="-0.3561986540486089"/>
    <x v="0"/>
    <x v="0"/>
    <x v="0"/>
    <x v="0"/>
    <x v="0"/>
    <x v="1"/>
  </r>
  <r>
    <x v="12"/>
    <s v="KRT"/>
    <n v="625"/>
    <n v="30.27"/>
    <n v="2.29"/>
    <n v="7.86"/>
    <n v="1.41"/>
    <n v="13.218340611353712"/>
    <n v="3.8511450381679388"/>
    <n v="17.75"/>
    <n v="8.07"/>
    <n v="1.95"/>
    <n v="21.468085106382979"/>
    <s v="NO"/>
    <n v="0.5291582681413296"/>
    <n v="1.3990071868291525"/>
    <n v="0.89370893091784009"/>
    <n v="1.1315437611341248"/>
    <n v="-0.45752893370954723"/>
    <n v="0.38309944373684879"/>
    <x v="0"/>
    <x v="0"/>
    <x v="0"/>
    <x v="0"/>
    <x v="0"/>
    <x v="1"/>
  </r>
  <r>
    <x v="12"/>
    <s v="MRC"/>
    <n v="1157"/>
    <n v="13.13"/>
    <n v="2.76"/>
    <n v="6.53"/>
    <n v="0.67"/>
    <n v="4.7572463768115947"/>
    <n v="2.0107197549770293"/>
    <n v="11.44"/>
    <n v="5.05"/>
    <n v="3.15"/>
    <n v="19.597014925373134"/>
    <s v="NO"/>
    <n v="-0.13263351866086193"/>
    <n v="-0.16086784578738755"/>
    <n v="0.31701442375003552"/>
    <n v="0.1725366071701237"/>
    <n v="0.98458853089090237"/>
    <n v="0.24137578013293798"/>
    <x v="0"/>
    <x v="0"/>
    <x v="0"/>
    <x v="0"/>
    <x v="0"/>
    <x v="1"/>
  </r>
  <r>
    <x v="12"/>
    <s v="TITN"/>
    <n v="346"/>
    <n v="21.23"/>
    <n v="-2.5499999999999998"/>
    <n v="29.53"/>
    <n v="1.3"/>
    <n v="-8.325490196078432"/>
    <n v="0.718929901794785"/>
    <n v="4.76"/>
    <n v="3.07"/>
    <n v="3.16"/>
    <n v="16.330769230769231"/>
    <s v="NO"/>
    <n v="-1.1559110490645652"/>
    <n v="-1.2557401873978713"/>
    <n v="-0.29349576767325042"/>
    <n v="-0.45621642754799613"/>
    <n v="0.99660617642923965"/>
    <n v="-6.0250446826919067E-3"/>
    <x v="0"/>
    <x v="0"/>
    <x v="0"/>
    <x v="0"/>
    <x v="0"/>
    <x v="1"/>
  </r>
  <r>
    <x v="12"/>
    <s v="TRNS"/>
    <n v="939"/>
    <n v="81.430000000000007"/>
    <n v="2.35"/>
    <n v="25.47"/>
    <n v="1.98"/>
    <n v="34.651063829787233"/>
    <n v="3.1970946211228899"/>
    <n v="8.81"/>
    <n v="4.68"/>
    <n v="1.28"/>
    <n v="41.12626262626263"/>
    <s v="NO"/>
    <n v="2.205537209396736"/>
    <n v="0.84465873001370839"/>
    <n v="7.6648884312424531E-2"/>
    <n v="5.5042353207646715E-2"/>
    <n v="-1.2627111847781316"/>
    <n v="1.8721023502925629"/>
    <x v="0"/>
    <x v="0"/>
    <x v="0"/>
    <x v="0"/>
    <x v="0"/>
    <x v="1"/>
  </r>
  <r>
    <x v="12"/>
    <s v="WLFC"/>
    <n v="1352"/>
    <n v="145.74"/>
    <n v="-9.6199999999999992"/>
    <n v="72.209999999999994"/>
    <n v="14.15"/>
    <n v="-15.149688149688151"/>
    <n v="2.0182800166181973"/>
    <n v="18.54"/>
    <n v="4.9800000000000004"/>
    <n v="5.88"/>
    <n v="10.299646643109542"/>
    <s v="NO"/>
    <n v="-1.6896715807430822"/>
    <n v="-0.15446005326148834"/>
    <n v="0.96590998649035442"/>
    <n v="0.1503079645285742"/>
    <n v="4.2654057628569255"/>
    <n v="-0.46285066108266409"/>
    <x v="0"/>
    <x v="0"/>
    <x v="0"/>
    <x v="0"/>
    <x v="1"/>
    <x v="1"/>
  </r>
  <r>
    <x v="12"/>
    <s v="XMTR"/>
    <n v="1587"/>
    <n v="30.56"/>
    <n v="-0.94"/>
    <n v="6.38"/>
    <n v="-1.05"/>
    <n v="-32.51063829787234"/>
    <n v="4.7899686520376177"/>
    <n v="-15.63"/>
    <n v="-6.69"/>
    <n v="2.15"/>
    <n v="-29.104761904761901"/>
    <s v="NO"/>
    <n v="-3.0475732776944984"/>
    <n v="2.1947186610635749"/>
    <n v="-2.1570141513739691"/>
    <n v="-3.5555243158554961"/>
    <n v="-0.21717602294280566"/>
    <n v="-3.4475260614118706"/>
    <x v="1"/>
    <x v="0"/>
    <x v="0"/>
    <x v="1"/>
    <x v="0"/>
    <x v="0"/>
  </r>
  <r>
    <x v="12"/>
    <s v="ZKH"/>
    <n v="588"/>
    <n v="2.82"/>
    <n v="-2.0099999999999998"/>
    <n v="2.83"/>
    <n v="-0.31"/>
    <n v="-1.4029850746268657"/>
    <n v="0.99646643109540622"/>
    <n v="-7.23"/>
    <n v="-2.75"/>
    <n v="2.2999999999999998"/>
    <n v="-9.0967741935483861"/>
    <s v="NO"/>
    <n v="-0.61446133742207654"/>
    <n v="-1.0205106963399717"/>
    <n v="-1.3893067250333102"/>
    <n v="-2.3043692871739849"/>
    <n v="-3.6911339867749582E-2"/>
    <n v="-1.932026884227193"/>
    <x v="0"/>
    <x v="0"/>
    <x v="0"/>
    <x v="0"/>
    <x v="0"/>
    <x v="1"/>
  </r>
  <r>
    <x v="13"/>
    <s v="SKYH"/>
    <n v="375"/>
    <n v="11.94"/>
    <n v="-3.34"/>
    <n v="1.68"/>
    <n v="-1.79"/>
    <n v="-3.5748502994011977"/>
    <n v="7.1071428571428568"/>
    <n v="-54.15"/>
    <n v="-3.12"/>
    <n v="10.73"/>
    <n v="-6.6703910614525137"/>
    <s v="NO"/>
    <e v="#DIV/0!"/>
    <e v="#DIV/0!"/>
    <e v="#DIV/0!"/>
    <e v="#DIV/0!"/>
    <e v="#DIV/0!"/>
    <e v="#DIV/0!"/>
    <x v="0"/>
    <x v="0"/>
    <x v="0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6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2"/>
        <item m="1" x="13"/>
        <item m="1" x="14"/>
        <item m="1" x="15"/>
        <item m="1" x="16"/>
        <item m="1" x="17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1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34" tableType="queryTable" totalsRowShown="0">
  <autoFilter ref="A1:Z134" xr:uid="{1B3BB95A-07C7-4768-8185-A2A759A39458}"/>
  <sortState xmlns:xlrd2="http://schemas.microsoft.com/office/spreadsheetml/2017/richdata2" ref="A2:Z134">
    <sortCondition ref="A1:A134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44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43"/>
    <tableColumn id="9" xr3:uid="{92CA53A2-ADA4-45CE-B0FD-3AD68E123166}" uniqueName="9" name="P/B" queryTableFieldId="46" dataDxfId="142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41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40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9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8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7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6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5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68" tableType="queryTable" totalsRowShown="0">
  <autoFilter ref="A1:Z168" xr:uid="{8A05384F-F989-4428-B033-1A9B3ACA4EBB}"/>
  <sortState xmlns:xlrd2="http://schemas.microsoft.com/office/spreadsheetml/2017/richdata2" ref="A2:Z168">
    <sortCondition ref="A1:A168"/>
  </sortState>
  <tableColumns count="26">
    <tableColumn id="1" xr3:uid="{3547F496-7B67-42E8-9760-1F3941836443}" uniqueName="1" name="Industry" queryTableFieldId="1" dataDxfId="134"/>
    <tableColumn id="2" xr3:uid="{0A09E186-076D-4A57-B743-EBD7817F4082}" uniqueName="2" name="Symbol" queryTableFieldId="2" dataDxfId="133"/>
    <tableColumn id="3" xr3:uid="{C567BD69-49B3-415C-87A5-73BCB80F1796}" uniqueName="3" name="Market Cap (M)" queryTableFieldId="43" dataDxfId="132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31"/>
    <tableColumn id="9" xr3:uid="{F1DC44A8-3710-4CCA-B495-699F6ACADE85}" uniqueName="9" name="P/B" queryTableFieldId="45" dataDxfId="130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9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8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7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6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5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4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3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68" tableType="queryTable" totalsRowShown="0">
  <autoFilter ref="A1:Z168" xr:uid="{DE7CBD96-9DC7-4F09-9B11-F8C87451A82B}"/>
  <sortState xmlns:xlrd2="http://schemas.microsoft.com/office/spreadsheetml/2017/richdata2" ref="A2:Z168">
    <sortCondition ref="A1:A168"/>
  </sortState>
  <tableColumns count="26">
    <tableColumn id="1" xr3:uid="{261FC5A1-AB9E-4068-9D87-D85D75FE0DD5}" uniqueName="1" name="Industry" queryTableFieldId="1" dataDxfId="122"/>
    <tableColumn id="2" xr3:uid="{4D1C6415-A4DE-450C-A6A0-32BD8F91DEB2}" uniqueName="2" name="Symbol" queryTableFieldId="2" dataDxfId="121"/>
    <tableColumn id="3" xr3:uid="{1913483F-1018-45E5-BBAD-415B97CDE58A}" uniqueName="3" name="Market Cap (M)" queryTableFieldId="43" dataDxfId="120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19"/>
    <tableColumn id="9" xr3:uid="{A85952D4-A3AB-4C1A-90DC-2E32ECE72481}" uniqueName="9" name="P/B" queryTableFieldId="45" dataDxfId="118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17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16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15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14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13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12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11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6" tableType="queryTable" totalsRowShown="0">
  <autoFilter ref="A2:Y16" xr:uid="{CF08F30B-5B6A-425F-B235-3500A3319B88}"/>
  <tableColumns count="25">
    <tableColumn id="1" xr3:uid="{FD842081-B64F-4301-AA21-FB7B05A836D4}" uniqueName="1" name="Industry" queryTableFieldId="1" dataDxfId="110"/>
    <tableColumn id="2" xr3:uid="{E59C1D9B-F213-4C25-84A0-0FA886F9704F}" uniqueName="2" name="P/FCF Q1" queryTableFieldId="2" dataDxfId="109"/>
    <tableColumn id="3" xr3:uid="{04B713EC-FD8B-48E2-A2D2-C366A9A339B7}" uniqueName="3" name="P/FCF Q3" queryTableFieldId="3" dataDxfId="108"/>
    <tableColumn id="4" xr3:uid="{9DCEA951-E29F-4D9E-B9F0-5DC32A557DF0}" uniqueName="4" name="P/FCF LB" queryTableFieldId="4" dataDxfId="107"/>
    <tableColumn id="5" xr3:uid="{C2B6F391-AB27-4C2B-B68A-D2B47E1AA772}" uniqueName="5" name="P/FCF UB" queryTableFieldId="5" dataDxfId="106"/>
    <tableColumn id="6" xr3:uid="{1FD6B89C-F582-4857-A32F-326E69C5DFFD}" uniqueName="6" name="P/B Q1" queryTableFieldId="6" dataDxfId="105"/>
    <tableColumn id="7" xr3:uid="{A3697E12-D8D4-4284-AE2B-01C3BA154C99}" uniqueName="7" name="P/B Q3" queryTableFieldId="7" dataDxfId="104"/>
    <tableColumn id="8" xr3:uid="{A270BB2A-00C0-4246-AFBA-EDE9D5F40C76}" uniqueName="8" name="P/B LB" queryTableFieldId="8" dataDxfId="103"/>
    <tableColumn id="9" xr3:uid="{F99BB669-75E9-428A-88A3-E037E705383F}" uniqueName="9" name="P/B UB" queryTableFieldId="9" dataDxfId="102"/>
    <tableColumn id="10" xr3:uid="{D3A49932-F6DE-43A8-B449-B1C4E41499CF}" uniqueName="10" name="ROE Q1" queryTableFieldId="10" dataDxfId="101"/>
    <tableColumn id="11" xr3:uid="{BD8F2597-7442-49AD-BA3A-A3F29A6E60DD}" uniqueName="11" name="ROE Q3" queryTableFieldId="11" dataDxfId="100"/>
    <tableColumn id="12" xr3:uid="{3B29ED46-D0C8-4AF8-BFC0-41462C6C29EB}" uniqueName="12" name="ROE LB" queryTableFieldId="12" dataDxfId="99"/>
    <tableColumn id="13" xr3:uid="{F62F045D-EA3F-4608-85C5-21D743180D21}" uniqueName="13" name="ROE UB" queryTableFieldId="13" dataDxfId="98"/>
    <tableColumn id="14" xr3:uid="{9D898AB4-6F4D-4D03-BA61-39B91E78C9C6}" uniqueName="14" name="ROA Q1" queryTableFieldId="14" dataDxfId="97"/>
    <tableColumn id="15" xr3:uid="{2D1DFB04-09CE-4BEC-AD50-26246811DCDA}" uniqueName="15" name="ROA Q3" queryTableFieldId="15" dataDxfId="96"/>
    <tableColumn id="16" xr3:uid="{753F114C-61F5-4444-9EB0-76DCEA7F1F1B}" uniqueName="16" name="ROA LB" queryTableFieldId="16" dataDxfId="95"/>
    <tableColumn id="17" xr3:uid="{AA60DB6D-6DE2-4BF0-A375-18A578568BBF}" uniqueName="17" name="ROA UB" queryTableFieldId="17" dataDxfId="94"/>
    <tableColumn id="18" xr3:uid="{5357CEC7-DB8C-48BE-BDAD-FCBB1FB43389}" uniqueName="18" name="P/E Q1" queryTableFieldId="18" dataDxfId="93"/>
    <tableColumn id="19" xr3:uid="{C18FE8DB-95D8-42EC-BC42-C15678D7CE64}" uniqueName="19" name="P/E Q3" queryTableFieldId="19" dataDxfId="92"/>
    <tableColumn id="20" xr3:uid="{B7040099-49E4-464B-9BD8-1326A00D0599}" uniqueName="20" name="P/E LB" queryTableFieldId="20" dataDxfId="91"/>
    <tableColumn id="21" xr3:uid="{E8713F96-91B8-41CB-AA45-CCA61FACA752}" uniqueName="21" name="P/E UB" queryTableFieldId="21" dataDxfId="90"/>
    <tableColumn id="22" xr3:uid="{91693169-B783-4EDC-94CF-D23F08159B62}" uniqueName="22" name="A/E Q1" queryTableFieldId="22" dataDxfId="89"/>
    <tableColumn id="23" xr3:uid="{F98A9AC1-1CAF-483B-A342-F3A466AEB043}" uniqueName="23" name="A/E Q3" queryTableFieldId="23" dataDxfId="88"/>
    <tableColumn id="24" xr3:uid="{04D140EC-A8E6-4894-B430-208F20D411DB}" uniqueName="24" name="A/E LB" queryTableFieldId="24" dataDxfId="87"/>
    <tableColumn id="25" xr3:uid="{3E6CFD0C-10B0-4D91-A289-A353306CC102}" uniqueName="25" name="A/E UB" queryTableFieldId="25" dataDxfId="8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20:Y34" tableType="queryTable" totalsRowShown="0">
  <autoFilter ref="A20:Y34" xr:uid="{89F54F15-11E6-4F5B-BF51-37096268E20C}"/>
  <tableColumns count="25">
    <tableColumn id="1" xr3:uid="{1DD86F6C-5649-4964-82C3-51A7F8B44C8D}" uniqueName="1" name="Industry" queryTableFieldId="1" dataDxfId="85"/>
    <tableColumn id="2" xr3:uid="{E9710093-0C0E-47F6-BA82-6DF1689DE3FF}" uniqueName="2" name="P/FCF Q1" queryTableFieldId="2" dataDxfId="84"/>
    <tableColumn id="3" xr3:uid="{BB549C0D-7552-41A2-B049-C1E0C569FC5B}" uniqueName="3" name="P/FCF Q3" queryTableFieldId="3" dataDxfId="83"/>
    <tableColumn id="4" xr3:uid="{F8874757-4F98-4408-A256-B3DBB97E40A5}" uniqueName="4" name="P/FCF LB" queryTableFieldId="4" dataDxfId="82"/>
    <tableColumn id="5" xr3:uid="{7F92E8F9-91DF-48EA-A8F2-F3E13D8104D3}" uniqueName="5" name="P/FCF UB" queryTableFieldId="5" dataDxfId="81"/>
    <tableColumn id="6" xr3:uid="{837AC52A-2B15-4BFB-A555-2456F010C7C9}" uniqueName="6" name="P/B Q1" queryTableFieldId="6" dataDxfId="80"/>
    <tableColumn id="7" xr3:uid="{C672A3A3-8D6C-4E08-B6E3-1D85CD510A41}" uniqueName="7" name="P/B Q3" queryTableFieldId="7" dataDxfId="79"/>
    <tableColumn id="8" xr3:uid="{47FBFC34-1D36-49FE-8583-28072989EA1C}" uniqueName="8" name="P/B LB" queryTableFieldId="8" dataDxfId="78"/>
    <tableColumn id="9" xr3:uid="{98DADD72-A76B-4DE4-AB34-515EBE2E4A04}" uniqueName="9" name="P/B UB" queryTableFieldId="9" dataDxfId="77"/>
    <tableColumn id="10" xr3:uid="{C06AFB5F-1921-4B19-AFA7-04514BD3BC35}" uniqueName="10" name="ROE Q1" queryTableFieldId="10" dataDxfId="76"/>
    <tableColumn id="11" xr3:uid="{38FF7E38-2AC1-4486-B824-BCBE4156ADA7}" uniqueName="11" name="ROE Q3" queryTableFieldId="11" dataDxfId="75"/>
    <tableColumn id="12" xr3:uid="{1BBD6DC1-3C0C-48AF-9986-81D1F4A26368}" uniqueName="12" name="ROE LB" queryTableFieldId="12" dataDxfId="74"/>
    <tableColumn id="13" xr3:uid="{5775303C-3550-4762-86D0-7A82C106A3F0}" uniqueName="13" name="ROE UB" queryTableFieldId="13" dataDxfId="73"/>
    <tableColumn id="14" xr3:uid="{9FE06177-2E94-4066-A65B-77414C97B4DC}" uniqueName="14" name="ROA Q1" queryTableFieldId="14" dataDxfId="72"/>
    <tableColumn id="15" xr3:uid="{386179E5-15F0-4AED-9E0C-1EB211C80CEE}" uniqueName="15" name="ROA Q3" queryTableFieldId="15" dataDxfId="71"/>
    <tableColumn id="16" xr3:uid="{C7DC1506-2223-42A0-AC4B-68B0E14D2B9D}" uniqueName="16" name="ROA LB" queryTableFieldId="16" dataDxfId="70"/>
    <tableColumn id="17" xr3:uid="{C45AE1E6-1326-44B3-972F-838B081A78FC}" uniqueName="17" name="ROA UB" queryTableFieldId="17" dataDxfId="69"/>
    <tableColumn id="18" xr3:uid="{17D85B47-F40C-47C3-996F-C47242CFB7D2}" uniqueName="18" name="P/E Q1" queryTableFieldId="18" dataDxfId="68"/>
    <tableColumn id="19" xr3:uid="{44248722-1EBA-4DF8-B99D-B6B2F31E253B}" uniqueName="19" name="P/E Q3" queryTableFieldId="19" dataDxfId="67"/>
    <tableColumn id="20" xr3:uid="{93299C7A-5544-43AE-ACC5-72F0CB129F08}" uniqueName="20" name="P/E LB" queryTableFieldId="20" dataDxfId="66"/>
    <tableColumn id="21" xr3:uid="{3E027012-2DA9-4754-8880-25FEEDEFA94A}" uniqueName="21" name="P/E UB" queryTableFieldId="21" dataDxfId="65"/>
    <tableColumn id="22" xr3:uid="{FF2638EF-6EA0-401C-B7D8-A2BC49ECD2B0}" uniqueName="22" name="A/E Q1" queryTableFieldId="22" dataDxfId="64"/>
    <tableColumn id="23" xr3:uid="{546FB46A-BFEC-4020-A8E1-97073EBE991F}" uniqueName="23" name="A/E Q3" queryTableFieldId="23" dataDxfId="63"/>
    <tableColumn id="24" xr3:uid="{41F03CE5-975A-469D-B609-D8C5D8D172FA}" uniqueName="24" name="A/E LB" queryTableFieldId="24" dataDxfId="62"/>
    <tableColumn id="25" xr3:uid="{1863137D-3C8C-4A15-9A63-5E253392AFAD}" uniqueName="25" name="A/E UB" queryTableFieldId="25" dataDxfId="6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38:Y52" tableType="queryTable" totalsRowShown="0">
  <autoFilter ref="A38:Y52" xr:uid="{CF689D08-98E7-4B08-8D8B-630159DED978}"/>
  <tableColumns count="25">
    <tableColumn id="1" xr3:uid="{1B5FE8EC-4B8C-444E-96DC-3618818E7D45}" uniqueName="1" name="Industry" queryTableFieldId="1" dataDxfId="60"/>
    <tableColumn id="2" xr3:uid="{0E20A80F-BE74-42F8-83EF-419A13269CF8}" uniqueName="2" name="P/FCF Q1" queryTableFieldId="2" dataDxfId="59"/>
    <tableColumn id="3" xr3:uid="{6D66145B-6613-41BC-8233-7356853CCFEF}" uniqueName="3" name="P/FCF Q3" queryTableFieldId="3" dataDxfId="58"/>
    <tableColumn id="4" xr3:uid="{90A69125-3CA2-4D0A-8F1A-65993DFA9D46}" uniqueName="4" name="P/FCF LB" queryTableFieldId="4" dataDxfId="57"/>
    <tableColumn id="5" xr3:uid="{BED6E3D4-DC60-428F-B5E8-4C3C64096FD7}" uniqueName="5" name="P/FCF UB" queryTableFieldId="5" dataDxfId="56"/>
    <tableColumn id="6" xr3:uid="{FC33B186-B76E-4D86-8EBD-E25B773D256E}" uniqueName="6" name="P/B Q1" queryTableFieldId="6" dataDxfId="55"/>
    <tableColumn id="7" xr3:uid="{D82D1432-7C03-4449-BD2D-F895D50A5F32}" uniqueName="7" name="P/B Q3" queryTableFieldId="7" dataDxfId="54"/>
    <tableColumn id="8" xr3:uid="{D3389429-24FB-4947-AACF-CAA92D678F94}" uniqueName="8" name="P/B LB" queryTableFieldId="8" dataDxfId="53"/>
    <tableColumn id="9" xr3:uid="{452E932D-DD5B-4C62-A8B3-25C90C8C7751}" uniqueName="9" name="P/B UB" queryTableFieldId="9" dataDxfId="52"/>
    <tableColumn id="10" xr3:uid="{99E11285-9679-47B1-9540-1BD10239596C}" uniqueName="10" name="ROE Q1" queryTableFieldId="10" dataDxfId="51"/>
    <tableColumn id="11" xr3:uid="{B4F1825A-C678-4C01-BB96-B04FAB1938BD}" uniqueName="11" name="ROE Q3" queryTableFieldId="11" dataDxfId="50"/>
    <tableColumn id="12" xr3:uid="{9F07026D-928C-42B1-8DD2-9BD3176C8B6A}" uniqueName="12" name="ROE LB" queryTableFieldId="12" dataDxfId="49"/>
    <tableColumn id="13" xr3:uid="{47360B1B-7AC4-49FA-9F18-2F1F1B72CA28}" uniqueName="13" name="ROE UB" queryTableFieldId="13" dataDxfId="48"/>
    <tableColumn id="14" xr3:uid="{58B0248D-BCFF-4737-ADF5-EE087C03D561}" uniqueName="14" name="ROA Q1" queryTableFieldId="14" dataDxfId="47"/>
    <tableColumn id="15" xr3:uid="{CCD6E6AE-6BBB-4675-8C50-0F87AF280A3C}" uniqueName="15" name="ROA Q3" queryTableFieldId="15" dataDxfId="46"/>
    <tableColumn id="16" xr3:uid="{BB86731C-A605-4988-A848-B35835CAF73E}" uniqueName="16" name="ROA LB" queryTableFieldId="16" dataDxfId="45"/>
    <tableColumn id="17" xr3:uid="{9760AC7A-70E9-4457-8DC8-4BDA6646C74E}" uniqueName="17" name="ROA UB" queryTableFieldId="17" dataDxfId="44"/>
    <tableColumn id="18" xr3:uid="{931D5CA9-41B9-424B-87E6-FA364034B249}" uniqueName="18" name="P/E Q1" queryTableFieldId="18" dataDxfId="43"/>
    <tableColumn id="19" xr3:uid="{23E1DD3D-5F02-4A6D-9773-5EA3466661AF}" uniqueName="19" name="P/E Q3" queryTableFieldId="19" dataDxfId="42"/>
    <tableColumn id="20" xr3:uid="{478DC28A-5ACD-47E8-8720-6EEE2D43205B}" uniqueName="20" name="P/E LB" queryTableFieldId="20" dataDxfId="41"/>
    <tableColumn id="21" xr3:uid="{AC7D613F-0AC5-4542-BBED-886B4C332840}" uniqueName="21" name="P/E UB" queryTableFieldId="21" dataDxfId="40"/>
    <tableColumn id="22" xr3:uid="{1E3F527B-4B19-4D38-9A78-D4BBA95224B9}" uniqueName="22" name="A/E Q1" queryTableFieldId="22" dataDxfId="39"/>
    <tableColumn id="23" xr3:uid="{1256121C-1427-4F44-988A-E08E26F80A67}" uniqueName="23" name="A/E Q3" queryTableFieldId="23" dataDxfId="38"/>
    <tableColumn id="24" xr3:uid="{3F6A6F05-B80E-47C0-9039-80E1A481FF30}" uniqueName="24" name="A/E LB" queryTableFieldId="24" dataDxfId="37"/>
    <tableColumn id="25" xr3:uid="{08969B40-89DA-4EAE-925B-3C841EB86C63}" uniqueName="25" name="A/E UB" queryTableFieldId="25" dataDxfId="3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34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106</v>
      </c>
      <c r="C2" s="2">
        <v>52440</v>
      </c>
      <c r="D2">
        <f>RTD("tos.rtd", , "LAST", Main_L[[#This Row],[Symbol]])</f>
        <v>783.8</v>
      </c>
      <c r="E2">
        <v>2.91</v>
      </c>
      <c r="F2">
        <v>27.6</v>
      </c>
      <c r="G2">
        <v>3.85</v>
      </c>
      <c r="H2" s="1">
        <f>IF(ISNUMBER(Main_L[[#This Row],[Free CF]]),IF(Main_L[[#This Row],[Free CF]]&lt;&gt;0,Main_L[[#This Row],[Current Price]]/Main_L[[#This Row],[Free CF]],""),"")</f>
        <v>269.34707903780065</v>
      </c>
      <c r="I2" s="1">
        <f>IF(ISNUMBER(Main_L[[#This Row],[BVPS]]),IF(Main_L[[#This Row],[BVPS]]&lt;&gt;0,Main_L[[#This Row],[Current Price]]/Main_L[[#This Row],[BVPS]],""),"")</f>
        <v>28.39855072463768</v>
      </c>
      <c r="J2">
        <v>16.420000000000002</v>
      </c>
      <c r="K2">
        <v>2.2799999999999998</v>
      </c>
      <c r="L2">
        <v>1.91</v>
      </c>
      <c r="M2" s="1">
        <f>IF(ISNUMBER(Main_L[[#This Row],[EPS]]),IF(Main_L[[#This Row],[EPS]]&lt;&gt;0,Main_L[[#This Row],[Current Price]]/Main_L[[#This Row],[EPS]],""),"")</f>
        <v>203.58441558441558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11.456556348615912</v>
      </c>
      <c r="P2" s="1">
        <f>(Main_L[[#This Row],[P/B]]-VLOOKUP(Main_L[[#This Row],[Industry]], Mean_PB_L, 2, FALSE))/(VLOOKUP(Main_L[[#This Row],[Industry]], Mean_PB_L, 3, FALSE))</f>
        <v>2.1251145690620836</v>
      </c>
      <c r="Q2" s="1">
        <f>(Main_L[[#This Row],[ROE]]-VLOOKUP(Main_L[[#This Row],[Industry]], Mean_ROE_L, 2, FALSE))/(VLOOKUP(Main_L[[#This Row],[Industry]], Mean_ROE_L, 3, FALSE))</f>
        <v>-0.24744129816725674</v>
      </c>
      <c r="R2" s="1">
        <f>(Main_L[[#This Row],[ROA]]-VLOOKUP(Main_L[[#This Row],[Industry]], Mean_ROA_L, 2, FALSE))/(VLOOKUP(Main_L[[#This Row],[Industry]], Mean_ROA_L, 3, FALSE))</f>
        <v>-0.96699403550239182</v>
      </c>
      <c r="S2" s="1">
        <f>(Main_L[[#This Row],[A/E]]-VLOOKUP(Main_L[[#This Row],[Industry]], Mean_AE_L, 2, FALSE))/(VLOOKUP(Main_L[[#This Row],[Industry]], Mean_AE_L, 3, FALSE))</f>
        <v>-1.275279464836454</v>
      </c>
      <c r="T2" s="1">
        <f>(Main_L[[#This Row],[P/E]]-VLOOKUP(Main_L[[#This Row],[Industry]], Mean_PE_L, 2, FALSE))/(VLOOKUP(Main_L[[#This Row],[Industry]], Mean_PE_L, 3, FALSE))</f>
        <v>7.8048142464508219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" spans="1:26" x14ac:dyDescent="0.25">
      <c r="A3" t="s">
        <v>105</v>
      </c>
      <c r="B3" t="s">
        <v>107</v>
      </c>
      <c r="C3" s="2">
        <v>115167</v>
      </c>
      <c r="D3">
        <f>RTD("tos.rtd", , "LAST", Main_L[[#This Row],[Symbol]])</f>
        <v>217.51</v>
      </c>
      <c r="E3">
        <v>-11.97</v>
      </c>
      <c r="F3">
        <v>-38.119999999999997</v>
      </c>
      <c r="G3">
        <v>-12.99</v>
      </c>
      <c r="H3" s="1">
        <f>IF(ISNUMBER(Main_L[[#This Row],[Free CF]]),IF(Main_L[[#This Row],[Free CF]]&lt;&gt;0,Main_L[[#This Row],[Current Price]]/Main_L[[#This Row],[Free CF]],""),"")</f>
        <v>-18.171261487050959</v>
      </c>
      <c r="I3" s="1">
        <f>IF(ISNUMBER(Main_L[[#This Row],[BVPS]]),IF(Main_L[[#This Row],[BVPS]]&lt;&gt;0,Main_L[[#This Row],[Current Price]]/Main_L[[#This Row],[BVPS]],""),"")</f>
        <v>-5.7059286463798529</v>
      </c>
      <c r="J3">
        <v>39.71</v>
      </c>
      <c r="K3">
        <v>-2.67</v>
      </c>
      <c r="L3">
        <v>-5.85</v>
      </c>
      <c r="M3" s="1">
        <f>IF(ISNUMBER(Main_L[[#This Row],[EPS]]),IF(Main_L[[#This Row],[EPS]]&lt;&gt;0,Main_L[[#This Row],[Current Price]]/Main_L[[#This Row],[EPS]],""),"")</f>
        <v>-16.744418783679752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-2.5112978526600549</v>
      </c>
      <c r="P3" s="1">
        <f>(Main_L[[#This Row],[P/B]]-VLOOKUP(Main_L[[#This Row],[Industry]], Mean_PB_L, 2, FALSE))/(VLOOKUP(Main_L[[#This Row],[Industry]], Mean_PB_L, 3, FALSE))</f>
        <v>-1.3723307111135534</v>
      </c>
      <c r="Q3" s="1">
        <f>(Main_L[[#This Row],[ROE]]-VLOOKUP(Main_L[[#This Row],[Industry]], Mean_ROE_L, 2, FALSE))/(VLOOKUP(Main_L[[#This Row],[Industry]], Mean_ROE_L, 3, FALSE))</f>
        <v>2.4532725391110577</v>
      </c>
      <c r="R3" s="1">
        <f>(Main_L[[#This Row],[ROA]]-VLOOKUP(Main_L[[#This Row],[Industry]], Mean_ROA_L, 2, FALSE))/(VLOOKUP(Main_L[[#This Row],[Industry]], Mean_ROA_L, 3, FALSE))</f>
        <v>-2.4728519871813468</v>
      </c>
      <c r="S3" s="1">
        <f>(Main_L[[#This Row],[A/E]]-VLOOKUP(Main_L[[#This Row],[Industry]], Mean_AE_L, 2, FALSE))/(VLOOKUP(Main_L[[#This Row],[Industry]], Mean_AE_L, 3, FALSE))</f>
        <v>-21.100659058420874</v>
      </c>
      <c r="T3" s="1">
        <f>(Main_L[[#This Row],[P/E]]-VLOOKUP(Main_L[[#This Row],[Industry]], Mean_PE_L, 2, FALSE))/(VLOOKUP(Main_L[[#This Row],[Industry]], Mean_PE_L, 3, FALSE))</f>
        <v>-2.3764139935927195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105</v>
      </c>
      <c r="B4" t="s">
        <v>108</v>
      </c>
      <c r="C4" s="2">
        <v>11523</v>
      </c>
      <c r="D4">
        <f>RTD("tos.rtd", , "LAST", Main_L[[#This Row],[Symbol]])</f>
        <v>132.62</v>
      </c>
      <c r="E4">
        <v>2.2000000000000002</v>
      </c>
      <c r="F4">
        <v>11.58</v>
      </c>
      <c r="G4">
        <v>3.02</v>
      </c>
      <c r="H4" s="1">
        <f>IF(ISNUMBER(Main_L[[#This Row],[Free CF]]),IF(Main_L[[#This Row],[Free CF]]&lt;&gt;0,Main_L[[#This Row],[Current Price]]/Main_L[[#This Row],[Free CF]],""),"")</f>
        <v>60.281818181818181</v>
      </c>
      <c r="I4" s="1">
        <f>IF(ISNUMBER(Main_L[[#This Row],[BVPS]]),IF(Main_L[[#This Row],[BVPS]]&lt;&gt;0,Main_L[[#This Row],[Current Price]]/Main_L[[#This Row],[BVPS]],""),"")</f>
        <v>11.452504317789293</v>
      </c>
      <c r="J4">
        <v>28.75</v>
      </c>
      <c r="K4">
        <v>7.44</v>
      </c>
      <c r="L4">
        <v>2.78</v>
      </c>
      <c r="M4" s="1">
        <f>IF(ISNUMBER(Main_L[[#This Row],[EPS]]),IF(Main_L[[#This Row],[EPS]]&lt;&gt;0,Main_L[[#This Row],[Current Price]]/Main_L[[#This Row],[EPS]],""),"")</f>
        <v>43.913907284768214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1.3000109370869937</v>
      </c>
      <c r="P4" s="1">
        <f>(Main_L[[#This Row],[P/B]]-VLOOKUP(Main_L[[#This Row],[Industry]], Mean_PB_L, 2, FALSE))/(VLOOKUP(Main_L[[#This Row],[Industry]], Mean_PB_L, 3, FALSE))</f>
        <v>0.38728214598056104</v>
      </c>
      <c r="Q4" s="1">
        <f>(Main_L[[#This Row],[ROE]]-VLOOKUP(Main_L[[#This Row],[Industry]], Mean_ROE_L, 2, FALSE))/(VLOOKUP(Main_L[[#This Row],[Industry]], Mean_ROE_L, 3, FALSE))</f>
        <v>1.1823483803918509</v>
      </c>
      <c r="R4" s="1">
        <f>(Main_L[[#This Row],[ROA]]-VLOOKUP(Main_L[[#This Row],[Industry]], Mean_ROA_L, 2, FALSE))/(VLOOKUP(Main_L[[#This Row],[Industry]], Mean_ROA_L, 3, FALSE))</f>
        <v>0.60274879897506428</v>
      </c>
      <c r="S4" s="1">
        <f>(Main_L[[#This Row],[A/E]]-VLOOKUP(Main_L[[#This Row],[Industry]], Mean_AE_L, 2, FALSE))/(VLOOKUP(Main_L[[#This Row],[Industry]], Mean_AE_L, 3, FALSE))</f>
        <v>0.94741128856798473</v>
      </c>
      <c r="T4" s="1">
        <f>(Main_L[[#This Row],[P/E]]-VLOOKUP(Main_L[[#This Row],[Industry]], Mean_PE_L, 2, FALSE))/(VLOOKUP(Main_L[[#This Row],[Industry]], Mean_PE_L, 3, FALSE))</f>
        <v>0.42656122357785581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105</v>
      </c>
      <c r="B5" t="s">
        <v>109</v>
      </c>
      <c r="C5" s="2">
        <v>14269</v>
      </c>
      <c r="D5">
        <f>RTD("tos.rtd", , "LAST", Main_L[[#This Row],[Symbol]])</f>
        <v>460.06</v>
      </c>
      <c r="E5">
        <v>12.42</v>
      </c>
      <c r="F5">
        <v>65.61</v>
      </c>
      <c r="G5">
        <v>10.58</v>
      </c>
      <c r="H5" s="1">
        <f>IF(ISNUMBER(Main_L[[#This Row],[Free CF]]),IF(Main_L[[#This Row],[Free CF]]&lt;&gt;0,Main_L[[#This Row],[Current Price]]/Main_L[[#This Row],[Free CF]],""),"")</f>
        <v>37.041867954911432</v>
      </c>
      <c r="I5" s="1">
        <f>IF(ISNUMBER(Main_L[[#This Row],[BVPS]]),IF(Main_L[[#This Row],[BVPS]]&lt;&gt;0,Main_L[[#This Row],[Current Price]]/Main_L[[#This Row],[BVPS]],""),"")</f>
        <v>7.0120408474317939</v>
      </c>
      <c r="J5">
        <v>17.41</v>
      </c>
      <c r="K5">
        <v>7.7</v>
      </c>
      <c r="L5">
        <v>1.96</v>
      </c>
      <c r="M5" s="1">
        <f>IF(ISNUMBER(Main_L[[#This Row],[EPS]]),IF(Main_L[[#This Row],[EPS]]&lt;&gt;0,Main_L[[#This Row],[Current Price]]/Main_L[[#This Row],[EPS]],""),"")</f>
        <v>43.483931947069941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0.17099692072275421</v>
      </c>
      <c r="P5" s="1">
        <f>(Main_L[[#This Row],[P/B]]-VLOOKUP(Main_L[[#This Row],[Industry]], Mean_PB_L, 2, FALSE))/(VLOOKUP(Main_L[[#This Row],[Industry]], Mean_PB_L, 3, FALSE))</f>
        <v>-6.8091408831479655E-2</v>
      </c>
      <c r="Q5" s="1">
        <f>(Main_L[[#This Row],[ROE]]-VLOOKUP(Main_L[[#This Row],[Industry]], Mean_ROE_L, 2, FALSE))/(VLOOKUP(Main_L[[#This Row],[Industry]], Mean_ROE_L, 3, FALSE))</f>
        <v>-0.13264066704207308</v>
      </c>
      <c r="R5" s="1">
        <f>(Main_L[[#This Row],[ROA]]-VLOOKUP(Main_L[[#This Row],[Industry]], Mean_ROA_L, 2, FALSE))/(VLOOKUP(Main_L[[#This Row],[Industry]], Mean_ROA_L, 3, FALSE))</f>
        <v>0.68184436815416083</v>
      </c>
      <c r="S5" s="1">
        <f>(Main_L[[#This Row],[A/E]]-VLOOKUP(Main_L[[#This Row],[Industry]], Mean_AE_L, 2, FALSE))/(VLOOKUP(Main_L[[#This Row],[Industry]], Mean_AE_L, 3, FALSE))</f>
        <v>-1.1475386169396471</v>
      </c>
      <c r="T5" s="1">
        <f>(Main_L[[#This Row],[P/E]]-VLOOKUP(Main_L[[#This Row],[Industry]], Mean_PE_L, 2, FALSE))/(VLOOKUP(Main_L[[#This Row],[Industry]], Mean_PE_L, 3, FALSE))</f>
        <v>0.4066923895087648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105</v>
      </c>
      <c r="B6" t="s">
        <v>110</v>
      </c>
      <c r="C6" s="2">
        <v>74736</v>
      </c>
      <c r="D6">
        <f>RTD("tos.rtd", , "LAST", Main_L[[#This Row],[Symbol]])</f>
        <v>277.31</v>
      </c>
      <c r="E6">
        <v>8.33</v>
      </c>
      <c r="F6">
        <v>83.68</v>
      </c>
      <c r="G6">
        <v>13.12</v>
      </c>
      <c r="H6" s="1">
        <f>IF(ISNUMBER(Main_L[[#This Row],[Free CF]]),IF(Main_L[[#This Row],[Free CF]]&lt;&gt;0,Main_L[[#This Row],[Current Price]]/Main_L[[#This Row],[Free CF]],""),"")</f>
        <v>33.290516206482593</v>
      </c>
      <c r="I6" s="1">
        <f>IF(ISNUMBER(Main_L[[#This Row],[BVPS]]),IF(Main_L[[#This Row],[BVPS]]&lt;&gt;0,Main_L[[#This Row],[Current Price]]/Main_L[[#This Row],[BVPS]],""),"")</f>
        <v>3.3139340344168255</v>
      </c>
      <c r="J6">
        <v>16.95</v>
      </c>
      <c r="K6">
        <v>5.1100000000000003</v>
      </c>
      <c r="L6">
        <v>2.4900000000000002</v>
      </c>
      <c r="M6" s="1">
        <f>IF(ISNUMBER(Main_L[[#This Row],[EPS]]),IF(Main_L[[#This Row],[EPS]]&lt;&gt;0,Main_L[[#This Row],[Current Price]]/Main_L[[#This Row],[EPS]],""),"")</f>
        <v>21.136432926829269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-1.1246529152843042E-2</v>
      </c>
      <c r="P6" s="1">
        <f>(Main_L[[#This Row],[P/B]]-VLOOKUP(Main_L[[#This Row],[Industry]], Mean_PB_L, 2, FALSE))/(VLOOKUP(Main_L[[#This Row],[Industry]], Mean_PB_L, 3, FALSE))</f>
        <v>-0.44733561537861144</v>
      </c>
      <c r="Q6" s="1">
        <f>(Main_L[[#This Row],[ROE]]-VLOOKUP(Main_L[[#This Row],[Industry]], Mean_ROE_L, 2, FALSE))/(VLOOKUP(Main_L[[#This Row],[Industry]], Mean_ROE_L, 3, FALSE))</f>
        <v>-0.18598237443357274</v>
      </c>
      <c r="R6" s="1">
        <f>(Main_L[[#This Row],[ROA]]-VLOOKUP(Main_L[[#This Row],[Industry]], Mean_ROA_L, 2, FALSE))/(VLOOKUP(Main_L[[#This Row],[Industry]], Mean_ROA_L, 3, FALSE))</f>
        <v>-0.10606918636068619</v>
      </c>
      <c r="S6" s="1">
        <f>(Main_L[[#This Row],[A/E]]-VLOOKUP(Main_L[[#This Row],[Industry]], Mean_AE_L, 2, FALSE))/(VLOOKUP(Main_L[[#This Row],[Industry]], Mean_AE_L, 3, FALSE))</f>
        <v>0.20651437076650606</v>
      </c>
      <c r="T6" s="1">
        <f>(Main_L[[#This Row],[P/E]]-VLOOKUP(Main_L[[#This Row],[Industry]], Mean_PE_L, 2, FALSE))/(VLOOKUP(Main_L[[#This Row],[Industry]], Mean_PE_L, 3, FALSE))</f>
        <v>-0.62596858186052062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105</v>
      </c>
      <c r="B7" t="s">
        <v>111</v>
      </c>
      <c r="C7" s="2">
        <v>190029</v>
      </c>
      <c r="D7">
        <f>RTD("tos.rtd", , "LAST", Main_L[[#This Row],[Symbol]])</f>
        <v>251.41</v>
      </c>
      <c r="E7">
        <v>4.41</v>
      </c>
      <c r="F7">
        <v>17.440000000000001</v>
      </c>
      <c r="G7">
        <v>5</v>
      </c>
      <c r="H7" s="1">
        <f>IF(ISNUMBER(Main_L[[#This Row],[Free CF]]),IF(Main_L[[#This Row],[Free CF]]&lt;&gt;0,Main_L[[#This Row],[Current Price]]/Main_L[[#This Row],[Free CF]],""),"")</f>
        <v>57.009070294784578</v>
      </c>
      <c r="I7" s="1">
        <f>IF(ISNUMBER(Main_L[[#This Row],[BVPS]]),IF(Main_L[[#This Row],[BVPS]]&lt;&gt;0,Main_L[[#This Row],[Current Price]]/Main_L[[#This Row],[BVPS]],""),"")</f>
        <v>14.415711009174311</v>
      </c>
      <c r="J7">
        <v>22.55</v>
      </c>
      <c r="K7">
        <v>3.02</v>
      </c>
      <c r="L7">
        <v>6.71</v>
      </c>
      <c r="M7" s="1">
        <f>IF(ISNUMBER(Main_L[[#This Row],[EPS]]),IF(Main_L[[#This Row],[EPS]]&lt;&gt;0,Main_L[[#This Row],[Current Price]]/Main_L[[#This Row],[EPS]],""),"")</f>
        <v>50.281999999999996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1.14101841772224</v>
      </c>
      <c r="P7" s="1">
        <f>(Main_L[[#This Row],[P/B]]-VLOOKUP(Main_L[[#This Row],[Industry]], Mean_PB_L, 2, FALSE))/(VLOOKUP(Main_L[[#This Row],[Industry]], Mean_PB_L, 3, FALSE))</f>
        <v>0.69116167876054468</v>
      </c>
      <c r="Q7" s="1">
        <f>(Main_L[[#This Row],[ROE]]-VLOOKUP(Main_L[[#This Row],[Industry]], Mean_ROE_L, 2, FALSE))/(VLOOKUP(Main_L[[#This Row],[Industry]], Mean_ROE_L, 3, FALSE))</f>
        <v>0.46339493294120471</v>
      </c>
      <c r="R7" s="1">
        <f>(Main_L[[#This Row],[ROA]]-VLOOKUP(Main_L[[#This Row],[Industry]], Mean_ROA_L, 2, FALSE))/(VLOOKUP(Main_L[[#This Row],[Industry]], Mean_ROA_L, 3, FALSE))</f>
        <v>-0.74187587706957836</v>
      </c>
      <c r="S7" s="1">
        <f>(Main_L[[#This Row],[A/E]]-VLOOKUP(Main_L[[#This Row],[Industry]], Mean_AE_L, 2, FALSE))/(VLOOKUP(Main_L[[#This Row],[Industry]], Mean_AE_L, 3, FALSE))</f>
        <v>10.987841933257002</v>
      </c>
      <c r="T7" s="1">
        <f>(Main_L[[#This Row],[P/E]]-VLOOKUP(Main_L[[#This Row],[Industry]], Mean_PE_L, 2, FALSE))/(VLOOKUP(Main_L[[#This Row],[Industry]], Mean_PE_L, 3, FALSE))</f>
        <v>0.72082595553398232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105</v>
      </c>
      <c r="B8" t="s">
        <v>112</v>
      </c>
      <c r="C8" s="2">
        <v>36552</v>
      </c>
      <c r="D8">
        <f>RTD("tos.rtd", , "LAST", Main_L[[#This Row],[Symbol]])</f>
        <v>303.72000000000003</v>
      </c>
      <c r="E8">
        <v>4.03</v>
      </c>
      <c r="F8">
        <v>25.54</v>
      </c>
      <c r="G8">
        <v>3.41</v>
      </c>
      <c r="H8" s="1">
        <f>IF(ISNUMBER(Main_L[[#This Row],[Free CF]]),IF(Main_L[[#This Row],[Free CF]]&lt;&gt;0,Main_L[[#This Row],[Current Price]]/Main_L[[#This Row],[Free CF]],""),"")</f>
        <v>75.364764267990083</v>
      </c>
      <c r="I8" s="1">
        <f>IF(ISNUMBER(Main_L[[#This Row],[BVPS]]),IF(Main_L[[#This Row],[BVPS]]&lt;&gt;0,Main_L[[#This Row],[Current Price]]/Main_L[[#This Row],[BVPS]],""),"")</f>
        <v>11.891934220830072</v>
      </c>
      <c r="J8">
        <v>14.44</v>
      </c>
      <c r="K8">
        <v>7.86</v>
      </c>
      <c r="L8">
        <v>2.1</v>
      </c>
      <c r="M8" s="1">
        <f>IF(ISNUMBER(Main_L[[#This Row],[EPS]]),IF(Main_L[[#This Row],[EPS]]&lt;&gt;0,Main_L[[#This Row],[Current Price]]/Main_L[[#This Row],[EPS]],""),"")</f>
        <v>89.067448680351916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2.0327516432025581</v>
      </c>
      <c r="P8" s="1">
        <f>(Main_L[[#This Row],[P/B]]-VLOOKUP(Main_L[[#This Row],[Industry]], Mean_PB_L, 2, FALSE))/(VLOOKUP(Main_L[[#This Row],[Industry]], Mean_PB_L, 3, FALSE))</f>
        <v>0.43234608094460197</v>
      </c>
      <c r="Q8" s="1">
        <f>(Main_L[[#This Row],[ROE]]-VLOOKUP(Main_L[[#This Row],[Industry]], Mean_ROE_L, 2, FALSE))/(VLOOKUP(Main_L[[#This Row],[Industry]], Mean_ROE_L, 3, FALSE))</f>
        <v>-0.47704256041762466</v>
      </c>
      <c r="R8" s="1">
        <f>(Main_L[[#This Row],[ROA]]-VLOOKUP(Main_L[[#This Row],[Industry]], Mean_ROA_L, 2, FALSE))/(VLOOKUP(Main_L[[#This Row],[Industry]], Mean_ROA_L, 3, FALSE))</f>
        <v>0.73051856457206654</v>
      </c>
      <c r="S8" s="1">
        <f>(Main_L[[#This Row],[A/E]]-VLOOKUP(Main_L[[#This Row],[Industry]], Mean_AE_L, 2, FALSE))/(VLOOKUP(Main_L[[#This Row],[Industry]], Mean_AE_L, 3, FALSE))</f>
        <v>-0.78986424282858769</v>
      </c>
      <c r="T8" s="1">
        <f>(Main_L[[#This Row],[P/E]]-VLOOKUP(Main_L[[#This Row],[Industry]], Mean_PE_L, 2, FALSE))/(VLOOKUP(Main_L[[#This Row],[Industry]], Mean_PE_L, 3, FALSE))</f>
        <v>2.5130721067909763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105</v>
      </c>
      <c r="B9" t="s">
        <v>113</v>
      </c>
      <c r="C9" s="2">
        <v>48065</v>
      </c>
      <c r="D9">
        <f>RTD("tos.rtd", , "LAST", Main_L[[#This Row],[Symbol]])</f>
        <v>172.87</v>
      </c>
      <c r="E9">
        <v>2.44</v>
      </c>
      <c r="F9">
        <v>10.93</v>
      </c>
      <c r="G9">
        <v>2.6</v>
      </c>
      <c r="H9" s="1">
        <f>IF(ISNUMBER(Main_L[[#This Row],[Free CF]]),IF(Main_L[[#This Row],[Free CF]]&lt;&gt;0,Main_L[[#This Row],[Current Price]]/Main_L[[#This Row],[Free CF]],""),"")</f>
        <v>70.848360655737707</v>
      </c>
      <c r="I9" s="1">
        <f>IF(ISNUMBER(Main_L[[#This Row],[BVPS]]),IF(Main_L[[#This Row],[BVPS]]&lt;&gt;0,Main_L[[#This Row],[Current Price]]/Main_L[[#This Row],[BVPS]],""),"")</f>
        <v>15.816102470265326</v>
      </c>
      <c r="J9">
        <v>25.72</v>
      </c>
      <c r="K9">
        <v>9.0500000000000007</v>
      </c>
      <c r="L9">
        <v>2.37</v>
      </c>
      <c r="M9" s="1">
        <f>IF(ISNUMBER(Main_L[[#This Row],[EPS]]),IF(Main_L[[#This Row],[EPS]]&lt;&gt;0,Main_L[[#This Row],[Current Price]]/Main_L[[#This Row],[EPS]],""),"")</f>
        <v>66.488461538461536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1.813341406433316</v>
      </c>
      <c r="P9" s="1">
        <f>(Main_L[[#This Row],[P/B]]-VLOOKUP(Main_L[[#This Row],[Industry]], Mean_PB_L, 2, FALSE))/(VLOOKUP(Main_L[[#This Row],[Industry]], Mean_PB_L, 3, FALSE))</f>
        <v>0.8347730927542516</v>
      </c>
      <c r="Q9" s="1">
        <f>(Main_L[[#This Row],[ROE]]-VLOOKUP(Main_L[[#This Row],[Industry]], Mean_ROE_L, 2, FALSE))/(VLOOKUP(Main_L[[#This Row],[Industry]], Mean_ROE_L, 3, FALSE))</f>
        <v>0.83098887300871227</v>
      </c>
      <c r="R9" s="1">
        <f>(Main_L[[#This Row],[ROA]]-VLOOKUP(Main_L[[#This Row],[Industry]], Mean_ROA_L, 2, FALSE))/(VLOOKUP(Main_L[[#This Row],[Industry]], Mean_ROA_L, 3, FALSE))</f>
        <v>1.0925329004302395</v>
      </c>
      <c r="S9" s="1">
        <f>(Main_L[[#This Row],[A/E]]-VLOOKUP(Main_L[[#This Row],[Industry]], Mean_AE_L, 2, FALSE))/(VLOOKUP(Main_L[[#This Row],[Industry]], Mean_AE_L, 3, FALSE))</f>
        <v>-0.10006366418583065</v>
      </c>
      <c r="T9" s="1">
        <f>(Main_L[[#This Row],[P/E]]-VLOOKUP(Main_L[[#This Row],[Industry]], Mean_PE_L, 2, FALSE))/(VLOOKUP(Main_L[[#This Row],[Industry]], Mean_PE_L, 3, FALSE))</f>
        <v>1.4697142449845673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105</v>
      </c>
      <c r="B10" t="s">
        <v>114</v>
      </c>
      <c r="C10" s="2">
        <v>44504</v>
      </c>
      <c r="D10">
        <f>RTD("tos.rtd", , "LAST", Main_L[[#This Row],[Symbol]])</f>
        <v>245.41</v>
      </c>
      <c r="E10">
        <v>9.4499999999999993</v>
      </c>
      <c r="F10">
        <v>100.23</v>
      </c>
      <c r="G10">
        <v>6.33</v>
      </c>
      <c r="H10" s="1">
        <f>IF(ISNUMBER(Main_L[[#This Row],[Free CF]]),IF(Main_L[[#This Row],[Free CF]]&lt;&gt;0,Main_L[[#This Row],[Current Price]]/Main_L[[#This Row],[Free CF]],""),"")</f>
        <v>25.969312169312172</v>
      </c>
      <c r="I10" s="1">
        <f>IF(ISNUMBER(Main_L[[#This Row],[BVPS]]),IF(Main_L[[#This Row],[BVPS]]&lt;&gt;0,Main_L[[#This Row],[Current Price]]/Main_L[[#This Row],[BVPS]],""),"")</f>
        <v>2.4484685223984832</v>
      </c>
      <c r="J10">
        <v>6.26</v>
      </c>
      <c r="K10">
        <v>3.55</v>
      </c>
      <c r="L10">
        <v>2.2000000000000002</v>
      </c>
      <c r="M10" s="1">
        <f>IF(ISNUMBER(Main_L[[#This Row],[EPS]]),IF(Main_L[[#This Row],[EPS]]&lt;&gt;0,Main_L[[#This Row],[Current Price]]/Main_L[[#This Row],[EPS]],""),"")</f>
        <v>38.769352290679301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-0.36691605055560195</v>
      </c>
      <c r="P10" s="1">
        <f>(Main_L[[#This Row],[P/B]]-VLOOKUP(Main_L[[#This Row],[Industry]], Mean_PB_L, 2, FALSE))/(VLOOKUP(Main_L[[#This Row],[Industry]], Mean_PB_L, 3, FALSE))</f>
        <v>-0.53608988830663218</v>
      </c>
      <c r="Q10" s="1">
        <f>(Main_L[[#This Row],[ROE]]-VLOOKUP(Main_L[[#This Row],[Industry]], Mean_ROE_L, 2, FALSE))/(VLOOKUP(Main_L[[#This Row],[Industry]], Mean_ROE_L, 3, FALSE))</f>
        <v>-1.4255972701186386</v>
      </c>
      <c r="R10" s="1">
        <f>(Main_L[[#This Row],[ROA]]-VLOOKUP(Main_L[[#This Row],[Industry]], Mean_ROA_L, 2, FALSE))/(VLOOKUP(Main_L[[#This Row],[Industry]], Mean_ROA_L, 3, FALSE))</f>
        <v>-0.58064260143526603</v>
      </c>
      <c r="S10" s="1">
        <f>(Main_L[[#This Row],[A/E]]-VLOOKUP(Main_L[[#This Row],[Industry]], Mean_AE_L, 2, FALSE))/(VLOOKUP(Main_L[[#This Row],[Industry]], Mean_AE_L, 3, FALSE))</f>
        <v>-0.53438254703497379</v>
      </c>
      <c r="T10" s="1">
        <f>(Main_L[[#This Row],[P/E]]-VLOOKUP(Main_L[[#This Row],[Industry]], Mean_PE_L, 2, FALSE))/(VLOOKUP(Main_L[[#This Row],[Industry]], Mean_PE_L, 3, FALSE))</f>
        <v>0.18883524123652834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105</v>
      </c>
      <c r="B11" t="s">
        <v>115</v>
      </c>
      <c r="C11" s="2">
        <v>121606</v>
      </c>
      <c r="D11">
        <f>RTD("tos.rtd", , "LAST", Main_L[[#This Row],[Symbol]])</f>
        <v>480.83</v>
      </c>
      <c r="E11">
        <v>27.07</v>
      </c>
      <c r="F11">
        <v>30.51</v>
      </c>
      <c r="G11">
        <v>27.67</v>
      </c>
      <c r="H11" s="1">
        <f>IF(ISNUMBER(Main_L[[#This Row],[Free CF]]),IF(Main_L[[#This Row],[Free CF]]&lt;&gt;0,Main_L[[#This Row],[Current Price]]/Main_L[[#This Row],[Free CF]],""),"")</f>
        <v>17.762467676394532</v>
      </c>
      <c r="I11" s="1">
        <f>IF(ISNUMBER(Main_L[[#This Row],[BVPS]]),IF(Main_L[[#This Row],[BVPS]]&lt;&gt;0,Main_L[[#This Row],[Current Price]]/Main_L[[#This Row],[BVPS]],""),"")</f>
        <v>15.75975090134382</v>
      </c>
      <c r="J11">
        <v>81.040000000000006</v>
      </c>
      <c r="K11">
        <v>9.99</v>
      </c>
      <c r="L11">
        <v>7.71</v>
      </c>
      <c r="M11" s="1">
        <f>IF(ISNUMBER(Main_L[[#This Row],[EPS]]),IF(Main_L[[#This Row],[EPS]]&lt;&gt;0,Main_L[[#This Row],[Current Price]]/Main_L[[#This Row],[EPS]],""),"")</f>
        <v>17.37730393928442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-0.7656106420740515</v>
      </c>
      <c r="P11" s="1">
        <f>(Main_L[[#This Row],[P/B]]-VLOOKUP(Main_L[[#This Row],[Industry]], Mean_PB_L, 2, FALSE))/(VLOOKUP(Main_L[[#This Row],[Industry]], Mean_PB_L, 3, FALSE))</f>
        <v>0.82899418827044646</v>
      </c>
      <c r="Q11" s="1">
        <f>(Main_L[[#This Row],[ROE]]-VLOOKUP(Main_L[[#This Row],[Industry]], Mean_ROE_L, 2, FALSE))/(VLOOKUP(Main_L[[#This Row],[Industry]], Mean_ROE_L, 3, FALSE))</f>
        <v>7.2459089880038343</v>
      </c>
      <c r="R11" s="1">
        <f>(Main_L[[#This Row],[ROA]]-VLOOKUP(Main_L[[#This Row],[Industry]], Mean_ROA_L, 2, FALSE))/(VLOOKUP(Main_L[[#This Row],[Industry]], Mean_ROA_L, 3, FALSE))</f>
        <v>1.3784938043854349</v>
      </c>
      <c r="S11" s="1">
        <f>(Main_L[[#This Row],[A/E]]-VLOOKUP(Main_L[[#This Row],[Industry]], Mean_AE_L, 2, FALSE))/(VLOOKUP(Main_L[[#This Row],[Industry]], Mean_AE_L, 3, FALSE))</f>
        <v>13.54265889119314</v>
      </c>
      <c r="T11" s="1">
        <f>(Main_L[[#This Row],[P/E]]-VLOOKUP(Main_L[[#This Row],[Industry]], Mean_PE_L, 2, FALSE))/(VLOOKUP(Main_L[[#This Row],[Industry]], Mean_PE_L, 3, FALSE))</f>
        <v>-0.79967507976726915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105</v>
      </c>
      <c r="B12" t="s">
        <v>116</v>
      </c>
      <c r="C12" s="2">
        <v>69009</v>
      </c>
      <c r="D12">
        <f>RTD("tos.rtd", , "LAST", Main_L[[#This Row],[Symbol]])</f>
        <v>491.36</v>
      </c>
      <c r="E12">
        <v>16.77</v>
      </c>
      <c r="F12">
        <v>101.14</v>
      </c>
      <c r="G12">
        <v>15.99</v>
      </c>
      <c r="H12" s="1">
        <f>IF(ISNUMBER(Main_L[[#This Row],[Free CF]]),IF(Main_L[[#This Row],[Free CF]]&lt;&gt;0,Main_L[[#This Row],[Current Price]]/Main_L[[#This Row],[Free CF]],""),"")</f>
        <v>29.299940369707812</v>
      </c>
      <c r="I12" s="1">
        <f>IF(ISNUMBER(Main_L[[#This Row],[BVPS]]),IF(Main_L[[#This Row],[BVPS]]&lt;&gt;0,Main_L[[#This Row],[Current Price]]/Main_L[[#This Row],[BVPS]],""),"")</f>
        <v>4.8582163337947399</v>
      </c>
      <c r="J12">
        <v>15.48</v>
      </c>
      <c r="K12">
        <v>4.16</v>
      </c>
      <c r="L12">
        <v>3.27</v>
      </c>
      <c r="M12" s="1">
        <f>IF(ISNUMBER(Main_L[[#This Row],[EPS]]),IF(Main_L[[#This Row],[EPS]]&lt;&gt;0,Main_L[[#This Row],[Current Price]]/Main_L[[#This Row],[EPS]],""),"")</f>
        <v>30.729205753595998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-0.20511166264469108</v>
      </c>
      <c r="P12" s="1">
        <f>(Main_L[[#This Row],[P/B]]-VLOOKUP(Main_L[[#This Row],[Industry]], Mean_PB_L, 2, FALSE))/(VLOOKUP(Main_L[[#This Row],[Industry]], Mean_PB_L, 3, FALSE))</f>
        <v>-0.28896806546058074</v>
      </c>
      <c r="Q12" s="1">
        <f>(Main_L[[#This Row],[ROE]]-VLOOKUP(Main_L[[#This Row],[Industry]], Mean_ROE_L, 2, FALSE))/(VLOOKUP(Main_L[[#This Row],[Industry]], Mean_ROE_L, 3, FALSE))</f>
        <v>-0.35644391761945166</v>
      </c>
      <c r="R12" s="1">
        <f>(Main_L[[#This Row],[ROA]]-VLOOKUP(Main_L[[#This Row],[Industry]], Mean_ROA_L, 2, FALSE))/(VLOOKUP(Main_L[[#This Row],[Industry]], Mean_ROA_L, 3, FALSE))</f>
        <v>-0.39507222759200084</v>
      </c>
      <c r="S12" s="1">
        <f>(Main_L[[#This Row],[A/E]]-VLOOKUP(Main_L[[#This Row],[Industry]], Mean_AE_L, 2, FALSE))/(VLOOKUP(Main_L[[#This Row],[Industry]], Mean_AE_L, 3, FALSE))</f>
        <v>2.1992715979566926</v>
      </c>
      <c r="T12" s="1">
        <f>(Main_L[[#This Row],[P/E]]-VLOOKUP(Main_L[[#This Row],[Industry]], Mean_PE_L, 2, FALSE))/(VLOOKUP(Main_L[[#This Row],[Industry]], Mean_PE_L, 3, FALSE))</f>
        <v>-0.18269382899257608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105</v>
      </c>
      <c r="B13" t="s">
        <v>117</v>
      </c>
      <c r="C13" s="2">
        <v>12338</v>
      </c>
      <c r="D13">
        <f>RTD("tos.rtd", , "LAST", Main_L[[#This Row],[Symbol]])</f>
        <v>29.64</v>
      </c>
      <c r="E13">
        <v>-0.28999999999999998</v>
      </c>
      <c r="F13">
        <v>0.84</v>
      </c>
      <c r="G13">
        <v>-0.38</v>
      </c>
      <c r="H13" s="1">
        <f>IF(ISNUMBER(Main_L[[#This Row],[Free CF]]),IF(Main_L[[#This Row],[Free CF]]&lt;&gt;0,Main_L[[#This Row],[Current Price]]/Main_L[[#This Row],[Free CF]],""),"")</f>
        <v>-102.20689655172414</v>
      </c>
      <c r="I13" s="1">
        <f>IF(ISNUMBER(Main_L[[#This Row],[BVPS]]),IF(Main_L[[#This Row],[BVPS]]&lt;&gt;0,Main_L[[#This Row],[Current Price]]/Main_L[[#This Row],[BVPS]],""),"")</f>
        <v>35.285714285714285</v>
      </c>
      <c r="J13">
        <v>-37.450000000000003</v>
      </c>
      <c r="K13">
        <v>-11.06</v>
      </c>
      <c r="L13">
        <v>2.75</v>
      </c>
      <c r="M13" s="1">
        <f>IF(ISNUMBER(Main_L[[#This Row],[EPS]]),IF(Main_L[[#This Row],[EPS]]&lt;&gt;0,Main_L[[#This Row],[Current Price]]/Main_L[[#This Row],[EPS]],""),"")</f>
        <v>-78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-6.5938113234608231</v>
      </c>
      <c r="P13" s="1">
        <f>(Main_L[[#This Row],[P/B]]-VLOOKUP(Main_L[[#This Row],[Industry]], Mean_PB_L, 2, FALSE))/(VLOOKUP(Main_L[[#This Row],[Industry]], Mean_PB_L, 3, FALSE))</f>
        <v>2.8313994364673571</v>
      </c>
      <c r="Q13" s="1">
        <f>(Main_L[[#This Row],[ROE]]-VLOOKUP(Main_L[[#This Row],[Industry]], Mean_ROE_L, 2, FALSE))/(VLOOKUP(Main_L[[#This Row],[Industry]], Mean_ROE_L, 3, FALSE))</f>
        <v>-6.4942190746456951</v>
      </c>
      <c r="R13" s="1">
        <f>(Main_L[[#This Row],[ROA]]-VLOOKUP(Main_L[[#This Row],[Industry]], Mean_ROA_L, 2, FALSE))/(VLOOKUP(Main_L[[#This Row],[Industry]], Mean_ROA_L, 3, FALSE))</f>
        <v>-5.025205161845272</v>
      </c>
      <c r="S13" s="1">
        <f>(Main_L[[#This Row],[A/E]]-VLOOKUP(Main_L[[#This Row],[Industry]], Mean_AE_L, 2, FALSE))/(VLOOKUP(Main_L[[#This Row],[Industry]], Mean_AE_L, 3, FALSE))</f>
        <v>0.87076677982990114</v>
      </c>
      <c r="T13" s="1">
        <f>(Main_L[[#This Row],[P/E]]-VLOOKUP(Main_L[[#This Row],[Industry]], Mean_PE_L, 2, FALSE))/(VLOOKUP(Main_L[[#This Row],[Industry]], Mean_PE_L, 3, FALSE))</f>
        <v>-5.2069879179205696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" spans="1:26" x14ac:dyDescent="0.25">
      <c r="A14" t="s">
        <v>105</v>
      </c>
      <c r="B14" t="s">
        <v>118</v>
      </c>
      <c r="C14" s="2">
        <v>157047</v>
      </c>
      <c r="D14">
        <f>RTD("tos.rtd", , "LAST", Main_L[[#This Row],[Symbol]])</f>
        <v>140.97999999999999</v>
      </c>
      <c r="E14">
        <v>5.47</v>
      </c>
      <c r="F14">
        <v>45.92</v>
      </c>
      <c r="G14">
        <v>3.51</v>
      </c>
      <c r="H14" s="1">
        <f>IF(ISNUMBER(Main_L[[#This Row],[Free CF]]),IF(Main_L[[#This Row],[Free CF]]&lt;&gt;0,Main_L[[#This Row],[Current Price]]/Main_L[[#This Row],[Free CF]],""),"")</f>
        <v>25.773308957952466</v>
      </c>
      <c r="I14" s="1">
        <f>IF(ISNUMBER(Main_L[[#This Row],[BVPS]]),IF(Main_L[[#This Row],[BVPS]]&lt;&gt;0,Main_L[[#This Row],[Current Price]]/Main_L[[#This Row],[BVPS]],""),"")</f>
        <v>3.0701219512195119</v>
      </c>
      <c r="J14">
        <v>7.35</v>
      </c>
      <c r="K14">
        <v>3.17</v>
      </c>
      <c r="L14">
        <v>2.7</v>
      </c>
      <c r="M14" s="1">
        <f>IF(ISNUMBER(Main_L[[#This Row],[EPS]]),IF(Main_L[[#This Row],[EPS]]&lt;&gt;0,Main_L[[#This Row],[Current Price]]/Main_L[[#This Row],[EPS]],""),"")</f>
        <v>40.165242165242162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-0.37643803191601405</v>
      </c>
      <c r="P14" s="1">
        <f>(Main_L[[#This Row],[P/B]]-VLOOKUP(Main_L[[#This Row],[Industry]], Mean_PB_L, 2, FALSE))/(VLOOKUP(Main_L[[#This Row],[Industry]], Mean_PB_L, 3, FALSE))</f>
        <v>-0.4723387655616601</v>
      </c>
      <c r="Q14" s="1">
        <f>(Main_L[[#This Row],[ROE]]-VLOOKUP(Main_L[[#This Row],[Industry]], Mean_ROE_L, 2, FALSE))/(VLOOKUP(Main_L[[#This Row],[Industry]], Mean_ROE_L, 3, FALSE))</f>
        <v>-1.2992006156474765</v>
      </c>
      <c r="R14" s="1">
        <f>(Main_L[[#This Row],[ROA]]-VLOOKUP(Main_L[[#This Row],[Industry]], Mean_ROA_L, 2, FALSE))/(VLOOKUP(Main_L[[#This Row],[Industry]], Mean_ROA_L, 3, FALSE))</f>
        <v>-0.69624381792779189</v>
      </c>
      <c r="S14" s="1">
        <f>(Main_L[[#This Row],[A/E]]-VLOOKUP(Main_L[[#This Row],[Industry]], Mean_AE_L, 2, FALSE))/(VLOOKUP(Main_L[[#This Row],[Industry]], Mean_AE_L, 3, FALSE))</f>
        <v>0.74302593193309474</v>
      </c>
      <c r="T14" s="1">
        <f>(Main_L[[#This Row],[P/E]]-VLOOKUP(Main_L[[#This Row],[Industry]], Mean_PE_L, 2, FALSE))/(VLOOKUP(Main_L[[#This Row],[Industry]], Mean_PE_L, 3, FALSE))</f>
        <v>0.25333825307176999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105</v>
      </c>
      <c r="B15" t="s">
        <v>119</v>
      </c>
      <c r="C15" s="2">
        <v>71931</v>
      </c>
      <c r="D15">
        <f>RTD("tos.rtd", , "LAST", Main_L[[#This Row],[Symbol]])</f>
        <v>1460.06</v>
      </c>
      <c r="E15">
        <v>32.53</v>
      </c>
      <c r="F15">
        <v>-111.89</v>
      </c>
      <c r="G15">
        <v>25.62</v>
      </c>
      <c r="H15" s="1">
        <f>IF(ISNUMBER(Main_L[[#This Row],[Free CF]]),IF(Main_L[[#This Row],[Free CF]]&lt;&gt;0,Main_L[[#This Row],[Current Price]]/Main_L[[#This Row],[Free CF]],""),"")</f>
        <v>44.883492161082074</v>
      </c>
      <c r="I15" s="1">
        <f>IF(ISNUMBER(Main_L[[#This Row],[BVPS]]),IF(Main_L[[#This Row],[BVPS]]&lt;&gt;0,Main_L[[#This Row],[Current Price]]/Main_L[[#This Row],[BVPS]],""),"")</f>
        <v>-13.049066047010456</v>
      </c>
      <c r="J15">
        <v>-41.52</v>
      </c>
      <c r="K15">
        <v>9.8699999999999992</v>
      </c>
      <c r="L15">
        <v>-4.07</v>
      </c>
      <c r="M15" s="1">
        <f>IF(ISNUMBER(Main_L[[#This Row],[EPS]]),IF(Main_L[[#This Row],[EPS]]&lt;&gt;0,Main_L[[#This Row],[Current Price]]/Main_L[[#This Row],[EPS]],""),"")</f>
        <v>56.98907103825136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0.55194883987005006</v>
      </c>
      <c r="P15" s="1">
        <f>(Main_L[[#This Row],[P/B]]-VLOOKUP(Main_L[[#This Row],[Industry]], Mean_PB_L, 2, FALSE))/(VLOOKUP(Main_L[[#This Row],[Industry]], Mean_PB_L, 3, FALSE))</f>
        <v>-2.1253761091717864</v>
      </c>
      <c r="Q15" s="1">
        <f>(Main_L[[#This Row],[ROE]]-VLOOKUP(Main_L[[#This Row],[Industry]], Mean_ROE_L, 2, FALSE))/(VLOOKUP(Main_L[[#This Row],[Industry]], Mean_ROE_L, 3, FALSE))</f>
        <v>-6.966177224827006</v>
      </c>
      <c r="R15" s="1">
        <f>(Main_L[[#This Row],[ROA]]-VLOOKUP(Main_L[[#This Row],[Industry]], Mean_ROA_L, 2, FALSE))/(VLOOKUP(Main_L[[#This Row],[Industry]], Mean_ROA_L, 3, FALSE))</f>
        <v>1.3419881570720054</v>
      </c>
      <c r="S15" s="1">
        <f>(Main_L[[#This Row],[A/E]]-VLOOKUP(Main_L[[#This Row],[Industry]], Mean_AE_L, 2, FALSE))/(VLOOKUP(Main_L[[#This Row],[Industry]], Mean_AE_L, 3, FALSE))</f>
        <v>-16.553084873294551</v>
      </c>
      <c r="T15" s="1">
        <f>(Main_L[[#This Row],[P/E]]-VLOOKUP(Main_L[[#This Row],[Industry]], Mean_PE_L, 2, FALSE))/(VLOOKUP(Main_L[[#This Row],[Industry]], Mean_PE_L, 3, FALSE))</f>
        <v>1.0307546185638046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105</v>
      </c>
      <c r="B16" t="s">
        <v>120</v>
      </c>
      <c r="C16" s="2">
        <v>15334</v>
      </c>
      <c r="D16">
        <f>RTD("tos.rtd", , "LAST", Main_L[[#This Row],[Symbol]])</f>
        <v>77.08</v>
      </c>
      <c r="E16">
        <v>3.81</v>
      </c>
      <c r="F16">
        <v>37.47</v>
      </c>
      <c r="G16">
        <v>4.5599999999999996</v>
      </c>
      <c r="H16" s="1">
        <f>IF(ISNUMBER(Main_L[[#This Row],[Free CF]]),IF(Main_L[[#This Row],[Free CF]]&lt;&gt;0,Main_L[[#This Row],[Current Price]]/Main_L[[#This Row],[Free CF]],""),"")</f>
        <v>20.230971128608925</v>
      </c>
      <c r="I16" s="1">
        <f>IF(ISNUMBER(Main_L[[#This Row],[BVPS]]),IF(Main_L[[#This Row],[BVPS]]&lt;&gt;0,Main_L[[#This Row],[Current Price]]/Main_L[[#This Row],[BVPS]],""),"")</f>
        <v>2.0571123565519081</v>
      </c>
      <c r="J16">
        <v>12.6</v>
      </c>
      <c r="K16">
        <v>4.79</v>
      </c>
      <c r="L16">
        <v>2.37</v>
      </c>
      <c r="M16" s="1">
        <f>IF(ISNUMBER(Main_L[[#This Row],[EPS]]),IF(Main_L[[#This Row],[EPS]]&lt;&gt;0,Main_L[[#This Row],[Current Price]]/Main_L[[#This Row],[EPS]],""),"")</f>
        <v>16.903508771929825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-0.64568891376643844</v>
      </c>
      <c r="P16" s="1">
        <f>(Main_L[[#This Row],[P/B]]-VLOOKUP(Main_L[[#This Row],[Industry]], Mean_PB_L, 2, FALSE))/(VLOOKUP(Main_L[[#This Row],[Industry]], Mean_PB_L, 3, FALSE))</f>
        <v>-0.57622381793556288</v>
      </c>
      <c r="Q16" s="1">
        <f>(Main_L[[#This Row],[ROE]]-VLOOKUP(Main_L[[#This Row],[Industry]], Mean_ROE_L, 2, FALSE))/(VLOOKUP(Main_L[[#This Row],[Industry]], Mean_ROE_L, 3, FALSE))</f>
        <v>-0.69040938998362289</v>
      </c>
      <c r="R16" s="1">
        <f>(Main_L[[#This Row],[ROA]]-VLOOKUP(Main_L[[#This Row],[Industry]], Mean_ROA_L, 2, FALSE))/(VLOOKUP(Main_L[[#This Row],[Industry]], Mean_ROA_L, 3, FALSE))</f>
        <v>-0.2034175791964975</v>
      </c>
      <c r="S16" s="1">
        <f>(Main_L[[#This Row],[A/E]]-VLOOKUP(Main_L[[#This Row],[Industry]], Mean_AE_L, 2, FALSE))/(VLOOKUP(Main_L[[#This Row],[Industry]], Mean_AE_L, 3, FALSE))</f>
        <v>-0.10006366418583065</v>
      </c>
      <c r="T16" s="1">
        <f>(Main_L[[#This Row],[P/E]]-VLOOKUP(Main_L[[#This Row],[Industry]], Mean_PE_L, 2, FALSE))/(VLOOKUP(Main_L[[#This Row],[Industry]], Mean_PE_L, 3, FALSE))</f>
        <v>-0.8215687949121866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105</v>
      </c>
      <c r="B17" t="s">
        <v>121</v>
      </c>
      <c r="C17" s="2">
        <v>10626</v>
      </c>
      <c r="D17">
        <f>RTD("tos.rtd", , "LAST", Main_L[[#This Row],[Symbol]])</f>
        <v>234.56</v>
      </c>
      <c r="E17">
        <v>5.71</v>
      </c>
      <c r="F17">
        <v>36.78</v>
      </c>
      <c r="G17">
        <v>6.01</v>
      </c>
      <c r="H17" s="1">
        <f>IF(ISNUMBER(Main_L[[#This Row],[Free CF]]),IF(Main_L[[#This Row],[Free CF]]&lt;&gt;0,Main_L[[#This Row],[Current Price]]/Main_L[[#This Row],[Free CF]],""),"")</f>
        <v>41.078809106830121</v>
      </c>
      <c r="I17" s="1">
        <f>IF(ISNUMBER(Main_L[[#This Row],[BVPS]]),IF(Main_L[[#This Row],[BVPS]]&lt;&gt;0,Main_L[[#This Row],[Current Price]]/Main_L[[#This Row],[BVPS]],""),"")</f>
        <v>6.3773790103317021</v>
      </c>
      <c r="J17">
        <v>17.559999999999999</v>
      </c>
      <c r="K17">
        <v>6.56</v>
      </c>
      <c r="L17">
        <v>2.0099999999999998</v>
      </c>
      <c r="M17" s="1">
        <f>IF(ISNUMBER(Main_L[[#This Row],[EPS]]),IF(Main_L[[#This Row],[EPS]]&lt;&gt;0,Main_L[[#This Row],[Current Price]]/Main_L[[#This Row],[EPS]],""),"")</f>
        <v>39.028286189683861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0.36711451560800112</v>
      </c>
      <c r="P17" s="1">
        <f>(Main_L[[#This Row],[P/B]]-VLOOKUP(Main_L[[#This Row],[Industry]], Mean_PB_L, 2, FALSE))/(VLOOKUP(Main_L[[#This Row],[Industry]], Mean_PB_L, 3, FALSE))</f>
        <v>-0.13317655563948644</v>
      </c>
      <c r="Q17" s="1">
        <f>(Main_L[[#This Row],[ROE]]-VLOOKUP(Main_L[[#This Row],[Industry]], Mean_ROE_L, 2, FALSE))/(VLOOKUP(Main_L[[#This Row],[Industry]], Mean_ROE_L, 3, FALSE))</f>
        <v>-0.11524663202310599</v>
      </c>
      <c r="R17" s="1">
        <f>(Main_L[[#This Row],[ROA]]-VLOOKUP(Main_L[[#This Row],[Industry]], Mean_ROA_L, 2, FALSE))/(VLOOKUP(Main_L[[#This Row],[Industry]], Mean_ROA_L, 3, FALSE))</f>
        <v>0.33504071867658319</v>
      </c>
      <c r="S17" s="1">
        <f>(Main_L[[#This Row],[A/E]]-VLOOKUP(Main_L[[#This Row],[Industry]], Mean_AE_L, 2, FALSE))/(VLOOKUP(Main_L[[#This Row],[Industry]], Mean_AE_L, 3, FALSE))</f>
        <v>-1.0197977690428408</v>
      </c>
      <c r="T17" s="1">
        <f>(Main_L[[#This Row],[P/E]]-VLOOKUP(Main_L[[#This Row],[Industry]], Mean_PE_L, 2, FALSE))/(VLOOKUP(Main_L[[#This Row],[Industry]], Mean_PE_L, 3, FALSE))</f>
        <v>0.20080038021804497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224</v>
      </c>
      <c r="B18" t="s">
        <v>225</v>
      </c>
      <c r="C18" s="2">
        <v>12462</v>
      </c>
      <c r="D18">
        <f>RTD("tos.rtd", , "LAST", Main_L[[#This Row],[Symbol]])</f>
        <v>95.74</v>
      </c>
      <c r="E18">
        <v>1.79</v>
      </c>
      <c r="F18">
        <v>13.89</v>
      </c>
      <c r="G18">
        <v>2.89</v>
      </c>
      <c r="H18" s="1">
        <f>IF(ISNUMBER(Main_L[[#This Row],[Free CF]]),IF(Main_L[[#This Row],[Free CF]]&lt;&gt;0,Main_L[[#This Row],[Current Price]]/Main_L[[#This Row],[Free CF]],""),"")</f>
        <v>53.486033519553068</v>
      </c>
      <c r="I18" s="1">
        <f>IF(ISNUMBER(Main_L[[#This Row],[BVPS]]),IF(Main_L[[#This Row],[BVPS]]&lt;&gt;0,Main_L[[#This Row],[Current Price]]/Main_L[[#This Row],[BVPS]],""),"")</f>
        <v>6.8927285817134623</v>
      </c>
      <c r="J18">
        <v>22.82</v>
      </c>
      <c r="K18">
        <v>7.15</v>
      </c>
      <c r="L18">
        <v>3.42</v>
      </c>
      <c r="M18" s="1">
        <f>IF(ISNUMBER(Main_L[[#This Row],[EPS]]),IF(Main_L[[#This Row],[EPS]]&lt;&gt;0,Main_L[[#This Row],[Current Price]]/Main_L[[#This Row],[EPS]],""),"")</f>
        <v>33.128027681660896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8.0428777898066386</v>
      </c>
      <c r="P18" s="1">
        <f>(Main_L[[#This Row],[P/B]]-VLOOKUP(Main_L[[#This Row],[Industry]], Mean_PB_L, 2, FALSE))/(VLOOKUP(Main_L[[#This Row],[Industry]], Mean_PB_L, 3, FALSE))</f>
        <v>1.0515272228471866</v>
      </c>
      <c r="Q18" s="1">
        <f>(Main_L[[#This Row],[ROE]]-VLOOKUP(Main_L[[#This Row],[Industry]], Mean_ROE_L, 2, FALSE))/(VLOOKUP(Main_L[[#This Row],[Industry]], Mean_ROE_L, 3, FALSE))</f>
        <v>5.5536391093839808E-4</v>
      </c>
      <c r="R18" s="1">
        <f>(Main_L[[#This Row],[ROA]]-VLOOKUP(Main_L[[#This Row],[Industry]], Mean_ROA_L, 2, FALSE))/(VLOOKUP(Main_L[[#This Row],[Industry]], Mean_ROA_L, 3, FALSE))</f>
        <v>-1.3982902518631828</v>
      </c>
      <c r="S18" s="1">
        <f>(Main_L[[#This Row],[A/E]]-VLOOKUP(Main_L[[#This Row],[Industry]], Mean_AE_L, 2, FALSE))/(VLOOKUP(Main_L[[#This Row],[Industry]], Mean_AE_L, 3, FALSE))</f>
        <v>0.61456542023277849</v>
      </c>
      <c r="T18" s="1">
        <f>(Main_L[[#This Row],[P/E]]-VLOOKUP(Main_L[[#This Row],[Industry]], Mean_PE_L, 2, FALSE))/(VLOOKUP(Main_L[[#This Row],[Industry]], Mean_PE_L, 3, FALSE))</f>
        <v>1.7650923021180402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224</v>
      </c>
      <c r="B19" t="s">
        <v>226</v>
      </c>
      <c r="C19" s="2">
        <v>16696</v>
      </c>
      <c r="D19">
        <f>RTD("tos.rtd", , "LAST", Main_L[[#This Row],[Symbol]])</f>
        <v>113</v>
      </c>
      <c r="E19">
        <v>4.1500000000000004</v>
      </c>
      <c r="F19">
        <v>16.84</v>
      </c>
      <c r="G19">
        <v>5.12</v>
      </c>
      <c r="H19" s="1">
        <f>IF(ISNUMBER(Main_L[[#This Row],[Free CF]]),IF(Main_L[[#This Row],[Free CF]]&lt;&gt;0,Main_L[[#This Row],[Current Price]]/Main_L[[#This Row],[Free CF]],""),"")</f>
        <v>27.2289156626506</v>
      </c>
      <c r="I19" s="1">
        <f>IF(ISNUMBER(Main_L[[#This Row],[BVPS]]),IF(Main_L[[#This Row],[BVPS]]&lt;&gt;0,Main_L[[#This Row],[Current Price]]/Main_L[[#This Row],[BVPS]],""),"")</f>
        <v>6.7102137767220906</v>
      </c>
      <c r="J19">
        <v>30.29</v>
      </c>
      <c r="K19">
        <v>12.05</v>
      </c>
      <c r="L19">
        <v>2.19</v>
      </c>
      <c r="M19" s="1">
        <f>IF(ISNUMBER(Main_L[[#This Row],[EPS]]),IF(Main_L[[#This Row],[EPS]]&lt;&gt;0,Main_L[[#This Row],[Current Price]]/Main_L[[#This Row],[EPS]],""),"")</f>
        <v>22.0703125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1.5706957098392911</v>
      </c>
      <c r="P19" s="1">
        <f>(Main_L[[#This Row],[P/B]]-VLOOKUP(Main_L[[#This Row],[Industry]], Mean_PB_L, 2, FALSE))/(VLOOKUP(Main_L[[#This Row],[Industry]], Mean_PB_L, 3, FALSE))</f>
        <v>0.97066060975884427</v>
      </c>
      <c r="Q19" s="1">
        <f>(Main_L[[#This Row],[ROE]]-VLOOKUP(Main_L[[#This Row],[Industry]], Mean_ROE_L, 2, FALSE))/(VLOOKUP(Main_L[[#This Row],[Industry]], Mean_ROE_L, 3, FALSE))</f>
        <v>1.0376974675889714</v>
      </c>
      <c r="R19" s="1">
        <f>(Main_L[[#This Row],[ROA]]-VLOOKUP(Main_L[[#This Row],[Industry]], Mean_ROA_L, 2, FALSE))/(VLOOKUP(Main_L[[#This Row],[Industry]], Mean_ROA_L, 3, FALSE))</f>
        <v>18.557891012591984</v>
      </c>
      <c r="S19" s="1">
        <f>(Main_L[[#This Row],[A/E]]-VLOOKUP(Main_L[[#This Row],[Industry]], Mean_AE_L, 2, FALSE))/(VLOOKUP(Main_L[[#This Row],[Industry]], Mean_AE_L, 3, FALSE))</f>
        <v>-0.75982633774234365</v>
      </c>
      <c r="T19" s="1">
        <f>(Main_L[[#This Row],[P/E]]-VLOOKUP(Main_L[[#This Row],[Industry]], Mean_PE_L, 2, FALSE))/(VLOOKUP(Main_L[[#This Row],[Industry]], Mean_PE_L, 3, FALSE))</f>
        <v>0.33126594378602697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224</v>
      </c>
      <c r="B20" t="s">
        <v>227</v>
      </c>
      <c r="C20" s="2">
        <v>68577</v>
      </c>
      <c r="D20">
        <f>RTD("tos.rtd", , "LAST", Main_L[[#This Row],[Symbol]])</f>
        <v>222.18</v>
      </c>
      <c r="E20">
        <v>12.65</v>
      </c>
      <c r="F20">
        <v>112.9</v>
      </c>
      <c r="G20">
        <v>16.2</v>
      </c>
      <c r="H20" s="1">
        <f>IF(ISNUMBER(Main_L[[#This Row],[Free CF]]),IF(Main_L[[#This Row],[Free CF]]&lt;&gt;0,Main_L[[#This Row],[Current Price]]/Main_L[[#This Row],[Free CF]],""),"")</f>
        <v>17.563636363636363</v>
      </c>
      <c r="I20" s="1">
        <f>IF(ISNUMBER(Main_L[[#This Row],[BVPS]]),IF(Main_L[[#This Row],[BVPS]]&lt;&gt;0,Main_L[[#This Row],[Current Price]]/Main_L[[#This Row],[BVPS]],""),"")</f>
        <v>1.9679362267493357</v>
      </c>
      <c r="J20">
        <v>15.07</v>
      </c>
      <c r="K20">
        <v>4.7300000000000004</v>
      </c>
      <c r="L20">
        <v>3.15</v>
      </c>
      <c r="M20" s="1">
        <f>IF(ISNUMBER(Main_L[[#This Row],[EPS]]),IF(Main_L[[#This Row],[EPS]]&lt;&gt;0,Main_L[[#This Row],[Current Price]]/Main_L[[#This Row],[EPS]],""),"")</f>
        <v>13.714814814814815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-0.81172294775586273</v>
      </c>
      <c r="P20" s="1">
        <f>(Main_L[[#This Row],[P/B]]-VLOOKUP(Main_L[[#This Row],[Industry]], Mean_PB_L, 2, FALSE))/(VLOOKUP(Main_L[[#This Row],[Industry]], Mean_PB_L, 3, FALSE))</f>
        <v>-1.1304945475409038</v>
      </c>
      <c r="Q20" s="1">
        <f>(Main_L[[#This Row],[ROE]]-VLOOKUP(Main_L[[#This Row],[Industry]], Mean_ROE_L, 2, FALSE))/(VLOOKUP(Main_L[[#This Row],[Industry]], Mean_ROE_L, 3, FALSE))</f>
        <v>-1.0754622135328042</v>
      </c>
      <c r="R20" s="1">
        <f>(Main_L[[#This Row],[ROA]]-VLOOKUP(Main_L[[#This Row],[Industry]], Mean_ROA_L, 2, FALSE))/(VLOOKUP(Main_L[[#This Row],[Industry]], Mean_ROA_L, 3, FALSE))</f>
        <v>-11.254200182471651</v>
      </c>
      <c r="S20" s="1">
        <f>(Main_L[[#This Row],[A/E]]-VLOOKUP(Main_L[[#This Row],[Industry]], Mean_AE_L, 2, FALSE))/(VLOOKUP(Main_L[[#This Row],[Industry]], Mean_AE_L, 3, FALSE))</f>
        <v>0.31286966848214193</v>
      </c>
      <c r="T20" s="1">
        <f>(Main_L[[#This Row],[P/E]]-VLOOKUP(Main_L[[#This Row],[Industry]], Mean_PE_L, 2, FALSE))/(VLOOKUP(Main_L[[#This Row],[Industry]], Mean_PE_L, 3, FALSE))</f>
        <v>-0.75217060899025501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224</v>
      </c>
      <c r="B21" t="s">
        <v>228</v>
      </c>
      <c r="C21" s="2">
        <v>107192</v>
      </c>
      <c r="D21">
        <f>RTD("tos.rtd", , "LAST", Main_L[[#This Row],[Symbol]])</f>
        <v>99.31</v>
      </c>
      <c r="E21">
        <v>5.09</v>
      </c>
      <c r="F21">
        <v>19.760000000000002</v>
      </c>
      <c r="G21">
        <v>6.62</v>
      </c>
      <c r="H21" s="1">
        <f>IF(ISNUMBER(Main_L[[#This Row],[Free CF]]),IF(Main_L[[#This Row],[Free CF]]&lt;&gt;0,Main_L[[#This Row],[Current Price]]/Main_L[[#This Row],[Free CF]],""),"")</f>
        <v>19.510805500982318</v>
      </c>
      <c r="I21" s="1">
        <f>IF(ISNUMBER(Main_L[[#This Row],[BVPS]]),IF(Main_L[[#This Row],[BVPS]]&lt;&gt;0,Main_L[[#This Row],[Current Price]]/Main_L[[#This Row],[BVPS]],""),"")</f>
        <v>5.0258097165991904</v>
      </c>
      <c r="J21">
        <v>31.42</v>
      </c>
      <c r="K21">
        <v>7.62</v>
      </c>
      <c r="L21">
        <v>4.05</v>
      </c>
      <c r="M21" s="1">
        <f>IF(ISNUMBER(Main_L[[#This Row],[EPS]]),IF(Main_L[[#This Row],[EPS]]&lt;&gt;0,Main_L[[#This Row],[Current Price]]/Main_L[[#This Row],[EPS]],""),"")</f>
        <v>15.001510574018127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-0.33176039946410318</v>
      </c>
      <c r="P21" s="1">
        <f>(Main_L[[#This Row],[P/B]]-VLOOKUP(Main_L[[#This Row],[Industry]], Mean_PB_L, 2, FALSE))/(VLOOKUP(Main_L[[#This Row],[Industry]], Mean_PB_L, 3, FALSE))</f>
        <v>0.22435374757946805</v>
      </c>
      <c r="Q21" s="1">
        <f>(Main_L[[#This Row],[ROE]]-VLOOKUP(Main_L[[#This Row],[Industry]], Mean_ROE_L, 2, FALSE))/(VLOOKUP(Main_L[[#This Row],[Industry]], Mean_ROE_L, 3, FALSE))</f>
        <v>1.1945877724291563</v>
      </c>
      <c r="R21" s="1">
        <f>(Main_L[[#This Row],[ROA]]-VLOOKUP(Main_L[[#This Row],[Industry]], Mean_ROA_L, 2, FALSE))/(VLOOKUP(Main_L[[#This Row],[Industry]], Mean_ROA_L, 3, FALSE))</f>
        <v>0.51587407350292369</v>
      </c>
      <c r="S21" s="1">
        <f>(Main_L[[#This Row],[A/E]]-VLOOKUP(Main_L[[#This Row],[Industry]], Mean_AE_L, 2, FALSE))/(VLOOKUP(Main_L[[#This Row],[Industry]], Mean_AE_L, 3, FALSE))</f>
        <v>1.318522174317597</v>
      </c>
      <c r="T21" s="1">
        <f>(Main_L[[#This Row],[P/E]]-VLOOKUP(Main_L[[#This Row],[Industry]], Mean_PE_L, 2, FALSE))/(VLOOKUP(Main_L[[#This Row],[Industry]], Mean_PE_L, 3, FALSE))</f>
        <v>-0.58532797790499491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224</v>
      </c>
      <c r="B22" t="s">
        <v>229</v>
      </c>
      <c r="C22" s="2">
        <v>14869</v>
      </c>
      <c r="D22">
        <f>RTD("tos.rtd", , "LAST", Main_L[[#This Row],[Symbol]])</f>
        <v>17.8</v>
      </c>
      <c r="E22">
        <v>1.04</v>
      </c>
      <c r="F22">
        <v>10.74</v>
      </c>
      <c r="G22">
        <v>1.49</v>
      </c>
      <c r="H22" s="1">
        <f>IF(ISNUMBER(Main_L[[#This Row],[Free CF]]),IF(Main_L[[#This Row],[Free CF]]&lt;&gt;0,Main_L[[#This Row],[Current Price]]/Main_L[[#This Row],[Free CF]],""),"")</f>
        <v>17.115384615384617</v>
      </c>
      <c r="I22" s="1">
        <f>IF(ISNUMBER(Main_L[[#This Row],[BVPS]]),IF(Main_L[[#This Row],[BVPS]]&lt;&gt;0,Main_L[[#This Row],[Current Price]]/Main_L[[#This Row],[BVPS]],""),"")</f>
        <v>1.6573556797020486</v>
      </c>
      <c r="J22">
        <v>14.48</v>
      </c>
      <c r="K22">
        <v>7.71</v>
      </c>
      <c r="L22">
        <v>1.54</v>
      </c>
      <c r="M22" s="1">
        <f>IF(ISNUMBER(Main_L[[#This Row],[EPS]]),IF(Main_L[[#This Row],[EPS]]&lt;&gt;0,Main_L[[#This Row],[Current Price]]/Main_L[[#This Row],[EPS]],""),"")</f>
        <v>11.946308724832216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2" s="1">
        <f>(Main_L[[#This Row],[P/FCF]]-VLOOKUP(Main_L[[#This Row],[Industry]], Mean_PFCF_L, 2, FALSE))/(VLOOKUP(Main_L[[#This Row],[Industry]], Mean_PFCF_L, 3, FALSE))</f>
        <v>-0.92221363253550726</v>
      </c>
      <c r="P22" s="1">
        <f>(Main_L[[#This Row],[P/B]]-VLOOKUP(Main_L[[#This Row],[Industry]], Mean_PB_L, 2, FALSE))/(VLOOKUP(Main_L[[#This Row],[Industry]], Mean_PB_L, 3, FALSE))</f>
        <v>-1.2681030934998248</v>
      </c>
      <c r="Q22" s="1">
        <f>(Main_L[[#This Row],[ROE]]-VLOOKUP(Main_L[[#This Row],[Industry]], Mean_ROE_L, 2, FALSE))/(VLOOKUP(Main_L[[#This Row],[Industry]], Mean_ROE_L, 3, FALSE))</f>
        <v>-1.1573783903962633</v>
      </c>
      <c r="R22" s="1">
        <f>(Main_L[[#This Row],[ROA]]-VLOOKUP(Main_L[[#This Row],[Industry]], Mean_ROA_L, 2, FALSE))/(VLOOKUP(Main_L[[#This Row],[Industry]], Mean_ROA_L, 3, FALSE))</f>
        <v>0.88241617836026287</v>
      </c>
      <c r="S22" s="1">
        <f>(Main_L[[#This Row],[A/E]]-VLOOKUP(Main_L[[#This Row],[Industry]], Mean_AE_L, 2, FALSE))/(VLOOKUP(Main_L[[#This Row],[Industry]], Mean_AE_L, 3, FALSE))</f>
        <v>-1.4861309252901722</v>
      </c>
      <c r="T22" s="1">
        <f>(Main_L[[#This Row],[P/E]]-VLOOKUP(Main_L[[#This Row],[Industry]], Mean_PE_L, 2, FALSE))/(VLOOKUP(Main_L[[#This Row],[Industry]], Mean_PE_L, 3, FALSE))</f>
        <v>-0.98148838441037267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122</v>
      </c>
      <c r="B23" t="s">
        <v>123</v>
      </c>
      <c r="C23" s="2">
        <v>11156</v>
      </c>
      <c r="D23">
        <f>RTD("tos.rtd", , "LAST", Main_L[[#This Row],[Symbol]])</f>
        <v>93.96</v>
      </c>
      <c r="E23">
        <v>1.27</v>
      </c>
      <c r="F23">
        <v>9.81</v>
      </c>
      <c r="G23">
        <v>2.2799999999999998</v>
      </c>
      <c r="H23" s="1">
        <f>IF(ISNUMBER(Main_L[[#This Row],[Free CF]]),IF(Main_L[[#This Row],[Free CF]]&lt;&gt;0,Main_L[[#This Row],[Current Price]]/Main_L[[#This Row],[Free CF]],""),"")</f>
        <v>73.984251968503926</v>
      </c>
      <c r="I23" s="1">
        <f>IF(ISNUMBER(Main_L[[#This Row],[BVPS]]),IF(Main_L[[#This Row],[BVPS]]&lt;&gt;0,Main_L[[#This Row],[Current Price]]/Main_L[[#This Row],[BVPS]],""),"")</f>
        <v>9.5779816513761453</v>
      </c>
      <c r="J23">
        <v>25.81</v>
      </c>
      <c r="K23">
        <v>15.98</v>
      </c>
      <c r="L23">
        <v>1.29</v>
      </c>
      <c r="M23" s="1">
        <f>IF(ISNUMBER(Main_L[[#This Row],[EPS]]),IF(Main_L[[#This Row],[EPS]]&lt;&gt;0,Main_L[[#This Row],[Current Price]]/Main_L[[#This Row],[EPS]],""),"")</f>
        <v>41.210526315789473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5.3280137771426617</v>
      </c>
      <c r="P23" s="1">
        <f>(Main_L[[#This Row],[P/B]]-VLOOKUP(Main_L[[#This Row],[Industry]], Mean_PB_L, 2, FALSE))/(VLOOKUP(Main_L[[#This Row],[Industry]], Mean_PB_L, 3, FALSE))</f>
        <v>0.99152464540075969</v>
      </c>
      <c r="Q23" s="1">
        <f>(Main_L[[#This Row],[ROE]]-VLOOKUP(Main_L[[#This Row],[Industry]], Mean_ROE_L, 2, FALSE))/(VLOOKUP(Main_L[[#This Row],[Industry]], Mean_ROE_L, 3, FALSE))</f>
        <v>-0.1342136876641403</v>
      </c>
      <c r="R23" s="1">
        <f>(Main_L[[#This Row],[ROA]]-VLOOKUP(Main_L[[#This Row],[Industry]], Mean_ROA_L, 2, FALSE))/(VLOOKUP(Main_L[[#This Row],[Industry]], Mean_ROA_L, 3, FALSE))</f>
        <v>1.013910922980926</v>
      </c>
      <c r="S23" s="1">
        <f>(Main_L[[#This Row],[A/E]]-VLOOKUP(Main_L[[#This Row],[Industry]], Mean_AE_L, 2, FALSE))/(VLOOKUP(Main_L[[#This Row],[Industry]], Mean_AE_L, 3, FALSE))</f>
        <v>-2.1532577451555377</v>
      </c>
      <c r="T23" s="1">
        <f>(Main_L[[#This Row],[P/E]]-VLOOKUP(Main_L[[#This Row],[Industry]], Mean_PE_L, 2, FALSE))/(VLOOKUP(Main_L[[#This Row],[Industry]], Mean_PE_L, 3, FALSE))</f>
        <v>1.1115817917682527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122</v>
      </c>
      <c r="B24" t="s">
        <v>124</v>
      </c>
      <c r="C24" s="2">
        <v>12213</v>
      </c>
      <c r="D24">
        <f>RTD("tos.rtd", , "LAST", Main_L[[#This Row],[Symbol]])</f>
        <v>139.6</v>
      </c>
      <c r="E24">
        <v>6.68</v>
      </c>
      <c r="F24">
        <v>18.07</v>
      </c>
      <c r="G24">
        <v>6.5</v>
      </c>
      <c r="H24" s="1">
        <f>IF(ISNUMBER(Main_L[[#This Row],[Free CF]]),IF(Main_L[[#This Row],[Free CF]]&lt;&gt;0,Main_L[[#This Row],[Current Price]]/Main_L[[#This Row],[Free CF]],""),"")</f>
        <v>20.898203592814372</v>
      </c>
      <c r="I24" s="1">
        <f>IF(ISNUMBER(Main_L[[#This Row],[BVPS]]),IF(Main_L[[#This Row],[BVPS]]&lt;&gt;0,Main_L[[#This Row],[Current Price]]/Main_L[[#This Row],[BVPS]],""),"")</f>
        <v>7.7255118981737683</v>
      </c>
      <c r="J24">
        <v>40.82</v>
      </c>
      <c r="K24">
        <v>10.7</v>
      </c>
      <c r="L24">
        <v>3.17</v>
      </c>
      <c r="M24" s="1">
        <f>IF(ISNUMBER(Main_L[[#This Row],[EPS]]),IF(Main_L[[#This Row],[EPS]]&lt;&gt;0,Main_L[[#This Row],[Current Price]]/Main_L[[#This Row],[EPS]],""),"")</f>
        <v>21.476923076923075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-0.10795668377080078</v>
      </c>
      <c r="P24" s="1">
        <f>(Main_L[[#This Row],[P/B]]-VLOOKUP(Main_L[[#This Row],[Industry]], Mean_PB_L, 2, FALSE))/(VLOOKUP(Main_L[[#This Row],[Industry]], Mean_PB_L, 3, FALSE))</f>
        <v>0.40268207426117125</v>
      </c>
      <c r="Q24" s="1">
        <f>(Main_L[[#This Row],[ROE]]-VLOOKUP(Main_L[[#This Row],[Industry]], Mean_ROE_L, 2, FALSE))/(VLOOKUP(Main_L[[#This Row],[Industry]], Mean_ROE_L, 3, FALSE))</f>
        <v>1.3224366751982908</v>
      </c>
      <c r="R24" s="1">
        <f>(Main_L[[#This Row],[ROA]]-VLOOKUP(Main_L[[#This Row],[Industry]], Mean_ROA_L, 2, FALSE))/(VLOOKUP(Main_L[[#This Row],[Industry]], Mean_ROA_L, 3, FALSE))</f>
        <v>-0.17244911543221286</v>
      </c>
      <c r="S24" s="1">
        <f>(Main_L[[#This Row],[A/E]]-VLOOKUP(Main_L[[#This Row],[Industry]], Mean_AE_L, 2, FALSE))/(VLOOKUP(Main_L[[#This Row],[Industry]], Mean_AE_L, 3, FALSE))</f>
        <v>1.3215272856533997</v>
      </c>
      <c r="T24" s="1">
        <f>(Main_L[[#This Row],[P/E]]-VLOOKUP(Main_L[[#This Row],[Industry]], Mean_PE_L, 2, FALSE))/(VLOOKUP(Main_L[[#This Row],[Industry]], Mean_PE_L, 3, FALSE))</f>
        <v>-0.46784191849371126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122</v>
      </c>
      <c r="B25" t="s">
        <v>125</v>
      </c>
      <c r="C25" s="2">
        <v>10528</v>
      </c>
      <c r="D25">
        <f>RTD("tos.rtd", , "LAST", Main_L[[#This Row],[Symbol]])</f>
        <v>64.83</v>
      </c>
      <c r="E25">
        <v>3.29</v>
      </c>
      <c r="F25">
        <v>13.22</v>
      </c>
      <c r="G25">
        <v>3.79</v>
      </c>
      <c r="H25" s="1">
        <f>IF(ISNUMBER(Main_L[[#This Row],[Free CF]]),IF(Main_L[[#This Row],[Free CF]]&lt;&gt;0,Main_L[[#This Row],[Current Price]]/Main_L[[#This Row],[Free CF]],""),"")</f>
        <v>19.705167173252278</v>
      </c>
      <c r="I25" s="1">
        <f>IF(ISNUMBER(Main_L[[#This Row],[BVPS]]),IF(Main_L[[#This Row],[BVPS]]&lt;&gt;0,Main_L[[#This Row],[Current Price]]/Main_L[[#This Row],[BVPS]],""),"")</f>
        <v>4.9039334341906198</v>
      </c>
      <c r="J25">
        <v>29.54</v>
      </c>
      <c r="K25">
        <v>14.34</v>
      </c>
      <c r="L25">
        <v>1.65</v>
      </c>
      <c r="M25" s="1">
        <f>IF(ISNUMBER(Main_L[[#This Row],[EPS]]),IF(Main_L[[#This Row],[EPS]]&lt;&gt;0,Main_L[[#This Row],[Current Price]]/Main_L[[#This Row],[EPS]],""),"")</f>
        <v>17.105540897097626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5" s="1">
        <f>(Main_L[[#This Row],[P/FCF]]-VLOOKUP(Main_L[[#This Row],[Industry]], Mean_PFCF_L, 2, FALSE))/(VLOOKUP(Main_L[[#This Row],[Industry]], Mean_PFCF_L, 3, FALSE))</f>
        <v>-0.23012269412510353</v>
      </c>
      <c r="P25" s="1">
        <f>(Main_L[[#This Row],[P/B]]-VLOOKUP(Main_L[[#This Row],[Industry]], Mean_PB_L, 2, FALSE))/(VLOOKUP(Main_L[[#This Row],[Industry]], Mean_PB_L, 3, FALSE))</f>
        <v>-0.49421004207797048</v>
      </c>
      <c r="Q25" s="1">
        <f>(Main_L[[#This Row],[ROE]]-VLOOKUP(Main_L[[#This Row],[Industry]], Mean_ROE_L, 2, FALSE))/(VLOOKUP(Main_L[[#This Row],[Industry]], Mean_ROE_L, 3, FALSE))</f>
        <v>0.22776538318708342</v>
      </c>
      <c r="R25" s="1">
        <f>(Main_L[[#This Row],[ROA]]-VLOOKUP(Main_L[[#This Row],[Industry]], Mean_ROA_L, 2, FALSE))/(VLOOKUP(Main_L[[#This Row],[Industry]], Mean_ROA_L, 3, FALSE))</f>
        <v>0.64542030498896619</v>
      </c>
      <c r="S25" s="1">
        <f>(Main_L[[#This Row],[A/E]]-VLOOKUP(Main_L[[#This Row],[Industry]], Mean_AE_L, 2, FALSE))/(VLOOKUP(Main_L[[#This Row],[Industry]], Mean_AE_L, 3, FALSE))</f>
        <v>-1.4878733775538266</v>
      </c>
      <c r="T25" s="1">
        <f>(Main_L[[#This Row],[P/E]]-VLOOKUP(Main_L[[#This Row],[Industry]], Mean_PE_L, 2, FALSE))/(VLOOKUP(Main_L[[#This Row],[Industry]], Mean_PE_L, 3, FALSE))</f>
        <v>-0.81771540981001689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122</v>
      </c>
      <c r="B26" t="s">
        <v>126</v>
      </c>
      <c r="C26" s="2">
        <v>20234</v>
      </c>
      <c r="D26">
        <f>RTD("tos.rtd", , "LAST", Main_L[[#This Row],[Symbol]])</f>
        <v>112.96</v>
      </c>
      <c r="E26">
        <v>14.42</v>
      </c>
      <c r="F26">
        <v>38.479999999999997</v>
      </c>
      <c r="G26">
        <v>10.23</v>
      </c>
      <c r="H26" s="1">
        <f>IF(ISNUMBER(Main_L[[#This Row],[Free CF]]),IF(Main_L[[#This Row],[Free CF]]&lt;&gt;0,Main_L[[#This Row],[Current Price]]/Main_L[[#This Row],[Free CF]],""),"")</f>
        <v>7.8335644937586677</v>
      </c>
      <c r="I26" s="1">
        <f>IF(ISNUMBER(Main_L[[#This Row],[BVPS]]),IF(Main_L[[#This Row],[BVPS]]&lt;&gt;0,Main_L[[#This Row],[Current Price]]/Main_L[[#This Row],[BVPS]],""),"")</f>
        <v>2.9355509355509355</v>
      </c>
      <c r="J26">
        <v>27.44</v>
      </c>
      <c r="K26">
        <v>10.3</v>
      </c>
      <c r="L26">
        <v>2.4500000000000002</v>
      </c>
      <c r="M26" s="1">
        <f>IF(ISNUMBER(Main_L[[#This Row],[EPS]]),IF(Main_L[[#This Row],[EPS]]&lt;&gt;0,Main_L[[#This Row],[Current Price]]/Main_L[[#This Row],[EPS]],""),"")</f>
        <v>11.042033235581622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6" s="1">
        <f>(Main_L[[#This Row],[P/FCF]]-VLOOKUP(Main_L[[#This Row],[Industry]], Mean_PFCF_L, 2, FALSE))/(VLOOKUP(Main_L[[#This Row],[Industry]], Mean_PFCF_L, 3, FALSE))</f>
        <v>-1.445765663681323</v>
      </c>
      <c r="P26" s="1">
        <f>(Main_L[[#This Row],[P/B]]-VLOOKUP(Main_L[[#This Row],[Industry]], Mean_PB_L, 2, FALSE))/(VLOOKUP(Main_L[[#This Row],[Industry]], Mean_PB_L, 3, FALSE))</f>
        <v>-1.1198976731345485</v>
      </c>
      <c r="Q26" s="1">
        <f>(Main_L[[#This Row],[ROE]]-VLOOKUP(Main_L[[#This Row],[Industry]], Mean_ROE_L, 2, FALSE))/(VLOOKUP(Main_L[[#This Row],[Industry]], Mean_ROE_L, 3, FALSE))</f>
        <v>2.3970195844571638E-2</v>
      </c>
      <c r="R26" s="1">
        <f>(Main_L[[#This Row],[ROA]]-VLOOKUP(Main_L[[#This Row],[Industry]], Mean_ROA_L, 2, FALSE))/(VLOOKUP(Main_L[[#This Row],[Industry]], Mean_ROA_L, 3, FALSE))</f>
        <v>-0.26232487591805637</v>
      </c>
      <c r="S26" s="1">
        <f>(Main_L[[#This Row],[A/E]]-VLOOKUP(Main_L[[#This Row],[Industry]], Mean_AE_L, 2, FALSE))/(VLOOKUP(Main_L[[#This Row],[Industry]], Mean_AE_L, 3, FALSE))</f>
        <v>-9.2414495500227536E-3</v>
      </c>
      <c r="T26" s="1">
        <f>(Main_L[[#This Row],[P/E]]-VLOOKUP(Main_L[[#This Row],[Industry]], Mean_PE_L, 2, FALSE))/(VLOOKUP(Main_L[[#This Row],[Industry]], Mean_PE_L, 3, FALSE))</f>
        <v>-1.3030220034427162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122</v>
      </c>
      <c r="B27" t="s">
        <v>127</v>
      </c>
      <c r="C27" s="2">
        <v>66099</v>
      </c>
      <c r="D27">
        <f>RTD("tos.rtd", , "LAST", Main_L[[#This Row],[Symbol]])</f>
        <v>71.650000000000006</v>
      </c>
      <c r="E27">
        <v>1.06</v>
      </c>
      <c r="F27">
        <v>16.37</v>
      </c>
      <c r="G27">
        <v>1.7</v>
      </c>
      <c r="H27" s="1">
        <f>IF(ISNUMBER(Main_L[[#This Row],[Free CF]]),IF(Main_L[[#This Row],[Free CF]]&lt;&gt;0,Main_L[[#This Row],[Current Price]]/Main_L[[#This Row],[Free CF]],""),"")</f>
        <v>67.594339622641513</v>
      </c>
      <c r="I27" s="1">
        <f>IF(ISNUMBER(Main_L[[#This Row],[BVPS]]),IF(Main_L[[#This Row],[BVPS]]&lt;&gt;0,Main_L[[#This Row],[Current Price]]/Main_L[[#This Row],[BVPS]],""),"")</f>
        <v>4.3769089798411729</v>
      </c>
      <c r="J27">
        <v>13.93</v>
      </c>
      <c r="K27">
        <v>4.18</v>
      </c>
      <c r="L27">
        <v>2.74</v>
      </c>
      <c r="M27" s="1">
        <f>IF(ISNUMBER(Main_L[[#This Row],[EPS]]),IF(Main_L[[#This Row],[EPS]]&lt;&gt;0,Main_L[[#This Row],[Current Price]]/Main_L[[#This Row],[EPS]],""),"")</f>
        <v>42.147058823529413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4.6736916751449318</v>
      </c>
      <c r="P27" s="1">
        <f>(Main_L[[#This Row],[P/B]]-VLOOKUP(Main_L[[#This Row],[Industry]], Mean_PB_L, 2, FALSE))/(VLOOKUP(Main_L[[#This Row],[Industry]], Mean_PB_L, 3, FALSE))</f>
        <v>-0.66173473942651817</v>
      </c>
      <c r="Q27" s="1">
        <f>(Main_L[[#This Row],[ROE]]-VLOOKUP(Main_L[[#This Row],[Industry]], Mean_ROE_L, 2, FALSE))/(VLOOKUP(Main_L[[#This Row],[Industry]], Mean_ROE_L, 3, FALSE))</f>
        <v>-1.2871121760589224</v>
      </c>
      <c r="R27" s="1">
        <f>(Main_L[[#This Row],[ROA]]-VLOOKUP(Main_L[[#This Row],[Industry]], Mean_ROA_L, 2, FALSE))/(VLOOKUP(Main_L[[#This Row],[Industry]], Mean_ROA_L, 3, FALSE))</f>
        <v>-1.6374240113514673</v>
      </c>
      <c r="S27" s="1">
        <f>(Main_L[[#This Row],[A/E]]-VLOOKUP(Main_L[[#This Row],[Industry]], Mean_AE_L, 2, FALSE))/(VLOOKUP(Main_L[[#This Row],[Industry]], Mean_AE_L, 3, FALSE))</f>
        <v>0.52676262435135601</v>
      </c>
      <c r="T27" s="1">
        <f>(Main_L[[#This Row],[P/E]]-VLOOKUP(Main_L[[#This Row],[Industry]], Mean_PE_L, 2, FALSE))/(VLOOKUP(Main_L[[#This Row],[Industry]], Mean_PE_L, 3, FALSE))</f>
        <v>1.1865392959934429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122</v>
      </c>
      <c r="B28" t="s">
        <v>128</v>
      </c>
      <c r="C28" s="2">
        <v>19945</v>
      </c>
      <c r="D28">
        <f>RTD("tos.rtd", , "LAST", Main_L[[#This Row],[Symbol]])</f>
        <v>379.19</v>
      </c>
      <c r="E28">
        <v>19.55</v>
      </c>
      <c r="F28">
        <v>61.03</v>
      </c>
      <c r="G28">
        <v>18.64</v>
      </c>
      <c r="H28" s="1">
        <f>IF(ISNUMBER(Main_L[[#This Row],[Free CF]]),IF(Main_L[[#This Row],[Free CF]]&lt;&gt;0,Main_L[[#This Row],[Current Price]]/Main_L[[#This Row],[Free CF]],""),"")</f>
        <v>19.395907928388745</v>
      </c>
      <c r="I28" s="1">
        <f>IF(ISNUMBER(Main_L[[#This Row],[BVPS]]),IF(Main_L[[#This Row],[BVPS]]&lt;&gt;0,Main_L[[#This Row],[Current Price]]/Main_L[[#This Row],[BVPS]],""),"")</f>
        <v>6.2131738489267576</v>
      </c>
      <c r="J28">
        <v>31.46</v>
      </c>
      <c r="K28">
        <v>10.96</v>
      </c>
      <c r="L28">
        <v>2.34</v>
      </c>
      <c r="M28" s="1">
        <f>IF(ISNUMBER(Main_L[[#This Row],[EPS]]),IF(Main_L[[#This Row],[EPS]]&lt;&gt;0,Main_L[[#This Row],[Current Price]]/Main_L[[#This Row],[EPS]],""),"")</f>
        <v>20.342811158798284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8" s="1">
        <f>(Main_L[[#This Row],[P/FCF]]-VLOOKUP(Main_L[[#This Row],[Industry]], Mean_PFCF_L, 2, FALSE))/(VLOOKUP(Main_L[[#This Row],[Industry]], Mean_PFCF_L, 3, FALSE))</f>
        <v>-0.2617906025733886</v>
      </c>
      <c r="P28" s="1">
        <f>(Main_L[[#This Row],[P/B]]-VLOOKUP(Main_L[[#This Row],[Industry]], Mean_PB_L, 2, FALSE))/(VLOOKUP(Main_L[[#This Row],[Industry]], Mean_PB_L, 3, FALSE))</f>
        <v>-7.8043197399202985E-2</v>
      </c>
      <c r="Q28" s="1">
        <f>(Main_L[[#This Row],[ROE]]-VLOOKUP(Main_L[[#This Row],[Industry]], Mean_ROE_L, 2, FALSE))/(VLOOKUP(Main_L[[#This Row],[Industry]], Mean_ROE_L, 3, FALSE))</f>
        <v>0.41409241161452315</v>
      </c>
      <c r="R28" s="1">
        <f>(Main_L[[#This Row],[ROA]]-VLOOKUP(Main_L[[#This Row],[Industry]], Mean_ROA_L, 2, FALSE))/(VLOOKUP(Main_L[[#This Row],[Industry]], Mean_ROA_L, 3, FALSE))</f>
        <v>-0.11402987111641402</v>
      </c>
      <c r="S28" s="1">
        <f>(Main_L[[#This Row],[A/E]]-VLOOKUP(Main_L[[#This Row],[Industry]], Mean_AE_L, 2, FALSE))/(VLOOKUP(Main_L[[#This Row],[Industry]], Mean_AE_L, 3, FALSE))</f>
        <v>-0.21255333965054629</v>
      </c>
      <c r="T28" s="1">
        <f>(Main_L[[#This Row],[P/E]]-VLOOKUP(Main_L[[#This Row],[Industry]], Mean_PE_L, 2, FALSE))/(VLOOKUP(Main_L[[#This Row],[Industry]], Mean_PE_L, 3, FALSE))</f>
        <v>-0.55861313913166455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122</v>
      </c>
      <c r="B29" t="s">
        <v>129</v>
      </c>
      <c r="C29" s="2">
        <v>55849</v>
      </c>
      <c r="D29">
        <f>RTD("tos.rtd", , "LAST", Main_L[[#This Row],[Symbol]])</f>
        <v>103.54</v>
      </c>
      <c r="E29">
        <v>2.38</v>
      </c>
      <c r="F29">
        <v>24.29</v>
      </c>
      <c r="G29">
        <v>2.08</v>
      </c>
      <c r="H29" s="1">
        <f>IF(ISNUMBER(Main_L[[#This Row],[Free CF]]),IF(Main_L[[#This Row],[Free CF]]&lt;&gt;0,Main_L[[#This Row],[Current Price]]/Main_L[[#This Row],[Free CF]],""),"")</f>
        <v>43.504201680672274</v>
      </c>
      <c r="I29" s="1">
        <f>IF(ISNUMBER(Main_L[[#This Row],[BVPS]]),IF(Main_L[[#This Row],[BVPS]]&lt;&gt;0,Main_L[[#This Row],[Current Price]]/Main_L[[#This Row],[BVPS]],""),"")</f>
        <v>4.2626595306710584</v>
      </c>
      <c r="J29">
        <v>8.0500000000000007</v>
      </c>
      <c r="K29">
        <v>3.62</v>
      </c>
      <c r="L29">
        <v>2.65</v>
      </c>
      <c r="M29" s="1">
        <f>IF(ISNUMBER(Main_L[[#This Row],[EPS]]),IF(Main_L[[#This Row],[EPS]]&lt;&gt;0,Main_L[[#This Row],[Current Price]]/Main_L[[#This Row],[EPS]],""),"")</f>
        <v>49.778846153846153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2.2068801067810551</v>
      </c>
      <c r="P29" s="1">
        <f>(Main_L[[#This Row],[P/B]]-VLOOKUP(Main_L[[#This Row],[Industry]], Mean_PB_L, 2, FALSE))/(VLOOKUP(Main_L[[#This Row],[Industry]], Mean_PB_L, 3, FALSE))</f>
        <v>-0.69805108914521841</v>
      </c>
      <c r="Q29" s="1">
        <f>(Main_L[[#This Row],[ROE]]-VLOOKUP(Main_L[[#This Row],[Industry]], Mean_ROE_L, 2, FALSE))/(VLOOKUP(Main_L[[#This Row],[Industry]], Mean_ROE_L, 3, FALSE))</f>
        <v>-1.8577387006179558</v>
      </c>
      <c r="R29" s="1">
        <f>(Main_L[[#This Row],[ROA]]-VLOOKUP(Main_L[[#This Row],[Industry]], Mean_ROA_L, 2, FALSE))/(VLOOKUP(Main_L[[#This Row],[Industry]], Mean_ROA_L, 3, FALSE))</f>
        <v>-1.7632500760316485</v>
      </c>
      <c r="S29" s="1">
        <f>(Main_L[[#This Row],[A/E]]-VLOOKUP(Main_L[[#This Row],[Industry]], Mean_AE_L, 2, FALSE))/(VLOOKUP(Main_L[[#This Row],[Industry]], Mean_AE_L, 3, FALSE))</f>
        <v>0.36041653245092758</v>
      </c>
      <c r="T29" s="1">
        <f>(Main_L[[#This Row],[P/E]]-VLOOKUP(Main_L[[#This Row],[Industry]], Mean_PE_L, 2, FALSE))/(VLOOKUP(Main_L[[#This Row],[Industry]], Mean_PE_L, 3, FALSE))</f>
        <v>1.7973667113049281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122</v>
      </c>
      <c r="B30" t="s">
        <v>130</v>
      </c>
      <c r="C30" s="2">
        <v>23551</v>
      </c>
      <c r="D30">
        <f>RTD("tos.rtd", , "LAST", Main_L[[#This Row],[Symbol]])</f>
        <v>556.09</v>
      </c>
      <c r="E30">
        <v>19.420000000000002</v>
      </c>
      <c r="F30">
        <v>21.16</v>
      </c>
      <c r="G30">
        <v>21.04</v>
      </c>
      <c r="H30" s="1">
        <f>IF(ISNUMBER(Main_L[[#This Row],[Free CF]]),IF(Main_L[[#This Row],[Free CF]]&lt;&gt;0,Main_L[[#This Row],[Current Price]]/Main_L[[#This Row],[Free CF]],""),"")</f>
        <v>28.634912461380019</v>
      </c>
      <c r="I30" s="1">
        <f>IF(ISNUMBER(Main_L[[#This Row],[BVPS]]),IF(Main_L[[#This Row],[BVPS]]&lt;&gt;0,Main_L[[#This Row],[Current Price]]/Main_L[[#This Row],[BVPS]],""),"")</f>
        <v>26.280245746691872</v>
      </c>
      <c r="J30">
        <v>165.01</v>
      </c>
      <c r="K30">
        <v>19.37</v>
      </c>
      <c r="L30">
        <v>4.3899999999999997</v>
      </c>
      <c r="M30" s="1">
        <f>IF(ISNUMBER(Main_L[[#This Row],[EPS]]),IF(Main_L[[#This Row],[EPS]]&lt;&gt;0,Main_L[[#This Row],[Current Price]]/Main_L[[#This Row],[EPS]],""),"")</f>
        <v>26.430133079847913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0.68427634469981347</v>
      </c>
      <c r="P30" s="1">
        <f>(Main_L[[#This Row],[P/B]]-VLOOKUP(Main_L[[#This Row],[Industry]], Mean_PB_L, 2, FALSE))/(VLOOKUP(Main_L[[#This Row],[Industry]], Mean_PB_L, 3, FALSE))</f>
        <v>6.3006553973260235</v>
      </c>
      <c r="Q30" s="1">
        <f>(Main_L[[#This Row],[ROE]]-VLOOKUP(Main_L[[#This Row],[Industry]], Mean_ROE_L, 2, FALSE))/(VLOOKUP(Main_L[[#This Row],[Industry]], Mean_ROE_L, 3, FALSE))</f>
        <v>13.374495873325223</v>
      </c>
      <c r="R30" s="1">
        <f>(Main_L[[#This Row],[ROA]]-VLOOKUP(Main_L[[#This Row],[Industry]], Mean_ROA_L, 2, FALSE))/(VLOOKUP(Main_L[[#This Row],[Industry]], Mean_ROA_L, 3, FALSE))</f>
        <v>1.7756079930984525</v>
      </c>
      <c r="S30" s="1">
        <f>(Main_L[[#This Row],[A/E]]-VLOOKUP(Main_L[[#This Row],[Industry]], Mean_AE_L, 2, FALSE))/(VLOOKUP(Main_L[[#This Row],[Industry]], Mean_AE_L, 3, FALSE))</f>
        <v>3.5764409758591995</v>
      </c>
      <c r="T30" s="1">
        <f>(Main_L[[#This Row],[P/E]]-VLOOKUP(Main_L[[#This Row],[Industry]], Mean_PE_L, 2, FALSE))/(VLOOKUP(Main_L[[#This Row],[Industry]], Mean_PE_L, 3, FALSE))</f>
        <v>-7.1400517203247957E-2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122</v>
      </c>
      <c r="B31" t="s">
        <v>131</v>
      </c>
      <c r="C31" s="2">
        <v>17478</v>
      </c>
      <c r="D31">
        <f>RTD("tos.rtd", , "LAST", Main_L[[#This Row],[Symbol]])</f>
        <v>63.72</v>
      </c>
      <c r="E31">
        <v>4.4400000000000004</v>
      </c>
      <c r="F31">
        <v>-0.41</v>
      </c>
      <c r="G31">
        <v>3.76</v>
      </c>
      <c r="H31" s="1">
        <f>IF(ISNUMBER(Main_L[[#This Row],[Free CF]]),IF(Main_L[[#This Row],[Free CF]]&lt;&gt;0,Main_L[[#This Row],[Current Price]]/Main_L[[#This Row],[Free CF]],""),"")</f>
        <v>14.351351351351349</v>
      </c>
      <c r="I31" s="1">
        <f>IF(ISNUMBER(Main_L[[#This Row],[BVPS]]),IF(Main_L[[#This Row],[BVPS]]&lt;&gt;0,Main_L[[#This Row],[Current Price]]/Main_L[[#This Row],[BVPS]],""),"")</f>
        <v>-155.41463414634146</v>
      </c>
      <c r="J31">
        <v>570.87</v>
      </c>
      <c r="K31">
        <v>15.69</v>
      </c>
      <c r="L31">
        <v>-60.18</v>
      </c>
      <c r="M31" s="1">
        <f>IF(ISNUMBER(Main_L[[#This Row],[EPS]]),IF(Main_L[[#This Row],[EPS]]&lt;&gt;0,Main_L[[#This Row],[Current Price]]/Main_L[[#This Row],[EPS]],""),"")</f>
        <v>16.946808510638299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-0.77834931018553366</v>
      </c>
      <c r="P31" s="1">
        <f>(Main_L[[#This Row],[P/B]]-VLOOKUP(Main_L[[#This Row],[Industry]], Mean_PB_L, 2, FALSE))/(VLOOKUP(Main_L[[#This Row],[Industry]], Mean_PB_L, 3, FALSE))</f>
        <v>-51.454500957674455</v>
      </c>
      <c r="Q31" s="1">
        <f>(Main_L[[#This Row],[ROE]]-VLOOKUP(Main_L[[#This Row],[Industry]], Mean_ROE_L, 2, FALSE))/(VLOOKUP(Main_L[[#This Row],[Industry]], Mean_ROE_L, 3, FALSE))</f>
        <v>52.761312413721377</v>
      </c>
      <c r="R31" s="1">
        <f>(Main_L[[#This Row],[ROA]]-VLOOKUP(Main_L[[#This Row],[Industry]], Mean_ROA_L, 2, FALSE))/(VLOOKUP(Main_L[[#This Row],[Industry]], Mean_ROA_L, 3, FALSE))</f>
        <v>0.948750996628689</v>
      </c>
      <c r="S31" s="1">
        <f>(Main_L[[#This Row],[A/E]]-VLOOKUP(Main_L[[#This Row],[Industry]], Mean_AE_L, 2, FALSE))/(VLOOKUP(Main_L[[#This Row],[Industry]], Mean_AE_L, 3, FALSE))</f>
        <v>-115.76763851314777</v>
      </c>
      <c r="T31" s="1">
        <f>(Main_L[[#This Row],[P/E]]-VLOOKUP(Main_L[[#This Row],[Industry]], Mean_PE_L, 2, FALSE))/(VLOOKUP(Main_L[[#This Row],[Industry]], Mean_PE_L, 3, FALSE))</f>
        <v>-0.83041991652000013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122</v>
      </c>
      <c r="B32" t="s">
        <v>132</v>
      </c>
      <c r="C32" s="2">
        <v>17321</v>
      </c>
      <c r="D32">
        <f>RTD("tos.rtd", , "LAST", Main_L[[#This Row],[Symbol]])</f>
        <v>137.12</v>
      </c>
      <c r="E32">
        <v>15.17</v>
      </c>
      <c r="F32">
        <v>65.540000000000006</v>
      </c>
      <c r="G32">
        <v>11.72</v>
      </c>
      <c r="H32" s="1">
        <f>IF(ISNUMBER(Main_L[[#This Row],[Free CF]]),IF(Main_L[[#This Row],[Free CF]]&lt;&gt;0,Main_L[[#This Row],[Current Price]]/Main_L[[#This Row],[Free CF]],""),"")</f>
        <v>9.0388925510876739</v>
      </c>
      <c r="I32" s="1">
        <f>IF(ISNUMBER(Main_L[[#This Row],[BVPS]]),IF(Main_L[[#This Row],[BVPS]]&lt;&gt;0,Main_L[[#This Row],[Current Price]]/Main_L[[#This Row],[BVPS]],""),"")</f>
        <v>2.0921574610924627</v>
      </c>
      <c r="J32">
        <v>19.13</v>
      </c>
      <c r="K32">
        <v>8.67</v>
      </c>
      <c r="L32">
        <v>2.68</v>
      </c>
      <c r="M32" s="1">
        <f>IF(ISNUMBER(Main_L[[#This Row],[EPS]]),IF(Main_L[[#This Row],[EPS]]&lt;&gt;0,Main_L[[#This Row],[Current Price]]/Main_L[[#This Row],[EPS]],""),"")</f>
        <v>11.699658703071671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-1.3223409990880701</v>
      </c>
      <c r="P32" s="1">
        <f>(Main_L[[#This Row],[P/B]]-VLOOKUP(Main_L[[#This Row],[Industry]], Mean_PB_L, 2, FALSE))/(VLOOKUP(Main_L[[#This Row],[Industry]], Mean_PB_L, 3, FALSE))</f>
        <v>-1.3879862511660965</v>
      </c>
      <c r="Q32" s="1">
        <f>(Main_L[[#This Row],[ROE]]-VLOOKUP(Main_L[[#This Row],[Industry]], Mean_ROE_L, 2, FALSE))/(VLOOKUP(Main_L[[#This Row],[Industry]], Mean_ROE_L, 3, FALSE))</f>
        <v>-0.7824764740679403</v>
      </c>
      <c r="R32" s="1">
        <f>(Main_L[[#This Row],[ROA]]-VLOOKUP(Main_L[[#This Row],[Industry]], Mean_ROA_L, 2, FALSE))/(VLOOKUP(Main_L[[#This Row],[Industry]], Mean_ROA_L, 3, FALSE))</f>
        <v>-0.62856859989787017</v>
      </c>
      <c r="S32" s="1">
        <f>(Main_L[[#This Row],[A/E]]-VLOOKUP(Main_L[[#This Row],[Industry]], Mean_AE_L, 2, FALSE))/(VLOOKUP(Main_L[[#This Row],[Industry]], Mean_AE_L, 3, FALSE))</f>
        <v>0.41586522975107065</v>
      </c>
      <c r="T32" s="1">
        <f>(Main_L[[#This Row],[P/E]]-VLOOKUP(Main_L[[#This Row],[Industry]], Mean_PE_L, 2, FALSE))/(VLOOKUP(Main_L[[#This Row],[Industry]], Mean_PE_L, 3, FALSE))</f>
        <v>-1.2503874570168421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122</v>
      </c>
      <c r="B33" t="s">
        <v>133</v>
      </c>
      <c r="C33" s="2">
        <v>92750</v>
      </c>
      <c r="D33">
        <f>RTD("tos.rtd", , "LAST", Main_L[[#This Row],[Symbol]])</f>
        <v>427.77</v>
      </c>
      <c r="E33">
        <v>12.57</v>
      </c>
      <c r="F33">
        <v>33.71</v>
      </c>
      <c r="G33">
        <v>10.91</v>
      </c>
      <c r="H33" s="1">
        <f>IF(ISNUMBER(Main_L[[#This Row],[Free CF]]),IF(Main_L[[#This Row],[Free CF]]&lt;&gt;0,Main_L[[#This Row],[Current Price]]/Main_L[[#This Row],[Free CF]],""),"")</f>
        <v>34.031026252983288</v>
      </c>
      <c r="I33" s="1">
        <f>IF(ISNUMBER(Main_L[[#This Row],[BVPS]]),IF(Main_L[[#This Row],[BVPS]]&lt;&gt;0,Main_L[[#This Row],[Current Price]]/Main_L[[#This Row],[BVPS]],""),"")</f>
        <v>12.689706318599821</v>
      </c>
      <c r="J33">
        <v>35.15</v>
      </c>
      <c r="K33">
        <v>10.54</v>
      </c>
      <c r="L33">
        <v>2.75</v>
      </c>
      <c r="M33" s="1">
        <f>IF(ISNUMBER(Main_L[[#This Row],[EPS]]),IF(Main_L[[#This Row],[EPS]]&lt;&gt;0,Main_L[[#This Row],[Current Price]]/Main_L[[#This Row],[EPS]],""),"")</f>
        <v>39.2089825847846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1.23683424027518</v>
      </c>
      <c r="P33" s="1">
        <f>(Main_L[[#This Row],[P/B]]-VLOOKUP(Main_L[[#This Row],[Industry]], Mean_PB_L, 2, FALSE))/(VLOOKUP(Main_L[[#This Row],[Industry]], Mean_PB_L, 3, FALSE))</f>
        <v>1.9806452237847967</v>
      </c>
      <c r="Q33" s="1">
        <f>(Main_L[[#This Row],[ROE]]-VLOOKUP(Main_L[[#This Row],[Industry]], Mean_ROE_L, 2, FALSE))/(VLOOKUP(Main_L[[#This Row],[Industry]], Mean_ROE_L, 3, FALSE))</f>
        <v>0.7721896693735083</v>
      </c>
      <c r="R33" s="1">
        <f>(Main_L[[#This Row],[ROA]]-VLOOKUP(Main_L[[#This Row],[Industry]], Mean_ROA_L, 2, FALSE))/(VLOOKUP(Main_L[[#This Row],[Industry]], Mean_ROA_L, 3, FALSE))</f>
        <v>-0.20839941962655043</v>
      </c>
      <c r="S33" s="1">
        <f>(Main_L[[#This Row],[A/E]]-VLOOKUP(Main_L[[#This Row],[Industry]], Mean_AE_L, 2, FALSE))/(VLOOKUP(Main_L[[#This Row],[Industry]], Mean_AE_L, 3, FALSE))</f>
        <v>0.5452455234514032</v>
      </c>
      <c r="T33" s="1">
        <f>(Main_L[[#This Row],[P/E]]-VLOOKUP(Main_L[[#This Row],[Industry]], Mean_PE_L, 2, FALSE))/(VLOOKUP(Main_L[[#This Row],[Industry]], Mean_PE_L, 3, FALSE))</f>
        <v>0.95138369780592102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122</v>
      </c>
      <c r="B34" t="s">
        <v>134</v>
      </c>
      <c r="C34" s="2">
        <v>10070</v>
      </c>
      <c r="D34">
        <f>RTD("tos.rtd", , "LAST", Main_L[[#This Row],[Symbol]])</f>
        <v>116.75</v>
      </c>
      <c r="E34">
        <v>6.83</v>
      </c>
      <c r="F34">
        <v>16.27</v>
      </c>
      <c r="G34">
        <v>6.28</v>
      </c>
      <c r="H34" s="1">
        <f>IF(ISNUMBER(Main_L[[#This Row],[Free CF]]),IF(Main_L[[#This Row],[Free CF]]&lt;&gt;0,Main_L[[#This Row],[Current Price]]/Main_L[[#This Row],[Free CF]],""),"")</f>
        <v>17.093704245973644</v>
      </c>
      <c r="I34" s="1">
        <f>IF(ISNUMBER(Main_L[[#This Row],[BVPS]]),IF(Main_L[[#This Row],[BVPS]]&lt;&gt;0,Main_L[[#This Row],[Current Price]]/Main_L[[#This Row],[BVPS]],""),"")</f>
        <v>7.1757836508912112</v>
      </c>
      <c r="J34">
        <v>40.6</v>
      </c>
      <c r="K34">
        <v>13.26</v>
      </c>
      <c r="L34">
        <v>2.83</v>
      </c>
      <c r="M34" s="1">
        <f>IF(ISNUMBER(Main_L[[#This Row],[EPS]]),IF(Main_L[[#This Row],[EPS]]&lt;&gt;0,Main_L[[#This Row],[Current Price]]/Main_L[[#This Row],[EPS]],""),"")</f>
        <v>18.590764331210192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-0.49753448624030183</v>
      </c>
      <c r="P34" s="1">
        <f>(Main_L[[#This Row],[P/B]]-VLOOKUP(Main_L[[#This Row],[Industry]], Mean_PB_L, 2, FALSE))/(VLOOKUP(Main_L[[#This Row],[Industry]], Mean_PB_L, 3, FALSE))</f>
        <v>0.22794054663388771</v>
      </c>
      <c r="Q34" s="1">
        <f>(Main_L[[#This Row],[ROE]]-VLOOKUP(Main_L[[#This Row],[Industry]], Mean_ROE_L, 2, FALSE))/(VLOOKUP(Main_L[[#This Row],[Industry]], Mean_ROE_L, 3, FALSE))</f>
        <v>1.3010867031909801</v>
      </c>
      <c r="R34" s="1">
        <f>(Main_L[[#This Row],[ROA]]-VLOOKUP(Main_L[[#This Row],[Industry]], Mean_ROA_L, 2, FALSE))/(VLOOKUP(Main_L[[#This Row],[Industry]], Mean_ROA_L, 3, FALSE))</f>
        <v>0.4027557516771878</v>
      </c>
      <c r="S34" s="1">
        <f>(Main_L[[#This Row],[A/E]]-VLOOKUP(Main_L[[#This Row],[Industry]], Mean_AE_L, 2, FALSE))/(VLOOKUP(Main_L[[#This Row],[Industry]], Mean_AE_L, 3, FALSE))</f>
        <v>0.69310871625178361</v>
      </c>
      <c r="T34" s="1">
        <f>(Main_L[[#This Row],[P/E]]-VLOOKUP(Main_L[[#This Row],[Industry]], Mean_PE_L, 2, FALSE))/(VLOOKUP(Main_L[[#This Row],[Industry]], Mean_PE_L, 3, FALSE))</f>
        <v>-0.69884218232696349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192</v>
      </c>
      <c r="B35" t="s">
        <v>193</v>
      </c>
      <c r="C35" s="2">
        <v>13367</v>
      </c>
      <c r="D35">
        <f>RTD("tos.rtd", , "LAST", Main_L[[#This Row],[Symbol]])</f>
        <v>225.32</v>
      </c>
      <c r="E35">
        <v>4.9800000000000004</v>
      </c>
      <c r="F35">
        <v>46.91</v>
      </c>
      <c r="G35">
        <v>7.68</v>
      </c>
      <c r="H35" s="1">
        <f>IF(ISNUMBER(Main_L[[#This Row],[Free CF]]),IF(Main_L[[#This Row],[Free CF]]&lt;&gt;0,Main_L[[#This Row],[Current Price]]/Main_L[[#This Row],[Free CF]],""),"")</f>
        <v>45.244979919678713</v>
      </c>
      <c r="I35" s="1">
        <f>IF(ISNUMBER(Main_L[[#This Row],[BVPS]]),IF(Main_L[[#This Row],[BVPS]]&lt;&gt;0,Main_L[[#This Row],[Current Price]]/Main_L[[#This Row],[BVPS]],""),"")</f>
        <v>4.8032402472820293</v>
      </c>
      <c r="J35">
        <v>17.68</v>
      </c>
      <c r="K35">
        <v>6.28</v>
      </c>
      <c r="L35">
        <v>2.89</v>
      </c>
      <c r="M35" s="1">
        <f>IF(ISNUMBER(Main_L[[#This Row],[EPS]]),IF(Main_L[[#This Row],[EPS]]&lt;&gt;0,Main_L[[#This Row],[Current Price]]/Main_L[[#This Row],[EPS]],""),"")</f>
        <v>29.338541666666668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0.34229574594217105</v>
      </c>
      <c r="P35" s="1">
        <f>(Main_L[[#This Row],[P/B]]-VLOOKUP(Main_L[[#This Row],[Industry]], Mean_PB_L, 2, FALSE))/(VLOOKUP(Main_L[[#This Row],[Industry]], Mean_PB_L, 3, FALSE))</f>
        <v>-0.76980450269179534</v>
      </c>
      <c r="Q35" s="1">
        <f>(Main_L[[#This Row],[ROE]]-VLOOKUP(Main_L[[#This Row],[Industry]], Mean_ROE_L, 2, FALSE))/(VLOOKUP(Main_L[[#This Row],[Industry]], Mean_ROE_L, 3, FALSE))</f>
        <v>-0.262791531607666</v>
      </c>
      <c r="R35" s="1">
        <f>(Main_L[[#This Row],[ROA]]-VLOOKUP(Main_L[[#This Row],[Industry]], Mean_ROA_L, 2, FALSE))/(VLOOKUP(Main_L[[#This Row],[Industry]], Mean_ROA_L, 3, FALSE))</f>
        <v>-0.43254818338806605</v>
      </c>
      <c r="S35" s="1">
        <f>(Main_L[[#This Row],[A/E]]-VLOOKUP(Main_L[[#This Row],[Industry]], Mean_AE_L, 2, FALSE))/(VLOOKUP(Main_L[[#This Row],[Industry]], Mean_AE_L, 3, FALSE))</f>
        <v>0.83278386588316533</v>
      </c>
      <c r="T35" s="1">
        <f>(Main_L[[#This Row],[P/E]]-VLOOKUP(Main_L[[#This Row],[Industry]], Mean_PE_L, 2, FALSE))/(VLOOKUP(Main_L[[#This Row],[Industry]], Mean_PE_L, 3, FALSE))</f>
        <v>-1.1872099860759804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192</v>
      </c>
      <c r="B36" t="s">
        <v>194</v>
      </c>
      <c r="C36" s="2">
        <v>18107</v>
      </c>
      <c r="D36">
        <f>RTD("tos.rtd", , "LAST", Main_L[[#This Row],[Symbol]])</f>
        <v>50.7</v>
      </c>
      <c r="E36">
        <v>0.56000000000000005</v>
      </c>
      <c r="F36">
        <v>12.74</v>
      </c>
      <c r="G36">
        <v>-1.22</v>
      </c>
      <c r="H36" s="1">
        <f>IF(ISNUMBER(Main_L[[#This Row],[Free CF]]),IF(Main_L[[#This Row],[Free CF]]&lt;&gt;0,Main_L[[#This Row],[Current Price]]/Main_L[[#This Row],[Free CF]],""),"")</f>
        <v>90.535714285714278</v>
      </c>
      <c r="I36" s="1">
        <f>IF(ISNUMBER(Main_L[[#This Row],[BVPS]]),IF(Main_L[[#This Row],[BVPS]]&lt;&gt;0,Main_L[[#This Row],[Current Price]]/Main_L[[#This Row],[BVPS]],""),"")</f>
        <v>3.9795918367346941</v>
      </c>
      <c r="J36">
        <v>-8.27</v>
      </c>
      <c r="K36">
        <v>1.28</v>
      </c>
      <c r="L36">
        <v>2.97</v>
      </c>
      <c r="M36" s="1">
        <f>IF(ISNUMBER(Main_L[[#This Row],[EPS]]),IF(Main_L[[#This Row],[EPS]]&lt;&gt;0,Main_L[[#This Row],[Current Price]]/Main_L[[#This Row],[EPS]],""),"")</f>
        <v>-41.557377049180332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4.4720702660614107</v>
      </c>
      <c r="P36" s="1">
        <f>(Main_L[[#This Row],[P/B]]-VLOOKUP(Main_L[[#This Row],[Industry]], Mean_PB_L, 2, FALSE))/(VLOOKUP(Main_L[[#This Row],[Industry]], Mean_PB_L, 3, FALSE))</f>
        <v>-0.94305163671611303</v>
      </c>
      <c r="Q36" s="1">
        <f>(Main_L[[#This Row],[ROE]]-VLOOKUP(Main_L[[#This Row],[Industry]], Mean_ROE_L, 2, FALSE))/(VLOOKUP(Main_L[[#This Row],[Industry]], Mean_ROE_L, 3, FALSE))</f>
        <v>-1.8422797181088668</v>
      </c>
      <c r="R36" s="1">
        <f>(Main_L[[#This Row],[ROA]]-VLOOKUP(Main_L[[#This Row],[Industry]], Mean_ROA_L, 2, FALSE))/(VLOOKUP(Main_L[[#This Row],[Industry]], Mean_ROA_L, 3, FALSE))</f>
        <v>-1.5788772913069684</v>
      </c>
      <c r="S36" s="1">
        <f>(Main_L[[#This Row],[A/E]]-VLOOKUP(Main_L[[#This Row],[Industry]], Mean_AE_L, 2, FALSE))/(VLOOKUP(Main_L[[#This Row],[Industry]], Mean_AE_L, 3, FALSE))</f>
        <v>1.0633122716639725</v>
      </c>
      <c r="T36" s="1">
        <f>(Main_L[[#This Row],[P/E]]-VLOOKUP(Main_L[[#This Row],[Industry]], Mean_PE_L, 2, FALSE))/(VLOOKUP(Main_L[[#This Row],[Industry]], Mean_PE_L, 3, FALSE))</f>
        <v>-7.6465476267910066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7" spans="1:26" x14ac:dyDescent="0.25">
      <c r="A37" t="s">
        <v>192</v>
      </c>
      <c r="B37" t="s">
        <v>195</v>
      </c>
      <c r="C37" s="2">
        <v>23934</v>
      </c>
      <c r="D37">
        <f>RTD("tos.rtd", , "LAST", Main_L[[#This Row],[Symbol]])</f>
        <v>57.06</v>
      </c>
      <c r="E37">
        <v>1.1100000000000001</v>
      </c>
      <c r="F37">
        <v>2.72</v>
      </c>
      <c r="G37">
        <v>0.97</v>
      </c>
      <c r="H37" s="1">
        <f>IF(ISNUMBER(Main_L[[#This Row],[Free CF]]),IF(Main_L[[#This Row],[Free CF]]&lt;&gt;0,Main_L[[#This Row],[Current Price]]/Main_L[[#This Row],[Free CF]],""),"")</f>
        <v>51.405405405405403</v>
      </c>
      <c r="I37" s="1">
        <f>IF(ISNUMBER(Main_L[[#This Row],[BVPS]]),IF(Main_L[[#This Row],[BVPS]]&lt;&gt;0,Main_L[[#This Row],[Current Price]]/Main_L[[#This Row],[BVPS]],""),"")</f>
        <v>20.977941176470587</v>
      </c>
      <c r="J37">
        <v>38.79</v>
      </c>
      <c r="K37">
        <v>14.86</v>
      </c>
      <c r="L37">
        <v>2.14</v>
      </c>
      <c r="M37" s="1">
        <f>IF(ISNUMBER(Main_L[[#This Row],[EPS]]),IF(Main_L[[#This Row],[EPS]]&lt;&gt;0,Main_L[[#This Row],[Current Price]]/Main_L[[#This Row],[EPS]],""),"")</f>
        <v>58.824742268041241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0.904025834009061</v>
      </c>
      <c r="P37" s="1">
        <f>(Main_L[[#This Row],[P/B]]-VLOOKUP(Main_L[[#This Row],[Industry]], Mean_PB_L, 2, FALSE))/(VLOOKUP(Main_L[[#This Row],[Industry]], Mean_PB_L, 3, FALSE))</f>
        <v>2.6324003019289539</v>
      </c>
      <c r="Q37" s="1">
        <f>(Main_L[[#This Row],[ROE]]-VLOOKUP(Main_L[[#This Row],[Industry]], Mean_ROE_L, 2, FALSE))/(VLOOKUP(Main_L[[#This Row],[Industry]], Mean_ROE_L, 3, FALSE))</f>
        <v>1.0221023264671065</v>
      </c>
      <c r="R37" s="1">
        <f>(Main_L[[#This Row],[ROA]]-VLOOKUP(Main_L[[#This Row],[Industry]], Mean_ROA_L, 2, FALSE))/(VLOOKUP(Main_L[[#This Row],[Industry]], Mean_ROA_L, 3, FALSE))</f>
        <v>1.5345525658007702</v>
      </c>
      <c r="S37" s="1">
        <f>(Main_L[[#This Row],[A/E]]-VLOOKUP(Main_L[[#This Row],[Industry]], Mean_AE_L, 2, FALSE))/(VLOOKUP(Main_L[[#This Row],[Industry]], Mean_AE_L, 3, FALSE))</f>
        <v>-1.3284199383118993</v>
      </c>
      <c r="T37" s="1">
        <f>(Main_L[[#This Row],[P/E]]-VLOOKUP(Main_L[[#This Row],[Industry]], Mean_PE_L, 2, FALSE))/(VLOOKUP(Main_L[[#This Row],[Industry]], Mean_PE_L, 3, FALSE))</f>
        <v>1.4992821121434901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192</v>
      </c>
      <c r="B38" t="s">
        <v>196</v>
      </c>
      <c r="C38" s="2">
        <v>67854</v>
      </c>
      <c r="D38">
        <f>RTD("tos.rtd", , "LAST", Main_L[[#This Row],[Symbol]])</f>
        <v>249.4</v>
      </c>
      <c r="E38">
        <v>6.06</v>
      </c>
      <c r="F38">
        <v>35.840000000000003</v>
      </c>
      <c r="G38">
        <v>6.26</v>
      </c>
      <c r="H38" s="1">
        <f>IF(ISNUMBER(Main_L[[#This Row],[Free CF]]),IF(Main_L[[#This Row],[Free CF]]&lt;&gt;0,Main_L[[#This Row],[Current Price]]/Main_L[[#This Row],[Free CF]],""),"")</f>
        <v>41.155115511551159</v>
      </c>
      <c r="I38" s="1">
        <f>IF(ISNUMBER(Main_L[[#This Row],[BVPS]]),IF(Main_L[[#This Row],[BVPS]]&lt;&gt;0,Main_L[[#This Row],[Current Price]]/Main_L[[#This Row],[BVPS]],""),"")</f>
        <v>6.9587053571428568</v>
      </c>
      <c r="J38">
        <v>18.28</v>
      </c>
      <c r="K38">
        <v>6.33</v>
      </c>
      <c r="L38">
        <v>2.83</v>
      </c>
      <c r="M38" s="1">
        <f>IF(ISNUMBER(Main_L[[#This Row],[EPS]]),IF(Main_L[[#This Row],[EPS]]&lt;&gt;0,Main_L[[#This Row],[Current Price]]/Main_L[[#This Row],[EPS]],""),"")</f>
        <v>39.840255591054316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-3.0633023260874592E-2</v>
      </c>
      <c r="P38" s="1">
        <f>(Main_L[[#This Row],[P/B]]-VLOOKUP(Main_L[[#This Row],[Industry]], Mean_PB_L, 2, FALSE))/(VLOOKUP(Main_L[[#This Row],[Industry]], Mean_PB_L, 3, FALSE))</f>
        <v>-0.31642154463491373</v>
      </c>
      <c r="Q38" s="1">
        <f>(Main_L[[#This Row],[ROE]]-VLOOKUP(Main_L[[#This Row],[Industry]], Mean_ROE_L, 2, FALSE))/(VLOOKUP(Main_L[[#This Row],[Industry]], Mean_ROE_L, 3, FALSE))</f>
        <v>-0.22627157353827398</v>
      </c>
      <c r="R38" s="1">
        <f>(Main_L[[#This Row],[ROA]]-VLOOKUP(Main_L[[#This Row],[Industry]], Mean_ROA_L, 2, FALSE))/(VLOOKUP(Main_L[[#This Row],[Industry]], Mean_ROA_L, 3, FALSE))</f>
        <v>-0.42108489230887708</v>
      </c>
      <c r="S38" s="1">
        <f>(Main_L[[#This Row],[A/E]]-VLOOKUP(Main_L[[#This Row],[Industry]], Mean_AE_L, 2, FALSE))/(VLOOKUP(Main_L[[#This Row],[Industry]], Mean_AE_L, 3, FALSE))</f>
        <v>0.65988756154756001</v>
      </c>
      <c r="T38" s="1">
        <f>(Main_L[[#This Row],[P/E]]-VLOOKUP(Main_L[[#This Row],[Industry]], Mean_PE_L, 2, FALSE))/(VLOOKUP(Main_L[[#This Row],[Industry]], Mean_PE_L, 3, FALSE))</f>
        <v>-0.23039727707224411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192</v>
      </c>
      <c r="B39" t="s">
        <v>197</v>
      </c>
      <c r="C39" s="2">
        <v>13311</v>
      </c>
      <c r="D39">
        <f>RTD("tos.rtd", , "LAST", Main_L[[#This Row],[Symbol]])</f>
        <v>23.8</v>
      </c>
      <c r="E39">
        <v>0.25</v>
      </c>
      <c r="F39">
        <v>2.09</v>
      </c>
      <c r="G39">
        <v>0.2</v>
      </c>
      <c r="H39" s="1">
        <f>IF(ISNUMBER(Main_L[[#This Row],[Free CF]]),IF(Main_L[[#This Row],[Free CF]]&lt;&gt;0,Main_L[[#This Row],[Current Price]]/Main_L[[#This Row],[Free CF]],""),"")</f>
        <v>95.2</v>
      </c>
      <c r="I39" s="1">
        <f>IF(ISNUMBER(Main_L[[#This Row],[BVPS]]),IF(Main_L[[#This Row],[BVPS]]&lt;&gt;0,Main_L[[#This Row],[Current Price]]/Main_L[[#This Row],[BVPS]],""),"")</f>
        <v>11.387559808612441</v>
      </c>
      <c r="J39">
        <v>9.66</v>
      </c>
      <c r="K39">
        <v>4.1100000000000003</v>
      </c>
      <c r="L39">
        <v>2.7</v>
      </c>
      <c r="M39" s="1">
        <f>IF(ISNUMBER(Main_L[[#This Row],[EPS]]),IF(Main_L[[#This Row],[EPS]]&lt;&gt;0,Main_L[[#This Row],[Current Price]]/Main_L[[#This Row],[EPS]],""),"")</f>
        <v>119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4.8973768672248186</v>
      </c>
      <c r="P39" s="1">
        <f>(Main_L[[#This Row],[P/B]]-VLOOKUP(Main_L[[#This Row],[Industry]], Mean_PB_L, 2, FALSE))/(VLOOKUP(Main_L[[#This Row],[Industry]], Mean_PB_L, 3, FALSE))</f>
        <v>0.61514868715618043</v>
      </c>
      <c r="Q39" s="1">
        <f>(Main_L[[#This Row],[ROE]]-VLOOKUP(Main_L[[#This Row],[Industry]], Mean_ROE_L, 2, FALSE))/(VLOOKUP(Main_L[[#This Row],[Industry]], Mean_ROE_L, 3, FALSE))</f>
        <v>-0.7509416378018714</v>
      </c>
      <c r="R39" s="1">
        <f>(Main_L[[#This Row],[ROA]]-VLOOKUP(Main_L[[#This Row],[Industry]], Mean_ROA_L, 2, FALSE))/(VLOOKUP(Main_L[[#This Row],[Industry]], Mean_ROA_L, 3, FALSE))</f>
        <v>-0.93005501622486964</v>
      </c>
      <c r="S39" s="1">
        <f>(Main_L[[#This Row],[A/E]]-VLOOKUP(Main_L[[#This Row],[Industry]], Mean_AE_L, 2, FALSE))/(VLOOKUP(Main_L[[#This Row],[Industry]], Mean_AE_L, 3, FALSE))</f>
        <v>0.28527890215374913</v>
      </c>
      <c r="T39" s="1">
        <f>(Main_L[[#This Row],[P/E]]-VLOOKUP(Main_L[[#This Row],[Industry]], Mean_PE_L, 2, FALSE))/(VLOOKUP(Main_L[[#This Row],[Industry]], Mean_PE_L, 3, FALSE))</f>
        <v>6.9818587448782985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0" spans="1:26" x14ac:dyDescent="0.25">
      <c r="A40" t="s">
        <v>192</v>
      </c>
      <c r="B40" t="s">
        <v>198</v>
      </c>
      <c r="C40" s="2">
        <v>11430</v>
      </c>
      <c r="D40">
        <f>RTD("tos.rtd", , "LAST", Main_L[[#This Row],[Symbol]])</f>
        <v>35.270000000000003</v>
      </c>
      <c r="E40">
        <v>1.27</v>
      </c>
      <c r="F40">
        <v>6.84</v>
      </c>
      <c r="G40">
        <v>1.23</v>
      </c>
      <c r="H40" s="1">
        <f>IF(ISNUMBER(Main_L[[#This Row],[Free CF]]),IF(Main_L[[#This Row],[Free CF]]&lt;&gt;0,Main_L[[#This Row],[Current Price]]/Main_L[[#This Row],[Free CF]],""),"")</f>
        <v>27.771653543307089</v>
      </c>
      <c r="I40" s="1">
        <f>IF(ISNUMBER(Main_L[[#This Row],[BVPS]]),IF(Main_L[[#This Row],[BVPS]]&lt;&gt;0,Main_L[[#This Row],[Current Price]]/Main_L[[#This Row],[BVPS]],""),"")</f>
        <v>5.1564327485380126</v>
      </c>
      <c r="J40">
        <v>20.62</v>
      </c>
      <c r="K40">
        <v>7.99</v>
      </c>
      <c r="L40">
        <v>2.29</v>
      </c>
      <c r="M40" s="1">
        <f>IF(ISNUMBER(Main_L[[#This Row],[EPS]]),IF(Main_L[[#This Row],[EPS]]&lt;&gt;0,Main_L[[#This Row],[Current Price]]/Main_L[[#This Row],[EPS]],""),"")</f>
        <v>28.674796747967484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0" s="1">
        <f>(Main_L[[#This Row],[P/FCF]]-VLOOKUP(Main_L[[#This Row],[Industry]], Mean_PFCF_L, 2, FALSE))/(VLOOKUP(Main_L[[#This Row],[Industry]], Mean_PFCF_L, 3, FALSE))</f>
        <v>-1.2509859497722151</v>
      </c>
      <c r="P40" s="1">
        <f>(Main_L[[#This Row],[P/B]]-VLOOKUP(Main_L[[#This Row],[Industry]], Mean_PB_L, 2, FALSE))/(VLOOKUP(Main_L[[#This Row],[Industry]], Mean_PB_L, 3, FALSE))</f>
        <v>-0.69551359431643967</v>
      </c>
      <c r="Q40" s="1">
        <f>(Main_L[[#This Row],[ROE]]-VLOOKUP(Main_L[[#This Row],[Industry]], Mean_ROE_L, 2, FALSE))/(VLOOKUP(Main_L[[#This Row],[Industry]], Mean_ROE_L, 3, FALSE))</f>
        <v>-8.3843737067645488E-2</v>
      </c>
      <c r="R40" s="1">
        <f>(Main_L[[#This Row],[ROA]]-VLOOKUP(Main_L[[#This Row],[Industry]], Mean_ROA_L, 2, FALSE))/(VLOOKUP(Main_L[[#This Row],[Industry]], Mean_ROA_L, 3, FALSE))</f>
        <v>-4.0503628479801441E-2</v>
      </c>
      <c r="S40" s="1">
        <f>(Main_L[[#This Row],[A/E]]-VLOOKUP(Main_L[[#This Row],[Industry]], Mean_AE_L, 2, FALSE))/(VLOOKUP(Main_L[[#This Row],[Industry]], Mean_AE_L, 3, FALSE))</f>
        <v>-0.89617917747288667</v>
      </c>
      <c r="T40" s="1">
        <f>(Main_L[[#This Row],[P/E]]-VLOOKUP(Main_L[[#This Row],[Industry]], Mean_PE_L, 2, FALSE))/(VLOOKUP(Main_L[[#This Row],[Industry]], Mean_PE_L, 3, FALSE))</f>
        <v>-1.2476838837959721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192</v>
      </c>
      <c r="B41" t="s">
        <v>199</v>
      </c>
      <c r="C41" s="2">
        <v>26346</v>
      </c>
      <c r="D41">
        <f>RTD("tos.rtd", , "LAST", Main_L[[#This Row],[Symbol]])</f>
        <v>99.72</v>
      </c>
      <c r="E41">
        <v>3.23</v>
      </c>
      <c r="F41">
        <v>7.9</v>
      </c>
      <c r="G41">
        <v>3.24</v>
      </c>
      <c r="H41" s="1">
        <f>IF(ISNUMBER(Main_L[[#This Row],[Free CF]]),IF(Main_L[[#This Row],[Free CF]]&lt;&gt;0,Main_L[[#This Row],[Current Price]]/Main_L[[#This Row],[Free CF]],""),"")</f>
        <v>30.873065015479877</v>
      </c>
      <c r="I41" s="1">
        <f>IF(ISNUMBER(Main_L[[#This Row],[BVPS]]),IF(Main_L[[#This Row],[BVPS]]&lt;&gt;0,Main_L[[#This Row],[Current Price]]/Main_L[[#This Row],[BVPS]],""),"")</f>
        <v>12.622784810126582</v>
      </c>
      <c r="J41">
        <v>53.68</v>
      </c>
      <c r="K41">
        <v>12.97</v>
      </c>
      <c r="L41">
        <v>3.21</v>
      </c>
      <c r="M41" s="1">
        <f>IF(ISNUMBER(Main_L[[#This Row],[EPS]]),IF(Main_L[[#This Row],[EPS]]&lt;&gt;0,Main_L[[#This Row],[Current Price]]/Main_L[[#This Row],[EPS]],""),"")</f>
        <v>30.777777777777775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-0.96818792820183064</v>
      </c>
      <c r="P41" s="1">
        <f>(Main_L[[#This Row],[P/B]]-VLOOKUP(Main_L[[#This Row],[Industry]], Mean_PB_L, 2, FALSE))/(VLOOKUP(Main_L[[#This Row],[Industry]], Mean_PB_L, 3, FALSE))</f>
        <v>0.87496730472056172</v>
      </c>
      <c r="Q41" s="1">
        <f>(Main_L[[#This Row],[ROE]]-VLOOKUP(Main_L[[#This Row],[Industry]], Mean_ROE_L, 2, FALSE))/(VLOOKUP(Main_L[[#This Row],[Industry]], Mean_ROE_L, 3, FALSE))</f>
        <v>1.9284059525558497</v>
      </c>
      <c r="R41" s="1">
        <f>(Main_L[[#This Row],[ROA]]-VLOOKUP(Main_L[[#This Row],[Industry]], Mean_ROA_L, 2, FALSE))/(VLOOKUP(Main_L[[#This Row],[Industry]], Mean_ROA_L, 3, FALSE))</f>
        <v>1.1012401630074253</v>
      </c>
      <c r="S41" s="1">
        <f>(Main_L[[#This Row],[A/E]]-VLOOKUP(Main_L[[#This Row],[Industry]], Mean_AE_L, 2, FALSE))/(VLOOKUP(Main_L[[#This Row],[Industry]], Mean_AE_L, 3, FALSE))</f>
        <v>1.7548974890063924</v>
      </c>
      <c r="T41" s="1">
        <f>(Main_L[[#This Row],[P/E]]-VLOOKUP(Main_L[[#This Row],[Industry]], Mean_PE_L, 2, FALSE))/(VLOOKUP(Main_L[[#This Row],[Industry]], Mean_PE_L, 3, FALSE))</f>
        <v>-1.056080971109167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192</v>
      </c>
      <c r="B42" t="s">
        <v>200</v>
      </c>
      <c r="C42" s="2">
        <v>49112</v>
      </c>
      <c r="D42">
        <f>RTD("tos.rtd", , "LAST", Main_L[[#This Row],[Symbol]])</f>
        <v>188.99</v>
      </c>
      <c r="E42">
        <v>4.8</v>
      </c>
      <c r="F42">
        <v>32.020000000000003</v>
      </c>
      <c r="G42">
        <v>3.64</v>
      </c>
      <c r="H42" s="1">
        <f>IF(ISNUMBER(Main_L[[#This Row],[Free CF]]),IF(Main_L[[#This Row],[Free CF]]&lt;&gt;0,Main_L[[#This Row],[Current Price]]/Main_L[[#This Row],[Free CF]],""),"")</f>
        <v>39.372916666666669</v>
      </c>
      <c r="I42" s="1">
        <f>IF(ISNUMBER(Main_L[[#This Row],[BVPS]]),IF(Main_L[[#This Row],[BVPS]]&lt;&gt;0,Main_L[[#This Row],[Current Price]]/Main_L[[#This Row],[BVPS]],""),"")</f>
        <v>5.9022485946283574</v>
      </c>
      <c r="J42">
        <v>11.85</v>
      </c>
      <c r="K42">
        <v>5.07</v>
      </c>
      <c r="L42">
        <v>2.4300000000000002</v>
      </c>
      <c r="M42" s="1">
        <f>IF(ISNUMBER(Main_L[[#This Row],[EPS]]),IF(Main_L[[#This Row],[EPS]]&lt;&gt;0,Main_L[[#This Row],[Current Price]]/Main_L[[#This Row],[EPS]],""),"")</f>
        <v>51.920329670329672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2" s="1">
        <f>(Main_L[[#This Row],[P/FCF]]-VLOOKUP(Main_L[[#This Row],[Industry]], Mean_PFCF_L, 2, FALSE))/(VLOOKUP(Main_L[[#This Row],[Industry]], Mean_PFCF_L, 3, FALSE))</f>
        <v>-0.19314042090884431</v>
      </c>
      <c r="P42" s="1">
        <f>(Main_L[[#This Row],[P/B]]-VLOOKUP(Main_L[[#This Row],[Industry]], Mean_PB_L, 2, FALSE))/(VLOOKUP(Main_L[[#This Row],[Industry]], Mean_PB_L, 3, FALSE))</f>
        <v>-0.53863784953207194</v>
      </c>
      <c r="Q42" s="1">
        <f>(Main_L[[#This Row],[ROE]]-VLOOKUP(Main_L[[#This Row],[Industry]], Mean_ROE_L, 2, FALSE))/(VLOOKUP(Main_L[[#This Row],[Industry]], Mean_ROE_L, 3, FALSE))</f>
        <v>-0.61764379084859089</v>
      </c>
      <c r="R42" s="1">
        <f>(Main_L[[#This Row],[ROA]]-VLOOKUP(Main_L[[#This Row],[Industry]], Mean_ROA_L, 2, FALSE))/(VLOOKUP(Main_L[[#This Row],[Industry]], Mean_ROA_L, 3, FALSE))</f>
        <v>-0.70995982750444042</v>
      </c>
      <c r="S42" s="1">
        <f>(Main_L[[#This Row],[A/E]]-VLOOKUP(Main_L[[#This Row],[Industry]], Mean_AE_L, 2, FALSE))/(VLOOKUP(Main_L[[#This Row],[Industry]], Mean_AE_L, 3, FALSE))</f>
        <v>-0.49275446735647421</v>
      </c>
      <c r="T42" s="1">
        <f>(Main_L[[#This Row],[P/E]]-VLOOKUP(Main_L[[#This Row],[Industry]], Mean_PE_L, 2, FALSE))/(VLOOKUP(Main_L[[#This Row],[Industry]], Mean_PE_L, 3, FALSE))</f>
        <v>0.87022005910521538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192</v>
      </c>
      <c r="B43" t="s">
        <v>201</v>
      </c>
      <c r="C43" s="2">
        <v>89179</v>
      </c>
      <c r="D43">
        <f>RTD("tos.rtd", , "LAST", Main_L[[#This Row],[Symbol]])</f>
        <v>233.99</v>
      </c>
      <c r="E43">
        <v>5.24</v>
      </c>
      <c r="F43">
        <v>19.88</v>
      </c>
      <c r="G43">
        <v>6.55</v>
      </c>
      <c r="H43" s="1">
        <f>IF(ISNUMBER(Main_L[[#This Row],[Free CF]]),IF(Main_L[[#This Row],[Free CF]]&lt;&gt;0,Main_L[[#This Row],[Current Price]]/Main_L[[#This Row],[Free CF]],""),"")</f>
        <v>44.654580152671755</v>
      </c>
      <c r="I43" s="1">
        <f>IF(ISNUMBER(Main_L[[#This Row],[BVPS]]),IF(Main_L[[#This Row],[BVPS]]&lt;&gt;0,Main_L[[#This Row],[Current Price]]/Main_L[[#This Row],[BVPS]],""),"")</f>
        <v>11.770120724346077</v>
      </c>
      <c r="J43">
        <v>35.020000000000003</v>
      </c>
      <c r="K43">
        <v>7.95</v>
      </c>
      <c r="L43">
        <v>4.3499999999999996</v>
      </c>
      <c r="M43" s="1">
        <f>IF(ISNUMBER(Main_L[[#This Row],[EPS]]),IF(Main_L[[#This Row],[EPS]]&lt;&gt;0,Main_L[[#This Row],[Current Price]]/Main_L[[#This Row],[EPS]],""),"")</f>
        <v>35.723664122137407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0.28846093958279045</v>
      </c>
      <c r="P43" s="1">
        <f>(Main_L[[#This Row],[P/B]]-VLOOKUP(Main_L[[#This Row],[Industry]], Mean_PB_L, 2, FALSE))/(VLOOKUP(Main_L[[#This Row],[Industry]], Mean_PB_L, 3, FALSE))</f>
        <v>0.69561698089880775</v>
      </c>
      <c r="Q43" s="1">
        <f>(Main_L[[#This Row],[ROE]]-VLOOKUP(Main_L[[#This Row],[Industry]], Mean_ROE_L, 2, FALSE))/(VLOOKUP(Main_L[[#This Row],[Industry]], Mean_ROE_L, 3, FALSE))</f>
        <v>0.79263525659776091</v>
      </c>
      <c r="R43" s="1">
        <f>(Main_L[[#This Row],[ROA]]-VLOOKUP(Main_L[[#This Row],[Industry]], Mean_ROA_L, 2, FALSE))/(VLOOKUP(Main_L[[#This Row],[Industry]], Mean_ROA_L, 3, FALSE))</f>
        <v>-4.9674261343152663E-2</v>
      </c>
      <c r="S43" s="1">
        <f>(Main_L[[#This Row],[A/E]]-VLOOKUP(Main_L[[#This Row],[Industry]], Mean_AE_L, 2, FALSE))/(VLOOKUP(Main_L[[#This Row],[Industry]], Mean_AE_L, 3, FALSE))</f>
        <v>5.03992727138289</v>
      </c>
      <c r="T43" s="1">
        <f>(Main_L[[#This Row],[P/E]]-VLOOKUP(Main_L[[#This Row],[Industry]], Mean_PE_L, 2, FALSE))/(VLOOKUP(Main_L[[#This Row],[Industry]], Mean_PE_L, 3, FALSE))</f>
        <v>-0.6054605347076617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192</v>
      </c>
      <c r="B44" t="s">
        <v>202</v>
      </c>
      <c r="C44" s="2">
        <v>59816</v>
      </c>
      <c r="D44">
        <f>RTD("tos.rtd", , "LAST", Main_L[[#This Row],[Symbol]])</f>
        <v>50.15</v>
      </c>
      <c r="E44">
        <v>1</v>
      </c>
      <c r="F44">
        <v>7.81</v>
      </c>
      <c r="G44">
        <v>1.43</v>
      </c>
      <c r="H44" s="1">
        <f>IF(ISNUMBER(Main_L[[#This Row],[Free CF]]),IF(Main_L[[#This Row],[Free CF]]&lt;&gt;0,Main_L[[#This Row],[Current Price]]/Main_L[[#This Row],[Free CF]],""),"")</f>
        <v>50.15</v>
      </c>
      <c r="I44" s="1">
        <f>IF(ISNUMBER(Main_L[[#This Row],[BVPS]]),IF(Main_L[[#This Row],[BVPS]]&lt;&gt;0,Main_L[[#This Row],[Current Price]]/Main_L[[#This Row],[BVPS]],""),"")</f>
        <v>6.4212548015364916</v>
      </c>
      <c r="J44">
        <v>19.38</v>
      </c>
      <c r="K44">
        <v>12.21</v>
      </c>
      <c r="L44">
        <v>1.1200000000000001</v>
      </c>
      <c r="M44" s="1">
        <f>IF(ISNUMBER(Main_L[[#This Row],[EPS]]),IF(Main_L[[#This Row],[EPS]]&lt;&gt;0,Main_L[[#This Row],[Current Price]]/Main_L[[#This Row],[EPS]],""),"")</f>
        <v>35.069930069930074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0.78955338554394627</v>
      </c>
      <c r="P44" s="1">
        <f>(Main_L[[#This Row],[P/B]]-VLOOKUP(Main_L[[#This Row],[Industry]], Mean_PB_L, 2, FALSE))/(VLOOKUP(Main_L[[#This Row],[Industry]], Mean_PB_L, 3, FALSE))</f>
        <v>-0.42946949961937719</v>
      </c>
      <c r="Q44" s="1">
        <f>(Main_L[[#This Row],[ROE]]-VLOOKUP(Main_L[[#This Row],[Industry]], Mean_ROE_L, 2, FALSE))/(VLOOKUP(Main_L[[#This Row],[Industry]], Mean_ROE_L, 3, FALSE))</f>
        <v>-0.15931831707772226</v>
      </c>
      <c r="R44" s="1">
        <f>(Main_L[[#This Row],[ROA]]-VLOOKUP(Main_L[[#This Row],[Industry]], Mean_ROA_L, 2, FALSE))/(VLOOKUP(Main_L[[#This Row],[Industry]], Mean_ROA_L, 3, FALSE))</f>
        <v>0.92699813860375224</v>
      </c>
      <c r="S44" s="1">
        <f>(Main_L[[#This Row],[A/E]]-VLOOKUP(Main_L[[#This Row],[Industry]], Mean_AE_L, 2, FALSE))/(VLOOKUP(Main_L[[#This Row],[Industry]], Mean_AE_L, 3, FALSE))</f>
        <v>-4.2676571120171873</v>
      </c>
      <c r="T44" s="1">
        <f>(Main_L[[#This Row],[P/E]]-VLOOKUP(Main_L[[#This Row],[Industry]], Mean_PE_L, 2, FALSE))/(VLOOKUP(Main_L[[#This Row],[Industry]], Mean_PE_L, 3, FALSE))</f>
        <v>-0.66502234090083145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192</v>
      </c>
      <c r="B45" t="s">
        <v>203</v>
      </c>
      <c r="C45" s="2">
        <v>90222</v>
      </c>
      <c r="D45">
        <f>RTD("tos.rtd", , "LAST", Main_L[[#This Row],[Symbol]])</f>
        <v>224.6</v>
      </c>
      <c r="E45">
        <v>4.1100000000000003</v>
      </c>
      <c r="F45">
        <v>9.9700000000000006</v>
      </c>
      <c r="G45">
        <v>3.96</v>
      </c>
      <c r="H45" s="1">
        <f>IF(ISNUMBER(Main_L[[#This Row],[Free CF]]),IF(Main_L[[#This Row],[Free CF]]&lt;&gt;0,Main_L[[#This Row],[Current Price]]/Main_L[[#This Row],[Free CF]],""),"")</f>
        <v>54.647201946472016</v>
      </c>
      <c r="I45" s="1">
        <f>IF(ISNUMBER(Main_L[[#This Row],[BVPS]]),IF(Main_L[[#This Row],[BVPS]]&lt;&gt;0,Main_L[[#This Row],[Current Price]]/Main_L[[#This Row],[BVPS]],""),"")</f>
        <v>22.527582748244733</v>
      </c>
      <c r="J45">
        <v>40.46</v>
      </c>
      <c r="K45">
        <v>14.96</v>
      </c>
      <c r="L45">
        <v>2.2599999999999998</v>
      </c>
      <c r="M45" s="1">
        <f>IF(ISNUMBER(Main_L[[#This Row],[EPS]]),IF(Main_L[[#This Row],[EPS]]&lt;&gt;0,Main_L[[#This Row],[Current Price]]/Main_L[[#This Row],[EPS]],""),"")</f>
        <v>56.717171717171716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1.1996246787199436</v>
      </c>
      <c r="P45" s="1">
        <f>(Main_L[[#This Row],[P/B]]-VLOOKUP(Main_L[[#This Row],[Industry]], Mean_PB_L, 2, FALSE))/(VLOOKUP(Main_L[[#This Row],[Industry]], Mean_PB_L, 3, FALSE))</f>
        <v>2.9583536548849856</v>
      </c>
      <c r="Q45" s="1">
        <f>(Main_L[[#This Row],[ROE]]-VLOOKUP(Main_L[[#This Row],[Industry]], Mean_ROE_L, 2, FALSE))/(VLOOKUP(Main_L[[#This Row],[Industry]], Mean_ROE_L, 3, FALSE))</f>
        <v>1.1237495430935809</v>
      </c>
      <c r="R45" s="1">
        <f>(Main_L[[#This Row],[ROA]]-VLOOKUP(Main_L[[#This Row],[Industry]], Mean_ROA_L, 2, FALSE))/(VLOOKUP(Main_L[[#This Row],[Industry]], Mean_ROA_L, 3, FALSE))</f>
        <v>1.5574791479591485</v>
      </c>
      <c r="S45" s="1">
        <f>(Main_L[[#This Row],[A/E]]-VLOOKUP(Main_L[[#This Row],[Industry]], Mean_AE_L, 2, FALSE))/(VLOOKUP(Main_L[[#This Row],[Industry]], Mean_AE_L, 3, FALSE))</f>
        <v>-0.98262732964068999</v>
      </c>
      <c r="T45" s="1">
        <f>(Main_L[[#This Row],[P/E]]-VLOOKUP(Main_L[[#This Row],[Industry]], Mean_PE_L, 2, FALSE))/(VLOOKUP(Main_L[[#This Row],[Industry]], Mean_PE_L, 3, FALSE))</f>
        <v>1.3072610475141229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192</v>
      </c>
      <c r="B46" t="s">
        <v>204</v>
      </c>
      <c r="C46" s="2">
        <v>17859</v>
      </c>
      <c r="D46">
        <f>RTD("tos.rtd", , "LAST", Main_L[[#This Row],[Symbol]])</f>
        <v>106.16</v>
      </c>
      <c r="E46">
        <v>4.07</v>
      </c>
      <c r="F46">
        <v>28.25</v>
      </c>
      <c r="G46">
        <v>1.84</v>
      </c>
      <c r="H46" s="1">
        <f>IF(ISNUMBER(Main_L[[#This Row],[Free CF]]),IF(Main_L[[#This Row],[Free CF]]&lt;&gt;0,Main_L[[#This Row],[Current Price]]/Main_L[[#This Row],[Free CF]],""),"")</f>
        <v>26.08353808353808</v>
      </c>
      <c r="I46" s="1">
        <f>IF(ISNUMBER(Main_L[[#This Row],[BVPS]]),IF(Main_L[[#This Row],[BVPS]]&lt;&gt;0,Main_L[[#This Row],[Current Price]]/Main_L[[#This Row],[BVPS]],""),"")</f>
        <v>3.7578761061946899</v>
      </c>
      <c r="J46">
        <v>6.82</v>
      </c>
      <c r="K46">
        <v>3.99</v>
      </c>
      <c r="L46">
        <v>2.29</v>
      </c>
      <c r="M46" s="1">
        <f>IF(ISNUMBER(Main_L[[#This Row],[EPS]]),IF(Main_L[[#This Row],[EPS]]&lt;&gt;0,Main_L[[#This Row],[Current Price]]/Main_L[[#This Row],[EPS]],""),"")</f>
        <v>57.695652173913039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-1.4049144808582892</v>
      </c>
      <c r="P46" s="1">
        <f>(Main_L[[#This Row],[P/B]]-VLOOKUP(Main_L[[#This Row],[Industry]], Mean_PB_L, 2, FALSE))/(VLOOKUP(Main_L[[#This Row],[Industry]], Mean_PB_L, 3, FALSE))</f>
        <v>-0.98968757310872768</v>
      </c>
      <c r="Q46" s="1">
        <f>(Main_L[[#This Row],[ROE]]-VLOOKUP(Main_L[[#This Row],[Industry]], Mean_ROE_L, 2, FALSE))/(VLOOKUP(Main_L[[#This Row],[Industry]], Mean_ROE_L, 3, FALSE))</f>
        <v>-0.92380277266365984</v>
      </c>
      <c r="R46" s="1">
        <f>(Main_L[[#This Row],[ROA]]-VLOOKUP(Main_L[[#This Row],[Industry]], Mean_ROA_L, 2, FALSE))/(VLOOKUP(Main_L[[#This Row],[Industry]], Mean_ROA_L, 3, FALSE))</f>
        <v>-0.95756691481492329</v>
      </c>
      <c r="S46" s="1">
        <f>(Main_L[[#This Row],[A/E]]-VLOOKUP(Main_L[[#This Row],[Industry]], Mean_AE_L, 2, FALSE))/(VLOOKUP(Main_L[[#This Row],[Industry]], Mean_AE_L, 3, FALSE))</f>
        <v>-0.89617917747288667</v>
      </c>
      <c r="T46" s="1">
        <f>(Main_L[[#This Row],[P/E]]-VLOOKUP(Main_L[[#This Row],[Industry]], Mean_PE_L, 2, FALSE))/(VLOOKUP(Main_L[[#This Row],[Industry]], Mean_PE_L, 3, FALSE))</f>
        <v>1.396410546658994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135</v>
      </c>
      <c r="B47" t="s">
        <v>136</v>
      </c>
      <c r="C47" s="2">
        <v>15068</v>
      </c>
      <c r="D47">
        <f>RTD("tos.rtd", , "LAST", Main_L[[#This Row],[Symbol]])</f>
        <v>110.93</v>
      </c>
      <c r="E47">
        <v>5.22</v>
      </c>
      <c r="F47">
        <v>16.48</v>
      </c>
      <c r="G47">
        <v>3.71</v>
      </c>
      <c r="H47" s="1">
        <f>IF(ISNUMBER(Main_L[[#This Row],[Free CF]]),IF(Main_L[[#This Row],[Free CF]]&lt;&gt;0,Main_L[[#This Row],[Current Price]]/Main_L[[#This Row],[Free CF]],""),"")</f>
        <v>21.250957854406131</v>
      </c>
      <c r="I47" s="1">
        <f>IF(ISNUMBER(Main_L[[#This Row],[BVPS]]),IF(Main_L[[#This Row],[BVPS]]&lt;&gt;0,Main_L[[#This Row],[Current Price]]/Main_L[[#This Row],[BVPS]],""),"")</f>
        <v>6.7311893203883502</v>
      </c>
      <c r="J47">
        <v>23.78</v>
      </c>
      <c r="K47">
        <v>5</v>
      </c>
      <c r="L47">
        <v>5.52</v>
      </c>
      <c r="M47" s="1">
        <f>IF(ISNUMBER(Main_L[[#This Row],[EPS]]),IF(Main_L[[#This Row],[EPS]]&lt;&gt;0,Main_L[[#This Row],[Current Price]]/Main_L[[#This Row],[EPS]],""),"")</f>
        <v>29.900269541778979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0.16978101763065787</v>
      </c>
      <c r="P47" s="1">
        <f>(Main_L[[#This Row],[P/B]]-VLOOKUP(Main_L[[#This Row],[Industry]], Mean_PB_L, 2, FALSE))/(VLOOKUP(Main_L[[#This Row],[Industry]], Mean_PB_L, 3, FALSE))</f>
        <v>-9.6101480040954625E-3</v>
      </c>
      <c r="Q47" s="1">
        <f>(Main_L[[#This Row],[ROE]]-VLOOKUP(Main_L[[#This Row],[Industry]], Mean_ROE_L, 2, FALSE))/(VLOOKUP(Main_L[[#This Row],[Industry]], Mean_ROE_L, 3, FALSE))</f>
        <v>0.32841928663501146</v>
      </c>
      <c r="R47" s="1">
        <f>(Main_L[[#This Row],[ROA]]-VLOOKUP(Main_L[[#This Row],[Industry]], Mean_ROA_L, 2, FALSE))/(VLOOKUP(Main_L[[#This Row],[Industry]], Mean_ROA_L, 3, FALSE))</f>
        <v>-0.3420106120306291</v>
      </c>
      <c r="S47" s="1">
        <f>(Main_L[[#This Row],[A/E]]-VLOOKUP(Main_L[[#This Row],[Industry]], Mean_AE_L, 2, FALSE))/(VLOOKUP(Main_L[[#This Row],[Industry]], Mean_AE_L, 3, FALSE))</f>
        <v>16.106239154173331</v>
      </c>
      <c r="T47" s="1">
        <f>(Main_L[[#This Row],[P/E]]-VLOOKUP(Main_L[[#This Row],[Industry]], Mean_PE_L, 2, FALSE))/(VLOOKUP(Main_L[[#This Row],[Industry]], Mean_PE_L, 3, FALSE))</f>
        <v>-0.52700671394395193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135</v>
      </c>
      <c r="B48" t="s">
        <v>137</v>
      </c>
      <c r="C48" s="2">
        <v>10606</v>
      </c>
      <c r="D48">
        <f>RTD("tos.rtd", , "LAST", Main_L[[#This Row],[Symbol]])</f>
        <v>47.69</v>
      </c>
      <c r="E48">
        <v>2.12</v>
      </c>
      <c r="F48">
        <v>10.8</v>
      </c>
      <c r="G48">
        <v>-1.71</v>
      </c>
      <c r="H48" s="1">
        <f>IF(ISNUMBER(Main_L[[#This Row],[Free CF]]),IF(Main_L[[#This Row],[Free CF]]&lt;&gt;0,Main_L[[#This Row],[Current Price]]/Main_L[[#This Row],[Free CF]],""),"")</f>
        <v>22.495283018867923</v>
      </c>
      <c r="I48" s="1">
        <f>IF(ISNUMBER(Main_L[[#This Row],[BVPS]]),IF(Main_L[[#This Row],[BVPS]]&lt;&gt;0,Main_L[[#This Row],[Current Price]]/Main_L[[#This Row],[BVPS]],""),"")</f>
        <v>4.4157407407407403</v>
      </c>
      <c r="J48">
        <v>6.94</v>
      </c>
      <c r="K48">
        <v>3.39</v>
      </c>
      <c r="L48">
        <v>2.78</v>
      </c>
      <c r="M48" s="1">
        <f>IF(ISNUMBER(Main_L[[#This Row],[EPS]]),IF(Main_L[[#This Row],[EPS]]&lt;&gt;0,Main_L[[#This Row],[Current Price]]/Main_L[[#This Row],[EPS]],""),"")</f>
        <v>-27.888888888888889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0.42529331329624687</v>
      </c>
      <c r="P48" s="1">
        <f>(Main_L[[#This Row],[P/B]]-VLOOKUP(Main_L[[#This Row],[Industry]], Mean_PB_L, 2, FALSE))/(VLOOKUP(Main_L[[#This Row],[Industry]], Mean_PB_L, 3, FALSE))</f>
        <v>-1.1033611666943191</v>
      </c>
      <c r="Q48" s="1">
        <f>(Main_L[[#This Row],[ROE]]-VLOOKUP(Main_L[[#This Row],[Industry]], Mean_ROE_L, 2, FALSE))/(VLOOKUP(Main_L[[#This Row],[Industry]], Mean_ROE_L, 3, FALSE))</f>
        <v>-1.0090851358398605</v>
      </c>
      <c r="R48" s="1">
        <f>(Main_L[[#This Row],[ROA]]-VLOOKUP(Main_L[[#This Row],[Industry]], Mean_ROA_L, 2, FALSE))/(VLOOKUP(Main_L[[#This Row],[Industry]], Mean_ROA_L, 3, FALSE))</f>
        <v>-0.79458903836157135</v>
      </c>
      <c r="S48" s="1">
        <f>(Main_L[[#This Row],[A/E]]-VLOOKUP(Main_L[[#This Row],[Industry]], Mean_AE_L, 2, FALSE))/(VLOOKUP(Main_L[[#This Row],[Industry]], Mean_AE_L, 3, FALSE))</f>
        <v>-0.11842822907480403</v>
      </c>
      <c r="T48" s="1">
        <f>(Main_L[[#This Row],[P/E]]-VLOOKUP(Main_L[[#This Row],[Industry]], Mean_PE_L, 2, FALSE))/(VLOOKUP(Main_L[[#This Row],[Industry]], Mean_PE_L, 3, FALSE))</f>
        <v>-4.3017756708858963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9" spans="1:26" x14ac:dyDescent="0.25">
      <c r="A49" t="s">
        <v>135</v>
      </c>
      <c r="B49" t="s">
        <v>138</v>
      </c>
      <c r="C49" s="2">
        <v>23416</v>
      </c>
      <c r="D49">
        <f>RTD("tos.rtd", , "LAST", Main_L[[#This Row],[Symbol]])</f>
        <v>473.79</v>
      </c>
      <c r="E49">
        <v>27.35</v>
      </c>
      <c r="F49">
        <v>59.96</v>
      </c>
      <c r="G49">
        <v>19.670000000000002</v>
      </c>
      <c r="H49" s="1">
        <f>IF(ISNUMBER(Main_L[[#This Row],[Free CF]]),IF(Main_L[[#This Row],[Free CF]]&lt;&gt;0,Main_L[[#This Row],[Current Price]]/Main_L[[#This Row],[Free CF]],""),"")</f>
        <v>17.323217550274222</v>
      </c>
      <c r="I49" s="1">
        <f>IF(ISNUMBER(Main_L[[#This Row],[BVPS]]),IF(Main_L[[#This Row],[BVPS]]&lt;&gt;0,Main_L[[#This Row],[Current Price]]/Main_L[[#This Row],[BVPS]],""),"")</f>
        <v>7.9017678452301539</v>
      </c>
      <c r="J49">
        <v>36.770000000000003</v>
      </c>
      <c r="K49">
        <v>11.5</v>
      </c>
      <c r="L49">
        <v>2.65</v>
      </c>
      <c r="M49" s="1">
        <f>IF(ISNUMBER(Main_L[[#This Row],[EPS]]),IF(Main_L[[#This Row],[EPS]]&lt;&gt;0,Main_L[[#This Row],[Current Price]]/Main_L[[#This Row],[EPS]],""),"")</f>
        <v>24.086934417895272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-0.6367492773032104</v>
      </c>
      <c r="P49" s="1">
        <f>(Main_L[[#This Row],[P/B]]-VLOOKUP(Main_L[[#This Row],[Industry]], Mean_PB_L, 2, FALSE))/(VLOOKUP(Main_L[[#This Row],[Industry]], Mean_PB_L, 3, FALSE))</f>
        <v>0.54333733062118028</v>
      </c>
      <c r="Q49" s="1">
        <f>(Main_L[[#This Row],[ROE]]-VLOOKUP(Main_L[[#This Row],[Industry]], Mean_ROE_L, 2, FALSE))/(VLOOKUP(Main_L[[#This Row],[Industry]], Mean_ROE_L, 3, FALSE))</f>
        <v>1.3601403346129561</v>
      </c>
      <c r="R49" s="1">
        <f>(Main_L[[#This Row],[ROA]]-VLOOKUP(Main_L[[#This Row],[Industry]], Mean_ROA_L, 2, FALSE))/(VLOOKUP(Main_L[[#This Row],[Industry]], Mean_ROA_L, 3, FALSE))</f>
        <v>1.4851693700508151</v>
      </c>
      <c r="S49" s="1">
        <f>(Main_L[[#This Row],[A/E]]-VLOOKUP(Main_L[[#This Row],[Industry]], Mean_AE_L, 2, FALSE))/(VLOOKUP(Main_L[[#This Row],[Industry]], Mean_AE_L, 3, FALSE))</f>
        <v>-0.88821171806102894</v>
      </c>
      <c r="T49" s="1">
        <f>(Main_L[[#This Row],[P/E]]-VLOOKUP(Main_L[[#This Row],[Industry]], Mean_PE_L, 2, FALSE))/(VLOOKUP(Main_L[[#This Row],[Industry]], Mean_PE_L, 3, FALSE))</f>
        <v>-0.90673186582107479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135</v>
      </c>
      <c r="B50" t="s">
        <v>139</v>
      </c>
      <c r="C50" s="2">
        <v>17690</v>
      </c>
      <c r="D50">
        <f>RTD("tos.rtd", , "LAST", Main_L[[#This Row],[Symbol]])</f>
        <v>501.33</v>
      </c>
      <c r="E50">
        <v>20.04</v>
      </c>
      <c r="F50">
        <v>44.75</v>
      </c>
      <c r="G50">
        <v>13.07</v>
      </c>
      <c r="H50" s="1">
        <f>IF(ISNUMBER(Main_L[[#This Row],[Free CF]]),IF(Main_L[[#This Row],[Free CF]]&lt;&gt;0,Main_L[[#This Row],[Current Price]]/Main_L[[#This Row],[Free CF]],""),"")</f>
        <v>25.016467065868262</v>
      </c>
      <c r="I50" s="1">
        <f>IF(ISNUMBER(Main_L[[#This Row],[BVPS]]),IF(Main_L[[#This Row],[BVPS]]&lt;&gt;0,Main_L[[#This Row],[Current Price]]/Main_L[[#This Row],[BVPS]],""),"")</f>
        <v>11.20290502793296</v>
      </c>
      <c r="J50">
        <v>33.5</v>
      </c>
      <c r="K50">
        <v>10.71</v>
      </c>
      <c r="L50">
        <v>2.78</v>
      </c>
      <c r="M50" s="1">
        <f>IF(ISNUMBER(Main_L[[#This Row],[EPS]]),IF(Main_L[[#This Row],[EPS]]&lt;&gt;0,Main_L[[#This Row],[Current Price]]/Main_L[[#This Row],[EPS]],""),"")</f>
        <v>38.357306809487376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0.94299844539742905</v>
      </c>
      <c r="P50" s="1">
        <f>(Main_L[[#This Row],[P/B]]-VLOOKUP(Main_L[[#This Row],[Industry]], Mean_PB_L, 2, FALSE))/(VLOOKUP(Main_L[[#This Row],[Industry]], Mean_PB_L, 3, FALSE))</f>
        <v>2.1026991701170386</v>
      </c>
      <c r="Q50" s="1">
        <f>(Main_L[[#This Row],[ROE]]-VLOOKUP(Main_L[[#This Row],[Industry]], Mean_ROE_L, 2, FALSE))/(VLOOKUP(Main_L[[#This Row],[Industry]], Mean_ROE_L, 3, FALSE))</f>
        <v>1.1004230269233579</v>
      </c>
      <c r="R50" s="1">
        <f>(Main_L[[#This Row],[ROA]]-VLOOKUP(Main_L[[#This Row],[Industry]], Mean_ROA_L, 2, FALSE))/(VLOOKUP(Main_L[[#This Row],[Industry]], Mean_ROA_L, 3, FALSE))</f>
        <v>1.263096726074763</v>
      </c>
      <c r="S50" s="1">
        <f>(Main_L[[#This Row],[A/E]]-VLOOKUP(Main_L[[#This Row],[Industry]], Mean_AE_L, 2, FALSE))/(VLOOKUP(Main_L[[#This Row],[Industry]], Mean_AE_L, 3, FALSE))</f>
        <v>-0.11842822907480403</v>
      </c>
      <c r="T50" s="1">
        <f>(Main_L[[#This Row],[P/E]]-VLOOKUP(Main_L[[#This Row],[Industry]], Mean_PE_L, 2, FALSE))/(VLOOKUP(Main_L[[#This Row],[Industry]], Mean_PE_L, 3, FALSE))</f>
        <v>2.5404198634860087E-2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135</v>
      </c>
      <c r="B51" t="s">
        <v>140</v>
      </c>
      <c r="C51" s="2">
        <v>11245</v>
      </c>
      <c r="D51">
        <f>RTD("tos.rtd", , "LAST", Main_L[[#This Row],[Symbol]])</f>
        <v>162.32</v>
      </c>
      <c r="E51">
        <v>12.88</v>
      </c>
      <c r="F51">
        <v>36.06</v>
      </c>
      <c r="G51">
        <v>1.1299999999999999</v>
      </c>
      <c r="H51" s="1">
        <f>IF(ISNUMBER(Main_L[[#This Row],[Free CF]]),IF(Main_L[[#This Row],[Free CF]]&lt;&gt;0,Main_L[[#This Row],[Current Price]]/Main_L[[#This Row],[Free CF]],""),"")</f>
        <v>12.602484472049689</v>
      </c>
      <c r="I51" s="1">
        <f>IF(ISNUMBER(Main_L[[#This Row],[BVPS]]),IF(Main_L[[#This Row],[BVPS]]&lt;&gt;0,Main_L[[#This Row],[Current Price]]/Main_L[[#This Row],[BVPS]],""),"")</f>
        <v>4.501386577925679</v>
      </c>
      <c r="J51">
        <v>4.18</v>
      </c>
      <c r="K51">
        <v>2.37</v>
      </c>
      <c r="L51">
        <v>3.12</v>
      </c>
      <c r="M51" s="1">
        <f>IF(ISNUMBER(Main_L[[#This Row],[EPS]]),IF(Main_L[[#This Row],[EPS]]&lt;&gt;0,Main_L[[#This Row],[Current Price]]/Main_L[[#This Row],[EPS]],""),"")</f>
        <v>143.64601769911505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-1.6061143440005103</v>
      </c>
      <c r="P51" s="1">
        <f>(Main_L[[#This Row],[P/B]]-VLOOKUP(Main_L[[#This Row],[Industry]], Mean_PB_L, 2, FALSE))/(VLOOKUP(Main_L[[#This Row],[Industry]], Mean_PB_L, 3, FALSE))</f>
        <v>-1.0629045474063794</v>
      </c>
      <c r="Q51" s="1">
        <f>(Main_L[[#This Row],[ROE]]-VLOOKUP(Main_L[[#This Row],[Industry]], Mean_ROE_L, 2, FALSE))/(VLOOKUP(Main_L[[#This Row],[Industry]], Mean_ROE_L, 3, FALSE))</f>
        <v>-1.2282960744402553</v>
      </c>
      <c r="R51" s="1">
        <f>(Main_L[[#This Row],[ROA]]-VLOOKUP(Main_L[[#This Row],[Industry]], Mean_ROA_L, 2, FALSE))/(VLOOKUP(Main_L[[#This Row],[Industry]], Mean_ROA_L, 3, FALSE))</f>
        <v>-1.0813157432420442</v>
      </c>
      <c r="S51" s="1">
        <f>(Main_L[[#This Row],[A/E]]-VLOOKUP(Main_L[[#This Row],[Industry]], Mean_AE_L, 2, FALSE))/(VLOOKUP(Main_L[[#This Row],[Industry]], Mean_AE_L, 3, FALSE))</f>
        <v>1.8948516651968645</v>
      </c>
      <c r="T51" s="1">
        <f>(Main_L[[#This Row],[P/E]]-VLOOKUP(Main_L[[#This Row],[Industry]], Mean_PE_L, 2, FALSE))/(VLOOKUP(Main_L[[#This Row],[Industry]], Mean_PE_L, 3, FALSE))</f>
        <v>6.9028284106421749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2" spans="1:26" x14ac:dyDescent="0.25">
      <c r="A52" t="s">
        <v>135</v>
      </c>
      <c r="B52" t="s">
        <v>141</v>
      </c>
      <c r="C52" s="2">
        <v>49076</v>
      </c>
      <c r="D52">
        <f>RTD("tos.rtd", , "LAST", Main_L[[#This Row],[Symbol]])</f>
        <v>355.66</v>
      </c>
      <c r="E52">
        <v>12.34</v>
      </c>
      <c r="F52">
        <v>47.9</v>
      </c>
      <c r="G52">
        <v>5.41</v>
      </c>
      <c r="H52" s="1">
        <f>IF(ISNUMBER(Main_L[[#This Row],[Free CF]]),IF(Main_L[[#This Row],[Free CF]]&lt;&gt;0,Main_L[[#This Row],[Current Price]]/Main_L[[#This Row],[Free CF]],""),"")</f>
        <v>28.82171799027553</v>
      </c>
      <c r="I52" s="1">
        <f>IF(ISNUMBER(Main_L[[#This Row],[BVPS]]),IF(Main_L[[#This Row],[BVPS]]&lt;&gt;0,Main_L[[#This Row],[Current Price]]/Main_L[[#This Row],[BVPS]],""),"")</f>
        <v>7.4250521920668069</v>
      </c>
      <c r="J52">
        <v>12.7</v>
      </c>
      <c r="K52">
        <v>4.33</v>
      </c>
      <c r="L52">
        <v>2.67</v>
      </c>
      <c r="M52" s="1">
        <f>IF(ISNUMBER(Main_L[[#This Row],[EPS]]),IF(Main_L[[#This Row],[EPS]]&lt;&gt;0,Main_L[[#This Row],[Current Price]]/Main_L[[#This Row],[EPS]],""),"")</f>
        <v>65.741219963031426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1.7243765184668185</v>
      </c>
      <c r="P52" s="1">
        <f>(Main_L[[#This Row],[P/B]]-VLOOKUP(Main_L[[#This Row],[Industry]], Mean_PB_L, 2, FALSE))/(VLOOKUP(Main_L[[#This Row],[Industry]], Mean_PB_L, 3, FALSE))</f>
        <v>0.31815062776970104</v>
      </c>
      <c r="Q52" s="1">
        <f>(Main_L[[#This Row],[ROE]]-VLOOKUP(Main_L[[#This Row],[Industry]], Mean_ROE_L, 2, FALSE))/(VLOOKUP(Main_L[[#This Row],[Industry]], Mean_ROE_L, 3, FALSE))</f>
        <v>-0.55160143789121086</v>
      </c>
      <c r="R52" s="1">
        <f>(Main_L[[#This Row],[ROA]]-VLOOKUP(Main_L[[#This Row],[Industry]], Mean_ROA_L, 2, FALSE))/(VLOOKUP(Main_L[[#This Row],[Industry]], Mean_ROA_L, 3, FALSE))</f>
        <v>-0.53035070249133176</v>
      </c>
      <c r="S52" s="1">
        <f>(Main_L[[#This Row],[A/E]]-VLOOKUP(Main_L[[#This Row],[Industry]], Mean_AE_L, 2, FALSE))/(VLOOKUP(Main_L[[#This Row],[Industry]], Mean_AE_L, 3, FALSE))</f>
        <v>-0.76978348898622484</v>
      </c>
      <c r="T52" s="1">
        <f>(Main_L[[#This Row],[P/E]]-VLOOKUP(Main_L[[#This Row],[Industry]], Mean_PE_L, 2, FALSE))/(VLOOKUP(Main_L[[#This Row],[Industry]], Mean_PE_L, 3, FALSE))</f>
        <v>1.8141124632760079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t="s">
        <v>142</v>
      </c>
      <c r="B53" t="s">
        <v>143</v>
      </c>
      <c r="C53" s="2">
        <v>44305</v>
      </c>
      <c r="D53">
        <f>RTD("tos.rtd", , "LAST", Main_L[[#This Row],[Symbol]])</f>
        <v>178.64</v>
      </c>
      <c r="E53">
        <v>7.29</v>
      </c>
      <c r="F53">
        <v>41.29</v>
      </c>
      <c r="G53">
        <v>5.74</v>
      </c>
      <c r="H53" s="1">
        <f>IF(ISNUMBER(Main_L[[#This Row],[Free CF]]),IF(Main_L[[#This Row],[Free CF]]&lt;&gt;0,Main_L[[#This Row],[Current Price]]/Main_L[[#This Row],[Free CF]],""),"")</f>
        <v>24.504801097393688</v>
      </c>
      <c r="I53" s="1">
        <f>IF(ISNUMBER(Main_L[[#This Row],[BVPS]]),IF(Main_L[[#This Row],[BVPS]]&lt;&gt;0,Main_L[[#This Row],[Current Price]]/Main_L[[#This Row],[BVPS]],""),"")</f>
        <v>4.326471300557035</v>
      </c>
      <c r="J53">
        <v>14.89</v>
      </c>
      <c r="K53">
        <v>7.89</v>
      </c>
      <c r="L53">
        <v>1.55</v>
      </c>
      <c r="M53" s="1">
        <f>IF(ISNUMBER(Main_L[[#This Row],[EPS]]),IF(Main_L[[#This Row],[EPS]]&lt;&gt;0,Main_L[[#This Row],[Current Price]]/Main_L[[#This Row],[EPS]],""),"")</f>
        <v>31.121951219512191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3" s="1">
        <f>(Main_L[[#This Row],[P/FCF]]-VLOOKUP(Main_L[[#This Row],[Industry]], Mean_PFCF_L, 2, FALSE))/(VLOOKUP(Main_L[[#This Row],[Industry]], Mean_PFCF_L, 3, FALSE))</f>
        <v>-0.36697982024963433</v>
      </c>
      <c r="P53" s="1">
        <f>(Main_L[[#This Row],[P/B]]-VLOOKUP(Main_L[[#This Row],[Industry]], Mean_PB_L, 2, FALSE))/(VLOOKUP(Main_L[[#This Row],[Industry]], Mean_PB_L, 3, FALSE))</f>
        <v>-0.35543171164969345</v>
      </c>
      <c r="Q53" s="1">
        <f>(Main_L[[#This Row],[ROE]]-VLOOKUP(Main_L[[#This Row],[Industry]], Mean_ROE_L, 2, FALSE))/(VLOOKUP(Main_L[[#This Row],[Industry]], Mean_ROE_L, 3, FALSE))</f>
        <v>-8.4358102296802351E-2</v>
      </c>
      <c r="R53" s="1">
        <f>(Main_L[[#This Row],[ROA]]-VLOOKUP(Main_L[[#This Row],[Industry]], Mean_ROA_L, 2, FALSE))/(VLOOKUP(Main_L[[#This Row],[Industry]], Mean_ROA_L, 3, FALSE))</f>
        <v>0.32730042777259766</v>
      </c>
      <c r="S53" s="1">
        <f>(Main_L[[#This Row],[A/E]]-VLOOKUP(Main_L[[#This Row],[Industry]], Mean_AE_L, 2, FALSE))/(VLOOKUP(Main_L[[#This Row],[Industry]], Mean_AE_L, 3, FALSE))</f>
        <v>-1.2795226757897371</v>
      </c>
      <c r="T53" s="1">
        <f>(Main_L[[#This Row],[P/E]]-VLOOKUP(Main_L[[#This Row],[Industry]], Mean_PE_L, 2, FALSE))/(VLOOKUP(Main_L[[#This Row],[Industry]], Mean_PE_L, 3, FALSE))</f>
        <v>-9.5121323661491855E-2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t="s">
        <v>142</v>
      </c>
      <c r="B54" t="s">
        <v>144</v>
      </c>
      <c r="C54" s="2">
        <v>10022</v>
      </c>
      <c r="D54">
        <f>RTD("tos.rtd", , "LAST", Main_L[[#This Row],[Symbol]])</f>
        <v>269.72000000000003</v>
      </c>
      <c r="E54">
        <v>17.98</v>
      </c>
      <c r="F54">
        <v>77.989999999999995</v>
      </c>
      <c r="G54">
        <v>13.44</v>
      </c>
      <c r="H54" s="1">
        <f>IF(ISNUMBER(Main_L[[#This Row],[Free CF]]),IF(Main_L[[#This Row],[Free CF]]&lt;&gt;0,Main_L[[#This Row],[Current Price]]/Main_L[[#This Row],[Free CF]],""),"")</f>
        <v>15.001112347052281</v>
      </c>
      <c r="I54" s="1">
        <f>IF(ISNUMBER(Main_L[[#This Row],[BVPS]]),IF(Main_L[[#This Row],[BVPS]]&lt;&gt;0,Main_L[[#This Row],[Current Price]]/Main_L[[#This Row],[BVPS]],""),"")</f>
        <v>3.4583921015514814</v>
      </c>
      <c r="J54">
        <v>19.23</v>
      </c>
      <c r="K54">
        <v>9.5500000000000007</v>
      </c>
      <c r="L54">
        <v>1.6</v>
      </c>
      <c r="M54" s="1">
        <f>IF(ISNUMBER(Main_L[[#This Row],[EPS]]),IF(Main_L[[#This Row],[EPS]]&lt;&gt;0,Main_L[[#This Row],[Current Price]]/Main_L[[#This Row],[EPS]],""),"")</f>
        <v>20.068452380952383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4" s="1">
        <f>(Main_L[[#This Row],[P/FCF]]-VLOOKUP(Main_L[[#This Row],[Industry]], Mean_PFCF_L, 2, FALSE))/(VLOOKUP(Main_L[[#This Row],[Industry]], Mean_PFCF_L, 3, FALSE))</f>
        <v>-1.1237494392051017</v>
      </c>
      <c r="P54" s="1">
        <f>(Main_L[[#This Row],[P/B]]-VLOOKUP(Main_L[[#This Row],[Industry]], Mean_PB_L, 2, FALSE))/(VLOOKUP(Main_L[[#This Row],[Industry]], Mean_PB_L, 3, FALSE))</f>
        <v>-0.61849704355235469</v>
      </c>
      <c r="Q54" s="1">
        <f>(Main_L[[#This Row],[ROE]]-VLOOKUP(Main_L[[#This Row],[Industry]], Mean_ROE_L, 2, FALSE))/(VLOOKUP(Main_L[[#This Row],[Industry]], Mean_ROE_L, 3, FALSE))</f>
        <v>0.33039532753320133</v>
      </c>
      <c r="R54" s="1">
        <f>(Main_L[[#This Row],[ROA]]-VLOOKUP(Main_L[[#This Row],[Industry]], Mean_ROA_L, 2, FALSE))/(VLOOKUP(Main_L[[#This Row],[Industry]], Mean_ROA_L, 3, FALSE))</f>
        <v>1.0767055451553749</v>
      </c>
      <c r="S54" s="1">
        <f>(Main_L[[#This Row],[A/E]]-VLOOKUP(Main_L[[#This Row],[Industry]], Mean_AE_L, 2, FALSE))/(VLOOKUP(Main_L[[#This Row],[Industry]], Mean_AE_L, 3, FALSE))</f>
        <v>-1.1681522301213847</v>
      </c>
      <c r="T54" s="1">
        <f>(Main_L[[#This Row],[P/E]]-VLOOKUP(Main_L[[#This Row],[Industry]], Mean_PE_L, 2, FALSE))/(VLOOKUP(Main_L[[#This Row],[Industry]], Mean_PE_L, 3, FALSE))</f>
        <v>-1.3716037496074318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t="s">
        <v>142</v>
      </c>
      <c r="B55" t="s">
        <v>145</v>
      </c>
      <c r="C55" s="2">
        <v>74685</v>
      </c>
      <c r="D55">
        <f>RTD("tos.rtd", , "LAST", Main_L[[#This Row],[Symbol]])</f>
        <v>125.6</v>
      </c>
      <c r="E55">
        <v>5.0999999999999996</v>
      </c>
      <c r="F55">
        <v>37.94</v>
      </c>
      <c r="G55">
        <v>2.82</v>
      </c>
      <c r="H55" s="1">
        <f>IF(ISNUMBER(Main_L[[#This Row],[Free CF]]),IF(Main_L[[#This Row],[Free CF]]&lt;&gt;0,Main_L[[#This Row],[Current Price]]/Main_L[[#This Row],[Free CF]],""),"")</f>
        <v>24.627450980392158</v>
      </c>
      <c r="I55" s="1">
        <f>IF(ISNUMBER(Main_L[[#This Row],[BVPS]]),IF(Main_L[[#This Row],[BVPS]]&lt;&gt;0,Main_L[[#This Row],[Current Price]]/Main_L[[#This Row],[BVPS]],""),"")</f>
        <v>3.3104902477596205</v>
      </c>
      <c r="J55">
        <v>5.93</v>
      </c>
      <c r="K55">
        <v>4.34</v>
      </c>
      <c r="L55">
        <v>2.04</v>
      </c>
      <c r="M55" s="1">
        <f>IF(ISNUMBER(Main_L[[#This Row],[EPS]]),IF(Main_L[[#This Row],[EPS]]&lt;&gt;0,Main_L[[#This Row],[Current Price]]/Main_L[[#This Row],[EPS]],""),"")</f>
        <v>44.539007092198581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-0.35721332771605357</v>
      </c>
      <c r="P55" s="1">
        <f>(Main_L[[#This Row],[P/B]]-VLOOKUP(Main_L[[#This Row],[Industry]], Mean_PB_L, 2, FALSE))/(VLOOKUP(Main_L[[#This Row],[Industry]], Mean_PB_L, 3, FALSE))</f>
        <v>-0.66331766625745636</v>
      </c>
      <c r="Q55" s="1">
        <f>(Main_L[[#This Row],[ROE]]-VLOOKUP(Main_L[[#This Row],[Industry]], Mean_ROE_L, 2, FALSE))/(VLOOKUP(Main_L[[#This Row],[Industry]], Mean_ROE_L, 3, FALSE))</f>
        <v>-0.94062324775229389</v>
      </c>
      <c r="R55" s="1">
        <f>(Main_L[[#This Row],[ROA]]-VLOOKUP(Main_L[[#This Row],[Industry]], Mean_ROA_L, 2, FALSE))/(VLOOKUP(Main_L[[#This Row],[Industry]], Mean_ROA_L, 3, FALSE))</f>
        <v>-1.2753430461484005</v>
      </c>
      <c r="S55" s="1">
        <f>(Main_L[[#This Row],[A/E]]-VLOOKUP(Main_L[[#This Row],[Industry]], Mean_AE_L, 2, FALSE))/(VLOOKUP(Main_L[[#This Row],[Industry]], Mean_AE_L, 3, FALSE))</f>
        <v>-0.18809230823988377</v>
      </c>
      <c r="T55" s="1">
        <f>(Main_L[[#This Row],[P/E]]-VLOOKUP(Main_L[[#This Row],[Industry]], Mean_PE_L, 2, FALSE))/(VLOOKUP(Main_L[[#This Row],[Industry]], Mean_PE_L, 3, FALSE))</f>
        <v>1.4543098817477107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142</v>
      </c>
      <c r="B56" t="s">
        <v>146</v>
      </c>
      <c r="C56" s="2">
        <v>146706</v>
      </c>
      <c r="D56">
        <f>RTD("tos.rtd", , "LAST", Main_L[[#This Row],[Symbol]])</f>
        <v>325.81</v>
      </c>
      <c r="E56">
        <v>8.1</v>
      </c>
      <c r="F56">
        <v>48.37</v>
      </c>
      <c r="G56">
        <v>9.4</v>
      </c>
      <c r="H56" s="1">
        <f>IF(ISNUMBER(Main_L[[#This Row],[Free CF]]),IF(Main_L[[#This Row],[Free CF]]&lt;&gt;0,Main_L[[#This Row],[Current Price]]/Main_L[[#This Row],[Free CF]],""),"")</f>
        <v>40.223456790123457</v>
      </c>
      <c r="I56" s="1">
        <f>IF(ISNUMBER(Main_L[[#This Row],[BVPS]]),IF(Main_L[[#This Row],[BVPS]]&lt;&gt;0,Main_L[[#This Row],[Current Price]]/Main_L[[#This Row],[BVPS]],""),"")</f>
        <v>6.7357866446144312</v>
      </c>
      <c r="J56">
        <v>20.079999999999998</v>
      </c>
      <c r="K56">
        <v>7.4</v>
      </c>
      <c r="L56">
        <v>2.0499999999999998</v>
      </c>
      <c r="M56" s="1">
        <f>IF(ISNUMBER(Main_L[[#This Row],[EPS]]),IF(Main_L[[#This Row],[EPS]]&lt;&gt;0,Main_L[[#This Row],[Current Price]]/Main_L[[#This Row],[EPS]],""),"")</f>
        <v>34.660638297872339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0.88468165473837701</v>
      </c>
      <c r="P56" s="1">
        <f>(Main_L[[#This Row],[P/B]]-VLOOKUP(Main_L[[#This Row],[Industry]], Mean_PB_L, 2, FALSE))/(VLOOKUP(Main_L[[#This Row],[Industry]], Mean_PB_L, 3, FALSE))</f>
        <v>0.37469445813839125</v>
      </c>
      <c r="Q56" s="1">
        <f>(Main_L[[#This Row],[ROE]]-VLOOKUP(Main_L[[#This Row],[Industry]], Mean_ROE_L, 2, FALSE))/(VLOOKUP(Main_L[[#This Row],[Industry]], Mean_ROE_L, 3, FALSE))</f>
        <v>0.41162583798377789</v>
      </c>
      <c r="R56" s="1">
        <f>(Main_L[[#This Row],[ROA]]-VLOOKUP(Main_L[[#This Row],[Industry]], Mean_ROA_L, 2, FALSE))/(VLOOKUP(Main_L[[#This Row],[Industry]], Mean_ROA_L, 3, FALSE))</f>
        <v>0.10609048348491089</v>
      </c>
      <c r="S56" s="1">
        <f>(Main_L[[#This Row],[A/E]]-VLOOKUP(Main_L[[#This Row],[Industry]], Mean_AE_L, 2, FALSE))/(VLOOKUP(Main_L[[#This Row],[Industry]], Mean_AE_L, 3, FALSE))</f>
        <v>-0.16581821910621375</v>
      </c>
      <c r="T56" s="1">
        <f>(Main_L[[#This Row],[P/E]]-VLOOKUP(Main_L[[#This Row],[Industry]], Mean_PE_L, 2, FALSE))/(VLOOKUP(Main_L[[#This Row],[Industry]], Mean_PE_L, 3, FALSE))</f>
        <v>0.31353406522686983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t="s">
        <v>142</v>
      </c>
      <c r="B57" t="s">
        <v>147</v>
      </c>
      <c r="C57" s="2">
        <v>10663</v>
      </c>
      <c r="D57">
        <f>RTD("tos.rtd", , "LAST", Main_L[[#This Row],[Symbol]])</f>
        <v>128.46</v>
      </c>
      <c r="E57">
        <v>9.75</v>
      </c>
      <c r="F57">
        <v>40.5</v>
      </c>
      <c r="G57">
        <v>4.82</v>
      </c>
      <c r="H57" s="1">
        <f>IF(ISNUMBER(Main_L[[#This Row],[Free CF]]),IF(Main_L[[#This Row],[Free CF]]&lt;&gt;0,Main_L[[#This Row],[Current Price]]/Main_L[[#This Row],[Free CF]],""),"")</f>
        <v>13.175384615384615</v>
      </c>
      <c r="I57" s="1">
        <f>IF(ISNUMBER(Main_L[[#This Row],[BVPS]]),IF(Main_L[[#This Row],[BVPS]]&lt;&gt;0,Main_L[[#This Row],[Current Price]]/Main_L[[#This Row],[BVPS]],""),"")</f>
        <v>3.1718518518518519</v>
      </c>
      <c r="J57">
        <v>12.38</v>
      </c>
      <c r="K57">
        <v>5.92</v>
      </c>
      <c r="L57">
        <v>2.15</v>
      </c>
      <c r="M57" s="1">
        <f>IF(ISNUMBER(Main_L[[#This Row],[EPS]]),IF(Main_L[[#This Row],[EPS]]&lt;&gt;0,Main_L[[#This Row],[Current Price]]/Main_L[[#This Row],[EPS]],""),"")</f>
        <v>26.651452282157678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-1.2691303871828998</v>
      </c>
      <c r="P57" s="1">
        <f>(Main_L[[#This Row],[P/B]]-VLOOKUP(Main_L[[#This Row],[Industry]], Mean_PB_L, 2, FALSE))/(VLOOKUP(Main_L[[#This Row],[Industry]], Mean_PB_L, 3, FALSE))</f>
        <v>-0.70533106281817315</v>
      </c>
      <c r="Q57" s="1">
        <f>(Main_L[[#This Row],[ROE]]-VLOOKUP(Main_L[[#This Row],[Industry]], Mean_ROE_L, 2, FALSE))/(VLOOKUP(Main_L[[#This Row],[Industry]], Mean_ROE_L, 3, FALSE))</f>
        <v>-0.32422702139203485</v>
      </c>
      <c r="R57" s="1">
        <f>(Main_L[[#This Row],[ROA]]-VLOOKUP(Main_L[[#This Row],[Industry]], Mean_ROA_L, 2, FALSE))/(VLOOKUP(Main_L[[#This Row],[Industry]], Mean_ROA_L, 3, FALSE))</f>
        <v>-0.56205383803708298</v>
      </c>
      <c r="S57" s="1">
        <f>(Main_L[[#This Row],[A/E]]-VLOOKUP(Main_L[[#This Row],[Industry]], Mean_AE_L, 2, FALSE))/(VLOOKUP(Main_L[[#This Row],[Industry]], Mean_AE_L, 3, FALSE))</f>
        <v>5.6922672230491217E-2</v>
      </c>
      <c r="T57" s="1">
        <f>(Main_L[[#This Row],[P/E]]-VLOOKUP(Main_L[[#This Row],[Industry]], Mean_PE_L, 2, FALSE))/(VLOOKUP(Main_L[[#This Row],[Industry]], Mean_PE_L, 3, FALSE))</f>
        <v>-0.61138440127054994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142</v>
      </c>
      <c r="B58" t="s">
        <v>148</v>
      </c>
      <c r="C58" s="2">
        <v>24794</v>
      </c>
      <c r="D58">
        <f>RTD("tos.rtd", , "LAST", Main_L[[#This Row],[Symbol]])</f>
        <v>392.34</v>
      </c>
      <c r="E58">
        <v>13.6</v>
      </c>
      <c r="F58">
        <v>59.9</v>
      </c>
      <c r="G58">
        <v>13.89</v>
      </c>
      <c r="H58" s="1">
        <f>IF(ISNUMBER(Main_L[[#This Row],[Free CF]]),IF(Main_L[[#This Row],[Free CF]]&lt;&gt;0,Main_L[[#This Row],[Current Price]]/Main_L[[#This Row],[Free CF]],""),"")</f>
        <v>28.848529411764705</v>
      </c>
      <c r="I58" s="1">
        <f>IF(ISNUMBER(Main_L[[#This Row],[BVPS]]),IF(Main_L[[#This Row],[BVPS]]&lt;&gt;0,Main_L[[#This Row],[Current Price]]/Main_L[[#This Row],[BVPS]],""),"")</f>
        <v>6.5499165275459097</v>
      </c>
      <c r="J58">
        <v>25.34</v>
      </c>
      <c r="K58">
        <v>10.55</v>
      </c>
      <c r="L58">
        <v>2.16</v>
      </c>
      <c r="M58" s="1">
        <f>IF(ISNUMBER(Main_L[[#This Row],[EPS]]),IF(Main_L[[#This Row],[EPS]]&lt;&gt;0,Main_L[[#This Row],[Current Price]]/Main_L[[#This Row],[EPS]],""),"")</f>
        <v>28.246220302375807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-2.1092901215744329E-2</v>
      </c>
      <c r="P58" s="1">
        <f>(Main_L[[#This Row],[P/B]]-VLOOKUP(Main_L[[#This Row],[Industry]], Mean_PB_L, 2, FALSE))/(VLOOKUP(Main_L[[#This Row],[Industry]], Mean_PB_L, 3, FALSE))</f>
        <v>0.31836781871029424</v>
      </c>
      <c r="Q58" s="1">
        <f>(Main_L[[#This Row],[ROE]]-VLOOKUP(Main_L[[#This Row],[Industry]], Mean_ROE_L, 2, FALSE))/(VLOOKUP(Main_L[[#This Row],[Industry]], Mean_ROE_L, 3, FALSE))</f>
        <v>0.91429934971322946</v>
      </c>
      <c r="R58" s="1">
        <f>(Main_L[[#This Row],[ROA]]-VLOOKUP(Main_L[[#This Row],[Industry]], Mean_ROA_L, 2, FALSE))/(VLOOKUP(Main_L[[#This Row],[Industry]], Mean_ROA_L, 3, FALSE))</f>
        <v>1.5281544110486136</v>
      </c>
      <c r="S58" s="1">
        <f>(Main_L[[#This Row],[A/E]]-VLOOKUP(Main_L[[#This Row],[Industry]], Mean_AE_L, 2, FALSE))/(VLOOKUP(Main_L[[#This Row],[Industry]], Mean_AE_L, 3, FALSE))</f>
        <v>7.9196761364162205E-2</v>
      </c>
      <c r="T58" s="1">
        <f>(Main_L[[#This Row],[P/E]]-VLOOKUP(Main_L[[#This Row],[Industry]], Mean_PE_L, 2, FALSE))/(VLOOKUP(Main_L[[#This Row],[Industry]], Mean_PE_L, 3, FALSE))</f>
        <v>-0.42721707280731397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t="s">
        <v>142</v>
      </c>
      <c r="B59" t="s">
        <v>149</v>
      </c>
      <c r="C59" s="2">
        <v>12673</v>
      </c>
      <c r="D59">
        <f>RTD("tos.rtd", , "LAST", Main_L[[#This Row],[Symbol]])</f>
        <v>68.319999999999993</v>
      </c>
      <c r="E59">
        <v>3.51</v>
      </c>
      <c r="F59">
        <v>19.920000000000002</v>
      </c>
      <c r="G59">
        <v>3.43</v>
      </c>
      <c r="H59" s="1">
        <f>IF(ISNUMBER(Main_L[[#This Row],[Free CF]]),IF(Main_L[[#This Row],[Free CF]]&lt;&gt;0,Main_L[[#This Row],[Current Price]]/Main_L[[#This Row],[Free CF]],""),"")</f>
        <v>19.464387464387464</v>
      </c>
      <c r="I59" s="1">
        <f>IF(ISNUMBER(Main_L[[#This Row],[BVPS]]),IF(Main_L[[#This Row],[BVPS]]&lt;&gt;0,Main_L[[#This Row],[Current Price]]/Main_L[[#This Row],[BVPS]],""),"")</f>
        <v>3.4297188755020076</v>
      </c>
      <c r="J59">
        <v>18.53</v>
      </c>
      <c r="K59">
        <v>6.32</v>
      </c>
      <c r="L59">
        <v>2.11</v>
      </c>
      <c r="M59" s="1">
        <f>IF(ISNUMBER(Main_L[[#This Row],[EPS]]),IF(Main_L[[#This Row],[EPS]]&lt;&gt;0,Main_L[[#This Row],[Current Price]]/Main_L[[#This Row],[EPS]],""),"")</f>
        <v>19.918367346938773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9" s="1">
        <f>(Main_L[[#This Row],[P/FCF]]-VLOOKUP(Main_L[[#This Row],[Industry]], Mean_PFCF_L, 2, FALSE))/(VLOOKUP(Main_L[[#This Row],[Industry]], Mean_PFCF_L, 3, FALSE))</f>
        <v>-0.7683431229241916</v>
      </c>
      <c r="P59" s="1">
        <f>(Main_L[[#This Row],[P/B]]-VLOOKUP(Main_L[[#This Row],[Industry]], Mean_PB_L, 2, FALSE))/(VLOOKUP(Main_L[[#This Row],[Industry]], Mean_PB_L, 3, FALSE))</f>
        <v>-0.62718626423183399</v>
      </c>
      <c r="Q59" s="1">
        <f>(Main_L[[#This Row],[ROE]]-VLOOKUP(Main_L[[#This Row],[Industry]], Mean_ROE_L, 2, FALSE))/(VLOOKUP(Main_L[[#This Row],[Industry]], Mean_ROE_L, 3, FALSE))</f>
        <v>0.2634996130444911</v>
      </c>
      <c r="R59" s="1">
        <f>(Main_L[[#This Row],[ROA]]-VLOOKUP(Main_L[[#This Row],[Industry]], Mean_ROA_L, 2, FALSE))/(VLOOKUP(Main_L[[#This Row],[Industry]], Mean_ROA_L, 3, FALSE))</f>
        <v>-0.38147429167978719</v>
      </c>
      <c r="S59" s="1">
        <f>(Main_L[[#This Row],[A/E]]-VLOOKUP(Main_L[[#This Row],[Industry]], Mean_AE_L, 2, FALSE))/(VLOOKUP(Main_L[[#This Row],[Industry]], Mean_AE_L, 3, FALSE))</f>
        <v>-3.2173684304190771E-2</v>
      </c>
      <c r="T59" s="1">
        <f>(Main_L[[#This Row],[P/E]]-VLOOKUP(Main_L[[#This Row],[Industry]], Mean_PE_L, 2, FALSE))/(VLOOKUP(Main_L[[#This Row],[Industry]], Mean_PE_L, 3, FALSE))</f>
        <v>-1.3889359003692836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142</v>
      </c>
      <c r="B60" t="s">
        <v>150</v>
      </c>
      <c r="C60" s="2">
        <v>33352</v>
      </c>
      <c r="D60">
        <f>RTD("tos.rtd", , "LAST", Main_L[[#This Row],[Symbol]])</f>
        <v>324.35000000000002</v>
      </c>
      <c r="E60">
        <v>5.61</v>
      </c>
      <c r="F60">
        <v>30.93</v>
      </c>
      <c r="G60">
        <v>8.2799999999999994</v>
      </c>
      <c r="H60" s="1">
        <f>IF(ISNUMBER(Main_L[[#This Row],[Free CF]]),IF(Main_L[[#This Row],[Free CF]]&lt;&gt;0,Main_L[[#This Row],[Current Price]]/Main_L[[#This Row],[Free CF]],""),"")</f>
        <v>57.816399286987526</v>
      </c>
      <c r="I60" s="1">
        <f>IF(ISNUMBER(Main_L[[#This Row],[BVPS]]),IF(Main_L[[#This Row],[BVPS]]&lt;&gt;0,Main_L[[#This Row],[Current Price]]/Main_L[[#This Row],[BVPS]],""),"")</f>
        <v>10.486582605884255</v>
      </c>
      <c r="J60">
        <v>25.54</v>
      </c>
      <c r="K60">
        <v>7.25</v>
      </c>
      <c r="L60">
        <v>3.21</v>
      </c>
      <c r="M60" s="1">
        <f>IF(ISNUMBER(Main_L[[#This Row],[EPS]]),IF(Main_L[[#This Row],[EPS]]&lt;&gt;0,Main_L[[#This Row],[Current Price]]/Main_L[[#This Row],[EPS]],""),"")</f>
        <v>39.172705314009669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2.2855907900653301</v>
      </c>
      <c r="P60" s="1">
        <f>(Main_L[[#This Row],[P/B]]-VLOOKUP(Main_L[[#This Row],[Industry]], Mean_PB_L, 2, FALSE))/(VLOOKUP(Main_L[[#This Row],[Industry]], Mean_PB_L, 3, FALSE))</f>
        <v>1.5113469497324157</v>
      </c>
      <c r="Q60" s="1">
        <f>(Main_L[[#This Row],[ROE]]-VLOOKUP(Main_L[[#This Row],[Industry]], Mean_ROE_L, 2, FALSE))/(VLOOKUP(Main_L[[#This Row],[Industry]], Mean_ROE_L, 3, FALSE))</f>
        <v>0.93341241099571803</v>
      </c>
      <c r="R60" s="1">
        <f>(Main_L[[#This Row],[ROA]]-VLOOKUP(Main_L[[#This Row],[Industry]], Mean_ROA_L, 2, FALSE))/(VLOOKUP(Main_L[[#This Row],[Industry]], Mean_ROA_L, 3, FALSE))</f>
        <v>3.8373153600924893E-2</v>
      </c>
      <c r="S60" s="1">
        <f>(Main_L[[#This Row],[A/E]]-VLOOKUP(Main_L[[#This Row],[Industry]], Mean_AE_L, 2, FALSE))/(VLOOKUP(Main_L[[#This Row],[Industry]], Mean_AE_L, 3, FALSE))</f>
        <v>2.4179761203995618</v>
      </c>
      <c r="T60" s="1">
        <f>(Main_L[[#This Row],[P/E]]-VLOOKUP(Main_L[[#This Row],[Industry]], Mean_PE_L, 2, FALSE))/(VLOOKUP(Main_L[[#This Row],[Industry]], Mean_PE_L, 3, FALSE))</f>
        <v>0.83459751625809719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142</v>
      </c>
      <c r="B61" t="s">
        <v>151</v>
      </c>
      <c r="C61" s="2">
        <v>11289</v>
      </c>
      <c r="D61">
        <f>RTD("tos.rtd", , "LAST", Main_L[[#This Row],[Symbol]])</f>
        <v>142.09</v>
      </c>
      <c r="E61">
        <v>7.34</v>
      </c>
      <c r="F61">
        <v>97.78</v>
      </c>
      <c r="G61">
        <v>3.16</v>
      </c>
      <c r="H61" s="1">
        <f>IF(ISNUMBER(Main_L[[#This Row],[Free CF]]),IF(Main_L[[#This Row],[Free CF]]&lt;&gt;0,Main_L[[#This Row],[Current Price]]/Main_L[[#This Row],[Free CF]],""),"")</f>
        <v>19.358310626702998</v>
      </c>
      <c r="I61" s="1">
        <f>IF(ISNUMBER(Main_L[[#This Row],[BVPS]]),IF(Main_L[[#This Row],[BVPS]]&lt;&gt;0,Main_L[[#This Row],[Current Price]]/Main_L[[#This Row],[BVPS]],""),"")</f>
        <v>1.4531601554510125</v>
      </c>
      <c r="J61">
        <v>3.36</v>
      </c>
      <c r="K61">
        <v>3.11</v>
      </c>
      <c r="L61">
        <v>2.25</v>
      </c>
      <c r="M61" s="1">
        <f>IF(ISNUMBER(Main_L[[#This Row],[EPS]]),IF(Main_L[[#This Row],[EPS]]&lt;&gt;0,Main_L[[#This Row],[Current Price]]/Main_L[[#This Row],[EPS]],""),"")</f>
        <v>44.965189873417721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-0.77678991975679945</v>
      </c>
      <c r="P61" s="1">
        <f>(Main_L[[#This Row],[P/B]]-VLOOKUP(Main_L[[#This Row],[Industry]], Mean_PB_L, 2, FALSE))/(VLOOKUP(Main_L[[#This Row],[Industry]], Mean_PB_L, 3, FALSE))</f>
        <v>-1.2261685648225751</v>
      </c>
      <c r="Q61" s="1">
        <f>(Main_L[[#This Row],[ROE]]-VLOOKUP(Main_L[[#This Row],[Industry]], Mean_ROE_L, 2, FALSE))/(VLOOKUP(Main_L[[#This Row],[Industry]], Mean_ROE_L, 3, FALSE))</f>
        <v>-1.186226085232273</v>
      </c>
      <c r="R61" s="1">
        <f>(Main_L[[#This Row],[ROA]]-VLOOKUP(Main_L[[#This Row],[Industry]], Mean_ROA_L, 2, FALSE))/(VLOOKUP(Main_L[[#This Row],[Industry]], Mean_ROA_L, 3, FALSE))</f>
        <v>-1.8306251511970846</v>
      </c>
      <c r="S61" s="1">
        <f>(Main_L[[#This Row],[A/E]]-VLOOKUP(Main_L[[#This Row],[Industry]], Mean_AE_L, 2, FALSE))/(VLOOKUP(Main_L[[#This Row],[Industry]], Mean_AE_L, 3, FALSE))</f>
        <v>0.27966356356719618</v>
      </c>
      <c r="T61" s="1">
        <f>(Main_L[[#This Row],[P/E]]-VLOOKUP(Main_L[[#This Row],[Industry]], Mean_PE_L, 2, FALSE))/(VLOOKUP(Main_L[[#This Row],[Industry]], Mean_PE_L, 3, FALSE))</f>
        <v>1.5035264093298386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142</v>
      </c>
      <c r="B62" t="s">
        <v>152</v>
      </c>
      <c r="C62" s="2">
        <v>50239</v>
      </c>
      <c r="D62">
        <f>RTD("tos.rtd", , "LAST", Main_L[[#This Row],[Symbol]])</f>
        <v>112</v>
      </c>
      <c r="E62">
        <v>2.86</v>
      </c>
      <c r="F62">
        <v>4.83</v>
      </c>
      <c r="G62">
        <v>1.5</v>
      </c>
      <c r="H62" s="1">
        <f>IF(ISNUMBER(Main_L[[#This Row],[Free CF]]),IF(Main_L[[#This Row],[Free CF]]&lt;&gt;0,Main_L[[#This Row],[Current Price]]/Main_L[[#This Row],[Free CF]],""),"")</f>
        <v>39.16083916083916</v>
      </c>
      <c r="I62" s="1">
        <f>IF(ISNUMBER(Main_L[[#This Row],[BVPS]]),IF(Main_L[[#This Row],[BVPS]]&lt;&gt;0,Main_L[[#This Row],[Current Price]]/Main_L[[#This Row],[BVPS]],""),"")</f>
        <v>23.188405797101449</v>
      </c>
      <c r="J62">
        <v>32.96</v>
      </c>
      <c r="K62">
        <v>9.32</v>
      </c>
      <c r="L62">
        <v>4.9000000000000004</v>
      </c>
      <c r="M62" s="1">
        <f>IF(ISNUMBER(Main_L[[#This Row],[EPS]]),IF(Main_L[[#This Row],[EPS]]&lt;&gt;0,Main_L[[#This Row],[Current Price]]/Main_L[[#This Row],[EPS]],""),"")</f>
        <v>74.666666666666671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0.80006643221439111</v>
      </c>
      <c r="P62" s="1">
        <f>(Main_L[[#This Row],[P/B]]-VLOOKUP(Main_L[[#This Row],[Industry]], Mean_PB_L, 2, FALSE))/(VLOOKUP(Main_L[[#This Row],[Industry]], Mean_PB_L, 3, FALSE))</f>
        <v>5.3605456603964807</v>
      </c>
      <c r="Q62" s="1">
        <f>(Main_L[[#This Row],[ROE]]-VLOOKUP(Main_L[[#This Row],[Industry]], Mean_ROE_L, 2, FALSE))/(VLOOKUP(Main_L[[#This Row],[Industry]], Mean_ROE_L, 3, FALSE))</f>
        <v>1.6425069845760474</v>
      </c>
      <c r="R62" s="1">
        <f>(Main_L[[#This Row],[ROA]]-VLOOKUP(Main_L[[#This Row],[Industry]], Mean_ROA_L, 2, FALSE))/(VLOOKUP(Main_L[[#This Row],[Industry]], Mean_ROA_L, 3, FALSE))</f>
        <v>0.97287230599992958</v>
      </c>
      <c r="S62" s="1">
        <f>(Main_L[[#This Row],[A/E]]-VLOOKUP(Main_L[[#This Row],[Industry]], Mean_AE_L, 2, FALSE))/(VLOOKUP(Main_L[[#This Row],[Industry]], Mean_AE_L, 3, FALSE))</f>
        <v>6.1822971839898733</v>
      </c>
      <c r="T62" s="1">
        <f>(Main_L[[#This Row],[P/E]]-VLOOKUP(Main_L[[#This Row],[Industry]], Mean_PE_L, 2, FALSE))/(VLOOKUP(Main_L[[#This Row],[Industry]], Mean_PE_L, 3, FALSE))</f>
        <v>4.9335184602597781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3" spans="1:26" x14ac:dyDescent="0.25">
      <c r="A63" t="s">
        <v>142</v>
      </c>
      <c r="B63" t="s">
        <v>153</v>
      </c>
      <c r="C63" s="2">
        <v>95517</v>
      </c>
      <c r="D63">
        <f>RTD("tos.rtd", , "LAST", Main_L[[#This Row],[Symbol]])</f>
        <v>480</v>
      </c>
      <c r="E63">
        <v>10.09</v>
      </c>
      <c r="F63">
        <v>34.51</v>
      </c>
      <c r="G63">
        <v>4.59</v>
      </c>
      <c r="H63" s="1">
        <f>IF(ISNUMBER(Main_L[[#This Row],[Free CF]]),IF(Main_L[[#This Row],[Free CF]]&lt;&gt;0,Main_L[[#This Row],[Current Price]]/Main_L[[#This Row],[Free CF]],""),"")</f>
        <v>47.571853320118933</v>
      </c>
      <c r="I63" s="1">
        <f>IF(ISNUMBER(Main_L[[#This Row],[BVPS]]),IF(Main_L[[#This Row],[BVPS]]&lt;&gt;0,Main_L[[#This Row],[Current Price]]/Main_L[[#This Row],[BVPS]],""),"")</f>
        <v>13.909011880614315</v>
      </c>
      <c r="J63">
        <v>-4.74</v>
      </c>
      <c r="K63">
        <v>-0.6</v>
      </c>
      <c r="L63">
        <v>5.35</v>
      </c>
      <c r="M63" s="1">
        <f>IF(ISNUMBER(Main_L[[#This Row],[EPS]]),IF(Main_L[[#This Row],[EPS]]&lt;&gt;0,Main_L[[#This Row],[Current Price]]/Main_L[[#This Row],[EPS]],""),"")</f>
        <v>104.57516339869281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1.4698274216111171</v>
      </c>
      <c r="P63" s="1">
        <f>(Main_L[[#This Row],[P/B]]-VLOOKUP(Main_L[[#This Row],[Industry]], Mean_PB_L, 2, FALSE))/(VLOOKUP(Main_L[[#This Row],[Industry]], Mean_PB_L, 3, FALSE))</f>
        <v>2.5484902128144373</v>
      </c>
      <c r="Q63" s="1">
        <f>(Main_L[[#This Row],[ROE]]-VLOOKUP(Main_L[[#This Row],[Industry]], Mean_ROE_L, 2, FALSE))/(VLOOKUP(Main_L[[#This Row],[Industry]], Mean_ROE_L, 3, FALSE))</f>
        <v>-1.9603050671730633</v>
      </c>
      <c r="R63" s="1">
        <f>(Main_L[[#This Row],[ROA]]-VLOOKUP(Main_L[[#This Row],[Industry]], Mean_ROA_L, 2, FALSE))/(VLOOKUP(Main_L[[#This Row],[Industry]], Mean_ROA_L, 3, FALSE))</f>
        <v>-3.5055004436610004</v>
      </c>
      <c r="S63" s="1">
        <f>(Main_L[[#This Row],[A/E]]-VLOOKUP(Main_L[[#This Row],[Industry]], Mean_AE_L, 2, FALSE))/(VLOOKUP(Main_L[[#This Row],[Industry]], Mean_AE_L, 3, FALSE))</f>
        <v>7.1846311950050437</v>
      </c>
      <c r="T63" s="1">
        <f>(Main_L[[#This Row],[P/E]]-VLOOKUP(Main_L[[#This Row],[Industry]], Mean_PE_L, 2, FALSE))/(VLOOKUP(Main_L[[#This Row],[Industry]], Mean_PE_L, 3, FALSE))</f>
        <v>8.3874176303317238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4" spans="1:26" x14ac:dyDescent="0.25">
      <c r="A64" t="s">
        <v>236</v>
      </c>
      <c r="B64" t="s">
        <v>237</v>
      </c>
      <c r="C64" s="2">
        <v>67256</v>
      </c>
      <c r="D64">
        <f>RTD("tos.rtd", , "LAST", Main_L[[#This Row],[Symbol]])</f>
        <v>104.6</v>
      </c>
      <c r="E64">
        <v>4.1500000000000004</v>
      </c>
      <c r="F64">
        <v>22.88</v>
      </c>
      <c r="G64">
        <v>6.28</v>
      </c>
      <c r="H64" s="1">
        <f>IF(ISNUMBER(Main_L[[#This Row],[Free CF]]),IF(Main_L[[#This Row],[Free CF]]&lt;&gt;0,Main_L[[#This Row],[Current Price]]/Main_L[[#This Row],[Free CF]],""),"")</f>
        <v>25.204819277108431</v>
      </c>
      <c r="I64" s="1">
        <f>IF(ISNUMBER(Main_L[[#This Row],[BVPS]]),IF(Main_L[[#This Row],[BVPS]]&lt;&gt;0,Main_L[[#This Row],[Current Price]]/Main_L[[#This Row],[BVPS]],""),"")</f>
        <v>4.5716783216783217</v>
      </c>
      <c r="J64">
        <v>27.55</v>
      </c>
      <c r="K64">
        <v>8.18</v>
      </c>
      <c r="L64">
        <v>2.8</v>
      </c>
      <c r="M64" s="1">
        <f>IF(ISNUMBER(Main_L[[#This Row],[EPS]]),IF(Main_L[[#This Row],[EPS]]&lt;&gt;0,Main_L[[#This Row],[Current Price]]/Main_L[[#This Row],[EPS]],""),"")</f>
        <v>16.65605095541401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0.26800536782732803</v>
      </c>
      <c r="P64" s="1">
        <f>(Main_L[[#This Row],[P/B]]-VLOOKUP(Main_L[[#This Row],[Industry]], Mean_PB_L, 2, FALSE))/(VLOOKUP(Main_L[[#This Row],[Industry]], Mean_PB_L, 3, FALSE))</f>
        <v>-0.21620816709887666</v>
      </c>
      <c r="Q64" s="1">
        <f>(Main_L[[#This Row],[ROE]]-VLOOKUP(Main_L[[#This Row],[Industry]], Mean_ROE_L, 2, FALSE))/(VLOOKUP(Main_L[[#This Row],[Industry]], Mean_ROE_L, 3, FALSE))</f>
        <v>0.540504603474112</v>
      </c>
      <c r="R64" s="1">
        <f>(Main_L[[#This Row],[ROA]]-VLOOKUP(Main_L[[#This Row],[Industry]], Mean_ROA_L, 2, FALSE))/(VLOOKUP(Main_L[[#This Row],[Industry]], Mean_ROA_L, 3, FALSE))</f>
        <v>0.73235808288816762</v>
      </c>
      <c r="S64" s="1">
        <f>(Main_L[[#This Row],[A/E]]-VLOOKUP(Main_L[[#This Row],[Industry]], Mean_AE_L, 2, FALSE))/(VLOOKUP(Main_L[[#This Row],[Industry]], Mean_AE_L, 3, FALSE))</f>
        <v>0.14338961018724772</v>
      </c>
      <c r="T64" s="1">
        <f>(Main_L[[#This Row],[P/E]]-VLOOKUP(Main_L[[#This Row],[Industry]], Mean_PE_L, 2, FALSE))/(VLOOKUP(Main_L[[#This Row],[Industry]], Mean_PE_L, 3, FALSE))</f>
        <v>-1.0664065928479927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236</v>
      </c>
      <c r="B65" t="s">
        <v>238</v>
      </c>
      <c r="C65" s="2">
        <v>70290</v>
      </c>
      <c r="D65">
        <f>RTD("tos.rtd", , "LAST", Main_L[[#This Row],[Symbol]])</f>
        <v>81.66</v>
      </c>
      <c r="E65">
        <v>1.65</v>
      </c>
      <c r="F65">
        <v>34.979999999999997</v>
      </c>
      <c r="G65">
        <v>2.8</v>
      </c>
      <c r="H65" s="1">
        <f>IF(ISNUMBER(Main_L[[#This Row],[Free CF]]),IF(Main_L[[#This Row],[Free CF]]&lt;&gt;0,Main_L[[#This Row],[Current Price]]/Main_L[[#This Row],[Free CF]],""),"")</f>
        <v>49.490909090909092</v>
      </c>
      <c r="I65" s="1">
        <f>IF(ISNUMBER(Main_L[[#This Row],[BVPS]]),IF(Main_L[[#This Row],[BVPS]]&lt;&gt;0,Main_L[[#This Row],[Current Price]]/Main_L[[#This Row],[BVPS]],""),"")</f>
        <v>2.3344768439108061</v>
      </c>
      <c r="J65">
        <v>8.09</v>
      </c>
      <c r="K65">
        <v>4.4000000000000004</v>
      </c>
      <c r="L65">
        <v>1.86</v>
      </c>
      <c r="M65" s="1">
        <f>IF(ISNUMBER(Main_L[[#This Row],[EPS]]),IF(Main_L[[#This Row],[EPS]]&lt;&gt;0,Main_L[[#This Row],[Current Price]]/Main_L[[#This Row],[EPS]],""),"")</f>
        <v>29.164285714285715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1.3590187888034448</v>
      </c>
      <c r="P65" s="1">
        <f>(Main_L[[#This Row],[P/B]]-VLOOKUP(Main_L[[#This Row],[Industry]], Mean_PB_L, 2, FALSE))/(VLOOKUP(Main_L[[#This Row],[Industry]], Mean_PB_L, 3, FALSE))</f>
        <v>-0.89847599196973749</v>
      </c>
      <c r="Q65" s="1">
        <f>(Main_L[[#This Row],[ROE]]-VLOOKUP(Main_L[[#This Row],[Industry]], Mean_ROE_L, 2, FALSE))/(VLOOKUP(Main_L[[#This Row],[Industry]], Mean_ROE_L, 3, FALSE))</f>
        <v>-1.2717797515541296</v>
      </c>
      <c r="R65" s="1">
        <f>(Main_L[[#This Row],[ROA]]-VLOOKUP(Main_L[[#This Row],[Industry]], Mean_ROA_L, 2, FALSE))/(VLOOKUP(Main_L[[#This Row],[Industry]], Mean_ROA_L, 3, FALSE))</f>
        <v>-0.80559389117698355</v>
      </c>
      <c r="S65" s="1">
        <f>(Main_L[[#This Row],[A/E]]-VLOOKUP(Main_L[[#This Row],[Industry]], Mean_AE_L, 2, FALSE))/(VLOOKUP(Main_L[[#This Row],[Industry]], Mean_AE_L, 3, FALSE))</f>
        <v>-0.74606269259862845</v>
      </c>
      <c r="T65" s="1">
        <f>(Main_L[[#This Row],[P/E]]-VLOOKUP(Main_L[[#This Row],[Industry]], Mean_PE_L, 2, FALSE))/(VLOOKUP(Main_L[[#This Row],[Industry]], Mean_PE_L, 3, FALSE))</f>
        <v>0.68680724820156713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236</v>
      </c>
      <c r="B66" t="s">
        <v>239</v>
      </c>
      <c r="C66" s="2">
        <v>66434</v>
      </c>
      <c r="D66">
        <f>RTD("tos.rtd", , "LAST", Main_L[[#This Row],[Symbol]])</f>
        <v>31.98</v>
      </c>
      <c r="E66">
        <v>1.53</v>
      </c>
      <c r="F66">
        <v>6.71</v>
      </c>
      <c r="G66">
        <v>1.88</v>
      </c>
      <c r="H66" s="1">
        <f>IF(ISNUMBER(Main_L[[#This Row],[Free CF]]),IF(Main_L[[#This Row],[Free CF]]&lt;&gt;0,Main_L[[#This Row],[Current Price]]/Main_L[[#This Row],[Free CF]],""),"")</f>
        <v>20.901960784313726</v>
      </c>
      <c r="I66" s="1">
        <f>IF(ISNUMBER(Main_L[[#This Row],[BVPS]]),IF(Main_L[[#This Row],[BVPS]]&lt;&gt;0,Main_L[[#This Row],[Current Price]]/Main_L[[#This Row],[BVPS]],""),"")</f>
        <v>4.7660208643815203</v>
      </c>
      <c r="J66">
        <v>29.46</v>
      </c>
      <c r="K66">
        <v>8.16</v>
      </c>
      <c r="L66">
        <v>3.33</v>
      </c>
      <c r="M66" s="1">
        <f>IF(ISNUMBER(Main_L[[#This Row],[EPS]]),IF(Main_L[[#This Row],[EPS]]&lt;&gt;0,Main_L[[#This Row],[Current Price]]/Main_L[[#This Row],[EPS]],""),"")</f>
        <v>17.01063829787234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7.470638885655792E-2</v>
      </c>
      <c r="P66" s="1">
        <f>(Main_L[[#This Row],[P/B]]-VLOOKUP(Main_L[[#This Row],[Industry]], Mean_PB_L, 2, FALSE))/(VLOOKUP(Main_L[[#This Row],[Industry]], Mean_PB_L, 3, FALSE))</f>
        <v>-0.15694052169114261</v>
      </c>
      <c r="Q66" s="1">
        <f>(Main_L[[#This Row],[ROE]]-VLOOKUP(Main_L[[#This Row],[Industry]], Mean_ROE_L, 2, FALSE))/(VLOOKUP(Main_L[[#This Row],[Industry]], Mean_ROE_L, 3, FALSE))</f>
        <v>0.71838040604882636</v>
      </c>
      <c r="R66" s="1">
        <f>(Main_L[[#This Row],[ROA]]-VLOOKUP(Main_L[[#This Row],[Industry]], Mean_ROA_L, 2, FALSE))/(VLOOKUP(Main_L[[#This Row],[Industry]], Mean_ROA_L, 3, FALSE))</f>
        <v>0.72422077085607706</v>
      </c>
      <c r="S66" s="1">
        <f>(Main_L[[#This Row],[A/E]]-VLOOKUP(Main_L[[#This Row],[Industry]], Mean_AE_L, 2, FALSE))/(VLOOKUP(Main_L[[#This Row],[Industry]], Mean_AE_L, 3, FALSE))</f>
        <v>0.64488931282183792</v>
      </c>
      <c r="T66" s="1">
        <f>(Main_L[[#This Row],[P/E]]-VLOOKUP(Main_L[[#This Row],[Industry]], Mean_PE_L, 2, FALSE))/(VLOOKUP(Main_L[[#This Row],[Industry]], Mean_PE_L, 3, FALSE))</f>
        <v>-1.016705939746803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t="s">
        <v>236</v>
      </c>
      <c r="B67" t="s">
        <v>240</v>
      </c>
      <c r="C67" s="2">
        <v>58999</v>
      </c>
      <c r="D67">
        <f>RTD("tos.rtd", , "LAST", Main_L[[#This Row],[Symbol]])</f>
        <v>250.57</v>
      </c>
      <c r="E67">
        <v>-1.89</v>
      </c>
      <c r="F67">
        <v>60.93</v>
      </c>
      <c r="G67">
        <v>10.66</v>
      </c>
      <c r="H67" s="1">
        <f>IF(ISNUMBER(Main_L[[#This Row],[Free CF]]),IF(Main_L[[#This Row],[Free CF]]&lt;&gt;0,Main_L[[#This Row],[Current Price]]/Main_L[[#This Row],[Free CF]],""),"")</f>
        <v>-132.57671957671957</v>
      </c>
      <c r="I67" s="1">
        <f>IF(ISNUMBER(Main_L[[#This Row],[BVPS]]),IF(Main_L[[#This Row],[BVPS]]&lt;&gt;0,Main_L[[#This Row],[Current Price]]/Main_L[[#This Row],[BVPS]],""),"")</f>
        <v>4.1124240932217297</v>
      </c>
      <c r="J67">
        <v>18.3</v>
      </c>
      <c r="K67">
        <v>6.77</v>
      </c>
      <c r="L67">
        <v>3.14</v>
      </c>
      <c r="M67" s="1">
        <f>IF(ISNUMBER(Main_L[[#This Row],[EPS]]),IF(Main_L[[#This Row],[EPS]]&lt;&gt;0,Main_L[[#This Row],[Current Price]]/Main_L[[#This Row],[EPS]],""),"")</f>
        <v>23.505628517823638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-6.8200758256289671</v>
      </c>
      <c r="P67" s="1">
        <f>(Main_L[[#This Row],[P/B]]-VLOOKUP(Main_L[[#This Row],[Industry]], Mean_PB_L, 2, FALSE))/(VLOOKUP(Main_L[[#This Row],[Industry]], Mean_PB_L, 3, FALSE))</f>
        <v>-0.35626456641097531</v>
      </c>
      <c r="Q67" s="1">
        <f>(Main_L[[#This Row],[ROE]]-VLOOKUP(Main_L[[#This Row],[Industry]], Mean_ROE_L, 2, FALSE))/(VLOOKUP(Main_L[[#This Row],[Industry]], Mean_ROE_L, 3, FALSE))</f>
        <v>-0.32093580166521141</v>
      </c>
      <c r="R67" s="1">
        <f>(Main_L[[#This Row],[ROA]]-VLOOKUP(Main_L[[#This Row],[Industry]], Mean_ROA_L, 2, FALSE))/(VLOOKUP(Main_L[[#This Row],[Industry]], Mean_ROA_L, 3, FALSE))</f>
        <v>0.15867758462576984</v>
      </c>
      <c r="S67" s="1">
        <f>(Main_L[[#This Row],[A/E]]-VLOOKUP(Main_L[[#This Row],[Industry]], Mean_AE_L, 2, FALSE))/(VLOOKUP(Main_L[[#This Row],[Industry]], Mean_AE_L, 3, FALSE))</f>
        <v>0.46510640055660757</v>
      </c>
      <c r="T67" s="1">
        <f>(Main_L[[#This Row],[P/E]]-VLOOKUP(Main_L[[#This Row],[Industry]], Mean_PE_L, 2, FALSE))/(VLOOKUP(Main_L[[#This Row],[Industry]], Mean_PE_L, 3, FALSE))</f>
        <v>-0.10633713306737798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236</v>
      </c>
      <c r="B68" t="s">
        <v>241</v>
      </c>
      <c r="C68" s="2">
        <v>141603</v>
      </c>
      <c r="D68">
        <f>RTD("tos.rtd", , "LAST", Main_L[[#This Row],[Symbol]])</f>
        <v>224.14</v>
      </c>
      <c r="E68">
        <v>9.08</v>
      </c>
      <c r="F68">
        <v>27.33</v>
      </c>
      <c r="G68">
        <v>10.88</v>
      </c>
      <c r="H68" s="1">
        <f>IF(ISNUMBER(Main_L[[#This Row],[Free CF]]),IF(Main_L[[#This Row],[Free CF]]&lt;&gt;0,Main_L[[#This Row],[Current Price]]/Main_L[[#This Row],[Free CF]],""),"")</f>
        <v>24.685022026431717</v>
      </c>
      <c r="I68" s="1">
        <f>IF(ISNUMBER(Main_L[[#This Row],[BVPS]]),IF(Main_L[[#This Row],[BVPS]]&lt;&gt;0,Main_L[[#This Row],[Current Price]]/Main_L[[#This Row],[BVPS]],""),"")</f>
        <v>8.2012440541529461</v>
      </c>
      <c r="J68">
        <v>43.4</v>
      </c>
      <c r="K68">
        <v>8.99</v>
      </c>
      <c r="L68">
        <v>4.07</v>
      </c>
      <c r="M68" s="1">
        <f>IF(ISNUMBER(Main_L[[#This Row],[EPS]]),IF(Main_L[[#This Row],[EPS]]&lt;&gt;0,Main_L[[#This Row],[Current Price]]/Main_L[[#This Row],[EPS]],""),"")</f>
        <v>20.601102941176467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0.24465431456915712</v>
      </c>
      <c r="P68" s="1">
        <f>(Main_L[[#This Row],[P/B]]-VLOOKUP(Main_L[[#This Row],[Industry]], Mean_PB_L, 2, FALSE))/(VLOOKUP(Main_L[[#This Row],[Industry]], Mean_PB_L, 3, FALSE))</f>
        <v>0.89068182118791339</v>
      </c>
      <c r="Q68" s="1">
        <f>(Main_L[[#This Row],[ROE]]-VLOOKUP(Main_L[[#This Row],[Industry]], Mean_ROE_L, 2, FALSE))/(VLOOKUP(Main_L[[#This Row],[Industry]], Mean_ROE_L, 3, FALSE))</f>
        <v>2.0165943787668983</v>
      </c>
      <c r="R68" s="1">
        <f>(Main_L[[#This Row],[ROA]]-VLOOKUP(Main_L[[#This Row],[Industry]], Mean_ROA_L, 2, FALSE))/(VLOOKUP(Main_L[[#This Row],[Industry]], Mean_ROA_L, 3, FALSE))</f>
        <v>1.0619192201878431</v>
      </c>
      <c r="S68" s="1">
        <f>(Main_L[[#This Row],[A/E]]-VLOOKUP(Main_L[[#This Row],[Industry]], Mean_AE_L, 2, FALSE))/(VLOOKUP(Main_L[[#This Row],[Industry]], Mean_AE_L, 3, FALSE))</f>
        <v>1.3450964448022089</v>
      </c>
      <c r="T68" s="1">
        <f>(Main_L[[#This Row],[P/E]]-VLOOKUP(Main_L[[#This Row],[Industry]], Mean_PE_L, 2, FALSE))/(VLOOKUP(Main_L[[#This Row],[Industry]], Mean_PE_L, 3, FALSE))</f>
        <v>-0.51344929084395752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t="s">
        <v>236</v>
      </c>
      <c r="B69" t="s">
        <v>242</v>
      </c>
      <c r="C69" s="2">
        <v>18249</v>
      </c>
      <c r="D69">
        <f>RTD("tos.rtd", , "LAST", Main_L[[#This Row],[Symbol]])</f>
        <v>141.63999999999999</v>
      </c>
      <c r="E69">
        <v>4.25</v>
      </c>
      <c r="F69">
        <v>39.67</v>
      </c>
      <c r="G69">
        <v>5.5</v>
      </c>
      <c r="H69" s="1">
        <f>IF(ISNUMBER(Main_L[[#This Row],[Free CF]]),IF(Main_L[[#This Row],[Free CF]]&lt;&gt;0,Main_L[[#This Row],[Current Price]]/Main_L[[#This Row],[Free CF]],""),"")</f>
        <v>33.327058823529406</v>
      </c>
      <c r="I69" s="1">
        <f>IF(ISNUMBER(Main_L[[#This Row],[BVPS]]),IF(Main_L[[#This Row],[BVPS]]&lt;&gt;0,Main_L[[#This Row],[Current Price]]/Main_L[[#This Row],[BVPS]],""),"")</f>
        <v>3.5704562641794801</v>
      </c>
      <c r="J69">
        <v>14.19</v>
      </c>
      <c r="K69">
        <v>6.19</v>
      </c>
      <c r="L69">
        <v>2.08</v>
      </c>
      <c r="M69" s="1">
        <f>IF(ISNUMBER(Main_L[[#This Row],[EPS]]),IF(Main_L[[#This Row],[EPS]]&lt;&gt;0,Main_L[[#This Row],[Current Price]]/Main_L[[#This Row],[EPS]],""),"")</f>
        <v>25.75272727272727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0.63288388147313879</v>
      </c>
      <c r="P69" s="1">
        <f>(Main_L[[#This Row],[P/B]]-VLOOKUP(Main_L[[#This Row],[Industry]], Mean_PB_L, 2, FALSE))/(VLOOKUP(Main_L[[#This Row],[Industry]], Mean_PB_L, 3, FALSE))</f>
        <v>-0.52154570695430524</v>
      </c>
      <c r="Q69" s="1">
        <f>(Main_L[[#This Row],[ROE]]-VLOOKUP(Main_L[[#This Row],[Industry]], Mean_ROE_L, 2, FALSE))/(VLOOKUP(Main_L[[#This Row],[Industry]], Mean_ROE_L, 3, FALSE))</f>
        <v>-0.70369472762441354</v>
      </c>
      <c r="R69" s="1">
        <f>(Main_L[[#This Row],[ROA]]-VLOOKUP(Main_L[[#This Row],[Industry]], Mean_ROA_L, 2, FALSE))/(VLOOKUP(Main_L[[#This Row],[Industry]], Mean_ROA_L, 3, FALSE))</f>
        <v>-7.7304464304861542E-2</v>
      </c>
      <c r="S69" s="1">
        <f>(Main_L[[#This Row],[A/E]]-VLOOKUP(Main_L[[#This Row],[Industry]], Mean_AE_L, 2, FALSE))/(VLOOKUP(Main_L[[#This Row],[Industry]], Mean_AE_L, 3, FALSE))</f>
        <v>-0.53789300471257229</v>
      </c>
      <c r="T69" s="1">
        <f>(Main_L[[#This Row],[P/E]]-VLOOKUP(Main_L[[#This Row],[Industry]], Mean_PE_L, 2, FALSE))/(VLOOKUP(Main_L[[#This Row],[Industry]], Mean_PE_L, 3, FALSE))</f>
        <v>0.20862694581737529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t="s">
        <v>236</v>
      </c>
      <c r="B70" t="s">
        <v>243</v>
      </c>
      <c r="C70" s="2">
        <v>43340</v>
      </c>
      <c r="D70">
        <f>RTD("tos.rtd", , "LAST", Main_L[[#This Row],[Symbol]])</f>
        <v>162.21</v>
      </c>
      <c r="E70">
        <v>4.57</v>
      </c>
      <c r="F70">
        <v>19.53</v>
      </c>
      <c r="G70">
        <v>5.72</v>
      </c>
      <c r="H70" s="1">
        <f>IF(ISNUMBER(Main_L[[#This Row],[Free CF]]),IF(Main_L[[#This Row],[Free CF]]&lt;&gt;0,Main_L[[#This Row],[Current Price]]/Main_L[[#This Row],[Free CF]],""),"")</f>
        <v>35.494529540481402</v>
      </c>
      <c r="I70" s="1">
        <f>IF(ISNUMBER(Main_L[[#This Row],[BVPS]]),IF(Main_L[[#This Row],[BVPS]]&lt;&gt;0,Main_L[[#This Row],[Current Price]]/Main_L[[#This Row],[BVPS]],""),"")</f>
        <v>8.3056835637480795</v>
      </c>
      <c r="J70">
        <v>30.24</v>
      </c>
      <c r="K70">
        <v>19.010000000000002</v>
      </c>
      <c r="L70">
        <v>1.3</v>
      </c>
      <c r="M70" s="1">
        <f>IF(ISNUMBER(Main_L[[#This Row],[EPS]]),IF(Main_L[[#This Row],[EPS]]&lt;&gt;0,Main_L[[#This Row],[Current Price]]/Main_L[[#This Row],[EPS]],""),"")</f>
        <v>28.35839160839161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0.73025400815460983</v>
      </c>
      <c r="P70" s="1">
        <f>(Main_L[[#This Row],[P/B]]-VLOOKUP(Main_L[[#This Row],[Industry]], Mean_PB_L, 2, FALSE))/(VLOOKUP(Main_L[[#This Row],[Industry]], Mean_PB_L, 3, FALSE))</f>
        <v>0.92253220111576706</v>
      </c>
      <c r="Q70" s="1">
        <f>(Main_L[[#This Row],[ROE]]-VLOOKUP(Main_L[[#This Row],[Industry]], Mean_ROE_L, 2, FALSE))/(VLOOKUP(Main_L[[#This Row],[Industry]], Mean_ROE_L, 3, FALSE))</f>
        <v>0.79102078615787175</v>
      </c>
      <c r="R70" s="1">
        <f>(Main_L[[#This Row],[ROA]]-VLOOKUP(Main_L[[#This Row],[Industry]], Mean_ROA_L, 2, FALSE))/(VLOOKUP(Main_L[[#This Row],[Industry]], Mean_ROA_L, 3, FALSE))</f>
        <v>5.1387125482653087</v>
      </c>
      <c r="S70" s="1">
        <f>(Main_L[[#This Row],[A/E]]-VLOOKUP(Main_L[[#This Row],[Industry]], Mean_AE_L, 2, FALSE))/(VLOOKUP(Main_L[[#This Row],[Industry]], Mean_AE_L, 3, FALSE))</f>
        <v>-1.2759491708540442</v>
      </c>
      <c r="T70" s="1">
        <f>(Main_L[[#This Row],[P/E]]-VLOOKUP(Main_L[[#This Row],[Industry]], Mean_PE_L, 2, FALSE))/(VLOOKUP(Main_L[[#This Row],[Industry]], Mean_PE_L, 3, FALSE))</f>
        <v>0.57384928665773904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236</v>
      </c>
      <c r="B71" t="s">
        <v>244</v>
      </c>
      <c r="C71" s="2">
        <v>13721</v>
      </c>
      <c r="D71">
        <f>RTD("tos.rtd", , "LAST", Main_L[[#This Row],[Symbol]])</f>
        <v>256.5</v>
      </c>
      <c r="E71">
        <v>-14.77</v>
      </c>
      <c r="F71">
        <v>84.13</v>
      </c>
      <c r="G71">
        <v>14.01</v>
      </c>
      <c r="H71" s="1">
        <f>IF(ISNUMBER(Main_L[[#This Row],[Free CF]]),IF(Main_L[[#This Row],[Free CF]]&lt;&gt;0,Main_L[[#This Row],[Current Price]]/Main_L[[#This Row],[Free CF]],""),"")</f>
        <v>-17.366283006093433</v>
      </c>
      <c r="I71" s="1">
        <f>IF(ISNUMBER(Main_L[[#This Row],[BVPS]]),IF(Main_L[[#This Row],[BVPS]]&lt;&gt;0,Main_L[[#This Row],[Current Price]]/Main_L[[#This Row],[BVPS]],""),"")</f>
        <v>3.0488529656484014</v>
      </c>
      <c r="J71">
        <v>18.39</v>
      </c>
      <c r="K71">
        <v>11.1</v>
      </c>
      <c r="L71">
        <v>1.38</v>
      </c>
      <c r="M71" s="1">
        <f>IF(ISNUMBER(Main_L[[#This Row],[EPS]]),IF(Main_L[[#This Row],[EPS]]&lt;&gt;0,Main_L[[#This Row],[Current Price]]/Main_L[[#This Row],[EPS]],""),"")</f>
        <v>18.308351177730191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-1.644432751804731</v>
      </c>
      <c r="P71" s="1">
        <f>(Main_L[[#This Row],[P/B]]-VLOOKUP(Main_L[[#This Row],[Industry]], Mean_PB_L, 2, FALSE))/(VLOOKUP(Main_L[[#This Row],[Industry]], Mean_PB_L, 3, FALSE))</f>
        <v>-0.68061638139771219</v>
      </c>
      <c r="Q71" s="1">
        <f>(Main_L[[#This Row],[ROE]]-VLOOKUP(Main_L[[#This Row],[Industry]], Mean_ROE_L, 2, FALSE))/(VLOOKUP(Main_L[[#This Row],[Industry]], Mean_ROE_L, 3, FALSE))</f>
        <v>-0.31255421934493693</v>
      </c>
      <c r="R71" s="1">
        <f>(Main_L[[#This Row],[ROA]]-VLOOKUP(Main_L[[#This Row],[Industry]], Mean_ROA_L, 2, FALSE))/(VLOOKUP(Main_L[[#This Row],[Industry]], Mean_ROA_L, 3, FALSE))</f>
        <v>1.9204056395734168</v>
      </c>
      <c r="S71" s="1">
        <f>(Main_L[[#This Row],[A/E]]-VLOOKUP(Main_L[[#This Row],[Industry]], Mean_AE_L, 2, FALSE))/(VLOOKUP(Main_L[[#This Row],[Industry]], Mean_AE_L, 3, FALSE))</f>
        <v>-1.2002511025318421</v>
      </c>
      <c r="T71" s="1">
        <f>(Main_L[[#This Row],[P/E]]-VLOOKUP(Main_L[[#This Row],[Industry]], Mean_PE_L, 2, FALSE))/(VLOOKUP(Main_L[[#This Row],[Industry]], Mean_PE_L, 3, FALSE))</f>
        <v>-0.83481231314522664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t="s">
        <v>236</v>
      </c>
      <c r="B72" t="s">
        <v>245</v>
      </c>
      <c r="C72" s="2">
        <v>12859</v>
      </c>
      <c r="D72">
        <f>RTD("tos.rtd", , "LAST", Main_L[[#This Row],[Symbol]])</f>
        <v>87.89</v>
      </c>
      <c r="E72">
        <v>8.23</v>
      </c>
      <c r="F72">
        <v>32.51</v>
      </c>
      <c r="G72">
        <v>5.49</v>
      </c>
      <c r="H72" s="1">
        <f>IF(ISNUMBER(Main_L[[#This Row],[Free CF]]),IF(Main_L[[#This Row],[Free CF]]&lt;&gt;0,Main_L[[#This Row],[Current Price]]/Main_L[[#This Row],[Free CF]],""),"")</f>
        <v>10.679222357229648</v>
      </c>
      <c r="I72" s="1">
        <f>IF(ISNUMBER(Main_L[[#This Row],[BVPS]]),IF(Main_L[[#This Row],[BVPS]]&lt;&gt;0,Main_L[[#This Row],[Current Price]]/Main_L[[#This Row],[BVPS]],""),"")</f>
        <v>2.7034758535835128</v>
      </c>
      <c r="J72">
        <v>17.489999999999998</v>
      </c>
      <c r="K72">
        <v>6.99</v>
      </c>
      <c r="L72">
        <v>2.73</v>
      </c>
      <c r="M72" s="1">
        <f>IF(ISNUMBER(Main_L[[#This Row],[EPS]]),IF(Main_L[[#This Row],[EPS]]&lt;&gt;0,Main_L[[#This Row],[Current Price]]/Main_L[[#This Row],[EPS]],""),"")</f>
        <v>16.009107468123862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-0.38453364972467097</v>
      </c>
      <c r="P72" s="1">
        <f>(Main_L[[#This Row],[P/B]]-VLOOKUP(Main_L[[#This Row],[Industry]], Mean_PB_L, 2, FALSE))/(VLOOKUP(Main_L[[#This Row],[Industry]], Mean_PB_L, 3, FALSE))</f>
        <v>-0.78594426239117277</v>
      </c>
      <c r="Q72" s="1">
        <f>(Main_L[[#This Row],[ROE]]-VLOOKUP(Main_L[[#This Row],[Industry]], Mean_ROE_L, 2, FALSE))/(VLOOKUP(Main_L[[#This Row],[Industry]], Mean_ROE_L, 3, FALSE))</f>
        <v>-0.3963700425476821</v>
      </c>
      <c r="R72" s="1">
        <f>(Main_L[[#This Row],[ROA]]-VLOOKUP(Main_L[[#This Row],[Industry]], Mean_ROA_L, 2, FALSE))/(VLOOKUP(Main_L[[#This Row],[Industry]], Mean_ROA_L, 3, FALSE))</f>
        <v>0.24818801697876833</v>
      </c>
      <c r="S72" s="1">
        <f>(Main_L[[#This Row],[A/E]]-VLOOKUP(Main_L[[#This Row],[Industry]], Mean_AE_L, 2, FALSE))/(VLOOKUP(Main_L[[#This Row],[Industry]], Mean_AE_L, 3, FALSE))</f>
        <v>7.715380040532091E-2</v>
      </c>
      <c r="T72" s="1">
        <f>(Main_L[[#This Row],[P/E]]-VLOOKUP(Main_L[[#This Row],[Industry]], Mean_PE_L, 2, FALSE))/(VLOOKUP(Main_L[[#This Row],[Industry]], Mean_PE_L, 3, FALSE))</f>
        <v>-1.1570852775832214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236</v>
      </c>
      <c r="B73" t="s">
        <v>246</v>
      </c>
      <c r="C73" s="2">
        <v>13718</v>
      </c>
      <c r="D73">
        <f>RTD("tos.rtd", , "LAST", Main_L[[#This Row],[Symbol]])</f>
        <v>63.52</v>
      </c>
      <c r="E73">
        <v>-7.85</v>
      </c>
      <c r="F73">
        <v>37.35</v>
      </c>
      <c r="G73">
        <v>3.21</v>
      </c>
      <c r="H73" s="1">
        <f>IF(ISNUMBER(Main_L[[#This Row],[Free CF]]),IF(Main_L[[#This Row],[Free CF]]&lt;&gt;0,Main_L[[#This Row],[Current Price]]/Main_L[[#This Row],[Free CF]],""),"")</f>
        <v>-8.0917197452229299</v>
      </c>
      <c r="I73" s="1">
        <f>IF(ISNUMBER(Main_L[[#This Row],[BVPS]]),IF(Main_L[[#This Row],[BVPS]]&lt;&gt;0,Main_L[[#This Row],[Current Price]]/Main_L[[#This Row],[BVPS]],""),"")</f>
        <v>1.700669344042838</v>
      </c>
      <c r="J73">
        <v>6.61</v>
      </c>
      <c r="K73">
        <v>2.4700000000000002</v>
      </c>
      <c r="L73">
        <v>2.6</v>
      </c>
      <c r="M73" s="1">
        <f>IF(ISNUMBER(Main_L[[#This Row],[EPS]]),IF(Main_L[[#This Row],[EPS]]&lt;&gt;0,Main_L[[#This Row],[Current Price]]/Main_L[[#This Row],[EPS]],""),"")</f>
        <v>19.788161993769471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-1.2277879535321097</v>
      </c>
      <c r="P73" s="1">
        <f>(Main_L[[#This Row],[P/B]]-VLOOKUP(Main_L[[#This Row],[Industry]], Mean_PB_L, 2, FALSE))/(VLOOKUP(Main_L[[#This Row],[Industry]], Mean_PB_L, 3, FALSE))</f>
        <v>-1.0917650044342169</v>
      </c>
      <c r="Q73" s="1">
        <f>(Main_L[[#This Row],[ROE]]-VLOOKUP(Main_L[[#This Row],[Industry]], Mean_ROE_L, 2, FALSE))/(VLOOKUP(Main_L[[#This Row],[Industry]], Mean_ROE_L, 3, FALSE))</f>
        <v>-1.4096102163764213</v>
      </c>
      <c r="R73" s="1">
        <f>(Main_L[[#This Row],[ROA]]-VLOOKUP(Main_L[[#This Row],[Industry]], Mean_ROA_L, 2, FALSE))/(VLOOKUP(Main_L[[#This Row],[Industry]], Mean_ROA_L, 3, FALSE))</f>
        <v>-1.5908445022737407</v>
      </c>
      <c r="S73" s="1">
        <f>(Main_L[[#This Row],[A/E]]-VLOOKUP(Main_L[[#This Row],[Industry]], Mean_AE_L, 2, FALSE))/(VLOOKUP(Main_L[[#This Row],[Industry]], Mean_AE_L, 3, FALSE))</f>
        <v>-4.5855560618257643E-2</v>
      </c>
      <c r="T73" s="1">
        <f>(Main_L[[#This Row],[P/E]]-VLOOKUP(Main_L[[#This Row],[Industry]], Mean_PE_L, 2, FALSE))/(VLOOKUP(Main_L[[#This Row],[Industry]], Mean_PE_L, 3, FALSE))</f>
        <v>-0.62739497130370392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t="s">
        <v>236</v>
      </c>
      <c r="B74" t="s">
        <v>247</v>
      </c>
      <c r="C74" s="2">
        <v>17650</v>
      </c>
      <c r="D74">
        <f>RTD("tos.rtd", , "LAST", Main_L[[#This Row],[Symbol]])</f>
        <v>119.54</v>
      </c>
      <c r="E74">
        <v>-6.84</v>
      </c>
      <c r="F74">
        <v>14.1</v>
      </c>
      <c r="G74">
        <v>3.08</v>
      </c>
      <c r="H74" s="1">
        <f>IF(ISNUMBER(Main_L[[#This Row],[Free CF]]),IF(Main_L[[#This Row],[Free CF]]&lt;&gt;0,Main_L[[#This Row],[Current Price]]/Main_L[[#This Row],[Free CF]],""),"")</f>
        <v>-17.476608187134506</v>
      </c>
      <c r="I74" s="1">
        <f>IF(ISNUMBER(Main_L[[#This Row],[BVPS]]),IF(Main_L[[#This Row],[BVPS]]&lt;&gt;0,Main_L[[#This Row],[Current Price]]/Main_L[[#This Row],[BVPS]],""),"")</f>
        <v>8.4780141843971641</v>
      </c>
      <c r="J74">
        <v>26.08</v>
      </c>
      <c r="K74">
        <v>6.32</v>
      </c>
      <c r="L74">
        <v>4.83</v>
      </c>
      <c r="M74" s="1">
        <f>IF(ISNUMBER(Main_L[[#This Row],[EPS]]),IF(Main_L[[#This Row],[EPS]]&lt;&gt;0,Main_L[[#This Row],[Current Price]]/Main_L[[#This Row],[EPS]],""),"")</f>
        <v>38.811688311688314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-1.6493889326518854</v>
      </c>
      <c r="P74" s="1">
        <f>(Main_L[[#This Row],[P/B]]-VLOOKUP(Main_L[[#This Row],[Industry]], Mean_PB_L, 2, FALSE))/(VLOOKUP(Main_L[[#This Row],[Industry]], Mean_PB_L, 3, FALSE))</f>
        <v>0.97508698390011606</v>
      </c>
      <c r="Q74" s="1">
        <f>(Main_L[[#This Row],[ROE]]-VLOOKUP(Main_L[[#This Row],[Industry]], Mean_ROE_L, 2, FALSE))/(VLOOKUP(Main_L[[#This Row],[Industry]], Mean_ROE_L, 3, FALSE))</f>
        <v>0.40360542557629497</v>
      </c>
      <c r="R74" s="1">
        <f>(Main_L[[#This Row],[ROA]]-VLOOKUP(Main_L[[#This Row],[Industry]], Mean_ROA_L, 2, FALSE))/(VLOOKUP(Main_L[[#This Row],[Industry]], Mean_ROA_L, 3, FALSE))</f>
        <v>-2.4411936096271725E-2</v>
      </c>
      <c r="S74" s="1">
        <f>(Main_L[[#This Row],[A/E]]-VLOOKUP(Main_L[[#This Row],[Industry]], Mean_AE_L, 2, FALSE))/(VLOOKUP(Main_L[[#This Row],[Industry]], Mean_AE_L, 3, FALSE))</f>
        <v>2.0642280938631301</v>
      </c>
      <c r="T74" s="1">
        <f>(Main_L[[#This Row],[P/E]]-VLOOKUP(Main_L[[#This Row],[Industry]], Mean_PE_L, 2, FALSE))/(VLOOKUP(Main_L[[#This Row],[Industry]], Mean_PE_L, 3, FALSE))</f>
        <v>2.0390332089389256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t="s">
        <v>236</v>
      </c>
      <c r="B75" t="s">
        <v>248</v>
      </c>
      <c r="C75" s="2">
        <v>11252</v>
      </c>
      <c r="D75">
        <f>RTD("tos.rtd", , "LAST", Main_L[[#This Row],[Symbol]])</f>
        <v>12.36</v>
      </c>
      <c r="E75">
        <v>0.28999999999999998</v>
      </c>
      <c r="F75">
        <v>4.9800000000000004</v>
      </c>
      <c r="G75">
        <v>0.4</v>
      </c>
      <c r="H75" s="1">
        <f>IF(ISNUMBER(Main_L[[#This Row],[Free CF]]),IF(Main_L[[#This Row],[Free CF]]&lt;&gt;0,Main_L[[#This Row],[Current Price]]/Main_L[[#This Row],[Free CF]],""),"")</f>
        <v>42.620689655172413</v>
      </c>
      <c r="I75" s="1">
        <f>IF(ISNUMBER(Main_L[[#This Row],[BVPS]]),IF(Main_L[[#This Row],[BVPS]]&lt;&gt;0,Main_L[[#This Row],[Current Price]]/Main_L[[#This Row],[BVPS]],""),"")</f>
        <v>2.4819277108433733</v>
      </c>
      <c r="J75">
        <v>8.57</v>
      </c>
      <c r="K75">
        <v>2.96</v>
      </c>
      <c r="L75">
        <v>1.1200000000000001</v>
      </c>
      <c r="M75" s="1">
        <f>IF(ISNUMBER(Main_L[[#This Row],[EPS]]),IF(Main_L[[#This Row],[EPS]]&lt;&gt;0,Main_L[[#This Row],[Current Price]]/Main_L[[#This Row],[EPS]],""),"")</f>
        <v>30.9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1.050385259614224</v>
      </c>
      <c r="P75" s="1">
        <f>(Main_L[[#This Row],[P/B]]-VLOOKUP(Main_L[[#This Row],[Industry]], Mean_PB_L, 2, FALSE))/(VLOOKUP(Main_L[[#This Row],[Industry]], Mean_PB_L, 3, FALSE))</f>
        <v>-0.85350865967662892</v>
      </c>
      <c r="Q75" s="1">
        <f>(Main_L[[#This Row],[ROE]]-VLOOKUP(Main_L[[#This Row],[Industry]], Mean_ROE_L, 2, FALSE))/(VLOOKUP(Main_L[[#This Row],[Industry]], Mean_ROE_L, 3, FALSE))</f>
        <v>-1.2270779791793323</v>
      </c>
      <c r="R75" s="1">
        <f>(Main_L[[#This Row],[ROA]]-VLOOKUP(Main_L[[#This Row],[Industry]], Mean_ROA_L, 2, FALSE))/(VLOOKUP(Main_L[[#This Row],[Industry]], Mean_ROA_L, 3, FALSE))</f>
        <v>-1.3914803574875176</v>
      </c>
      <c r="S75" s="1">
        <f>(Main_L[[#This Row],[A/E]]-VLOOKUP(Main_L[[#This Row],[Industry]], Mean_AE_L, 2, FALSE))/(VLOOKUP(Main_L[[#This Row],[Industry]], Mean_AE_L, 3, FALSE))</f>
        <v>-1.4462698245789993</v>
      </c>
      <c r="T75" s="1">
        <f>(Main_L[[#This Row],[P/E]]-VLOOKUP(Main_L[[#This Row],[Industry]], Mean_PE_L, 2, FALSE))/(VLOOKUP(Main_L[[#This Row],[Industry]], Mean_PE_L, 3, FALSE))</f>
        <v>0.93009324086838774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236</v>
      </c>
      <c r="B76" t="s">
        <v>249</v>
      </c>
      <c r="C76" s="2">
        <v>139166</v>
      </c>
      <c r="D76">
        <f>RTD("tos.rtd", , "LAST", Main_L[[#This Row],[Symbol]])</f>
        <v>87.12</v>
      </c>
      <c r="E76">
        <v>2.86</v>
      </c>
      <c r="F76">
        <v>7.02</v>
      </c>
      <c r="G76">
        <v>2.02</v>
      </c>
      <c r="H76" s="1">
        <f>IF(ISNUMBER(Main_L[[#This Row],[Free CF]]),IF(Main_L[[#This Row],[Free CF]]&lt;&gt;0,Main_L[[#This Row],[Current Price]]/Main_L[[#This Row],[Free CF]],""),"")</f>
        <v>30.461538461538463</v>
      </c>
      <c r="I76" s="1">
        <f>IF(ISNUMBER(Main_L[[#This Row],[BVPS]]),IF(Main_L[[#This Row],[BVPS]]&lt;&gt;0,Main_L[[#This Row],[Current Price]]/Main_L[[#This Row],[BVPS]],""),"")</f>
        <v>12.410256410256412</v>
      </c>
      <c r="J76">
        <v>34.33</v>
      </c>
      <c r="K76">
        <v>4.03</v>
      </c>
      <c r="L76">
        <v>3.19</v>
      </c>
      <c r="M76" s="1">
        <f>IF(ISNUMBER(Main_L[[#This Row],[EPS]]),IF(Main_L[[#This Row],[EPS]]&lt;&gt;0,Main_L[[#This Row],[Current Price]]/Main_L[[#This Row],[EPS]],""),"")</f>
        <v>43.128712871287128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0.50415500016776227</v>
      </c>
      <c r="P76" s="1">
        <f>(Main_L[[#This Row],[P/B]]-VLOOKUP(Main_L[[#This Row],[Industry]], Mean_PB_L, 2, FALSE))/(VLOOKUP(Main_L[[#This Row],[Industry]], Mean_PB_L, 3, FALSE))</f>
        <v>2.1742826651847214</v>
      </c>
      <c r="Q76" s="1">
        <f>(Main_L[[#This Row],[ROE]]-VLOOKUP(Main_L[[#This Row],[Industry]], Mean_ROE_L, 2, FALSE))/(VLOOKUP(Main_L[[#This Row],[Industry]], Mean_ROE_L, 3, FALSE))</f>
        <v>1.1719171382681239</v>
      </c>
      <c r="R76" s="1">
        <f>(Main_L[[#This Row],[ROA]]-VLOOKUP(Main_L[[#This Row],[Industry]], Mean_ROA_L, 2, FALSE))/(VLOOKUP(Main_L[[#This Row],[Industry]], Mean_ROA_L, 3, FALSE))</f>
        <v>-0.9561341637706624</v>
      </c>
      <c r="S76" s="1">
        <f>(Main_L[[#This Row],[A/E]]-VLOOKUP(Main_L[[#This Row],[Industry]], Mean_AE_L, 2, FALSE))/(VLOOKUP(Main_L[[#This Row],[Industry]], Mean_AE_L, 3, FALSE))</f>
        <v>0.51241769325798381</v>
      </c>
      <c r="T76" s="1">
        <f>(Main_L[[#This Row],[P/E]]-VLOOKUP(Main_L[[#This Row],[Industry]], Mean_PE_L, 2, FALSE))/(VLOOKUP(Main_L[[#This Row],[Industry]], Mean_PE_L, 3, FALSE))</f>
        <v>2.644127960991872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t="s">
        <v>154</v>
      </c>
      <c r="B77" t="s">
        <v>155</v>
      </c>
      <c r="C77" s="2">
        <v>147203</v>
      </c>
      <c r="D77">
        <f>RTD("tos.rtd", , "LAST", Main_L[[#This Row],[Symbol]])</f>
        <v>227.13</v>
      </c>
      <c r="E77">
        <v>8.64</v>
      </c>
      <c r="F77">
        <v>26.77</v>
      </c>
      <c r="G77">
        <v>8.65</v>
      </c>
      <c r="H77" s="1">
        <f>IF(ISNUMBER(Main_L[[#This Row],[Free CF]]),IF(Main_L[[#This Row],[Free CF]]&lt;&gt;0,Main_L[[#This Row],[Current Price]]/Main_L[[#This Row],[Free CF]],""),"")</f>
        <v>26.288194444444443</v>
      </c>
      <c r="I77" s="1">
        <f>IF(ISNUMBER(Main_L[[#This Row],[BVPS]]),IF(Main_L[[#This Row],[BVPS]]&lt;&gt;0,Main_L[[#This Row],[Current Price]]/Main_L[[#This Row],[BVPS]],""),"")</f>
        <v>8.4844975719088538</v>
      </c>
      <c r="J77">
        <v>31.86</v>
      </c>
      <c r="K77">
        <v>7.33</v>
      </c>
      <c r="L77">
        <v>4.22</v>
      </c>
      <c r="M77" s="1">
        <f>IF(ISNUMBER(Main_L[[#This Row],[EPS]]),IF(Main_L[[#This Row],[EPS]]&lt;&gt;0,Main_L[[#This Row],[Current Price]]/Main_L[[#This Row],[EPS]],""),"")</f>
        <v>26.257803468208092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7" s="1">
        <f>(Main_L[[#This Row],[P/FCF]]-VLOOKUP(Main_L[[#This Row],[Industry]], Mean_PFCF_L, 2, FALSE))/(VLOOKUP(Main_L[[#This Row],[Industry]], Mean_PFCF_L, 3, FALSE))</f>
        <v>-0.97635712749614167</v>
      </c>
      <c r="P77" s="1">
        <f>(Main_L[[#This Row],[P/B]]-VLOOKUP(Main_L[[#This Row],[Industry]], Mean_PB_L, 2, FALSE))/(VLOOKUP(Main_L[[#This Row],[Industry]], Mean_PB_L, 3, FALSE))</f>
        <v>-0.93022925584287997</v>
      </c>
      <c r="Q77" s="1">
        <f>(Main_L[[#This Row],[ROE]]-VLOOKUP(Main_L[[#This Row],[Industry]], Mean_ROE_L, 2, FALSE))/(VLOOKUP(Main_L[[#This Row],[Industry]], Mean_ROE_L, 3, FALSE))</f>
        <v>-1</v>
      </c>
      <c r="R77" s="1">
        <f>(Main_L[[#This Row],[ROA]]-VLOOKUP(Main_L[[#This Row],[Industry]], Mean_ROA_L, 2, FALSE))/(VLOOKUP(Main_L[[#This Row],[Industry]], Mean_ROA_L, 3, FALSE))</f>
        <v>-0.99999999999999212</v>
      </c>
      <c r="S77" s="1">
        <f>(Main_L[[#This Row],[A/E]]-VLOOKUP(Main_L[[#This Row],[Industry]], Mean_AE_L, 2, FALSE))/(VLOOKUP(Main_L[[#This Row],[Industry]], Mean_AE_L, 3, FALSE))</f>
        <v>-1.0000000000000013</v>
      </c>
      <c r="T77" s="1">
        <f>(Main_L[[#This Row],[P/E]]-VLOOKUP(Main_L[[#This Row],[Industry]], Mean_PE_L, 2, FALSE))/(VLOOKUP(Main_L[[#This Row],[Industry]], Mean_PE_L, 3, FALSE))</f>
        <v>1.2162700645123767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t="s">
        <v>154</v>
      </c>
      <c r="B78" t="s">
        <v>156</v>
      </c>
      <c r="C78" s="2">
        <v>72486</v>
      </c>
      <c r="D78">
        <f>RTD("tos.rtd", , "LAST", Main_L[[#This Row],[Symbol]])</f>
        <v>144.22999999999999</v>
      </c>
      <c r="E78">
        <v>1.34</v>
      </c>
      <c r="F78">
        <v>8.52</v>
      </c>
      <c r="G78">
        <v>9.6</v>
      </c>
      <c r="H78" s="1">
        <f>IF(ISNUMBER(Main_L[[#This Row],[Free CF]]),IF(Main_L[[#This Row],[Free CF]]&lt;&gt;0,Main_L[[#This Row],[Current Price]]/Main_L[[#This Row],[Free CF]],""),"")</f>
        <v>107.63432835820895</v>
      </c>
      <c r="I78" s="1">
        <f>IF(ISNUMBER(Main_L[[#This Row],[BVPS]]),IF(Main_L[[#This Row],[BVPS]]&lt;&gt;0,Main_L[[#This Row],[Current Price]]/Main_L[[#This Row],[BVPS]],""),"")</f>
        <v>16.928403755868544</v>
      </c>
      <c r="J78">
        <v>113.29</v>
      </c>
      <c r="K78">
        <v>9.0299999999999994</v>
      </c>
      <c r="L78">
        <v>8.81</v>
      </c>
      <c r="M78" s="1">
        <f>IF(ISNUMBER(Main_L[[#This Row],[EPS]]),IF(Main_L[[#This Row],[EPS]]&lt;&gt;0,Main_L[[#This Row],[Current Price]]/Main_L[[#This Row],[EPS]],""),"")</f>
        <v>15.023958333333333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0.88861865219349156</v>
      </c>
      <c r="P78" s="1">
        <f>(Main_L[[#This Row],[P/B]]-VLOOKUP(Main_L[[#This Row],[Industry]], Mean_PB_L, 2, FALSE))/(VLOOKUP(Main_L[[#This Row],[Industry]], Mean_PB_L, 3, FALSE))</f>
        <v>0.83982843609187341</v>
      </c>
      <c r="Q78" s="1">
        <f>(Main_L[[#This Row],[ROE]]-VLOOKUP(Main_L[[#This Row],[Industry]], Mean_ROE_L, 2, FALSE))/(VLOOKUP(Main_L[[#This Row],[Industry]], Mean_ROE_L, 3, FALSE))</f>
        <v>1</v>
      </c>
      <c r="R78" s="1">
        <f>(Main_L[[#This Row],[ROA]]-VLOOKUP(Main_L[[#This Row],[Industry]], Mean_ROA_L, 2, FALSE))/(VLOOKUP(Main_L[[#This Row],[Industry]], Mean_ROA_L, 3, FALSE))</f>
        <v>0.99999999999999212</v>
      </c>
      <c r="S78" s="1">
        <f>(Main_L[[#This Row],[A/E]]-VLOOKUP(Main_L[[#This Row],[Industry]], Mean_AE_L, 2, FALSE))/(VLOOKUP(Main_L[[#This Row],[Industry]], Mean_AE_L, 3, FALSE))</f>
        <v>1.0000000000000009</v>
      </c>
      <c r="T78" s="1">
        <f>(Main_L[[#This Row],[P/E]]-VLOOKUP(Main_L[[#This Row],[Industry]], Mean_PE_L, 2, FALSE))/(VLOOKUP(Main_L[[#This Row],[Industry]], Mean_PE_L, 3, FALSE))</f>
        <v>-1.142378550993602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t="s">
        <v>157</v>
      </c>
      <c r="B79" t="s">
        <v>158</v>
      </c>
      <c r="C79" s="2">
        <v>10171</v>
      </c>
      <c r="D79">
        <f>RTD("tos.rtd", , "LAST", Main_L[[#This Row],[Symbol]])</f>
        <v>101.07</v>
      </c>
      <c r="E79">
        <v>8.14</v>
      </c>
      <c r="F79">
        <v>18.690000000000001</v>
      </c>
      <c r="G79">
        <v>8.18</v>
      </c>
      <c r="H79" s="1">
        <f>IF(ISNUMBER(Main_L[[#This Row],[Free CF]]),IF(Main_L[[#This Row],[Free CF]]&lt;&gt;0,Main_L[[#This Row],[Current Price]]/Main_L[[#This Row],[Free CF]],""),"")</f>
        <v>12.416461916461914</v>
      </c>
      <c r="I79" s="1">
        <f>IF(ISNUMBER(Main_L[[#This Row],[BVPS]]),IF(Main_L[[#This Row],[BVPS]]&lt;&gt;0,Main_L[[#This Row],[Current Price]]/Main_L[[#This Row],[BVPS]],""),"")</f>
        <v>5.4077046548956655</v>
      </c>
      <c r="J79">
        <v>51.76</v>
      </c>
      <c r="K79">
        <v>12.07</v>
      </c>
      <c r="L79">
        <v>3.31</v>
      </c>
      <c r="M79" s="1">
        <f>IF(ISNUMBER(Main_L[[#This Row],[EPS]]),IF(Main_L[[#This Row],[EPS]]&lt;&gt;0,Main_L[[#This Row],[Current Price]]/Main_L[[#This Row],[EPS]],""),"")</f>
        <v>12.355745721271393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-1.7323990799877962</v>
      </c>
      <c r="P79" s="1">
        <f>(Main_L[[#This Row],[P/B]]-VLOOKUP(Main_L[[#This Row],[Industry]], Mean_PB_L, 2, FALSE))/(VLOOKUP(Main_L[[#This Row],[Industry]], Mean_PB_L, 3, FALSE))</f>
        <v>0.34292234055981574</v>
      </c>
      <c r="Q79" s="1">
        <f>(Main_L[[#This Row],[ROE]]-VLOOKUP(Main_L[[#This Row],[Industry]], Mean_ROE_L, 2, FALSE))/(VLOOKUP(Main_L[[#This Row],[Industry]], Mean_ROE_L, 3, FALSE))</f>
        <v>2.3051150278330597</v>
      </c>
      <c r="R79" s="1">
        <f>(Main_L[[#This Row],[ROA]]-VLOOKUP(Main_L[[#This Row],[Industry]], Mean_ROA_L, 2, FALSE))/(VLOOKUP(Main_L[[#This Row],[Industry]], Mean_ROA_L, 3, FALSE))</f>
        <v>1.0580548407676558</v>
      </c>
      <c r="S79" s="1">
        <f>(Main_L[[#This Row],[A/E]]-VLOOKUP(Main_L[[#This Row],[Industry]], Mean_AE_L, 2, FALSE))/(VLOOKUP(Main_L[[#This Row],[Industry]], Mean_AE_L, 3, FALSE))</f>
        <v>2.1984148698903332</v>
      </c>
      <c r="T79" s="1">
        <f>(Main_L[[#This Row],[P/E]]-VLOOKUP(Main_L[[#This Row],[Industry]], Mean_PE_L, 2, FALSE))/(VLOOKUP(Main_L[[#This Row],[Industry]], Mean_PE_L, 3, FALSE))</f>
        <v>-1.583958671338354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157</v>
      </c>
      <c r="B80" t="s">
        <v>159</v>
      </c>
      <c r="C80" s="2">
        <v>190721</v>
      </c>
      <c r="D80">
        <f>RTD("tos.rtd", , "LAST", Main_L[[#This Row],[Symbol]])</f>
        <v>358.07</v>
      </c>
      <c r="E80">
        <v>19.510000000000002</v>
      </c>
      <c r="F80">
        <v>40.18</v>
      </c>
      <c r="G80">
        <v>21.54</v>
      </c>
      <c r="H80" s="1">
        <f>IF(ISNUMBER(Main_L[[#This Row],[Free CF]]),IF(Main_L[[#This Row],[Free CF]]&lt;&gt;0,Main_L[[#This Row],[Current Price]]/Main_L[[#This Row],[Free CF]],""),"")</f>
        <v>18.353152229625831</v>
      </c>
      <c r="I80" s="1">
        <f>IF(ISNUMBER(Main_L[[#This Row],[BVPS]]),IF(Main_L[[#This Row],[BVPS]]&lt;&gt;0,Main_L[[#This Row],[Current Price]]/Main_L[[#This Row],[BVPS]],""),"")</f>
        <v>8.9116475858636139</v>
      </c>
      <c r="J80">
        <v>53.48</v>
      </c>
      <c r="K80">
        <v>9.93</v>
      </c>
      <c r="L80">
        <v>4.45</v>
      </c>
      <c r="M80" s="1">
        <f>IF(ISNUMBER(Main_L[[#This Row],[EPS]]),IF(Main_L[[#This Row],[EPS]]&lt;&gt;0,Main_L[[#This Row],[Current Price]]/Main_L[[#This Row],[EPS]],""),"")</f>
        <v>16.623491179201487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-0.81661618229539568</v>
      </c>
      <c r="P80" s="1">
        <f>(Main_L[[#This Row],[P/B]]-VLOOKUP(Main_L[[#This Row],[Industry]], Mean_PB_L, 2, FALSE))/(VLOOKUP(Main_L[[#This Row],[Industry]], Mean_PB_L, 3, FALSE))</f>
        <v>2.1578495181763864</v>
      </c>
      <c r="Q80" s="1">
        <f>(Main_L[[#This Row],[ROE]]-VLOOKUP(Main_L[[#This Row],[Industry]], Mean_ROE_L, 2, FALSE))/(VLOOKUP(Main_L[[#This Row],[Industry]], Mean_ROE_L, 3, FALSE))</f>
        <v>2.4332446956355196</v>
      </c>
      <c r="R80" s="1">
        <f>(Main_L[[#This Row],[ROA]]-VLOOKUP(Main_L[[#This Row],[Industry]], Mean_ROA_L, 2, FALSE))/(VLOOKUP(Main_L[[#This Row],[Industry]], Mean_ROA_L, 3, FALSE))</f>
        <v>0.44897955919595856</v>
      </c>
      <c r="S80" s="1">
        <f>(Main_L[[#This Row],[A/E]]-VLOOKUP(Main_L[[#This Row],[Industry]], Mean_AE_L, 2, FALSE))/(VLOOKUP(Main_L[[#This Row],[Industry]], Mean_AE_L, 3, FALSE))</f>
        <v>4.2138494912614481</v>
      </c>
      <c r="T80" s="1">
        <f>(Main_L[[#This Row],[P/E]]-VLOOKUP(Main_L[[#This Row],[Industry]], Mean_PE_L, 2, FALSE))/(VLOOKUP(Main_L[[#This Row],[Industry]], Mean_PE_L, 3, FALSE))</f>
        <v>-1.0612846508651148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t="s">
        <v>157</v>
      </c>
      <c r="B81" t="s">
        <v>160</v>
      </c>
      <c r="C81" s="2">
        <v>52074</v>
      </c>
      <c r="D81">
        <f>RTD("tos.rtd", , "LAST", Main_L[[#This Row],[Symbol]])</f>
        <v>325.68</v>
      </c>
      <c r="E81">
        <v>2.42</v>
      </c>
      <c r="F81">
        <v>75.19</v>
      </c>
      <c r="G81">
        <v>14.95</v>
      </c>
      <c r="H81" s="1">
        <f>IF(ISNUMBER(Main_L[[#This Row],[Free CF]]),IF(Main_L[[#This Row],[Free CF]]&lt;&gt;0,Main_L[[#This Row],[Current Price]]/Main_L[[#This Row],[Free CF]],""),"")</f>
        <v>134.57851239669421</v>
      </c>
      <c r="I81" s="1">
        <f>IF(ISNUMBER(Main_L[[#This Row],[BVPS]]),IF(Main_L[[#This Row],[BVPS]]&lt;&gt;0,Main_L[[#This Row],[Current Price]]/Main_L[[#This Row],[BVPS]],""),"")</f>
        <v>4.3314270514696105</v>
      </c>
      <c r="J81">
        <v>19.38</v>
      </c>
      <c r="K81">
        <v>6.91</v>
      </c>
      <c r="L81">
        <v>3.11</v>
      </c>
      <c r="M81" s="1">
        <f>IF(ISNUMBER(Main_L[[#This Row],[EPS]]),IF(Main_L[[#This Row],[EPS]]&lt;&gt;0,Main_L[[#This Row],[Current Price]]/Main_L[[#This Row],[EPS]],""),"")</f>
        <v>21.784615384615385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17.112093503491778</v>
      </c>
      <c r="P81" s="1">
        <f>(Main_L[[#This Row],[P/B]]-VLOOKUP(Main_L[[#This Row],[Industry]], Mean_PB_L, 2, FALSE))/(VLOOKUP(Main_L[[#This Row],[Industry]], Mean_PB_L, 3, FALSE))</f>
        <v>-0.21455405434778296</v>
      </c>
      <c r="Q81" s="1">
        <f>(Main_L[[#This Row],[ROE]]-VLOOKUP(Main_L[[#This Row],[Industry]], Mean_ROE_L, 2, FALSE))/(VLOOKUP(Main_L[[#This Row],[Industry]], Mean_ROE_L, 3, FALSE))</f>
        <v>-0.10700046254116684</v>
      </c>
      <c r="R81" s="1">
        <f>(Main_L[[#This Row],[ROA]]-VLOOKUP(Main_L[[#This Row],[Industry]], Mean_ROA_L, 2, FALSE))/(VLOOKUP(Main_L[[#This Row],[Industry]], Mean_ROA_L, 3, FALSE))</f>
        <v>-0.41055658582578197</v>
      </c>
      <c r="S81" s="1">
        <f>(Main_L[[#This Row],[A/E]]-VLOOKUP(Main_L[[#This Row],[Industry]], Mean_AE_L, 2, FALSE))/(VLOOKUP(Main_L[[#This Row],[Industry]], Mean_AE_L, 3, FALSE))</f>
        <v>1.844829848597155</v>
      </c>
      <c r="T81" s="1">
        <f>(Main_L[[#This Row],[P/E]]-VLOOKUP(Main_L[[#This Row],[Industry]], Mean_PE_L, 2, FALSE))/(VLOOKUP(Main_L[[#This Row],[Industry]], Mean_PE_L, 3, FALSE))</f>
        <v>-0.42919785815517753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t="s">
        <v>157</v>
      </c>
      <c r="B82" t="s">
        <v>161</v>
      </c>
      <c r="C82" s="2">
        <v>60756</v>
      </c>
      <c r="D82">
        <f>RTD("tos.rtd", , "LAST", Main_L[[#This Row],[Symbol]])</f>
        <v>94.430999999999997</v>
      </c>
      <c r="E82">
        <v>5.29</v>
      </c>
      <c r="F82">
        <v>35.6</v>
      </c>
      <c r="G82">
        <v>8.94</v>
      </c>
      <c r="H82" s="1">
        <f>IF(ISNUMBER(Main_L[[#This Row],[Free CF]]),IF(Main_L[[#This Row],[Free CF]]&lt;&gt;0,Main_L[[#This Row],[Current Price]]/Main_L[[#This Row],[Free CF]],""),"")</f>
        <v>17.850850661625707</v>
      </c>
      <c r="I82" s="1">
        <f>IF(ISNUMBER(Main_L[[#This Row],[BVPS]]),IF(Main_L[[#This Row],[BVPS]]&lt;&gt;0,Main_L[[#This Row],[Current Price]]/Main_L[[#This Row],[BVPS]],""),"")</f>
        <v>2.6525561797752806</v>
      </c>
      <c r="J82">
        <v>27.14</v>
      </c>
      <c r="K82">
        <v>8.4600000000000009</v>
      </c>
      <c r="L82">
        <v>2.3199999999999998</v>
      </c>
      <c r="M82" s="1">
        <f>IF(ISNUMBER(Main_L[[#This Row],[EPS]]),IF(Main_L[[#This Row],[EPS]]&lt;&gt;0,Main_L[[#This Row],[Current Price]]/Main_L[[#This Row],[EPS]],""),"")</f>
        <v>10.562751677852349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-0.89410029569753757</v>
      </c>
      <c r="P82" s="1">
        <f>(Main_L[[#This Row],[P/B]]-VLOOKUP(Main_L[[#This Row],[Industry]], Mean_PB_L, 2, FALSE))/(VLOOKUP(Main_L[[#This Row],[Industry]], Mean_PB_L, 3, FALSE))</f>
        <v>-1.0841539401841469</v>
      </c>
      <c r="Q82" s="1">
        <f>(Main_L[[#This Row],[ROE]]-VLOOKUP(Main_L[[#This Row],[Industry]], Mean_ROE_L, 2, FALSE))/(VLOOKUP(Main_L[[#This Row],[Industry]], Mean_ROE_L, 3, FALSE))</f>
        <v>0.47107292242807347</v>
      </c>
      <c r="R82" s="1">
        <f>(Main_L[[#This Row],[ROA]]-VLOOKUP(Main_L[[#This Row],[Industry]], Mean_ROA_L, 2, FALSE))/(VLOOKUP(Main_L[[#This Row],[Industry]], Mean_ROA_L, 3, FALSE))</f>
        <v>3.0596071387363265E-2</v>
      </c>
      <c r="S82" s="1">
        <f>(Main_L[[#This Row],[A/E]]-VLOOKUP(Main_L[[#This Row],[Industry]], Mean_AE_L, 2, FALSE))/(VLOOKUP(Main_L[[#This Row],[Industry]], Mean_AE_L, 3, FALSE))</f>
        <v>0.44816901448910201</v>
      </c>
      <c r="T82" s="1">
        <f>(Main_L[[#This Row],[P/E]]-VLOOKUP(Main_L[[#This Row],[Industry]], Mean_PE_L, 2, FALSE))/(VLOOKUP(Main_L[[#This Row],[Industry]], Mean_PE_L, 3, FALSE))</f>
        <v>-1.8035480106268624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t="s">
        <v>157</v>
      </c>
      <c r="B83" t="s">
        <v>162</v>
      </c>
      <c r="C83" s="2">
        <v>35308</v>
      </c>
      <c r="D83">
        <f>RTD("tos.rtd", , "LAST", Main_L[[#This Row],[Symbol]])</f>
        <v>205.37</v>
      </c>
      <c r="E83">
        <v>9.16</v>
      </c>
      <c r="F83">
        <v>59.11</v>
      </c>
      <c r="G83">
        <v>5.99</v>
      </c>
      <c r="H83" s="1">
        <f>IF(ISNUMBER(Main_L[[#This Row],[Free CF]]),IF(Main_L[[#This Row],[Free CF]]&lt;&gt;0,Main_L[[#This Row],[Current Price]]/Main_L[[#This Row],[Free CF]],""),"")</f>
        <v>22.420305676855897</v>
      </c>
      <c r="I83" s="1">
        <f>IF(ISNUMBER(Main_L[[#This Row],[BVPS]]),IF(Main_L[[#This Row],[BVPS]]&lt;&gt;0,Main_L[[#This Row],[Current Price]]/Main_L[[#This Row],[BVPS]],""),"")</f>
        <v>3.4743698189815597</v>
      </c>
      <c r="J83">
        <v>10.37</v>
      </c>
      <c r="K83">
        <v>5.44</v>
      </c>
      <c r="L83">
        <v>1.82</v>
      </c>
      <c r="M83" s="1">
        <f>IF(ISNUMBER(Main_L[[#This Row],[EPS]]),IF(Main_L[[#This Row],[EPS]]&lt;&gt;0,Main_L[[#This Row],[Current Price]]/Main_L[[#This Row],[EPS]],""),"")</f>
        <v>34.285475792988315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3" s="1">
        <f>(Main_L[[#This Row],[P/FCF]]-VLOOKUP(Main_L[[#This Row],[Industry]], Mean_PFCF_L, 2, FALSE))/(VLOOKUP(Main_L[[#This Row],[Industry]], Mean_PFCF_L, 3, FALSE))</f>
        <v>-0.18922459324702381</v>
      </c>
      <c r="P83" s="1">
        <f>(Main_L[[#This Row],[P/B]]-VLOOKUP(Main_L[[#This Row],[Industry]], Mean_PB_L, 2, FALSE))/(VLOOKUP(Main_L[[#This Row],[Industry]], Mean_PB_L, 3, FALSE))</f>
        <v>-0.65848150826487861</v>
      </c>
      <c r="Q83" s="1">
        <f>(Main_L[[#This Row],[ROE]]-VLOOKUP(Main_L[[#This Row],[Industry]], Mean_ROE_L, 2, FALSE))/(VLOOKUP(Main_L[[#This Row],[Industry]], Mean_ROE_L, 3, FALSE))</f>
        <v>-0.77819133864591605</v>
      </c>
      <c r="R83" s="1">
        <f>(Main_L[[#This Row],[ROA]]-VLOOKUP(Main_L[[#This Row],[Industry]], Mean_ROA_L, 2, FALSE))/(VLOOKUP(Main_L[[#This Row],[Industry]], Mean_ROA_L, 3, FALSE))</f>
        <v>-0.82894007363437761</v>
      </c>
      <c r="S83" s="1">
        <f>(Main_L[[#This Row],[A/E]]-VLOOKUP(Main_L[[#This Row],[Industry]], Mean_AE_L, 2, FALSE))/(VLOOKUP(Main_L[[#This Row],[Industry]], Mean_AE_L, 3, FALSE))</f>
        <v>-0.43579353874384252</v>
      </c>
      <c r="T83" s="1">
        <f>(Main_L[[#This Row],[P/E]]-VLOOKUP(Main_L[[#This Row],[Industry]], Mean_PE_L, 2, FALSE))/(VLOOKUP(Main_L[[#This Row],[Industry]], Mean_PE_L, 3, FALSE))</f>
        <v>1.1017919896292367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t="s">
        <v>157</v>
      </c>
      <c r="B84" t="s">
        <v>163</v>
      </c>
      <c r="C84" s="2">
        <v>121478</v>
      </c>
      <c r="D84">
        <f>RTD("tos.rtd", , "LAST", Main_L[[#This Row],[Symbol]])</f>
        <v>521.67999999999995</v>
      </c>
      <c r="E84">
        <v>16.05</v>
      </c>
      <c r="F84">
        <v>83.77</v>
      </c>
      <c r="G84">
        <v>25.62</v>
      </c>
      <c r="H84" s="1">
        <f>IF(ISNUMBER(Main_L[[#This Row],[Free CF]]),IF(Main_L[[#This Row],[Free CF]]&lt;&gt;0,Main_L[[#This Row],[Current Price]]/Main_L[[#This Row],[Free CF]],""),"")</f>
        <v>32.503426791277256</v>
      </c>
      <c r="I84" s="1">
        <f>IF(ISNUMBER(Main_L[[#This Row],[BVPS]]),IF(Main_L[[#This Row],[BVPS]]&lt;&gt;0,Main_L[[#This Row],[Current Price]]/Main_L[[#This Row],[BVPS]],""),"")</f>
        <v>6.2275277545660739</v>
      </c>
      <c r="J84">
        <v>31.64</v>
      </c>
      <c r="K84">
        <v>5.6</v>
      </c>
      <c r="L84">
        <v>4.7</v>
      </c>
      <c r="M84" s="1">
        <f>IF(ISNUMBER(Main_L[[#This Row],[EPS]]),IF(Main_L[[#This Row],[EPS]]&lt;&gt;0,Main_L[[#This Row],[Current Price]]/Main_L[[#This Row],[EPS]],""),"")</f>
        <v>20.36221701795472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1.3661790719017235</v>
      </c>
      <c r="P84" s="1">
        <f>(Main_L[[#This Row],[P/B]]-VLOOKUP(Main_L[[#This Row],[Industry]], Mean_PB_L, 2, FALSE))/(VLOOKUP(Main_L[[#This Row],[Industry]], Mean_PB_L, 3, FALSE))</f>
        <v>0.76756373847740444</v>
      </c>
      <c r="Q84" s="1">
        <f>(Main_L[[#This Row],[ROE]]-VLOOKUP(Main_L[[#This Row],[Industry]], Mean_ROE_L, 2, FALSE))/(VLOOKUP(Main_L[[#This Row],[Industry]], Mean_ROE_L, 3, FALSE))</f>
        <v>0.806295890515906</v>
      </c>
      <c r="R84" s="1">
        <f>(Main_L[[#This Row],[ROA]]-VLOOKUP(Main_L[[#This Row],[Industry]], Mean_ROA_L, 2, FALSE))/(VLOOKUP(Main_L[[#This Row],[Industry]], Mean_ROA_L, 3, FALSE))</f>
        <v>-0.78340173482527897</v>
      </c>
      <c r="S84" s="1">
        <f>(Main_L[[#This Row],[A/E]]-VLOOKUP(Main_L[[#This Row],[Industry]], Mean_AE_L, 2, FALSE))/(VLOOKUP(Main_L[[#This Row],[Industry]], Mean_AE_L, 3, FALSE))</f>
        <v>4.6558307678779203</v>
      </c>
      <c r="T84" s="1">
        <f>(Main_L[[#This Row],[P/E]]-VLOOKUP(Main_L[[#This Row],[Industry]], Mean_PE_L, 2, FALSE))/(VLOOKUP(Main_L[[#This Row],[Industry]], Mean_PE_L, 3, FALSE))</f>
        <v>-0.60340006406126301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t="s">
        <v>157</v>
      </c>
      <c r="B85" t="s">
        <v>164</v>
      </c>
      <c r="C85" s="2">
        <v>10094</v>
      </c>
      <c r="D85">
        <f>RTD("tos.rtd", , "LAST", Main_L[[#This Row],[Symbol]])</f>
        <v>185.99</v>
      </c>
      <c r="E85">
        <v>3.25</v>
      </c>
      <c r="F85">
        <v>27.51</v>
      </c>
      <c r="G85">
        <v>4.5199999999999996</v>
      </c>
      <c r="H85" s="1">
        <f>IF(ISNUMBER(Main_L[[#This Row],[Free CF]]),IF(Main_L[[#This Row],[Free CF]]&lt;&gt;0,Main_L[[#This Row],[Current Price]]/Main_L[[#This Row],[Free CF]],""),"")</f>
        <v>57.227692307692308</v>
      </c>
      <c r="I85" s="1">
        <f>IF(ISNUMBER(Main_L[[#This Row],[BVPS]]),IF(Main_L[[#This Row],[BVPS]]&lt;&gt;0,Main_L[[#This Row],[Current Price]]/Main_L[[#This Row],[BVPS]],""),"")</f>
        <v>6.7608142493638672</v>
      </c>
      <c r="J85">
        <v>18.38</v>
      </c>
      <c r="K85">
        <v>9.9</v>
      </c>
      <c r="L85">
        <v>1.68</v>
      </c>
      <c r="M85" s="1">
        <f>IF(ISNUMBER(Main_L[[#This Row],[EPS]]),IF(Main_L[[#This Row],[EPS]]&lt;&gt;0,Main_L[[#This Row],[Current Price]]/Main_L[[#This Row],[EPS]],""),"")</f>
        <v>41.148230088495581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5.1800986674266509</v>
      </c>
      <c r="P85" s="1">
        <f>(Main_L[[#This Row],[P/B]]-VLOOKUP(Main_L[[#This Row],[Industry]], Mean_PB_L, 2, FALSE))/(VLOOKUP(Main_L[[#This Row],[Industry]], Mean_PB_L, 3, FALSE))</f>
        <v>1.0437886005635635</v>
      </c>
      <c r="Q85" s="1">
        <f>(Main_L[[#This Row],[ROE]]-VLOOKUP(Main_L[[#This Row],[Industry]], Mean_ROE_L, 2, FALSE))/(VLOOKUP(Main_L[[#This Row],[Industry]], Mean_ROE_L, 3, FALSE))</f>
        <v>-0.18149445544957407</v>
      </c>
      <c r="R85" s="1">
        <f>(Main_L[[#This Row],[ROA]]-VLOOKUP(Main_L[[#This Row],[Industry]], Mean_ROA_L, 2, FALSE))/(VLOOKUP(Main_L[[#This Row],[Industry]], Mean_ROA_L, 3, FALSE))</f>
        <v>0.44044112066925273</v>
      </c>
      <c r="S85" s="1">
        <f>(Main_L[[#This Row],[A/E]]-VLOOKUP(Main_L[[#This Row],[Industry]], Mean_AE_L, 2, FALSE))/(VLOOKUP(Main_L[[#This Row],[Industry]], Mean_AE_L, 3, FALSE))</f>
        <v>-0.68330305364906729</v>
      </c>
      <c r="T85" s="1">
        <f>(Main_L[[#This Row],[P/E]]-VLOOKUP(Main_L[[#This Row],[Industry]], Mean_PE_L, 2, FALSE))/(VLOOKUP(Main_L[[#This Row],[Industry]], Mean_PE_L, 3, FALSE))</f>
        <v>1.9422787090252207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157</v>
      </c>
      <c r="B86" t="s">
        <v>165</v>
      </c>
      <c r="C86" s="2">
        <v>27639</v>
      </c>
      <c r="D86">
        <f>RTD("tos.rtd", , "LAST", Main_L[[#This Row],[Symbol]])</f>
        <v>180.73</v>
      </c>
      <c r="E86">
        <v>7.9</v>
      </c>
      <c r="F86">
        <v>41.53</v>
      </c>
      <c r="G86">
        <v>11.01</v>
      </c>
      <c r="H86" s="1">
        <f>IF(ISNUMBER(Main_L[[#This Row],[Free CF]]),IF(Main_L[[#This Row],[Free CF]]&lt;&gt;0,Main_L[[#This Row],[Current Price]]/Main_L[[#This Row],[Free CF]],""),"")</f>
        <v>22.877215189873414</v>
      </c>
      <c r="I86" s="1">
        <f>IF(ISNUMBER(Main_L[[#This Row],[BVPS]]),IF(Main_L[[#This Row],[BVPS]]&lt;&gt;0,Main_L[[#This Row],[Current Price]]/Main_L[[#This Row],[BVPS]],""),"")</f>
        <v>4.3517938839393207</v>
      </c>
      <c r="J86">
        <v>29.11</v>
      </c>
      <c r="K86">
        <v>7.85</v>
      </c>
      <c r="L86">
        <v>2.09</v>
      </c>
      <c r="M86" s="1">
        <f>IF(ISNUMBER(Main_L[[#This Row],[EPS]]),IF(Main_L[[#This Row],[EPS]]&lt;&gt;0,Main_L[[#This Row],[Current Price]]/Main_L[[#This Row],[EPS]],""),"")</f>
        <v>16.415077202543142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-0.11874257452245153</v>
      </c>
      <c r="P86" s="1">
        <f>(Main_L[[#This Row],[P/B]]-VLOOKUP(Main_L[[#This Row],[Industry]], Mean_PB_L, 2, FALSE))/(VLOOKUP(Main_L[[#This Row],[Industry]], Mean_PB_L, 3, FALSE))</f>
        <v>-0.20400470508625565</v>
      </c>
      <c r="Q86" s="1">
        <f>(Main_L[[#This Row],[ROE]]-VLOOKUP(Main_L[[#This Row],[Industry]], Mean_ROE_L, 2, FALSE))/(VLOOKUP(Main_L[[#This Row],[Industry]], Mean_ROE_L, 3, FALSE))</f>
        <v>0.61782608845763565</v>
      </c>
      <c r="R86" s="1">
        <f>(Main_L[[#This Row],[ROA]]-VLOOKUP(Main_L[[#This Row],[Industry]], Mean_ROA_L, 2, FALSE))/(VLOOKUP(Main_L[[#This Row],[Industry]], Mean_ROA_L, 3, FALSE))</f>
        <v>-0.14301884532232642</v>
      </c>
      <c r="S86" s="1">
        <f>(Main_L[[#This Row],[A/E]]-VLOOKUP(Main_L[[#This Row],[Industry]], Mean_AE_L, 2, FALSE))/(VLOOKUP(Main_L[[#This Row],[Industry]], Mean_AE_L, 3, FALSE))</f>
        <v>4.1546240001947364E-2</v>
      </c>
      <c r="T86" s="1">
        <f>(Main_L[[#This Row],[P/E]]-VLOOKUP(Main_L[[#This Row],[Industry]], Mean_PE_L, 2, FALSE))/(VLOOKUP(Main_L[[#This Row],[Industry]], Mean_PE_L, 3, FALSE))</f>
        <v>-1.0868092685295587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t="s">
        <v>157</v>
      </c>
      <c r="B87" t="s">
        <v>166</v>
      </c>
      <c r="C87" s="2">
        <v>27371</v>
      </c>
      <c r="D87">
        <f>RTD("tos.rtd", , "LAST", Main_L[[#This Row],[Symbol]])</f>
        <v>73.209999999999994</v>
      </c>
      <c r="E87">
        <v>3.86</v>
      </c>
      <c r="F87">
        <v>30.43</v>
      </c>
      <c r="G87">
        <v>2.5</v>
      </c>
      <c r="H87" s="1">
        <f>IF(ISNUMBER(Main_L[[#This Row],[Free CF]]),IF(Main_L[[#This Row],[Free CF]]&lt;&gt;0,Main_L[[#This Row],[Current Price]]/Main_L[[#This Row],[Free CF]],""),"")</f>
        <v>18.966321243523314</v>
      </c>
      <c r="I87" s="1">
        <f>IF(ISNUMBER(Main_L[[#This Row],[BVPS]]),IF(Main_L[[#This Row],[BVPS]]&lt;&gt;0,Main_L[[#This Row],[Current Price]]/Main_L[[#This Row],[BVPS]],""),"")</f>
        <v>2.4058494906342425</v>
      </c>
      <c r="J87">
        <v>8.6199999999999992</v>
      </c>
      <c r="K87">
        <v>4.43</v>
      </c>
      <c r="L87">
        <v>1.65</v>
      </c>
      <c r="M87" s="1">
        <f>IF(ISNUMBER(Main_L[[#This Row],[EPS]]),IF(Main_L[[#This Row],[EPS]]&lt;&gt;0,Main_L[[#This Row],[Current Price]]/Main_L[[#This Row],[EPS]],""),"")</f>
        <v>29.283999999999999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-0.72202986118022772</v>
      </c>
      <c r="P87" s="1">
        <f>(Main_L[[#This Row],[P/B]]-VLOOKUP(Main_L[[#This Row],[Industry]], Mean_PB_L, 2, FALSE))/(VLOOKUP(Main_L[[#This Row],[Industry]], Mean_PB_L, 3, FALSE))</f>
        <v>-1.2119398898537617</v>
      </c>
      <c r="Q87" s="1">
        <f>(Main_L[[#This Row],[ROE]]-VLOOKUP(Main_L[[#This Row],[Industry]], Mean_ROE_L, 2, FALSE))/(VLOOKUP(Main_L[[#This Row],[Industry]], Mean_ROE_L, 3, FALSE))</f>
        <v>-0.90855582623562869</v>
      </c>
      <c r="R87" s="1">
        <f>(Main_L[[#This Row],[ROA]]-VLOOKUP(Main_L[[#This Row],[Industry]], Mean_ROA_L, 2, FALSE))/(VLOOKUP(Main_L[[#This Row],[Industry]], Mean_ROA_L, 3, FALSE))</f>
        <v>-1.1164008373668142</v>
      </c>
      <c r="S87" s="1">
        <f>(Main_L[[#This Row],[A/E]]-VLOOKUP(Main_L[[#This Row],[Industry]], Mean_AE_L, 2, FALSE))/(VLOOKUP(Main_L[[#This Row],[Industry]], Mean_AE_L, 3, FALSE))</f>
        <v>-0.73634080684304404</v>
      </c>
      <c r="T87" s="1">
        <f>(Main_L[[#This Row],[P/E]]-VLOOKUP(Main_L[[#This Row],[Industry]], Mean_PE_L, 2, FALSE))/(VLOOKUP(Main_L[[#This Row],[Industry]], Mean_PE_L, 3, FALSE))</f>
        <v>0.48925745897597822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t="s">
        <v>157</v>
      </c>
      <c r="B88" t="s">
        <v>167</v>
      </c>
      <c r="C88" s="2">
        <v>15114</v>
      </c>
      <c r="D88">
        <f>RTD("tos.rtd", , "LAST", Main_L[[#This Row],[Symbol]])</f>
        <v>85.01</v>
      </c>
      <c r="E88">
        <v>2.75</v>
      </c>
      <c r="F88">
        <v>14.89</v>
      </c>
      <c r="G88">
        <v>2.83</v>
      </c>
      <c r="H88" s="1">
        <f>IF(ISNUMBER(Main_L[[#This Row],[Free CF]]),IF(Main_L[[#This Row],[Free CF]]&lt;&gt;0,Main_L[[#This Row],[Current Price]]/Main_L[[#This Row],[Free CF]],""),"")</f>
        <v>30.912727272727274</v>
      </c>
      <c r="I88" s="1">
        <f>IF(ISNUMBER(Main_L[[#This Row],[BVPS]]),IF(Main_L[[#This Row],[BVPS]]&lt;&gt;0,Main_L[[#This Row],[Current Price]]/Main_L[[#This Row],[BVPS]],""),"")</f>
        <v>5.7092008059100072</v>
      </c>
      <c r="J88">
        <v>20.73</v>
      </c>
      <c r="K88">
        <v>12.5</v>
      </c>
      <c r="L88">
        <v>1.18</v>
      </c>
      <c r="M88" s="1">
        <f>IF(ISNUMBER(Main_L[[#This Row],[EPS]]),IF(Main_L[[#This Row],[EPS]]&lt;&gt;0,Main_L[[#This Row],[Current Price]]/Main_L[[#This Row],[EPS]],""),"")</f>
        <v>30.03886925795053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1.1208006981594603</v>
      </c>
      <c r="P88" s="1">
        <f>(Main_L[[#This Row],[P/B]]-VLOOKUP(Main_L[[#This Row],[Industry]], Mean_PB_L, 2, FALSE))/(VLOOKUP(Main_L[[#This Row],[Industry]], Mean_PB_L, 3, FALSE))</f>
        <v>0.49908742920512617</v>
      </c>
      <c r="Q88" s="1">
        <f>(Main_L[[#This Row],[ROE]]-VLOOKUP(Main_L[[#This Row],[Industry]], Mean_ROE_L, 2, FALSE))/(VLOOKUP(Main_L[[#This Row],[Industry]], Mean_ROE_L, 3, FALSE))</f>
        <v>-6.43357211481696E-3</v>
      </c>
      <c r="R88" s="1">
        <f>(Main_L[[#This Row],[ROA]]-VLOOKUP(Main_L[[#This Row],[Industry]], Mean_ROA_L, 2, FALSE))/(VLOOKUP(Main_L[[#This Row],[Industry]], Mean_ROA_L, 3, FALSE))</f>
        <v>1.1804391263171088</v>
      </c>
      <c r="S88" s="1">
        <f>(Main_L[[#This Row],[A/E]]-VLOOKUP(Main_L[[#This Row],[Industry]], Mean_AE_L, 2, FALSE))/(VLOOKUP(Main_L[[#This Row],[Industry]], Mean_AE_L, 3, FALSE))</f>
        <v>-1.5672656068820121</v>
      </c>
      <c r="T88" s="1">
        <f>(Main_L[[#This Row],[P/E]]-VLOOKUP(Main_L[[#This Row],[Industry]], Mean_PE_L, 2, FALSE))/(VLOOKUP(Main_L[[#This Row],[Industry]], Mean_PE_L, 3, FALSE))</f>
        <v>0.58170686906240276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t="s">
        <v>157</v>
      </c>
      <c r="B89" t="s">
        <v>168</v>
      </c>
      <c r="C89" s="2">
        <v>17394</v>
      </c>
      <c r="D89">
        <f>RTD("tos.rtd", , "LAST", Main_L[[#This Row],[Symbol]])</f>
        <v>183.23</v>
      </c>
      <c r="E89">
        <v>8.26</v>
      </c>
      <c r="F89">
        <v>50.31</v>
      </c>
      <c r="G89">
        <v>6.45</v>
      </c>
      <c r="H89" s="1">
        <f>IF(ISNUMBER(Main_L[[#This Row],[Free CF]]),IF(Main_L[[#This Row],[Free CF]]&lt;&gt;0,Main_L[[#This Row],[Current Price]]/Main_L[[#This Row],[Free CF]],""),"")</f>
        <v>22.182808716707022</v>
      </c>
      <c r="I89" s="1">
        <f>IF(ISNUMBER(Main_L[[#This Row],[BVPS]]),IF(Main_L[[#This Row],[BVPS]]&lt;&gt;0,Main_L[[#This Row],[Current Price]]/Main_L[[#This Row],[BVPS]],""),"")</f>
        <v>3.642019479228781</v>
      </c>
      <c r="J89">
        <v>13.59</v>
      </c>
      <c r="K89">
        <v>6.91</v>
      </c>
      <c r="L89">
        <v>1.82</v>
      </c>
      <c r="M89" s="1">
        <f>IF(ISNUMBER(Main_L[[#This Row],[EPS]]),IF(Main_L[[#This Row],[EPS]]&lt;&gt;0,Main_L[[#This Row],[Current Price]]/Main_L[[#This Row],[EPS]],""),"")</f>
        <v>28.407751937984493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9" s="1">
        <f>(Main_L[[#This Row],[P/FCF]]-VLOOKUP(Main_L[[#This Row],[Industry]], Mean_PFCF_L, 2, FALSE))/(VLOOKUP(Main_L[[#This Row],[Industry]], Mean_PFCF_L, 3, FALSE))</f>
        <v>-0.22586043626480792</v>
      </c>
      <c r="P89" s="1">
        <f>(Main_L[[#This Row],[P/B]]-VLOOKUP(Main_L[[#This Row],[Industry]], Mean_PB_L, 2, FALSE))/(VLOOKUP(Main_L[[#This Row],[Industry]], Mean_PB_L, 3, FALSE))</f>
        <v>-0.57164449901689629</v>
      </c>
      <c r="Q89" s="1">
        <f>(Main_L[[#This Row],[ROE]]-VLOOKUP(Main_L[[#This Row],[Industry]], Mean_ROE_L, 2, FALSE))/(VLOOKUP(Main_L[[#This Row],[Industry]], Mean_ROE_L, 3, FALSE))</f>
        <v>-0.53832068148084466</v>
      </c>
      <c r="R89" s="1">
        <f>(Main_L[[#This Row],[ROA]]-VLOOKUP(Main_L[[#This Row],[Industry]], Mean_ROA_L, 2, FALSE))/(VLOOKUP(Main_L[[#This Row],[Industry]], Mean_ROA_L, 3, FALSE))</f>
        <v>-0.41055658582578197</v>
      </c>
      <c r="S89" s="1">
        <f>(Main_L[[#This Row],[A/E]]-VLOOKUP(Main_L[[#This Row],[Industry]], Mean_AE_L, 2, FALSE))/(VLOOKUP(Main_L[[#This Row],[Industry]], Mean_AE_L, 3, FALSE))</f>
        <v>-0.43579353874384252</v>
      </c>
      <c r="T89" s="1">
        <f>(Main_L[[#This Row],[P/E]]-VLOOKUP(Main_L[[#This Row],[Industry]], Mean_PE_L, 2, FALSE))/(VLOOKUP(Main_L[[#This Row],[Industry]], Mean_PE_L, 3, FALSE))</f>
        <v>0.38194269477079046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t="s">
        <v>157</v>
      </c>
      <c r="B90" t="s">
        <v>169</v>
      </c>
      <c r="C90" s="2">
        <v>41220</v>
      </c>
      <c r="D90">
        <f>RTD("tos.rtd", , "LAST", Main_L[[#This Row],[Symbol]])</f>
        <v>83.46</v>
      </c>
      <c r="E90">
        <v>3.24</v>
      </c>
      <c r="F90">
        <v>25.46</v>
      </c>
      <c r="G90">
        <v>2.0499999999999998</v>
      </c>
      <c r="H90" s="1">
        <f>IF(ISNUMBER(Main_L[[#This Row],[Free CF]]),IF(Main_L[[#This Row],[Free CF]]&lt;&gt;0,Main_L[[#This Row],[Current Price]]/Main_L[[#This Row],[Free CF]],""),"")</f>
        <v>25.759259259259256</v>
      </c>
      <c r="I90" s="1">
        <f>IF(ISNUMBER(Main_L[[#This Row],[BVPS]]),IF(Main_L[[#This Row],[BVPS]]&lt;&gt;0,Main_L[[#This Row],[Current Price]]/Main_L[[#This Row],[BVPS]],""),"")</f>
        <v>3.2780832678711702</v>
      </c>
      <c r="J90">
        <v>8.48</v>
      </c>
      <c r="K90">
        <v>5.34</v>
      </c>
      <c r="L90">
        <v>1.77</v>
      </c>
      <c r="M90" s="1">
        <f>IF(ISNUMBER(Main_L[[#This Row],[EPS]]),IF(Main_L[[#This Row],[EPS]]&lt;&gt;0,Main_L[[#This Row],[Current Price]]/Main_L[[#This Row],[EPS]],""),"")</f>
        <v>40.712195121951218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0.32583622779219268</v>
      </c>
      <c r="P90" s="1">
        <f>(Main_L[[#This Row],[P/B]]-VLOOKUP(Main_L[[#This Row],[Industry]], Mean_PB_L, 2, FALSE))/(VLOOKUP(Main_L[[#This Row],[Industry]], Mean_PB_L, 3, FALSE))</f>
        <v>-0.76015148498235297</v>
      </c>
      <c r="Q90" s="1">
        <f>(Main_L[[#This Row],[ROE]]-VLOOKUP(Main_L[[#This Row],[Industry]], Mean_ROE_L, 2, FALSE))/(VLOOKUP(Main_L[[#This Row],[Industry]], Mean_ROE_L, 3, FALSE))</f>
        <v>-0.9189849852428057</v>
      </c>
      <c r="R90" s="1">
        <f>(Main_L[[#This Row],[ROA]]-VLOOKUP(Main_L[[#This Row],[Industry]], Mean_ROA_L, 2, FALSE))/(VLOOKUP(Main_L[[#This Row],[Industry]], Mean_ROA_L, 3, FALSE))</f>
        <v>-0.85740153539006447</v>
      </c>
      <c r="S90" s="1">
        <f>(Main_L[[#This Row],[A/E]]-VLOOKUP(Main_L[[#This Row],[Industry]], Mean_AE_L, 2, FALSE))/(VLOOKUP(Main_L[[#This Row],[Industry]], Mean_AE_L, 3, FALSE))</f>
        <v>-0.52418979406713706</v>
      </c>
      <c r="T90" s="1">
        <f>(Main_L[[#This Row],[P/E]]-VLOOKUP(Main_L[[#This Row],[Industry]], Mean_PE_L, 2, FALSE))/(VLOOKUP(Main_L[[#This Row],[Industry]], Mean_PE_L, 3, FALSE))</f>
        <v>1.8888771762306213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t="s">
        <v>157</v>
      </c>
      <c r="B91" t="s">
        <v>170</v>
      </c>
      <c r="C91" s="2">
        <v>12691</v>
      </c>
      <c r="D91">
        <f>RTD("tos.rtd", , "LAST", Main_L[[#This Row],[Symbol]])</f>
        <v>151.96</v>
      </c>
      <c r="E91">
        <v>4.67</v>
      </c>
      <c r="F91">
        <v>33.729999999999997</v>
      </c>
      <c r="G91">
        <v>5.86</v>
      </c>
      <c r="H91" s="1">
        <f>IF(ISNUMBER(Main_L[[#This Row],[Free CF]]),IF(Main_L[[#This Row],[Free CF]]&lt;&gt;0,Main_L[[#This Row],[Current Price]]/Main_L[[#This Row],[Free CF]],""),"")</f>
        <v>32.53961456102784</v>
      </c>
      <c r="I91" s="1">
        <f>IF(ISNUMBER(Main_L[[#This Row],[BVPS]]),IF(Main_L[[#This Row],[BVPS]]&lt;&gt;0,Main_L[[#This Row],[Current Price]]/Main_L[[#This Row],[BVPS]],""),"")</f>
        <v>4.5051882597094579</v>
      </c>
      <c r="J91">
        <v>18.84</v>
      </c>
      <c r="K91">
        <v>8.5</v>
      </c>
      <c r="L91">
        <v>1.8</v>
      </c>
      <c r="M91" s="1">
        <f>IF(ISNUMBER(Main_L[[#This Row],[EPS]]),IF(Main_L[[#This Row],[EPS]]&lt;&gt;0,Main_L[[#This Row],[Current Price]]/Main_L[[#This Row],[EPS]],""),"")</f>
        <v>25.931740614334473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1.3717613305163814</v>
      </c>
      <c r="P91" s="1">
        <f>(Main_L[[#This Row],[P/B]]-VLOOKUP(Main_L[[#This Row],[Industry]], Mean_PB_L, 2, FALSE))/(VLOOKUP(Main_L[[#This Row],[Industry]], Mean_PB_L, 3, FALSE))</f>
        <v>-0.1245514642762393</v>
      </c>
      <c r="Q91" s="1">
        <f>(Main_L[[#This Row],[ROE]]-VLOOKUP(Main_L[[#This Row],[Industry]], Mean_ROE_L, 2, FALSE))/(VLOOKUP(Main_L[[#This Row],[Industry]], Mean_ROE_L, 3, FALSE))</f>
        <v>-0.14722721871170669</v>
      </c>
      <c r="R91" s="1">
        <f>(Main_L[[#This Row],[ROA]]-VLOOKUP(Main_L[[#This Row],[Industry]], Mean_ROA_L, 2, FALSE))/(VLOOKUP(Main_L[[#This Row],[Industry]], Mean_ROA_L, 3, FALSE))</f>
        <v>4.1980656089637733E-2</v>
      </c>
      <c r="S91" s="1">
        <f>(Main_L[[#This Row],[A/E]]-VLOOKUP(Main_L[[#This Row],[Industry]], Mean_AE_L, 2, FALSE))/(VLOOKUP(Main_L[[#This Row],[Industry]], Mean_AE_L, 3, FALSE))</f>
        <v>-0.47115204087316032</v>
      </c>
      <c r="T91" s="1">
        <f>(Main_L[[#This Row],[P/E]]-VLOOKUP(Main_L[[#This Row],[Industry]], Mean_PE_L, 2, FALSE))/(VLOOKUP(Main_L[[#This Row],[Industry]], Mean_PE_L, 3, FALSE))</f>
        <v>7.8703711559008335E-2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t="s">
        <v>157</v>
      </c>
      <c r="B92" t="s">
        <v>171</v>
      </c>
      <c r="C92" s="2">
        <v>80773</v>
      </c>
      <c r="D92">
        <f>RTD("tos.rtd", , "LAST", Main_L[[#This Row],[Symbol]])</f>
        <v>247.28</v>
      </c>
      <c r="E92">
        <v>9.24</v>
      </c>
      <c r="F92">
        <v>11.48</v>
      </c>
      <c r="G92">
        <v>11.55</v>
      </c>
      <c r="H92" s="1">
        <f>IF(ISNUMBER(Main_L[[#This Row],[Free CF]]),IF(Main_L[[#This Row],[Free CF]]&lt;&gt;0,Main_L[[#This Row],[Current Price]]/Main_L[[#This Row],[Free CF]],""),"")</f>
        <v>26.761904761904763</v>
      </c>
      <c r="I92" s="1">
        <f>IF(ISNUMBER(Main_L[[#This Row],[BVPS]]),IF(Main_L[[#This Row],[BVPS]]&lt;&gt;0,Main_L[[#This Row],[Current Price]]/Main_L[[#This Row],[BVPS]],""),"")</f>
        <v>21.540069686411147</v>
      </c>
      <c r="J92">
        <v>108.04</v>
      </c>
      <c r="K92">
        <v>17.03</v>
      </c>
      <c r="L92">
        <v>4.67</v>
      </c>
      <c r="M92" s="1">
        <f>IF(ISNUMBER(Main_L[[#This Row],[EPS]]),IF(Main_L[[#This Row],[EPS]]&lt;&gt;0,Main_L[[#This Row],[Current Price]]/Main_L[[#This Row],[EPS]],""),"")</f>
        <v>21.409523809523808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0.48050247368595983</v>
      </c>
      <c r="P92" s="1">
        <f>(Main_L[[#This Row],[P/B]]-VLOOKUP(Main_L[[#This Row],[Industry]], Mean_PB_L, 2, FALSE))/(VLOOKUP(Main_L[[#This Row],[Industry]], Mean_PB_L, 3, FALSE))</f>
        <v>8.6989567600018152</v>
      </c>
      <c r="Q92" s="1">
        <f>(Main_L[[#This Row],[ROE]]-VLOOKUP(Main_L[[#This Row],[Industry]], Mean_ROE_L, 2, FALSE))/(VLOOKUP(Main_L[[#This Row],[Industry]], Mean_ROE_L, 3, FALSE))</f>
        <v>6.4976369487182195</v>
      </c>
      <c r="R92" s="1">
        <f>(Main_L[[#This Row],[ROA]]-VLOOKUP(Main_L[[#This Row],[Industry]], Mean_ROA_L, 2, FALSE))/(VLOOKUP(Main_L[[#This Row],[Industry]], Mean_ROA_L, 3, FALSE))</f>
        <v>2.4697433438497201</v>
      </c>
      <c r="S92" s="1">
        <f>(Main_L[[#This Row],[A/E]]-VLOOKUP(Main_L[[#This Row],[Industry]], Mean_AE_L, 2, FALSE))/(VLOOKUP(Main_L[[#This Row],[Industry]], Mean_AE_L, 3, FALSE))</f>
        <v>4.6027930146839431</v>
      </c>
      <c r="T92" s="1">
        <f>(Main_L[[#This Row],[P/E]]-VLOOKUP(Main_L[[#This Row],[Industry]], Mean_PE_L, 2, FALSE))/(VLOOKUP(Main_L[[#This Row],[Industry]], Mean_PE_L, 3, FALSE))</f>
        <v>-0.47513560761360973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3" spans="1:26" x14ac:dyDescent="0.25">
      <c r="A93" t="s">
        <v>157</v>
      </c>
      <c r="B93" t="s">
        <v>172</v>
      </c>
      <c r="C93" s="2">
        <v>11845</v>
      </c>
      <c r="D93">
        <f>RTD("tos.rtd", , "LAST", Main_L[[#This Row],[Symbol]])</f>
        <v>202.99</v>
      </c>
      <c r="E93">
        <v>9.07</v>
      </c>
      <c r="F93">
        <v>23.73</v>
      </c>
      <c r="G93">
        <v>8.39</v>
      </c>
      <c r="H93" s="1">
        <f>IF(ISNUMBER(Main_L[[#This Row],[Free CF]]),IF(Main_L[[#This Row],[Free CF]]&lt;&gt;0,Main_L[[#This Row],[Current Price]]/Main_L[[#This Row],[Free CF]],""),"")</f>
        <v>22.380374862183022</v>
      </c>
      <c r="I93" s="1">
        <f>IF(ISNUMBER(Main_L[[#This Row],[BVPS]]),IF(Main_L[[#This Row],[BVPS]]&lt;&gt;0,Main_L[[#This Row],[Current Price]]/Main_L[[#This Row],[BVPS]],""),"")</f>
        <v>8.5541508638853774</v>
      </c>
      <c r="J93">
        <v>37.630000000000003</v>
      </c>
      <c r="K93">
        <v>12.4</v>
      </c>
      <c r="L93">
        <v>2.74</v>
      </c>
      <c r="M93" s="1">
        <f>IF(ISNUMBER(Main_L[[#This Row],[EPS]]),IF(Main_L[[#This Row],[EPS]]&lt;&gt;0,Main_L[[#This Row],[Current Price]]/Main_L[[#This Row],[EPS]],""),"")</f>
        <v>24.194278903456496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-0.19538424706747973</v>
      </c>
      <c r="P93" s="1">
        <f>(Main_L[[#This Row],[P/B]]-VLOOKUP(Main_L[[#This Row],[Industry]], Mean_PB_L, 2, FALSE))/(VLOOKUP(Main_L[[#This Row],[Industry]], Mean_PB_L, 3, FALSE))</f>
        <v>1.9726779758853423</v>
      </c>
      <c r="Q93" s="1">
        <f>(Main_L[[#This Row],[ROE]]-VLOOKUP(Main_L[[#This Row],[Industry]], Mean_ROE_L, 2, FALSE))/(VLOOKUP(Main_L[[#This Row],[Industry]], Mean_ROE_L, 3, FALSE))</f>
        <v>1.2525149080372655</v>
      </c>
      <c r="R93" s="1">
        <f>(Main_L[[#This Row],[ROA]]-VLOOKUP(Main_L[[#This Row],[Industry]], Mean_ROA_L, 2, FALSE))/(VLOOKUP(Main_L[[#This Row],[Industry]], Mean_ROA_L, 3, FALSE))</f>
        <v>1.1519776645614221</v>
      </c>
      <c r="S93" s="1">
        <f>(Main_L[[#This Row],[A/E]]-VLOOKUP(Main_L[[#This Row],[Industry]], Mean_AE_L, 2, FALSE))/(VLOOKUP(Main_L[[#This Row],[Industry]], Mean_AE_L, 3, FALSE))</f>
        <v>1.1906975592047764</v>
      </c>
      <c r="T93" s="1">
        <f>(Main_L[[#This Row],[P/E]]-VLOOKUP(Main_L[[#This Row],[Industry]], Mean_PE_L, 2, FALSE))/(VLOOKUP(Main_L[[#This Row],[Industry]], Mean_PE_L, 3, FALSE))</f>
        <v>-0.13408454087893268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4" spans="1:26" x14ac:dyDescent="0.25">
      <c r="A94" t="s">
        <v>157</v>
      </c>
      <c r="B94" t="s">
        <v>173</v>
      </c>
      <c r="C94" s="2">
        <v>52172</v>
      </c>
      <c r="D94">
        <f>RTD("tos.rtd", , "LAST", Main_L[[#This Row],[Symbol]])</f>
        <v>48.2</v>
      </c>
      <c r="E94">
        <v>0.59</v>
      </c>
      <c r="F94">
        <v>4.67</v>
      </c>
      <c r="G94">
        <v>0.49</v>
      </c>
      <c r="H94" s="1">
        <f>IF(ISNUMBER(Main_L[[#This Row],[Free CF]]),IF(Main_L[[#This Row],[Free CF]]&lt;&gt;0,Main_L[[#This Row],[Current Price]]/Main_L[[#This Row],[Free CF]],""),"")</f>
        <v>81.694915254237301</v>
      </c>
      <c r="I94" s="1">
        <f>IF(ISNUMBER(Main_L[[#This Row],[BVPS]]),IF(Main_L[[#This Row],[BVPS]]&lt;&gt;0,Main_L[[#This Row],[Current Price]]/Main_L[[#This Row],[BVPS]],""),"")</f>
        <v>10.321199143468952</v>
      </c>
      <c r="J94">
        <v>11.59</v>
      </c>
      <c r="K94">
        <v>3.47</v>
      </c>
      <c r="L94">
        <v>2.87</v>
      </c>
      <c r="M94" s="1">
        <f>IF(ISNUMBER(Main_L[[#This Row],[EPS]]),IF(Main_L[[#This Row],[EPS]]&lt;&gt;0,Main_L[[#This Row],[Current Price]]/Main_L[[#This Row],[EPS]],""),"")</f>
        <v>98.367346938775512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8.9543673502293917</v>
      </c>
      <c r="P94" s="1">
        <f>(Main_L[[#This Row],[P/B]]-VLOOKUP(Main_L[[#This Row],[Industry]], Mean_PB_L, 2, FALSE))/(VLOOKUP(Main_L[[#This Row],[Industry]], Mean_PB_L, 3, FALSE))</f>
        <v>2.8879508584522102</v>
      </c>
      <c r="Q94" s="1">
        <f>(Main_L[[#This Row],[ROE]]-VLOOKUP(Main_L[[#This Row],[Industry]], Mean_ROE_L, 2, FALSE))/(VLOOKUP(Main_L[[#This Row],[Industry]], Mean_ROE_L, 3, FALSE))</f>
        <v>-0.68730866729765916</v>
      </c>
      <c r="R94" s="1">
        <f>(Main_L[[#This Row],[ROA]]-VLOOKUP(Main_L[[#This Row],[Industry]], Mean_ROA_L, 2, FALSE))/(VLOOKUP(Main_L[[#This Row],[Industry]], Mean_ROA_L, 3, FALSE))</f>
        <v>-1.3896308702214071</v>
      </c>
      <c r="S94" s="1">
        <f>(Main_L[[#This Row],[A/E]]-VLOOKUP(Main_L[[#This Row],[Industry]], Mean_AE_L, 2, FALSE))/(VLOOKUP(Main_L[[#This Row],[Industry]], Mean_AE_L, 3, FALSE))</f>
        <v>1.4205278230453418</v>
      </c>
      <c r="T94" s="1">
        <f>(Main_L[[#This Row],[P/E]]-VLOOKUP(Main_L[[#This Row],[Industry]], Mean_PE_L, 2, FALSE))/(VLOOKUP(Main_L[[#This Row],[Industry]], Mean_PE_L, 3, FALSE))</f>
        <v>8.9499473122434434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5" spans="1:26" x14ac:dyDescent="0.25">
      <c r="A95" t="s">
        <v>157</v>
      </c>
      <c r="B95" t="s">
        <v>174</v>
      </c>
      <c r="C95" s="2">
        <v>14547</v>
      </c>
      <c r="D95">
        <f>RTD("tos.rtd", , "LAST", Main_L[[#This Row],[Symbol]])</f>
        <v>219.28</v>
      </c>
      <c r="E95">
        <v>9.9600000000000009</v>
      </c>
      <c r="F95">
        <v>49.91</v>
      </c>
      <c r="G95">
        <v>8.2100000000000009</v>
      </c>
      <c r="H95" s="1">
        <f>IF(ISNUMBER(Main_L[[#This Row],[Free CF]]),IF(Main_L[[#This Row],[Free CF]]&lt;&gt;0,Main_L[[#This Row],[Current Price]]/Main_L[[#This Row],[Free CF]],""),"")</f>
        <v>22.016064257028109</v>
      </c>
      <c r="I95" s="1">
        <f>IF(ISNUMBER(Main_L[[#This Row],[BVPS]]),IF(Main_L[[#This Row],[BVPS]]&lt;&gt;0,Main_L[[#This Row],[Current Price]]/Main_L[[#This Row],[BVPS]],""),"")</f>
        <v>4.3935083149669412</v>
      </c>
      <c r="J95">
        <v>17.41</v>
      </c>
      <c r="K95">
        <v>9.15</v>
      </c>
      <c r="L95">
        <v>1.82</v>
      </c>
      <c r="M95" s="1">
        <f>IF(ISNUMBER(Main_L[[#This Row],[EPS]]),IF(Main_L[[#This Row],[EPS]]&lt;&gt;0,Main_L[[#This Row],[Current Price]]/Main_L[[#This Row],[EPS]],""),"")</f>
        <v>26.7088915956151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95" s="1">
        <f>(Main_L[[#This Row],[P/FCF]]-VLOOKUP(Main_L[[#This Row],[Industry]], Mean_PFCF_L, 2, FALSE))/(VLOOKUP(Main_L[[#This Row],[Industry]], Mean_PFCF_L, 3, FALSE))</f>
        <v>-0.25158212906059185</v>
      </c>
      <c r="P95" s="1">
        <f>(Main_L[[#This Row],[P/B]]-VLOOKUP(Main_L[[#This Row],[Industry]], Mean_PB_L, 2, FALSE))/(VLOOKUP(Main_L[[#This Row],[Industry]], Mean_PB_L, 3, FALSE))</f>
        <v>-0.18239800199137213</v>
      </c>
      <c r="Q95" s="1">
        <f>(Main_L[[#This Row],[ROE]]-VLOOKUP(Main_L[[#This Row],[Industry]], Mean_ROE_L, 2, FALSE))/(VLOOKUP(Main_L[[#This Row],[Industry]], Mean_ROE_L, 3, FALSE))</f>
        <v>-0.25375362857072903</v>
      </c>
      <c r="R95" s="1">
        <f>(Main_L[[#This Row],[ROA]]-VLOOKUP(Main_L[[#This Row],[Industry]], Mean_ROA_L, 2, FALSE))/(VLOOKUP(Main_L[[#This Row],[Industry]], Mean_ROA_L, 3, FALSE))</f>
        <v>0.22698015750160189</v>
      </c>
      <c r="S95" s="1">
        <f>(Main_L[[#This Row],[A/E]]-VLOOKUP(Main_L[[#This Row],[Industry]], Mean_AE_L, 2, FALSE))/(VLOOKUP(Main_L[[#This Row],[Industry]], Mean_AE_L, 3, FALSE))</f>
        <v>-0.43579353874384252</v>
      </c>
      <c r="T95" s="1">
        <f>(Main_L[[#This Row],[P/E]]-VLOOKUP(Main_L[[#This Row],[Industry]], Mean_PE_L, 2, FALSE))/(VLOOKUP(Main_L[[#This Row],[Industry]], Mean_PE_L, 3, FALSE))</f>
        <v>0.17388198118750645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6" spans="1:26" x14ac:dyDescent="0.25">
      <c r="A96" t="s">
        <v>157</v>
      </c>
      <c r="B96" t="s">
        <v>175</v>
      </c>
      <c r="C96" s="2">
        <v>39866</v>
      </c>
      <c r="D96">
        <f>RTD("tos.rtd", , "LAST", Main_L[[#This Row],[Symbol]])</f>
        <v>95.32</v>
      </c>
      <c r="E96">
        <v>3.32</v>
      </c>
      <c r="F96">
        <v>-12.27</v>
      </c>
      <c r="G96">
        <v>4.0199999999999996</v>
      </c>
      <c r="H96" s="1">
        <f>IF(ISNUMBER(Main_L[[#This Row],[Free CF]]),IF(Main_L[[#This Row],[Free CF]]&lt;&gt;0,Main_L[[#This Row],[Current Price]]/Main_L[[#This Row],[Free CF]],""),"")</f>
        <v>28.710843373493976</v>
      </c>
      <c r="I96" s="1">
        <f>IF(ISNUMBER(Main_L[[#This Row],[BVPS]]),IF(Main_L[[#This Row],[BVPS]]&lt;&gt;0,Main_L[[#This Row],[Current Price]]/Main_L[[#This Row],[BVPS]],""),"")</f>
        <v>-7.7685411572942131</v>
      </c>
      <c r="J96">
        <v>-36.74</v>
      </c>
      <c r="K96">
        <v>14.08</v>
      </c>
      <c r="L96">
        <v>-2.09</v>
      </c>
      <c r="M96" s="1">
        <f>IF(ISNUMBER(Main_L[[#This Row],[EPS]]),IF(Main_L[[#This Row],[EPS]]&lt;&gt;0,Main_L[[#This Row],[Current Price]]/Main_L[[#This Row],[EPS]],""),"")</f>
        <v>23.711442786069654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0.78114214916106051</v>
      </c>
      <c r="P96" s="1">
        <f>(Main_L[[#This Row],[P/B]]-VLOOKUP(Main_L[[#This Row],[Industry]], Mean_PB_L, 2, FALSE))/(VLOOKUP(Main_L[[#This Row],[Industry]], Mean_PB_L, 3, FALSE))</f>
        <v>-6.4819395634820474</v>
      </c>
      <c r="Q96" s="1">
        <f>(Main_L[[#This Row],[ROE]]-VLOOKUP(Main_L[[#This Row],[Industry]], Mean_ROE_L, 2, FALSE))/(VLOOKUP(Main_L[[#This Row],[Industry]], Mean_ROE_L, 3, FALSE))</f>
        <v>-4.2876033445609814</v>
      </c>
      <c r="R96" s="1">
        <f>(Main_L[[#This Row],[ROA]]-VLOOKUP(Main_L[[#This Row],[Industry]], Mean_ROA_L, 2, FALSE))/(VLOOKUP(Main_L[[#This Row],[Industry]], Mean_ROA_L, 3, FALSE))</f>
        <v>1.63013022205696</v>
      </c>
      <c r="S96" s="1">
        <f>(Main_L[[#This Row],[A/E]]-VLOOKUP(Main_L[[#This Row],[Industry]], Mean_AE_L, 2, FALSE))/(VLOOKUP(Main_L[[#This Row],[Industry]], Mean_AE_L, 3, FALSE))</f>
        <v>-7.3483807050254715</v>
      </c>
      <c r="T96" s="1">
        <f>(Main_L[[#This Row],[P/E]]-VLOOKUP(Main_L[[#This Row],[Industry]], Mean_PE_L, 2, FALSE))/(VLOOKUP(Main_L[[#This Row],[Industry]], Mean_PE_L, 3, FALSE))</f>
        <v>-0.1932178460846912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7" spans="1:26" x14ac:dyDescent="0.25">
      <c r="A97" t="s">
        <v>157</v>
      </c>
      <c r="B97" t="s">
        <v>176</v>
      </c>
      <c r="C97" s="2">
        <v>89610</v>
      </c>
      <c r="D97">
        <f>RTD("tos.rtd", , "LAST", Main_L[[#This Row],[Symbol]])</f>
        <v>669.88</v>
      </c>
      <c r="E97">
        <v>23.22</v>
      </c>
      <c r="F97">
        <v>100.15</v>
      </c>
      <c r="G97">
        <v>21.84</v>
      </c>
      <c r="H97" s="1">
        <f>IF(ISNUMBER(Main_L[[#This Row],[Free CF]]),IF(Main_L[[#This Row],[Free CF]]&lt;&gt;0,Main_L[[#This Row],[Current Price]]/Main_L[[#This Row],[Free CF]],""),"")</f>
        <v>28.849267872523686</v>
      </c>
      <c r="I97" s="1">
        <f>IF(ISNUMBER(Main_L[[#This Row],[BVPS]]),IF(Main_L[[#This Row],[BVPS]]&lt;&gt;0,Main_L[[#This Row],[Current Price]]/Main_L[[#This Row],[BVPS]],""),"")</f>
        <v>6.6887668497254111</v>
      </c>
      <c r="J97">
        <v>24.64</v>
      </c>
      <c r="K97">
        <v>8.5399999999999991</v>
      </c>
      <c r="L97">
        <v>2.2999999999999998</v>
      </c>
      <c r="M97" s="1">
        <f>IF(ISNUMBER(Main_L[[#This Row],[EPS]]),IF(Main_L[[#This Row],[EPS]]&lt;&gt;0,Main_L[[#This Row],[Current Price]]/Main_L[[#This Row],[EPS]],""),"")</f>
        <v>30.672161172161172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0.80249525706226876</v>
      </c>
      <c r="P97" s="1">
        <f>(Main_L[[#This Row],[P/B]]-VLOOKUP(Main_L[[#This Row],[Industry]], Mean_PB_L, 2, FALSE))/(VLOOKUP(Main_L[[#This Row],[Industry]], Mean_PB_L, 3, FALSE))</f>
        <v>1.00647041751761</v>
      </c>
      <c r="Q97" s="1">
        <f>(Main_L[[#This Row],[ROE]]-VLOOKUP(Main_L[[#This Row],[Industry]], Mean_ROE_L, 2, FALSE))/(VLOOKUP(Main_L[[#This Row],[Industry]], Mean_ROE_L, 3, FALSE))</f>
        <v>0.28483794015705538</v>
      </c>
      <c r="R97" s="1">
        <f>(Main_L[[#This Row],[ROA]]-VLOOKUP(Main_L[[#This Row],[Industry]], Mean_ROA_L, 2, FALSE))/(VLOOKUP(Main_L[[#This Row],[Industry]], Mean_ROA_L, 3, FALSE))</f>
        <v>5.3365240791912204E-2</v>
      </c>
      <c r="S97" s="1">
        <f>(Main_L[[#This Row],[A/E]]-VLOOKUP(Main_L[[#This Row],[Industry]], Mean_AE_L, 2, FALSE))/(VLOOKUP(Main_L[[#This Row],[Industry]], Mean_AE_L, 3, FALSE))</f>
        <v>0.41281051235978417</v>
      </c>
      <c r="T97" s="1">
        <f>(Main_L[[#This Row],[P/E]]-VLOOKUP(Main_L[[#This Row],[Industry]], Mean_PE_L, 2, FALSE))/(VLOOKUP(Main_L[[#This Row],[Industry]], Mean_PE_L, 3, FALSE))</f>
        <v>0.65926660972561724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8" spans="1:26" x14ac:dyDescent="0.25">
      <c r="A98" t="s">
        <v>157</v>
      </c>
      <c r="B98" t="s">
        <v>177</v>
      </c>
      <c r="C98" s="2">
        <v>17863</v>
      </c>
      <c r="D98">
        <f>RTD("tos.rtd", , "LAST", Main_L[[#This Row],[Symbol]])</f>
        <v>99.67</v>
      </c>
      <c r="E98">
        <v>4.38</v>
      </c>
      <c r="F98">
        <v>21.18</v>
      </c>
      <c r="G98">
        <v>4</v>
      </c>
      <c r="H98" s="1">
        <f>IF(ISNUMBER(Main_L[[#This Row],[Free CF]]),IF(Main_L[[#This Row],[Free CF]]&lt;&gt;0,Main_L[[#This Row],[Current Price]]/Main_L[[#This Row],[Free CF]],""),"")</f>
        <v>22.75570776255708</v>
      </c>
      <c r="I98" s="1">
        <f>IF(ISNUMBER(Main_L[[#This Row],[BVPS]]),IF(Main_L[[#This Row],[BVPS]]&lt;&gt;0,Main_L[[#This Row],[Current Price]]/Main_L[[#This Row],[BVPS]],""),"")</f>
        <v>4.7058545797922573</v>
      </c>
      <c r="J98">
        <v>20.41</v>
      </c>
      <c r="K98">
        <v>8.3800000000000008</v>
      </c>
      <c r="L98">
        <v>1.85</v>
      </c>
      <c r="M98" s="1">
        <f>IF(ISNUMBER(Main_L[[#This Row],[EPS]]),IF(Main_L[[#This Row],[EPS]]&lt;&gt;0,Main_L[[#This Row],[Current Price]]/Main_L[[#This Row],[EPS]],""),"")</f>
        <v>24.9175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98" s="1">
        <f>(Main_L[[#This Row],[P/FCF]]-VLOOKUP(Main_L[[#This Row],[Industry]], Mean_PFCF_L, 2, FALSE))/(VLOOKUP(Main_L[[#This Row],[Industry]], Mean_PFCF_L, 3, FALSE))</f>
        <v>-0.13748608614409763</v>
      </c>
      <c r="P98" s="1">
        <f>(Main_L[[#This Row],[P/B]]-VLOOKUP(Main_L[[#This Row],[Industry]], Mean_PB_L, 2, FALSE))/(VLOOKUP(Main_L[[#This Row],[Industry]], Mean_PB_L, 3, FALSE))</f>
        <v>-2.0612911301584741E-2</v>
      </c>
      <c r="Q98" s="1">
        <f>(Main_L[[#This Row],[ROE]]-VLOOKUP(Main_L[[#This Row],[Industry]], Mean_ROE_L, 2, FALSE))/(VLOOKUP(Main_L[[#This Row],[Industry]], Mean_ROE_L, 3, FALSE))</f>
        <v>-3.0271649845507297E-2</v>
      </c>
      <c r="R98" s="1">
        <f>(Main_L[[#This Row],[ROA]]-VLOOKUP(Main_L[[#This Row],[Industry]], Mean_ROA_L, 2, FALSE))/(VLOOKUP(Main_L[[#This Row],[Industry]], Mean_ROA_L, 3, FALSE))</f>
        <v>7.8269019828138241E-3</v>
      </c>
      <c r="S98" s="1">
        <f>(Main_L[[#This Row],[A/E]]-VLOOKUP(Main_L[[#This Row],[Industry]], Mean_AE_L, 2, FALSE))/(VLOOKUP(Main_L[[#This Row],[Industry]], Mean_AE_L, 3, FALSE))</f>
        <v>-0.38275578554986578</v>
      </c>
      <c r="T98" s="1">
        <f>(Main_L[[#This Row],[P/E]]-VLOOKUP(Main_L[[#This Row],[Industry]], Mean_PE_L, 2, FALSE))/(VLOOKUP(Main_L[[#This Row],[Industry]], Mean_PE_L, 3, FALSE))</f>
        <v>-4.5511105104064115E-2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9" spans="1:26" x14ac:dyDescent="0.25">
      <c r="A99" t="s">
        <v>157</v>
      </c>
      <c r="B99" t="s">
        <v>178</v>
      </c>
      <c r="C99" s="2">
        <v>10503</v>
      </c>
      <c r="D99">
        <f>RTD("tos.rtd", , "LAST", Main_L[[#This Row],[Symbol]])</f>
        <v>381.22</v>
      </c>
      <c r="E99">
        <v>7.56</v>
      </c>
      <c r="F99">
        <v>94.77</v>
      </c>
      <c r="G99">
        <v>6.86</v>
      </c>
      <c r="H99" s="1">
        <f>IF(ISNUMBER(Main_L[[#This Row],[Free CF]]),IF(Main_L[[#This Row],[Free CF]]&lt;&gt;0,Main_L[[#This Row],[Current Price]]/Main_L[[#This Row],[Free CF]],""),"")</f>
        <v>50.425925925925931</v>
      </c>
      <c r="I99" s="1">
        <f>IF(ISNUMBER(Main_L[[#This Row],[BVPS]]),IF(Main_L[[#This Row],[BVPS]]&lt;&gt;0,Main_L[[#This Row],[Current Price]]/Main_L[[#This Row],[BVPS]],""),"")</f>
        <v>4.0225809855439492</v>
      </c>
      <c r="J99">
        <v>8.11</v>
      </c>
      <c r="K99">
        <v>4.75</v>
      </c>
      <c r="L99">
        <v>1.7</v>
      </c>
      <c r="M99" s="1">
        <f>IF(ISNUMBER(Main_L[[#This Row],[EPS]]),IF(Main_L[[#This Row],[EPS]]&lt;&gt;0,Main_L[[#This Row],[Current Price]]/Main_L[[#This Row],[EPS]],""),"")</f>
        <v>55.571428571428569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4.1308707309939852</v>
      </c>
      <c r="P99" s="1">
        <f>(Main_L[[#This Row],[P/B]]-VLOOKUP(Main_L[[#This Row],[Industry]], Mean_PB_L, 2, FALSE))/(VLOOKUP(Main_L[[#This Row],[Industry]], Mean_PB_L, 3, FALSE))</f>
        <v>-0.37452615714501575</v>
      </c>
      <c r="Q99" s="1">
        <f>(Main_L[[#This Row],[ROE]]-VLOOKUP(Main_L[[#This Row],[Industry]], Mean_ROE_L, 2, FALSE))/(VLOOKUP(Main_L[[#This Row],[Industry]], Mean_ROE_L, 3, FALSE))</f>
        <v>-0.94654776261891638</v>
      </c>
      <c r="R99" s="1">
        <f>(Main_L[[#This Row],[ROA]]-VLOOKUP(Main_L[[#This Row],[Industry]], Mean_ROA_L, 2, FALSE))/(VLOOKUP(Main_L[[#This Row],[Industry]], Mean_ROA_L, 3, FALSE))</f>
        <v>-1.0253241597486165</v>
      </c>
      <c r="S99" s="1">
        <f>(Main_L[[#This Row],[A/E]]-VLOOKUP(Main_L[[#This Row],[Industry]], Mean_AE_L, 2, FALSE))/(VLOOKUP(Main_L[[#This Row],[Industry]], Mean_AE_L, 3, FALSE))</f>
        <v>-0.6479445515197495</v>
      </c>
      <c r="T99" s="1">
        <f>(Main_L[[#This Row],[P/E]]-VLOOKUP(Main_L[[#This Row],[Industry]], Mean_PE_L, 2, FALSE))/(VLOOKUP(Main_L[[#This Row],[Industry]], Mean_PE_L, 3, FALSE))</f>
        <v>3.7086987576132251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0" spans="1:26" x14ac:dyDescent="0.25">
      <c r="A100" t="s">
        <v>157</v>
      </c>
      <c r="B100" t="s">
        <v>179</v>
      </c>
      <c r="C100" s="2">
        <v>18786</v>
      </c>
      <c r="D100">
        <f>RTD("tos.rtd", , "LAST", Main_L[[#This Row],[Symbol]])</f>
        <v>320.76</v>
      </c>
      <c r="E100">
        <v>21.53</v>
      </c>
      <c r="F100">
        <v>104.27</v>
      </c>
      <c r="G100">
        <v>19.45</v>
      </c>
      <c r="H100" s="1">
        <f>IF(ISNUMBER(Main_L[[#This Row],[Free CF]]),IF(Main_L[[#This Row],[Free CF]]&lt;&gt;0,Main_L[[#This Row],[Current Price]]/Main_L[[#This Row],[Free CF]],""),"")</f>
        <v>14.89828146771946</v>
      </c>
      <c r="I100" s="1">
        <f>IF(ISNUMBER(Main_L[[#This Row],[BVPS]]),IF(Main_L[[#This Row],[BVPS]]&lt;&gt;0,Main_L[[#This Row],[Current Price]]/Main_L[[#This Row],[BVPS]],""),"")</f>
        <v>3.0762443655893352</v>
      </c>
      <c r="J100">
        <v>20.6</v>
      </c>
      <c r="K100">
        <v>11.4</v>
      </c>
      <c r="L100">
        <v>1.45</v>
      </c>
      <c r="M100" s="1">
        <f>IF(ISNUMBER(Main_L[[#This Row],[EPS]]),IF(Main_L[[#This Row],[EPS]]&lt;&gt;0,Main_L[[#This Row],[Current Price]]/Main_L[[#This Row],[EPS]],""),"")</f>
        <v>16.491516709511568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00" s="1">
        <f>(Main_L[[#This Row],[P/FCF]]-VLOOKUP(Main_L[[#This Row],[Industry]], Mean_PFCF_L, 2, FALSE))/(VLOOKUP(Main_L[[#This Row],[Industry]], Mean_PFCF_L, 3, FALSE))</f>
        <v>-1.3495581736395903</v>
      </c>
      <c r="P100" s="1">
        <f>(Main_L[[#This Row],[P/B]]-VLOOKUP(Main_L[[#This Row],[Industry]], Mean_PB_L, 2, FALSE))/(VLOOKUP(Main_L[[#This Row],[Industry]], Mean_PB_L, 3, FALSE))</f>
        <v>-0.86469739696454451</v>
      </c>
      <c r="Q100" s="1">
        <f>(Main_L[[#This Row],[ROE]]-VLOOKUP(Main_L[[#This Row],[Industry]], Mean_ROE_L, 2, FALSE))/(VLOOKUP(Main_L[[#This Row],[Industry]], Mean_ROE_L, 3, FALSE))</f>
        <v>-1.6117791192909826E-2</v>
      </c>
      <c r="R100" s="1">
        <f>(Main_L[[#This Row],[ROA]]-VLOOKUP(Main_L[[#This Row],[Industry]], Mean_ROA_L, 2, FALSE))/(VLOOKUP(Main_L[[#This Row],[Industry]], Mean_ROA_L, 3, FALSE))</f>
        <v>0.86736304700455436</v>
      </c>
      <c r="S100" s="1">
        <f>(Main_L[[#This Row],[A/E]]-VLOOKUP(Main_L[[#This Row],[Industry]], Mean_AE_L, 2, FALSE))/(VLOOKUP(Main_L[[#This Row],[Industry]], Mean_AE_L, 3, FALSE))</f>
        <v>-1.0899258281362219</v>
      </c>
      <c r="T100" s="1">
        <f>(Main_L[[#This Row],[P/E]]-VLOOKUP(Main_L[[#This Row],[Industry]], Mean_PE_L, 2, FALSE))/(VLOOKUP(Main_L[[#This Row],[Industry]], Mean_PE_L, 3, FALSE))</f>
        <v>-1.0774476641827153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t="s">
        <v>157</v>
      </c>
      <c r="B101" t="s">
        <v>180</v>
      </c>
      <c r="C101" s="2">
        <v>13021</v>
      </c>
      <c r="D101">
        <f>RTD("tos.rtd", , "LAST", Main_L[[#This Row],[Symbol]])</f>
        <v>67.209999999999994</v>
      </c>
      <c r="E101">
        <v>5.56</v>
      </c>
      <c r="F101">
        <v>57.47</v>
      </c>
      <c r="G101">
        <v>-1.23</v>
      </c>
      <c r="H101" s="1">
        <f>IF(ISNUMBER(Main_L[[#This Row],[Free CF]]),IF(Main_L[[#This Row],[Free CF]]&lt;&gt;0,Main_L[[#This Row],[Current Price]]/Main_L[[#This Row],[Free CF]],""),"")</f>
        <v>12.088129496402878</v>
      </c>
      <c r="I101" s="1">
        <f>IF(ISNUMBER(Main_L[[#This Row],[BVPS]]),IF(Main_L[[#This Row],[BVPS]]&lt;&gt;0,Main_L[[#This Row],[Current Price]]/Main_L[[#This Row],[BVPS]],""),"")</f>
        <v>1.1694797285540282</v>
      </c>
      <c r="J101">
        <v>-2.0299999999999998</v>
      </c>
      <c r="K101">
        <v>2.99</v>
      </c>
      <c r="L101">
        <v>2.54</v>
      </c>
      <c r="M101" s="1">
        <f>IF(ISNUMBER(Main_L[[#This Row],[EPS]]),IF(Main_L[[#This Row],[EPS]]&lt;&gt;0,Main_L[[#This Row],[Current Price]]/Main_L[[#This Row],[EPS]],""),"")</f>
        <v>-54.642276422764226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1" s="1">
        <f>(Main_L[[#This Row],[P/FCF]]-VLOOKUP(Main_L[[#This Row],[Industry]], Mean_PFCF_L, 2, FALSE))/(VLOOKUP(Main_L[[#This Row],[Industry]], Mean_PFCF_L, 3, FALSE))</f>
        <v>-1.7830470335085142</v>
      </c>
      <c r="P101" s="1">
        <f>(Main_L[[#This Row],[P/B]]-VLOOKUP(Main_L[[#This Row],[Industry]], Mean_PB_L, 2, FALSE))/(VLOOKUP(Main_L[[#This Row],[Industry]], Mean_PB_L, 3, FALSE))</f>
        <v>-1.8523387567847482</v>
      </c>
      <c r="Q101" s="1">
        <f>(Main_L[[#This Row],[ROE]]-VLOOKUP(Main_L[[#This Row],[Industry]], Mean_ROE_L, 2, FALSE))/(VLOOKUP(Main_L[[#This Row],[Industry]], Mean_ROE_L, 3, FALSE))</f>
        <v>-1.7019168507101659</v>
      </c>
      <c r="R101" s="1">
        <f>(Main_L[[#This Row],[ROA]]-VLOOKUP(Main_L[[#This Row],[Industry]], Mean_ROA_L, 2, FALSE))/(VLOOKUP(Main_L[[#This Row],[Industry]], Mean_ROA_L, 3, FALSE))</f>
        <v>-1.5262458866487036</v>
      </c>
      <c r="S101" s="1">
        <f>(Main_L[[#This Row],[A/E]]-VLOOKUP(Main_L[[#This Row],[Industry]], Mean_AE_L, 2, FALSE))/(VLOOKUP(Main_L[[#This Row],[Industry]], Mean_AE_L, 3, FALSE))</f>
        <v>0.83711253791159812</v>
      </c>
      <c r="T101" s="1">
        <f>(Main_L[[#This Row],[P/E]]-VLOOKUP(Main_L[[#This Row],[Industry]], Mean_PE_L, 2, FALSE))/(VLOOKUP(Main_L[[#This Row],[Industry]], Mean_PE_L, 3, FALSE))</f>
        <v>-9.7892572166650051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2" spans="1:26" x14ac:dyDescent="0.25">
      <c r="A102" t="s">
        <v>157</v>
      </c>
      <c r="B102" t="s">
        <v>181</v>
      </c>
      <c r="C102" s="2">
        <v>30701</v>
      </c>
      <c r="D102">
        <f>RTD("tos.rtd", , "LAST", Main_L[[#This Row],[Symbol]])</f>
        <v>127.63</v>
      </c>
      <c r="E102">
        <v>3.42</v>
      </c>
      <c r="F102">
        <v>43.59</v>
      </c>
      <c r="G102">
        <v>3.42</v>
      </c>
      <c r="H102" s="1">
        <f>IF(ISNUMBER(Main_L[[#This Row],[Free CF]]),IF(Main_L[[#This Row],[Free CF]]&lt;&gt;0,Main_L[[#This Row],[Current Price]]/Main_L[[#This Row],[Free CF]],""),"")</f>
        <v>37.3187134502924</v>
      </c>
      <c r="I102" s="1">
        <f>IF(ISNUMBER(Main_L[[#This Row],[BVPS]]),IF(Main_L[[#This Row],[BVPS]]&lt;&gt;0,Main_L[[#This Row],[Current Price]]/Main_L[[#This Row],[BVPS]],""),"")</f>
        <v>2.9279651296168843</v>
      </c>
      <c r="J102">
        <v>8.08</v>
      </c>
      <c r="K102">
        <v>4.43</v>
      </c>
      <c r="L102">
        <v>1.51</v>
      </c>
      <c r="M102" s="1">
        <f>IF(ISNUMBER(Main_L[[#This Row],[EPS]]),IF(Main_L[[#This Row],[EPS]]&lt;&gt;0,Main_L[[#This Row],[Current Price]]/Main_L[[#This Row],[EPS]],""),"")</f>
        <v>37.3187134502924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2.1089763102946923</v>
      </c>
      <c r="P102" s="1">
        <f>(Main_L[[#This Row],[P/B]]-VLOOKUP(Main_L[[#This Row],[Industry]], Mean_PB_L, 2, FALSE))/(VLOOKUP(Main_L[[#This Row],[Industry]], Mean_PB_L, 3, FALSE))</f>
        <v>-0.94150116361957958</v>
      </c>
      <c r="Q102" s="1">
        <f>(Main_L[[#This Row],[ROE]]-VLOOKUP(Main_L[[#This Row],[Industry]], Mean_ROE_L, 2, FALSE))/(VLOOKUP(Main_L[[#This Row],[Industry]], Mean_ROE_L, 3, FALSE))</f>
        <v>-0.94878258240616853</v>
      </c>
      <c r="R102" s="1">
        <f>(Main_L[[#This Row],[ROA]]-VLOOKUP(Main_L[[#This Row],[Industry]], Mean_ROA_L, 2, FALSE))/(VLOOKUP(Main_L[[#This Row],[Industry]], Mean_ROA_L, 3, FALSE))</f>
        <v>-1.1164008373668142</v>
      </c>
      <c r="S102" s="1">
        <f>(Main_L[[#This Row],[A/E]]-VLOOKUP(Main_L[[#This Row],[Industry]], Mean_AE_L, 2, FALSE))/(VLOOKUP(Main_L[[#This Row],[Industry]], Mean_AE_L, 3, FALSE))</f>
        <v>-0.98385032174826847</v>
      </c>
      <c r="T102" s="1">
        <f>(Main_L[[#This Row],[P/E]]-VLOOKUP(Main_L[[#This Row],[Industry]], Mean_PE_L, 2, FALSE))/(VLOOKUP(Main_L[[#This Row],[Industry]], Mean_PE_L, 3, FALSE))</f>
        <v>1.4732749042084232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3" spans="1:26" x14ac:dyDescent="0.25">
      <c r="A103" t="s">
        <v>230</v>
      </c>
      <c r="B103" t="s">
        <v>231</v>
      </c>
      <c r="C103" s="2">
        <v>11434</v>
      </c>
      <c r="D103">
        <f>RTD("tos.rtd", , "LAST", Main_L[[#This Row],[Symbol]])</f>
        <v>11.76</v>
      </c>
      <c r="E103">
        <v>-0.84</v>
      </c>
      <c r="F103">
        <v>-7.39</v>
      </c>
      <c r="G103">
        <v>0.42</v>
      </c>
      <c r="H103" s="1">
        <f>IF(ISNUMBER(Main_L[[#This Row],[Free CF]]),IF(Main_L[[#This Row],[Free CF]]&lt;&gt;0,Main_L[[#This Row],[Current Price]]/Main_L[[#This Row],[Free CF]],""),"")</f>
        <v>-14</v>
      </c>
      <c r="I103" s="1">
        <f>IF(ISNUMBER(Main_L[[#This Row],[BVPS]]),IF(Main_L[[#This Row],[BVPS]]&lt;&gt;0,Main_L[[#This Row],[Current Price]]/Main_L[[#This Row],[BVPS]],""),"")</f>
        <v>-1.5913396481732072</v>
      </c>
      <c r="J103">
        <v>-5.51</v>
      </c>
      <c r="K103">
        <v>2.75</v>
      </c>
      <c r="L103">
        <v>-13.09</v>
      </c>
      <c r="M103" s="1">
        <f>IF(ISNUMBER(Main_L[[#This Row],[EPS]]),IF(Main_L[[#This Row],[EPS]]&lt;&gt;0,Main_L[[#This Row],[Current Price]]/Main_L[[#This Row],[EPS]],""),"")</f>
        <v>28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-1.1002360932268396</v>
      </c>
      <c r="P103" s="1">
        <f>(Main_L[[#This Row],[P/B]]-VLOOKUP(Main_L[[#This Row],[Industry]], Mean_PB_L, 2, FALSE))/(VLOOKUP(Main_L[[#This Row],[Industry]], Mean_PB_L, 3, FALSE))</f>
        <v>-12.681609061085314</v>
      </c>
      <c r="Q103" s="1">
        <f>(Main_L[[#This Row],[ROE]]-VLOOKUP(Main_L[[#This Row],[Industry]], Mean_ROE_L, 2, FALSE))/(VLOOKUP(Main_L[[#This Row],[Industry]], Mean_ROE_L, 3, FALSE))</f>
        <v>-1.2617123938375114</v>
      </c>
      <c r="R103" s="1">
        <f>(Main_L[[#This Row],[ROA]]-VLOOKUP(Main_L[[#This Row],[Industry]], Mean_ROA_L, 2, FALSE))/(VLOOKUP(Main_L[[#This Row],[Industry]], Mean_ROA_L, 3, FALSE))</f>
        <v>-0.50556792565783482</v>
      </c>
      <c r="S103" s="1">
        <f>(Main_L[[#This Row],[A/E]]-VLOOKUP(Main_L[[#This Row],[Industry]], Mean_AE_L, 2, FALSE))/(VLOOKUP(Main_L[[#This Row],[Industry]], Mean_AE_L, 3, FALSE))</f>
        <v>-10.326869914641994</v>
      </c>
      <c r="T103" s="1">
        <f>(Main_L[[#This Row],[P/E]]-VLOOKUP(Main_L[[#This Row],[Industry]], Mean_PE_L, 2, FALSE))/(VLOOKUP(Main_L[[#This Row],[Industry]], Mean_PE_L, 3, FALSE))</f>
        <v>0.70368874033322626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t="s">
        <v>230</v>
      </c>
      <c r="B104" t="s">
        <v>232</v>
      </c>
      <c r="C104" s="2">
        <v>41640</v>
      </c>
      <c r="D104">
        <f>RTD("tos.rtd", , "LAST", Main_L[[#This Row],[Symbol]])</f>
        <v>51.2</v>
      </c>
      <c r="E104">
        <v>1.94</v>
      </c>
      <c r="F104">
        <v>21.28</v>
      </c>
      <c r="G104">
        <v>7.2</v>
      </c>
      <c r="H104" s="1">
        <f>IF(ISNUMBER(Main_L[[#This Row],[Free CF]]),IF(Main_L[[#This Row],[Free CF]]&lt;&gt;0,Main_L[[#This Row],[Current Price]]/Main_L[[#This Row],[Free CF]],""),"")</f>
        <v>26.39175257731959</v>
      </c>
      <c r="I104" s="1">
        <f>IF(ISNUMBER(Main_L[[#This Row],[BVPS]]),IF(Main_L[[#This Row],[BVPS]]&lt;&gt;0,Main_L[[#This Row],[Current Price]]/Main_L[[#This Row],[BVPS]],""),"")</f>
        <v>2.4060150375939848</v>
      </c>
      <c r="J104">
        <v>40.67</v>
      </c>
      <c r="K104">
        <v>5.27</v>
      </c>
      <c r="L104">
        <v>5.52</v>
      </c>
      <c r="M104" s="1">
        <f>IF(ISNUMBER(Main_L[[#This Row],[EPS]]),IF(Main_L[[#This Row],[EPS]]&lt;&gt;0,Main_L[[#This Row],[Current Price]]/Main_L[[#This Row],[EPS]],""),"")</f>
        <v>7.1111111111111116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4" s="1">
        <f>(Main_L[[#This Row],[P/FCF]]-VLOOKUP(Main_L[[#This Row],[Industry]], Mean_PFCF_L, 2, FALSE))/(VLOOKUP(Main_L[[#This Row],[Industry]], Mean_PFCF_L, 3, FALSE))</f>
        <v>-5.2927606639172078E-2</v>
      </c>
      <c r="P104" s="1">
        <f>(Main_L[[#This Row],[P/B]]-VLOOKUP(Main_L[[#This Row],[Industry]], Mean_PB_L, 2, FALSE))/(VLOOKUP(Main_L[[#This Row],[Industry]], Mean_PB_L, 3, FALSE))</f>
        <v>0.61024033118037291</v>
      </c>
      <c r="Q104" s="1">
        <f>(Main_L[[#This Row],[ROE]]-VLOOKUP(Main_L[[#This Row],[Industry]], Mean_ROE_L, 2, FALSE))/(VLOOKUP(Main_L[[#This Row],[Industry]], Mean_ROE_L, 3, FALSE))</f>
        <v>1.4255802151199777</v>
      </c>
      <c r="R104" s="1">
        <f>(Main_L[[#This Row],[ROA]]-VLOOKUP(Main_L[[#This Row],[Industry]], Mean_ROA_L, 2, FALSE))/(VLOOKUP(Main_L[[#This Row],[Industry]], Mean_ROA_L, 3, FALSE))</f>
        <v>0.72657053919491499</v>
      </c>
      <c r="S104" s="1">
        <f>(Main_L[[#This Row],[A/E]]-VLOOKUP(Main_L[[#This Row],[Industry]], Mean_AE_L, 2, FALSE))/(VLOOKUP(Main_L[[#This Row],[Industry]], Mean_AE_L, 3, FALSE))</f>
        <v>0.70386902130218787</v>
      </c>
      <c r="T104" s="1">
        <f>(Main_L[[#This Row],[P/E]]-VLOOKUP(Main_L[[#This Row],[Industry]], Mean_PE_L, 2, FALSE))/(VLOOKUP(Main_L[[#This Row],[Industry]], Mean_PE_L, 3, FALSE))</f>
        <v>-1.1244227298302203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5" spans="1:26" x14ac:dyDescent="0.25">
      <c r="A105" t="s">
        <v>230</v>
      </c>
      <c r="B105" t="s">
        <v>233</v>
      </c>
      <c r="C105" s="2">
        <v>20499</v>
      </c>
      <c r="D105">
        <f>RTD("tos.rtd", , "LAST", Main_L[[#This Row],[Symbol]])</f>
        <v>33.57</v>
      </c>
      <c r="E105">
        <v>-3.23</v>
      </c>
      <c r="F105">
        <v>17.36</v>
      </c>
      <c r="G105">
        <v>-0.08</v>
      </c>
      <c r="H105" s="1">
        <f>IF(ISNUMBER(Main_L[[#This Row],[Free CF]]),IF(Main_L[[#This Row],[Free CF]]&lt;&gt;0,Main_L[[#This Row],[Current Price]]/Main_L[[#This Row],[Free CF]],""),"")</f>
        <v>-10.393188854489164</v>
      </c>
      <c r="I105" s="1">
        <f>IF(ISNUMBER(Main_L[[#This Row],[BVPS]]),IF(Main_L[[#This Row],[BVPS]]&lt;&gt;0,Main_L[[#This Row],[Current Price]]/Main_L[[#This Row],[BVPS]],""),"")</f>
        <v>1.9337557603686637</v>
      </c>
      <c r="J105">
        <v>-0.45</v>
      </c>
      <c r="K105">
        <v>0.46</v>
      </c>
      <c r="L105">
        <v>3.35</v>
      </c>
      <c r="M105" s="1">
        <f>IF(ISNUMBER(Main_L[[#This Row],[EPS]]),IF(Main_L[[#This Row],[EPS]]&lt;&gt;0,Main_L[[#This Row],[Current Price]]/Main_L[[#This Row],[EPS]],""),"")</f>
        <v>-419.625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-1.0067159144482252</v>
      </c>
      <c r="P105" s="1">
        <f>(Main_L[[#This Row],[P/B]]-VLOOKUP(Main_L[[#This Row],[Industry]], Mean_PB_L, 2, FALSE))/(VLOOKUP(Main_L[[#This Row],[Industry]], Mean_PB_L, 3, FALSE))</f>
        <v>-0.96009797513243478</v>
      </c>
      <c r="Q105" s="1">
        <f>(Main_L[[#This Row],[ROE]]-VLOOKUP(Main_L[[#This Row],[Industry]], Mean_ROE_L, 2, FALSE))/(VLOOKUP(Main_L[[#This Row],[Industry]], Mean_ROE_L, 3, FALSE))</f>
        <v>-0.96726240247057993</v>
      </c>
      <c r="R105" s="1">
        <f>(Main_L[[#This Row],[ROA]]-VLOOKUP(Main_L[[#This Row],[Industry]], Mean_ROA_L, 2, FALSE))/(VLOOKUP(Main_L[[#This Row],[Industry]], Mean_ROA_L, 3, FALSE))</f>
        <v>-1.6252493084010085</v>
      </c>
      <c r="S105" s="1">
        <f>(Main_L[[#This Row],[A/E]]-VLOOKUP(Main_L[[#This Row],[Industry]], Mean_AE_L, 2, FALSE))/(VLOOKUP(Main_L[[#This Row],[Industry]], Mean_AE_L, 3, FALSE))</f>
        <v>-0.58235900078265201</v>
      </c>
      <c r="T105" s="1">
        <f>(Main_L[[#This Row],[P/E]]-VLOOKUP(Main_L[[#This Row],[Industry]], Mean_PE_L, 2, FALSE))/(VLOOKUP(Main_L[[#This Row],[Industry]], Mean_PE_L, 3, FALSE))</f>
        <v>-38.470649405875363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6" spans="1:26" x14ac:dyDescent="0.25">
      <c r="A106" t="s">
        <v>230</v>
      </c>
      <c r="B106" t="s">
        <v>234</v>
      </c>
      <c r="C106" s="2">
        <v>25277</v>
      </c>
      <c r="D106">
        <f>RTD("tos.rtd", , "LAST", Main_L[[#This Row],[Symbol]])</f>
        <v>57.6</v>
      </c>
      <c r="E106">
        <v>0.99</v>
      </c>
      <c r="F106">
        <v>7.89</v>
      </c>
      <c r="G106">
        <v>1.5</v>
      </c>
      <c r="H106" s="1">
        <f>IF(ISNUMBER(Main_L[[#This Row],[Free CF]]),IF(Main_L[[#This Row],[Free CF]]&lt;&gt;0,Main_L[[#This Row],[Current Price]]/Main_L[[#This Row],[Free CF]],""),"")</f>
        <v>58.181818181818187</v>
      </c>
      <c r="I106" s="1">
        <f>IF(ISNUMBER(Main_L[[#This Row],[BVPS]]),IF(Main_L[[#This Row],[BVPS]]&lt;&gt;0,Main_L[[#This Row],[Current Price]]/Main_L[[#This Row],[BVPS]],""),"")</f>
        <v>7.3003802281368824</v>
      </c>
      <c r="J106">
        <v>18.91</v>
      </c>
      <c r="K106">
        <v>6.33</v>
      </c>
      <c r="L106">
        <v>2.11</v>
      </c>
      <c r="M106" s="1">
        <f>IF(ISNUMBER(Main_L[[#This Row],[EPS]]),IF(Main_L[[#This Row],[EPS]]&lt;&gt;0,Main_L[[#This Row],[Current Price]]/Main_L[[#This Row],[EPS]],""),"")</f>
        <v>38.4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0.77134971168310917</v>
      </c>
      <c r="P106" s="1">
        <f>(Main_L[[#This Row],[P/B]]-VLOOKUP(Main_L[[#This Row],[Industry]], Mean_PB_L, 2, FALSE))/(VLOOKUP(Main_L[[#This Row],[Industry]], Mean_PB_L, 3, FALSE))</f>
        <v>16.884794404421999</v>
      </c>
      <c r="Q106" s="1">
        <f>(Main_L[[#This Row],[ROE]]-VLOOKUP(Main_L[[#This Row],[Industry]], Mean_ROE_L, 2, FALSE))/(VLOOKUP(Main_L[[#This Row],[Industry]], Mean_ROE_L, 3, FALSE))</f>
        <v>0.15932886884637512</v>
      </c>
      <c r="R106" s="1">
        <f>(Main_L[[#This Row],[ROA]]-VLOOKUP(Main_L[[#This Row],[Industry]], Mean_ROA_L, 2, FALSE))/(VLOOKUP(Main_L[[#This Row],[Industry]], Mean_ROA_L, 3, FALSE))</f>
        <v>1.2448510045694847</v>
      </c>
      <c r="S106" s="1">
        <f>(Main_L[[#This Row],[A/E]]-VLOOKUP(Main_L[[#This Row],[Industry]], Mean_AE_L, 2, FALSE))/(VLOOKUP(Main_L[[#This Row],[Industry]], Mean_AE_L, 3, FALSE))</f>
        <v>-1.3173464419739893</v>
      </c>
      <c r="T106" s="1">
        <f>(Main_L[[#This Row],[P/E]]-VLOOKUP(Main_L[[#This Row],[Industry]], Mean_PE_L, 2, FALSE))/(VLOOKUP(Main_L[[#This Row],[Industry]], Mean_PE_L, 3, FALSE))</f>
        <v>1.6138548765422613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7" spans="1:26" x14ac:dyDescent="0.25">
      <c r="A107" t="s">
        <v>230</v>
      </c>
      <c r="B107" t="s">
        <v>235</v>
      </c>
      <c r="C107" s="2">
        <v>32980</v>
      </c>
      <c r="D107">
        <f>RTD("tos.rtd", , "LAST", Main_L[[#This Row],[Symbol]])</f>
        <v>83.47</v>
      </c>
      <c r="E107">
        <v>0.93</v>
      </c>
      <c r="F107">
        <v>34.78</v>
      </c>
      <c r="G107">
        <v>8.3000000000000007</v>
      </c>
      <c r="H107" s="1">
        <f>IF(ISNUMBER(Main_L[[#This Row],[Free CF]]),IF(Main_L[[#This Row],[Free CF]]&lt;&gt;0,Main_L[[#This Row],[Current Price]]/Main_L[[#This Row],[Free CF]],""),"")</f>
        <v>89.752688172043008</v>
      </c>
      <c r="I107" s="1">
        <f>IF(ISNUMBER(Main_L[[#This Row],[BVPS]]),IF(Main_L[[#This Row],[BVPS]]&lt;&gt;0,Main_L[[#This Row],[Current Price]]/Main_L[[#This Row],[BVPS]],""),"")</f>
        <v>2.3999424956871764</v>
      </c>
      <c r="J107">
        <v>27.24</v>
      </c>
      <c r="K107">
        <v>4.1100000000000003</v>
      </c>
      <c r="L107">
        <v>6.35</v>
      </c>
      <c r="M107" s="1">
        <f>IF(ISNUMBER(Main_L[[#This Row],[EPS]]),IF(Main_L[[#This Row],[EPS]]&lt;&gt;0,Main_L[[#This Row],[Current Price]]/Main_L[[#This Row],[EPS]],""),"")</f>
        <v>10.056626506024095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1.5899435572070195</v>
      </c>
      <c r="P107" s="1">
        <f>(Main_L[[#This Row],[P/B]]-VLOOKUP(Main_L[[#This Row],[Industry]], Mean_PB_L, 2, FALSE))/(VLOOKUP(Main_L[[#This Row],[Industry]], Mean_PB_L, 3, FALSE))</f>
        <v>0.59004814940052974</v>
      </c>
      <c r="Q107" s="1">
        <f>(Main_L[[#This Row],[ROE]]-VLOOKUP(Main_L[[#This Row],[Industry]], Mean_ROE_L, 2, FALSE))/(VLOOKUP(Main_L[[#This Row],[Industry]], Mean_ROE_L, 3, FALSE))</f>
        <v>0.64406571234173848</v>
      </c>
      <c r="R107" s="1">
        <f>(Main_L[[#This Row],[ROA]]-VLOOKUP(Main_L[[#This Row],[Industry]], Mean_ROA_L, 2, FALSE))/(VLOOKUP(Main_L[[#This Row],[Industry]], Mean_ROA_L, 3, FALSE))</f>
        <v>0.15939569029444309</v>
      </c>
      <c r="S107" s="1">
        <f>(Main_L[[#This Row],[A/E]]-VLOOKUP(Main_L[[#This Row],[Industry]], Mean_AE_L, 2, FALSE))/(VLOOKUP(Main_L[[#This Row],[Industry]], Mean_AE_L, 3, FALSE))</f>
        <v>1.1958364214544539</v>
      </c>
      <c r="T107" s="1">
        <f>(Main_L[[#This Row],[P/E]]-VLOOKUP(Main_L[[#This Row],[Industry]], Mean_PE_L, 2, FALSE))/(VLOOKUP(Main_L[[#This Row],[Industry]], Mean_PE_L, 3, FALSE))</f>
        <v>-0.86664307924058748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t="s">
        <v>205</v>
      </c>
      <c r="B108" t="s">
        <v>206</v>
      </c>
      <c r="C108" s="2">
        <v>124134</v>
      </c>
      <c r="D108">
        <f>RTD("tos.rtd", , "LAST", Main_L[[#This Row],[Symbol]])</f>
        <v>318.47399999999999</v>
      </c>
      <c r="E108">
        <v>9.9600000000000009</v>
      </c>
      <c r="F108">
        <v>13.12</v>
      </c>
      <c r="G108">
        <v>9.36</v>
      </c>
      <c r="H108" s="1">
        <f>IF(ISNUMBER(Main_L[[#This Row],[Free CF]]),IF(Main_L[[#This Row],[Free CF]]&lt;&gt;0,Main_L[[#This Row],[Current Price]]/Main_L[[#This Row],[Free CF]],""),"")</f>
        <v>31.975301204819274</v>
      </c>
      <c r="I108" s="1">
        <f>IF(ISNUMBER(Main_L[[#This Row],[BVPS]]),IF(Main_L[[#This Row],[BVPS]]&lt;&gt;0,Main_L[[#This Row],[Current Price]]/Main_L[[#This Row],[BVPS]],""),"")</f>
        <v>24.273932926829268</v>
      </c>
      <c r="J108">
        <v>87.26</v>
      </c>
      <c r="K108">
        <v>6.54</v>
      </c>
      <c r="L108">
        <v>9.26</v>
      </c>
      <c r="M108" s="1">
        <f>IF(ISNUMBER(Main_L[[#This Row],[EPS]]),IF(Main_L[[#This Row],[EPS]]&lt;&gt;0,Main_L[[#This Row],[Current Price]]/Main_L[[#This Row],[EPS]],""),"")</f>
        <v>34.024999999999999</v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>
        <f>(Main_L[[#This Row],[P/FCF]]-VLOOKUP(Main_L[[#This Row],[Industry]], Mean_PFCF_L, 2, FALSE))/(VLOOKUP(Main_L[[#This Row],[Industry]], Mean_PFCF_L, 3, FALSE))</f>
        <v>-0.17385007655527074</v>
      </c>
      <c r="P108" s="1">
        <f>(Main_L[[#This Row],[P/B]]-VLOOKUP(Main_L[[#This Row],[Industry]], Mean_PB_L, 2, FALSE))/(VLOOKUP(Main_L[[#This Row],[Industry]], Mean_PB_L, 3, FALSE))</f>
        <v>2.1515928605585315</v>
      </c>
      <c r="Q108" s="1">
        <f>(Main_L[[#This Row],[ROE]]-VLOOKUP(Main_L[[#This Row],[Industry]], Mean_ROE_L, 2, FALSE))/(VLOOKUP(Main_L[[#This Row],[Industry]], Mean_ROE_L, 3, FALSE))</f>
        <v>2.4496326478525443</v>
      </c>
      <c r="R108" s="1">
        <f>(Main_L[[#This Row],[ROA]]-VLOOKUP(Main_L[[#This Row],[Industry]], Mean_ROA_L, 2, FALSE))/(VLOOKUP(Main_L[[#This Row],[Industry]], Mean_ROA_L, 3, FALSE))</f>
        <v>-0.28094709207761548</v>
      </c>
      <c r="S108" s="1">
        <f>(Main_L[[#This Row],[A/E]]-VLOOKUP(Main_L[[#This Row],[Industry]], Mean_AE_L, 2, FALSE))/(VLOOKUP(Main_L[[#This Row],[Industry]], Mean_AE_L, 3, FALSE))</f>
        <v>8.9305146485594111</v>
      </c>
      <c r="T108" s="1">
        <f>(Main_L[[#This Row],[P/E]]-VLOOKUP(Main_L[[#This Row],[Industry]], Mean_PE_L, 2, FALSE))/(VLOOKUP(Main_L[[#This Row],[Industry]], Mean_PE_L, 3, FALSE))</f>
        <v>-0.33074273752951688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9" spans="1:26" x14ac:dyDescent="0.25">
      <c r="A109" t="s">
        <v>205</v>
      </c>
      <c r="B109" t="s">
        <v>207</v>
      </c>
      <c r="C109" s="2">
        <v>12389</v>
      </c>
      <c r="D109">
        <f>RTD("tos.rtd", , "LAST", Main_L[[#This Row],[Symbol]])</f>
        <v>59.16</v>
      </c>
      <c r="E109">
        <v>1.1499999999999999</v>
      </c>
      <c r="F109">
        <v>16.2</v>
      </c>
      <c r="G109">
        <v>0.34</v>
      </c>
      <c r="H109" s="1">
        <f>IF(ISNUMBER(Main_L[[#This Row],[Free CF]]),IF(Main_L[[#This Row],[Free CF]]&lt;&gt;0,Main_L[[#This Row],[Current Price]]/Main_L[[#This Row],[Free CF]],""),"")</f>
        <v>51.443478260869568</v>
      </c>
      <c r="I109" s="1">
        <f>IF(ISNUMBER(Main_L[[#This Row],[BVPS]]),IF(Main_L[[#This Row],[BVPS]]&lt;&gt;0,Main_L[[#This Row],[Current Price]]/Main_L[[#This Row],[BVPS]],""),"")</f>
        <v>3.6518518518518519</v>
      </c>
      <c r="J109">
        <v>2.19</v>
      </c>
      <c r="K109">
        <v>0.78</v>
      </c>
      <c r="L109">
        <v>3.18</v>
      </c>
      <c r="M109" s="1">
        <f>IF(ISNUMBER(Main_L[[#This Row],[EPS]]),IF(Main_L[[#This Row],[EPS]]&lt;&gt;0,Main_L[[#This Row],[Current Price]]/Main_L[[#This Row],[EPS]],""),"")</f>
        <v>173.99999999999997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1.4443170719274281</v>
      </c>
      <c r="P109" s="1">
        <f>(Main_L[[#This Row],[P/B]]-VLOOKUP(Main_L[[#This Row],[Industry]], Mean_PB_L, 2, FALSE))/(VLOOKUP(Main_L[[#This Row],[Industry]], Mean_PB_L, 3, FALSE))</f>
        <v>-0.88242543730545997</v>
      </c>
      <c r="Q109" s="1">
        <f>(Main_L[[#This Row],[ROE]]-VLOOKUP(Main_L[[#This Row],[Industry]], Mean_ROE_L, 2, FALSE))/(VLOOKUP(Main_L[[#This Row],[Industry]], Mean_ROE_L, 3, FALSE))</f>
        <v>-1.1116269789937328</v>
      </c>
      <c r="R109" s="1">
        <f>(Main_L[[#This Row],[ROA]]-VLOOKUP(Main_L[[#This Row],[Industry]], Mean_ROA_L, 2, FALSE))/(VLOOKUP(Main_L[[#This Row],[Industry]], Mean_ROA_L, 3, FALSE))</f>
        <v>-1.8262306202795884</v>
      </c>
      <c r="S109" s="1">
        <f>(Main_L[[#This Row],[A/E]]-VLOOKUP(Main_L[[#This Row],[Industry]], Mean_AE_L, 2, FALSE))/(VLOOKUP(Main_L[[#This Row],[Industry]], Mean_AE_L, 3, FALSE))</f>
        <v>0.47207726203310313</v>
      </c>
      <c r="T109" s="1">
        <f>(Main_L[[#This Row],[P/E]]-VLOOKUP(Main_L[[#This Row],[Industry]], Mean_PE_L, 2, FALSE))/(VLOOKUP(Main_L[[#This Row],[Industry]], Mean_PE_L, 3, FALSE))</f>
        <v>8.8490945928619347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0" spans="1:26" x14ac:dyDescent="0.25">
      <c r="A110" t="s">
        <v>205</v>
      </c>
      <c r="B110" t="s">
        <v>208</v>
      </c>
      <c r="C110" s="2">
        <v>13636</v>
      </c>
      <c r="D110">
        <f>RTD("tos.rtd", , "LAST", Main_L[[#This Row],[Symbol]])</f>
        <v>258.45</v>
      </c>
      <c r="E110">
        <v>5.4</v>
      </c>
      <c r="F110">
        <v>26.92</v>
      </c>
      <c r="G110">
        <v>8.2899999999999991</v>
      </c>
      <c r="H110" s="1">
        <f>IF(ISNUMBER(Main_L[[#This Row],[Free CF]]),IF(Main_L[[#This Row],[Free CF]]&lt;&gt;0,Main_L[[#This Row],[Current Price]]/Main_L[[#This Row],[Free CF]],""),"")</f>
        <v>47.861111111111107</v>
      </c>
      <c r="I110" s="1">
        <f>IF(ISNUMBER(Main_L[[#This Row],[BVPS]]),IF(Main_L[[#This Row],[BVPS]]&lt;&gt;0,Main_L[[#This Row],[Current Price]]/Main_L[[#This Row],[BVPS]],""),"")</f>
        <v>9.6006686478454668</v>
      </c>
      <c r="J110">
        <v>32.58</v>
      </c>
      <c r="K110">
        <v>10.08</v>
      </c>
      <c r="L110">
        <v>2.38</v>
      </c>
      <c r="M110" s="1">
        <f>IF(ISNUMBER(Main_L[[#This Row],[EPS]]),IF(Main_L[[#This Row],[EPS]]&lt;&gt;0,Main_L[[#This Row],[Current Price]]/Main_L[[#This Row],[EPS]],""),"")</f>
        <v>31.176115802171292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1.1465558167850933</v>
      </c>
      <c r="P110" s="1">
        <f>(Main_L[[#This Row],[P/B]]-VLOOKUP(Main_L[[#This Row],[Industry]], Mean_PB_L, 2, FALSE))/(VLOOKUP(Main_L[[#This Row],[Industry]], Mean_PB_L, 3, FALSE))</f>
        <v>-7.2073182386364993E-3</v>
      </c>
      <c r="Q110" s="1">
        <f>(Main_L[[#This Row],[ROE]]-VLOOKUP(Main_L[[#This Row],[Industry]], Mean_ROE_L, 2, FALSE))/(VLOOKUP(Main_L[[#This Row],[Industry]], Mean_ROE_L, 3, FALSE))</f>
        <v>0.16058038035572469</v>
      </c>
      <c r="R110" s="1">
        <f>(Main_L[[#This Row],[ROA]]-VLOOKUP(Main_L[[#This Row],[Industry]], Mean_ROA_L, 2, FALSE))/(VLOOKUP(Main_L[[#This Row],[Industry]], Mean_ROA_L, 3, FALSE))</f>
        <v>0.66875840962984712</v>
      </c>
      <c r="S110" s="1">
        <f>(Main_L[[#This Row],[A/E]]-VLOOKUP(Main_L[[#This Row],[Industry]], Mean_AE_L, 2, FALSE))/(VLOOKUP(Main_L[[#This Row],[Industry]], Mean_AE_L, 3, FALSE))</f>
        <v>-0.64087502566772714</v>
      </c>
      <c r="T110" s="1">
        <f>(Main_L[[#This Row],[P/E]]-VLOOKUP(Main_L[[#This Row],[Industry]], Mean_PE_L, 2, FALSE))/(VLOOKUP(Main_L[[#This Row],[Industry]], Mean_PE_L, 3, FALSE))</f>
        <v>-0.51757819749872758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1" spans="1:26" x14ac:dyDescent="0.25">
      <c r="A111" t="s">
        <v>205</v>
      </c>
      <c r="B111" t="s">
        <v>209</v>
      </c>
      <c r="C111" s="2">
        <v>51415</v>
      </c>
      <c r="D111">
        <f>RTD("tos.rtd", , "LAST", Main_L[[#This Row],[Symbol]])</f>
        <v>156.97</v>
      </c>
      <c r="E111">
        <v>4.42</v>
      </c>
      <c r="F111">
        <v>10.7</v>
      </c>
      <c r="G111">
        <v>4.6900000000000004</v>
      </c>
      <c r="H111" s="1">
        <f>IF(ISNUMBER(Main_L[[#This Row],[Free CF]]),IF(Main_L[[#This Row],[Free CF]]&lt;&gt;0,Main_L[[#This Row],[Current Price]]/Main_L[[#This Row],[Free CF]],""),"")</f>
        <v>35.513574660633488</v>
      </c>
      <c r="I111" s="1">
        <f>IF(ISNUMBER(Main_L[[#This Row],[BVPS]]),IF(Main_L[[#This Row],[BVPS]]&lt;&gt;0,Main_L[[#This Row],[Current Price]]/Main_L[[#This Row],[BVPS]],""),"")</f>
        <v>14.670093457943926</v>
      </c>
      <c r="J111">
        <v>45.67</v>
      </c>
      <c r="K111">
        <v>12.04</v>
      </c>
      <c r="L111">
        <v>2.72</v>
      </c>
      <c r="M111" s="1">
        <f>IF(ISNUMBER(Main_L[[#This Row],[EPS]]),IF(Main_L[[#This Row],[EPS]]&lt;&gt;0,Main_L[[#This Row],[Current Price]]/Main_L[[#This Row],[EPS]],""),"")</f>
        <v>33.469083155650317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0.12024617354882113</v>
      </c>
      <c r="P111" s="1">
        <f>(Main_L[[#This Row],[P/B]]-VLOOKUP(Main_L[[#This Row],[Industry]], Mean_PB_L, 2, FALSE))/(VLOOKUP(Main_L[[#This Row],[Industry]], Mean_PB_L, 3, FALSE))</f>
        <v>0.73863048433635214</v>
      </c>
      <c r="Q111" s="1">
        <f>(Main_L[[#This Row],[ROE]]-VLOOKUP(Main_L[[#This Row],[Industry]], Mean_ROE_L, 2, FALSE))/(VLOOKUP(Main_L[[#This Row],[Industry]], Mean_ROE_L, 3, FALSE))</f>
        <v>0.70856308301727144</v>
      </c>
      <c r="R111" s="1">
        <f>(Main_L[[#This Row],[ROA]]-VLOOKUP(Main_L[[#This Row],[Industry]], Mean_ROA_L, 2, FALSE))/(VLOOKUP(Main_L[[#This Row],[Industry]], Mean_ROA_L, 3, FALSE))</f>
        <v>1.1945840546430182</v>
      </c>
      <c r="S111" s="1">
        <f>(Main_L[[#This Row],[A/E]]-VLOOKUP(Main_L[[#This Row],[Industry]], Mean_AE_L, 2, FALSE))/(VLOOKUP(Main_L[[#This Row],[Industry]], Mean_AE_L, 3, FALSE))</f>
        <v>-0.16787030339487399</v>
      </c>
      <c r="T111" s="1">
        <f>(Main_L[[#This Row],[P/E]]-VLOOKUP(Main_L[[#This Row],[Industry]], Mean_PE_L, 2, FALSE))/(VLOOKUP(Main_L[[#This Row],[Industry]], Mean_PE_L, 3, FALSE))</f>
        <v>-0.36720086362599569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2" spans="1:26" x14ac:dyDescent="0.25">
      <c r="A112" t="s">
        <v>205</v>
      </c>
      <c r="B112" t="s">
        <v>210</v>
      </c>
      <c r="C112" s="2">
        <v>11473</v>
      </c>
      <c r="D112">
        <f>RTD("tos.rtd", , "LAST", Main_L[[#This Row],[Symbol]])</f>
        <v>186.12</v>
      </c>
      <c r="E112">
        <v>5.98</v>
      </c>
      <c r="F112">
        <v>19.84</v>
      </c>
      <c r="G112">
        <v>3.9</v>
      </c>
      <c r="H112" s="1">
        <f>IF(ISNUMBER(Main_L[[#This Row],[Free CF]]),IF(Main_L[[#This Row],[Free CF]]&lt;&gt;0,Main_L[[#This Row],[Current Price]]/Main_L[[#This Row],[Free CF]],""),"")</f>
        <v>31.123745819397993</v>
      </c>
      <c r="I112" s="1">
        <f>IF(ISNUMBER(Main_L[[#This Row],[BVPS]]),IF(Main_L[[#This Row],[BVPS]]&lt;&gt;0,Main_L[[#This Row],[Current Price]]/Main_L[[#This Row],[BVPS]],""),"")</f>
        <v>9.381048387096774</v>
      </c>
      <c r="J112">
        <v>22.2</v>
      </c>
      <c r="K112">
        <v>4.55</v>
      </c>
      <c r="L112">
        <v>3.64</v>
      </c>
      <c r="M112" s="1">
        <f>IF(ISNUMBER(Main_L[[#This Row],[EPS]]),IF(Main_L[[#This Row],[EPS]]&lt;&gt;0,Main_L[[#This Row],[Current Price]]/Main_L[[#This Row],[EPS]],""),"")</f>
        <v>47.723076923076924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-0.24463014732589286</v>
      </c>
      <c r="P112" s="1">
        <f>(Main_L[[#This Row],[P/B]]-VLOOKUP(Main_L[[#This Row],[Industry]], Mean_PB_L, 2, FALSE))/(VLOOKUP(Main_L[[#This Row],[Industry]], Mean_PB_L, 3, FALSE))</f>
        <v>-3.9518891802456595E-2</v>
      </c>
      <c r="Q112" s="1">
        <f>(Main_L[[#This Row],[ROE]]-VLOOKUP(Main_L[[#This Row],[Industry]], Mean_ROE_L, 2, FALSE))/(VLOOKUP(Main_L[[#This Row],[Industry]], Mean_ROE_L, 3, FALSE))</f>
        <v>-0.27395441365702189</v>
      </c>
      <c r="R112" s="1">
        <f>(Main_L[[#This Row],[ROA]]-VLOOKUP(Main_L[[#This Row],[Industry]], Mean_ROA_L, 2, FALSE))/(VLOOKUP(Main_L[[#This Row],[Industry]], Mean_ROA_L, 3, FALSE))</f>
        <v>-0.81482108880017223</v>
      </c>
      <c r="S112" s="1">
        <f>(Main_L[[#This Row],[A/E]]-VLOOKUP(Main_L[[#This Row],[Industry]], Mean_AE_L, 2, FALSE))/(VLOOKUP(Main_L[[#This Row],[Industry]], Mean_AE_L, 3, FALSE))</f>
        <v>1.1120248274610802</v>
      </c>
      <c r="T112" s="1">
        <f>(Main_L[[#This Row],[P/E]]-VLOOKUP(Main_L[[#This Row],[Industry]], Mean_PE_L, 2, FALSE))/(VLOOKUP(Main_L[[#This Row],[Industry]], Mean_PE_L, 3, FALSE))</f>
        <v>0.56760423795207093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3" spans="1:26" x14ac:dyDescent="0.25">
      <c r="A113" t="s">
        <v>205</v>
      </c>
      <c r="B113" t="s">
        <v>211</v>
      </c>
      <c r="C113" s="2">
        <v>18622</v>
      </c>
      <c r="D113">
        <f>RTD("tos.rtd", , "LAST", Main_L[[#This Row],[Symbol]])</f>
        <v>101.9</v>
      </c>
      <c r="E113">
        <v>1.47</v>
      </c>
      <c r="F113">
        <v>8.07</v>
      </c>
      <c r="G113">
        <v>4.59</v>
      </c>
      <c r="H113" s="1">
        <f>IF(ISNUMBER(Main_L[[#This Row],[Free CF]]),IF(Main_L[[#This Row],[Free CF]]&lt;&gt;0,Main_L[[#This Row],[Current Price]]/Main_L[[#This Row],[Free CF]],""),"")</f>
        <v>69.319727891156461</v>
      </c>
      <c r="I113" s="1">
        <f>IF(ISNUMBER(Main_L[[#This Row],[BVPS]]),IF(Main_L[[#This Row],[BVPS]]&lt;&gt;0,Main_L[[#This Row],[Current Price]]/Main_L[[#This Row],[BVPS]],""),"")</f>
        <v>12.627013630731103</v>
      </c>
      <c r="J113">
        <v>72.94</v>
      </c>
      <c r="K113">
        <v>10.68</v>
      </c>
      <c r="L113">
        <v>6.27</v>
      </c>
      <c r="M113" s="1">
        <f>IF(ISNUMBER(Main_L[[#This Row],[EPS]]),IF(Main_L[[#This Row],[EPS]]&lt;&gt;0,Main_L[[#This Row],[Current Price]]/Main_L[[#This Row],[EPS]],""),"")</f>
        <v>22.200435729847495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2.9301654801540433</v>
      </c>
      <c r="P113" s="1">
        <f>(Main_L[[#This Row],[P/B]]-VLOOKUP(Main_L[[#This Row],[Industry]], Mean_PB_L, 2, FALSE))/(VLOOKUP(Main_L[[#This Row],[Industry]], Mean_PB_L, 3, FALSE))</f>
        <v>0.43804289779631156</v>
      </c>
      <c r="Q113" s="1">
        <f>(Main_L[[#This Row],[ROE]]-VLOOKUP(Main_L[[#This Row],[Industry]], Mean_ROE_L, 2, FALSE))/(VLOOKUP(Main_L[[#This Row],[Industry]], Mean_ROE_L, 3, FALSE))</f>
        <v>1.8501588279813945</v>
      </c>
      <c r="R113" s="1">
        <f>(Main_L[[#This Row],[ROA]]-VLOOKUP(Main_L[[#This Row],[Industry]], Mean_ROA_L, 2, FALSE))/(VLOOKUP(Main_L[[#This Row],[Industry]], Mean_ROA_L, 3, FALSE))</f>
        <v>0.82972544381755253</v>
      </c>
      <c r="S113" s="1">
        <f>(Main_L[[#This Row],[A/E]]-VLOOKUP(Main_L[[#This Row],[Industry]], Mean_AE_L, 2, FALSE))/(VLOOKUP(Main_L[[#This Row],[Industry]], Mean_AE_L, 3, FALSE))</f>
        <v>4.7708554732775577</v>
      </c>
      <c r="T113" s="1">
        <f>(Main_L[[#This Row],[P/E]]-VLOOKUP(Main_L[[#This Row],[Industry]], Mean_PE_L, 2, FALSE))/(VLOOKUP(Main_L[[#This Row],[Industry]], Mean_PE_L, 3, FALSE))</f>
        <v>-1.1062210479618007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4" spans="1:26" x14ac:dyDescent="0.25">
      <c r="A114" t="s">
        <v>205</v>
      </c>
      <c r="B114" t="s">
        <v>212</v>
      </c>
      <c r="C114" s="2">
        <v>10185</v>
      </c>
      <c r="D114">
        <f>RTD("tos.rtd", , "LAST", Main_L[[#This Row],[Symbol]])</f>
        <v>441.05</v>
      </c>
      <c r="E114">
        <v>17.97</v>
      </c>
      <c r="F114">
        <v>163.71</v>
      </c>
      <c r="G114">
        <v>20.190000000000001</v>
      </c>
      <c r="H114" s="1">
        <f>IF(ISNUMBER(Main_L[[#This Row],[Free CF]]),IF(Main_L[[#This Row],[Free CF]]&lt;&gt;0,Main_L[[#This Row],[Current Price]]/Main_L[[#This Row],[Free CF]],""),"")</f>
        <v>24.543683917640514</v>
      </c>
      <c r="I114" s="1">
        <f>IF(ISNUMBER(Main_L[[#This Row],[BVPS]]),IF(Main_L[[#This Row],[BVPS]]&lt;&gt;0,Main_L[[#This Row],[Current Price]]/Main_L[[#This Row],[BVPS]],""),"")</f>
        <v>2.6940932136094311</v>
      </c>
      <c r="J114">
        <v>13.32</v>
      </c>
      <c r="K114">
        <v>6.22</v>
      </c>
      <c r="L114">
        <v>1.97</v>
      </c>
      <c r="M114" s="1">
        <f>IF(ISNUMBER(Main_L[[#This Row],[EPS]]),IF(Main_L[[#This Row],[EPS]]&lt;&gt;0,Main_L[[#This Row],[Current Price]]/Main_L[[#This Row],[EPS]],""),"")</f>
        <v>21.844972758791481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14" s="1">
        <f>(Main_L[[#This Row],[P/FCF]]-VLOOKUP(Main_L[[#This Row],[Industry]], Mean_PFCF_L, 2, FALSE))/(VLOOKUP(Main_L[[#This Row],[Industry]], Mean_PFCF_L, 3, FALSE))</f>
        <v>-0.79155552065443902</v>
      </c>
      <c r="P114" s="1">
        <f>(Main_L[[#This Row],[P/B]]-VLOOKUP(Main_L[[#This Row],[Industry]], Mean_PB_L, 2, FALSE))/(VLOOKUP(Main_L[[#This Row],[Industry]], Mean_PB_L, 3, FALSE))</f>
        <v>-1.0233354270780604</v>
      </c>
      <c r="Q114" s="1">
        <f>(Main_L[[#This Row],[ROE]]-VLOOKUP(Main_L[[#This Row],[Industry]], Mean_ROE_L, 2, FALSE))/(VLOOKUP(Main_L[[#This Row],[Industry]], Mean_ROE_L, 3, FALSE))</f>
        <v>-0.64569516229220392</v>
      </c>
      <c r="R114" s="1">
        <f>(Main_L[[#This Row],[ROA]]-VLOOKUP(Main_L[[#This Row],[Industry]], Mean_ROA_L, 2, FALSE))/(VLOOKUP(Main_L[[#This Row],[Industry]], Mean_ROA_L, 3, FALSE))</f>
        <v>-0.36679617697772515</v>
      </c>
      <c r="S114" s="1">
        <f>(Main_L[[#This Row],[A/E]]-VLOOKUP(Main_L[[#This Row],[Industry]], Mean_AE_L, 2, FALSE))/(VLOOKUP(Main_L[[#This Row],[Industry]], Mean_AE_L, 3, FALSE))</f>
        <v>-1.2112630731144023</v>
      </c>
      <c r="T114" s="1">
        <f>(Main_L[[#This Row],[P/E]]-VLOOKUP(Main_L[[#This Row],[Industry]], Mean_PE_L, 2, FALSE))/(VLOOKUP(Main_L[[#This Row],[Industry]], Mean_PE_L, 3, FALSE))</f>
        <v>-1.1295330126074292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5" spans="1:26" x14ac:dyDescent="0.25">
      <c r="A115" t="s">
        <v>205</v>
      </c>
      <c r="B115" t="s">
        <v>213</v>
      </c>
      <c r="C115" s="2">
        <v>33073</v>
      </c>
      <c r="D115">
        <f>RTD("tos.rtd", , "LAST", Main_L[[#This Row],[Symbol]])</f>
        <v>268.52</v>
      </c>
      <c r="E115">
        <v>6.34</v>
      </c>
      <c r="F115">
        <v>39.619999999999997</v>
      </c>
      <c r="G115">
        <v>4.5</v>
      </c>
      <c r="H115" s="1">
        <f>IF(ISNUMBER(Main_L[[#This Row],[Free CF]]),IF(Main_L[[#This Row],[Free CF]]&lt;&gt;0,Main_L[[#This Row],[Current Price]]/Main_L[[#This Row],[Free CF]],""),"")</f>
        <v>42.353312302839115</v>
      </c>
      <c r="I115" s="1">
        <f>IF(ISNUMBER(Main_L[[#This Row],[BVPS]]),IF(Main_L[[#This Row],[BVPS]]&lt;&gt;0,Main_L[[#This Row],[Current Price]]/Main_L[[#This Row],[BVPS]],""),"")</f>
        <v>6.7773851590106009</v>
      </c>
      <c r="J115">
        <v>11.93</v>
      </c>
      <c r="K115">
        <v>5.22</v>
      </c>
      <c r="L115">
        <v>2.5099999999999998</v>
      </c>
      <c r="M115" s="1">
        <f>IF(ISNUMBER(Main_L[[#This Row],[EPS]]),IF(Main_L[[#This Row],[EPS]]&lt;&gt;0,Main_L[[#This Row],[Current Price]]/Main_L[[#This Row],[EPS]],""),"")</f>
        <v>59.671111111111109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0.68875542456870587</v>
      </c>
      <c r="P115" s="1">
        <f>(Main_L[[#This Row],[P/B]]-VLOOKUP(Main_L[[#This Row],[Industry]], Mean_PB_L, 2, FALSE))/(VLOOKUP(Main_L[[#This Row],[Industry]], Mean_PB_L, 3, FALSE))</f>
        <v>-0.42258216494002127</v>
      </c>
      <c r="Q115" s="1">
        <f>(Main_L[[#This Row],[ROE]]-VLOOKUP(Main_L[[#This Row],[Industry]], Mean_ROE_L, 2, FALSE))/(VLOOKUP(Main_L[[#This Row],[Industry]], Mean_ROE_L, 3, FALSE))</f>
        <v>-0.70388431100874704</v>
      </c>
      <c r="R115" s="1">
        <f>(Main_L[[#This Row],[ROA]]-VLOOKUP(Main_L[[#This Row],[Industry]], Mean_ROA_L, 2, FALSE))/(VLOOKUP(Main_L[[#This Row],[Industry]], Mean_ROA_L, 3, FALSE))</f>
        <v>-0.63507456729056766</v>
      </c>
      <c r="S115" s="1">
        <f>(Main_L[[#This Row],[A/E]]-VLOOKUP(Main_L[[#This Row],[Industry]], Mean_AE_L, 2, FALSE))/(VLOOKUP(Main_L[[#This Row],[Industry]], Mean_AE_L, 3, FALSE))</f>
        <v>-0.4600202789163424</v>
      </c>
      <c r="T115" s="1">
        <f>(Main_L[[#This Row],[P/E]]-VLOOKUP(Main_L[[#This Row],[Industry]], Mean_PE_L, 2, FALSE))/(VLOOKUP(Main_L[[#This Row],[Industry]], Mean_PE_L, 3, FALSE))</f>
        <v>1.3511799497871098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6" spans="1:26" x14ac:dyDescent="0.25">
      <c r="A116" t="s">
        <v>205</v>
      </c>
      <c r="B116" t="s">
        <v>214</v>
      </c>
      <c r="C116" s="2">
        <v>17086</v>
      </c>
      <c r="D116">
        <f>RTD("tos.rtd", , "LAST", Main_L[[#This Row],[Symbol]])</f>
        <v>127.74</v>
      </c>
      <c r="E116">
        <v>7.45</v>
      </c>
      <c r="F116">
        <v>36.61</v>
      </c>
      <c r="G116">
        <v>4.79</v>
      </c>
      <c r="H116" s="1">
        <f>IF(ISNUMBER(Main_L[[#This Row],[Free CF]]),IF(Main_L[[#This Row],[Free CF]]&lt;&gt;0,Main_L[[#This Row],[Current Price]]/Main_L[[#This Row],[Free CF]],""),"")</f>
        <v>17.146308724832213</v>
      </c>
      <c r="I116" s="1">
        <f>IF(ISNUMBER(Main_L[[#This Row],[BVPS]]),IF(Main_L[[#This Row],[BVPS]]&lt;&gt;0,Main_L[[#This Row],[Current Price]]/Main_L[[#This Row],[BVPS]],""),"")</f>
        <v>3.4892105981972139</v>
      </c>
      <c r="J116">
        <v>10.23</v>
      </c>
      <c r="K116">
        <v>4.37</v>
      </c>
      <c r="L116">
        <v>2.58</v>
      </c>
      <c r="M116" s="1">
        <f>IF(ISNUMBER(Main_L[[#This Row],[EPS]]),IF(Main_L[[#This Row],[EPS]]&lt;&gt;0,Main_L[[#This Row],[Current Price]]/Main_L[[#This Row],[EPS]],""),"")</f>
        <v>26.668058455114821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-1.4064148106403591</v>
      </c>
      <c r="P116" s="1">
        <f>(Main_L[[#This Row],[P/B]]-VLOOKUP(Main_L[[#This Row],[Industry]], Mean_PB_L, 2, FALSE))/(VLOOKUP(Main_L[[#This Row],[Industry]], Mean_PB_L, 3, FALSE))</f>
        <v>-0.90635398931636557</v>
      </c>
      <c r="Q116" s="1">
        <f>(Main_L[[#This Row],[ROE]]-VLOOKUP(Main_L[[#This Row],[Industry]], Mean_ROE_L, 2, FALSE))/(VLOOKUP(Main_L[[#This Row],[Industry]], Mean_ROE_L, 3, FALSE))</f>
        <v>-0.77505089576998687</v>
      </c>
      <c r="R116" s="1">
        <f>(Main_L[[#This Row],[ROA]]-VLOOKUP(Main_L[[#This Row],[Industry]], Mean_ROA_L, 2, FALSE))/(VLOOKUP(Main_L[[#This Row],[Industry]], Mean_ROA_L, 3, FALSE))</f>
        <v>-0.86311119905648381</v>
      </c>
      <c r="S116" s="1">
        <f>(Main_L[[#This Row],[A/E]]-VLOOKUP(Main_L[[#This Row],[Industry]], Mean_AE_L, 2, FALSE))/(VLOOKUP(Main_L[[#This Row],[Industry]], Mean_AE_L, 3, FALSE))</f>
        <v>-0.36263695374251936</v>
      </c>
      <c r="T116" s="1">
        <f>(Main_L[[#This Row],[P/E]]-VLOOKUP(Main_L[[#This Row],[Industry]], Mean_PE_L, 2, FALSE))/(VLOOKUP(Main_L[[#This Row],[Industry]], Mean_PE_L, 3, FALSE))</f>
        <v>-0.81322551396277087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7" spans="1:26" x14ac:dyDescent="0.25">
      <c r="A117" t="s">
        <v>205</v>
      </c>
      <c r="B117" t="s">
        <v>215</v>
      </c>
      <c r="C117" s="2">
        <v>21770</v>
      </c>
      <c r="D117">
        <f>RTD("tos.rtd", , "LAST", Main_L[[#This Row],[Symbol]])</f>
        <v>146.34</v>
      </c>
      <c r="E117">
        <v>9.27</v>
      </c>
      <c r="F117">
        <v>34.6</v>
      </c>
      <c r="G117">
        <v>8.73</v>
      </c>
      <c r="H117" s="1">
        <f>IF(ISNUMBER(Main_L[[#This Row],[Free CF]]),IF(Main_L[[#This Row],[Free CF]]&lt;&gt;0,Main_L[[#This Row],[Current Price]]/Main_L[[#This Row],[Free CF]],""),"")</f>
        <v>15.786407766990292</v>
      </c>
      <c r="I117" s="1">
        <f>IF(ISNUMBER(Main_L[[#This Row],[BVPS]]),IF(Main_L[[#This Row],[BVPS]]&lt;&gt;0,Main_L[[#This Row],[Current Price]]/Main_L[[#This Row],[BVPS]],""),"")</f>
        <v>4.2294797687861267</v>
      </c>
      <c r="J117">
        <v>27.04</v>
      </c>
      <c r="K117">
        <v>8.4499999999999993</v>
      </c>
      <c r="L117">
        <v>2.89</v>
      </c>
      <c r="M117" s="1">
        <f>IF(ISNUMBER(Main_L[[#This Row],[EPS]]),IF(Main_L[[#This Row],[EPS]]&lt;&gt;0,Main_L[[#This Row],[Current Price]]/Main_L[[#This Row],[EPS]],""),"")</f>
        <v>16.762886597938145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-1.5194478413568158</v>
      </c>
      <c r="P117" s="1">
        <f>(Main_L[[#This Row],[P/B]]-VLOOKUP(Main_L[[#This Row],[Industry]], Mean_PB_L, 2, FALSE))/(VLOOKUP(Main_L[[#This Row],[Industry]], Mean_PB_L, 3, FALSE))</f>
        <v>-0.79744208072937928</v>
      </c>
      <c r="Q117" s="1">
        <f>(Main_L[[#This Row],[ROE]]-VLOOKUP(Main_L[[#This Row],[Industry]], Mean_ROE_L, 2, FALSE))/(VLOOKUP(Main_L[[#This Row],[Industry]], Mean_ROE_L, 3, FALSE))</f>
        <v>-7.1338960572080293E-2</v>
      </c>
      <c r="R117" s="1">
        <f>(Main_L[[#This Row],[ROA]]-VLOOKUP(Main_L[[#This Row],[Industry]], Mean_ROA_L, 2, FALSE))/(VLOOKUP(Main_L[[#This Row],[Industry]], Mean_ROA_L, 3, FALSE))</f>
        <v>0.23146463341991355</v>
      </c>
      <c r="S117" s="1">
        <f>(Main_L[[#This Row],[A/E]]-VLOOKUP(Main_L[[#This Row],[Industry]], Mean_AE_L, 2, FALSE))/(VLOOKUP(Main_L[[#This Row],[Industry]], Mean_AE_L, 3, FALSE))</f>
        <v>6.8632057741552274E-2</v>
      </c>
      <c r="T117" s="1">
        <f>(Main_L[[#This Row],[P/E]]-VLOOKUP(Main_L[[#This Row],[Industry]], Mean_PE_L, 2, FALSE))/(VLOOKUP(Main_L[[#This Row],[Industry]], Mean_PE_L, 3, FALSE))</f>
        <v>-1.4628262739445768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t="s">
        <v>205</v>
      </c>
      <c r="B118" t="s">
        <v>216</v>
      </c>
      <c r="C118" s="2">
        <v>10410</v>
      </c>
      <c r="D118">
        <f>RTD("tos.rtd", , "LAST", Main_L[[#This Row],[Symbol]])</f>
        <v>69.52</v>
      </c>
      <c r="E118">
        <v>5.16</v>
      </c>
      <c r="F118">
        <v>21.77</v>
      </c>
      <c r="G118">
        <v>0.72</v>
      </c>
      <c r="H118" s="1">
        <f>IF(ISNUMBER(Main_L[[#This Row],[Free CF]]),IF(Main_L[[#This Row],[Free CF]]&lt;&gt;0,Main_L[[#This Row],[Current Price]]/Main_L[[#This Row],[Free CF]],""),"")</f>
        <v>13.472868217054263</v>
      </c>
      <c r="I118" s="1">
        <f>IF(ISNUMBER(Main_L[[#This Row],[BVPS]]),IF(Main_L[[#This Row],[BVPS]]&lt;&gt;0,Main_L[[#This Row],[Current Price]]/Main_L[[#This Row],[BVPS]],""),"")</f>
        <v>3.1933853927423059</v>
      </c>
      <c r="J118">
        <v>5.67</v>
      </c>
      <c r="K118">
        <v>5.89</v>
      </c>
      <c r="L118">
        <v>2.35</v>
      </c>
      <c r="M118" s="1">
        <f>IF(ISNUMBER(Main_L[[#This Row],[EPS]]),IF(Main_L[[#This Row],[EPS]]&lt;&gt;0,Main_L[[#This Row],[Current Price]]/Main_L[[#This Row],[EPS]],""),"")</f>
        <v>96.555555555555557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-1.7117459535859971</v>
      </c>
      <c r="P118" s="1">
        <f>(Main_L[[#This Row],[P/B]]-VLOOKUP(Main_L[[#This Row],[Industry]], Mean_PB_L, 2, FALSE))/(VLOOKUP(Main_L[[#This Row],[Industry]], Mean_PB_L, 3, FALSE))</f>
        <v>-0.94987719548825056</v>
      </c>
      <c r="Q118" s="1">
        <f>(Main_L[[#This Row],[ROE]]-VLOOKUP(Main_L[[#This Row],[Industry]], Mean_ROE_L, 2, FALSE))/(VLOOKUP(Main_L[[#This Row],[Industry]], Mean_ROE_L, 3, FALSE))</f>
        <v>-0.96594479371778319</v>
      </c>
      <c r="R118" s="1">
        <f>(Main_L[[#This Row],[ROA]]-VLOOKUP(Main_L[[#This Row],[Industry]], Mean_ROA_L, 2, FALSE))/(VLOOKUP(Main_L[[#This Row],[Industry]], Mean_ROA_L, 3, FALSE))</f>
        <v>-0.45532804578096325</v>
      </c>
      <c r="S118" s="1">
        <f>(Main_L[[#This Row],[A/E]]-VLOOKUP(Main_L[[#This Row],[Industry]], Mean_AE_L, 2, FALSE))/(VLOOKUP(Main_L[[#This Row],[Industry]], Mean_AE_L, 3, FALSE))</f>
        <v>-0.68261073645650794</v>
      </c>
      <c r="T118" s="1">
        <f>(Main_L[[#This Row],[P/E]]-VLOOKUP(Main_L[[#This Row],[Industry]], Mean_PE_L, 2, FALSE))/(VLOOKUP(Main_L[[#This Row],[Industry]], Mean_PE_L, 3, FALSE))</f>
        <v>3.7701347633028144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9" spans="1:26" x14ac:dyDescent="0.25">
      <c r="A119" t="s">
        <v>205</v>
      </c>
      <c r="B119" t="s">
        <v>217</v>
      </c>
      <c r="C119" s="2">
        <v>88322</v>
      </c>
      <c r="D119">
        <f>RTD("tos.rtd", , "LAST", Main_L[[#This Row],[Symbol]])</f>
        <v>53.03</v>
      </c>
      <c r="E119">
        <v>1.36</v>
      </c>
      <c r="F119">
        <v>2.1800000000000002</v>
      </c>
      <c r="G119">
        <v>1.26</v>
      </c>
      <c r="H119" s="1">
        <f>IF(ISNUMBER(Main_L[[#This Row],[Free CF]]),IF(Main_L[[#This Row],[Free CF]]&lt;&gt;0,Main_L[[#This Row],[Current Price]]/Main_L[[#This Row],[Free CF]],""),"")</f>
        <v>38.992647058823529</v>
      </c>
      <c r="I119" s="1">
        <f>IF(ISNUMBER(Main_L[[#This Row],[BVPS]]),IF(Main_L[[#This Row],[BVPS]]&lt;&gt;0,Main_L[[#This Row],[Current Price]]/Main_L[[#This Row],[BVPS]],""),"")</f>
        <v>24.325688073394495</v>
      </c>
      <c r="J119">
        <v>59.12</v>
      </c>
      <c r="K119">
        <v>11.74</v>
      </c>
      <c r="L119">
        <v>4.58</v>
      </c>
      <c r="M119" s="1">
        <f>IF(ISNUMBER(Main_L[[#This Row],[EPS]]),IF(Main_L[[#This Row],[EPS]]&lt;&gt;0,Main_L[[#This Row],[Current Price]]/Main_L[[#This Row],[EPS]],""),"")</f>
        <v>42.087301587301589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>
        <f>(Main_L[[#This Row],[P/FCF]]-VLOOKUP(Main_L[[#This Row],[Industry]], Mean_PFCF_L, 2, FALSE))/(VLOOKUP(Main_L[[#This Row],[Industry]], Mean_PFCF_L, 3, FALSE))</f>
        <v>0.40942171606292865</v>
      </c>
      <c r="P119" s="1">
        <f>(Main_L[[#This Row],[P/B]]-VLOOKUP(Main_L[[#This Row],[Industry]], Mean_PB_L, 2, FALSE))/(VLOOKUP(Main_L[[#This Row],[Industry]], Mean_PB_L, 3, FALSE))</f>
        <v>2.1592073229940452</v>
      </c>
      <c r="Q119" s="1">
        <f>(Main_L[[#This Row],[ROE]]-VLOOKUP(Main_L[[#This Row],[Industry]], Mean_ROE_L, 2, FALSE))/(VLOOKUP(Main_L[[#This Row],[Industry]], Mean_ROE_L, 3, FALSE))</f>
        <v>1.2716163565694332</v>
      </c>
      <c r="R119" s="1">
        <f>(Main_L[[#This Row],[ROA]]-VLOOKUP(Main_L[[#This Row],[Industry]], Mean_ROA_L, 2, FALSE))/(VLOOKUP(Main_L[[#This Row],[Industry]], Mean_ROA_L, 3, FALSE))</f>
        <v>1.1141005375491657</v>
      </c>
      <c r="S119" s="1">
        <f>(Main_L[[#This Row],[A/E]]-VLOOKUP(Main_L[[#This Row],[Industry]], Mean_AE_L, 2, FALSE))/(VLOOKUP(Main_L[[#This Row],[Industry]], Mean_AE_L, 3, FALSE))</f>
        <v>2.4197437655095553</v>
      </c>
      <c r="T119" s="1">
        <f>(Main_L[[#This Row],[P/E]]-VLOOKUP(Main_L[[#This Row],[Industry]], Mean_PE_L, 2, FALSE))/(VLOOKUP(Main_L[[#This Row],[Industry]], Mean_PE_L, 3, FALSE))</f>
        <v>0.19799894548520294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0" spans="1:26" x14ac:dyDescent="0.25">
      <c r="A120" t="s">
        <v>205</v>
      </c>
      <c r="B120" t="s">
        <v>218</v>
      </c>
      <c r="C120" s="2">
        <v>76738</v>
      </c>
      <c r="D120">
        <f>RTD("tos.rtd", , "LAST", Main_L[[#This Row],[Symbol]])</f>
        <v>192.66</v>
      </c>
      <c r="E120">
        <v>4.46</v>
      </c>
      <c r="F120">
        <v>26.39</v>
      </c>
      <c r="G120">
        <v>4.93</v>
      </c>
      <c r="H120" s="1">
        <f>IF(ISNUMBER(Main_L[[#This Row],[Free CF]]),IF(Main_L[[#This Row],[Free CF]]&lt;&gt;0,Main_L[[#This Row],[Current Price]]/Main_L[[#This Row],[Free CF]],""),"")</f>
        <v>43.197309417040358</v>
      </c>
      <c r="I120" s="1">
        <f>IF(ISNUMBER(Main_L[[#This Row],[BVPS]]),IF(Main_L[[#This Row],[BVPS]]&lt;&gt;0,Main_L[[#This Row],[Current Price]]/Main_L[[#This Row],[BVPS]],""),"")</f>
        <v>7.3004926108374377</v>
      </c>
      <c r="J120">
        <v>19.38</v>
      </c>
      <c r="K120">
        <v>6.31</v>
      </c>
      <c r="L120">
        <v>1.55</v>
      </c>
      <c r="M120" s="1">
        <f>IF(ISNUMBER(Main_L[[#This Row],[EPS]]),IF(Main_L[[#This Row],[EPS]]&lt;&gt;0,Main_L[[#This Row],[Current Price]]/Main_L[[#This Row],[EPS]],""),"")</f>
        <v>39.079107505070994</v>
      </c>
      <c r="N1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0" s="1">
        <f>(Main_L[[#This Row],[P/FCF]]-VLOOKUP(Main_L[[#This Row],[Industry]], Mean_PFCF_L, 2, FALSE))/(VLOOKUP(Main_L[[#This Row],[Industry]], Mean_PFCF_L, 3, FALSE))</f>
        <v>0.75890726260072205</v>
      </c>
      <c r="P120" s="1">
        <f>(Main_L[[#This Row],[P/B]]-VLOOKUP(Main_L[[#This Row],[Industry]], Mean_PB_L, 2, FALSE))/(VLOOKUP(Main_L[[#This Row],[Industry]], Mean_PB_L, 3, FALSE))</f>
        <v>-0.34562011756850652</v>
      </c>
      <c r="Q120" s="1">
        <f>(Main_L[[#This Row],[ROE]]-VLOOKUP(Main_L[[#This Row],[Industry]], Mean_ROE_L, 2, FALSE))/(VLOOKUP(Main_L[[#This Row],[Industry]], Mean_ROE_L, 3, FALSE))</f>
        <v>-0.39200721896684321</v>
      </c>
      <c r="R120" s="1">
        <f>(Main_L[[#This Row],[ROA]]-VLOOKUP(Main_L[[#This Row],[Industry]], Mean_ROA_L, 2, FALSE))/(VLOOKUP(Main_L[[#This Row],[Industry]], Mean_ROA_L, 3, FALSE))</f>
        <v>-0.34265112184956936</v>
      </c>
      <c r="S120" s="1">
        <f>(Main_L[[#This Row],[A/E]]-VLOOKUP(Main_L[[#This Row],[Industry]], Mean_AE_L, 2, FALSE))/(VLOOKUP(Main_L[[#This Row],[Industry]], Mean_AE_L, 3, FALSE))</f>
        <v>-1.7955630241573379</v>
      </c>
      <c r="T120" s="1">
        <f>(Main_L[[#This Row],[P/E]]-VLOOKUP(Main_L[[#This Row],[Industry]], Mean_PE_L, 2, FALSE))/(VLOOKUP(Main_L[[#This Row],[Industry]], Mean_PE_L, 3, FALSE))</f>
        <v>7.1562822767070851E-4</v>
      </c>
      <c r="U1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1" spans="1:26" x14ac:dyDescent="0.25">
      <c r="A121" t="s">
        <v>205</v>
      </c>
      <c r="B121" t="s">
        <v>219</v>
      </c>
      <c r="C121" s="2">
        <v>19426</v>
      </c>
      <c r="D121">
        <f>RTD("tos.rtd", , "LAST", Main_L[[#This Row],[Symbol]])</f>
        <v>87.36</v>
      </c>
      <c r="E121">
        <v>2.4900000000000002</v>
      </c>
      <c r="F121">
        <v>21.64</v>
      </c>
      <c r="G121">
        <v>1.1399999999999999</v>
      </c>
      <c r="H121" s="1">
        <f>IF(ISNUMBER(Main_L[[#This Row],[Free CF]]),IF(Main_L[[#This Row],[Free CF]]&lt;&gt;0,Main_L[[#This Row],[Current Price]]/Main_L[[#This Row],[Free CF]],""),"")</f>
        <v>35.084337349397586</v>
      </c>
      <c r="I121" s="1">
        <f>IF(ISNUMBER(Main_L[[#This Row],[BVPS]]),IF(Main_L[[#This Row],[BVPS]]&lt;&gt;0,Main_L[[#This Row],[Current Price]]/Main_L[[#This Row],[BVPS]],""),"")</f>
        <v>4.0369685767097963</v>
      </c>
      <c r="J121">
        <v>5.72</v>
      </c>
      <c r="K121">
        <v>3.95</v>
      </c>
      <c r="L121">
        <v>2.62</v>
      </c>
      <c r="M121" s="1">
        <f>IF(ISNUMBER(Main_L[[#This Row],[EPS]]),IF(Main_L[[#This Row],[EPS]]&lt;&gt;0,Main_L[[#This Row],[Current Price]]/Main_L[[#This Row],[EPS]],""),"")</f>
        <v>76.631578947368425</v>
      </c>
      <c r="N1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1" s="1">
        <f>(Main_L[[#This Row],[P/FCF]]-VLOOKUP(Main_L[[#This Row],[Industry]], Mean_PFCF_L, 2, FALSE))/(VLOOKUP(Main_L[[#This Row],[Industry]], Mean_PFCF_L, 3, FALSE))</f>
        <v>8.4568579599205815E-2</v>
      </c>
      <c r="P121" s="1">
        <f>(Main_L[[#This Row],[P/B]]-VLOOKUP(Main_L[[#This Row],[Industry]], Mean_PB_L, 2, FALSE))/(VLOOKUP(Main_L[[#This Row],[Industry]], Mean_PB_L, 3, FALSE))</f>
        <v>-0.82576523963752246</v>
      </c>
      <c r="Q121" s="1">
        <f>(Main_L[[#This Row],[ROE]]-VLOOKUP(Main_L[[#This Row],[Industry]], Mean_ROE_L, 2, FALSE))/(VLOOKUP(Main_L[[#This Row],[Industry]], Mean_ROE_L, 3, FALSE))</f>
        <v>-0.9638516588718643</v>
      </c>
      <c r="R121" s="1">
        <f>(Main_L[[#This Row],[ROA]]-VLOOKUP(Main_L[[#This Row],[Industry]], Mean_ROA_L, 2, FALSE))/(VLOOKUP(Main_L[[#This Row],[Industry]], Mean_ROA_L, 3, FALSE))</f>
        <v>-0.97578812298787765</v>
      </c>
      <c r="S121" s="1">
        <f>(Main_L[[#This Row],[A/E]]-VLOOKUP(Main_L[[#This Row],[Industry]], Mean_AE_L, 2, FALSE))/(VLOOKUP(Main_L[[#This Row],[Industry]], Mean_AE_L, 3, FALSE))</f>
        <v>-0.30698933935747785</v>
      </c>
      <c r="T121" s="1">
        <f>(Main_L[[#This Row],[P/E]]-VLOOKUP(Main_L[[#This Row],[Industry]], Mean_PE_L, 2, FALSE))/(VLOOKUP(Main_L[[#This Row],[Industry]], Mean_PE_L, 3, FALSE))</f>
        <v>2.4634809734283203</v>
      </c>
      <c r="U1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2" spans="1:26" x14ac:dyDescent="0.25">
      <c r="A122" t="s">
        <v>205</v>
      </c>
      <c r="B122" t="s">
        <v>220</v>
      </c>
      <c r="C122" s="2">
        <v>10676</v>
      </c>
      <c r="D122">
        <f>RTD("tos.rtd", , "LAST", Main_L[[#This Row],[Symbol]])</f>
        <v>70.55</v>
      </c>
      <c r="E122">
        <v>1.41</v>
      </c>
      <c r="F122">
        <v>4.3600000000000003</v>
      </c>
      <c r="G122">
        <v>1.51</v>
      </c>
      <c r="H122" s="1">
        <f>IF(ISNUMBER(Main_L[[#This Row],[Free CF]]),IF(Main_L[[#This Row],[Free CF]]&lt;&gt;0,Main_L[[#This Row],[Current Price]]/Main_L[[#This Row],[Free CF]],""),"")</f>
        <v>50.035460992907801</v>
      </c>
      <c r="I122" s="1">
        <f>IF(ISNUMBER(Main_L[[#This Row],[BVPS]]),IF(Main_L[[#This Row],[BVPS]]&lt;&gt;0,Main_L[[#This Row],[Current Price]]/Main_L[[#This Row],[BVPS]],""),"")</f>
        <v>16.181192660550458</v>
      </c>
      <c r="J122">
        <v>30.77</v>
      </c>
      <c r="K122">
        <v>9.35</v>
      </c>
      <c r="L122">
        <v>3.3</v>
      </c>
      <c r="M122" s="1">
        <f>IF(ISNUMBER(Main_L[[#This Row],[EPS]]),IF(Main_L[[#This Row],[EPS]]&lt;&gt;0,Main_L[[#This Row],[Current Price]]/Main_L[[#This Row],[EPS]],""),"")</f>
        <v>46.721854304635762</v>
      </c>
      <c r="N1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2" s="1">
        <f>(Main_L[[#This Row],[P/FCF]]-VLOOKUP(Main_L[[#This Row],[Industry]], Mean_PFCF_L, 2, FALSE))/(VLOOKUP(Main_L[[#This Row],[Industry]], Mean_PFCF_L, 3, FALSE))</f>
        <v>1.3272846820456023</v>
      </c>
      <c r="P122" s="1">
        <f>(Main_L[[#This Row],[P/B]]-VLOOKUP(Main_L[[#This Row],[Industry]], Mean_PB_L, 2, FALSE))/(VLOOKUP(Main_L[[#This Row],[Industry]], Mean_PB_L, 3, FALSE))</f>
        <v>0.96095056027470782</v>
      </c>
      <c r="Q122" s="1">
        <f>(Main_L[[#This Row],[ROE]]-VLOOKUP(Main_L[[#This Row],[Industry]], Mean_ROE_L, 2, FALSE))/(VLOOKUP(Main_L[[#This Row],[Industry]], Mean_ROE_L, 3, FALSE))</f>
        <v>8.480889893346355E-2</v>
      </c>
      <c r="R122" s="1">
        <f>(Main_L[[#This Row],[ROA]]-VLOOKUP(Main_L[[#This Row],[Industry]], Mean_ROA_L, 2, FALSE))/(VLOOKUP(Main_L[[#This Row],[Industry]], Mean_ROA_L, 3, FALSE))</f>
        <v>0.47291518470147192</v>
      </c>
      <c r="S122" s="1">
        <f>(Main_L[[#This Row],[A/E]]-VLOOKUP(Main_L[[#This Row],[Industry]], Mean_AE_L, 2, FALSE))/(VLOOKUP(Main_L[[#This Row],[Industry]], Mean_AE_L, 3, FALSE))</f>
        <v>0.63902010518822716</v>
      </c>
      <c r="T122" s="1">
        <f>(Main_L[[#This Row],[P/E]]-VLOOKUP(Main_L[[#This Row],[Industry]], Mean_PE_L, 2, FALSE))/(VLOOKUP(Main_L[[#This Row],[Industry]], Mean_PE_L, 3, FALSE))</f>
        <v>0.50194207850360906</v>
      </c>
      <c r="U1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3" spans="1:26" x14ac:dyDescent="0.25">
      <c r="A123" t="s">
        <v>205</v>
      </c>
      <c r="B123" t="s">
        <v>221</v>
      </c>
      <c r="C123" s="2">
        <v>40536</v>
      </c>
      <c r="D123">
        <f>RTD("tos.rtd", , "LAST", Main_L[[#This Row],[Symbol]])</f>
        <v>313.221</v>
      </c>
      <c r="E123">
        <v>6.4</v>
      </c>
      <c r="F123">
        <v>2.12</v>
      </c>
      <c r="G123">
        <v>6.47</v>
      </c>
      <c r="H123" s="1">
        <f>IF(ISNUMBER(Main_L[[#This Row],[Free CF]]),IF(Main_L[[#This Row],[Free CF]]&lt;&gt;0,Main_L[[#This Row],[Current Price]]/Main_L[[#This Row],[Free CF]],""),"")</f>
        <v>48.940781250000001</v>
      </c>
      <c r="I123" s="1">
        <f>IF(ISNUMBER(Main_L[[#This Row],[BVPS]]),IF(Main_L[[#This Row],[BVPS]]&lt;&gt;0,Main_L[[#This Row],[Current Price]]/Main_L[[#This Row],[BVPS]],""),"")</f>
        <v>147.74575471698114</v>
      </c>
      <c r="J123">
        <v>265.61</v>
      </c>
      <c r="K123">
        <v>17.25</v>
      </c>
      <c r="L123">
        <v>15.23</v>
      </c>
      <c r="M123" s="1">
        <f>IF(ISNUMBER(Main_L[[#This Row],[EPS]]),IF(Main_L[[#This Row],[EPS]]&lt;&gt;0,Main_L[[#This Row],[Current Price]]/Main_L[[#This Row],[EPS]],""),"")</f>
        <v>48.411282843894902</v>
      </c>
      <c r="N1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3" s="1">
        <f>(Main_L[[#This Row],[P/FCF]]-VLOOKUP(Main_L[[#This Row],[Industry]], Mean_PFCF_L, 2, FALSE))/(VLOOKUP(Main_L[[#This Row],[Industry]], Mean_PFCF_L, 3, FALSE))</f>
        <v>1.2362964609613698</v>
      </c>
      <c r="P123" s="1">
        <f>(Main_L[[#This Row],[P/B]]-VLOOKUP(Main_L[[#This Row],[Industry]], Mean_PB_L, 2, FALSE))/(VLOOKUP(Main_L[[#This Row],[Industry]], Mean_PB_L, 3, FALSE))</f>
        <v>20.31735242768956</v>
      </c>
      <c r="Q123" s="1">
        <f>(Main_L[[#This Row],[ROE]]-VLOOKUP(Main_L[[#This Row],[Industry]], Mean_ROE_L, 2, FALSE))/(VLOOKUP(Main_L[[#This Row],[Industry]], Mean_ROE_L, 3, FALSE))</f>
        <v>9.9158446432449683</v>
      </c>
      <c r="R123" s="1">
        <f>(Main_L[[#This Row],[ROA]]-VLOOKUP(Main_L[[#This Row],[Industry]], Mean_ROA_L, 2, FALSE))/(VLOOKUP(Main_L[[#This Row],[Industry]], Mean_ROA_L, 3, FALSE))</f>
        <v>2.592314468172928</v>
      </c>
      <c r="S123" s="1">
        <f>(Main_L[[#This Row],[A/E]]-VLOOKUP(Main_L[[#This Row],[Industry]], Mean_AE_L, 2, FALSE))/(VLOOKUP(Main_L[[#This Row],[Industry]], Mean_AE_L, 3, FALSE))</f>
        <v>17.235921095526855</v>
      </c>
      <c r="T123" s="1">
        <f>(Main_L[[#This Row],[P/E]]-VLOOKUP(Main_L[[#This Row],[Industry]], Mean_PE_L, 2, FALSE))/(VLOOKUP(Main_L[[#This Row],[Industry]], Mean_PE_L, 3, FALSE))</f>
        <v>0.61273814331318044</v>
      </c>
      <c r="U1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4" spans="1:26" x14ac:dyDescent="0.25">
      <c r="A124" t="s">
        <v>205</v>
      </c>
      <c r="B124" t="s">
        <v>222</v>
      </c>
      <c r="C124" s="2">
        <v>27519</v>
      </c>
      <c r="D124">
        <f>RTD("tos.rtd", , "LAST", Main_L[[#This Row],[Symbol]])</f>
        <v>243.71</v>
      </c>
      <c r="E124">
        <v>7.34</v>
      </c>
      <c r="F124">
        <v>18.87</v>
      </c>
      <c r="G124">
        <v>5.79</v>
      </c>
      <c r="H124" s="1">
        <f>IF(ISNUMBER(Main_L[[#This Row],[Free CF]]),IF(Main_L[[#This Row],[Free CF]]&lt;&gt;0,Main_L[[#This Row],[Current Price]]/Main_L[[#This Row],[Free CF]],""),"")</f>
        <v>33.202997275204361</v>
      </c>
      <c r="I124" s="1">
        <f>IF(ISNUMBER(Main_L[[#This Row],[BVPS]]),IF(Main_L[[#This Row],[BVPS]]&lt;&gt;0,Main_L[[#This Row],[Current Price]]/Main_L[[#This Row],[BVPS]],""),"")</f>
        <v>12.915209326974033</v>
      </c>
      <c r="J124">
        <v>31.81</v>
      </c>
      <c r="K124">
        <v>8.27</v>
      </c>
      <c r="L124">
        <v>3.63</v>
      </c>
      <c r="M124" s="1">
        <f>IF(ISNUMBER(Main_L[[#This Row],[EPS]]),IF(Main_L[[#This Row],[EPS]]&lt;&gt;0,Main_L[[#This Row],[Current Price]]/Main_L[[#This Row],[EPS]],""),"")</f>
        <v>42.091537132987909</v>
      </c>
      <c r="N1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4" s="1">
        <f>(Main_L[[#This Row],[P/FCF]]-VLOOKUP(Main_L[[#This Row],[Industry]], Mean_PFCF_L, 2, FALSE))/(VLOOKUP(Main_L[[#This Row],[Industry]], Mean_PFCF_L, 3, FALSE))</f>
        <v>-7.1805727785540854E-2</v>
      </c>
      <c r="P124" s="1">
        <f>(Main_L[[#This Row],[P/B]]-VLOOKUP(Main_L[[#This Row],[Industry]], Mean_PB_L, 2, FALSE))/(VLOOKUP(Main_L[[#This Row],[Industry]], Mean_PB_L, 3, FALSE))</f>
        <v>0.48044361441591971</v>
      </c>
      <c r="Q124" s="1">
        <f>(Main_L[[#This Row],[ROE]]-VLOOKUP(Main_L[[#This Row],[Industry]], Mean_ROE_L, 2, FALSE))/(VLOOKUP(Main_L[[#This Row],[Industry]], Mean_ROE_L, 3, FALSE))</f>
        <v>0.12834610372857491</v>
      </c>
      <c r="R124" s="1">
        <f>(Main_L[[#This Row],[ROA]]-VLOOKUP(Main_L[[#This Row],[Industry]], Mean_ROA_L, 2, FALSE))/(VLOOKUP(Main_L[[#This Row],[Industry]], Mean_ROA_L, 3, FALSE))</f>
        <v>0.18317452316360197</v>
      </c>
      <c r="S124" s="1">
        <f>(Main_L[[#This Row],[A/E]]-VLOOKUP(Main_L[[#This Row],[Industry]], Mean_AE_L, 2, FALSE))/(VLOOKUP(Main_L[[#This Row],[Industry]], Mean_AE_L, 3, FALSE))</f>
        <v>1.0981129238648195</v>
      </c>
      <c r="T124" s="1">
        <f>(Main_L[[#This Row],[P/E]]-VLOOKUP(Main_L[[#This Row],[Industry]], Mean_PE_L, 2, FALSE))/(VLOOKUP(Main_L[[#This Row],[Industry]], Mean_PE_L, 3, FALSE))</f>
        <v>0.19827672094800605</v>
      </c>
      <c r="U1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5" spans="1:26" x14ac:dyDescent="0.25">
      <c r="A125" t="s">
        <v>205</v>
      </c>
      <c r="B125" t="s">
        <v>223</v>
      </c>
      <c r="C125" s="2">
        <v>18854</v>
      </c>
      <c r="D125">
        <f>RTD("tos.rtd", , "LAST", Main_L[[#This Row],[Symbol]])</f>
        <v>81.22</v>
      </c>
      <c r="E125">
        <v>4.17</v>
      </c>
      <c r="F125">
        <v>27.55</v>
      </c>
      <c r="G125">
        <v>2.79</v>
      </c>
      <c r="H125" s="1">
        <f>IF(ISNUMBER(Main_L[[#This Row],[Free CF]]),IF(Main_L[[#This Row],[Free CF]]&lt;&gt;0,Main_L[[#This Row],[Current Price]]/Main_L[[#This Row],[Free CF]],""),"")</f>
        <v>19.477218225419666</v>
      </c>
      <c r="I125" s="1">
        <f>IF(ISNUMBER(Main_L[[#This Row],[BVPS]]),IF(Main_L[[#This Row],[BVPS]]&lt;&gt;0,Main_L[[#This Row],[Current Price]]/Main_L[[#This Row],[BVPS]],""),"")</f>
        <v>2.9480943738656986</v>
      </c>
      <c r="J125">
        <v>10.82</v>
      </c>
      <c r="K125">
        <v>4.88</v>
      </c>
      <c r="L125">
        <v>2.71</v>
      </c>
      <c r="M125" s="1">
        <f>IF(ISNUMBER(Main_L[[#This Row],[EPS]]),IF(Main_L[[#This Row],[EPS]]&lt;&gt;0,Main_L[[#This Row],[Current Price]]/Main_L[[#This Row],[EPS]],""),"")</f>
        <v>29.111111111111111</v>
      </c>
      <c r="N1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5" s="1">
        <f>(Main_L[[#This Row],[P/FCF]]-VLOOKUP(Main_L[[#This Row],[Industry]], Mean_PFCF_L, 2, FALSE))/(VLOOKUP(Main_L[[#This Row],[Industry]], Mean_PFCF_L, 3, FALSE))</f>
        <v>-1.2126729328529555</v>
      </c>
      <c r="P125" s="1">
        <f>(Main_L[[#This Row],[P/B]]-VLOOKUP(Main_L[[#This Row],[Industry]], Mean_PB_L, 2, FALSE))/(VLOOKUP(Main_L[[#This Row],[Industry]], Mean_PB_L, 3, FALSE))</f>
        <v>-0.9859655726441503</v>
      </c>
      <c r="Q125" s="1">
        <f>(Main_L[[#This Row],[ROE]]-VLOOKUP(Main_L[[#This Row],[Industry]], Mean_ROE_L, 2, FALSE))/(VLOOKUP(Main_L[[#This Row],[Industry]], Mean_ROE_L, 3, FALSE))</f>
        <v>-0.75035190458814482</v>
      </c>
      <c r="R125" s="1">
        <f>(Main_L[[#This Row],[ROA]]-VLOOKUP(Main_L[[#This Row],[Industry]], Mean_ROA_L, 2, FALSE))/(VLOOKUP(Main_L[[#This Row],[Industry]], Mean_ROA_L, 3, FALSE))</f>
        <v>-0.72628921999693419</v>
      </c>
      <c r="S125" s="1">
        <f>(Main_L[[#This Row],[A/E]]-VLOOKUP(Main_L[[#This Row],[Industry]], Mean_AE_L, 2, FALSE))/(VLOOKUP(Main_L[[#This Row],[Industry]], Mean_AE_L, 3, FALSE))</f>
        <v>-0.18178220699113468</v>
      </c>
      <c r="T125" s="1">
        <f>(Main_L[[#This Row],[P/E]]-VLOOKUP(Main_L[[#This Row],[Industry]], Mean_PE_L, 2, FALSE))/(VLOOKUP(Main_L[[#This Row],[Industry]], Mean_PE_L, 3, FALSE))</f>
        <v>-0.65300528912528744</v>
      </c>
      <c r="U1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6" spans="1:26" x14ac:dyDescent="0.25">
      <c r="A126" t="s">
        <v>182</v>
      </c>
      <c r="B126" t="s">
        <v>183</v>
      </c>
      <c r="C126" s="2">
        <v>18197</v>
      </c>
      <c r="D126">
        <f>RTD("tos.rtd", , "LAST", Main_L[[#This Row],[Symbol]])</f>
        <v>115.95</v>
      </c>
      <c r="E126">
        <v>-5.23</v>
      </c>
      <c r="F126">
        <v>90.66</v>
      </c>
      <c r="G126">
        <v>12.74</v>
      </c>
      <c r="H126" s="1">
        <f>IF(ISNUMBER(Main_L[[#This Row],[Free CF]]),IF(Main_L[[#This Row],[Free CF]]&lt;&gt;0,Main_L[[#This Row],[Current Price]]/Main_L[[#This Row],[Free CF]],""),"")</f>
        <v>-22.170172084130019</v>
      </c>
      <c r="I126" s="1">
        <f>IF(ISNUMBER(Main_L[[#This Row],[BVPS]]),IF(Main_L[[#This Row],[BVPS]]&lt;&gt;0,Main_L[[#This Row],[Current Price]]/Main_L[[#This Row],[BVPS]],""),"")</f>
        <v>1.2789543348775647</v>
      </c>
      <c r="J126">
        <v>15.3</v>
      </c>
      <c r="K126">
        <v>3.48</v>
      </c>
      <c r="L126">
        <v>4.41</v>
      </c>
      <c r="M126" s="1">
        <f>IF(ISNUMBER(Main_L[[#This Row],[EPS]]),IF(Main_L[[#This Row],[EPS]]&lt;&gt;0,Main_L[[#This Row],[Current Price]]/Main_L[[#This Row],[EPS]],""),"")</f>
        <v>9.1012558869701721</v>
      </c>
      <c r="N1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6" s="1">
        <f>(Main_L[[#This Row],[P/FCF]]-VLOOKUP(Main_L[[#This Row],[Industry]], Mean_PFCF_L, 2, FALSE))/(VLOOKUP(Main_L[[#This Row],[Industry]], Mean_PFCF_L, 3, FALSE))</f>
        <v>-5.1542355112696496</v>
      </c>
      <c r="P126" s="1">
        <f>(Main_L[[#This Row],[P/B]]-VLOOKUP(Main_L[[#This Row],[Industry]], Mean_PB_L, 2, FALSE))/(VLOOKUP(Main_L[[#This Row],[Industry]], Mean_PB_L, 3, FALSE))</f>
        <v>-8.9169270564966219</v>
      </c>
      <c r="Q126" s="1">
        <f>(Main_L[[#This Row],[ROE]]-VLOOKUP(Main_L[[#This Row],[Industry]], Mean_ROE_L, 2, FALSE))/(VLOOKUP(Main_L[[#This Row],[Industry]], Mean_ROE_L, 3, FALSE))</f>
        <v>-1.2631135958136912</v>
      </c>
      <c r="R126" s="1">
        <f>(Main_L[[#This Row],[ROA]]-VLOOKUP(Main_L[[#This Row],[Industry]], Mean_ROA_L, 2, FALSE))/(VLOOKUP(Main_L[[#This Row],[Industry]], Mean_ROA_L, 3, FALSE))</f>
        <v>-2.9653428343827843</v>
      </c>
      <c r="S126" s="1">
        <f>(Main_L[[#This Row],[A/E]]-VLOOKUP(Main_L[[#This Row],[Industry]], Mean_AE_L, 2, FALSE))/(VLOOKUP(Main_L[[#This Row],[Industry]], Mean_AE_L, 3, FALSE))</f>
        <v>1.7220464892422902</v>
      </c>
      <c r="T126" s="1">
        <f>(Main_L[[#This Row],[P/E]]-VLOOKUP(Main_L[[#This Row],[Industry]], Mean_PE_L, 2, FALSE))/(VLOOKUP(Main_L[[#This Row],[Industry]], Mean_PE_L, 3, FALSE))</f>
        <v>-1.5878652936749345</v>
      </c>
      <c r="U1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7" spans="1:26" x14ac:dyDescent="0.25">
      <c r="A127" t="s">
        <v>182</v>
      </c>
      <c r="B127" t="s">
        <v>184</v>
      </c>
      <c r="C127" s="2">
        <v>10527</v>
      </c>
      <c r="D127">
        <f>RTD("tos.rtd", , "LAST", Main_L[[#This Row],[Symbol]])</f>
        <v>233.17</v>
      </c>
      <c r="E127">
        <v>10.54</v>
      </c>
      <c r="F127">
        <v>43.97</v>
      </c>
      <c r="G127">
        <v>9.8000000000000007</v>
      </c>
      <c r="H127" s="1">
        <f>IF(ISNUMBER(Main_L[[#This Row],[Free CF]]),IF(Main_L[[#This Row],[Free CF]]&lt;&gt;0,Main_L[[#This Row],[Current Price]]/Main_L[[#This Row],[Free CF]],""),"")</f>
        <v>22.12239089184061</v>
      </c>
      <c r="I127" s="1">
        <f>IF(ISNUMBER(Main_L[[#This Row],[BVPS]]),IF(Main_L[[#This Row],[BVPS]]&lt;&gt;0,Main_L[[#This Row],[Current Price]]/Main_L[[#This Row],[BVPS]],""),"")</f>
        <v>5.3029338185126225</v>
      </c>
      <c r="J127">
        <v>23.36</v>
      </c>
      <c r="K127">
        <v>10.61</v>
      </c>
      <c r="L127">
        <v>1.75</v>
      </c>
      <c r="M127" s="1">
        <f>IF(ISNUMBER(Main_L[[#This Row],[EPS]]),IF(Main_L[[#This Row],[EPS]]&lt;&gt;0,Main_L[[#This Row],[Current Price]]/Main_L[[#This Row],[EPS]],""),"")</f>
        <v>23.792857142857141</v>
      </c>
      <c r="N1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27" s="1">
        <f>(Main_L[[#This Row],[P/FCF]]-VLOOKUP(Main_L[[#This Row],[Industry]], Mean_PFCF_L, 2, FALSE))/(VLOOKUP(Main_L[[#This Row],[Industry]], Mean_PFCF_L, 3, FALSE))</f>
        <v>-0.23420179496840388</v>
      </c>
      <c r="P127" s="1">
        <f>(Main_L[[#This Row],[P/B]]-VLOOKUP(Main_L[[#This Row],[Industry]], Mean_PB_L, 2, FALSE))/(VLOOKUP(Main_L[[#This Row],[Industry]], Mean_PB_L, 3, FALSE))</f>
        <v>-1.3260377245106729</v>
      </c>
      <c r="Q127" s="1">
        <f>(Main_L[[#This Row],[ROE]]-VLOOKUP(Main_L[[#This Row],[Industry]], Mean_ROE_L, 2, FALSE))/(VLOOKUP(Main_L[[#This Row],[Industry]], Mean_ROE_L, 3, FALSE))</f>
        <v>-0.10834874882564646</v>
      </c>
      <c r="R127" s="1">
        <f>(Main_L[[#This Row],[ROA]]-VLOOKUP(Main_L[[#This Row],[Industry]], Mean_ROA_L, 2, FALSE))/(VLOOKUP(Main_L[[#This Row],[Industry]], Mean_ROA_L, 3, FALSE))</f>
        <v>0.85796537703661013</v>
      </c>
      <c r="S127" s="1">
        <f>(Main_L[[#This Row],[A/E]]-VLOOKUP(Main_L[[#This Row],[Industry]], Mean_AE_L, 2, FALSE))/(VLOOKUP(Main_L[[#This Row],[Industry]], Mean_AE_L, 3, FALSE))</f>
        <v>-1.0410763627992932</v>
      </c>
      <c r="T127" s="1">
        <f>(Main_L[[#This Row],[P/E]]-VLOOKUP(Main_L[[#This Row],[Industry]], Mean_PE_L, 2, FALSE))/(VLOOKUP(Main_L[[#This Row],[Industry]], Mean_PE_L, 3, FALSE))</f>
        <v>-3.5426154417120111E-2</v>
      </c>
      <c r="U1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8" spans="1:26" x14ac:dyDescent="0.25">
      <c r="A128" t="s">
        <v>182</v>
      </c>
      <c r="B128" t="s">
        <v>185</v>
      </c>
      <c r="C128" s="2">
        <v>10244</v>
      </c>
      <c r="D128">
        <f>RTD("tos.rtd", , "LAST", Main_L[[#This Row],[Symbol]])</f>
        <v>59.33</v>
      </c>
      <c r="E128">
        <v>3.44</v>
      </c>
      <c r="F128">
        <v>8.7899999999999991</v>
      </c>
      <c r="G128">
        <v>2.11</v>
      </c>
      <c r="H128" s="1">
        <f>IF(ISNUMBER(Main_L[[#This Row],[Free CF]]),IF(Main_L[[#This Row],[Free CF]]&lt;&gt;0,Main_L[[#This Row],[Current Price]]/Main_L[[#This Row],[Free CF]],""),"")</f>
        <v>17.247093023255815</v>
      </c>
      <c r="I128" s="1">
        <f>IF(ISNUMBER(Main_L[[#This Row],[BVPS]]),IF(Main_L[[#This Row],[BVPS]]&lt;&gt;0,Main_L[[#This Row],[Current Price]]/Main_L[[#This Row],[BVPS]],""),"")</f>
        <v>6.7497155858930604</v>
      </c>
      <c r="J128">
        <v>22.35</v>
      </c>
      <c r="K128">
        <v>7.93</v>
      </c>
      <c r="L128">
        <v>3.72</v>
      </c>
      <c r="M128" s="1">
        <f>IF(ISNUMBER(Main_L[[#This Row],[EPS]]),IF(Main_L[[#This Row],[EPS]]&lt;&gt;0,Main_L[[#This Row],[Current Price]]/Main_L[[#This Row],[EPS]],""),"")</f>
        <v>28.118483412322277</v>
      </c>
      <c r="N1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8" s="1">
        <f>(Main_L[[#This Row],[P/FCF]]-VLOOKUP(Main_L[[#This Row],[Industry]], Mean_PFCF_L, 2, FALSE))/(VLOOKUP(Main_L[[#This Row],[Industry]], Mean_PFCF_L, 3, FALSE))</f>
        <v>-0.77575162362613792</v>
      </c>
      <c r="P128" s="1">
        <f>(Main_L[[#This Row],[P/B]]-VLOOKUP(Main_L[[#This Row],[Industry]], Mean_PB_L, 2, FALSE))/(VLOOKUP(Main_L[[#This Row],[Industry]], Mean_PB_L, 3, FALSE))</f>
        <v>1.403190972699045</v>
      </c>
      <c r="Q128" s="1">
        <f>(Main_L[[#This Row],[ROE]]-VLOOKUP(Main_L[[#This Row],[Industry]], Mean_ROE_L, 2, FALSE))/(VLOOKUP(Main_L[[#This Row],[Industry]], Mean_ROE_L, 3, FALSE))</f>
        <v>-0.25305253238122005</v>
      </c>
      <c r="R128" s="1">
        <f>(Main_L[[#This Row],[ROA]]-VLOOKUP(Main_L[[#This Row],[Industry]], Mean_ROA_L, 2, FALSE))/(VLOOKUP(Main_L[[#This Row],[Industry]], Mean_ROA_L, 3, FALSE))</f>
        <v>-0.57912662949971205</v>
      </c>
      <c r="S128" s="1">
        <f>(Main_L[[#This Row],[A/E]]-VLOOKUP(Main_L[[#This Row],[Industry]], Mean_AE_L, 2, FALSE))/(VLOOKUP(Main_L[[#This Row],[Industry]], Mean_AE_L, 3, FALSE))</f>
        <v>1.0052965764946615</v>
      </c>
      <c r="T128" s="1">
        <f>(Main_L[[#This Row],[P/E]]-VLOOKUP(Main_L[[#This Row],[Industry]], Mean_PE_L, 2, FALSE))/(VLOOKUP(Main_L[[#This Row],[Industry]], Mean_PE_L, 3, FALSE))</f>
        <v>0.42165618845061986</v>
      </c>
      <c r="U1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9" spans="1:26" x14ac:dyDescent="0.25">
      <c r="A129" t="s">
        <v>182</v>
      </c>
      <c r="B129" t="s">
        <v>186</v>
      </c>
      <c r="C129" s="2">
        <v>46432</v>
      </c>
      <c r="D129">
        <f>RTD("tos.rtd", , "LAST", Main_L[[#This Row],[Symbol]])</f>
        <v>42.13</v>
      </c>
      <c r="E129">
        <v>1.82</v>
      </c>
      <c r="F129">
        <v>6.28</v>
      </c>
      <c r="G129">
        <v>2.02</v>
      </c>
      <c r="H129" s="1">
        <f>IF(ISNUMBER(Main_L[[#This Row],[Free CF]]),IF(Main_L[[#This Row],[Free CF]]&lt;&gt;0,Main_L[[#This Row],[Current Price]]/Main_L[[#This Row],[Free CF]],""),"")</f>
        <v>23.14835164835165</v>
      </c>
      <c r="I129" s="1">
        <f>IF(ISNUMBER(Main_L[[#This Row],[BVPS]]),IF(Main_L[[#This Row],[BVPS]]&lt;&gt;0,Main_L[[#This Row],[Current Price]]/Main_L[[#This Row],[BVPS]],""),"")</f>
        <v>6.7085987261146496</v>
      </c>
      <c r="J129">
        <v>32.700000000000003</v>
      </c>
      <c r="K129">
        <v>20.34</v>
      </c>
      <c r="L129">
        <v>1.32</v>
      </c>
      <c r="M129" s="1">
        <f>IF(ISNUMBER(Main_L[[#This Row],[EPS]]),IF(Main_L[[#This Row],[EPS]]&lt;&gt;0,Main_L[[#This Row],[Current Price]]/Main_L[[#This Row],[EPS]],""),"")</f>
        <v>20.856435643564357</v>
      </c>
      <c r="N1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9" s="1">
        <f>(Main_L[[#This Row],[P/FCF]]-VLOOKUP(Main_L[[#This Row],[Industry]], Mean_PFCF_L, 2, FALSE))/(VLOOKUP(Main_L[[#This Row],[Industry]], Mean_PFCF_L, 3, FALSE))</f>
        <v>-0.12023770767061678</v>
      </c>
      <c r="P129" s="1">
        <f>(Main_L[[#This Row],[P/B]]-VLOOKUP(Main_L[[#This Row],[Industry]], Mean_PB_L, 2, FALSE))/(VLOOKUP(Main_L[[#This Row],[Industry]], Mean_PB_L, 3, FALSE))</f>
        <v>1.3256275722080579</v>
      </c>
      <c r="Q129" s="1">
        <f>(Main_L[[#This Row],[ROE]]-VLOOKUP(Main_L[[#This Row],[Industry]], Mean_ROE_L, 2, FALSE))/(VLOOKUP(Main_L[[#This Row],[Industry]], Mean_ROE_L, 3, FALSE))</f>
        <v>1.2298030713813439</v>
      </c>
      <c r="R129" s="1">
        <f>(Main_L[[#This Row],[ROA]]-VLOOKUP(Main_L[[#This Row],[Industry]], Mean_ROA_L, 2, FALSE))/(VLOOKUP(Main_L[[#This Row],[Industry]], Mean_ROA_L, 3, FALSE))</f>
        <v>6.0754673261404966</v>
      </c>
      <c r="S129" s="1">
        <f>(Main_L[[#This Row],[A/E]]-VLOOKUP(Main_L[[#This Row],[Industry]], Mean_AE_L, 2, FALSE))/(VLOOKUP(Main_L[[#This Row],[Industry]], Mean_AE_L, 3, FALSE))</f>
        <v>-1.4877465982796994</v>
      </c>
      <c r="T129" s="1">
        <f>(Main_L[[#This Row],[P/E]]-VLOOKUP(Main_L[[#This Row],[Industry]], Mean_PE_L, 2, FALSE))/(VLOOKUP(Main_L[[#This Row],[Industry]], Mean_PE_L, 3, FALSE))</f>
        <v>-0.34571334404756149</v>
      </c>
      <c r="U1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0" spans="1:26" x14ac:dyDescent="0.25">
      <c r="A130" t="s">
        <v>182</v>
      </c>
      <c r="B130" t="s">
        <v>187</v>
      </c>
      <c r="C130" s="2">
        <v>43535</v>
      </c>
      <c r="D130">
        <f>RTD("tos.rtd", , "LAST", Main_L[[#This Row],[Symbol]])</f>
        <v>213.83</v>
      </c>
      <c r="E130">
        <v>7.4</v>
      </c>
      <c r="F130">
        <v>27.89</v>
      </c>
      <c r="G130">
        <v>8.5299999999999994</v>
      </c>
      <c r="H130" s="1">
        <f>IF(ISNUMBER(Main_L[[#This Row],[Free CF]]),IF(Main_L[[#This Row],[Free CF]]&lt;&gt;0,Main_L[[#This Row],[Current Price]]/Main_L[[#This Row],[Free CF]],""),"")</f>
        <v>28.895945945945947</v>
      </c>
      <c r="I130" s="1">
        <f>IF(ISNUMBER(Main_L[[#This Row],[BVPS]]),IF(Main_L[[#This Row],[BVPS]]&lt;&gt;0,Main_L[[#This Row],[Current Price]]/Main_L[[#This Row],[BVPS]],""),"")</f>
        <v>7.6669057009680897</v>
      </c>
      <c r="J130">
        <v>32.57</v>
      </c>
      <c r="K130">
        <v>10.14</v>
      </c>
      <c r="L130">
        <v>2.95</v>
      </c>
      <c r="M130" s="1">
        <f>IF(ISNUMBER(Main_L[[#This Row],[EPS]]),IF(Main_L[[#This Row],[EPS]]&lt;&gt;0,Main_L[[#This Row],[Current Price]]/Main_L[[#This Row],[EPS]],""),"")</f>
        <v>25.067995310668234</v>
      </c>
      <c r="N1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0" s="1">
        <f>(Main_L[[#This Row],[P/FCF]]-VLOOKUP(Main_L[[#This Row],[Industry]], Mean_PFCF_L, 2, FALSE))/(VLOOKUP(Main_L[[#This Row],[Industry]], Mean_PFCF_L, 3, FALSE))</f>
        <v>0.51820711989843005</v>
      </c>
      <c r="P130" s="1">
        <f>(Main_L[[#This Row],[P/B]]-VLOOKUP(Main_L[[#This Row],[Industry]], Mean_PB_L, 2, FALSE))/(VLOOKUP(Main_L[[#This Row],[Industry]], Mean_PB_L, 3, FALSE))</f>
        <v>3.1333908129916268</v>
      </c>
      <c r="Q130" s="1">
        <f>(Main_L[[#This Row],[ROE]]-VLOOKUP(Main_L[[#This Row],[Industry]], Mean_ROE_L, 2, FALSE))/(VLOOKUP(Main_L[[#This Row],[Industry]], Mean_ROE_L, 3, FALSE))</f>
        <v>1.2111778319137945</v>
      </c>
      <c r="R130" s="1">
        <f>(Main_L[[#This Row],[ROA]]-VLOOKUP(Main_L[[#This Row],[Industry]], Mean_ROA_L, 2, FALSE))/(VLOOKUP(Main_L[[#This Row],[Industry]], Mean_ROA_L, 3, FALSE))</f>
        <v>0.60593804753210645</v>
      </c>
      <c r="S130" s="1">
        <f>(Main_L[[#This Row],[A/E]]-VLOOKUP(Main_L[[#This Row],[Industry]], Mean_AE_L, 2, FALSE))/(VLOOKUP(Main_L[[#This Row],[Industry]], Mean_AE_L, 3, FALSE))</f>
        <v>0.20544522458788744</v>
      </c>
      <c r="T130" s="1">
        <f>(Main_L[[#This Row],[P/E]]-VLOOKUP(Main_L[[#This Row],[Industry]], Mean_PE_L, 2, FALSE))/(VLOOKUP(Main_L[[#This Row],[Industry]], Mean_PE_L, 3, FALSE))</f>
        <v>9.93157545955696E-2</v>
      </c>
      <c r="U1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1" spans="1:26" x14ac:dyDescent="0.25">
      <c r="A131" t="s">
        <v>182</v>
      </c>
      <c r="B131" t="s">
        <v>188</v>
      </c>
      <c r="C131" s="2">
        <v>57717</v>
      </c>
      <c r="D131">
        <f>RTD("tos.rtd", , "LAST", Main_L[[#This Row],[Symbol]])</f>
        <v>1078.3599999999999</v>
      </c>
      <c r="E131">
        <v>38.25</v>
      </c>
      <c r="F131">
        <v>71.92</v>
      </c>
      <c r="G131">
        <v>36.880000000000003</v>
      </c>
      <c r="H131" s="1">
        <f>IF(ISNUMBER(Main_L[[#This Row],[Free CF]]),IF(Main_L[[#This Row],[Free CF]]&lt;&gt;0,Main_L[[#This Row],[Current Price]]/Main_L[[#This Row],[Free CF]],""),"")</f>
        <v>28.192418300653593</v>
      </c>
      <c r="I131" s="1">
        <f>IF(ISNUMBER(Main_L[[#This Row],[BVPS]]),IF(Main_L[[#This Row],[BVPS]]&lt;&gt;0,Main_L[[#This Row],[Current Price]]/Main_L[[#This Row],[BVPS]],""),"")</f>
        <v>14.993882091212457</v>
      </c>
      <c r="J131">
        <v>52.61</v>
      </c>
      <c r="K131">
        <v>18.87</v>
      </c>
      <c r="L131">
        <v>2.6</v>
      </c>
      <c r="M131" s="1">
        <f>IF(ISNUMBER(Main_L[[#This Row],[EPS]]),IF(Main_L[[#This Row],[EPS]]&lt;&gt;0,Main_L[[#This Row],[Current Price]]/Main_L[[#This Row],[EPS]],""),"")</f>
        <v>29.239696312364419</v>
      </c>
      <c r="N1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1" s="1">
        <f>(Main_L[[#This Row],[P/FCF]]-VLOOKUP(Main_L[[#This Row],[Industry]], Mean_PFCF_L, 2, FALSE))/(VLOOKUP(Main_L[[#This Row],[Industry]], Mean_PFCF_L, 3, FALSE))</f>
        <v>0.44005901776520617</v>
      </c>
      <c r="P131" s="1">
        <f>(Main_L[[#This Row],[P/B]]-VLOOKUP(Main_L[[#This Row],[Industry]], Mean_PB_L, 2, FALSE))/(VLOOKUP(Main_L[[#This Row],[Industry]], Mean_PB_L, 3, FALSE))</f>
        <v>16.955098190628696</v>
      </c>
      <c r="Q131" s="1">
        <f>(Main_L[[#This Row],[ROE]]-VLOOKUP(Main_L[[#This Row],[Industry]], Mean_ROE_L, 2, FALSE))/(VLOOKUP(Main_L[[#This Row],[Industry]], Mean_ROE_L, 3, FALSE))</f>
        <v>4.0823301313729035</v>
      </c>
      <c r="R131" s="1">
        <f>(Main_L[[#This Row],[ROA]]-VLOOKUP(Main_L[[#This Row],[Industry]], Mean_ROA_L, 2, FALSE))/(VLOOKUP(Main_L[[#This Row],[Industry]], Mean_ROA_L, 3, FALSE))</f>
        <v>5.2872116359881121</v>
      </c>
      <c r="S131" s="1">
        <f>(Main_L[[#This Row],[A/E]]-VLOOKUP(Main_L[[#This Row],[Industry]], Mean_AE_L, 2, FALSE))/(VLOOKUP(Main_L[[#This Row],[Industry]], Mean_AE_L, 3, FALSE))</f>
        <v>-0.15812357173337363</v>
      </c>
      <c r="T131" s="1">
        <f>(Main_L[[#This Row],[P/E]]-VLOOKUP(Main_L[[#This Row],[Industry]], Mean_PE_L, 2, FALSE))/(VLOOKUP(Main_L[[#This Row],[Industry]], Mean_PE_L, 3, FALSE))</f>
        <v>0.54013304874307511</v>
      </c>
      <c r="U1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2" spans="1:26" x14ac:dyDescent="0.25">
      <c r="A132" t="s">
        <v>182</v>
      </c>
      <c r="B132" t="s">
        <v>189</v>
      </c>
      <c r="C132" s="2">
        <v>56364</v>
      </c>
      <c r="D132">
        <f>RTD("tos.rtd", , "LAST", Main_L[[#This Row],[Symbol]])</f>
        <v>707.21</v>
      </c>
      <c r="E132">
        <v>33.659999999999997</v>
      </c>
      <c r="F132">
        <v>130.6</v>
      </c>
      <c r="G132">
        <v>38.25</v>
      </c>
      <c r="H132" s="1">
        <f>IF(ISNUMBER(Main_L[[#This Row],[Free CF]]),IF(Main_L[[#This Row],[Free CF]]&lt;&gt;0,Main_L[[#This Row],[Current Price]]/Main_L[[#This Row],[Free CF]],""),"")</f>
        <v>21.010398098633395</v>
      </c>
      <c r="I132" s="1">
        <f>IF(ISNUMBER(Main_L[[#This Row],[BVPS]]),IF(Main_L[[#This Row],[BVPS]]&lt;&gt;0,Main_L[[#This Row],[Current Price]]/Main_L[[#This Row],[BVPS]],""),"")</f>
        <v>5.4150842266462487</v>
      </c>
      <c r="J132">
        <v>31.4</v>
      </c>
      <c r="K132">
        <v>9.49</v>
      </c>
      <c r="L132">
        <v>3.31</v>
      </c>
      <c r="M132" s="1">
        <f>IF(ISNUMBER(Main_L[[#This Row],[EPS]]),IF(Main_L[[#This Row],[EPS]]&lt;&gt;0,Main_L[[#This Row],[Current Price]]/Main_L[[#This Row],[EPS]],""),"")</f>
        <v>18.489150326797386</v>
      </c>
      <c r="N1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2" s="1">
        <f>(Main_L[[#This Row],[P/FCF]]-VLOOKUP(Main_L[[#This Row],[Industry]], Mean_PFCF_L, 2, FALSE))/(VLOOKUP(Main_L[[#This Row],[Industry]], Mean_PFCF_L, 3, FALSE))</f>
        <v>-0.35772235163232091</v>
      </c>
      <c r="P132" s="1">
        <f>(Main_L[[#This Row],[P/B]]-VLOOKUP(Main_L[[#This Row],[Industry]], Mean_PB_L, 2, FALSE))/(VLOOKUP(Main_L[[#This Row],[Industry]], Mean_PB_L, 3, FALSE))</f>
        <v>-1.1144756775018316</v>
      </c>
      <c r="Q132" s="1">
        <f>(Main_L[[#This Row],[ROE]]-VLOOKUP(Main_L[[#This Row],[Industry]], Mean_ROE_L, 2, FALSE))/(VLOOKUP(Main_L[[#This Row],[Industry]], Mean_ROE_L, 3, FALSE))</f>
        <v>1.0435506767058522</v>
      </c>
      <c r="R132" s="1">
        <f>(Main_L[[#This Row],[ROA]]-VLOOKUP(Main_L[[#This Row],[Industry]], Mean_ROA_L, 2, FALSE))/(VLOOKUP(Main_L[[#This Row],[Industry]], Mean_ROA_L, 3, FALSE))</f>
        <v>0.25738961311098335</v>
      </c>
      <c r="S132" s="1">
        <f>(Main_L[[#This Row],[A/E]]-VLOOKUP(Main_L[[#This Row],[Industry]], Mean_AE_L, 2, FALSE))/(VLOOKUP(Main_L[[#This Row],[Industry]], Mean_AE_L, 3, FALSE))</f>
        <v>0.57940170080404141</v>
      </c>
      <c r="T132" s="1">
        <f>(Main_L[[#This Row],[P/E]]-VLOOKUP(Main_L[[#This Row],[Industry]], Mean_PE_L, 2, FALSE))/(VLOOKUP(Main_L[[#This Row],[Industry]], Mean_PE_L, 3, FALSE))</f>
        <v>-0.59586077968305895</v>
      </c>
      <c r="U1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3" spans="1:26" x14ac:dyDescent="0.25">
      <c r="A133" t="s">
        <v>182</v>
      </c>
      <c r="B133" t="s">
        <v>190</v>
      </c>
      <c r="C133" s="2">
        <v>10127</v>
      </c>
      <c r="D133">
        <f>RTD("tos.rtd", , "LAST", Main_L[[#This Row],[Symbol]])</f>
        <v>176.51</v>
      </c>
      <c r="E133">
        <v>14.69</v>
      </c>
      <c r="F133">
        <v>102.9</v>
      </c>
      <c r="G133">
        <v>12.46</v>
      </c>
      <c r="H133" s="1">
        <f>IF(ISNUMBER(Main_L[[#This Row],[Free CF]]),IF(Main_L[[#This Row],[Free CF]]&lt;&gt;0,Main_L[[#This Row],[Current Price]]/Main_L[[#This Row],[Free CF]],""),"")</f>
        <v>12.015656909462219</v>
      </c>
      <c r="I133" s="1">
        <f>IF(ISNUMBER(Main_L[[#This Row],[BVPS]]),IF(Main_L[[#This Row],[BVPS]]&lt;&gt;0,Main_L[[#This Row],[Current Price]]/Main_L[[#This Row],[BVPS]],""),"")</f>
        <v>1.7153547133138969</v>
      </c>
      <c r="J133">
        <v>14.03</v>
      </c>
      <c r="K133">
        <v>5.36</v>
      </c>
      <c r="L133">
        <v>3.03</v>
      </c>
      <c r="M133" s="1">
        <f>IF(ISNUMBER(Main_L[[#This Row],[EPS]]),IF(Main_L[[#This Row],[EPS]]&lt;&gt;0,Main_L[[#This Row],[Current Price]]/Main_L[[#This Row],[EPS]],""),"")</f>
        <v>14.1661316211878</v>
      </c>
      <c r="N1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3" s="1">
        <f>(Main_L[[#This Row],[P/FCF]]-VLOOKUP(Main_L[[#This Row],[Industry]], Mean_PFCF_L, 2, FALSE))/(VLOOKUP(Main_L[[#This Row],[Industry]], Mean_PFCF_L, 3, FALSE))</f>
        <v>-1.3568614157712471</v>
      </c>
      <c r="P133" s="1">
        <f>(Main_L[[#This Row],[P/B]]-VLOOKUP(Main_L[[#This Row],[Industry]], Mean_PB_L, 2, FALSE))/(VLOOKUP(Main_L[[#This Row],[Industry]], Mean_PB_L, 3, FALSE))</f>
        <v>-8.0936954792435269</v>
      </c>
      <c r="Q133" s="1">
        <f>(Main_L[[#This Row],[ROE]]-VLOOKUP(Main_L[[#This Row],[Industry]], Mean_ROE_L, 2, FALSE))/(VLOOKUP(Main_L[[#This Row],[Industry]], Mean_ROE_L, 3, FALSE))</f>
        <v>-1.4450678583043635</v>
      </c>
      <c r="R133" s="1">
        <f>(Main_L[[#This Row],[ROA]]-VLOOKUP(Main_L[[#This Row],[Industry]], Mean_ROA_L, 2, FALSE))/(VLOOKUP(Main_L[[#This Row],[Industry]], Mean_ROA_L, 3, FALSE))</f>
        <v>-1.9572335163647669</v>
      </c>
      <c r="S133" s="1">
        <f>(Main_L[[#This Row],[A/E]]-VLOOKUP(Main_L[[#This Row],[Industry]], Mean_AE_L, 2, FALSE))/(VLOOKUP(Main_L[[#This Row],[Industry]], Mean_AE_L, 3, FALSE))</f>
        <v>0.28854666374703242</v>
      </c>
      <c r="T133" s="1">
        <f>(Main_L[[#This Row],[P/E]]-VLOOKUP(Main_L[[#This Row],[Industry]], Mean_PE_L, 2, FALSE))/(VLOOKUP(Main_L[[#This Row],[Industry]], Mean_PE_L, 3, FALSE))</f>
        <v>-1.0526675852477532</v>
      </c>
      <c r="U1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4" spans="1:26" x14ac:dyDescent="0.25">
      <c r="A134" t="s">
        <v>182</v>
      </c>
      <c r="B134" t="s">
        <v>191</v>
      </c>
      <c r="C134" s="2">
        <v>21273</v>
      </c>
      <c r="D134">
        <f>RTD("tos.rtd", , "LAST", Main_L[[#This Row],[Symbol]])</f>
        <v>444.48</v>
      </c>
      <c r="E134">
        <v>17.78</v>
      </c>
      <c r="F134">
        <v>71.63</v>
      </c>
      <c r="G134">
        <v>13.03</v>
      </c>
      <c r="H134" s="1">
        <f>IF(ISNUMBER(Main_L[[#This Row],[Free CF]]),IF(Main_L[[#This Row],[Free CF]]&lt;&gt;0,Main_L[[#This Row],[Current Price]]/Main_L[[#This Row],[Free CF]],""),"")</f>
        <v>24.998875140607424</v>
      </c>
      <c r="I134" s="1">
        <f>IF(ISNUMBER(Main_L[[#This Row],[BVPS]]),IF(Main_L[[#This Row],[BVPS]]&lt;&gt;0,Main_L[[#This Row],[Current Price]]/Main_L[[#This Row],[BVPS]],""),"")</f>
        <v>6.2052212760016756</v>
      </c>
      <c r="J134">
        <v>21.22</v>
      </c>
      <c r="K134">
        <v>10.53</v>
      </c>
      <c r="L134">
        <v>1.68</v>
      </c>
      <c r="M134" s="1">
        <f>IF(ISNUMBER(Main_L[[#This Row],[EPS]]),IF(Main_L[[#This Row],[EPS]]&lt;&gt;0,Main_L[[#This Row],[Current Price]]/Main_L[[#This Row],[EPS]],""),"")</f>
        <v>34.112049117421336</v>
      </c>
      <c r="N1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4" s="1">
        <f>(Main_L[[#This Row],[P/FCF]]-VLOOKUP(Main_L[[#This Row],[Industry]], Mean_PFCF_L, 2, FALSE))/(VLOOKUP(Main_L[[#This Row],[Industry]], Mean_PFCF_L, 3, FALSE))</f>
        <v>8.5319102840559546E-2</v>
      </c>
      <c r="P134" s="1">
        <f>(Main_L[[#This Row],[P/B]]-VLOOKUP(Main_L[[#This Row],[Industry]], Mean_PB_L, 2, FALSE))/(VLOOKUP(Main_L[[#This Row],[Industry]], Mean_PB_L, 3, FALSE))</f>
        <v>0.37604954091722947</v>
      </c>
      <c r="Q134" s="1">
        <f>(Main_L[[#This Row],[ROE]]-VLOOKUP(Main_L[[#This Row],[Industry]], Mean_ROE_L, 2, FALSE))/(VLOOKUP(Main_L[[#This Row],[Industry]], Mean_ROE_L, 3, FALSE))</f>
        <v>-0.41494884467607035</v>
      </c>
      <c r="R134" s="1">
        <f>(Main_L[[#This Row],[ROA]]-VLOOKUP(Main_L[[#This Row],[Industry]], Mean_ROA_L, 2, FALSE))/(VLOOKUP(Main_L[[#This Row],[Industry]], Mean_ROA_L, 3, FALSE))</f>
        <v>0.81506710818477957</v>
      </c>
      <c r="S134" s="1">
        <f>(Main_L[[#This Row],[A/E]]-VLOOKUP(Main_L[[#This Row],[Industry]], Mean_AE_L, 2, FALSE))/(VLOOKUP(Main_L[[#This Row],[Industry]], Mean_AE_L, 3, FALSE))</f>
        <v>-1.1137901220635453</v>
      </c>
      <c r="T134" s="1">
        <f>(Main_L[[#This Row],[P/E]]-VLOOKUP(Main_L[[#This Row],[Industry]], Mean_PE_L, 2, FALSE))/(VLOOKUP(Main_L[[#This Row],[Industry]], Mean_PE_L, 3, FALSE))</f>
        <v>1.054987152329097</v>
      </c>
      <c r="U1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68"/>
  <sheetViews>
    <sheetView topLeftCell="H1"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252</v>
      </c>
      <c r="C2" s="2">
        <v>3562</v>
      </c>
      <c r="D2">
        <f>RTD("tos.rtd", , "LAST", Main_M[[#This Row],[Symbol]])</f>
        <v>11.26</v>
      </c>
      <c r="E2">
        <v>-1.22</v>
      </c>
      <c r="F2">
        <v>1.1000000000000001</v>
      </c>
      <c r="G2">
        <v>-1.32</v>
      </c>
      <c r="H2" s="1">
        <f>IF(ISNUMBER(Main_M[[#This Row],[Free CF]]),IF(Main_M[[#This Row],[Free CF]]&lt;&gt;0,Main_M[[#This Row],[Current Price]]/Main_M[[#This Row],[Free CF]],""),"")</f>
        <v>-9.2295081967213122</v>
      </c>
      <c r="I2" s="1">
        <f>IF(ISNUMBER(Main_M[[#This Row],[BVPS]]),IF(Main_M[[#This Row],[BVPS]]&lt;&gt;0,Main_M[[#This Row],[Current Price]]/Main_M[[#This Row],[BVPS]],""),"")</f>
        <v>10.236363636363635</v>
      </c>
      <c r="J2">
        <v>-107.62</v>
      </c>
      <c r="K2">
        <v>-51.72</v>
      </c>
      <c r="L2">
        <v>1.39</v>
      </c>
      <c r="M2" s="1">
        <f>IF(ISNUMBER(Main_M[[#This Row],[EPS]]),IF(Main_M[[#This Row],[EPS]]&lt;&gt;0,Main_M[[#This Row],[Current Price]]/Main_M[[#This Row],[EPS]],""),"")</f>
        <v>-8.5303030303030294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-1.3351623768460159</v>
      </c>
      <c r="P2" s="1">
        <f>(Main_M[[#This Row],[P/B]]-VLOOKUP(Main_M[[#This Row],[Industry]], Mean_PB_M, 2, FALSE))/(VLOOKUP(Main_M[[#This Row],[Industry]], Mean_PB_M, 3, FALSE))</f>
        <v>1.7482639628443741</v>
      </c>
      <c r="Q2" s="1">
        <f>(Main_M[[#This Row],[ROE]]-VLOOKUP(Main_M[[#This Row],[Industry]], Mean_ROE_M, 2, FALSE))/(VLOOKUP(Main_M[[#This Row],[Industry]], Mean_ROE_M, 3, FALSE))</f>
        <v>-10.528009733889263</v>
      </c>
      <c r="R2" s="1">
        <f>(Main_M[[#This Row],[ROA]]-VLOOKUP(Main_M[[#This Row],[Industry]], Mean_ROA_M, 2, FALSE))/(VLOOKUP(Main_M[[#This Row],[Industry]], Mean_ROA_M, 3, FALSE))</f>
        <v>-26.393342373237669</v>
      </c>
      <c r="S2" s="1">
        <f>(Main_M[[#This Row],[A/E]]-VLOOKUP(Main_M[[#This Row],[Industry]], Mean_AE_M, 2, FALSE))/(VLOOKUP(Main_M[[#This Row],[Industry]], Mean_AE_M, 3, FALSE))</f>
        <v>-0.94279528346975017</v>
      </c>
      <c r="T2" s="1">
        <f>(Main_M[[#This Row],[P/E]]-VLOOKUP(Main_M[[#This Row],[Industry]], Mean_PE_M, 2, FALSE))/(VLOOKUP(Main_M[[#This Row],[Industry]], Mean_PE_M, 3, FALSE))</f>
        <v>-0.86900483969098741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105</v>
      </c>
      <c r="B3" t="s">
        <v>253</v>
      </c>
      <c r="C3" s="2">
        <v>2428</v>
      </c>
      <c r="D3">
        <f>RTD("tos.rtd", , "LAST", Main_M[[#This Row],[Symbol]])</f>
        <v>67.349999999999994</v>
      </c>
      <c r="E3">
        <v>0.43</v>
      </c>
      <c r="F3">
        <v>34.31</v>
      </c>
      <c r="G3">
        <v>1.81</v>
      </c>
      <c r="H3" s="1">
        <f>IF(ISNUMBER(Main_M[[#This Row],[Free CF]]),IF(Main_M[[#This Row],[Free CF]]&lt;&gt;0,Main_M[[#This Row],[Current Price]]/Main_M[[#This Row],[Free CF]],""),"")</f>
        <v>156.62790697674419</v>
      </c>
      <c r="I3" s="1">
        <f>IF(ISNUMBER(Main_M[[#This Row],[BVPS]]),IF(Main_M[[#This Row],[BVPS]]&lt;&gt;0,Main_M[[#This Row],[Current Price]]/Main_M[[#This Row],[BVPS]],""),"")</f>
        <v>1.9629845526085687</v>
      </c>
      <c r="J3">
        <v>5.57</v>
      </c>
      <c r="K3">
        <v>4.37</v>
      </c>
      <c r="L3">
        <v>2.2999999999999998</v>
      </c>
      <c r="M3" s="1">
        <f>IF(ISNUMBER(Main_M[[#This Row],[EPS]]),IF(Main_M[[#This Row],[EPS]]&lt;&gt;0,Main_M[[#This Row],[Current Price]]/Main_M[[#This Row],[EPS]],""),"")</f>
        <v>37.209944751381208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0.9830618696256489</v>
      </c>
      <c r="P3" s="1">
        <f>(Main_M[[#This Row],[P/B]]-VLOOKUP(Main_M[[#This Row],[Industry]], Mean_PB_M, 2, FALSE))/(VLOOKUP(Main_M[[#This Row],[Industry]], Mean_PB_M, 3, FALSE))</f>
        <v>-0.36513936619287496</v>
      </c>
      <c r="Q3" s="1">
        <f>(Main_M[[#This Row],[ROE]]-VLOOKUP(Main_M[[#This Row],[Industry]], Mean_ROE_M, 2, FALSE))/(VLOOKUP(Main_M[[#This Row],[Industry]], Mean_ROE_M, 3, FALSE))</f>
        <v>0.33799260750653209</v>
      </c>
      <c r="R3" s="1">
        <f>(Main_M[[#This Row],[ROA]]-VLOOKUP(Main_M[[#This Row],[Industry]], Mean_ROA_M, 2, FALSE))/(VLOOKUP(Main_M[[#This Row],[Industry]], Mean_ROA_M, 3, FALSE))</f>
        <v>0.51939813878161689</v>
      </c>
      <c r="S3" s="1">
        <f>(Main_M[[#This Row],[A/E]]-VLOOKUP(Main_M[[#This Row],[Industry]], Mean_AE_M, 2, FALSE))/(VLOOKUP(Main_M[[#This Row],[Industry]], Mean_AE_M, 3, FALSE))</f>
        <v>1.0854404327417677</v>
      </c>
      <c r="T3" s="1">
        <f>(Main_M[[#This Row],[P/E]]-VLOOKUP(Main_M[[#This Row],[Industry]], Mean_PE_M, 2, FALSE))/(VLOOKUP(Main_M[[#This Row],[Industry]], Mean_PE_M, 3, FALSE))</f>
        <v>0.40660114228213268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105</v>
      </c>
      <c r="B4" t="s">
        <v>254</v>
      </c>
      <c r="C4" s="2">
        <v>4607</v>
      </c>
      <c r="D4">
        <f>RTD("tos.rtd", , "LAST", Main_M[[#This Row],[Symbol]])</f>
        <v>195.72</v>
      </c>
      <c r="E4">
        <v>1.24</v>
      </c>
      <c r="F4">
        <v>30.19</v>
      </c>
      <c r="G4">
        <v>2.11</v>
      </c>
      <c r="H4" s="1">
        <f>IF(ISNUMBER(Main_M[[#This Row],[Free CF]]),IF(Main_M[[#This Row],[Free CF]]&lt;&gt;0,Main_M[[#This Row],[Current Price]]/Main_M[[#This Row],[Free CF]],""),"")</f>
        <v>157.83870967741936</v>
      </c>
      <c r="I4" s="1">
        <f>IF(ISNUMBER(Main_M[[#This Row],[BVPS]]),IF(Main_M[[#This Row],[BVPS]]&lt;&gt;0,Main_M[[#This Row],[Current Price]]/Main_M[[#This Row],[BVPS]],""),"")</f>
        <v>6.4829413713150048</v>
      </c>
      <c r="J4">
        <v>8.3000000000000007</v>
      </c>
      <c r="K4">
        <v>4.82</v>
      </c>
      <c r="L4">
        <v>1.18</v>
      </c>
      <c r="M4" s="1">
        <f>IF(ISNUMBER(Main_M[[#This Row],[EPS]]),IF(Main_M[[#This Row],[EPS]]&lt;&gt;0,Main_M[[#This Row],[Current Price]]/Main_M[[#This Row],[EPS]],""),"")</f>
        <v>92.758293838862571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0.99998551561074334</v>
      </c>
      <c r="P4" s="1">
        <f>(Main_M[[#This Row],[P/B]]-VLOOKUP(Main_M[[#This Row],[Industry]], Mean_PB_M, 2, FALSE))/(VLOOKUP(Main_M[[#This Row],[Industry]], Mean_PB_M, 3, FALSE))</f>
        <v>0.78946647152526994</v>
      </c>
      <c r="Q4" s="1">
        <f>(Main_M[[#This Row],[ROE]]-VLOOKUP(Main_M[[#This Row],[Industry]], Mean_ROE_M, 2, FALSE))/(VLOOKUP(Main_M[[#This Row],[Industry]], Mean_ROE_M, 3, FALSE))</f>
        <v>0.60006687548082771</v>
      </c>
      <c r="R4" s="1">
        <f>(Main_M[[#This Row],[ROA]]-VLOOKUP(Main_M[[#This Row],[Industry]], Mean_ROA_M, 2, FALSE))/(VLOOKUP(Main_M[[#This Row],[Industry]], Mean_ROA_M, 3, FALSE))</f>
        <v>0.7353142241873698</v>
      </c>
      <c r="S4" s="1">
        <f>(Main_M[[#This Row],[A/E]]-VLOOKUP(Main_M[[#This Row],[Industry]], Mean_AE_M, 2, FALSE))/(VLOOKUP(Main_M[[#This Row],[Industry]], Mean_AE_M, 3, FALSE))</f>
        <v>-1.4108496795185619</v>
      </c>
      <c r="T4" s="1">
        <f>(Main_M[[#This Row],[P/E]]-VLOOKUP(Main_M[[#This Row],[Industry]], Mean_PE_M, 2, FALSE))/(VLOOKUP(Main_M[[#This Row],[Industry]], Mean_PE_M, 3, FALSE))</f>
        <v>1.9557358720046925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105</v>
      </c>
      <c r="B5" t="s">
        <v>255</v>
      </c>
      <c r="C5" s="2">
        <v>7463</v>
      </c>
      <c r="D5">
        <f>RTD("tos.rtd", , "LAST", Main_M[[#This Row],[Symbol]])</f>
        <v>77.48</v>
      </c>
      <c r="E5">
        <v>0.43</v>
      </c>
      <c r="F5">
        <v>-23.75</v>
      </c>
      <c r="G5">
        <v>4.3899999999999997</v>
      </c>
      <c r="H5" s="1">
        <f>IF(ISNUMBER(Main_M[[#This Row],[Free CF]]),IF(Main_M[[#This Row],[Free CF]]&lt;&gt;0,Main_M[[#This Row],[Current Price]]/Main_M[[#This Row],[Free CF]],""),"")</f>
        <v>180.18604651162792</v>
      </c>
      <c r="I5" s="1">
        <f>IF(ISNUMBER(Main_M[[#This Row],[BVPS]]),IF(Main_M[[#This Row],[BVPS]]&lt;&gt;0,Main_M[[#This Row],[Current Price]]/Main_M[[#This Row],[BVPS]],""),"")</f>
        <v>-3.2623157894736843</v>
      </c>
      <c r="J5">
        <v>-20.64</v>
      </c>
      <c r="K5">
        <v>4.1500000000000004</v>
      </c>
      <c r="L5">
        <v>-5.41</v>
      </c>
      <c r="M5" s="1">
        <f>IF(ISNUMBER(Main_M[[#This Row],[EPS]]),IF(Main_M[[#This Row],[EPS]]&lt;&gt;0,Main_M[[#This Row],[Current Price]]/Main_M[[#This Row],[EPS]],""),"")</f>
        <v>17.649202733485197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1.3123389792104809</v>
      </c>
      <c r="P5" s="1">
        <f>(Main_M[[#This Row],[P/B]]-VLOOKUP(Main_M[[#This Row],[Industry]], Mean_PB_M, 2, FALSE))/(VLOOKUP(Main_M[[#This Row],[Industry]], Mean_PB_M, 3, FALSE))</f>
        <v>-1.6999225335518533</v>
      </c>
      <c r="Q5" s="1">
        <f>(Main_M[[#This Row],[ROE]]-VLOOKUP(Main_M[[#This Row],[Industry]], Mean_ROE_M, 2, FALSE))/(VLOOKUP(Main_M[[#This Row],[Industry]], Mean_ROE_M, 3, FALSE))</f>
        <v>-2.1781123608474195</v>
      </c>
      <c r="R5" s="1">
        <f>(Main_M[[#This Row],[ROA]]-VLOOKUP(Main_M[[#This Row],[Industry]], Mean_ROA_M, 2, FALSE))/(VLOOKUP(Main_M[[#This Row],[Industry]], Mean_ROA_M, 3, FALSE))</f>
        <v>0.41383916369436002</v>
      </c>
      <c r="S5" s="1">
        <f>(Main_M[[#This Row],[A/E]]-VLOOKUP(Main_M[[#This Row],[Industry]], Mean_AE_M, 2, FALSE))/(VLOOKUP(Main_M[[#This Row],[Industry]], Mean_AE_M, 3, FALSE))</f>
        <v>-16.098842393621755</v>
      </c>
      <c r="T5" s="1">
        <f>(Main_M[[#This Row],[P/E]]-VLOOKUP(Main_M[[#This Row],[Industry]], Mean_PE_M, 2, FALSE))/(VLOOKUP(Main_M[[#This Row],[Industry]], Mean_PE_M, 3, FALSE))</f>
        <v>-0.13890966581306433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105</v>
      </c>
      <c r="B6" t="s">
        <v>256</v>
      </c>
      <c r="C6" s="2">
        <v>7490</v>
      </c>
      <c r="D6">
        <f>RTD("tos.rtd", , "LAST", Main_M[[#This Row],[Symbol]])</f>
        <v>27.25</v>
      </c>
      <c r="E6">
        <v>0.3</v>
      </c>
      <c r="F6">
        <v>10.17</v>
      </c>
      <c r="G6">
        <v>-0.8</v>
      </c>
      <c r="H6" s="1">
        <f>IF(ISNUMBER(Main_M[[#This Row],[Free CF]]),IF(Main_M[[#This Row],[Free CF]]&lt;&gt;0,Main_M[[#This Row],[Current Price]]/Main_M[[#This Row],[Free CF]],""),"")</f>
        <v>90.833333333333343</v>
      </c>
      <c r="I6" s="1">
        <f>IF(ISNUMBER(Main_M[[#This Row],[BVPS]]),IF(Main_M[[#This Row],[BVPS]]&lt;&gt;0,Main_M[[#This Row],[Current Price]]/Main_M[[#This Row],[BVPS]],""),"")</f>
        <v>2.6794493608652901</v>
      </c>
      <c r="J6">
        <v>-7.37</v>
      </c>
      <c r="K6">
        <v>2.79</v>
      </c>
      <c r="L6">
        <v>2.31</v>
      </c>
      <c r="M6" s="1">
        <f>IF(ISNUMBER(Main_M[[#This Row],[EPS]]),IF(Main_M[[#This Row],[EPS]]&lt;&gt;0,Main_M[[#This Row],[Current Price]]/Main_M[[#This Row],[EPS]],""),"")</f>
        <v>-34.0625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6.3437168210295158E-2</v>
      </c>
      <c r="P6" s="1">
        <f>(Main_M[[#This Row],[P/B]]-VLOOKUP(Main_M[[#This Row],[Industry]], Mean_PB_M, 2, FALSE))/(VLOOKUP(Main_M[[#This Row],[Industry]], Mean_PB_M, 3, FALSE))</f>
        <v>-0.18212114648130534</v>
      </c>
      <c r="Q6" s="1">
        <f>(Main_M[[#This Row],[ROE]]-VLOOKUP(Main_M[[#This Row],[Industry]], Mean_ROE_M, 2, FALSE))/(VLOOKUP(Main_M[[#This Row],[Industry]], Mean_ROE_M, 3, FALSE))</f>
        <v>-0.9042202231115577</v>
      </c>
      <c r="R6" s="1">
        <f>(Main_M[[#This Row],[ROA]]-VLOOKUP(Main_M[[#This Row],[Industry]], Mean_ROA_M, 2, FALSE))/(VLOOKUP(Main_M[[#This Row],[Industry]], Mean_ROA_M, 3, FALSE))</f>
        <v>-0.23870722775413772</v>
      </c>
      <c r="S6" s="1">
        <f>(Main_M[[#This Row],[A/E]]-VLOOKUP(Main_M[[#This Row],[Industry]], Mean_AE_M, 2, FALSE))/(VLOOKUP(Main_M[[#This Row],[Industry]], Mean_AE_M, 3, FALSE))</f>
        <v>1.1077287373155211</v>
      </c>
      <c r="T6" s="1">
        <f>(Main_M[[#This Row],[P/E]]-VLOOKUP(Main_M[[#This Row],[Industry]], Mean_PE_M, 2, FALSE))/(VLOOKUP(Main_M[[#This Row],[Industry]], Mean_PE_M, 3, FALSE))</f>
        <v>-1.581047838297196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105</v>
      </c>
      <c r="B7" t="s">
        <v>257</v>
      </c>
      <c r="C7" s="2">
        <v>9796</v>
      </c>
      <c r="D7">
        <f>RTD("tos.rtd", , "LAST", Main_M[[#This Row],[Symbol]])</f>
        <v>44.54</v>
      </c>
      <c r="E7">
        <v>1.02</v>
      </c>
      <c r="F7">
        <v>9.36</v>
      </c>
      <c r="G7">
        <v>0.74</v>
      </c>
      <c r="H7" s="1">
        <f>IF(ISNUMBER(Main_M[[#This Row],[Free CF]]),IF(Main_M[[#This Row],[Free CF]]&lt;&gt;0,Main_M[[#This Row],[Current Price]]/Main_M[[#This Row],[Free CF]],""),"")</f>
        <v>43.666666666666664</v>
      </c>
      <c r="I7" s="1">
        <f>IF(ISNUMBER(Main_M[[#This Row],[BVPS]]),IF(Main_M[[#This Row],[BVPS]]&lt;&gt;0,Main_M[[#This Row],[Current Price]]/Main_M[[#This Row],[BVPS]],""),"")</f>
        <v>4.7585470085470085</v>
      </c>
      <c r="J7">
        <v>8.4</v>
      </c>
      <c r="K7">
        <v>4.7699999999999996</v>
      </c>
      <c r="L7">
        <v>1.56</v>
      </c>
      <c r="M7" s="1">
        <f>IF(ISNUMBER(Main_M[[#This Row],[EPS]]),IF(Main_M[[#This Row],[EPS]]&lt;&gt;0,Main_M[[#This Row],[Current Price]]/Main_M[[#This Row],[EPS]],""),"")</f>
        <v>60.189189189189186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-0.59582132908121843</v>
      </c>
      <c r="P7" s="1">
        <f>(Main_M[[#This Row],[P/B]]-VLOOKUP(Main_M[[#This Row],[Industry]], Mean_PB_M, 2, FALSE))/(VLOOKUP(Main_M[[#This Row],[Industry]], Mean_PB_M, 3, FALSE))</f>
        <v>0.34897646738625004</v>
      </c>
      <c r="Q7" s="1">
        <f>(Main_M[[#This Row],[ROE]]-VLOOKUP(Main_M[[#This Row],[Industry]], Mean_ROE_M, 2, FALSE))/(VLOOKUP(Main_M[[#This Row],[Industry]], Mean_ROE_M, 3, FALSE))</f>
        <v>0.60966666551651616</v>
      </c>
      <c r="R7" s="1">
        <f>(Main_M[[#This Row],[ROA]]-VLOOKUP(Main_M[[#This Row],[Industry]], Mean_ROA_M, 2, FALSE))/(VLOOKUP(Main_M[[#This Row],[Industry]], Mean_ROA_M, 3, FALSE))</f>
        <v>0.7113235480311747</v>
      </c>
      <c r="S7" s="1">
        <f>(Main_M[[#This Row],[A/E]]-VLOOKUP(Main_M[[#This Row],[Industry]], Mean_AE_M, 2, FALSE))/(VLOOKUP(Main_M[[#This Row],[Industry]], Mean_AE_M, 3, FALSE))</f>
        <v>-0.56389410571594978</v>
      </c>
      <c r="T7" s="1">
        <f>(Main_M[[#This Row],[P/E]]-VLOOKUP(Main_M[[#This Row],[Industry]], Mean_PE_M, 2, FALSE))/(VLOOKUP(Main_M[[#This Row],[Industry]], Mean_PE_M, 3, FALSE))</f>
        <v>1.0474472917388915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105</v>
      </c>
      <c r="B8" t="s">
        <v>258</v>
      </c>
      <c r="C8" s="2">
        <v>6950</v>
      </c>
      <c r="D8">
        <f>RTD("tos.rtd", , "LAST", Main_M[[#This Row],[Symbol]])</f>
        <v>48.37</v>
      </c>
      <c r="E8">
        <v>0.14000000000000001</v>
      </c>
      <c r="F8">
        <v>4.2699999999999996</v>
      </c>
      <c r="G8">
        <v>0.65</v>
      </c>
      <c r="H8" s="1">
        <f>IF(ISNUMBER(Main_M[[#This Row],[Free CF]]),IF(Main_M[[#This Row],[Free CF]]&lt;&gt;0,Main_M[[#This Row],[Current Price]]/Main_M[[#This Row],[Free CF]],""),"")</f>
        <v>345.49999999999994</v>
      </c>
      <c r="I8" s="1">
        <f>IF(ISNUMBER(Main_M[[#This Row],[BVPS]]),IF(Main_M[[#This Row],[BVPS]]&lt;&gt;0,Main_M[[#This Row],[Current Price]]/Main_M[[#This Row],[BVPS]],""),"")</f>
        <v>11.327868852459018</v>
      </c>
      <c r="J8">
        <v>16.43</v>
      </c>
      <c r="K8">
        <v>2.34</v>
      </c>
      <c r="L8">
        <v>3.72</v>
      </c>
      <c r="M8" s="1">
        <f>IF(ISNUMBER(Main_M[[#This Row],[EPS]]),IF(Main_M[[#This Row],[EPS]]&lt;&gt;0,Main_M[[#This Row],[Current Price]]/Main_M[[#This Row],[EPS]],""),"")</f>
        <v>74.41538461538461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3.622967146519243</v>
      </c>
      <c r="P8" s="1">
        <f>(Main_M[[#This Row],[P/B]]-VLOOKUP(Main_M[[#This Row],[Industry]], Mean_PB_M, 2, FALSE))/(VLOOKUP(Main_M[[#This Row],[Industry]], Mean_PB_M, 3, FALSE))</f>
        <v>2.0270848332535314</v>
      </c>
      <c r="Q8" s="1">
        <f>(Main_M[[#This Row],[ROE]]-VLOOKUP(Main_M[[#This Row],[Industry]], Mean_ROE_M, 2, FALSE))/(VLOOKUP(Main_M[[#This Row],[Industry]], Mean_ROE_M, 3, FALSE))</f>
        <v>1.3805298053823014</v>
      </c>
      <c r="R8" s="1">
        <f>(Main_M[[#This Row],[ROA]]-VLOOKUP(Main_M[[#This Row],[Industry]], Mean_ROA_M, 2, FALSE))/(VLOOKUP(Main_M[[#This Row],[Industry]], Mean_ROA_M, 3, FALSE))</f>
        <v>-0.45462331315989069</v>
      </c>
      <c r="S8" s="1">
        <f>(Main_M[[#This Row],[A/E]]-VLOOKUP(Main_M[[#This Row],[Industry]], Mean_AE_M, 2, FALSE))/(VLOOKUP(Main_M[[#This Row],[Industry]], Mean_AE_M, 3, FALSE))</f>
        <v>4.2503796822146871</v>
      </c>
      <c r="T8" s="1">
        <f>(Main_M[[#This Row],[P/E]]-VLOOKUP(Main_M[[#This Row],[Industry]], Mean_PE_M, 2, FALSE))/(VLOOKUP(Main_M[[#This Row],[Industry]], Mean_PE_M, 3, FALSE))</f>
        <v>1.4441880368478441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105</v>
      </c>
      <c r="B9" t="s">
        <v>259</v>
      </c>
      <c r="C9" s="2">
        <v>7354</v>
      </c>
      <c r="D9">
        <f>RTD("tos.rtd", , "LAST", Main_M[[#This Row],[Symbol]])</f>
        <v>228.07</v>
      </c>
      <c r="E9">
        <v>4.63</v>
      </c>
      <c r="F9">
        <v>107.41</v>
      </c>
      <c r="G9">
        <v>17.73</v>
      </c>
      <c r="H9" s="1">
        <f>IF(ISNUMBER(Main_M[[#This Row],[Free CF]]),IF(Main_M[[#This Row],[Free CF]]&lt;&gt;0,Main_M[[#This Row],[Current Price]]/Main_M[[#This Row],[Free CF]],""),"")</f>
        <v>49.259179265658744</v>
      </c>
      <c r="I9" s="1">
        <f>IF(ISNUMBER(Main_M[[#This Row],[BVPS]]),IF(Main_M[[#This Row],[BVPS]]&lt;&gt;0,Main_M[[#This Row],[Current Price]]/Main_M[[#This Row],[BVPS]],""),"")</f>
        <v>2.1233590913322784</v>
      </c>
      <c r="J9">
        <v>17.670000000000002</v>
      </c>
      <c r="K9">
        <v>4.2699999999999996</v>
      </c>
      <c r="L9">
        <v>2.64</v>
      </c>
      <c r="M9" s="1">
        <f>IF(ISNUMBER(Main_M[[#This Row],[EPS]]),IF(Main_M[[#This Row],[EPS]]&lt;&gt;0,Main_M[[#This Row],[Current Price]]/Main_M[[#This Row],[EPS]],""),"")</f>
        <v>12.86350817822899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-0.51765359511453202</v>
      </c>
      <c r="P9" s="1">
        <f>(Main_M[[#This Row],[P/B]]-VLOOKUP(Main_M[[#This Row],[Industry]], Mean_PB_M, 2, FALSE))/(VLOOKUP(Main_M[[#This Row],[Industry]], Mean_PB_M, 3, FALSE))</f>
        <v>-0.32417229813032133</v>
      </c>
      <c r="Q9" s="1">
        <f>(Main_M[[#This Row],[ROE]]-VLOOKUP(Main_M[[#This Row],[Industry]], Mean_ROE_M, 2, FALSE))/(VLOOKUP(Main_M[[#This Row],[Industry]], Mean_ROE_M, 3, FALSE))</f>
        <v>1.4995672018248387</v>
      </c>
      <c r="R9" s="1">
        <f>(Main_M[[#This Row],[ROA]]-VLOOKUP(Main_M[[#This Row],[Industry]], Mean_ROA_M, 2, FALSE))/(VLOOKUP(Main_M[[#This Row],[Industry]], Mean_ROA_M, 3, FALSE))</f>
        <v>0.47141678646922708</v>
      </c>
      <c r="S9" s="1">
        <f>(Main_M[[#This Row],[A/E]]-VLOOKUP(Main_M[[#This Row],[Industry]], Mean_AE_M, 2, FALSE))/(VLOOKUP(Main_M[[#This Row],[Industry]], Mean_AE_M, 3, FALSE))</f>
        <v>1.8432427882493685</v>
      </c>
      <c r="T9" s="1">
        <f>(Main_M[[#This Row],[P/E]]-VLOOKUP(Main_M[[#This Row],[Industry]], Mean_PE_M, 2, FALSE))/(VLOOKUP(Main_M[[#This Row],[Industry]], Mean_PE_M, 3, FALSE))</f>
        <v>-0.27237331978621782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105</v>
      </c>
      <c r="B10" t="s">
        <v>260</v>
      </c>
      <c r="C10" s="2">
        <v>5067</v>
      </c>
      <c r="D10">
        <f>RTD("tos.rtd", , "LAST", Main_M[[#This Row],[Symbol]])</f>
        <v>57.32</v>
      </c>
      <c r="E10">
        <v>2.46</v>
      </c>
      <c r="F10">
        <v>19.62</v>
      </c>
      <c r="G10">
        <v>1.3</v>
      </c>
      <c r="H10" s="1">
        <f>IF(ISNUMBER(Main_M[[#This Row],[Free CF]]),IF(Main_M[[#This Row],[Free CF]]&lt;&gt;0,Main_M[[#This Row],[Current Price]]/Main_M[[#This Row],[Free CF]],""),"")</f>
        <v>23.300813008130081</v>
      </c>
      <c r="I10" s="1">
        <f>IF(ISNUMBER(Main_M[[#This Row],[BVPS]]),IF(Main_M[[#This Row],[BVPS]]&lt;&gt;0,Main_M[[#This Row],[Current Price]]/Main_M[[#This Row],[BVPS]],""),"")</f>
        <v>2.9215086646279307</v>
      </c>
      <c r="J10">
        <v>6.68</v>
      </c>
      <c r="K10">
        <v>4.9800000000000004</v>
      </c>
      <c r="L10">
        <v>1.8</v>
      </c>
      <c r="M10" s="1">
        <f>IF(ISNUMBER(Main_M[[#This Row],[EPS]]),IF(Main_M[[#This Row],[EPS]]&lt;&gt;0,Main_M[[#This Row],[Current Price]]/Main_M[[#This Row],[EPS]],""),"")</f>
        <v>44.092307692307692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-0.88047918234593292</v>
      </c>
      <c r="P10" s="1">
        <f>(Main_M[[#This Row],[P/B]]-VLOOKUP(Main_M[[#This Row],[Industry]], Mean_PB_M, 2, FALSE))/(VLOOKUP(Main_M[[#This Row],[Industry]], Mean_PB_M, 3, FALSE))</f>
        <v>-0.12028801479260047</v>
      </c>
      <c r="Q10" s="1">
        <f>(Main_M[[#This Row],[ROE]]-VLOOKUP(Main_M[[#This Row],[Industry]], Mean_ROE_M, 2, FALSE))/(VLOOKUP(Main_M[[#This Row],[Industry]], Mean_ROE_M, 3, FALSE))</f>
        <v>0.44455027690267424</v>
      </c>
      <c r="R10" s="1">
        <f>(Main_M[[#This Row],[ROA]]-VLOOKUP(Main_M[[#This Row],[Industry]], Mean_ROA_M, 2, FALSE))/(VLOOKUP(Main_M[[#This Row],[Industry]], Mean_ROA_M, 3, FALSE))</f>
        <v>0.81208438788719306</v>
      </c>
      <c r="S10" s="1">
        <f>(Main_M[[#This Row],[A/E]]-VLOOKUP(Main_M[[#This Row],[Industry]], Mean_AE_M, 2, FALSE))/(VLOOKUP(Main_M[[#This Row],[Industry]], Mean_AE_M, 3, FALSE))</f>
        <v>-2.8974795945879102E-2</v>
      </c>
      <c r="T10" s="1">
        <f>(Main_M[[#This Row],[P/E]]-VLOOKUP(Main_M[[#This Row],[Industry]], Mean_PE_M, 2, FALSE))/(VLOOKUP(Main_M[[#This Row],[Industry]], Mean_PE_M, 3, FALSE))</f>
        <v>0.59853677366433489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105</v>
      </c>
      <c r="B11" t="s">
        <v>261</v>
      </c>
      <c r="C11" s="2">
        <v>4229</v>
      </c>
      <c r="D11">
        <f>RTD("tos.rtd", , "LAST", Main_M[[#This Row],[Symbol]])</f>
        <v>40.590000000000003</v>
      </c>
      <c r="E11">
        <v>0.05</v>
      </c>
      <c r="F11">
        <v>8.89</v>
      </c>
      <c r="G11">
        <v>0.1</v>
      </c>
      <c r="H11" s="1">
        <f>IF(ISNUMBER(Main_M[[#This Row],[Free CF]]),IF(Main_M[[#This Row],[Free CF]]&lt;&gt;0,Main_M[[#This Row],[Current Price]]/Main_M[[#This Row],[Free CF]],""),"")</f>
        <v>811.80000000000007</v>
      </c>
      <c r="I11" s="1">
        <f>IF(ISNUMBER(Main_M[[#This Row],[BVPS]]),IF(Main_M[[#This Row],[BVPS]]&lt;&gt;0,Main_M[[#This Row],[Current Price]]/Main_M[[#This Row],[BVPS]],""),"")</f>
        <v>4.5658042744656919</v>
      </c>
      <c r="J11">
        <v>1.54</v>
      </c>
      <c r="K11">
        <v>1.37</v>
      </c>
      <c r="L11">
        <v>1.42</v>
      </c>
      <c r="M11" s="1">
        <f>IF(ISNUMBER(Main_M[[#This Row],[EPS]]),IF(Main_M[[#This Row],[EPS]]&lt;&gt;0,Main_M[[#This Row],[Current Price]]/Main_M[[#This Row],[EPS]],""),"")</f>
        <v>405.90000000000003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10.140541081933366</v>
      </c>
      <c r="P11" s="1">
        <f>(Main_M[[#This Row],[P/B]]-VLOOKUP(Main_M[[#This Row],[Industry]], Mean_PB_M, 2, FALSE))/(VLOOKUP(Main_M[[#This Row],[Industry]], Mean_PB_M, 3, FALSE))</f>
        <v>0.29974106650210325</v>
      </c>
      <c r="Q11" s="1">
        <f>(Main_M[[#This Row],[ROE]]-VLOOKUP(Main_M[[#This Row],[Industry]], Mean_ROE_M, 2, FALSE))/(VLOOKUP(Main_M[[#This Row],[Industry]], Mean_ROE_M, 3, FALSE))</f>
        <v>-4.8878930931713832E-2</v>
      </c>
      <c r="R11" s="1">
        <f>(Main_M[[#This Row],[ROA]]-VLOOKUP(Main_M[[#This Row],[Industry]], Mean_ROA_M, 2, FALSE))/(VLOOKUP(Main_M[[#This Row],[Industry]], Mean_ROA_M, 3, FALSE))</f>
        <v>-0.92004243059006896</v>
      </c>
      <c r="S11" s="1">
        <f>(Main_M[[#This Row],[A/E]]-VLOOKUP(Main_M[[#This Row],[Industry]], Mean_AE_M, 2, FALSE))/(VLOOKUP(Main_M[[#This Row],[Industry]], Mean_AE_M, 3, FALSE))</f>
        <v>-0.87593036974849126</v>
      </c>
      <c r="T11" s="1">
        <f>(Main_M[[#This Row],[P/E]]-VLOOKUP(Main_M[[#This Row],[Industry]], Mean_PE_M, 2, FALSE))/(VLOOKUP(Main_M[[#This Row],[Industry]], Mean_PE_M, 3, FALSE))</f>
        <v>10.68864513587549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" spans="1:26" x14ac:dyDescent="0.25">
      <c r="A12" t="s">
        <v>105</v>
      </c>
      <c r="B12" t="s">
        <v>262</v>
      </c>
      <c r="C12" s="2">
        <v>8253</v>
      </c>
      <c r="D12">
        <f>RTD("tos.rtd", , "LAST", Main_M[[#This Row],[Symbol]])</f>
        <v>89.21</v>
      </c>
      <c r="E12">
        <v>0.4</v>
      </c>
      <c r="F12">
        <v>8.58</v>
      </c>
      <c r="G12">
        <v>0.2</v>
      </c>
      <c r="H12" s="1">
        <f>IF(ISNUMBER(Main_M[[#This Row],[Free CF]]),IF(Main_M[[#This Row],[Free CF]]&lt;&gt;0,Main_M[[#This Row],[Current Price]]/Main_M[[#This Row],[Free CF]],""),"")</f>
        <v>223.02499999999998</v>
      </c>
      <c r="I12" s="1">
        <f>IF(ISNUMBER(Main_M[[#This Row],[BVPS]]),IF(Main_M[[#This Row],[BVPS]]&lt;&gt;0,Main_M[[#This Row],[Current Price]]/Main_M[[#This Row],[BVPS]],""),"")</f>
        <v>10.397435897435896</v>
      </c>
      <c r="J12">
        <v>-1.1000000000000001</v>
      </c>
      <c r="K12">
        <v>4.55</v>
      </c>
      <c r="L12">
        <v>1.91</v>
      </c>
      <c r="M12" s="1">
        <f>IF(ISNUMBER(Main_M[[#This Row],[EPS]]),IF(Main_M[[#This Row],[EPS]]&lt;&gt;0,Main_M[[#This Row],[Current Price]]/Main_M[[#This Row],[EPS]],""),"")</f>
        <v>446.04999999999995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1.9111081121211211</v>
      </c>
      <c r="P12" s="1">
        <f>(Main_M[[#This Row],[P/B]]-VLOOKUP(Main_M[[#This Row],[Industry]], Mean_PB_M, 2, FALSE))/(VLOOKUP(Main_M[[#This Row],[Industry]], Mean_PB_M, 3, FALSE))</f>
        <v>1.7894092614363457</v>
      </c>
      <c r="Q12" s="1">
        <f>(Main_M[[#This Row],[ROE]]-VLOOKUP(Main_M[[#This Row],[Industry]], Mean_ROE_M, 2, FALSE))/(VLOOKUP(Main_M[[#This Row],[Industry]], Mean_ROE_M, 3, FALSE))</f>
        <v>-0.30231338787388984</v>
      </c>
      <c r="R12" s="1">
        <f>(Main_M[[#This Row],[ROA]]-VLOOKUP(Main_M[[#This Row],[Industry]], Mean_ROA_M, 2, FALSE))/(VLOOKUP(Main_M[[#This Row],[Industry]], Mean_ROA_M, 3, FALSE))</f>
        <v>0.60576457294391783</v>
      </c>
      <c r="S12" s="1">
        <f>(Main_M[[#This Row],[A/E]]-VLOOKUP(Main_M[[#This Row],[Industry]], Mean_AE_M, 2, FALSE))/(VLOOKUP(Main_M[[#This Row],[Industry]], Mean_AE_M, 3, FALSE))</f>
        <v>0.21619655436540303</v>
      </c>
      <c r="T12" s="1">
        <f>(Main_M[[#This Row],[P/E]]-VLOOKUP(Main_M[[#This Row],[Industry]], Mean_PE_M, 2, FALSE))/(VLOOKUP(Main_M[[#This Row],[Industry]], Mean_PE_M, 3, FALSE))</f>
        <v>11.808350049164764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" spans="1:26" x14ac:dyDescent="0.25">
      <c r="A13" t="s">
        <v>105</v>
      </c>
      <c r="B13" t="s">
        <v>263</v>
      </c>
      <c r="C13" s="2">
        <v>2285</v>
      </c>
      <c r="D13">
        <f>RTD("tos.rtd", , "LAST", Main_M[[#This Row],[Symbol]])</f>
        <v>53.87</v>
      </c>
      <c r="E13">
        <v>0.45</v>
      </c>
      <c r="F13">
        <v>25.35</v>
      </c>
      <c r="G13">
        <v>-2.38</v>
      </c>
      <c r="H13" s="1">
        <f>IF(ISNUMBER(Main_M[[#This Row],[Free CF]]),IF(Main_M[[#This Row],[Free CF]]&lt;&gt;0,Main_M[[#This Row],[Current Price]]/Main_M[[#This Row],[Free CF]],""),"")</f>
        <v>119.71111111111111</v>
      </c>
      <c r="I13" s="1">
        <f>IF(ISNUMBER(Main_M[[#This Row],[BVPS]]),IF(Main_M[[#This Row],[BVPS]]&lt;&gt;0,Main_M[[#This Row],[Current Price]]/Main_M[[#This Row],[BVPS]],""),"")</f>
        <v>2.1250493096646941</v>
      </c>
      <c r="J13">
        <v>-7.9</v>
      </c>
      <c r="K13">
        <v>-2.65</v>
      </c>
      <c r="L13">
        <v>1.62</v>
      </c>
      <c r="M13" s="1">
        <f>IF(ISNUMBER(Main_M[[#This Row],[EPS]]),IF(Main_M[[#This Row],[EPS]]&lt;&gt;0,Main_M[[#This Row],[Current Price]]/Main_M[[#This Row],[EPS]],""),"")</f>
        <v>-22.634453781512605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0.46706798904908026</v>
      </c>
      <c r="P13" s="1">
        <f>(Main_M[[#This Row],[P/B]]-VLOOKUP(Main_M[[#This Row],[Industry]], Mean_PB_M, 2, FALSE))/(VLOOKUP(Main_M[[#This Row],[Industry]], Mean_PB_M, 3, FALSE))</f>
        <v>-0.32374053826360122</v>
      </c>
      <c r="Q13" s="1">
        <f>(Main_M[[#This Row],[ROE]]-VLOOKUP(Main_M[[#This Row],[Industry]], Mean_ROE_M, 2, FALSE))/(VLOOKUP(Main_M[[#This Row],[Industry]], Mean_ROE_M, 3, FALSE))</f>
        <v>-0.95509911030070671</v>
      </c>
      <c r="R13" s="1">
        <f>(Main_M[[#This Row],[ROA]]-VLOOKUP(Main_M[[#This Row],[Industry]], Mean_ROA_M, 2, FALSE))/(VLOOKUP(Main_M[[#This Row],[Industry]], Mean_ROA_M, 3, FALSE))</f>
        <v>-2.8488927935481283</v>
      </c>
      <c r="S13" s="1">
        <f>(Main_M[[#This Row],[A/E]]-VLOOKUP(Main_M[[#This Row],[Industry]], Mean_AE_M, 2, FALSE))/(VLOOKUP(Main_M[[#This Row],[Industry]], Mean_AE_M, 3, FALSE))</f>
        <v>-0.43016427827343201</v>
      </c>
      <c r="T13" s="1">
        <f>(Main_M[[#This Row],[P/E]]-VLOOKUP(Main_M[[#This Row],[Industry]], Mean_PE_M, 2, FALSE))/(VLOOKUP(Main_M[[#This Row],[Industry]], Mean_PE_M, 3, FALSE))</f>
        <v>-1.2623419976960184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105</v>
      </c>
      <c r="B14" t="s">
        <v>264</v>
      </c>
      <c r="C14" s="2">
        <v>9515</v>
      </c>
      <c r="D14">
        <f>RTD("tos.rtd", , "LAST", Main_M[[#This Row],[Symbol]])</f>
        <v>30.75</v>
      </c>
      <c r="H14" s="1" t="str">
        <f>IF(ISNUMBER(Main_M[[#This Row],[Free CF]]),IF(Main_M[[#This Row],[Free CF]]&lt;&gt;0,Main_M[[#This Row],[Current Price]]/Main_M[[#This Row],[Free CF]],""),"")</f>
        <v/>
      </c>
      <c r="I14" s="1" t="str">
        <f>IF(ISNUMBER(Main_M[[#This Row],[BVPS]]),IF(Main_M[[#This Row],[BVPS]]&lt;&gt;0,Main_M[[#This Row],[Current Price]]/Main_M[[#This Row],[BVPS]],""),"")</f>
        <v/>
      </c>
      <c r="J14">
        <v>-2.99</v>
      </c>
      <c r="K14">
        <v>3.69</v>
      </c>
      <c r="L14">
        <v>5.21</v>
      </c>
      <c r="M14" s="1" t="str">
        <f>IF(ISNUMBER(Main_M[[#This Row],[EPS]]),IF(Main_M[[#This Row],[EPS]]&lt;&gt;0,Main_M[[#This Row],[Current Price]]/Main_M[[#This Row],[EPS]],""),"")</f>
        <v/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 t="e">
        <f>(Main_M[[#This Row],[P/FCF]]-VLOOKUP(Main_M[[#This Row],[Industry]], Mean_PFCF_M, 2, FALSE))/(VLOOKUP(Main_M[[#This Row],[Industry]], Mean_PFCF_M, 3, FALSE))</f>
        <v>#VALUE!</v>
      </c>
      <c r="P14" s="1" t="e">
        <f>(Main_M[[#This Row],[P/B]]-VLOOKUP(Main_M[[#This Row],[Industry]], Mean_PB_M, 2, FALSE))/(VLOOKUP(Main_M[[#This Row],[Industry]], Mean_PB_M, 3, FALSE))</f>
        <v>#VALUE!</v>
      </c>
      <c r="Q14" s="1">
        <f>(Main_M[[#This Row],[ROE]]-VLOOKUP(Main_M[[#This Row],[Industry]], Mean_ROE_M, 2, FALSE))/(VLOOKUP(Main_M[[#This Row],[Industry]], Mean_ROE_M, 3, FALSE))</f>
        <v>-0.48374941954840217</v>
      </c>
      <c r="R14" s="1">
        <f>(Main_M[[#This Row],[ROA]]-VLOOKUP(Main_M[[#This Row],[Industry]], Mean_ROA_M, 2, FALSE))/(VLOOKUP(Main_M[[#This Row],[Industry]], Mean_ROA_M, 3, FALSE))</f>
        <v>0.19312494305736799</v>
      </c>
      <c r="S14" s="1">
        <f>(Main_M[[#This Row],[A/E]]-VLOOKUP(Main_M[[#This Row],[Industry]], Mean_AE_M, 2, FALSE))/(VLOOKUP(Main_M[[#This Row],[Industry]], Mean_AE_M, 3, FALSE))</f>
        <v>7.5713370637038748</v>
      </c>
      <c r="T14" s="1" t="e">
        <f>(Main_M[[#This Row],[P/E]]-VLOOKUP(Main_M[[#This Row],[Industry]], Mean_PE_M, 2, FALSE))/(VLOOKUP(Main_M[[#This Row],[Industry]], Mean_PE_M, 3, FALSE))</f>
        <v>#VALUE!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t="s">
        <v>105</v>
      </c>
      <c r="B15" t="s">
        <v>265</v>
      </c>
      <c r="C15" s="2">
        <v>3766</v>
      </c>
      <c r="D15">
        <f>RTD("tos.rtd", , "LAST", Main_M[[#This Row],[Symbol]])</f>
        <v>38.72</v>
      </c>
      <c r="E15">
        <v>-11.47</v>
      </c>
      <c r="F15">
        <v>-16.64</v>
      </c>
      <c r="G15">
        <v>-12.43</v>
      </c>
      <c r="H15" s="1">
        <f>IF(ISNUMBER(Main_M[[#This Row],[Free CF]]),IF(Main_M[[#This Row],[Free CF]]&lt;&gt;0,Main_M[[#This Row],[Current Price]]/Main_M[[#This Row],[Free CF]],""),"")</f>
        <v>-3.3757628596338272</v>
      </c>
      <c r="I15" s="1">
        <f>IF(ISNUMBER(Main_M[[#This Row],[BVPS]]),IF(Main_M[[#This Row],[BVPS]]&lt;&gt;0,Main_M[[#This Row],[Current Price]]/Main_M[[#This Row],[BVPS]],""),"")</f>
        <v>-2.3269230769230766</v>
      </c>
      <c r="J15">
        <v>102.63</v>
      </c>
      <c r="K15">
        <v>-9.58</v>
      </c>
      <c r="L15">
        <v>-3.63</v>
      </c>
      <c r="M15" s="1">
        <f>IF(ISNUMBER(Main_M[[#This Row],[EPS]]),IF(Main_M[[#This Row],[EPS]]&lt;&gt;0,Main_M[[#This Row],[Current Price]]/Main_M[[#This Row],[EPS]],""),"")</f>
        <v>-3.1150442477876106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-1.2533433375289382</v>
      </c>
      <c r="P15" s="1">
        <f>(Main_M[[#This Row],[P/B]]-VLOOKUP(Main_M[[#This Row],[Industry]], Mean_PB_M, 2, FALSE))/(VLOOKUP(Main_M[[#This Row],[Industry]], Mean_PB_M, 3, FALSE))</f>
        <v>-1.4609800104728321</v>
      </c>
      <c r="Q15" s="1">
        <f>(Main_M[[#This Row],[ROE]]-VLOOKUP(Main_M[[#This Row],[Industry]], Mean_ROE_M, 2, FALSE))/(VLOOKUP(Main_M[[#This Row],[Industry]], Mean_ROE_M, 3, FALSE))</f>
        <v>9.6555488161457745</v>
      </c>
      <c r="R15" s="1">
        <f>(Main_M[[#This Row],[ROA]]-VLOOKUP(Main_M[[#This Row],[Industry]], Mean_ROA_M, 2, FALSE))/(VLOOKUP(Main_M[[#This Row],[Industry]], Mean_ROA_M, 3, FALSE))</f>
        <v>-6.1740005087967225</v>
      </c>
      <c r="S15" s="1">
        <f>(Main_M[[#This Row],[A/E]]-VLOOKUP(Main_M[[#This Row],[Industry]], Mean_AE_M, 2, FALSE))/(VLOOKUP(Main_M[[#This Row],[Industry]], Mean_AE_M, 3, FALSE))</f>
        <v>-12.131524179493727</v>
      </c>
      <c r="T15" s="1">
        <f>(Main_M[[#This Row],[P/E]]-VLOOKUP(Main_M[[#This Row],[Industry]], Mean_PE_M, 2, FALSE))/(VLOOKUP(Main_M[[#This Row],[Industry]], Mean_PE_M, 3, FALSE))</f>
        <v>-0.71798387168313138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224</v>
      </c>
      <c r="B16" t="s">
        <v>395</v>
      </c>
      <c r="C16" s="2">
        <v>5944</v>
      </c>
      <c r="D16">
        <f>RTD("tos.rtd", , "LAST", Main_M[[#This Row],[Symbol]])</f>
        <v>42.77</v>
      </c>
      <c r="E16">
        <v>2.13</v>
      </c>
      <c r="F16">
        <v>26</v>
      </c>
      <c r="G16">
        <v>0.89</v>
      </c>
      <c r="H16" s="1">
        <f>IF(ISNUMBER(Main_M[[#This Row],[Free CF]]),IF(Main_M[[#This Row],[Free CF]]&lt;&gt;0,Main_M[[#This Row],[Current Price]]/Main_M[[#This Row],[Free CF]],""),"")</f>
        <v>20.079812206572772</v>
      </c>
      <c r="I16" s="1">
        <f>IF(ISNUMBER(Main_M[[#This Row],[BVPS]]),IF(Main_M[[#This Row],[BVPS]]&lt;&gt;0,Main_M[[#This Row],[Current Price]]/Main_M[[#This Row],[BVPS]],""),"")</f>
        <v>1.645</v>
      </c>
      <c r="J16">
        <v>3.73</v>
      </c>
      <c r="K16">
        <v>2.23</v>
      </c>
      <c r="L16">
        <v>3.83</v>
      </c>
      <c r="M16" s="1">
        <f>IF(ISNUMBER(Main_M[[#This Row],[EPS]]),IF(Main_M[[#This Row],[EPS]]&lt;&gt;0,Main_M[[#This Row],[Current Price]]/Main_M[[#This Row],[EPS]],""),"")</f>
        <v>48.056179775280903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1.2311568211751769</v>
      </c>
      <c r="P16" s="1">
        <f>(Main_M[[#This Row],[P/B]]-VLOOKUP(Main_M[[#This Row],[Industry]], Mean_PB_M, 2, FALSE))/(VLOOKUP(Main_M[[#This Row],[Industry]], Mean_PB_M, 3, FALSE))</f>
        <v>1.7771814165400912</v>
      </c>
      <c r="Q16" s="1">
        <f>(Main_M[[#This Row],[ROE]]-VLOOKUP(Main_M[[#This Row],[Industry]], Mean_ROE_M, 2, FALSE))/(VLOOKUP(Main_M[[#This Row],[Industry]], Mean_ROE_M, 3, FALSE))</f>
        <v>-1.0000000000000007</v>
      </c>
      <c r="R16" s="1">
        <f>(Main_M[[#This Row],[ROA]]-VLOOKUP(Main_M[[#This Row],[Industry]], Mean_ROA_M, 2, FALSE))/(VLOOKUP(Main_M[[#This Row],[Industry]], Mean_ROA_M, 3, FALSE))</f>
        <v>-1.0000000000000067</v>
      </c>
      <c r="S16" s="1">
        <f>(Main_M[[#This Row],[A/E]]-VLOOKUP(Main_M[[#This Row],[Industry]], Mean_AE_M, 2, FALSE))/(VLOOKUP(Main_M[[#This Row],[Industry]], Mean_AE_M, 3, FALSE))</f>
        <v>1.0000000000000002</v>
      </c>
      <c r="T16" s="1">
        <f>(Main_M[[#This Row],[P/E]]-VLOOKUP(Main_M[[#This Row],[Industry]], Mean_PE_M, 2, FALSE))/(VLOOKUP(Main_M[[#This Row],[Industry]], Mean_PE_M, 3, FALSE))</f>
        <v>1.1947597057468973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224</v>
      </c>
      <c r="B17" t="s">
        <v>396</v>
      </c>
      <c r="C17" s="2">
        <v>3055</v>
      </c>
      <c r="D17">
        <f>RTD("tos.rtd", , "LAST", Main_M[[#This Row],[Symbol]])</f>
        <v>33.83</v>
      </c>
      <c r="E17">
        <v>3.53</v>
      </c>
      <c r="F17">
        <v>26.49</v>
      </c>
      <c r="G17">
        <v>1.77</v>
      </c>
      <c r="H17" s="1">
        <f>IF(ISNUMBER(Main_M[[#This Row],[Free CF]]),IF(Main_M[[#This Row],[Free CF]]&lt;&gt;0,Main_M[[#This Row],[Current Price]]/Main_M[[#This Row],[Free CF]],""),"")</f>
        <v>9.5835694050991496</v>
      </c>
      <c r="I17" s="1">
        <f>IF(ISNUMBER(Main_M[[#This Row],[BVPS]]),IF(Main_M[[#This Row],[BVPS]]&lt;&gt;0,Main_M[[#This Row],[Current Price]]/Main_M[[#This Row],[BVPS]],""),"")</f>
        <v>1.2770856927142318</v>
      </c>
      <c r="J17">
        <v>6.66</v>
      </c>
      <c r="K17">
        <v>2.99</v>
      </c>
      <c r="L17">
        <v>1.74</v>
      </c>
      <c r="M17" s="1">
        <f>IF(ISNUMBER(Main_M[[#This Row],[EPS]]),IF(Main_M[[#This Row],[EPS]]&lt;&gt;0,Main_M[[#This Row],[Current Price]]/Main_M[[#This Row],[EPS]],""),"")</f>
        <v>19.112994350282484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-1.1072922268692804</v>
      </c>
      <c r="P17" s="1">
        <f>(Main_M[[#This Row],[P/B]]-VLOOKUP(Main_M[[#This Row],[Industry]], Mean_PB_M, 2, FALSE))/(VLOOKUP(Main_M[[#This Row],[Industry]], Mean_PB_M, 3, FALSE))</f>
        <v>-1.5867734364213595</v>
      </c>
      <c r="Q17" s="1">
        <f>(Main_M[[#This Row],[ROE]]-VLOOKUP(Main_M[[#This Row],[Industry]], Mean_ROE_M, 2, FALSE))/(VLOOKUP(Main_M[[#This Row],[Industry]], Mean_ROE_M, 3, FALSE))</f>
        <v>1.0000000000000004</v>
      </c>
      <c r="R17" s="1">
        <f>(Main_M[[#This Row],[ROA]]-VLOOKUP(Main_M[[#This Row],[Industry]], Mean_ROA_M, 2, FALSE))/(VLOOKUP(Main_M[[#This Row],[Industry]], Mean_ROA_M, 3, FALSE))</f>
        <v>1.0000000000000056</v>
      </c>
      <c r="S17" s="1">
        <f>(Main_M[[#This Row],[A/E]]-VLOOKUP(Main_M[[#This Row],[Industry]], Mean_AE_M, 2, FALSE))/(VLOOKUP(Main_M[[#This Row],[Industry]], Mean_AE_M, 3, FALSE))</f>
        <v>-1.0000000000000004</v>
      </c>
      <c r="T17" s="1">
        <f>(Main_M[[#This Row],[P/E]]-VLOOKUP(Main_M[[#This Row],[Industry]], Mean_PE_M, 2, FALSE))/(VLOOKUP(Main_M[[#This Row],[Industry]], Mean_PE_M, 3, FALSE))</f>
        <v>-1.075330785795193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122</v>
      </c>
      <c r="B18" t="s">
        <v>266</v>
      </c>
      <c r="C18" s="2">
        <v>6877</v>
      </c>
      <c r="D18">
        <f>RTD("tos.rtd", , "LAST", Main_M[[#This Row],[Symbol]])</f>
        <v>154.53</v>
      </c>
      <c r="E18">
        <v>3.64</v>
      </c>
      <c r="F18">
        <v>16.420000000000002</v>
      </c>
      <c r="G18">
        <v>5.66</v>
      </c>
      <c r="H18" s="1">
        <f>IF(ISNUMBER(Main_M[[#This Row],[Free CF]]),IF(Main_M[[#This Row],[Free CF]]&lt;&gt;0,Main_M[[#This Row],[Current Price]]/Main_M[[#This Row],[Free CF]],""),"")</f>
        <v>42.453296703296701</v>
      </c>
      <c r="I18" s="1">
        <f>IF(ISNUMBER(Main_M[[#This Row],[BVPS]]),IF(Main_M[[#This Row],[BVPS]]&lt;&gt;0,Main_M[[#This Row],[Current Price]]/Main_M[[#This Row],[BVPS]],""),"")</f>
        <v>9.4110840438489642</v>
      </c>
      <c r="J18">
        <v>38.31</v>
      </c>
      <c r="K18">
        <v>9.84</v>
      </c>
      <c r="L18">
        <v>2.52</v>
      </c>
      <c r="M18" s="1">
        <f>IF(ISNUMBER(Main_M[[#This Row],[EPS]]),IF(Main_M[[#This Row],[EPS]]&lt;&gt;0,Main_M[[#This Row],[Current Price]]/Main_M[[#This Row],[EPS]],""),"")</f>
        <v>27.302120141342755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0.81709972898800687</v>
      </c>
      <c r="P18" s="1">
        <f>(Main_M[[#This Row],[P/B]]-VLOOKUP(Main_M[[#This Row],[Industry]], Mean_PB_M, 2, FALSE))/(VLOOKUP(Main_M[[#This Row],[Industry]], Mean_PB_M, 3, FALSE))</f>
        <v>2.1648190870737656</v>
      </c>
      <c r="Q18" s="1">
        <f>(Main_M[[#This Row],[ROE]]-VLOOKUP(Main_M[[#This Row],[Industry]], Mean_ROE_M, 2, FALSE))/(VLOOKUP(Main_M[[#This Row],[Industry]], Mean_ROE_M, 3, FALSE))</f>
        <v>1.0242065230445503</v>
      </c>
      <c r="R18" s="1">
        <f>(Main_M[[#This Row],[ROA]]-VLOOKUP(Main_M[[#This Row],[Industry]], Mean_ROA_M, 2, FALSE))/(VLOOKUP(Main_M[[#This Row],[Industry]], Mean_ROA_M, 3, FALSE))</f>
        <v>0.42038662557175882</v>
      </c>
      <c r="S18" s="1">
        <f>(Main_M[[#This Row],[A/E]]-VLOOKUP(Main_M[[#This Row],[Industry]], Mean_AE_M, 2, FALSE))/(VLOOKUP(Main_M[[#This Row],[Industry]], Mean_AE_M, 3, FALSE))</f>
        <v>1.1856729042009784</v>
      </c>
      <c r="T18" s="1">
        <f>(Main_M[[#This Row],[P/E]]-VLOOKUP(Main_M[[#This Row],[Industry]], Mean_PE_M, 2, FALSE))/(VLOOKUP(Main_M[[#This Row],[Industry]], Mean_PE_M, 3, FALSE))</f>
        <v>2.4482593074544683E-2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122</v>
      </c>
      <c r="B19" t="s">
        <v>267</v>
      </c>
      <c r="C19" s="2">
        <v>7753</v>
      </c>
      <c r="D19">
        <f>RTD("tos.rtd", , "LAST", Main_M[[#This Row],[Symbol]])</f>
        <v>54.05</v>
      </c>
      <c r="E19">
        <v>1.01</v>
      </c>
      <c r="F19">
        <v>9.49</v>
      </c>
      <c r="G19">
        <v>1.04</v>
      </c>
      <c r="H19" s="1">
        <f>IF(ISNUMBER(Main_M[[#This Row],[Free CF]]),IF(Main_M[[#This Row],[Free CF]]&lt;&gt;0,Main_M[[#This Row],[Current Price]]/Main_M[[#This Row],[Free CF]],""),"")</f>
        <v>53.514851485148512</v>
      </c>
      <c r="I19" s="1">
        <f>IF(ISNUMBER(Main_M[[#This Row],[BVPS]]),IF(Main_M[[#This Row],[BVPS]]&lt;&gt;0,Main_M[[#This Row],[Current Price]]/Main_M[[#This Row],[BVPS]],""),"")</f>
        <v>5.6954689146469963</v>
      </c>
      <c r="J19">
        <v>11.09</v>
      </c>
      <c r="K19">
        <v>5.96</v>
      </c>
      <c r="L19">
        <v>1.6</v>
      </c>
      <c r="M19" s="1">
        <f>IF(ISNUMBER(Main_M[[#This Row],[EPS]]),IF(Main_M[[#This Row],[EPS]]&lt;&gt;0,Main_M[[#This Row],[Current Price]]/Main_M[[#This Row],[EPS]],""),"")</f>
        <v>51.97115384615384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1.3882400250457552</v>
      </c>
      <c r="P19" s="1">
        <f>(Main_M[[#This Row],[P/B]]-VLOOKUP(Main_M[[#This Row],[Industry]], Mean_PB_M, 2, FALSE))/(VLOOKUP(Main_M[[#This Row],[Industry]], Mean_PB_M, 3, FALSE))</f>
        <v>0.66495020993854048</v>
      </c>
      <c r="Q19" s="1">
        <f>(Main_M[[#This Row],[ROE]]-VLOOKUP(Main_M[[#This Row],[Industry]], Mean_ROE_M, 2, FALSE))/(VLOOKUP(Main_M[[#This Row],[Industry]], Mean_ROE_M, 3, FALSE))</f>
        <v>-0.48748882457471132</v>
      </c>
      <c r="R19" s="1">
        <f>(Main_M[[#This Row],[ROA]]-VLOOKUP(Main_M[[#This Row],[Industry]], Mean_ROA_M, 2, FALSE))/(VLOOKUP(Main_M[[#This Row],[Industry]], Mean_ROA_M, 3, FALSE))</f>
        <v>-0.69299228720532258</v>
      </c>
      <c r="S19" s="1">
        <f>(Main_M[[#This Row],[A/E]]-VLOOKUP(Main_M[[#This Row],[Industry]], Mean_AE_M, 2, FALSE))/(VLOOKUP(Main_M[[#This Row],[Industry]], Mean_AE_M, 3, FALSE))</f>
        <v>-0.59837697969021197</v>
      </c>
      <c r="T19" s="1">
        <f>(Main_M[[#This Row],[P/E]]-VLOOKUP(Main_M[[#This Row],[Industry]], Mean_PE_M, 2, FALSE))/(VLOOKUP(Main_M[[#This Row],[Industry]], Mean_PE_M, 3, FALSE))</f>
        <v>1.9863815532143281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122</v>
      </c>
      <c r="B20" t="s">
        <v>268</v>
      </c>
      <c r="C20" s="2">
        <v>2850</v>
      </c>
      <c r="D20">
        <f>RTD("tos.rtd", , "LAST", Main_M[[#This Row],[Symbol]])</f>
        <v>92.85</v>
      </c>
      <c r="E20">
        <v>5.01</v>
      </c>
      <c r="F20">
        <v>33.46</v>
      </c>
      <c r="G20">
        <v>1.08</v>
      </c>
      <c r="H20" s="1">
        <f>IF(ISNUMBER(Main_M[[#This Row],[Free CF]]),IF(Main_M[[#This Row],[Free CF]]&lt;&gt;0,Main_M[[#This Row],[Current Price]]/Main_M[[#This Row],[Free CF]],""),"")</f>
        <v>18.532934131736528</v>
      </c>
      <c r="I20" s="1">
        <f>IF(ISNUMBER(Main_M[[#This Row],[BVPS]]),IF(Main_M[[#This Row],[BVPS]]&lt;&gt;0,Main_M[[#This Row],[Current Price]]/Main_M[[#This Row],[BVPS]],""),"")</f>
        <v>2.7749551703526598</v>
      </c>
      <c r="J20">
        <v>12.62</v>
      </c>
      <c r="K20">
        <v>6.68</v>
      </c>
      <c r="L20">
        <v>2.2400000000000002</v>
      </c>
      <c r="M20" s="1">
        <f>IF(ISNUMBER(Main_M[[#This Row],[EPS]]),IF(Main_M[[#This Row],[EPS]]&lt;&gt;0,Main_M[[#This Row],[Current Price]]/Main_M[[#This Row],[EPS]],""),"")</f>
        <v>85.972222222222214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-0.41797827137989674</v>
      </c>
      <c r="P20" s="1">
        <f>(Main_M[[#This Row],[P/B]]-VLOOKUP(Main_M[[#This Row],[Industry]], Mean_PB_M, 2, FALSE))/(VLOOKUP(Main_M[[#This Row],[Industry]], Mean_PB_M, 3, FALSE))</f>
        <v>-0.51396297616788733</v>
      </c>
      <c r="Q20" s="1">
        <f>(Main_M[[#This Row],[ROE]]-VLOOKUP(Main_M[[#This Row],[Industry]], Mean_ROE_M, 2, FALSE))/(VLOOKUP(Main_M[[#This Row],[Industry]], Mean_ROE_M, 3, FALSE))</f>
        <v>-0.40251843949545091</v>
      </c>
      <c r="R20" s="1">
        <f>(Main_M[[#This Row],[ROA]]-VLOOKUP(Main_M[[#This Row],[Industry]], Mean_ROA_M, 2, FALSE))/(VLOOKUP(Main_M[[#This Row],[Industry]], Mean_ROA_M, 3, FALSE))</f>
        <v>-0.48638589101988489</v>
      </c>
      <c r="S20" s="1">
        <f>(Main_M[[#This Row],[A/E]]-VLOOKUP(Main_M[[#This Row],[Industry]], Mean_AE_M, 2, FALSE))/(VLOOKUP(Main_M[[#This Row],[Industry]], Mean_AE_M, 3, FALSE))</f>
        <v>0.64270120040800771</v>
      </c>
      <c r="T20" s="1">
        <f>(Main_M[[#This Row],[P/E]]-VLOOKUP(Main_M[[#This Row],[Industry]], Mean_PE_M, 2, FALSE))/(VLOOKUP(Main_M[[#This Row],[Industry]], Mean_PE_M, 3, FALSE))</f>
        <v>4.6904461505090627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1" spans="1:26" x14ac:dyDescent="0.25">
      <c r="A21" t="s">
        <v>122</v>
      </c>
      <c r="B21" t="s">
        <v>269</v>
      </c>
      <c r="C21" s="2">
        <v>6992</v>
      </c>
      <c r="D21">
        <f>RTD("tos.rtd", , "LAST", Main_M[[#This Row],[Symbol]])</f>
        <v>305.10000000000002</v>
      </c>
      <c r="E21">
        <v>11.62</v>
      </c>
      <c r="F21">
        <v>61.36</v>
      </c>
      <c r="G21">
        <v>7.36</v>
      </c>
      <c r="H21" s="1">
        <f>IF(ISNUMBER(Main_M[[#This Row],[Free CF]]),IF(Main_M[[#This Row],[Free CF]]&lt;&gt;0,Main_M[[#This Row],[Current Price]]/Main_M[[#This Row],[Free CF]],""),"")</f>
        <v>26.256454388984512</v>
      </c>
      <c r="I21" s="1">
        <f>IF(ISNUMBER(Main_M[[#This Row],[BVPS]]),IF(Main_M[[#This Row],[BVPS]]&lt;&gt;0,Main_M[[#This Row],[Current Price]]/Main_M[[#This Row],[BVPS]],""),"")</f>
        <v>4.9722946544980449</v>
      </c>
      <c r="J21">
        <v>14.1</v>
      </c>
      <c r="K21">
        <v>9.5299999999999994</v>
      </c>
      <c r="L21">
        <v>1.32</v>
      </c>
      <c r="M21" s="1">
        <f>IF(ISNUMBER(Main_M[[#This Row],[EPS]]),IF(Main_M[[#This Row],[EPS]]&lt;&gt;0,Main_M[[#This Row],[Current Price]]/Main_M[[#This Row],[EPS]],""),"")</f>
        <v>41.453804347826086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-1.9190421631151942E-2</v>
      </c>
      <c r="P21" s="1">
        <f>(Main_M[[#This Row],[P/B]]-VLOOKUP(Main_M[[#This Row],[Industry]], Mean_PB_M, 2, FALSE))/(VLOOKUP(Main_M[[#This Row],[Industry]], Mean_PB_M, 3, FALSE))</f>
        <v>0.37302908037427701</v>
      </c>
      <c r="Q21" s="1">
        <f>(Main_M[[#This Row],[ROE]]-VLOOKUP(Main_M[[#This Row],[Industry]], Mean_ROE_M, 2, FALSE))/(VLOOKUP(Main_M[[#This Row],[Industry]], Mean_ROE_M, 3, FALSE))</f>
        <v>-0.32032486438610086</v>
      </c>
      <c r="R21" s="1">
        <f>(Main_M[[#This Row],[ROA]]-VLOOKUP(Main_M[[#This Row],[Industry]], Mean_ROA_M, 2, FALSE))/(VLOOKUP(Main_M[[#This Row],[Industry]], Mean_ROA_M, 3, FALSE))</f>
        <v>0.33143109388080627</v>
      </c>
      <c r="S21" s="1">
        <f>(Main_M[[#This Row],[A/E]]-VLOOKUP(Main_M[[#This Row],[Industry]], Mean_AE_M, 2, FALSE))/(VLOOKUP(Main_M[[#This Row],[Industry]], Mean_AE_M, 3, FALSE))</f>
        <v>-1.141348683483183</v>
      </c>
      <c r="T21" s="1">
        <f>(Main_M[[#This Row],[P/E]]-VLOOKUP(Main_M[[#This Row],[Industry]], Mean_PE_M, 2, FALSE))/(VLOOKUP(Main_M[[#This Row],[Industry]], Mean_PE_M, 3, FALSE))</f>
        <v>1.1499492352280849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122</v>
      </c>
      <c r="B22" t="s">
        <v>270</v>
      </c>
      <c r="C22" s="2">
        <v>9798</v>
      </c>
      <c r="D22">
        <f>RTD("tos.rtd", , "LAST", Main_M[[#This Row],[Symbol]])</f>
        <v>52.04</v>
      </c>
      <c r="E22">
        <v>3.21</v>
      </c>
      <c r="F22">
        <v>19.29</v>
      </c>
      <c r="G22">
        <v>3.55</v>
      </c>
      <c r="H22" s="1">
        <f>IF(ISNUMBER(Main_M[[#This Row],[Free CF]]),IF(Main_M[[#This Row],[Free CF]]&lt;&gt;0,Main_M[[#This Row],[Current Price]]/Main_M[[#This Row],[Free CF]],""),"")</f>
        <v>16.211838006230529</v>
      </c>
      <c r="I22" s="1">
        <f>IF(ISNUMBER(Main_M[[#This Row],[BVPS]]),IF(Main_M[[#This Row],[BVPS]]&lt;&gt;0,Main_M[[#This Row],[Current Price]]/Main_M[[#This Row],[BVPS]],""),"")</f>
        <v>2.6977708657335406</v>
      </c>
      <c r="J22">
        <v>19.420000000000002</v>
      </c>
      <c r="K22">
        <v>7.26</v>
      </c>
      <c r="L22">
        <v>2.75</v>
      </c>
      <c r="M22" s="1">
        <f>IF(ISNUMBER(Main_M[[#This Row],[EPS]]),IF(Main_M[[#This Row],[EPS]]&lt;&gt;0,Main_M[[#This Row],[Current Price]]/Main_M[[#This Row],[EPS]],""),"")</f>
        <v>14.659154929577465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-0.5378232257686737</v>
      </c>
      <c r="P22" s="1">
        <f>(Main_M[[#This Row],[P/B]]-VLOOKUP(Main_M[[#This Row],[Industry]], Mean_PB_M, 2, FALSE))/(VLOOKUP(Main_M[[#This Row],[Industry]], Mean_PB_M, 3, FALSE))</f>
        <v>-0.54511968435106384</v>
      </c>
      <c r="Q22" s="1">
        <f>(Main_M[[#This Row],[ROE]]-VLOOKUP(Main_M[[#This Row],[Industry]], Mean_ROE_M, 2, FALSE))/(VLOOKUP(Main_M[[#This Row],[Industry]], Mean_ROE_M, 3, FALSE))</f>
        <v>-2.4872283587626425E-2</v>
      </c>
      <c r="R22" s="1">
        <f>(Main_M[[#This Row],[ROA]]-VLOOKUP(Main_M[[#This Row],[Industry]], Mean_ROA_M, 2, FALSE))/(VLOOKUP(Main_M[[#This Row],[Industry]], Mean_ROA_M, 3, FALSE))</f>
        <v>-0.31995296075939333</v>
      </c>
      <c r="S22" s="1">
        <f>(Main_M[[#This Row],[A/E]]-VLOOKUP(Main_M[[#This Row],[Industry]], Mean_AE_M, 2, FALSE))/(VLOOKUP(Main_M[[#This Row],[Industry]], Mean_AE_M, 3, FALSE))</f>
        <v>1.6316853751737759</v>
      </c>
      <c r="T22" s="1">
        <f>(Main_M[[#This Row],[P/E]]-VLOOKUP(Main_M[[#This Row],[Industry]], Mean_PE_M, 2, FALSE))/(VLOOKUP(Main_M[[#This Row],[Industry]], Mean_PE_M, 3, FALSE))</f>
        <v>-0.98099741878373603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122</v>
      </c>
      <c r="B23" t="s">
        <v>271</v>
      </c>
      <c r="C23" s="2">
        <v>3892</v>
      </c>
      <c r="D23">
        <f>RTD("tos.rtd", , "LAST", Main_M[[#This Row],[Symbol]])</f>
        <v>70.81</v>
      </c>
      <c r="E23">
        <v>6.49</v>
      </c>
      <c r="F23">
        <v>4.66</v>
      </c>
      <c r="G23">
        <v>4.2300000000000004</v>
      </c>
      <c r="H23" s="1">
        <f>IF(ISNUMBER(Main_M[[#This Row],[Free CF]]),IF(Main_M[[#This Row],[Free CF]]&lt;&gt;0,Main_M[[#This Row],[Current Price]]/Main_M[[#This Row],[Free CF]],""),"")</f>
        <v>10.910631741140216</v>
      </c>
      <c r="I23" s="1">
        <f>IF(ISNUMBER(Main_M[[#This Row],[BVPS]]),IF(Main_M[[#This Row],[BVPS]]&lt;&gt;0,Main_M[[#This Row],[Current Price]]/Main_M[[#This Row],[BVPS]],""),"")</f>
        <v>15.195278969957082</v>
      </c>
      <c r="J23">
        <v>77.72</v>
      </c>
      <c r="K23">
        <v>11.49</v>
      </c>
      <c r="L23">
        <v>10.54</v>
      </c>
      <c r="M23" s="1">
        <f>IF(ISNUMBER(Main_M[[#This Row],[EPS]]),IF(Main_M[[#This Row],[EPS]]&lt;&gt;0,Main_M[[#This Row],[Current Price]]/Main_M[[#This Row],[EPS]],""),"")</f>
        <v>16.739952718676122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-0.81153994782246075</v>
      </c>
      <c r="P23" s="1">
        <f>(Main_M[[#This Row],[P/B]]-VLOOKUP(Main_M[[#This Row],[Industry]], Mean_PB_M, 2, FALSE))/(VLOOKUP(Main_M[[#This Row],[Industry]], Mean_PB_M, 3, FALSE))</f>
        <v>4.4997040650064397</v>
      </c>
      <c r="Q23" s="1">
        <f>(Main_M[[#This Row],[ROE]]-VLOOKUP(Main_M[[#This Row],[Industry]], Mean_ROE_M, 2, FALSE))/(VLOOKUP(Main_M[[#This Row],[Industry]], Mean_ROE_M, 3, FALSE))</f>
        <v>3.2128881413279848</v>
      </c>
      <c r="R23" s="1">
        <f>(Main_M[[#This Row],[ROA]]-VLOOKUP(Main_M[[#This Row],[Industry]], Mean_ROA_M, 2, FALSE))/(VLOOKUP(Main_M[[#This Row],[Industry]], Mean_ROA_M, 3, FALSE))</f>
        <v>0.89385961683005388</v>
      </c>
      <c r="S23" s="1">
        <f>(Main_M[[#This Row],[A/E]]-VLOOKUP(Main_M[[#This Row],[Industry]], Mean_AE_M, 2, FALSE))/(VLOOKUP(Main_M[[#This Row],[Industry]], Mean_AE_M, 3, FALSE))</f>
        <v>16.737933848556789</v>
      </c>
      <c r="T23" s="1">
        <f>(Main_M[[#This Row],[P/E]]-VLOOKUP(Main_M[[#This Row],[Industry]], Mean_PE_M, 2, FALSE))/(VLOOKUP(Main_M[[#This Row],[Industry]], Mean_PE_M, 3, FALSE))</f>
        <v>-0.81551404122048521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122</v>
      </c>
      <c r="B24" t="s">
        <v>272</v>
      </c>
      <c r="C24" s="2">
        <v>3458</v>
      </c>
      <c r="D24">
        <f>RTD("tos.rtd", , "LAST", Main_M[[#This Row],[Symbol]])</f>
        <v>14.21</v>
      </c>
      <c r="E24">
        <v>1.01</v>
      </c>
      <c r="F24">
        <v>6.37</v>
      </c>
      <c r="G24">
        <v>0.43</v>
      </c>
      <c r="H24" s="1">
        <f>IF(ISNUMBER(Main_M[[#This Row],[Free CF]]),IF(Main_M[[#This Row],[Free CF]]&lt;&gt;0,Main_M[[#This Row],[Current Price]]/Main_M[[#This Row],[Free CF]],""),"")</f>
        <v>14.06930693069307</v>
      </c>
      <c r="I24" s="1">
        <f>IF(ISNUMBER(Main_M[[#This Row],[BVPS]]),IF(Main_M[[#This Row],[BVPS]]&lt;&gt;0,Main_M[[#This Row],[Current Price]]/Main_M[[#This Row],[BVPS]],""),"")</f>
        <v>2.2307692307692308</v>
      </c>
      <c r="J24">
        <v>7.16</v>
      </c>
      <c r="K24">
        <v>4.2699999999999996</v>
      </c>
      <c r="L24">
        <v>2.1</v>
      </c>
      <c r="M24" s="1">
        <f>IF(ISNUMBER(Main_M[[#This Row],[EPS]]),IF(Main_M[[#This Row],[EPS]]&lt;&gt;0,Main_M[[#This Row],[Current Price]]/Main_M[[#This Row],[EPS]],""),"")</f>
        <v>33.04651162790698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-0.64844834646174632</v>
      </c>
      <c r="P24" s="1">
        <f>(Main_M[[#This Row],[P/B]]-VLOOKUP(Main_M[[#This Row],[Industry]], Mean_PB_M, 2, FALSE))/(VLOOKUP(Main_M[[#This Row],[Industry]], Mean_PB_M, 3, FALSE))</f>
        <v>-0.73363253982667198</v>
      </c>
      <c r="Q24" s="1">
        <f>(Main_M[[#This Row],[ROE]]-VLOOKUP(Main_M[[#This Row],[Industry]], Mean_ROE_M, 2, FALSE))/(VLOOKUP(Main_M[[#This Row],[Industry]], Mean_ROE_M, 3, FALSE))</f>
        <v>-0.70574608820967455</v>
      </c>
      <c r="R24" s="1">
        <f>(Main_M[[#This Row],[ROA]]-VLOOKUP(Main_M[[#This Row],[Industry]], Mean_ROA_M, 2, FALSE))/(VLOOKUP(Main_M[[#This Row],[Industry]], Mean_ROA_M, 3, FALSE))</f>
        <v>-1.1779434115850309</v>
      </c>
      <c r="S24" s="1">
        <f>(Main_M[[#This Row],[A/E]]-VLOOKUP(Main_M[[#This Row],[Industry]], Mean_AE_M, 2, FALSE))/(VLOOKUP(Main_M[[#This Row],[Industry]], Mean_AE_M, 3, FALSE))</f>
        <v>0.37121534851152199</v>
      </c>
      <c r="T24" s="1">
        <f>(Main_M[[#This Row],[P/E]]-VLOOKUP(Main_M[[#This Row],[Industry]], Mean_PE_M, 2, FALSE))/(VLOOKUP(Main_M[[#This Row],[Industry]], Mean_PE_M, 3, FALSE))</f>
        <v>0.48132722748469831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122</v>
      </c>
      <c r="B25" t="s">
        <v>273</v>
      </c>
      <c r="C25" s="2">
        <v>2107</v>
      </c>
      <c r="D25">
        <f>RTD("tos.rtd", , "LAST", Main_M[[#This Row],[Symbol]])</f>
        <v>10.6</v>
      </c>
      <c r="E25">
        <v>1.38</v>
      </c>
      <c r="F25">
        <v>10.130000000000001</v>
      </c>
      <c r="G25">
        <v>1.1399999999999999</v>
      </c>
      <c r="H25" s="1">
        <f>IF(ISNUMBER(Main_M[[#This Row],[Free CF]]),IF(Main_M[[#This Row],[Free CF]]&lt;&gt;0,Main_M[[#This Row],[Current Price]]/Main_M[[#This Row],[Free CF]],""),"")</f>
        <v>7.6811594202898554</v>
      </c>
      <c r="I25" s="1">
        <f>IF(ISNUMBER(Main_M[[#This Row],[BVPS]]),IF(Main_M[[#This Row],[BVPS]]&lt;&gt;0,Main_M[[#This Row],[Current Price]]/Main_M[[#This Row],[BVPS]],""),"")</f>
        <v>1.0463968410661402</v>
      </c>
      <c r="J25">
        <v>12.11</v>
      </c>
      <c r="K25">
        <v>6.53</v>
      </c>
      <c r="L25">
        <v>2.2999999999999998</v>
      </c>
      <c r="M25" s="1">
        <f>IF(ISNUMBER(Main_M[[#This Row],[EPS]]),IF(Main_M[[#This Row],[EPS]]&lt;&gt;0,Main_M[[#This Row],[Current Price]]/Main_M[[#This Row],[EPS]],""),"")</f>
        <v>9.2982456140350891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-0.97828701130642381</v>
      </c>
      <c r="P25" s="1">
        <f>(Main_M[[#This Row],[P/B]]-VLOOKUP(Main_M[[#This Row],[Industry]], Mean_PB_M, 2, FALSE))/(VLOOKUP(Main_M[[#This Row],[Industry]], Mean_PB_M, 3, FALSE))</f>
        <v>-1.2117238448955774</v>
      </c>
      <c r="Q25" s="1">
        <f>(Main_M[[#This Row],[ROE]]-VLOOKUP(Main_M[[#This Row],[Industry]], Mean_ROE_M, 2, FALSE))/(VLOOKUP(Main_M[[#This Row],[Industry]], Mean_ROE_M, 3, FALSE))</f>
        <v>-0.43084190118853771</v>
      </c>
      <c r="R25" s="1">
        <f>(Main_M[[#This Row],[ROA]]-VLOOKUP(Main_M[[#This Row],[Industry]], Mean_ROA_M, 2, FALSE))/(VLOOKUP(Main_M[[#This Row],[Industry]], Mean_ROA_M, 3, FALSE))</f>
        <v>-0.52942889022518425</v>
      </c>
      <c r="S25" s="1">
        <f>(Main_M[[#This Row],[A/E]]-VLOOKUP(Main_M[[#This Row],[Industry]], Mean_AE_M, 2, FALSE))/(VLOOKUP(Main_M[[#This Row],[Industry]], Mean_AE_M, 3, FALSE))</f>
        <v>0.75905227979221501</v>
      </c>
      <c r="T25" s="1">
        <f>(Main_M[[#This Row],[P/E]]-VLOOKUP(Main_M[[#This Row],[Industry]], Mean_PE_M, 2, FALSE))/(VLOOKUP(Main_M[[#This Row],[Industry]], Mean_PE_M, 3, FALSE))</f>
        <v>-1.4073441714542743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122</v>
      </c>
      <c r="B26" t="s">
        <v>274</v>
      </c>
      <c r="C26" s="2">
        <v>4006</v>
      </c>
      <c r="D26">
        <f>RTD("tos.rtd", , "LAST", Main_M[[#This Row],[Symbol]])</f>
        <v>21.47</v>
      </c>
      <c r="E26">
        <v>2.84</v>
      </c>
      <c r="F26">
        <v>19.55</v>
      </c>
      <c r="G26">
        <v>1.0900000000000001</v>
      </c>
      <c r="H26" s="1">
        <f>IF(ISNUMBER(Main_M[[#This Row],[Free CF]]),IF(Main_M[[#This Row],[Free CF]]&lt;&gt;0,Main_M[[#This Row],[Current Price]]/Main_M[[#This Row],[Free CF]],""),"")</f>
        <v>7.5598591549295771</v>
      </c>
      <c r="I26" s="1">
        <f>IF(ISNUMBER(Main_M[[#This Row],[BVPS]]),IF(Main_M[[#This Row],[BVPS]]&lt;&gt;0,Main_M[[#This Row],[Current Price]]/Main_M[[#This Row],[BVPS]],""),"")</f>
        <v>1.0982097186700766</v>
      </c>
      <c r="J26">
        <v>5.83</v>
      </c>
      <c r="K26">
        <v>4.96</v>
      </c>
      <c r="L26">
        <v>2.83</v>
      </c>
      <c r="M26" s="1">
        <f>IF(ISNUMBER(Main_M[[#This Row],[EPS]]),IF(Main_M[[#This Row],[EPS]]&lt;&gt;0,Main_M[[#This Row],[Current Price]]/Main_M[[#This Row],[EPS]],""),"")</f>
        <v>19.697247706422015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-0.98455009735861398</v>
      </c>
      <c r="P26" s="1">
        <f>(Main_M[[#This Row],[P/B]]-VLOOKUP(Main_M[[#This Row],[Industry]], Mean_PB_M, 2, FALSE))/(VLOOKUP(Main_M[[#This Row],[Industry]], Mean_PB_M, 3, FALSE))</f>
        <v>-1.1908087285956681</v>
      </c>
      <c r="Q26" s="1">
        <f>(Main_M[[#This Row],[ROE]]-VLOOKUP(Main_M[[#This Row],[Industry]], Mean_ROE_M, 2, FALSE))/(VLOOKUP(Main_M[[#This Row],[Industry]], Mean_ROE_M, 3, FALSE))</f>
        <v>-0.77960923340929311</v>
      </c>
      <c r="R26" s="1">
        <f>(Main_M[[#This Row],[ROA]]-VLOOKUP(Main_M[[#This Row],[Industry]], Mean_ROA_M, 2, FALSE))/(VLOOKUP(Main_M[[#This Row],[Industry]], Mean_ROA_M, 3, FALSE))</f>
        <v>-0.97994561524065293</v>
      </c>
      <c r="S26" s="1">
        <f>(Main_M[[#This Row],[A/E]]-VLOOKUP(Main_M[[#This Row],[Industry]], Mean_AE_M, 2, FALSE))/(VLOOKUP(Main_M[[#This Row],[Industry]], Mean_AE_M, 3, FALSE))</f>
        <v>1.7868201476860535</v>
      </c>
      <c r="T26" s="1">
        <f>(Main_M[[#This Row],[P/E]]-VLOOKUP(Main_M[[#This Row],[Industry]], Mean_PE_M, 2, FALSE))/(VLOOKUP(Main_M[[#This Row],[Industry]], Mean_PE_M, 3, FALSE))</f>
        <v>-0.58032388214450392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122</v>
      </c>
      <c r="B27" t="s">
        <v>275</v>
      </c>
      <c r="C27" s="2">
        <v>2143</v>
      </c>
      <c r="D27">
        <f>RTD("tos.rtd", , "LAST", Main_M[[#This Row],[Symbol]])</f>
        <v>60.44</v>
      </c>
      <c r="E27">
        <v>4.7699999999999996</v>
      </c>
      <c r="F27">
        <v>33.049999999999997</v>
      </c>
      <c r="G27">
        <v>3.59</v>
      </c>
      <c r="H27" s="1">
        <f>IF(ISNUMBER(Main_M[[#This Row],[Free CF]]),IF(Main_M[[#This Row],[Free CF]]&lt;&gt;0,Main_M[[#This Row],[Current Price]]/Main_M[[#This Row],[Free CF]],""),"")</f>
        <v>12.670859538784068</v>
      </c>
      <c r="I27" s="1">
        <f>IF(ISNUMBER(Main_M[[#This Row],[BVPS]]),IF(Main_M[[#This Row],[BVPS]]&lt;&gt;0,Main_M[[#This Row],[Current Price]]/Main_M[[#This Row],[BVPS]],""),"")</f>
        <v>1.8287443267776098</v>
      </c>
      <c r="J27">
        <v>11.69</v>
      </c>
      <c r="K27">
        <v>7.49</v>
      </c>
      <c r="L27">
        <v>1.42</v>
      </c>
      <c r="M27" s="1">
        <f>IF(ISNUMBER(Main_M[[#This Row],[EPS]]),IF(Main_M[[#This Row],[EPS]]&lt;&gt;0,Main_M[[#This Row],[Current Price]]/Main_M[[#This Row],[EPS]],""),"")</f>
        <v>16.83565459610028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27" s="1">
        <f>(Main_M[[#This Row],[P/FCF]]-VLOOKUP(Main_M[[#This Row],[Industry]], Mean_PFCF_M, 2, FALSE))/(VLOOKUP(Main_M[[#This Row],[Industry]], Mean_PFCF_M, 3, FALSE))</f>
        <v>-0.72065425902898317</v>
      </c>
      <c r="P27" s="1">
        <f>(Main_M[[#This Row],[P/B]]-VLOOKUP(Main_M[[#This Row],[Industry]], Mean_PB_M, 2, FALSE))/(VLOOKUP(Main_M[[#This Row],[Industry]], Mean_PB_M, 3, FALSE))</f>
        <v>-0.89591647407790787</v>
      </c>
      <c r="Q27" s="1">
        <f>(Main_M[[#This Row],[ROE]]-VLOOKUP(Main_M[[#This Row],[Industry]], Mean_ROE_M, 2, FALSE))/(VLOOKUP(Main_M[[#This Row],[Industry]], Mean_ROE_M, 3, FALSE))</f>
        <v>-0.45416710493578566</v>
      </c>
      <c r="R27" s="1">
        <f>(Main_M[[#This Row],[ROA]]-VLOOKUP(Main_M[[#This Row],[Industry]], Mean_ROA_M, 2, FALSE))/(VLOOKUP(Main_M[[#This Row],[Industry]], Mean_ROA_M, 3, FALSE))</f>
        <v>-0.25395369531126721</v>
      </c>
      <c r="S27" s="1">
        <f>(Main_M[[#This Row],[A/E]]-VLOOKUP(Main_M[[#This Row],[Industry]], Mean_AE_M, 2, FALSE))/(VLOOKUP(Main_M[[#This Row],[Industry]], Mean_AE_M, 3, FALSE))</f>
        <v>-0.94743021784283643</v>
      </c>
      <c r="T27" s="1">
        <f>(Main_M[[#This Row],[P/E]]-VLOOKUP(Main_M[[#This Row],[Industry]], Mean_PE_M, 2, FALSE))/(VLOOKUP(Main_M[[#This Row],[Industry]], Mean_PE_M, 3, FALSE))</f>
        <v>-0.80790298453911769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122</v>
      </c>
      <c r="B28" t="s">
        <v>276</v>
      </c>
      <c r="C28" s="2">
        <v>7802</v>
      </c>
      <c r="D28">
        <f>RTD("tos.rtd", , "LAST", Main_M[[#This Row],[Symbol]])</f>
        <v>158.86000000000001</v>
      </c>
      <c r="E28">
        <v>2.25</v>
      </c>
      <c r="F28">
        <v>44.04</v>
      </c>
      <c r="G28">
        <v>7.55</v>
      </c>
      <c r="H28" s="1">
        <f>IF(ISNUMBER(Main_M[[#This Row],[Free CF]]),IF(Main_M[[#This Row],[Free CF]]&lt;&gt;0,Main_M[[#This Row],[Current Price]]/Main_M[[#This Row],[Free CF]],""),"")</f>
        <v>70.604444444444454</v>
      </c>
      <c r="I28" s="1">
        <f>IF(ISNUMBER(Main_M[[#This Row],[BVPS]]),IF(Main_M[[#This Row],[BVPS]]&lt;&gt;0,Main_M[[#This Row],[Current Price]]/Main_M[[#This Row],[BVPS]],""),"")</f>
        <v>3.6071752951861948</v>
      </c>
      <c r="J28">
        <v>18.239999999999998</v>
      </c>
      <c r="K28">
        <v>9.4</v>
      </c>
      <c r="L28">
        <v>1.56</v>
      </c>
      <c r="M28" s="1">
        <f>IF(ISNUMBER(Main_M[[#This Row],[EPS]]),IF(Main_M[[#This Row],[EPS]]&lt;&gt;0,Main_M[[#This Row],[Current Price]]/Main_M[[#This Row],[EPS]],""),"")</f>
        <v>21.04105960264901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2.2706254920772424</v>
      </c>
      <c r="P28" s="1">
        <f>(Main_M[[#This Row],[P/B]]-VLOOKUP(Main_M[[#This Row],[Industry]], Mean_PB_M, 2, FALSE))/(VLOOKUP(Main_M[[#This Row],[Industry]], Mean_PB_M, 3, FALSE))</f>
        <v>-0.17802369807815113</v>
      </c>
      <c r="Q28" s="1">
        <f>(Main_M[[#This Row],[ROE]]-VLOOKUP(Main_M[[#This Row],[Industry]], Mean_ROE_M, 2, FALSE))/(VLOOKUP(Main_M[[#This Row],[Industry]], Mean_ROE_M, 3, FALSE))</f>
        <v>-9.040499887751377E-2</v>
      </c>
      <c r="R28" s="1">
        <f>(Main_M[[#This Row],[ROA]]-VLOOKUP(Main_M[[#This Row],[Industry]], Mean_ROA_M, 2, FALSE))/(VLOOKUP(Main_M[[#This Row],[Industry]], Mean_ROA_M, 3, FALSE))</f>
        <v>0.29412716123621363</v>
      </c>
      <c r="S28" s="1">
        <f>(Main_M[[#This Row],[A/E]]-VLOOKUP(Main_M[[#This Row],[Industry]], Mean_AE_M, 2, FALSE))/(VLOOKUP(Main_M[[#This Row],[Industry]], Mean_AE_M, 3, FALSE))</f>
        <v>-0.67594436594635077</v>
      </c>
      <c r="T28" s="1">
        <f>(Main_M[[#This Row],[P/E]]-VLOOKUP(Main_M[[#This Row],[Industry]], Mean_PE_M, 2, FALSE))/(VLOOKUP(Main_M[[#This Row],[Industry]], Mean_PE_M, 3, FALSE))</f>
        <v>-0.4734521175922895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122</v>
      </c>
      <c r="B29" t="s">
        <v>277</v>
      </c>
      <c r="C29" s="2">
        <v>3912</v>
      </c>
      <c r="D29">
        <f>RTD("tos.rtd", , "LAST", Main_M[[#This Row],[Symbol]])</f>
        <v>88.16</v>
      </c>
      <c r="E29">
        <v>1.79</v>
      </c>
      <c r="F29">
        <v>13.05</v>
      </c>
      <c r="G29">
        <v>3.2</v>
      </c>
      <c r="H29" s="1">
        <f>IF(ISNUMBER(Main_M[[#This Row],[Free CF]]),IF(Main_M[[#This Row],[Free CF]]&lt;&gt;0,Main_M[[#This Row],[Current Price]]/Main_M[[#This Row],[Free CF]],""),"")</f>
        <v>49.25139664804469</v>
      </c>
      <c r="I29" s="1">
        <f>IF(ISNUMBER(Main_M[[#This Row],[BVPS]]),IF(Main_M[[#This Row],[BVPS]]&lt;&gt;0,Main_M[[#This Row],[Current Price]]/Main_M[[#This Row],[BVPS]],""),"")</f>
        <v>6.7555555555555546</v>
      </c>
      <c r="J29">
        <v>26.62</v>
      </c>
      <c r="K29">
        <v>13.92</v>
      </c>
      <c r="L29">
        <v>1.62</v>
      </c>
      <c r="M29" s="1">
        <f>IF(ISNUMBER(Main_M[[#This Row],[EPS]]),IF(Main_M[[#This Row],[EPS]]&lt;&gt;0,Main_M[[#This Row],[Current Price]]/Main_M[[#This Row],[EPS]],""),"")</f>
        <v>27.549999999999997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1.1681054322227498</v>
      </c>
      <c r="P29" s="1">
        <f>(Main_M[[#This Row],[P/B]]-VLOOKUP(Main_M[[#This Row],[Industry]], Mean_PB_M, 2, FALSE))/(VLOOKUP(Main_M[[#This Row],[Industry]], Mean_PB_M, 3, FALSE))</f>
        <v>1.0928715377610663</v>
      </c>
      <c r="Q29" s="1">
        <f>(Main_M[[#This Row],[ROE]]-VLOOKUP(Main_M[[#This Row],[Industry]], Mean_ROE_M, 2, FALSE))/(VLOOKUP(Main_M[[#This Row],[Industry]], Mean_ROE_M, 3, FALSE))</f>
        <v>0.37498835207948167</v>
      </c>
      <c r="R29" s="1">
        <f>(Main_M[[#This Row],[ROA]]-VLOOKUP(Main_M[[#This Row],[Industry]], Mean_ROA_M, 2, FALSE))/(VLOOKUP(Main_M[[#This Row],[Industry]], Mean_ROA_M, 3, FALSE))</f>
        <v>1.5911562039559064</v>
      </c>
      <c r="S29" s="1">
        <f>(Main_M[[#This Row],[A/E]]-VLOOKUP(Main_M[[#This Row],[Industry]], Mean_AE_M, 2, FALSE))/(VLOOKUP(Main_M[[#This Row],[Industry]], Mean_AE_M, 3, FALSE))</f>
        <v>-0.55959328656214258</v>
      </c>
      <c r="T29" s="1">
        <f>(Main_M[[#This Row],[P/E]]-VLOOKUP(Main_M[[#This Row],[Industry]], Mean_PE_M, 2, FALSE))/(VLOOKUP(Main_M[[#This Row],[Industry]], Mean_PE_M, 3, FALSE))</f>
        <v>4.4196183917156268E-2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122</v>
      </c>
      <c r="B30" t="s">
        <v>278</v>
      </c>
      <c r="C30" s="2">
        <v>8318</v>
      </c>
      <c r="D30">
        <f>RTD("tos.rtd", , "LAST", Main_M[[#This Row],[Symbol]])</f>
        <v>57.08</v>
      </c>
      <c r="E30">
        <v>0.45</v>
      </c>
      <c r="F30">
        <v>8.23</v>
      </c>
      <c r="G30">
        <v>2.19</v>
      </c>
      <c r="H30" s="1">
        <f>IF(ISNUMBER(Main_M[[#This Row],[Free CF]]),IF(Main_M[[#This Row],[Free CF]]&lt;&gt;0,Main_M[[#This Row],[Current Price]]/Main_M[[#This Row],[Free CF]],""),"")</f>
        <v>126.84444444444443</v>
      </c>
      <c r="I30" s="1">
        <f>IF(ISNUMBER(Main_M[[#This Row],[BVPS]]),IF(Main_M[[#This Row],[BVPS]]&lt;&gt;0,Main_M[[#This Row],[Current Price]]/Main_M[[#This Row],[BVPS]],""),"")</f>
        <v>6.9356014580801935</v>
      </c>
      <c r="J30">
        <v>30.21</v>
      </c>
      <c r="K30">
        <v>17.579999999999998</v>
      </c>
      <c r="L30">
        <v>1.43</v>
      </c>
      <c r="M30" s="1">
        <f>IF(ISNUMBER(Main_M[[#This Row],[EPS]]),IF(Main_M[[#This Row],[EPS]]&lt;&gt;0,Main_M[[#This Row],[Current Price]]/Main_M[[#This Row],[EPS]],""),"")</f>
        <v>26.06392694063927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5.1744605210360195</v>
      </c>
      <c r="P30" s="1">
        <f>(Main_M[[#This Row],[P/B]]-VLOOKUP(Main_M[[#This Row],[Industry]], Mean_PB_M, 2, FALSE))/(VLOOKUP(Main_M[[#This Row],[Industry]], Mean_PB_M, 3, FALSE))</f>
        <v>1.1655500139385566</v>
      </c>
      <c r="Q30" s="1">
        <f>(Main_M[[#This Row],[ROE]]-VLOOKUP(Main_M[[#This Row],[Industry]], Mean_ROE_M, 2, FALSE))/(VLOOKUP(Main_M[[#This Row],[Industry]], Mean_ROE_M, 3, FALSE))</f>
        <v>0.57436330791905366</v>
      </c>
      <c r="R30" s="1">
        <f>(Main_M[[#This Row],[ROA]]-VLOOKUP(Main_M[[#This Row],[Industry]], Mean_ROA_M, 2, FALSE))/(VLOOKUP(Main_M[[#This Row],[Industry]], Mean_ROA_M, 3, FALSE))</f>
        <v>2.6414053845652146</v>
      </c>
      <c r="S30" s="1">
        <f>(Main_M[[#This Row],[A/E]]-VLOOKUP(Main_M[[#This Row],[Industry]], Mean_AE_M, 2, FALSE))/(VLOOKUP(Main_M[[#This Row],[Industry]], Mean_AE_M, 3, FALSE))</f>
        <v>-0.92803837127880173</v>
      </c>
      <c r="T30" s="1">
        <f>(Main_M[[#This Row],[P/E]]-VLOOKUP(Main_M[[#This Row],[Industry]], Mean_PE_M, 2, FALSE))/(VLOOKUP(Main_M[[#This Row],[Industry]], Mean_PE_M, 3, FALSE))</f>
        <v>-7.3989442027444716E-2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122</v>
      </c>
      <c r="B31" t="s">
        <v>279</v>
      </c>
      <c r="C31" s="2">
        <v>8079</v>
      </c>
      <c r="D31">
        <f>RTD("tos.rtd", , "LAST", Main_M[[#This Row],[Symbol]])</f>
        <v>97.62</v>
      </c>
      <c r="E31">
        <v>9</v>
      </c>
      <c r="F31">
        <v>52.28</v>
      </c>
      <c r="G31">
        <v>7.26</v>
      </c>
      <c r="H31" s="1">
        <f>IF(ISNUMBER(Main_M[[#This Row],[Free CF]]),IF(Main_M[[#This Row],[Free CF]]&lt;&gt;0,Main_M[[#This Row],[Current Price]]/Main_M[[#This Row],[Free CF]],""),"")</f>
        <v>10.846666666666668</v>
      </c>
      <c r="I31" s="1">
        <f>IF(ISNUMBER(Main_M[[#This Row],[BVPS]]),IF(Main_M[[#This Row],[BVPS]]&lt;&gt;0,Main_M[[#This Row],[Current Price]]/Main_M[[#This Row],[BVPS]],""),"")</f>
        <v>1.8672532517214997</v>
      </c>
      <c r="J31">
        <v>14.72</v>
      </c>
      <c r="K31">
        <v>8.16</v>
      </c>
      <c r="L31">
        <v>1.33</v>
      </c>
      <c r="M31" s="1">
        <f>IF(ISNUMBER(Main_M[[#This Row],[EPS]]),IF(Main_M[[#This Row],[EPS]]&lt;&gt;0,Main_M[[#This Row],[Current Price]]/Main_M[[#This Row],[EPS]],""),"")</f>
        <v>13.446280991735538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1" s="1">
        <f>(Main_M[[#This Row],[P/FCF]]-VLOOKUP(Main_M[[#This Row],[Industry]], Mean_PFCF_M, 2, FALSE))/(VLOOKUP(Main_M[[#This Row],[Industry]], Mean_PFCF_M, 3, FALSE))</f>
        <v>-0.8148426509498834</v>
      </c>
      <c r="P31" s="1">
        <f>(Main_M[[#This Row],[P/B]]-VLOOKUP(Main_M[[#This Row],[Industry]], Mean_PB_M, 2, FALSE))/(VLOOKUP(Main_M[[#This Row],[Industry]], Mean_PB_M, 3, FALSE))</f>
        <v>-0.88037171607502995</v>
      </c>
      <c r="Q31" s="1">
        <f>(Main_M[[#This Row],[ROE]]-VLOOKUP(Main_M[[#This Row],[Industry]], Mean_ROE_M, 2, FALSE))/(VLOOKUP(Main_M[[#This Row],[Industry]], Mean_ROE_M, 3, FALSE))</f>
        <v>-0.28589242075921095</v>
      </c>
      <c r="R31" s="1">
        <f>(Main_M[[#This Row],[ROA]]-VLOOKUP(Main_M[[#This Row],[Industry]], Mean_ROA_M, 2, FALSE))/(VLOOKUP(Main_M[[#This Row],[Industry]], Mean_ROA_M, 3, FALSE))</f>
        <v>-6.1694965527595971E-2</v>
      </c>
      <c r="S31" s="1">
        <f>(Main_M[[#This Row],[A/E]]-VLOOKUP(Main_M[[#This Row],[Industry]], Mean_AE_M, 2, FALSE))/(VLOOKUP(Main_M[[#This Row],[Industry]], Mean_AE_M, 3, FALSE))</f>
        <v>-1.1219568369191484</v>
      </c>
      <c r="T31" s="1">
        <f>(Main_M[[#This Row],[P/E]]-VLOOKUP(Main_M[[#This Row],[Industry]], Mean_PE_M, 2, FALSE))/(VLOOKUP(Main_M[[#This Row],[Industry]], Mean_PE_M, 3, FALSE))</f>
        <v>-1.0774558429727894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122</v>
      </c>
      <c r="B32" t="s">
        <v>280</v>
      </c>
      <c r="C32" s="2">
        <v>6858</v>
      </c>
      <c r="D32">
        <f>RTD("tos.rtd", , "LAST", Main_M[[#This Row],[Symbol]])</f>
        <v>36.590000000000003</v>
      </c>
      <c r="E32">
        <v>1.57</v>
      </c>
      <c r="F32">
        <v>9.34</v>
      </c>
      <c r="G32">
        <v>0.78</v>
      </c>
      <c r="H32" s="1">
        <f>IF(ISNUMBER(Main_M[[#This Row],[Free CF]]),IF(Main_M[[#This Row],[Free CF]]&lt;&gt;0,Main_M[[#This Row],[Current Price]]/Main_M[[#This Row],[Free CF]],""),"")</f>
        <v>23.305732484076433</v>
      </c>
      <c r="I32" s="1">
        <f>IF(ISNUMBER(Main_M[[#This Row],[BVPS]]),IF(Main_M[[#This Row],[BVPS]]&lt;&gt;0,Main_M[[#This Row],[Current Price]]/Main_M[[#This Row],[BVPS]],""),"")</f>
        <v>3.9175588865096365</v>
      </c>
      <c r="J32">
        <v>8.52</v>
      </c>
      <c r="K32">
        <v>5.67</v>
      </c>
      <c r="L32">
        <v>1.7</v>
      </c>
      <c r="M32" s="1">
        <f>IF(ISNUMBER(Main_M[[#This Row],[EPS]]),IF(Main_M[[#This Row],[EPS]]&lt;&gt;0,Main_M[[#This Row],[Current Price]]/Main_M[[#This Row],[EPS]],""),"")</f>
        <v>46.910256410256416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-0.17154478913093948</v>
      </c>
      <c r="P32" s="1">
        <f>(Main_M[[#This Row],[P/B]]-VLOOKUP(Main_M[[#This Row],[Industry]], Mean_PB_M, 2, FALSE))/(VLOOKUP(Main_M[[#This Row],[Industry]], Mean_PB_M, 3, FALSE))</f>
        <v>-5.2732279992156982E-2</v>
      </c>
      <c r="Q32" s="1">
        <f>(Main_M[[#This Row],[ROE]]-VLOOKUP(Main_M[[#This Row],[Industry]], Mean_ROE_M, 2, FALSE))/(VLOOKUP(Main_M[[#This Row],[Industry]], Mean_ROE_M, 3, FALSE))</f>
        <v>-0.6302168570281097</v>
      </c>
      <c r="R32" s="1">
        <f>(Main_M[[#This Row],[ROA]]-VLOOKUP(Main_M[[#This Row],[Industry]], Mean_ROA_M, 2, FALSE))/(VLOOKUP(Main_M[[#This Row],[Industry]], Mean_ROA_M, 3, FALSE))</f>
        <v>-0.77620875233556841</v>
      </c>
      <c r="S32" s="1">
        <f>(Main_M[[#This Row],[A/E]]-VLOOKUP(Main_M[[#This Row],[Industry]], Mean_AE_M, 2, FALSE))/(VLOOKUP(Main_M[[#This Row],[Industry]], Mean_AE_M, 3, FALSE))</f>
        <v>-0.40445851404986538</v>
      </c>
      <c r="T32" s="1">
        <f>(Main_M[[#This Row],[P/E]]-VLOOKUP(Main_M[[#This Row],[Industry]], Mean_PE_M, 2, FALSE))/(VLOOKUP(Main_M[[#This Row],[Industry]], Mean_PE_M, 3, FALSE))</f>
        <v>1.5838943891173876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192</v>
      </c>
      <c r="B33" t="s">
        <v>356</v>
      </c>
      <c r="C33" s="2">
        <v>3539</v>
      </c>
      <c r="D33">
        <f>RTD("tos.rtd", , "LAST", Main_M[[#This Row],[Symbol]])</f>
        <v>70.03</v>
      </c>
      <c r="E33">
        <v>3.64</v>
      </c>
      <c r="F33">
        <v>22.42</v>
      </c>
      <c r="G33">
        <v>4.05</v>
      </c>
      <c r="H33" s="1">
        <f>IF(ISNUMBER(Main_M[[#This Row],[Free CF]]),IF(Main_M[[#This Row],[Free CF]]&lt;&gt;0,Main_M[[#This Row],[Current Price]]/Main_M[[#This Row],[Free CF]],""),"")</f>
        <v>19.239010989010989</v>
      </c>
      <c r="I33" s="1">
        <f>IF(ISNUMBER(Main_M[[#This Row],[BVPS]]),IF(Main_M[[#This Row],[BVPS]]&lt;&gt;0,Main_M[[#This Row],[Current Price]]/Main_M[[#This Row],[BVPS]],""),"")</f>
        <v>3.123550401427297</v>
      </c>
      <c r="J33">
        <v>18.7</v>
      </c>
      <c r="K33">
        <v>10.07</v>
      </c>
      <c r="L33">
        <v>1.42</v>
      </c>
      <c r="M33" s="1">
        <f>IF(ISNUMBER(Main_M[[#This Row],[EPS]]),IF(Main_M[[#This Row],[EPS]]&lt;&gt;0,Main_M[[#This Row],[Current Price]]/Main_M[[#This Row],[EPS]],""),"")</f>
        <v>17.291358024691359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0.62416517361605606</v>
      </c>
      <c r="P33" s="1">
        <f>(Main_M[[#This Row],[P/B]]-VLOOKUP(Main_M[[#This Row],[Industry]], Mean_PB_M, 2, FALSE))/(VLOOKUP(Main_M[[#This Row],[Industry]], Mean_PB_M, 3, FALSE))</f>
        <v>5.9480122222367947E-2</v>
      </c>
      <c r="Q33" s="1">
        <f>(Main_M[[#This Row],[ROE]]-VLOOKUP(Main_M[[#This Row],[Industry]], Mean_ROE_M, 2, FALSE))/(VLOOKUP(Main_M[[#This Row],[Industry]], Mean_ROE_M, 3, FALSE))</f>
        <v>1.6219022599469266</v>
      </c>
      <c r="R33" s="1">
        <f>(Main_M[[#This Row],[ROA]]-VLOOKUP(Main_M[[#This Row],[Industry]], Mean_ROA_M, 2, FALSE))/(VLOOKUP(Main_M[[#This Row],[Industry]], Mean_ROA_M, 3, FALSE))</f>
        <v>1.7943943137231462</v>
      </c>
      <c r="S33" s="1">
        <f>(Main_M[[#This Row],[A/E]]-VLOOKUP(Main_M[[#This Row],[Industry]], Mean_AE_M, 2, FALSE))/(VLOOKUP(Main_M[[#This Row],[Industry]], Mean_AE_M, 3, FALSE))</f>
        <v>-1.3402519245465701</v>
      </c>
      <c r="T33" s="1">
        <f>(Main_M[[#This Row],[P/E]]-VLOOKUP(Main_M[[#This Row],[Industry]], Mean_PE_M, 2, FALSE))/(VLOOKUP(Main_M[[#This Row],[Industry]], Mean_PE_M, 3, FALSE))</f>
        <v>-0.54353025091846463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192</v>
      </c>
      <c r="B34" t="s">
        <v>357</v>
      </c>
      <c r="C34" s="2">
        <v>3607</v>
      </c>
      <c r="D34">
        <f>RTD("tos.rtd", , "LAST", Main_M[[#This Row],[Symbol]])</f>
        <v>48.25</v>
      </c>
      <c r="E34">
        <v>4.28</v>
      </c>
      <c r="F34">
        <v>29.23</v>
      </c>
      <c r="G34">
        <v>2.4300000000000002</v>
      </c>
      <c r="H34" s="1">
        <f>IF(ISNUMBER(Main_M[[#This Row],[Free CF]]),IF(Main_M[[#This Row],[Free CF]]&lt;&gt;0,Main_M[[#This Row],[Current Price]]/Main_M[[#This Row],[Free CF]],""),"")</f>
        <v>11.273364485981308</v>
      </c>
      <c r="I34" s="1">
        <f>IF(ISNUMBER(Main_M[[#This Row],[BVPS]]),IF(Main_M[[#This Row],[BVPS]]&lt;&gt;0,Main_M[[#This Row],[Current Price]]/Main_M[[#This Row],[BVPS]],""),"")</f>
        <v>1.650701334245638</v>
      </c>
      <c r="J34">
        <v>8.44</v>
      </c>
      <c r="K34">
        <v>3.27</v>
      </c>
      <c r="L34">
        <v>2.75</v>
      </c>
      <c r="M34" s="1">
        <f>IF(ISNUMBER(Main_M[[#This Row],[EPS]]),IF(Main_M[[#This Row],[EPS]]&lt;&gt;0,Main_M[[#This Row],[Current Price]]/Main_M[[#This Row],[EPS]],""),"")</f>
        <v>19.855967078189298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-0.64545340094591486</v>
      </c>
      <c r="P34" s="1">
        <f>(Main_M[[#This Row],[P/B]]-VLOOKUP(Main_M[[#This Row],[Industry]], Mean_PB_M, 2, FALSE))/(VLOOKUP(Main_M[[#This Row],[Industry]], Mean_PB_M, 3, FALSE))</f>
        <v>-0.88018466923720506</v>
      </c>
      <c r="Q34" s="1">
        <f>(Main_M[[#This Row],[ROE]]-VLOOKUP(Main_M[[#This Row],[Industry]], Mean_ROE_M, 2, FALSE))/(VLOOKUP(Main_M[[#This Row],[Industry]], Mean_ROE_M, 3, FALSE))</f>
        <v>0.19418297863025755</v>
      </c>
      <c r="R34" s="1">
        <f>(Main_M[[#This Row],[ROA]]-VLOOKUP(Main_M[[#This Row],[Industry]], Mean_ROA_M, 2, FALSE))/(VLOOKUP(Main_M[[#This Row],[Industry]], Mean_ROA_M, 3, FALSE))</f>
        <v>-0.72225581055300991</v>
      </c>
      <c r="S34" s="1">
        <f>(Main_M[[#This Row],[A/E]]-VLOOKUP(Main_M[[#This Row],[Industry]], Mean_AE_M, 2, FALSE))/(VLOOKUP(Main_M[[#This Row],[Industry]], Mean_AE_M, 3, FALSE))</f>
        <v>0.72446049975490301</v>
      </c>
      <c r="T34" s="1">
        <f>(Main_M[[#This Row],[P/E]]-VLOOKUP(Main_M[[#This Row],[Industry]], Mean_PE_M, 2, FALSE))/(VLOOKUP(Main_M[[#This Row],[Industry]], Mean_PE_M, 3, FALSE))</f>
        <v>-0.47871676251278628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192</v>
      </c>
      <c r="B35" t="s">
        <v>358</v>
      </c>
      <c r="C35" s="2">
        <v>7041</v>
      </c>
      <c r="D35">
        <f>RTD("tos.rtd", , "LAST", Main_M[[#This Row],[Symbol]])</f>
        <v>116.97</v>
      </c>
      <c r="E35">
        <v>0.96</v>
      </c>
      <c r="F35">
        <v>24.19</v>
      </c>
      <c r="G35">
        <v>0.12</v>
      </c>
      <c r="H35" s="1">
        <f>IF(ISNUMBER(Main_M[[#This Row],[Free CF]]),IF(Main_M[[#This Row],[Free CF]]&lt;&gt;0,Main_M[[#This Row],[Current Price]]/Main_M[[#This Row],[Free CF]],""),"")</f>
        <v>121.84375</v>
      </c>
      <c r="I35" s="1">
        <f>IF(ISNUMBER(Main_M[[#This Row],[BVPS]]),IF(Main_M[[#This Row],[BVPS]]&lt;&gt;0,Main_M[[#This Row],[Current Price]]/Main_M[[#This Row],[BVPS]],""),"")</f>
        <v>4.8354692021496479</v>
      </c>
      <c r="J35">
        <v>0.53</v>
      </c>
      <c r="K35">
        <v>2.2000000000000002</v>
      </c>
      <c r="L35">
        <v>2.04</v>
      </c>
      <c r="M35" s="1">
        <f>IF(ISNUMBER(Main_M[[#This Row],[EPS]]),IF(Main_M[[#This Row],[EPS]]&lt;&gt;0,Main_M[[#This Row],[Current Price]]/Main_M[[#This Row],[EPS]],""),"")</f>
        <v>974.75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16.978001919558523</v>
      </c>
      <c r="P35" s="1">
        <f>(Main_M[[#This Row],[P/B]]-VLOOKUP(Main_M[[#This Row],[Industry]], Mean_PB_M, 2, FALSE))/(VLOOKUP(Main_M[[#This Row],[Industry]], Mean_PB_M, 3, FALSE))</f>
        <v>1.1516693076048536</v>
      </c>
      <c r="Q35" s="1">
        <f>(Main_M[[#This Row],[ROE]]-VLOOKUP(Main_M[[#This Row],[Industry]], Mean_ROE_M, 2, FALSE))/(VLOOKUP(Main_M[[#This Row],[Industry]], Mean_ROE_M, 3, FALSE))</f>
        <v>-0.90652457645890905</v>
      </c>
      <c r="R35" s="1">
        <f>(Main_M[[#This Row],[ROA]]-VLOOKUP(Main_M[[#This Row],[Industry]], Mean_ROA_M, 2, FALSE))/(VLOOKUP(Main_M[[#This Row],[Industry]], Mean_ROA_M, 3, FALSE))</f>
        <v>-1.1182581095199933</v>
      </c>
      <c r="S35" s="1">
        <f>(Main_M[[#This Row],[A/E]]-VLOOKUP(Main_M[[#This Row],[Industry]], Mean_AE_M, 2, FALSE))/(VLOOKUP(Main_M[[#This Row],[Industry]], Mean_AE_M, 3, FALSE))</f>
        <v>-0.37775440344362765</v>
      </c>
      <c r="T35" s="1">
        <f>(Main_M[[#This Row],[P/E]]-VLOOKUP(Main_M[[#This Row],[Industry]], Mean_PE_M, 2, FALSE))/(VLOOKUP(Main_M[[#This Row],[Industry]], Mean_PE_M, 3, FALSE))</f>
        <v>23.653621555101658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6" spans="1:26" x14ac:dyDescent="0.25">
      <c r="A36" t="s">
        <v>192</v>
      </c>
      <c r="B36" t="s">
        <v>359</v>
      </c>
      <c r="C36" s="2">
        <v>2680</v>
      </c>
      <c r="D36">
        <f>RTD("tos.rtd", , "LAST", Main_M[[#This Row],[Symbol]])</f>
        <v>47.94</v>
      </c>
      <c r="E36">
        <v>4.6900000000000004</v>
      </c>
      <c r="F36">
        <v>17.71</v>
      </c>
      <c r="G36">
        <v>2.56</v>
      </c>
      <c r="H36" s="1">
        <f>IF(ISNUMBER(Main_M[[#This Row],[Free CF]]),IF(Main_M[[#This Row],[Free CF]]&lt;&gt;0,Main_M[[#This Row],[Current Price]]/Main_M[[#This Row],[Free CF]],""),"")</f>
        <v>10.221748400852878</v>
      </c>
      <c r="I36" s="1">
        <f>IF(ISNUMBER(Main_M[[#This Row],[BVPS]]),IF(Main_M[[#This Row],[BVPS]]&lt;&gt;0,Main_M[[#This Row],[Current Price]]/Main_M[[#This Row],[BVPS]],""),"")</f>
        <v>2.7069452286843587</v>
      </c>
      <c r="J36">
        <v>15.6</v>
      </c>
      <c r="K36">
        <v>7.08</v>
      </c>
      <c r="L36">
        <v>2.2599999999999998</v>
      </c>
      <c r="M36" s="1">
        <f>IF(ISNUMBER(Main_M[[#This Row],[EPS]]),IF(Main_M[[#This Row],[EPS]]&lt;&gt;0,Main_M[[#This Row],[Current Price]]/Main_M[[#This Row],[EPS]],""),"")</f>
        <v>18.7265625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6" s="1">
        <f>(Main_M[[#This Row],[P/FCF]]-VLOOKUP(Main_M[[#This Row],[Industry]], Mean_PFCF_M, 2, FALSE))/(VLOOKUP(Main_M[[#This Row],[Industry]], Mean_PFCF_M, 3, FALSE))</f>
        <v>-0.81306707982048976</v>
      </c>
      <c r="P36" s="1">
        <f>(Main_M[[#This Row],[P/B]]-VLOOKUP(Main_M[[#This Row],[Industry]], Mean_PB_M, 2, FALSE))/(VLOOKUP(Main_M[[#This Row],[Industry]], Mean_PB_M, 3, FALSE))</f>
        <v>-0.20631032534573257</v>
      </c>
      <c r="Q36" s="1">
        <f>(Main_M[[#This Row],[ROE]]-VLOOKUP(Main_M[[#This Row],[Industry]], Mean_ROE_M, 2, FALSE))/(VLOOKUP(Main_M[[#This Row],[Industry]], Mean_ROE_M, 3, FALSE))</f>
        <v>1.190525089178732</v>
      </c>
      <c r="R36" s="1">
        <f>(Main_M[[#This Row],[ROA]]-VLOOKUP(Main_M[[#This Row],[Industry]], Mean_ROA_M, 2, FALSE))/(VLOOKUP(Main_M[[#This Row],[Industry]], Mean_ROA_M, 3, FALSE))</f>
        <v>0.68780845025465986</v>
      </c>
      <c r="S36" s="1">
        <f>(Main_M[[#This Row],[A/E]]-VLOOKUP(Main_M[[#This Row],[Industry]], Mean_AE_M, 2, FALSE))/(VLOOKUP(Main_M[[#This Row],[Industry]], Mean_AE_M, 3, FALSE))</f>
        <v>-3.6223024987745288E-2</v>
      </c>
      <c r="T36" s="1">
        <f>(Main_M[[#This Row],[P/E]]-VLOOKUP(Main_M[[#This Row],[Industry]], Mean_PE_M, 2, FALSE))/(VLOOKUP(Main_M[[#This Row],[Industry]], Mean_PE_M, 3, FALSE))</f>
        <v>-0.50725937817342737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192</v>
      </c>
      <c r="B37" t="s">
        <v>360</v>
      </c>
      <c r="C37" s="2">
        <v>6921</v>
      </c>
      <c r="D37">
        <f>RTD("tos.rtd", , "LAST", Main_M[[#This Row],[Symbol]])</f>
        <v>166.09</v>
      </c>
      <c r="E37">
        <v>7.51</v>
      </c>
      <c r="F37">
        <v>27.77</v>
      </c>
      <c r="G37">
        <v>6.89</v>
      </c>
      <c r="H37" s="1">
        <f>IF(ISNUMBER(Main_M[[#This Row],[Free CF]]),IF(Main_M[[#This Row],[Free CF]]&lt;&gt;0,Main_M[[#This Row],[Current Price]]/Main_M[[#This Row],[Free CF]],""),"")</f>
        <v>22.115845539280961</v>
      </c>
      <c r="I37" s="1">
        <f>IF(ISNUMBER(Main_M[[#This Row],[BVPS]]),IF(Main_M[[#This Row],[BVPS]]&lt;&gt;0,Main_M[[#This Row],[Current Price]]/Main_M[[#This Row],[BVPS]],""),"")</f>
        <v>5.9809146561037094</v>
      </c>
      <c r="J37">
        <v>27.84</v>
      </c>
      <c r="K37">
        <v>11.69</v>
      </c>
      <c r="L37">
        <v>2.0499999999999998</v>
      </c>
      <c r="M37" s="1">
        <f>IF(ISNUMBER(Main_M[[#This Row],[EPS]]),IF(Main_M[[#This Row],[EPS]]&lt;&gt;0,Main_M[[#This Row],[Current Price]]/Main_M[[#This Row],[EPS]],""),"")</f>
        <v>24.105950653120466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1.0826945069947334</v>
      </c>
      <c r="P37" s="1">
        <f>(Main_M[[#This Row],[P/B]]-VLOOKUP(Main_M[[#This Row],[Industry]], Mean_PB_M, 2, FALSE))/(VLOOKUP(Main_M[[#This Row],[Industry]], Mean_PB_M, 3, FALSE))</f>
        <v>1.8824534643804411</v>
      </c>
      <c r="Q37" s="1">
        <f>(Main_M[[#This Row],[ROE]]-VLOOKUP(Main_M[[#This Row],[Industry]], Mean_ROE_M, 2, FALSE))/(VLOOKUP(Main_M[[#This Row],[Industry]], Mean_ROE_M, 3, FALSE))</f>
        <v>2.8937691440828286</v>
      </c>
      <c r="R37" s="1">
        <f>(Main_M[[#This Row],[ROA]]-VLOOKUP(Main_M[[#This Row],[Industry]], Mean_ROA_M, 2, FALSE))/(VLOOKUP(Main_M[[#This Row],[Industry]], Mean_ROA_M, 3, FALSE))</f>
        <v>2.3939491962712891</v>
      </c>
      <c r="S37" s="1">
        <f>(Main_M[[#This Row],[A/E]]-VLOOKUP(Main_M[[#This Row],[Industry]], Mean_AE_M, 2, FALSE))/(VLOOKUP(Main_M[[#This Row],[Industry]], Mean_AE_M, 3, FALSE))</f>
        <v>-0.3622302498774515</v>
      </c>
      <c r="T37" s="1">
        <f>(Main_M[[#This Row],[P/E]]-VLOOKUP(Main_M[[#This Row],[Industry]], Mean_PE_M, 2, FALSE))/(VLOOKUP(Main_M[[#This Row],[Industry]], Mean_PE_M, 3, FALSE))</f>
        <v>-0.37131003680446728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192</v>
      </c>
      <c r="B38" t="s">
        <v>361</v>
      </c>
      <c r="C38" s="2">
        <v>3745</v>
      </c>
      <c r="D38">
        <f>RTD("tos.rtd", , "LAST", Main_M[[#This Row],[Symbol]])</f>
        <v>16.690000000000001</v>
      </c>
      <c r="E38">
        <v>0.05</v>
      </c>
      <c r="F38">
        <v>2.73</v>
      </c>
      <c r="G38">
        <v>-0.47</v>
      </c>
      <c r="H38" s="1">
        <f>IF(ISNUMBER(Main_M[[#This Row],[Free CF]]),IF(Main_M[[#This Row],[Free CF]]&lt;&gt;0,Main_M[[#This Row],[Current Price]]/Main_M[[#This Row],[Free CF]],""),"")</f>
        <v>333.8</v>
      </c>
      <c r="I38" s="1">
        <f>IF(ISNUMBER(Main_M[[#This Row],[BVPS]]),IF(Main_M[[#This Row],[BVPS]]&lt;&gt;0,Main_M[[#This Row],[Current Price]]/Main_M[[#This Row],[BVPS]],""),"")</f>
        <v>6.113553113553114</v>
      </c>
      <c r="J38">
        <v>-16.64</v>
      </c>
      <c r="K38">
        <v>-4.9800000000000004</v>
      </c>
      <c r="L38">
        <v>2.27</v>
      </c>
      <c r="M38" s="1">
        <f>IF(ISNUMBER(Main_M[[#This Row],[EPS]]),IF(Main_M[[#This Row],[EPS]]&lt;&gt;0,Main_M[[#This Row],[Current Price]]/Main_M[[#This Row],[EPS]],""),"")</f>
        <v>-35.510638297872347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50.761021526585893</v>
      </c>
      <c r="P38" s="1">
        <f>(Main_M[[#This Row],[P/B]]-VLOOKUP(Main_M[[#This Row],[Industry]], Mean_PB_M, 2, FALSE))/(VLOOKUP(Main_M[[#This Row],[Industry]], Mean_PB_M, 3, FALSE))</f>
        <v>1.967075637307643</v>
      </c>
      <c r="Q38" s="1">
        <f>(Main_M[[#This Row],[ROE]]-VLOOKUP(Main_M[[#This Row],[Industry]], Mean_ROE_M, 2, FALSE))/(VLOOKUP(Main_M[[#This Row],[Industry]], Mean_ROE_M, 3, FALSE))</f>
        <v>-3.2957974868104882</v>
      </c>
      <c r="R38" s="1">
        <f>(Main_M[[#This Row],[ROA]]-VLOOKUP(Main_M[[#This Row],[Industry]], Mean_ROA_M, 2, FALSE))/(VLOOKUP(Main_M[[#This Row],[Industry]], Mean_ROA_M, 3, FALSE))</f>
        <v>-3.7755445642704051</v>
      </c>
      <c r="S38" s="1">
        <f>(Main_M[[#This Row],[A/E]]-VLOOKUP(Main_M[[#This Row],[Industry]], Mean_AE_M, 2, FALSE))/(VLOOKUP(Main_M[[#This Row],[Industry]], Mean_AE_M, 3, FALSE))</f>
        <v>-2.0698871421568441E-2</v>
      </c>
      <c r="T38" s="1">
        <f>(Main_M[[#This Row],[P/E]]-VLOOKUP(Main_M[[#This Row],[Industry]], Mean_PE_M, 2, FALSE))/(VLOOKUP(Main_M[[#This Row],[Industry]], Mean_PE_M, 3, FALSE))</f>
        <v>-1.8779564753683127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192</v>
      </c>
      <c r="B39" t="s">
        <v>362</v>
      </c>
      <c r="C39" s="2">
        <v>2729</v>
      </c>
      <c r="D39">
        <f>RTD("tos.rtd", , "LAST", Main_M[[#This Row],[Symbol]])</f>
        <v>18.23</v>
      </c>
      <c r="E39">
        <v>-0.64</v>
      </c>
      <c r="F39">
        <v>5.87</v>
      </c>
      <c r="G39">
        <v>0.03</v>
      </c>
      <c r="H39" s="1">
        <f>IF(ISNUMBER(Main_M[[#This Row],[Free CF]]),IF(Main_M[[#This Row],[Free CF]]&lt;&gt;0,Main_M[[#This Row],[Current Price]]/Main_M[[#This Row],[Free CF]],""),"")</f>
        <v>-28.484375</v>
      </c>
      <c r="I39" s="1">
        <f>IF(ISNUMBER(Main_M[[#This Row],[BVPS]]),IF(Main_M[[#This Row],[BVPS]]&lt;&gt;0,Main_M[[#This Row],[Current Price]]/Main_M[[#This Row],[BVPS]],""),"")</f>
        <v>3.1056218057921634</v>
      </c>
      <c r="J39">
        <v>0.69</v>
      </c>
      <c r="K39">
        <v>3.25</v>
      </c>
      <c r="L39">
        <v>5.98</v>
      </c>
      <c r="M39" s="1">
        <f>IF(ISNUMBER(Main_M[[#This Row],[EPS]]),IF(Main_M[[#This Row],[EPS]]&lt;&gt;0,Main_M[[#This Row],[Current Price]]/Main_M[[#This Row],[EPS]],""),"")</f>
        <v>607.66666666666674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-6.9823106183480581</v>
      </c>
      <c r="P39" s="1">
        <f>(Main_M[[#This Row],[P/B]]-VLOOKUP(Main_M[[#This Row],[Industry]], Mean_PB_M, 2, FALSE))/(VLOOKUP(Main_M[[#This Row],[Industry]], Mean_PB_M, 3, FALSE))</f>
        <v>4.804183539852671E-2</v>
      </c>
      <c r="Q39" s="1">
        <f>(Main_M[[#This Row],[ROE]]-VLOOKUP(Main_M[[#This Row],[Industry]], Mean_ROE_M, 2, FALSE))/(VLOOKUP(Main_M[[#This Row],[Industry]], Mean_ROE_M, 3, FALSE))</f>
        <v>-0.88425994829022803</v>
      </c>
      <c r="R39" s="1">
        <f>(Main_M[[#This Row],[ROA]]-VLOOKUP(Main_M[[#This Row],[Industry]], Mean_ROA_M, 2, FALSE))/(VLOOKUP(Main_M[[#This Row],[Industry]], Mean_ROA_M, 3, FALSE))</f>
        <v>-0.72965772268323392</v>
      </c>
      <c r="S39" s="1">
        <f>(Main_M[[#This Row],[A/E]]-VLOOKUP(Main_M[[#This Row],[Industry]], Mean_AE_M, 2, FALSE))/(VLOOKUP(Main_M[[#This Row],[Industry]], Mean_AE_M, 3, FALSE))</f>
        <v>5.7387621016299093</v>
      </c>
      <c r="T39" s="1">
        <f>(Main_M[[#This Row],[P/E]]-VLOOKUP(Main_M[[#This Row],[Industry]], Mean_PE_M, 2, FALSE))/(VLOOKUP(Main_M[[#This Row],[Industry]], Mean_PE_M, 3, FALSE))</f>
        <v>14.376593020687308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0" spans="1:26" x14ac:dyDescent="0.25">
      <c r="A40" t="s">
        <v>192</v>
      </c>
      <c r="B40" t="s">
        <v>363</v>
      </c>
      <c r="C40" s="2">
        <v>2158</v>
      </c>
      <c r="D40">
        <f>RTD("tos.rtd", , "LAST", Main_M[[#This Row],[Symbol]])</f>
        <v>23.8</v>
      </c>
      <c r="E40">
        <v>1.68</v>
      </c>
      <c r="F40">
        <v>12.42</v>
      </c>
      <c r="G40">
        <v>0.18</v>
      </c>
      <c r="H40" s="1">
        <f>IF(ISNUMBER(Main_M[[#This Row],[Free CF]]),IF(Main_M[[#This Row],[Free CF]]&lt;&gt;0,Main_M[[#This Row],[Current Price]]/Main_M[[#This Row],[Free CF]],""),"")</f>
        <v>14.166666666666668</v>
      </c>
      <c r="I40" s="1">
        <f>IF(ISNUMBER(Main_M[[#This Row],[BVPS]]),IF(Main_M[[#This Row],[BVPS]]&lt;&gt;0,Main_M[[#This Row],[Current Price]]/Main_M[[#This Row],[BVPS]],""),"")</f>
        <v>1.9162640901771337</v>
      </c>
      <c r="J40">
        <v>3.69</v>
      </c>
      <c r="K40">
        <v>3.42</v>
      </c>
      <c r="L40">
        <v>3.49</v>
      </c>
      <c r="M40" s="1">
        <f>IF(ISNUMBER(Main_M[[#This Row],[EPS]]),IF(Main_M[[#This Row],[EPS]]&lt;&gt;0,Main_M[[#This Row],[Current Price]]/Main_M[[#This Row],[EPS]],""),"")</f>
        <v>132.22222222222223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-0.18429934533704001</v>
      </c>
      <c r="P40" s="1">
        <f>(Main_M[[#This Row],[P/B]]-VLOOKUP(Main_M[[#This Row],[Industry]], Mean_PB_M, 2, FALSE))/(VLOOKUP(Main_M[[#This Row],[Industry]], Mean_PB_M, 3, FALSE))</f>
        <v>-0.71075795931009711</v>
      </c>
      <c r="Q40" s="1">
        <f>(Main_M[[#This Row],[ROE]]-VLOOKUP(Main_M[[#This Row],[Industry]], Mean_ROE_M, 2, FALSE))/(VLOOKUP(Main_M[[#This Row],[Industry]], Mean_ROE_M, 3, FALSE))</f>
        <v>-0.46679817012745944</v>
      </c>
      <c r="R40" s="1">
        <f>(Main_M[[#This Row],[ROA]]-VLOOKUP(Main_M[[#This Row],[Industry]], Mean_ROA_M, 2, FALSE))/(VLOOKUP(Main_M[[#This Row],[Industry]], Mean_ROA_M, 3, FALSE))</f>
        <v>-0.66674146957633007</v>
      </c>
      <c r="S40" s="1">
        <f>(Main_M[[#This Row],[A/E]]-VLOOKUP(Main_M[[#This Row],[Industry]], Mean_AE_M, 2, FALSE))/(VLOOKUP(Main_M[[#This Row],[Industry]], Mean_AE_M, 3, FALSE))</f>
        <v>1.8732478636519634</v>
      </c>
      <c r="T40" s="1">
        <f>(Main_M[[#This Row],[P/E]]-VLOOKUP(Main_M[[#This Row],[Industry]], Mean_PE_M, 2, FALSE))/(VLOOKUP(Main_M[[#This Row],[Industry]], Mean_PE_M, 3, FALSE))</f>
        <v>2.3610333994208621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192</v>
      </c>
      <c r="B41" t="s">
        <v>364</v>
      </c>
      <c r="C41" s="2">
        <v>3649</v>
      </c>
      <c r="D41">
        <f>RTD("tos.rtd", , "LAST", Main_M[[#This Row],[Symbol]])</f>
        <v>189.64</v>
      </c>
      <c r="E41">
        <v>7.23</v>
      </c>
      <c r="F41">
        <v>113.42</v>
      </c>
      <c r="G41">
        <v>7.77</v>
      </c>
      <c r="H41" s="1">
        <f>IF(ISNUMBER(Main_M[[#This Row],[Free CF]]),IF(Main_M[[#This Row],[Free CF]]&lt;&gt;0,Main_M[[#This Row],[Current Price]]/Main_M[[#This Row],[Free CF]],""),"")</f>
        <v>26.229598893499304</v>
      </c>
      <c r="I41" s="1">
        <f>IF(ISNUMBER(Main_M[[#This Row],[BVPS]]),IF(Main_M[[#This Row],[BVPS]]&lt;&gt;0,Main_M[[#This Row],[Current Price]]/Main_M[[#This Row],[BVPS]],""),"")</f>
        <v>1.6720155175454063</v>
      </c>
      <c r="J41">
        <v>7.07</v>
      </c>
      <c r="K41">
        <v>4.6100000000000003</v>
      </c>
      <c r="L41">
        <v>1.28</v>
      </c>
      <c r="M41" s="1">
        <f>IF(ISNUMBER(Main_M[[#This Row],[EPS]]),IF(Main_M[[#This Row],[EPS]]&lt;&gt;0,Main_M[[#This Row],[Current Price]]/Main_M[[#This Row],[EPS]],""),"")</f>
        <v>24.406692406692407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1.7383723189206985</v>
      </c>
      <c r="P41" s="1">
        <f>(Main_M[[#This Row],[P/B]]-VLOOKUP(Main_M[[#This Row],[Industry]], Mean_PB_M, 2, FALSE))/(VLOOKUP(Main_M[[#This Row],[Industry]], Mean_PB_M, 3, FALSE))</f>
        <v>-0.86658640716692215</v>
      </c>
      <c r="Q41" s="1">
        <f>(Main_M[[#This Row],[ROE]]-VLOOKUP(Main_M[[#This Row],[Industry]], Mean_ROE_M, 2, FALSE))/(VLOOKUP(Main_M[[#This Row],[Industry]], Mean_ROE_M, 3, FALSE))</f>
        <v>3.5420999359266373E-3</v>
      </c>
      <c r="R41" s="1">
        <f>(Main_M[[#This Row],[ROA]]-VLOOKUP(Main_M[[#This Row],[Industry]], Mean_ROA_M, 2, FALSE))/(VLOOKUP(Main_M[[#This Row],[Industry]], Mean_ROA_M, 3, FALSE))</f>
        <v>-0.22632769782800258</v>
      </c>
      <c r="S41" s="1">
        <f>(Main_M[[#This Row],[A/E]]-VLOOKUP(Main_M[[#This Row],[Industry]], Mean_AE_M, 2, FALSE))/(VLOOKUP(Main_M[[#This Row],[Industry]], Mean_AE_M, 3, FALSE))</f>
        <v>-1.5575900744730409</v>
      </c>
      <c r="T41" s="1">
        <f>(Main_M[[#This Row],[P/E]]-VLOOKUP(Main_M[[#This Row],[Industry]], Mean_PE_M, 2, FALSE))/(VLOOKUP(Main_M[[#This Row],[Industry]], Mean_PE_M, 3, FALSE))</f>
        <v>-0.36370961048153416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192</v>
      </c>
      <c r="B42" t="s">
        <v>365</v>
      </c>
      <c r="C42" s="2">
        <v>2421</v>
      </c>
      <c r="D42">
        <f>RTD("tos.rtd", , "LAST", Main_M[[#This Row],[Symbol]])</f>
        <v>133.31700000000001</v>
      </c>
      <c r="E42">
        <v>-4.99</v>
      </c>
      <c r="F42">
        <v>42.75</v>
      </c>
      <c r="G42">
        <v>2.0099999999999998</v>
      </c>
      <c r="H42" s="1">
        <f>IF(ISNUMBER(Main_M[[#This Row],[Free CF]]),IF(Main_M[[#This Row],[Free CF]]&lt;&gt;0,Main_M[[#This Row],[Current Price]]/Main_M[[#This Row],[Free CF]],""),"")</f>
        <v>-26.716833667334669</v>
      </c>
      <c r="I42" s="1">
        <f>IF(ISNUMBER(Main_M[[#This Row],[BVPS]]),IF(Main_M[[#This Row],[BVPS]]&lt;&gt;0,Main_M[[#This Row],[Current Price]]/Main_M[[#This Row],[BVPS]],""),"")</f>
        <v>3.1185263157894738</v>
      </c>
      <c r="J42">
        <v>4.84</v>
      </c>
      <c r="K42">
        <v>4.2</v>
      </c>
      <c r="L42">
        <v>1.86</v>
      </c>
      <c r="M42" s="1">
        <f>IF(ISNUMBER(Main_M[[#This Row],[EPS]]),IF(Main_M[[#This Row],[EPS]]&lt;&gt;0,Main_M[[#This Row],[Current Price]]/Main_M[[#This Row],[EPS]],""),"")</f>
        <v>66.326865671641798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-6.7005879350223045</v>
      </c>
      <c r="P42" s="1">
        <f>(Main_M[[#This Row],[P/B]]-VLOOKUP(Main_M[[#This Row],[Industry]], Mean_PB_M, 2, FALSE))/(VLOOKUP(Main_M[[#This Row],[Industry]], Mean_PB_M, 3, FALSE))</f>
        <v>5.6274799634783421E-2</v>
      </c>
      <c r="Q42" s="1">
        <f>(Main_M[[#This Row],[ROE]]-VLOOKUP(Main_M[[#This Row],[Industry]], Mean_ROE_M, 2, FALSE))/(VLOOKUP(Main_M[[#This Row],[Industry]], Mean_ROE_M, 3, FALSE))</f>
        <v>-0.30677115516506481</v>
      </c>
      <c r="R42" s="1">
        <f>(Main_M[[#This Row],[ROA]]-VLOOKUP(Main_M[[#This Row],[Industry]], Mean_ROA_M, 2, FALSE))/(VLOOKUP(Main_M[[#This Row],[Industry]], Mean_ROA_M, 3, FALSE))</f>
        <v>-0.3780668964975944</v>
      </c>
      <c r="S42" s="1">
        <f>(Main_M[[#This Row],[A/E]]-VLOOKUP(Main_M[[#This Row],[Industry]], Mean_AE_M, 2, FALSE))/(VLOOKUP(Main_M[[#This Row],[Industry]], Mean_AE_M, 3, FALSE))</f>
        <v>-0.65718916763480439</v>
      </c>
      <c r="T42" s="1">
        <f>(Main_M[[#This Row],[P/E]]-VLOOKUP(Main_M[[#This Row],[Industry]], Mean_PE_M, 2, FALSE))/(VLOOKUP(Main_M[[#This Row],[Industry]], Mean_PE_M, 3, FALSE))</f>
        <v>0.69570826070083802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192</v>
      </c>
      <c r="B43" t="s">
        <v>366</v>
      </c>
      <c r="C43" s="2">
        <v>2148</v>
      </c>
      <c r="D43">
        <f>RTD("tos.rtd", , "LAST", Main_M[[#This Row],[Symbol]])</f>
        <v>6.38</v>
      </c>
      <c r="E43">
        <v>2.99</v>
      </c>
      <c r="F43">
        <v>6.87</v>
      </c>
      <c r="G43">
        <v>0.16</v>
      </c>
      <c r="H43" s="1">
        <f>IF(ISNUMBER(Main_M[[#This Row],[Free CF]]),IF(Main_M[[#This Row],[Free CF]]&lt;&gt;0,Main_M[[#This Row],[Current Price]]/Main_M[[#This Row],[Free CF]],""),"")</f>
        <v>2.1337792642140467</v>
      </c>
      <c r="I43" s="1">
        <f>IF(ISNUMBER(Main_M[[#This Row],[BVPS]]),IF(Main_M[[#This Row],[BVPS]]&lt;&gt;0,Main_M[[#This Row],[Current Price]]/Main_M[[#This Row],[BVPS]],""),"")</f>
        <v>0.92867540029112083</v>
      </c>
      <c r="J43">
        <v>2.36</v>
      </c>
      <c r="K43">
        <v>3.35</v>
      </c>
      <c r="L43">
        <v>3.25</v>
      </c>
      <c r="M43" s="1">
        <f>IF(ISNUMBER(Main_M[[#This Row],[EPS]]),IF(Main_M[[#This Row],[EPS]]&lt;&gt;0,Main_M[[#This Row],[Current Price]]/Main_M[[#This Row],[EPS]],""),"")</f>
        <v>39.875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-2.1021822624305893</v>
      </c>
      <c r="P43" s="1">
        <f>(Main_M[[#This Row],[P/B]]-VLOOKUP(Main_M[[#This Row],[Industry]], Mean_PB_M, 2, FALSE))/(VLOOKUP(Main_M[[#This Row],[Industry]], Mean_PB_M, 3, FALSE))</f>
        <v>-1.3408308846406836</v>
      </c>
      <c r="Q43" s="1">
        <f>(Main_M[[#This Row],[ROE]]-VLOOKUP(Main_M[[#This Row],[Industry]], Mean_ROE_M, 2, FALSE))/(VLOOKUP(Main_M[[#This Row],[Industry]], Mean_ROE_M, 3, FALSE))</f>
        <v>-0.65187289177962016</v>
      </c>
      <c r="R43" s="1">
        <f>(Main_M[[#This Row],[ROA]]-VLOOKUP(Main_M[[#This Row],[Industry]], Mean_ROA_M, 2, FALSE))/(VLOOKUP(Main_M[[#This Row],[Industry]], Mean_ROA_M, 3, FALSE))</f>
        <v>-0.69264816203211388</v>
      </c>
      <c r="S43" s="1">
        <f>(Main_M[[#This Row],[A/E]]-VLOOKUP(Main_M[[#This Row],[Industry]], Mean_AE_M, 2, FALSE))/(VLOOKUP(Main_M[[#This Row],[Industry]], Mean_AE_M, 3, FALSE))</f>
        <v>1.5006681780637274</v>
      </c>
      <c r="T43" s="1">
        <f>(Main_M[[#This Row],[P/E]]-VLOOKUP(Main_M[[#This Row],[Industry]], Mean_PE_M, 2, FALSE))/(VLOOKUP(Main_M[[#This Row],[Industry]], Mean_PE_M, 3, FALSE))</f>
        <v>2.7209611099976098E-2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192</v>
      </c>
      <c r="B44" t="s">
        <v>367</v>
      </c>
      <c r="C44" s="2">
        <v>4130</v>
      </c>
      <c r="D44">
        <f>RTD("tos.rtd", , "LAST", Main_M[[#This Row],[Symbol]])</f>
        <v>84.07</v>
      </c>
      <c r="E44">
        <v>5.29</v>
      </c>
      <c r="F44">
        <v>6.34</v>
      </c>
      <c r="G44">
        <v>2.62</v>
      </c>
      <c r="H44" s="1">
        <f>IF(ISNUMBER(Main_M[[#This Row],[Free CF]]),IF(Main_M[[#This Row],[Free CF]]&lt;&gt;0,Main_M[[#This Row],[Current Price]]/Main_M[[#This Row],[Free CF]],""),"")</f>
        <v>15.892249527410206</v>
      </c>
      <c r="I44" s="1">
        <f>IF(ISNUMBER(Main_M[[#This Row],[BVPS]]),IF(Main_M[[#This Row],[BVPS]]&lt;&gt;0,Main_M[[#This Row],[Current Price]]/Main_M[[#This Row],[BVPS]],""),"")</f>
        <v>13.260252365930599</v>
      </c>
      <c r="J44">
        <v>25.86</v>
      </c>
      <c r="K44">
        <v>4.93</v>
      </c>
      <c r="L44">
        <v>24.07</v>
      </c>
      <c r="M44" s="1">
        <f>IF(ISNUMBER(Main_M[[#This Row],[EPS]]),IF(Main_M[[#This Row],[EPS]]&lt;&gt;0,Main_M[[#This Row],[Current Price]]/Main_M[[#This Row],[EPS]],""),"")</f>
        <v>32.087786259541978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9.0735713162293341E-2</v>
      </c>
      <c r="P44" s="1">
        <f>(Main_M[[#This Row],[P/B]]-VLOOKUP(Main_M[[#This Row],[Industry]], Mean_PB_M, 2, FALSE))/(VLOOKUP(Main_M[[#This Row],[Industry]], Mean_PB_M, 3, FALSE))</f>
        <v>6.5266071006774027</v>
      </c>
      <c r="Q44" s="1">
        <f>(Main_M[[#This Row],[ROE]]-VLOOKUP(Main_M[[#This Row],[Industry]], Mean_ROE_M, 2, FALSE))/(VLOOKUP(Main_M[[#This Row],[Industry]], Mean_ROE_M, 3, FALSE))</f>
        <v>2.6182443704954013</v>
      </c>
      <c r="R44" s="1">
        <f>(Main_M[[#This Row],[ROA]]-VLOOKUP(Main_M[[#This Row],[Industry]], Mean_ROA_M, 2, FALSE))/(VLOOKUP(Main_M[[#This Row],[Industry]], Mean_ROA_M, 3, FALSE))</f>
        <v>-0.10789710374441898</v>
      </c>
      <c r="S44" s="1">
        <f>(Main_M[[#This Row],[A/E]]-VLOOKUP(Main_M[[#This Row],[Industry]], Mean_AE_M, 2, FALSE))/(VLOOKUP(Main_M[[#This Row],[Industry]], Mean_AE_M, 3, FALSE))</f>
        <v>33.821955902843179</v>
      </c>
      <c r="T44" s="1">
        <f>(Main_M[[#This Row],[P/E]]-VLOOKUP(Main_M[[#This Row],[Industry]], Mean_PE_M, 2, FALSE))/(VLOOKUP(Main_M[[#This Row],[Industry]], Mean_PE_M, 3, FALSE))</f>
        <v>-0.16959094483322501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192</v>
      </c>
      <c r="B45" t="s">
        <v>368</v>
      </c>
      <c r="C45" s="2">
        <v>2373</v>
      </c>
      <c r="D45">
        <f>RTD("tos.rtd", , "LAST", Main_M[[#This Row],[Symbol]])</f>
        <v>22.29</v>
      </c>
      <c r="E45">
        <v>1.59</v>
      </c>
      <c r="F45">
        <v>13.39</v>
      </c>
      <c r="G45">
        <v>0.67</v>
      </c>
      <c r="H45" s="1">
        <f>IF(ISNUMBER(Main_M[[#This Row],[Free CF]]),IF(Main_M[[#This Row],[Free CF]]&lt;&gt;0,Main_M[[#This Row],[Current Price]]/Main_M[[#This Row],[Free CF]],""),"")</f>
        <v>14.018867924528301</v>
      </c>
      <c r="I45" s="1">
        <f>IF(ISNUMBER(Main_M[[#This Row],[BVPS]]),IF(Main_M[[#This Row],[BVPS]]&lt;&gt;0,Main_M[[#This Row],[Current Price]]/Main_M[[#This Row],[BVPS]],""),"")</f>
        <v>1.664675130694548</v>
      </c>
      <c r="J45">
        <v>5.18</v>
      </c>
      <c r="K45">
        <v>4.26</v>
      </c>
      <c r="L45">
        <v>1.97</v>
      </c>
      <c r="M45" s="1">
        <f>IF(ISNUMBER(Main_M[[#This Row],[EPS]]),IF(Main_M[[#This Row],[EPS]]&lt;&gt;0,Main_M[[#This Row],[Current Price]]/Main_M[[#This Row],[EPS]],""),"")</f>
        <v>33.268656716417908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-0.20785650773991524</v>
      </c>
      <c r="P45" s="1">
        <f>(Main_M[[#This Row],[P/B]]-VLOOKUP(Main_M[[#This Row],[Industry]], Mean_PB_M, 2, FALSE))/(VLOOKUP(Main_M[[#This Row],[Industry]], Mean_PB_M, 3, FALSE))</f>
        <v>-0.87126950961994065</v>
      </c>
      <c r="Q45" s="1">
        <f>(Main_M[[#This Row],[ROE]]-VLOOKUP(Main_M[[#This Row],[Industry]], Mean_ROE_M, 2, FALSE))/(VLOOKUP(Main_M[[#This Row],[Industry]], Mean_ROE_M, 3, FALSE))</f>
        <v>-0.25945882030661771</v>
      </c>
      <c r="R45" s="1">
        <f>(Main_M[[#This Row],[ROA]]-VLOOKUP(Main_M[[#This Row],[Industry]], Mean_ROA_M, 2, FALSE))/(VLOOKUP(Main_M[[#This Row],[Industry]], Mean_ROA_M, 3, FALSE))</f>
        <v>-0.35586116010692254</v>
      </c>
      <c r="S45" s="1">
        <f>(Main_M[[#This Row],[A/E]]-VLOOKUP(Main_M[[#This Row],[Industry]], Mean_AE_M, 2, FALSE))/(VLOOKUP(Main_M[[#This Row],[Industry]], Mean_AE_M, 3, FALSE))</f>
        <v>-0.48642347840686317</v>
      </c>
      <c r="T45" s="1">
        <f>(Main_M[[#This Row],[P/E]]-VLOOKUP(Main_M[[#This Row],[Industry]], Mean_PE_M, 2, FALSE))/(VLOOKUP(Main_M[[#This Row],[Industry]], Mean_PE_M, 3, FALSE))</f>
        <v>-0.13974766967167701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192</v>
      </c>
      <c r="B46" t="s">
        <v>369</v>
      </c>
      <c r="C46" s="2">
        <v>3974</v>
      </c>
      <c r="D46">
        <f>RTD("tos.rtd", , "LAST", Main_M[[#This Row],[Symbol]])</f>
        <v>26.96</v>
      </c>
      <c r="E46">
        <v>1.58</v>
      </c>
      <c r="F46">
        <v>9.68</v>
      </c>
      <c r="G46">
        <v>0.27</v>
      </c>
      <c r="H46" s="1">
        <f>IF(ISNUMBER(Main_M[[#This Row],[Free CF]]),IF(Main_M[[#This Row],[Free CF]]&lt;&gt;0,Main_M[[#This Row],[Current Price]]/Main_M[[#This Row],[Free CF]],""),"")</f>
        <v>17.063291139240505</v>
      </c>
      <c r="I46" s="1">
        <f>IF(ISNUMBER(Main_M[[#This Row],[BVPS]]),IF(Main_M[[#This Row],[BVPS]]&lt;&gt;0,Main_M[[#This Row],[Current Price]]/Main_M[[#This Row],[BVPS]],""),"")</f>
        <v>2.785123966942149</v>
      </c>
      <c r="J46">
        <v>3.23</v>
      </c>
      <c r="K46">
        <v>5.55</v>
      </c>
      <c r="L46">
        <v>2.76</v>
      </c>
      <c r="M46" s="1">
        <f>IF(ISNUMBER(Main_M[[#This Row],[EPS]]),IF(Main_M[[#This Row],[EPS]]&lt;&gt;0,Main_M[[#This Row],[Current Price]]/Main_M[[#This Row],[EPS]],""),"")</f>
        <v>99.851851851851848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0.27738423960634928</v>
      </c>
      <c r="P46" s="1">
        <f>(Main_M[[#This Row],[P/B]]-VLOOKUP(Main_M[[#This Row],[Industry]], Mean_PB_M, 2, FALSE))/(VLOOKUP(Main_M[[#This Row],[Industry]], Mean_PB_M, 3, FALSE))</f>
        <v>-0.1564329757798667</v>
      </c>
      <c r="Q46" s="1">
        <f>(Main_M[[#This Row],[ROE]]-VLOOKUP(Main_M[[#This Row],[Industry]], Mean_ROE_M, 2, FALSE))/(VLOOKUP(Main_M[[#This Row],[Industry]], Mean_ROE_M, 3, FALSE))</f>
        <v>-0.53080897611241729</v>
      </c>
      <c r="R46" s="1">
        <f>(Main_M[[#This Row],[ROA]]-VLOOKUP(Main_M[[#This Row],[Industry]], Mean_ROA_M, 2, FALSE))/(VLOOKUP(Main_M[[#This Row],[Industry]], Mean_ROA_M, 3, FALSE))</f>
        <v>0.1215621722925247</v>
      </c>
      <c r="S46" s="1">
        <f>(Main_M[[#This Row],[A/E]]-VLOOKUP(Main_M[[#This Row],[Industry]], Mean_AE_M, 2, FALSE))/(VLOOKUP(Main_M[[#This Row],[Industry]], Mean_AE_M, 3, FALSE))</f>
        <v>0.7399846533210791</v>
      </c>
      <c r="T46" s="1">
        <f>(Main_M[[#This Row],[P/E]]-VLOOKUP(Main_M[[#This Row],[Industry]], Mean_PE_M, 2, FALSE))/(VLOOKUP(Main_M[[#This Row],[Industry]], Mean_PE_M, 3, FALSE))</f>
        <v>1.5429607103979697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135</v>
      </c>
      <c r="B47" t="s">
        <v>281</v>
      </c>
      <c r="C47" s="2">
        <v>5285</v>
      </c>
      <c r="D47">
        <f>RTD("tos.rtd", , "LAST", Main_M[[#This Row],[Symbol]])</f>
        <v>89.94</v>
      </c>
      <c r="E47">
        <v>2.4900000000000002</v>
      </c>
      <c r="F47">
        <v>49.88</v>
      </c>
      <c r="G47">
        <v>2.63</v>
      </c>
      <c r="H47" s="1">
        <f>IF(ISNUMBER(Main_M[[#This Row],[Free CF]]),IF(Main_M[[#This Row],[Free CF]]&lt;&gt;0,Main_M[[#This Row],[Current Price]]/Main_M[[#This Row],[Free CF]],""),"")</f>
        <v>36.120481927710841</v>
      </c>
      <c r="I47" s="1">
        <f>IF(ISNUMBER(Main_M[[#This Row],[BVPS]]),IF(Main_M[[#This Row],[BVPS]]&lt;&gt;0,Main_M[[#This Row],[Current Price]]/Main_M[[#This Row],[BVPS]],""),"")</f>
        <v>1.8031275060144345</v>
      </c>
      <c r="J47">
        <v>5.41</v>
      </c>
      <c r="K47">
        <v>3.37</v>
      </c>
      <c r="L47">
        <v>1.79</v>
      </c>
      <c r="M47" s="1">
        <f>IF(ISNUMBER(Main_M[[#This Row],[EPS]]),IF(Main_M[[#This Row],[EPS]]&lt;&gt;0,Main_M[[#This Row],[Current Price]]/Main_M[[#This Row],[EPS]],""),"")</f>
        <v>34.197718631178709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0.91752320292756973</v>
      </c>
      <c r="P47" s="1">
        <f>(Main_M[[#This Row],[P/B]]-VLOOKUP(Main_M[[#This Row],[Industry]], Mean_PB_M, 2, FALSE))/(VLOOKUP(Main_M[[#This Row],[Industry]], Mean_PB_M, 3, FALSE))</f>
        <v>-1.2277000685690778</v>
      </c>
      <c r="Q47" s="1">
        <f>(Main_M[[#This Row],[ROE]]-VLOOKUP(Main_M[[#This Row],[Industry]], Mean_ROE_M, 2, FALSE))/(VLOOKUP(Main_M[[#This Row],[Industry]], Mean_ROE_M, 3, FALSE))</f>
        <v>-0.7825574243398904</v>
      </c>
      <c r="R47" s="1">
        <f>(Main_M[[#This Row],[ROA]]-VLOOKUP(Main_M[[#This Row],[Industry]], Mean_ROA_M, 2, FALSE))/(VLOOKUP(Main_M[[#This Row],[Industry]], Mean_ROA_M, 3, FALSE))</f>
        <v>-0.49290524500960348</v>
      </c>
      <c r="S47" s="1">
        <f>(Main_M[[#This Row],[A/E]]-VLOOKUP(Main_M[[#This Row],[Industry]], Mean_AE_M, 2, FALSE))/(VLOOKUP(Main_M[[#This Row],[Industry]], Mean_AE_M, 3, FALSE))</f>
        <v>-1.6551425261117927</v>
      </c>
      <c r="T47" s="1">
        <f>(Main_M[[#This Row],[P/E]]-VLOOKUP(Main_M[[#This Row],[Industry]], Mean_PE_M, 2, FALSE))/(VLOOKUP(Main_M[[#This Row],[Industry]], Mean_PE_M, 3, FALSE))</f>
        <v>-0.10107603526091412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t="s">
        <v>135</v>
      </c>
      <c r="B48" t="s">
        <v>282</v>
      </c>
      <c r="C48" s="2">
        <v>2118</v>
      </c>
      <c r="D48">
        <f>RTD("tos.rtd", , "LAST", Main_M[[#This Row],[Symbol]])</f>
        <v>21.39</v>
      </c>
      <c r="E48">
        <v>-1.92</v>
      </c>
      <c r="F48">
        <v>3.49</v>
      </c>
      <c r="G48">
        <v>0.03</v>
      </c>
      <c r="H48" s="1">
        <f>IF(ISNUMBER(Main_M[[#This Row],[Free CF]]),IF(Main_M[[#This Row],[Free CF]]&lt;&gt;0,Main_M[[#This Row],[Current Price]]/Main_M[[#This Row],[Free CF]],""),"")</f>
        <v>-11.140625</v>
      </c>
      <c r="I48" s="1">
        <f>IF(ISNUMBER(Main_M[[#This Row],[BVPS]]),IF(Main_M[[#This Row],[BVPS]]&lt;&gt;0,Main_M[[#This Row],[Current Price]]/Main_M[[#This Row],[BVPS]],""),"")</f>
        <v>6.1289398280802292</v>
      </c>
      <c r="J48">
        <v>-2.09</v>
      </c>
      <c r="K48">
        <v>-0.61</v>
      </c>
      <c r="L48">
        <v>1.61</v>
      </c>
      <c r="M48" s="1">
        <f>IF(ISNUMBER(Main_M[[#This Row],[EPS]]),IF(Main_M[[#This Row],[EPS]]&lt;&gt;0,Main_M[[#This Row],[Current Price]]/Main_M[[#This Row],[EPS]],""),"")</f>
        <v>713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-1.7939030731521781</v>
      </c>
      <c r="P48" s="1">
        <f>(Main_M[[#This Row],[P/B]]-VLOOKUP(Main_M[[#This Row],[Industry]], Mean_PB_M, 2, FALSE))/(VLOOKUP(Main_M[[#This Row],[Industry]], Mean_PB_M, 3, FALSE))</f>
        <v>0.50260020870089372</v>
      </c>
      <c r="Q48" s="1">
        <f>(Main_M[[#This Row],[ROE]]-VLOOKUP(Main_M[[#This Row],[Industry]], Mean_ROE_M, 2, FALSE))/(VLOOKUP(Main_M[[#This Row],[Industry]], Mean_ROE_M, 3, FALSE))</f>
        <v>-1.5708203709600792</v>
      </c>
      <c r="R48" s="1">
        <f>(Main_M[[#This Row],[ROA]]-VLOOKUP(Main_M[[#This Row],[Industry]], Mean_ROA_M, 2, FALSE))/(VLOOKUP(Main_M[[#This Row],[Industry]], Mean_ROA_M, 3, FALSE))</f>
        <v>-1.7733099187594925</v>
      </c>
      <c r="S48" s="1">
        <f>(Main_M[[#This Row],[A/E]]-VLOOKUP(Main_M[[#This Row],[Industry]], Mean_AE_M, 2, FALSE))/(VLOOKUP(Main_M[[#This Row],[Industry]], Mean_AE_M, 3, FALSE))</f>
        <v>-2.0445878263733905</v>
      </c>
      <c r="T48" s="1">
        <f>(Main_M[[#This Row],[P/E]]-VLOOKUP(Main_M[[#This Row],[Industry]], Mean_PE_M, 2, FALSE))/(VLOOKUP(Main_M[[#This Row],[Industry]], Mean_PE_M, 3, FALSE))</f>
        <v>35.075912808725576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9" spans="1:26" x14ac:dyDescent="0.25">
      <c r="A49" t="s">
        <v>135</v>
      </c>
      <c r="B49" t="s">
        <v>283</v>
      </c>
      <c r="C49" s="2">
        <v>5620</v>
      </c>
      <c r="D49">
        <f>RTD("tos.rtd", , "LAST", Main_M[[#This Row],[Symbol]])</f>
        <v>238.24</v>
      </c>
      <c r="E49">
        <v>3.66</v>
      </c>
      <c r="F49">
        <v>42.28</v>
      </c>
      <c r="G49">
        <v>7.59</v>
      </c>
      <c r="H49" s="1">
        <f>IF(ISNUMBER(Main_M[[#This Row],[Free CF]]),IF(Main_M[[#This Row],[Free CF]]&lt;&gt;0,Main_M[[#This Row],[Current Price]]/Main_M[[#This Row],[Free CF]],""),"")</f>
        <v>65.092896174863384</v>
      </c>
      <c r="I49" s="1">
        <f>IF(ISNUMBER(Main_M[[#This Row],[BVPS]]),IF(Main_M[[#This Row],[BVPS]]&lt;&gt;0,Main_M[[#This Row],[Current Price]]/Main_M[[#This Row],[BVPS]],""),"")</f>
        <v>5.6348155156102173</v>
      </c>
      <c r="J49">
        <v>19.600000000000001</v>
      </c>
      <c r="K49">
        <v>7.22</v>
      </c>
      <c r="L49">
        <v>2.52</v>
      </c>
      <c r="M49" s="1">
        <f>IF(ISNUMBER(Main_M[[#This Row],[EPS]]),IF(Main_M[[#This Row],[EPS]]&lt;&gt;0,Main_M[[#This Row],[Current Price]]/Main_M[[#This Row],[EPS]],""),"")</f>
        <v>31.388669301712781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2.5797052883229541</v>
      </c>
      <c r="P49" s="1">
        <f>(Main_M[[#This Row],[P/B]]-VLOOKUP(Main_M[[#This Row],[Industry]], Mean_PB_M, 2, FALSE))/(VLOOKUP(Main_M[[#This Row],[Industry]], Mean_PB_M, 3, FALSE))</f>
        <v>0.30495329958478168</v>
      </c>
      <c r="Q49" s="1">
        <f>(Main_M[[#This Row],[ROE]]-VLOOKUP(Main_M[[#This Row],[Industry]], Mean_ROE_M, 2, FALSE))/(VLOOKUP(Main_M[[#This Row],[Industry]], Mean_ROE_M, 3, FALSE))</f>
        <v>0.70883607066550691</v>
      </c>
      <c r="R49" s="1">
        <f>(Main_M[[#This Row],[ROA]]-VLOOKUP(Main_M[[#This Row],[Industry]], Mean_ROA_M, 2, FALSE))/(VLOOKUP(Main_M[[#This Row],[Industry]], Mean_ROA_M, 3, FALSE))</f>
        <v>0.74567716552734919</v>
      </c>
      <c r="S49" s="1">
        <f>(Main_M[[#This Row],[A/E]]-VLOOKUP(Main_M[[#This Row],[Industry]], Mean_AE_M, 2, FALSE))/(VLOOKUP(Main_M[[#This Row],[Industry]], Mean_AE_M, 3, FALSE))</f>
        <v>-7.5725475050866631E-2</v>
      </c>
      <c r="T49" s="1">
        <f>(Main_M[[#This Row],[P/E]]-VLOOKUP(Main_M[[#This Row],[Industry]], Mean_PE_M, 2, FALSE))/(VLOOKUP(Main_M[[#This Row],[Industry]], Mean_PE_M, 3, FALSE))</f>
        <v>-0.24664699110032301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t="s">
        <v>135</v>
      </c>
      <c r="B50" t="s">
        <v>284</v>
      </c>
      <c r="C50" s="2">
        <v>3498</v>
      </c>
      <c r="D50">
        <f>RTD("tos.rtd", , "LAST", Main_M[[#This Row],[Symbol]])</f>
        <v>61.03</v>
      </c>
      <c r="H50" s="1" t="str">
        <f>IF(ISNUMBER(Main_M[[#This Row],[Free CF]]),IF(Main_M[[#This Row],[Free CF]]&lt;&gt;0,Main_M[[#This Row],[Current Price]]/Main_M[[#This Row],[Free CF]],""),"")</f>
        <v/>
      </c>
      <c r="I50" s="1" t="str">
        <f>IF(ISNUMBER(Main_M[[#This Row],[BVPS]]),IF(Main_M[[#This Row],[BVPS]]&lt;&gt;0,Main_M[[#This Row],[Current Price]]/Main_M[[#This Row],[BVPS]],""),"")</f>
        <v/>
      </c>
      <c r="J50">
        <v>33.020000000000003</v>
      </c>
      <c r="K50">
        <v>10.6</v>
      </c>
      <c r="L50">
        <v>2.82</v>
      </c>
      <c r="M50" s="1" t="str">
        <f>IF(ISNUMBER(Main_M[[#This Row],[EPS]]),IF(Main_M[[#This Row],[EPS]]&lt;&gt;0,Main_M[[#This Row],[Current Price]]/Main_M[[#This Row],[EPS]],""),"")</f>
        <v/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 t="e">
        <f>(Main_M[[#This Row],[P/FCF]]-VLOOKUP(Main_M[[#This Row],[Industry]], Mean_PFCF_M, 2, FALSE))/(VLOOKUP(Main_M[[#This Row],[Industry]], Mean_PFCF_M, 3, FALSE))</f>
        <v>#VALUE!</v>
      </c>
      <c r="P50" s="1" t="e">
        <f>(Main_M[[#This Row],[P/B]]-VLOOKUP(Main_M[[#This Row],[Industry]], Mean_PB_M, 2, FALSE))/(VLOOKUP(Main_M[[#This Row],[Industry]], Mean_PB_M, 3, FALSE))</f>
        <v>#VALUE!</v>
      </c>
      <c r="Q50" s="1">
        <f>(Main_M[[#This Row],[ROE]]-VLOOKUP(Main_M[[#This Row],[Industry]], Mean_ROE_M, 2, FALSE))/(VLOOKUP(Main_M[[#This Row],[Industry]], Mean_ROE_M, 3, FALSE))</f>
        <v>2.1193012364845649</v>
      </c>
      <c r="R50" s="1">
        <f>(Main_M[[#This Row],[ROA]]-VLOOKUP(Main_M[[#This Row],[Industry]], Mean_ROA_M, 2, FALSE))/(VLOOKUP(Main_M[[#This Row],[Industry]], Mean_ROA_M, 3, FALSE))</f>
        <v>1.8330560090636869</v>
      </c>
      <c r="S50" s="1">
        <f>(Main_M[[#This Row],[A/E]]-VLOOKUP(Main_M[[#This Row],[Industry]], Mean_AE_M, 2, FALSE))/(VLOOKUP(Main_M[[#This Row],[Industry]], Mean_AE_M, 3, FALSE))</f>
        <v>0.57335002538513002</v>
      </c>
      <c r="T50" s="1" t="e">
        <f>(Main_M[[#This Row],[P/E]]-VLOOKUP(Main_M[[#This Row],[Industry]], Mean_PE_M, 2, FALSE))/(VLOOKUP(Main_M[[#This Row],[Industry]], Mean_PE_M, 3, FALSE))</f>
        <v>#VALUE!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1" spans="1:26" x14ac:dyDescent="0.25">
      <c r="A51" t="s">
        <v>135</v>
      </c>
      <c r="B51" t="s">
        <v>285</v>
      </c>
      <c r="C51" s="2">
        <v>9569</v>
      </c>
      <c r="D51">
        <f>RTD("tos.rtd", , "LAST", Main_M[[#This Row],[Symbol]])</f>
        <v>45.14</v>
      </c>
      <c r="E51">
        <v>3.72</v>
      </c>
      <c r="F51">
        <v>13.14</v>
      </c>
      <c r="G51">
        <v>1.5</v>
      </c>
      <c r="H51" s="1">
        <f>IF(ISNUMBER(Main_M[[#This Row],[Free CF]]),IF(Main_M[[#This Row],[Free CF]]&lt;&gt;0,Main_M[[#This Row],[Current Price]]/Main_M[[#This Row],[Free CF]],""),"")</f>
        <v>12.134408602150538</v>
      </c>
      <c r="I51" s="1">
        <f>IF(ISNUMBER(Main_M[[#This Row],[BVPS]]),IF(Main_M[[#This Row],[BVPS]]&lt;&gt;0,Main_M[[#This Row],[Current Price]]/Main_M[[#This Row],[BVPS]],""),"")</f>
        <v>3.4353120243531201</v>
      </c>
      <c r="J51">
        <v>8.2100000000000009</v>
      </c>
      <c r="K51">
        <v>2.04</v>
      </c>
      <c r="L51">
        <v>3.15</v>
      </c>
      <c r="M51" s="1">
        <f>IF(ISNUMBER(Main_M[[#This Row],[EPS]]),IF(Main_M[[#This Row],[EPS]]&lt;&gt;0,Main_M[[#This Row],[Current Price]]/Main_M[[#This Row],[EPS]],""),"")</f>
        <v>30.093333333333334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-0.45858653513627967</v>
      </c>
      <c r="P51" s="1">
        <f>(Main_M[[#This Row],[P/B]]-VLOOKUP(Main_M[[#This Row],[Industry]], Mean_PB_M, 2, FALSE))/(VLOOKUP(Main_M[[#This Row],[Industry]], Mean_PB_M, 3, FALSE))</f>
        <v>-0.5748355625822581</v>
      </c>
      <c r="Q51" s="1">
        <f>(Main_M[[#This Row],[ROE]]-VLOOKUP(Main_M[[#This Row],[Industry]], Mean_ROE_M, 2, FALSE))/(VLOOKUP(Main_M[[#This Row],[Industry]], Mean_ROE_M, 3, FALSE))</f>
        <v>-0.48827259093501979</v>
      </c>
      <c r="R51" s="1">
        <f>(Main_M[[#This Row],[ROA]]-VLOOKUP(Main_M[[#This Row],[Industry]], Mean_ROA_M, 2, FALSE))/(VLOOKUP(Main_M[[#This Row],[Industry]], Mean_ROA_M, 3, FALSE))</f>
        <v>-0.92077916864964171</v>
      </c>
      <c r="S51" s="1">
        <f>(Main_M[[#This Row],[A/E]]-VLOOKUP(Main_M[[#This Row],[Industry]], Mean_AE_M, 2, FALSE))/(VLOOKUP(Main_M[[#This Row],[Industry]], Mean_AE_M, 3, FALSE))</f>
        <v>1.2873330758647268</v>
      </c>
      <c r="T51" s="1">
        <f>(Main_M[[#This Row],[P/E]]-VLOOKUP(Main_M[[#This Row],[Industry]], Mean_PE_M, 2, FALSE))/(VLOOKUP(Main_M[[#This Row],[Industry]], Mean_PE_M, 3, FALSE))</f>
        <v>-0.31377407679162811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135</v>
      </c>
      <c r="B52" t="s">
        <v>286</v>
      </c>
      <c r="C52" s="2">
        <v>4296</v>
      </c>
      <c r="D52">
        <f>RTD("tos.rtd", , "LAST", Main_M[[#This Row],[Symbol]])</f>
        <v>90.79</v>
      </c>
      <c r="E52">
        <v>6.68</v>
      </c>
      <c r="F52">
        <v>23.04</v>
      </c>
      <c r="G52">
        <v>2.1800000000000002</v>
      </c>
      <c r="H52" s="1">
        <f>IF(ISNUMBER(Main_M[[#This Row],[Free CF]]),IF(Main_M[[#This Row],[Free CF]]&lt;&gt;0,Main_M[[#This Row],[Current Price]]/Main_M[[#This Row],[Free CF]],""),"")</f>
        <v>13.591317365269463</v>
      </c>
      <c r="I52" s="1">
        <f>IF(ISNUMBER(Main_M[[#This Row],[BVPS]]),IF(Main_M[[#This Row],[BVPS]]&lt;&gt;0,Main_M[[#This Row],[Current Price]]/Main_M[[#This Row],[BVPS]],""),"")</f>
        <v>3.9405381944444446</v>
      </c>
      <c r="J52">
        <v>11.09</v>
      </c>
      <c r="K52">
        <v>2.67</v>
      </c>
      <c r="L52">
        <v>3.11</v>
      </c>
      <c r="M52" s="1">
        <f>IF(ISNUMBER(Main_M[[#This Row],[EPS]]),IF(Main_M[[#This Row],[EPS]]&lt;&gt;0,Main_M[[#This Row],[Current Price]]/Main_M[[#This Row],[EPS]],""),"")</f>
        <v>41.646788990825691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-0.37500193547352195</v>
      </c>
      <c r="P52" s="1">
        <f>(Main_M[[#This Row],[P/B]]-VLOOKUP(Main_M[[#This Row],[Industry]], Mean_PB_M, 2, FALSE))/(VLOOKUP(Main_M[[#This Row],[Industry]], Mean_PB_M, 3, FALSE))</f>
        <v>-0.37274797368390444</v>
      </c>
      <c r="Q52" s="1">
        <f>(Main_M[[#This Row],[ROE]]-VLOOKUP(Main_M[[#This Row],[Industry]], Mean_ROE_M, 2, FALSE))/(VLOOKUP(Main_M[[#This Row],[Industry]], Mean_ROE_M, 3, FALSE))</f>
        <v>-0.18557961943286744</v>
      </c>
      <c r="R52" s="1">
        <f>(Main_M[[#This Row],[ROA]]-VLOOKUP(Main_M[[#This Row],[Industry]], Mean_ROA_M, 2, FALSE))/(VLOOKUP(Main_M[[#This Row],[Industry]], Mean_ROA_M, 3, FALSE))</f>
        <v>-0.71810204692541313</v>
      </c>
      <c r="S52" s="1">
        <f>(Main_M[[#This Row],[A/E]]-VLOOKUP(Main_M[[#This Row],[Industry]], Mean_AE_M, 2, FALSE))/(VLOOKUP(Main_M[[#This Row],[Industry]], Mean_AE_M, 3, FALSE))</f>
        <v>1.2007896758065939</v>
      </c>
      <c r="T52" s="1">
        <f>(Main_M[[#This Row],[P/E]]-VLOOKUP(Main_M[[#This Row],[Industry]], Mean_PE_M, 2, FALSE))/(VLOOKUP(Main_M[[#This Row],[Industry]], Mean_PE_M, 3, FALSE))</f>
        <v>0.28495075358689387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t="s">
        <v>135</v>
      </c>
      <c r="B53" t="s">
        <v>287</v>
      </c>
      <c r="C53" s="2">
        <v>5356</v>
      </c>
      <c r="D53">
        <f>RTD("tos.rtd", , "LAST", Main_M[[#This Row],[Symbol]])</f>
        <v>276.69</v>
      </c>
      <c r="E53">
        <v>9.39</v>
      </c>
      <c r="F53">
        <v>30.6</v>
      </c>
      <c r="G53">
        <v>9.89</v>
      </c>
      <c r="H53" s="1">
        <f>IF(ISNUMBER(Main_M[[#This Row],[Free CF]]),IF(Main_M[[#This Row],[Free CF]]&lt;&gt;0,Main_M[[#This Row],[Current Price]]/Main_M[[#This Row],[Free CF]],""),"")</f>
        <v>29.466453674121404</v>
      </c>
      <c r="I53" s="1">
        <f>IF(ISNUMBER(Main_M[[#This Row],[BVPS]]),IF(Main_M[[#This Row],[BVPS]]&lt;&gt;0,Main_M[[#This Row],[Current Price]]/Main_M[[#This Row],[BVPS]],""),"")</f>
        <v>9.042156862745097</v>
      </c>
      <c r="J53">
        <v>40.36</v>
      </c>
      <c r="K53">
        <v>16.84</v>
      </c>
      <c r="L53">
        <v>2.04</v>
      </c>
      <c r="M53" s="1">
        <f>IF(ISNUMBER(Main_M[[#This Row],[EPS]]),IF(Main_M[[#This Row],[EPS]]&lt;&gt;0,Main_M[[#This Row],[Current Price]]/Main_M[[#This Row],[EPS]],""),"")</f>
        <v>27.97674418604651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0.53577363713437343</v>
      </c>
      <c r="P53" s="1">
        <f>(Main_M[[#This Row],[P/B]]-VLOOKUP(Main_M[[#This Row],[Industry]], Mean_PB_M, 2, FALSE))/(VLOOKUP(Main_M[[#This Row],[Industry]], Mean_PB_M, 3, FALSE))</f>
        <v>1.6678704209834774</v>
      </c>
      <c r="Q53" s="1">
        <f>(Main_M[[#This Row],[ROE]]-VLOOKUP(Main_M[[#This Row],[Industry]], Mean_ROE_M, 2, FALSE))/(VLOOKUP(Main_M[[#This Row],[Industry]], Mean_ROE_M, 3, FALSE))</f>
        <v>2.8907479069101893</v>
      </c>
      <c r="R53" s="1">
        <f>(Main_M[[#This Row],[ROA]]-VLOOKUP(Main_M[[#This Row],[Industry]], Mean_ROA_M, 2, FALSE))/(VLOOKUP(Main_M[[#This Row],[Industry]], Mean_ROA_M, 3, FALSE))</f>
        <v>3.8405246432846183</v>
      </c>
      <c r="S53" s="1">
        <f>(Main_M[[#This Row],[A/E]]-VLOOKUP(Main_M[[#This Row],[Industry]], Mean_AE_M, 2, FALSE))/(VLOOKUP(Main_M[[#This Row],[Industry]], Mean_AE_M, 3, FALSE))</f>
        <v>-1.1142462757484617</v>
      </c>
      <c r="T53" s="1">
        <f>(Main_M[[#This Row],[P/E]]-VLOOKUP(Main_M[[#This Row],[Industry]], Mean_PE_M, 2, FALSE))/(VLOOKUP(Main_M[[#This Row],[Industry]], Mean_PE_M, 3, FALSE))</f>
        <v>-0.42346026209918292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135</v>
      </c>
      <c r="B54" t="s">
        <v>288</v>
      </c>
      <c r="C54" s="2">
        <v>2681</v>
      </c>
      <c r="D54">
        <f>RTD("tos.rtd", , "LAST", Main_M[[#This Row],[Symbol]])</f>
        <v>166.2</v>
      </c>
      <c r="E54">
        <v>1.45</v>
      </c>
      <c r="F54">
        <v>36.5</v>
      </c>
      <c r="G54">
        <v>2.29</v>
      </c>
      <c r="H54" s="1">
        <f>IF(ISNUMBER(Main_M[[#This Row],[Free CF]]),IF(Main_M[[#This Row],[Free CF]]&lt;&gt;0,Main_M[[#This Row],[Current Price]]/Main_M[[#This Row],[Free CF]],""),"")</f>
        <v>114.62068965517241</v>
      </c>
      <c r="I54" s="1">
        <f>IF(ISNUMBER(Main_M[[#This Row],[BVPS]]),IF(Main_M[[#This Row],[BVPS]]&lt;&gt;0,Main_M[[#This Row],[Current Price]]/Main_M[[#This Row],[BVPS]],""),"")</f>
        <v>4.5534246575342463</v>
      </c>
      <c r="J54">
        <v>6.32</v>
      </c>
      <c r="K54">
        <v>2.2000000000000002</v>
      </c>
      <c r="L54">
        <v>2.71</v>
      </c>
      <c r="M54" s="1">
        <f>IF(ISNUMBER(Main_M[[#This Row],[EPS]]),IF(Main_M[[#This Row],[EPS]]&lt;&gt;0,Main_M[[#This Row],[Current Price]]/Main_M[[#This Row],[EPS]],""),"")</f>
        <v>72.576419213973793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5.4211740851534742</v>
      </c>
      <c r="P54" s="1">
        <f>(Main_M[[#This Row],[P/B]]-VLOOKUP(Main_M[[#This Row],[Industry]], Mean_PB_M, 2, FALSE))/(VLOOKUP(Main_M[[#This Row],[Industry]], Mean_PB_M, 3, FALSE))</f>
        <v>-0.12759688111110784</v>
      </c>
      <c r="Q54" s="1">
        <f>(Main_M[[#This Row],[ROE]]-VLOOKUP(Main_M[[#This Row],[Industry]], Mean_ROE_M, 2, FALSE))/(VLOOKUP(Main_M[[#This Row],[Industry]], Mean_ROE_M, 3, FALSE))</f>
        <v>-0.6869148534833075</v>
      </c>
      <c r="R54" s="1">
        <f>(Main_M[[#This Row],[ROA]]-VLOOKUP(Main_M[[#This Row],[Industry]], Mean_ROA_M, 2, FALSE))/(VLOOKUP(Main_M[[#This Row],[Industry]], Mean_ROA_M, 3, FALSE))</f>
        <v>-0.86930561392602801</v>
      </c>
      <c r="S54" s="1">
        <f>(Main_M[[#This Row],[A/E]]-VLOOKUP(Main_M[[#This Row],[Industry]], Mean_AE_M, 2, FALSE))/(VLOOKUP(Main_M[[#This Row],[Industry]], Mean_AE_M, 3, FALSE))</f>
        <v>0.33535567522526472</v>
      </c>
      <c r="T54" s="1">
        <f>(Main_M[[#This Row],[P/E]]-VLOOKUP(Main_M[[#This Row],[Industry]], Mean_PE_M, 2, FALSE))/(VLOOKUP(Main_M[[#This Row],[Industry]], Mean_PE_M, 3, FALSE))</f>
        <v>1.8877904716772738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t="s">
        <v>135</v>
      </c>
      <c r="B55" t="s">
        <v>289</v>
      </c>
      <c r="C55" s="2">
        <v>4439</v>
      </c>
      <c r="D55">
        <f>RTD("tos.rtd", , "LAST", Main_M[[#This Row],[Symbol]])</f>
        <v>73.83</v>
      </c>
      <c r="E55">
        <v>5.54</v>
      </c>
      <c r="F55">
        <v>25.28</v>
      </c>
      <c r="G55">
        <v>3.03</v>
      </c>
      <c r="H55" s="1">
        <f>IF(ISNUMBER(Main_M[[#This Row],[Free CF]]),IF(Main_M[[#This Row],[Free CF]]&lt;&gt;0,Main_M[[#This Row],[Current Price]]/Main_M[[#This Row],[Free CF]],""),"")</f>
        <v>13.326714801444043</v>
      </c>
      <c r="I55" s="1">
        <f>IF(ISNUMBER(Main_M[[#This Row],[BVPS]]),IF(Main_M[[#This Row],[BVPS]]&lt;&gt;0,Main_M[[#This Row],[Current Price]]/Main_M[[#This Row],[BVPS]],""),"")</f>
        <v>2.9204905063291138</v>
      </c>
      <c r="J55">
        <v>12.88</v>
      </c>
      <c r="K55">
        <v>4.78</v>
      </c>
      <c r="L55">
        <v>3.12</v>
      </c>
      <c r="M55" s="1">
        <f>IF(ISNUMBER(Main_M[[#This Row],[EPS]]),IF(Main_M[[#This Row],[EPS]]&lt;&gt;0,Main_M[[#This Row],[Current Price]]/Main_M[[#This Row],[EPS]],""),"")</f>
        <v>24.366336633663366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-0.39018250128997017</v>
      </c>
      <c r="P55" s="1">
        <f>(Main_M[[#This Row],[P/B]]-VLOOKUP(Main_M[[#This Row],[Industry]], Mean_PB_M, 2, FALSE))/(VLOOKUP(Main_M[[#This Row],[Industry]], Mean_PB_M, 3, FALSE))</f>
        <v>-0.78076123597256486</v>
      </c>
      <c r="Q55" s="1">
        <f>(Main_M[[#This Row],[ROE]]-VLOOKUP(Main_M[[#This Row],[Industry]], Mean_ROE_M, 2, FALSE))/(VLOOKUP(Main_M[[#This Row],[Industry]], Mean_ROE_M, 3, FALSE))</f>
        <v>2.5524704938177266E-3</v>
      </c>
      <c r="R55" s="1">
        <f>(Main_M[[#This Row],[ROA]]-VLOOKUP(Main_M[[#This Row],[Industry]], Mean_ROA_M, 2, FALSE))/(VLOOKUP(Main_M[[#This Row],[Industry]], Mean_ROA_M, 3, FALSE))</f>
        <v>-3.9294544007758385E-2</v>
      </c>
      <c r="S55" s="1">
        <f>(Main_M[[#This Row],[A/E]]-VLOOKUP(Main_M[[#This Row],[Industry]], Mean_AE_M, 2, FALSE))/(VLOOKUP(Main_M[[#This Row],[Industry]], Mean_AE_M, 3, FALSE))</f>
        <v>1.2224255258211276</v>
      </c>
      <c r="T55" s="1">
        <f>(Main_M[[#This Row],[P/E]]-VLOOKUP(Main_M[[#This Row],[Industry]], Mean_PE_M, 2, FALSE))/(VLOOKUP(Main_M[[#This Row],[Industry]], Mean_PE_M, 3, FALSE))</f>
        <v>-0.61055931830200127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135</v>
      </c>
      <c r="B56" t="s">
        <v>290</v>
      </c>
      <c r="C56" s="2">
        <v>5691</v>
      </c>
      <c r="D56">
        <f>RTD("tos.rtd", , "LAST", Main_M[[#This Row],[Symbol]])</f>
        <v>104.7</v>
      </c>
      <c r="E56">
        <v>2.34</v>
      </c>
      <c r="F56">
        <v>10.89</v>
      </c>
      <c r="G56">
        <v>1.31</v>
      </c>
      <c r="H56" s="1">
        <f>IF(ISNUMBER(Main_M[[#This Row],[Free CF]]),IF(Main_M[[#This Row],[Free CF]]&lt;&gt;0,Main_M[[#This Row],[Current Price]]/Main_M[[#This Row],[Free CF]],""),"")</f>
        <v>44.743589743589745</v>
      </c>
      <c r="I56" s="1">
        <f>IF(ISNUMBER(Main_M[[#This Row],[BVPS]]),IF(Main_M[[#This Row],[BVPS]]&lt;&gt;0,Main_M[[#This Row],[Current Price]]/Main_M[[#This Row],[BVPS]],""),"")</f>
        <v>9.6143250688705226</v>
      </c>
      <c r="J56">
        <v>12.64</v>
      </c>
      <c r="K56">
        <v>5.38</v>
      </c>
      <c r="L56">
        <v>2.69</v>
      </c>
      <c r="M56" s="1">
        <f>IF(ISNUMBER(Main_M[[#This Row],[EPS]]),IF(Main_M[[#This Row],[EPS]]&lt;&gt;0,Main_M[[#This Row],[Current Price]]/Main_M[[#This Row],[EPS]],""),"")</f>
        <v>79.92366412213741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1.4122412202013812</v>
      </c>
      <c r="P56" s="1">
        <f>(Main_M[[#This Row],[P/B]]-VLOOKUP(Main_M[[#This Row],[Industry]], Mean_PB_M, 2, FALSE))/(VLOOKUP(Main_M[[#This Row],[Industry]], Mean_PB_M, 3, FALSE))</f>
        <v>1.896734442812122</v>
      </c>
      <c r="Q56" s="1">
        <f>(Main_M[[#This Row],[ROE]]-VLOOKUP(Main_M[[#This Row],[Industry]], Mean_ROE_M, 2, FALSE))/(VLOOKUP(Main_M[[#This Row],[Industry]], Mean_ROE_M, 3, FALSE))</f>
        <v>-2.2671943798028338E-2</v>
      </c>
      <c r="R56" s="1">
        <f>(Main_M[[#This Row],[ROA]]-VLOOKUP(Main_M[[#This Row],[Industry]], Mean_ROA_M, 2, FALSE))/(VLOOKUP(Main_M[[#This Row],[Industry]], Mean_ROA_M, 3, FALSE))</f>
        <v>0.15373128620579257</v>
      </c>
      <c r="S56" s="1">
        <f>(Main_M[[#This Row],[A/E]]-VLOOKUP(Main_M[[#This Row],[Industry]], Mean_AE_M, 2, FALSE))/(VLOOKUP(Main_M[[#This Row],[Industry]], Mean_AE_M, 3, FALSE))</f>
        <v>0.29208397519619816</v>
      </c>
      <c r="T56" s="1">
        <f>(Main_M[[#This Row],[P/E]]-VLOOKUP(Main_M[[#This Row],[Industry]], Mean_PE_M, 2, FALSE))/(VLOOKUP(Main_M[[#This Row],[Industry]], Mean_PE_M, 3, FALSE))</f>
        <v>2.2685404474247468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135</v>
      </c>
      <c r="B57" t="s">
        <v>291</v>
      </c>
      <c r="C57" s="2">
        <v>9870</v>
      </c>
      <c r="D57">
        <f>RTD("tos.rtd", , "LAST", Main_M[[#This Row],[Symbol]])</f>
        <v>104.98</v>
      </c>
      <c r="E57">
        <v>3.02</v>
      </c>
      <c r="F57">
        <v>17.72</v>
      </c>
      <c r="G57">
        <v>2.27</v>
      </c>
      <c r="H57" s="1">
        <f>IF(ISNUMBER(Main_M[[#This Row],[Free CF]]),IF(Main_M[[#This Row],[Free CF]]&lt;&gt;0,Main_M[[#This Row],[Current Price]]/Main_M[[#This Row],[Free CF]],""),"")</f>
        <v>34.76158940397351</v>
      </c>
      <c r="I57" s="1">
        <f>IF(ISNUMBER(Main_M[[#This Row],[BVPS]]),IF(Main_M[[#This Row],[BVPS]]&lt;&gt;0,Main_M[[#This Row],[Current Price]]/Main_M[[#This Row],[BVPS]],""),"")</f>
        <v>5.9243792325056441</v>
      </c>
      <c r="J57">
        <v>13.42</v>
      </c>
      <c r="K57">
        <v>5.87</v>
      </c>
      <c r="L57">
        <v>2.54</v>
      </c>
      <c r="M57" s="1">
        <f>IF(ISNUMBER(Main_M[[#This Row],[EPS]]),IF(Main_M[[#This Row],[EPS]]&lt;&gt;0,Main_M[[#This Row],[Current Price]]/Main_M[[#This Row],[EPS]],""),"")</f>
        <v>46.246696035242294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0.83956191224376331</v>
      </c>
      <c r="P57" s="1">
        <f>(Main_M[[#This Row],[P/B]]-VLOOKUP(Main_M[[#This Row],[Industry]], Mean_PB_M, 2, FALSE))/(VLOOKUP(Main_M[[#This Row],[Industry]], Mean_PB_M, 3, FALSE))</f>
        <v>0.42077713620287432</v>
      </c>
      <c r="Q57" s="1">
        <f>(Main_M[[#This Row],[ROE]]-VLOOKUP(Main_M[[#This Row],[Industry]], Mean_ROE_M, 2, FALSE))/(VLOOKUP(Main_M[[#This Row],[Industry]], Mean_ROE_M, 3, FALSE))</f>
        <v>5.9307402650471228E-2</v>
      </c>
      <c r="R57" s="1">
        <f>(Main_M[[#This Row],[ROA]]-VLOOKUP(Main_M[[#This Row],[Industry]], Mean_ROA_M, 2, FALSE))/(VLOOKUP(Main_M[[#This Row],[Industry]], Mean_ROA_M, 3, FALSE))</f>
        <v>0.31136904754685935</v>
      </c>
      <c r="S57" s="1">
        <f>(Main_M[[#This Row],[A/E]]-VLOOKUP(Main_M[[#This Row],[Industry]], Mean_AE_M, 2, FALSE))/(VLOOKUP(Main_M[[#This Row],[Industry]], Mean_AE_M, 3, FALSE))</f>
        <v>-3.2453775021800121E-2</v>
      </c>
      <c r="T57" s="1">
        <f>(Main_M[[#This Row],[P/E]]-VLOOKUP(Main_M[[#This Row],[Industry]], Mean_PE_M, 2, FALSE))/(VLOOKUP(Main_M[[#This Row],[Industry]], Mean_PE_M, 3, FALSE))</f>
        <v>0.52332779389165263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t="s">
        <v>135</v>
      </c>
      <c r="B58" t="s">
        <v>292</v>
      </c>
      <c r="C58" s="2">
        <v>6012</v>
      </c>
      <c r="D58">
        <f>RTD("tos.rtd", , "LAST", Main_M[[#This Row],[Symbol]])</f>
        <v>202.91</v>
      </c>
      <c r="E58">
        <v>12.63</v>
      </c>
      <c r="F58">
        <v>23.34</v>
      </c>
      <c r="G58">
        <v>5.89</v>
      </c>
      <c r="H58" s="1">
        <f>IF(ISNUMBER(Main_M[[#This Row],[Free CF]]),IF(Main_M[[#This Row],[Free CF]]&lt;&gt;0,Main_M[[#This Row],[Current Price]]/Main_M[[#This Row],[Free CF]],""),"")</f>
        <v>16.065716547901818</v>
      </c>
      <c r="I58" s="1">
        <f>IF(ISNUMBER(Main_M[[#This Row],[BVPS]]),IF(Main_M[[#This Row],[BVPS]]&lt;&gt;0,Main_M[[#This Row],[Current Price]]/Main_M[[#This Row],[BVPS]],""),"")</f>
        <v>8.6936589545844036</v>
      </c>
      <c r="J58">
        <v>29.8</v>
      </c>
      <c r="K58">
        <v>8.6300000000000008</v>
      </c>
      <c r="L58">
        <v>2.82</v>
      </c>
      <c r="M58" s="1">
        <f>IF(ISNUMBER(Main_M[[#This Row],[EPS]]),IF(Main_M[[#This Row],[EPS]]&lt;&gt;0,Main_M[[#This Row],[Current Price]]/Main_M[[#This Row],[EPS]],""),"")</f>
        <v>34.449915110356535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-0.23304269250526616</v>
      </c>
      <c r="P58" s="1">
        <f>(Main_M[[#This Row],[P/B]]-VLOOKUP(Main_M[[#This Row],[Industry]], Mean_PB_M, 2, FALSE))/(VLOOKUP(Main_M[[#This Row],[Industry]], Mean_PB_M, 3, FALSE))</f>
        <v>1.5284732437082305</v>
      </c>
      <c r="Q58" s="1">
        <f>(Main_M[[#This Row],[ROE]]-VLOOKUP(Main_M[[#This Row],[Industry]], Mean_ROE_M, 2, FALSE))/(VLOOKUP(Main_M[[#This Row],[Industry]], Mean_ROE_M, 3, FALSE))</f>
        <v>1.7808736780689634</v>
      </c>
      <c r="R58" s="1">
        <f>(Main_M[[#This Row],[ROA]]-VLOOKUP(Main_M[[#This Row],[Industry]], Mean_ROA_M, 2, FALSE))/(VLOOKUP(Main_M[[#This Row],[Industry]], Mean_ROA_M, 3, FALSE))</f>
        <v>1.1992878665291946</v>
      </c>
      <c r="S58" s="1">
        <f>(Main_M[[#This Row],[A/E]]-VLOOKUP(Main_M[[#This Row],[Industry]], Mean_AE_M, 2, FALSE))/(VLOOKUP(Main_M[[#This Row],[Industry]], Mean_AE_M, 3, FALSE))</f>
        <v>0.57335002538513002</v>
      </c>
      <c r="T58" s="1">
        <f>(Main_M[[#This Row],[P/E]]-VLOOKUP(Main_M[[#This Row],[Industry]], Mean_PE_M, 2, FALSE))/(VLOOKUP(Main_M[[#This Row],[Industry]], Mean_PE_M, 3, FALSE))</f>
        <v>-8.8006673271379496E-2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t="s">
        <v>135</v>
      </c>
      <c r="B59" t="s">
        <v>293</v>
      </c>
      <c r="C59" s="2">
        <v>7325</v>
      </c>
      <c r="D59">
        <f>RTD("tos.rtd", , "LAST", Main_M[[#This Row],[Symbol]])</f>
        <v>14.2</v>
      </c>
      <c r="E59">
        <v>-2.89</v>
      </c>
      <c r="F59">
        <v>33.25</v>
      </c>
      <c r="G59">
        <v>1.42</v>
      </c>
      <c r="H59" s="1">
        <f>IF(ISNUMBER(Main_M[[#This Row],[Free CF]]),IF(Main_M[[#This Row],[Free CF]]&lt;&gt;0,Main_M[[#This Row],[Current Price]]/Main_M[[#This Row],[Free CF]],""),"")</f>
        <v>-4.9134948096885811</v>
      </c>
      <c r="I59" s="1">
        <f>IF(ISNUMBER(Main_M[[#This Row],[BVPS]]),IF(Main_M[[#This Row],[BVPS]]&lt;&gt;0,Main_M[[#This Row],[Current Price]]/Main_M[[#This Row],[BVPS]],""),"")</f>
        <v>0.42706766917293232</v>
      </c>
      <c r="J59">
        <v>8.08</v>
      </c>
      <c r="K59">
        <v>1.55</v>
      </c>
      <c r="L59">
        <v>2.58</v>
      </c>
      <c r="M59" s="1">
        <f>IF(ISNUMBER(Main_M[[#This Row],[EPS]]),IF(Main_M[[#This Row],[EPS]]&lt;&gt;0,Main_M[[#This Row],[Current Price]]/Main_M[[#This Row],[EPS]],""),"")</f>
        <v>10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-1.4366451602470542</v>
      </c>
      <c r="P59" s="1">
        <f>(Main_M[[#This Row],[P/B]]-VLOOKUP(Main_M[[#This Row],[Industry]], Mean_PB_M, 2, FALSE))/(VLOOKUP(Main_M[[#This Row],[Industry]], Mean_PB_M, 3, FALSE))</f>
        <v>-1.7781161615376873</v>
      </c>
      <c r="Q59" s="1">
        <f>(Main_M[[#This Row],[ROE]]-VLOOKUP(Main_M[[#This Row],[Industry]], Mean_ROE_M, 2, FALSE))/(VLOOKUP(Main_M[[#This Row],[Industry]], Mean_ROE_M, 3, FALSE))</f>
        <v>-0.50193581534310316</v>
      </c>
      <c r="R59" s="1">
        <f>(Main_M[[#This Row],[ROA]]-VLOOKUP(Main_M[[#This Row],[Industry]], Mean_ROA_M, 2, FALSE))/(VLOOKUP(Main_M[[#This Row],[Industry]], Mean_ROA_M, 3, FALSE))</f>
        <v>-1.0784169299907085</v>
      </c>
      <c r="S59" s="1">
        <f>(Main_M[[#This Row],[A/E]]-VLOOKUP(Main_M[[#This Row],[Industry]], Mean_AE_M, 2, FALSE))/(VLOOKUP(Main_M[[#This Row],[Industry]], Mean_AE_M, 3, FALSE))</f>
        <v>5.408962503633289E-2</v>
      </c>
      <c r="T59" s="1">
        <f>(Main_M[[#This Row],[P/E]]-VLOOKUP(Main_M[[#This Row],[Industry]], Mean_PE_M, 2, FALSE))/(VLOOKUP(Main_M[[#This Row],[Industry]], Mean_PE_M, 3, FALSE))</f>
        <v>-1.3550536686631269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135</v>
      </c>
      <c r="B60" t="s">
        <v>294</v>
      </c>
      <c r="C60" s="2">
        <v>6781</v>
      </c>
      <c r="D60">
        <f>RTD("tos.rtd", , "LAST", Main_M[[#This Row],[Symbol]])</f>
        <v>324.7</v>
      </c>
      <c r="E60">
        <v>20.53</v>
      </c>
      <c r="F60">
        <v>76.95</v>
      </c>
      <c r="G60">
        <v>14.66</v>
      </c>
      <c r="H60" s="1">
        <f>IF(ISNUMBER(Main_M[[#This Row],[Free CF]]),IF(Main_M[[#This Row],[Free CF]]&lt;&gt;0,Main_M[[#This Row],[Current Price]]/Main_M[[#This Row],[Free CF]],""),"")</f>
        <v>15.81587920116902</v>
      </c>
      <c r="I60" s="1">
        <f>IF(ISNUMBER(Main_M[[#This Row],[BVPS]]),IF(Main_M[[#This Row],[BVPS]]&lt;&gt;0,Main_M[[#This Row],[Current Price]]/Main_M[[#This Row],[BVPS]],""),"")</f>
        <v>4.2196231319038331</v>
      </c>
      <c r="J60">
        <v>19.47</v>
      </c>
      <c r="K60">
        <v>9.01</v>
      </c>
      <c r="L60">
        <v>2.27</v>
      </c>
      <c r="M60" s="1">
        <f>IF(ISNUMBER(Main_M[[#This Row],[EPS]]),IF(Main_M[[#This Row],[EPS]]&lt;&gt;0,Main_M[[#This Row],[Current Price]]/Main_M[[#This Row],[EPS]],""),"")</f>
        <v>22.148703956343791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0" s="1">
        <f>(Main_M[[#This Row],[P/FCF]]-VLOOKUP(Main_M[[#This Row],[Industry]], Mean_PFCF_M, 2, FALSE))/(VLOOKUP(Main_M[[#This Row],[Industry]], Mean_PFCF_M, 3, FALSE))</f>
        <v>-0.24737616014311711</v>
      </c>
      <c r="P60" s="1">
        <f>(Main_M[[#This Row],[P/B]]-VLOOKUP(Main_M[[#This Row],[Industry]], Mean_PB_M, 2, FALSE))/(VLOOKUP(Main_M[[#This Row],[Industry]], Mean_PB_M, 3, FALSE))</f>
        <v>-0.26111558912468646</v>
      </c>
      <c r="Q60" s="1">
        <f>(Main_M[[#This Row],[ROE]]-VLOOKUP(Main_M[[#This Row],[Industry]], Mean_ROE_M, 2, FALSE))/(VLOOKUP(Main_M[[#This Row],[Industry]], Mean_ROE_M, 3, FALSE))</f>
        <v>0.69517284625742337</v>
      </c>
      <c r="R60" s="1">
        <f>(Main_M[[#This Row],[ROA]]-VLOOKUP(Main_M[[#This Row],[Industry]], Mean_ROA_M, 2, FALSE))/(VLOOKUP(Main_M[[#This Row],[Industry]], Mean_ROA_M, 3, FALSE))</f>
        <v>1.3215375589977765</v>
      </c>
      <c r="S60" s="1">
        <f>(Main_M[[#This Row],[A/E]]-VLOOKUP(Main_M[[#This Row],[Industry]], Mean_AE_M, 2, FALSE))/(VLOOKUP(Main_M[[#This Row],[Industry]], Mean_AE_M, 3, FALSE))</f>
        <v>-0.61662172541419746</v>
      </c>
      <c r="T60" s="1">
        <f>(Main_M[[#This Row],[P/E]]-VLOOKUP(Main_M[[#This Row],[Industry]], Mean_PE_M, 2, FALSE))/(VLOOKUP(Main_M[[#This Row],[Industry]], Mean_PE_M, 3, FALSE))</f>
        <v>-0.72548179586471995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t="s">
        <v>135</v>
      </c>
      <c r="B61" t="s">
        <v>295</v>
      </c>
      <c r="C61" s="2">
        <v>7235</v>
      </c>
      <c r="D61">
        <f>RTD("tos.rtd", , "LAST", Main_M[[#This Row],[Symbol]])</f>
        <v>28.29</v>
      </c>
      <c r="E61">
        <v>1.95</v>
      </c>
      <c r="F61">
        <v>5.64</v>
      </c>
      <c r="G61">
        <v>0.13</v>
      </c>
      <c r="H61" s="1">
        <f>IF(ISNUMBER(Main_M[[#This Row],[Free CF]]),IF(Main_M[[#This Row],[Free CF]]&lt;&gt;0,Main_M[[#This Row],[Current Price]]/Main_M[[#This Row],[Free CF]],""),"")</f>
        <v>14.507692307692308</v>
      </c>
      <c r="I61" s="1">
        <f>IF(ISNUMBER(Main_M[[#This Row],[BVPS]]),IF(Main_M[[#This Row],[BVPS]]&lt;&gt;0,Main_M[[#This Row],[Current Price]]/Main_M[[#This Row],[BVPS]],""),"")</f>
        <v>5.0159574468085104</v>
      </c>
      <c r="J61">
        <v>2.13</v>
      </c>
      <c r="K61">
        <v>5.92</v>
      </c>
      <c r="L61">
        <v>5.73</v>
      </c>
      <c r="M61" s="1">
        <f>IF(ISNUMBER(Main_M[[#This Row],[EPS]]),IF(Main_M[[#This Row],[EPS]]&lt;&gt;0,Main_M[[#This Row],[Current Price]]/Main_M[[#This Row],[EPS]],""),"")</f>
        <v>217.61538461538461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-0.3224284081241337</v>
      </c>
      <c r="P61" s="1">
        <f>(Main_M[[#This Row],[P/B]]-VLOOKUP(Main_M[[#This Row],[Industry]], Mean_PB_M, 2, FALSE))/(VLOOKUP(Main_M[[#This Row],[Industry]], Mean_PB_M, 3, FALSE))</f>
        <v>5.7413598757681011E-2</v>
      </c>
      <c r="Q61" s="1">
        <f>(Main_M[[#This Row],[ROE]]-VLOOKUP(Main_M[[#This Row],[Industry]], Mean_ROE_M, 2, FALSE))/(VLOOKUP(Main_M[[#This Row],[Industry]], Mean_ROE_M, 3, FALSE))</f>
        <v>-1.1272910863284529</v>
      </c>
      <c r="R61" s="1">
        <f>(Main_M[[#This Row],[ROA]]-VLOOKUP(Main_M[[#This Row],[Industry]], Mean_ROA_M, 2, FALSE))/(VLOOKUP(Main_M[[#This Row],[Industry]], Mean_ROA_M, 3, FALSE))</f>
        <v>0.32745453339798858</v>
      </c>
      <c r="S61" s="1">
        <f>(Main_M[[#This Row],[A/E]]-VLOOKUP(Main_M[[#This Row],[Industry]], Mean_AE_M, 2, FALSE))/(VLOOKUP(Main_M[[#This Row],[Industry]], Mean_AE_M, 3, FALSE))</f>
        <v>6.8693823796143025</v>
      </c>
      <c r="T61" s="1">
        <f>(Main_M[[#This Row],[P/E]]-VLOOKUP(Main_M[[#This Row],[Industry]], Mean_PE_M, 2, FALSE))/(VLOOKUP(Main_M[[#This Row],[Industry]], Mean_PE_M, 3, FALSE))</f>
        <v>9.4040204666330887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2" spans="1:26" x14ac:dyDescent="0.25">
      <c r="A62" t="s">
        <v>142</v>
      </c>
      <c r="B62" t="s">
        <v>296</v>
      </c>
      <c r="C62" s="2">
        <v>3106</v>
      </c>
      <c r="D62">
        <f>RTD("tos.rtd", , "LAST", Main_M[[#This Row],[Symbol]])</f>
        <v>69.540000000000006</v>
      </c>
      <c r="E62">
        <v>10.97</v>
      </c>
      <c r="F62">
        <v>44.18</v>
      </c>
      <c r="G62">
        <v>12.69</v>
      </c>
      <c r="H62" s="1">
        <f>IF(ISNUMBER(Main_M[[#This Row],[Free CF]]),IF(Main_M[[#This Row],[Free CF]]&lt;&gt;0,Main_M[[#This Row],[Current Price]]/Main_M[[#This Row],[Free CF]],""),"")</f>
        <v>6.3391066545123067</v>
      </c>
      <c r="I62" s="1">
        <f>IF(ISNUMBER(Main_M[[#This Row],[BVPS]]),IF(Main_M[[#This Row],[BVPS]]&lt;&gt;0,Main_M[[#This Row],[Current Price]]/Main_M[[#This Row],[BVPS]],""),"")</f>
        <v>1.5740153915799007</v>
      </c>
      <c r="J62">
        <v>31.44</v>
      </c>
      <c r="K62">
        <v>13.09</v>
      </c>
      <c r="L62">
        <v>1.96</v>
      </c>
      <c r="M62" s="1">
        <f>IF(ISNUMBER(Main_M[[#This Row],[EPS]]),IF(Main_M[[#This Row],[EPS]]&lt;&gt;0,Main_M[[#This Row],[Current Price]]/Main_M[[#This Row],[EPS]],""),"")</f>
        <v>5.4799054373522464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2" s="1">
        <f>(Main_M[[#This Row],[P/FCF]]-VLOOKUP(Main_M[[#This Row],[Industry]], Mean_PFCF_M, 2, FALSE))/(VLOOKUP(Main_M[[#This Row],[Industry]], Mean_PFCF_M, 3, FALSE))</f>
        <v>-1.4902151316051737E-2</v>
      </c>
      <c r="P62" s="1">
        <f>(Main_M[[#This Row],[P/B]]-VLOOKUP(Main_M[[#This Row],[Industry]], Mean_PB_M, 2, FALSE))/(VLOOKUP(Main_M[[#This Row],[Industry]], Mean_PB_M, 3, FALSE))</f>
        <v>-0.66250318809784092</v>
      </c>
      <c r="Q62" s="1">
        <f>(Main_M[[#This Row],[ROE]]-VLOOKUP(Main_M[[#This Row],[Industry]], Mean_ROE_M, 2, FALSE))/(VLOOKUP(Main_M[[#This Row],[Industry]], Mean_ROE_M, 3, FALSE))</f>
        <v>0.86247299621425944</v>
      </c>
      <c r="R62" s="1">
        <f>(Main_M[[#This Row],[ROA]]-VLOOKUP(Main_M[[#This Row],[Industry]], Mean_ROA_M, 2, FALSE))/(VLOOKUP(Main_M[[#This Row],[Industry]], Mean_ROA_M, 3, FALSE))</f>
        <v>1.0147688428200488</v>
      </c>
      <c r="S62" s="1">
        <f>(Main_M[[#This Row],[A/E]]-VLOOKUP(Main_M[[#This Row],[Industry]], Mean_AE_M, 2, FALSE))/(VLOOKUP(Main_M[[#This Row],[Industry]], Mean_AE_M, 3, FALSE))</f>
        <v>-0.41569493487481618</v>
      </c>
      <c r="T62" s="1">
        <f>(Main_M[[#This Row],[P/E]]-VLOOKUP(Main_M[[#This Row],[Industry]], Mean_PE_M, 2, FALSE))/(VLOOKUP(Main_M[[#This Row],[Industry]], Mean_PE_M, 3, FALSE))</f>
        <v>0.24726510093148116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142</v>
      </c>
      <c r="B63" t="s">
        <v>297</v>
      </c>
      <c r="C63" s="2">
        <v>3771</v>
      </c>
      <c r="D63">
        <f>RTD("tos.rtd", , "LAST", Main_M[[#This Row],[Symbol]])</f>
        <v>88.19</v>
      </c>
      <c r="E63">
        <v>4.92</v>
      </c>
      <c r="F63">
        <v>46.17</v>
      </c>
      <c r="G63">
        <v>7.05</v>
      </c>
      <c r="H63" s="1">
        <f>IF(ISNUMBER(Main_M[[#This Row],[Free CF]]),IF(Main_M[[#This Row],[Free CF]]&lt;&gt;0,Main_M[[#This Row],[Current Price]]/Main_M[[#This Row],[Free CF]],""),"")</f>
        <v>17.924796747967481</v>
      </c>
      <c r="I63" s="1">
        <f>IF(ISNUMBER(Main_M[[#This Row],[BVPS]]),IF(Main_M[[#This Row],[BVPS]]&lt;&gt;0,Main_M[[#This Row],[Current Price]]/Main_M[[#This Row],[BVPS]],""),"")</f>
        <v>1.9101147931557287</v>
      </c>
      <c r="J63">
        <v>16.52</v>
      </c>
      <c r="K63">
        <v>7.02</v>
      </c>
      <c r="L63">
        <v>2.15</v>
      </c>
      <c r="M63" s="1">
        <f>IF(ISNUMBER(Main_M[[#This Row],[EPS]]),IF(Main_M[[#This Row],[EPS]]&lt;&gt;0,Main_M[[#This Row],[Current Price]]/Main_M[[#This Row],[EPS]],""),"")</f>
        <v>12.509219858156028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0.93920441991120218</v>
      </c>
      <c r="P63" s="1">
        <f>(Main_M[[#This Row],[P/B]]-VLOOKUP(Main_M[[#This Row],[Industry]], Mean_PB_M, 2, FALSE))/(VLOOKUP(Main_M[[#This Row],[Industry]], Mean_PB_M, 3, FALSE))</f>
        <v>-0.58064354188738532</v>
      </c>
      <c r="Q63" s="1">
        <f>(Main_M[[#This Row],[ROE]]-VLOOKUP(Main_M[[#This Row],[Industry]], Mean_ROE_M, 2, FALSE))/(VLOOKUP(Main_M[[#This Row],[Industry]], Mean_ROE_M, 3, FALSE))</f>
        <v>0.36530894631599603</v>
      </c>
      <c r="R63" s="1">
        <f>(Main_M[[#This Row],[ROA]]-VLOOKUP(Main_M[[#This Row],[Industry]], Mean_ROA_M, 2, FALSE))/(VLOOKUP(Main_M[[#This Row],[Industry]], Mean_ROA_M, 3, FALSE))</f>
        <v>0.32352803079920978</v>
      </c>
      <c r="S63" s="1">
        <f>(Main_M[[#This Row],[A/E]]-VLOOKUP(Main_M[[#This Row],[Industry]], Mean_AE_M, 2, FALSE))/(VLOOKUP(Main_M[[#This Row],[Industry]], Mean_AE_M, 3, FALSE))</f>
        <v>-0.21922220446134619</v>
      </c>
      <c r="T63" s="1">
        <f>(Main_M[[#This Row],[P/E]]-VLOOKUP(Main_M[[#This Row],[Industry]], Mean_PE_M, 2, FALSE))/(VLOOKUP(Main_M[[#This Row],[Industry]], Mean_PE_M, 3, FALSE))</f>
        <v>0.54959423336618307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t="s">
        <v>142</v>
      </c>
      <c r="B64" t="s">
        <v>298</v>
      </c>
      <c r="C64" s="2">
        <v>2193</v>
      </c>
      <c r="D64">
        <f>RTD("tos.rtd", , "LAST", Main_M[[#This Row],[Symbol]])</f>
        <v>4.76</v>
      </c>
      <c r="E64">
        <v>0.48</v>
      </c>
      <c r="F64">
        <v>3.65</v>
      </c>
      <c r="G64">
        <v>0.13</v>
      </c>
      <c r="H64" s="1">
        <f>IF(ISNUMBER(Main_M[[#This Row],[Free CF]]),IF(Main_M[[#This Row],[Free CF]]&lt;&gt;0,Main_M[[#This Row],[Current Price]]/Main_M[[#This Row],[Free CF]],""),"")</f>
        <v>9.9166666666666661</v>
      </c>
      <c r="I64" s="1">
        <f>IF(ISNUMBER(Main_M[[#This Row],[BVPS]]),IF(Main_M[[#This Row],[BVPS]]&lt;&gt;0,Main_M[[#This Row],[Current Price]]/Main_M[[#This Row],[BVPS]],""),"")</f>
        <v>1.3041095890410959</v>
      </c>
      <c r="J64">
        <v>5.22</v>
      </c>
      <c r="K64">
        <v>1.02</v>
      </c>
      <c r="L64">
        <v>4.03</v>
      </c>
      <c r="M64" s="1">
        <f>IF(ISNUMBER(Main_M[[#This Row],[EPS]]),IF(Main_M[[#This Row],[EPS]]&lt;&gt;0,Main_M[[#This Row],[Current Price]]/Main_M[[#This Row],[EPS]],""),"")</f>
        <v>36.615384615384613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0.27971763300603747</v>
      </c>
      <c r="P64" s="1">
        <f>(Main_M[[#This Row],[P/B]]-VLOOKUP(Main_M[[#This Row],[Industry]], Mean_PB_M, 2, FALSE))/(VLOOKUP(Main_M[[#This Row],[Industry]], Mean_PB_M, 3, FALSE))</f>
        <v>-0.72824086392345799</v>
      </c>
      <c r="Q64" s="1">
        <f>(Main_M[[#This Row],[ROE]]-VLOOKUP(Main_M[[#This Row],[Industry]], Mean_ROE_M, 2, FALSE))/(VLOOKUP(Main_M[[#This Row],[Industry]], Mean_ROE_M, 3, FALSE))</f>
        <v>-1.1229509706147061E-2</v>
      </c>
      <c r="R64" s="1">
        <f>(Main_M[[#This Row],[ROA]]-VLOOKUP(Main_M[[#This Row],[Industry]], Mean_ROA_M, 2, FALSE))/(VLOOKUP(Main_M[[#This Row],[Industry]], Mean_ROA_M, 3, FALSE))</f>
        <v>-0.35974130562995565</v>
      </c>
      <c r="S64" s="1">
        <f>(Main_M[[#This Row],[A/E]]-VLOOKUP(Main_M[[#This Row],[Industry]], Mean_AE_M, 2, FALSE))/(VLOOKUP(Main_M[[#This Row],[Industry]], Mean_AE_M, 3, FALSE))</f>
        <v>1.7248237596298315</v>
      </c>
      <c r="T64" s="1">
        <f>(Main_M[[#This Row],[P/E]]-VLOOKUP(Main_M[[#This Row],[Industry]], Mean_PE_M, 2, FALSE))/(VLOOKUP(Main_M[[#This Row],[Industry]], Mean_PE_M, 3, FALSE))</f>
        <v>1.5863946154648318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t="s">
        <v>142</v>
      </c>
      <c r="B65" t="s">
        <v>299</v>
      </c>
      <c r="C65" s="2">
        <v>5213</v>
      </c>
      <c r="D65">
        <f>RTD("tos.rtd", , "LAST", Main_M[[#This Row],[Symbol]])</f>
        <v>59.02</v>
      </c>
      <c r="E65">
        <v>3.55</v>
      </c>
      <c r="F65">
        <v>6.83</v>
      </c>
      <c r="G65">
        <v>3.98</v>
      </c>
      <c r="H65" s="1">
        <f>IF(ISNUMBER(Main_M[[#This Row],[Free CF]]),IF(Main_M[[#This Row],[Free CF]]&lt;&gt;0,Main_M[[#This Row],[Current Price]]/Main_M[[#This Row],[Free CF]],""),"")</f>
        <v>16.625352112676058</v>
      </c>
      <c r="I65" s="1">
        <f>IF(ISNUMBER(Main_M[[#This Row],[BVPS]]),IF(Main_M[[#This Row],[BVPS]]&lt;&gt;0,Main_M[[#This Row],[Current Price]]/Main_M[[#This Row],[BVPS]],""),"")</f>
        <v>8.6412884333821385</v>
      </c>
      <c r="J65">
        <v>60.61</v>
      </c>
      <c r="K65">
        <v>18.649999999999999</v>
      </c>
      <c r="L65">
        <v>2.62</v>
      </c>
      <c r="M65" s="1">
        <f>IF(ISNUMBER(Main_M[[#This Row],[EPS]]),IF(Main_M[[#This Row],[EPS]]&lt;&gt;0,Main_M[[#This Row],[Current Price]]/Main_M[[#This Row],[EPS]],""),"")</f>
        <v>14.829145728643217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0.83219235110246337</v>
      </c>
      <c r="P65" s="1">
        <f>(Main_M[[#This Row],[P/B]]-VLOOKUP(Main_M[[#This Row],[Industry]], Mean_PB_M, 2, FALSE))/(VLOOKUP(Main_M[[#This Row],[Industry]], Mean_PB_M, 3, FALSE))</f>
        <v>1.0587866093911311</v>
      </c>
      <c r="Q65" s="1">
        <f>(Main_M[[#This Row],[ROE]]-VLOOKUP(Main_M[[#This Row],[Industry]], Mean_ROE_M, 2, FALSE))/(VLOOKUP(Main_M[[#This Row],[Industry]], Mean_ROE_M, 3, FALSE))</f>
        <v>1.834475364547526</v>
      </c>
      <c r="R65" s="1">
        <f>(Main_M[[#This Row],[ROA]]-VLOOKUP(Main_M[[#This Row],[Industry]], Mean_ROA_M, 2, FALSE))/(VLOOKUP(Main_M[[#This Row],[Industry]], Mean_ROA_M, 3, FALSE))</f>
        <v>1.6479317612444087</v>
      </c>
      <c r="S65" s="1">
        <f>(Main_M[[#This Row],[A/E]]-VLOOKUP(Main_M[[#This Row],[Industry]], Mean_AE_M, 2, FALSE))/(VLOOKUP(Main_M[[#This Row],[Industry]], Mean_AE_M, 3, FALSE))</f>
        <v>0.26678928656144835</v>
      </c>
      <c r="T65" s="1">
        <f>(Main_M[[#This Row],[P/E]]-VLOOKUP(Main_M[[#This Row],[Industry]], Mean_PE_M, 2, FALSE))/(VLOOKUP(Main_M[[#This Row],[Industry]], Mean_PE_M, 3, FALSE))</f>
        <v>0.64937369033021108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t="s">
        <v>142</v>
      </c>
      <c r="B66" t="s">
        <v>300</v>
      </c>
      <c r="C66" s="2">
        <v>2169</v>
      </c>
      <c r="D66">
        <f>RTD("tos.rtd", , "LAST", Main_M[[#This Row],[Symbol]])</f>
        <v>1.22</v>
      </c>
      <c r="E66">
        <v>-1.86</v>
      </c>
      <c r="F66">
        <v>3.44</v>
      </c>
      <c r="G66">
        <v>-1.99</v>
      </c>
      <c r="H66" s="1">
        <f>IF(ISNUMBER(Main_M[[#This Row],[Free CF]]),IF(Main_M[[#This Row],[Free CF]]&lt;&gt;0,Main_M[[#This Row],[Current Price]]/Main_M[[#This Row],[Free CF]],""),"")</f>
        <v>-0.65591397849462363</v>
      </c>
      <c r="I66" s="1">
        <f>IF(ISNUMBER(Main_M[[#This Row],[BVPS]]),IF(Main_M[[#This Row],[BVPS]]&lt;&gt;0,Main_M[[#This Row],[Current Price]]/Main_M[[#This Row],[BVPS]],""),"")</f>
        <v>0.35465116279069769</v>
      </c>
      <c r="J66">
        <v>-43.18</v>
      </c>
      <c r="K66">
        <v>-13.18</v>
      </c>
      <c r="L66">
        <v>1.56</v>
      </c>
      <c r="M66" s="1">
        <f>IF(ISNUMBER(Main_M[[#This Row],[EPS]]),IF(Main_M[[#This Row],[EPS]]&lt;&gt;0,Main_M[[#This Row],[Current Price]]/Main_M[[#This Row],[EPS]],""),"")</f>
        <v>-0.61306532663316582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-0.59095718972868094</v>
      </c>
      <c r="P66" s="1">
        <f>(Main_M[[#This Row],[P/B]]-VLOOKUP(Main_M[[#This Row],[Industry]], Mean_PB_M, 2, FALSE))/(VLOOKUP(Main_M[[#This Row],[Industry]], Mean_PB_M, 3, FALSE))</f>
        <v>-0.95948891286370119</v>
      </c>
      <c r="Q66" s="1">
        <f>(Main_M[[#This Row],[ROE]]-VLOOKUP(Main_M[[#This Row],[Industry]], Mean_ROE_M, 2, FALSE))/(VLOOKUP(Main_M[[#This Row],[Industry]], Mean_ROE_M, 3, FALSE))</f>
        <v>-1.6240136930222291</v>
      </c>
      <c r="R66" s="1">
        <f>(Main_M[[#This Row],[ROA]]-VLOOKUP(Main_M[[#This Row],[Industry]], Mean_ROA_M, 2, FALSE))/(VLOOKUP(Main_M[[#This Row],[Industry]], Mean_ROA_M, 3, FALSE))</f>
        <v>-1.9768120685123141</v>
      </c>
      <c r="S66" s="1">
        <f>(Main_M[[#This Row],[A/E]]-VLOOKUP(Main_M[[#This Row],[Industry]], Mean_AE_M, 2, FALSE))/(VLOOKUP(Main_M[[#This Row],[Industry]], Mean_AE_M, 3, FALSE))</f>
        <v>-0.82932173574527934</v>
      </c>
      <c r="T66" s="1">
        <f>(Main_M[[#This Row],[P/E]]-VLOOKUP(Main_M[[#This Row],[Industry]], Mean_PE_M, 2, FALSE))/(VLOOKUP(Main_M[[#This Row],[Industry]], Mean_PE_M, 3, FALSE))</f>
        <v>-1.4792114715884272E-2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t="s">
        <v>142</v>
      </c>
      <c r="B67" t="s">
        <v>301</v>
      </c>
      <c r="C67" s="2">
        <v>3370</v>
      </c>
      <c r="D67">
        <f>RTD("tos.rtd", , "LAST", Main_M[[#This Row],[Symbol]])</f>
        <v>190.24</v>
      </c>
      <c r="E67">
        <v>8.0500000000000007</v>
      </c>
      <c r="F67">
        <v>40.29</v>
      </c>
      <c r="G67">
        <v>12.29</v>
      </c>
      <c r="H67" s="1">
        <f>IF(ISNUMBER(Main_M[[#This Row],[Free CF]]),IF(Main_M[[#This Row],[Free CF]]&lt;&gt;0,Main_M[[#This Row],[Current Price]]/Main_M[[#This Row],[Free CF]],""),"")</f>
        <v>23.632298136645961</v>
      </c>
      <c r="I67" s="1">
        <f>IF(ISNUMBER(Main_M[[#This Row],[BVPS]]),IF(Main_M[[#This Row],[BVPS]]&lt;&gt;0,Main_M[[#This Row],[Current Price]]/Main_M[[#This Row],[BVPS]],""),"")</f>
        <v>4.7217671878878136</v>
      </c>
      <c r="J67">
        <v>36.19</v>
      </c>
      <c r="K67">
        <v>13.3</v>
      </c>
      <c r="L67">
        <v>1.92</v>
      </c>
      <c r="M67" s="1">
        <f>IF(ISNUMBER(Main_M[[#This Row],[EPS]]),IF(Main_M[[#This Row],[EPS]]&lt;&gt;0,Main_M[[#This Row],[Current Price]]/Main_M[[#This Row],[EPS]],""),"")</f>
        <v>15.479251423921889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1.4092294711857092</v>
      </c>
      <c r="P67" s="1">
        <f>(Main_M[[#This Row],[P/B]]-VLOOKUP(Main_M[[#This Row],[Industry]], Mean_PB_M, 2, FALSE))/(VLOOKUP(Main_M[[#This Row],[Industry]], Mean_PB_M, 3, FALSE))</f>
        <v>0.1041564584114005</v>
      </c>
      <c r="Q67" s="1">
        <f>(Main_M[[#This Row],[ROE]]-VLOOKUP(Main_M[[#This Row],[Industry]], Mean_ROE_M, 2, FALSE))/(VLOOKUP(Main_M[[#This Row],[Industry]], Mean_ROE_M, 3, FALSE))</f>
        <v>1.0207524356925939</v>
      </c>
      <c r="R67" s="1">
        <f>(Main_M[[#This Row],[ROA]]-VLOOKUP(Main_M[[#This Row],[Industry]], Mean_ROA_M, 2, FALSE))/(VLOOKUP(Main_M[[#This Row],[Industry]], Mean_ROA_M, 3, FALSE))</f>
        <v>1.0386832695950698</v>
      </c>
      <c r="S67" s="1">
        <f>(Main_M[[#This Row],[A/E]]-VLOOKUP(Main_M[[#This Row],[Industry]], Mean_AE_M, 2, FALSE))/(VLOOKUP(Main_M[[#This Row],[Industry]], Mean_AE_M, 3, FALSE))</f>
        <v>-0.45705761496186254</v>
      </c>
      <c r="T67" s="1">
        <f>(Main_M[[#This Row],[P/E]]-VLOOKUP(Main_M[[#This Row],[Industry]], Mean_PE_M, 2, FALSE))/(VLOOKUP(Main_M[[#This Row],[Industry]], Mean_PE_M, 3, FALSE))</f>
        <v>0.67733458083508979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t="s">
        <v>142</v>
      </c>
      <c r="B68" t="s">
        <v>302</v>
      </c>
      <c r="C68" s="2">
        <v>2374</v>
      </c>
      <c r="D68">
        <f>RTD("tos.rtd", , "LAST", Main_M[[#This Row],[Symbol]])</f>
        <v>8.27</v>
      </c>
      <c r="E68">
        <v>-14.42</v>
      </c>
      <c r="F68">
        <v>23.55</v>
      </c>
      <c r="G68">
        <v>-1.73</v>
      </c>
      <c r="H68" s="1">
        <f>IF(ISNUMBER(Main_M[[#This Row],[Free CF]]),IF(Main_M[[#This Row],[Free CF]]&lt;&gt;0,Main_M[[#This Row],[Current Price]]/Main_M[[#This Row],[Free CF]],""),"")</f>
        <v>-0.57350901525658804</v>
      </c>
      <c r="I68" s="1">
        <f>IF(ISNUMBER(Main_M[[#This Row],[BVPS]]),IF(Main_M[[#This Row],[BVPS]]&lt;&gt;0,Main_M[[#This Row],[Current Price]]/Main_M[[#This Row],[BVPS]],""),"")</f>
        <v>0.35116772823779191</v>
      </c>
      <c r="J68">
        <v>-21.13</v>
      </c>
      <c r="K68">
        <v>-1.89</v>
      </c>
      <c r="L68">
        <v>4.1900000000000004</v>
      </c>
      <c r="M68" s="1">
        <f>IF(ISNUMBER(Main_M[[#This Row],[EPS]]),IF(Main_M[[#This Row],[EPS]]&lt;&gt;0,Main_M[[#This Row],[Current Price]]/Main_M[[#This Row],[EPS]],""),"")</f>
        <v>-4.7803468208092488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-0.58417096324644802</v>
      </c>
      <c r="P68" s="1">
        <f>(Main_M[[#This Row],[P/B]]-VLOOKUP(Main_M[[#This Row],[Industry]], Mean_PB_M, 2, FALSE))/(VLOOKUP(Main_M[[#This Row],[Industry]], Mean_PB_M, 3, FALSE))</f>
        <v>-0.96033733067926763</v>
      </c>
      <c r="Q68" s="1">
        <f>(Main_M[[#This Row],[ROE]]-VLOOKUP(Main_M[[#This Row],[Industry]], Mean_ROE_M, 2, FALSE))/(VLOOKUP(Main_M[[#This Row],[Industry]], Mean_ROE_M, 3, FALSE))</f>
        <v>-0.88926387397017104</v>
      </c>
      <c r="R68" s="1">
        <f>(Main_M[[#This Row],[ROA]]-VLOOKUP(Main_M[[#This Row],[Industry]], Mean_ROA_M, 2, FALSE))/(VLOOKUP(Main_M[[#This Row],[Industry]], Mean_ROA_M, 3, FALSE))</f>
        <v>-0.69112693379810086</v>
      </c>
      <c r="S68" s="1">
        <f>(Main_M[[#This Row],[A/E]]-VLOOKUP(Main_M[[#This Row],[Industry]], Mean_AE_M, 2, FALSE))/(VLOOKUP(Main_M[[#This Row],[Industry]], Mean_AE_M, 3, FALSE))</f>
        <v>1.8902744799780171</v>
      </c>
      <c r="T68" s="1">
        <f>(Main_M[[#This Row],[P/E]]-VLOOKUP(Main_M[[#This Row],[Industry]], Mean_PE_M, 2, FALSE))/(VLOOKUP(Main_M[[#This Row],[Industry]], Mean_PE_M, 3, FALSE))</f>
        <v>-0.1940258953270777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t="s">
        <v>142</v>
      </c>
      <c r="B69" t="s">
        <v>303</v>
      </c>
      <c r="C69" s="2">
        <v>4580</v>
      </c>
      <c r="D69">
        <f>RTD("tos.rtd", , "LAST", Main_M[[#This Row],[Symbol]])</f>
        <v>27.77</v>
      </c>
      <c r="E69">
        <v>2.17</v>
      </c>
      <c r="F69">
        <v>19.71</v>
      </c>
      <c r="G69">
        <v>-0.87</v>
      </c>
      <c r="H69" s="1">
        <f>IF(ISNUMBER(Main_M[[#This Row],[Free CF]]),IF(Main_M[[#This Row],[Free CF]]&lt;&gt;0,Main_M[[#This Row],[Current Price]]/Main_M[[#This Row],[Free CF]],""),"")</f>
        <v>12.797235023041475</v>
      </c>
      <c r="I69" s="1">
        <f>IF(ISNUMBER(Main_M[[#This Row],[BVPS]]),IF(Main_M[[#This Row],[BVPS]]&lt;&gt;0,Main_M[[#This Row],[Current Price]]/Main_M[[#This Row],[BVPS]],""),"")</f>
        <v>1.408929477422628</v>
      </c>
      <c r="J69">
        <v>-4.2300000000000004</v>
      </c>
      <c r="K69">
        <v>3.94</v>
      </c>
      <c r="L69">
        <v>2.4700000000000002</v>
      </c>
      <c r="M69" s="1">
        <f>IF(ISNUMBER(Main_M[[#This Row],[EPS]]),IF(Main_M[[#This Row],[EPS]]&lt;&gt;0,Main_M[[#This Row],[Current Price]]/Main_M[[#This Row],[EPS]],""),"")</f>
        <v>-31.919540229885058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0.51693865096154668</v>
      </c>
      <c r="P69" s="1">
        <f>(Main_M[[#This Row],[P/B]]-VLOOKUP(Main_M[[#This Row],[Industry]], Mean_PB_M, 2, FALSE))/(VLOOKUP(Main_M[[#This Row],[Industry]], Mean_PB_M, 3, FALSE))</f>
        <v>-0.7027111577160049</v>
      </c>
      <c r="Q69" s="1">
        <f>(Main_M[[#This Row],[ROE]]-VLOOKUP(Main_M[[#This Row],[Industry]], Mean_ROE_M, 2, FALSE))/(VLOOKUP(Main_M[[#This Row],[Industry]], Mean_ROE_M, 3, FALSE))</f>
        <v>-0.32612228929988624</v>
      </c>
      <c r="R69" s="1">
        <f>(Main_M[[#This Row],[ROA]]-VLOOKUP(Main_M[[#This Row],[Industry]], Mean_ROA_M, 2, FALSE))/(VLOOKUP(Main_M[[#This Row],[Industry]], Mean_ROA_M, 3, FALSE))</f>
        <v>-2.7216895234428461E-2</v>
      </c>
      <c r="S69" s="1">
        <f>(Main_M[[#This Row],[A/E]]-VLOOKUP(Main_M[[#This Row],[Industry]], Mean_AE_M, 2, FALSE))/(VLOOKUP(Main_M[[#This Row],[Industry]], Mean_AE_M, 3, FALSE))</f>
        <v>0.11167923623502472</v>
      </c>
      <c r="T69" s="1">
        <f>(Main_M[[#This Row],[P/E]]-VLOOKUP(Main_M[[#This Row],[Industry]], Mean_PE_M, 2, FALSE))/(VLOOKUP(Main_M[[#This Row],[Industry]], Mean_PE_M, 3, FALSE))</f>
        <v>-1.3612761145035384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t="s">
        <v>142</v>
      </c>
      <c r="B70" t="s">
        <v>304</v>
      </c>
      <c r="C70" s="2">
        <v>2565</v>
      </c>
      <c r="D70">
        <f>RTD("tos.rtd", , "LAST", Main_M[[#This Row],[Symbol]])</f>
        <v>45.84</v>
      </c>
      <c r="E70">
        <v>0.74</v>
      </c>
      <c r="F70">
        <v>12.29</v>
      </c>
      <c r="G70">
        <v>0.1</v>
      </c>
      <c r="H70" s="1">
        <f>IF(ISNUMBER(Main_M[[#This Row],[Free CF]]),IF(Main_M[[#This Row],[Free CF]]&lt;&gt;0,Main_M[[#This Row],[Current Price]]/Main_M[[#This Row],[Free CF]],""),"")</f>
        <v>61.945945945945951</v>
      </c>
      <c r="I70" s="1">
        <f>IF(ISNUMBER(Main_M[[#This Row],[BVPS]]),IF(Main_M[[#This Row],[BVPS]]&lt;&gt;0,Main_M[[#This Row],[Current Price]]/Main_M[[#This Row],[BVPS]],""),"")</f>
        <v>3.7298616761594796</v>
      </c>
      <c r="J70">
        <v>0.84</v>
      </c>
      <c r="K70">
        <v>1.73</v>
      </c>
      <c r="L70">
        <v>1.1399999999999999</v>
      </c>
      <c r="M70" s="1">
        <f>IF(ISNUMBER(Main_M[[#This Row],[EPS]]),IF(Main_M[[#This Row],[EPS]]&lt;&gt;0,Main_M[[#This Row],[Current Price]]/Main_M[[#This Row],[EPS]],""),"")</f>
        <v>458.40000000000003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4.5644410164341114</v>
      </c>
      <c r="P70" s="1">
        <f>(Main_M[[#This Row],[P/B]]-VLOOKUP(Main_M[[#This Row],[Industry]], Mean_PB_M, 2, FALSE))/(VLOOKUP(Main_M[[#This Row],[Industry]], Mean_PB_M, 3, FALSE))</f>
        <v>-0.13742991122681897</v>
      </c>
      <c r="Q70" s="1">
        <f>(Main_M[[#This Row],[ROE]]-VLOOKUP(Main_M[[#This Row],[Industry]], Mean_ROE_M, 2, FALSE))/(VLOOKUP(Main_M[[#This Row],[Industry]], Mean_ROE_M, 3, FALSE))</f>
        <v>-0.15717981389880076</v>
      </c>
      <c r="R70" s="1">
        <f>(Main_M[[#This Row],[ROA]]-VLOOKUP(Main_M[[#This Row],[Industry]], Mean_ROA_M, 2, FALSE))/(VLOOKUP(Main_M[[#This Row],[Industry]], Mean_ROA_M, 3, FALSE))</f>
        <v>-0.27888776748583771</v>
      </c>
      <c r="S70" s="1">
        <f>(Main_M[[#This Row],[A/E]]-VLOOKUP(Main_M[[#This Row],[Industry]], Mean_AE_M, 2, FALSE))/(VLOOKUP(Main_M[[#This Row],[Industry]], Mean_AE_M, 3, FALSE))</f>
        <v>-1.263629876659266</v>
      </c>
      <c r="T70" s="1">
        <f>(Main_M[[#This Row],[P/E]]-VLOOKUP(Main_M[[#This Row],[Industry]], Mean_PE_M, 2, FALSE))/(VLOOKUP(Main_M[[#This Row],[Industry]], Mean_PE_M, 3, FALSE))</f>
        <v>19.727250068755808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1" spans="1:26" x14ac:dyDescent="0.25">
      <c r="A71" t="s">
        <v>142</v>
      </c>
      <c r="B71" t="s">
        <v>305</v>
      </c>
      <c r="C71" s="2">
        <v>6190</v>
      </c>
      <c r="D71">
        <f>RTD("tos.rtd", , "LAST", Main_M[[#This Row],[Symbol]])</f>
        <v>21.43</v>
      </c>
      <c r="E71">
        <v>-1.48</v>
      </c>
      <c r="F71">
        <v>1.89</v>
      </c>
      <c r="G71">
        <v>-0.56999999999999995</v>
      </c>
      <c r="H71" s="1">
        <f>IF(ISNUMBER(Main_M[[#This Row],[Free CF]]),IF(Main_M[[#This Row],[Free CF]]&lt;&gt;0,Main_M[[#This Row],[Current Price]]/Main_M[[#This Row],[Free CF]],""),"")</f>
        <v>-14.47972972972973</v>
      </c>
      <c r="I71" s="1">
        <f>IF(ISNUMBER(Main_M[[#This Row],[BVPS]]),IF(Main_M[[#This Row],[BVPS]]&lt;&gt;0,Main_M[[#This Row],[Current Price]]/Main_M[[#This Row],[BVPS]],""),"")</f>
        <v>11.338624338624339</v>
      </c>
      <c r="J71">
        <v>-26.71</v>
      </c>
      <c r="K71">
        <v>-1.89</v>
      </c>
      <c r="L71">
        <v>6.04</v>
      </c>
      <c r="M71" s="1">
        <f>IF(ISNUMBER(Main_M[[#This Row],[EPS]]),IF(Main_M[[#This Row],[EPS]]&lt;&gt;0,Main_M[[#This Row],[Current Price]]/Main_M[[#This Row],[EPS]],""),"")</f>
        <v>-37.596491228070178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-1.729378236839116</v>
      </c>
      <c r="P71" s="1">
        <f>(Main_M[[#This Row],[P/B]]-VLOOKUP(Main_M[[#This Row],[Industry]], Mean_PB_M, 2, FALSE))/(VLOOKUP(Main_M[[#This Row],[Industry]], Mean_PB_M, 3, FALSE))</f>
        <v>1.7157439317744314</v>
      </c>
      <c r="Q71" s="1">
        <f>(Main_M[[#This Row],[ROE]]-VLOOKUP(Main_M[[#This Row],[Industry]], Mean_ROE_M, 2, FALSE))/(VLOOKUP(Main_M[[#This Row],[Industry]], Mean_ROE_M, 3, FALSE))</f>
        <v>-1.0752005628731407</v>
      </c>
      <c r="R71" s="1">
        <f>(Main_M[[#This Row],[ROA]]-VLOOKUP(Main_M[[#This Row],[Industry]], Mean_ROA_M, 2, FALSE))/(VLOOKUP(Main_M[[#This Row],[Industry]], Mean_ROA_M, 3, FALSE))</f>
        <v>-0.69112693379810086</v>
      </c>
      <c r="S71" s="1">
        <f>(Main_M[[#This Row],[A/E]]-VLOOKUP(Main_M[[#This Row],[Industry]], Mean_AE_M, 2, FALSE))/(VLOOKUP(Main_M[[#This Row],[Industry]], Mean_AE_M, 3, FALSE))</f>
        <v>3.8032984340039091</v>
      </c>
      <c r="T71" s="1">
        <f>(Main_M[[#This Row],[P/E]]-VLOOKUP(Main_M[[#This Row],[Industry]], Mean_PE_M, 2, FALSE))/(VLOOKUP(Main_M[[#This Row],[Industry]], Mean_PE_M, 3, FALSE))</f>
        <v>-1.6054404194997811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t="s">
        <v>142</v>
      </c>
      <c r="B72" t="s">
        <v>306</v>
      </c>
      <c r="C72" s="2">
        <v>2598</v>
      </c>
      <c r="D72">
        <f>RTD("tos.rtd", , "LAST", Main_M[[#This Row],[Symbol]])</f>
        <v>35.24</v>
      </c>
      <c r="E72">
        <v>-1.82</v>
      </c>
      <c r="F72">
        <v>1.64</v>
      </c>
      <c r="G72">
        <v>-0.94</v>
      </c>
      <c r="H72" s="1">
        <f>IF(ISNUMBER(Main_M[[#This Row],[Free CF]]),IF(Main_M[[#This Row],[Free CF]]&lt;&gt;0,Main_M[[#This Row],[Current Price]]/Main_M[[#This Row],[Free CF]],""),"")</f>
        <v>-19.362637362637361</v>
      </c>
      <c r="I72" s="1">
        <f>IF(ISNUMBER(Main_M[[#This Row],[BVPS]]),IF(Main_M[[#This Row],[BVPS]]&lt;&gt;0,Main_M[[#This Row],[Current Price]]/Main_M[[#This Row],[BVPS]],""),"")</f>
        <v>21.487804878048784</v>
      </c>
      <c r="J72">
        <v>-166.45</v>
      </c>
      <c r="K72">
        <v>-44.04</v>
      </c>
      <c r="L72">
        <v>1.58</v>
      </c>
      <c r="M72" s="1">
        <f>IF(ISNUMBER(Main_M[[#This Row],[EPS]]),IF(Main_M[[#This Row],[EPS]]&lt;&gt;0,Main_M[[#This Row],[Current Price]]/Main_M[[#This Row],[EPS]],""),"")</f>
        <v>-37.489361702127667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-2.131496213556332</v>
      </c>
      <c r="P72" s="1">
        <f>(Main_M[[#This Row],[P/B]]-VLOOKUP(Main_M[[#This Row],[Industry]], Mean_PB_M, 2, FALSE))/(VLOOKUP(Main_M[[#This Row],[Industry]], Mean_PB_M, 3, FALSE))</f>
        <v>4.187656480228898</v>
      </c>
      <c r="Q72" s="1">
        <f>(Main_M[[#This Row],[ROE]]-VLOOKUP(Main_M[[#This Row],[Industry]], Mean_ROE_M, 2, FALSE))/(VLOOKUP(Main_M[[#This Row],[Industry]], Mean_ROE_M, 3, FALSE))</f>
        <v>-5.731615062389448</v>
      </c>
      <c r="R72" s="1">
        <f>(Main_M[[#This Row],[ROA]]-VLOOKUP(Main_M[[#This Row],[Industry]], Mean_ROA_M, 2, FALSE))/(VLOOKUP(Main_M[[#This Row],[Industry]], Mean_ROA_M, 3, FALSE))</f>
        <v>-5.4910940222129883</v>
      </c>
      <c r="S72" s="1">
        <f>(Main_M[[#This Row],[A/E]]-VLOOKUP(Main_M[[#This Row],[Industry]], Mean_AE_M, 2, FALSE))/(VLOOKUP(Main_M[[#This Row],[Industry]], Mean_AE_M, 3, FALSE))</f>
        <v>-0.80864039570175617</v>
      </c>
      <c r="T72" s="1">
        <f>(Main_M[[#This Row],[P/E]]-VLOOKUP(Main_M[[#This Row],[Industry]], Mean_PE_M, 2, FALSE))/(VLOOKUP(Main_M[[#This Row],[Industry]], Mean_PE_M, 3, FALSE))</f>
        <v>-1.600832804205111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t="s">
        <v>236</v>
      </c>
      <c r="B73" t="s">
        <v>406</v>
      </c>
      <c r="C73" s="2">
        <v>2510</v>
      </c>
      <c r="D73">
        <f>RTD("tos.rtd", , "LAST", Main_M[[#This Row],[Symbol]])</f>
        <v>67.27</v>
      </c>
      <c r="E73">
        <v>3.44</v>
      </c>
      <c r="F73">
        <v>55.71</v>
      </c>
      <c r="G73">
        <v>8.0399999999999991</v>
      </c>
      <c r="H73" s="1">
        <f>IF(ISNUMBER(Main_M[[#This Row],[Free CF]]),IF(Main_M[[#This Row],[Free CF]]&lt;&gt;0,Main_M[[#This Row],[Current Price]]/Main_M[[#This Row],[Free CF]],""),"")</f>
        <v>19.555232558139533</v>
      </c>
      <c r="I73" s="1">
        <f>IF(ISNUMBER(Main_M[[#This Row],[BVPS]]),IF(Main_M[[#This Row],[BVPS]]&lt;&gt;0,Main_M[[#This Row],[Current Price]]/Main_M[[#This Row],[BVPS]],""),"")</f>
        <v>1.207503141267277</v>
      </c>
      <c r="J73">
        <v>15.28</v>
      </c>
      <c r="K73">
        <v>4.93</v>
      </c>
      <c r="L73">
        <v>1.85</v>
      </c>
      <c r="M73" s="1">
        <f>IF(ISNUMBER(Main_M[[#This Row],[EPS]]),IF(Main_M[[#This Row],[EPS]]&lt;&gt;0,Main_M[[#This Row],[Current Price]]/Main_M[[#This Row],[EPS]],""),"")</f>
        <v>8.3669154228855724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-0.37656285229585501</v>
      </c>
      <c r="P73" s="1">
        <f>(Main_M[[#This Row],[P/B]]-VLOOKUP(Main_M[[#This Row],[Industry]], Mean_PB_M, 2, FALSE))/(VLOOKUP(Main_M[[#This Row],[Industry]], Mean_PB_M, 3, FALSE))</f>
        <v>-0.6723915323850217</v>
      </c>
      <c r="Q73" s="1">
        <f>(Main_M[[#This Row],[ROE]]-VLOOKUP(Main_M[[#This Row],[Industry]], Mean_ROE_M, 2, FALSE))/(VLOOKUP(Main_M[[#This Row],[Industry]], Mean_ROE_M, 3, FALSE))</f>
        <v>0.51842364692339316</v>
      </c>
      <c r="R73" s="1">
        <f>(Main_M[[#This Row],[ROA]]-VLOOKUP(Main_M[[#This Row],[Industry]], Mean_ROA_M, 2, FALSE))/(VLOOKUP(Main_M[[#This Row],[Industry]], Mean_ROA_M, 3, FALSE))</f>
        <v>0.7659976020973901</v>
      </c>
      <c r="S73" s="1">
        <f>(Main_M[[#This Row],[A/E]]-VLOOKUP(Main_M[[#This Row],[Industry]], Mean_AE_M, 2, FALSE))/(VLOOKUP(Main_M[[#This Row],[Industry]], Mean_AE_M, 3, FALSE))</f>
        <v>-4.1065078117658922E-2</v>
      </c>
      <c r="T73" s="1">
        <f>(Main_M[[#This Row],[P/E]]-VLOOKUP(Main_M[[#This Row],[Industry]], Mean_PE_M, 2, FALSE))/(VLOOKUP(Main_M[[#This Row],[Industry]], Mean_PE_M, 3, FALSE))</f>
        <v>-0.62282098078890402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t="s">
        <v>236</v>
      </c>
      <c r="B74" t="s">
        <v>407</v>
      </c>
      <c r="C74" s="2">
        <v>8985</v>
      </c>
      <c r="D74">
        <f>RTD("tos.rtd", , "LAST", Main_M[[#This Row],[Symbol]])</f>
        <v>44.36</v>
      </c>
      <c r="E74">
        <v>0.01</v>
      </c>
      <c r="F74">
        <v>43.61</v>
      </c>
      <c r="G74">
        <v>0.23</v>
      </c>
      <c r="H74" s="1">
        <f>IF(ISNUMBER(Main_M[[#This Row],[Free CF]]),IF(Main_M[[#This Row],[Free CF]]&lt;&gt;0,Main_M[[#This Row],[Current Price]]/Main_M[[#This Row],[Free CF]],""),"")</f>
        <v>4436</v>
      </c>
      <c r="I74" s="1">
        <f>IF(ISNUMBER(Main_M[[#This Row],[BVPS]]),IF(Main_M[[#This Row],[BVPS]]&lt;&gt;0,Main_M[[#This Row],[Current Price]]/Main_M[[#This Row],[BVPS]],""),"")</f>
        <v>1.0171978903921119</v>
      </c>
      <c r="J74">
        <v>0.51</v>
      </c>
      <c r="K74">
        <v>0.77</v>
      </c>
      <c r="L74">
        <v>1.82</v>
      </c>
      <c r="M74" s="1">
        <f>IF(ISNUMBER(Main_M[[#This Row],[EPS]]),IF(Main_M[[#This Row],[EPS]]&lt;&gt;0,Main_M[[#This Row],[Current Price]]/Main_M[[#This Row],[EPS]],""),"")</f>
        <v>192.86956521739128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222.16207942714107</v>
      </c>
      <c r="P74" s="1">
        <f>(Main_M[[#This Row],[P/B]]-VLOOKUP(Main_M[[#This Row],[Industry]], Mean_PB_M, 2, FALSE))/(VLOOKUP(Main_M[[#This Row],[Industry]], Mean_PB_M, 3, FALSE))</f>
        <v>-1.1736517060825886</v>
      </c>
      <c r="Q74" s="1">
        <f>(Main_M[[#This Row],[ROE]]-VLOOKUP(Main_M[[#This Row],[Industry]], Mean_ROE_M, 2, FALSE))/(VLOOKUP(Main_M[[#This Row],[Industry]], Mean_ROE_M, 3, FALSE))</f>
        <v>0.37613441294400091</v>
      </c>
      <c r="R74" s="1">
        <f>(Main_M[[#This Row],[ROA]]-VLOOKUP(Main_M[[#This Row],[Industry]], Mean_ROA_M, 2, FALSE))/(VLOOKUP(Main_M[[#This Row],[Industry]], Mean_ROA_M, 3, FALSE))</f>
        <v>-0.57218613531999274</v>
      </c>
      <c r="S74" s="1">
        <f>(Main_M[[#This Row],[A/E]]-VLOOKUP(Main_M[[#This Row],[Industry]], Mean_AE_M, 2, FALSE))/(VLOOKUP(Main_M[[#This Row],[Industry]], Mean_AE_M, 3, FALSE))</f>
        <v>-0.1888993593412317</v>
      </c>
      <c r="T74" s="1">
        <f>(Main_M[[#This Row],[P/E]]-VLOOKUP(Main_M[[#This Row],[Industry]], Mean_PE_M, 2, FALSE))/(VLOOKUP(Main_M[[#This Row],[Industry]], Mean_PE_M, 3, FALSE))</f>
        <v>11.28305058804766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5" spans="1:26" x14ac:dyDescent="0.25">
      <c r="A75" t="s">
        <v>236</v>
      </c>
      <c r="B75" t="s">
        <v>408</v>
      </c>
      <c r="C75" s="2">
        <v>6405</v>
      </c>
      <c r="D75">
        <f>RTD("tos.rtd", , "LAST", Main_M[[#This Row],[Symbol]])</f>
        <v>140.22</v>
      </c>
      <c r="E75">
        <v>7.87</v>
      </c>
      <c r="F75">
        <v>28.75</v>
      </c>
      <c r="G75">
        <v>5.83</v>
      </c>
      <c r="H75" s="1">
        <f>IF(ISNUMBER(Main_M[[#This Row],[Free CF]]),IF(Main_M[[#This Row],[Free CF]]&lt;&gt;0,Main_M[[#This Row],[Current Price]]/Main_M[[#This Row],[Free CF]],""),"")</f>
        <v>17.817026683608638</v>
      </c>
      <c r="I75" s="1">
        <f>IF(ISNUMBER(Main_M[[#This Row],[BVPS]]),IF(Main_M[[#This Row],[BVPS]]&lt;&gt;0,Main_M[[#This Row],[Current Price]]/Main_M[[#This Row],[BVPS]],""),"")</f>
        <v>4.8772173913043479</v>
      </c>
      <c r="J75">
        <v>20.18</v>
      </c>
      <c r="K75">
        <v>9.1300000000000008</v>
      </c>
      <c r="L75">
        <v>1.73</v>
      </c>
      <c r="M75" s="1">
        <f>IF(ISNUMBER(Main_M[[#This Row],[EPS]]),IF(Main_M[[#This Row],[EPS]]&lt;&gt;0,Main_M[[#This Row],[Current Price]]/Main_M[[#This Row],[EPS]],""),"")</f>
        <v>24.051457975986278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-0.46414868109912183</v>
      </c>
      <c r="P75" s="1">
        <f>(Main_M[[#This Row],[P/B]]-VLOOKUP(Main_M[[#This Row],[Industry]], Mean_PB_M, 2, FALSE))/(VLOOKUP(Main_M[[#This Row],[Industry]], Mean_PB_M, 3, FALSE))</f>
        <v>8.9935614244289095</v>
      </c>
      <c r="Q75" s="1">
        <f>(Main_M[[#This Row],[ROE]]-VLOOKUP(Main_M[[#This Row],[Industry]], Mean_ROE_M, 2, FALSE))/(VLOOKUP(Main_M[[#This Row],[Industry]], Mean_ROE_M, 3, FALSE))</f>
        <v>0.56562860606347587</v>
      </c>
      <c r="R75" s="1">
        <f>(Main_M[[#This Row],[ROA]]-VLOOKUP(Main_M[[#This Row],[Industry]], Mean_ROA_M, 2, FALSE))/(VLOOKUP(Main_M[[#This Row],[Industry]], Mean_ROA_M, 3, FALSE))</f>
        <v>2.1170484908360945</v>
      </c>
      <c r="S75" s="1">
        <f>(Main_M[[#This Row],[A/E]]-VLOOKUP(Main_M[[#This Row],[Industry]], Mean_AE_M, 2, FALSE))/(VLOOKUP(Main_M[[#This Row],[Industry]], Mean_AE_M, 3, FALSE))</f>
        <v>-0.63240220301195005</v>
      </c>
      <c r="T75" s="1">
        <f>(Main_M[[#This Row],[P/E]]-VLOOKUP(Main_M[[#This Row],[Industry]], Mean_PE_M, 2, FALSE))/(VLOOKUP(Main_M[[#This Row],[Industry]], Mean_PE_M, 3, FALSE))</f>
        <v>0.38929537342689213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t="s">
        <v>236</v>
      </c>
      <c r="B76" t="s">
        <v>409</v>
      </c>
      <c r="C76" s="2">
        <v>6944</v>
      </c>
      <c r="D76">
        <f>RTD("tos.rtd", , "LAST", Main_M[[#This Row],[Symbol]])</f>
        <v>153.05000000000001</v>
      </c>
      <c r="E76">
        <v>2.52</v>
      </c>
      <c r="F76">
        <v>72.260000000000005</v>
      </c>
      <c r="G76">
        <v>10.69</v>
      </c>
      <c r="H76" s="1">
        <f>IF(ISNUMBER(Main_M[[#This Row],[Free CF]]),IF(Main_M[[#This Row],[Free CF]]&lt;&gt;0,Main_M[[#This Row],[Current Price]]/Main_M[[#This Row],[Free CF]],""),"")</f>
        <v>60.734126984126988</v>
      </c>
      <c r="I76" s="1">
        <f>IF(ISNUMBER(Main_M[[#This Row],[BVPS]]),IF(Main_M[[#This Row],[BVPS]]&lt;&gt;0,Main_M[[#This Row],[Current Price]]/Main_M[[#This Row],[BVPS]],""),"")</f>
        <v>2.1180459451978964</v>
      </c>
      <c r="J76">
        <v>15.54</v>
      </c>
      <c r="K76">
        <v>3.05</v>
      </c>
      <c r="L76">
        <v>5.4</v>
      </c>
      <c r="M76" s="1">
        <f>IF(ISNUMBER(Main_M[[#This Row],[EPS]]),IF(Main_M[[#This Row],[EPS]]&lt;&gt;0,Main_M[[#This Row],[Current Price]]/Main_M[[#This Row],[EPS]],""),"")</f>
        <v>14.317118802619271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1.6983856048169754</v>
      </c>
      <c r="P76" s="1">
        <f>(Main_M[[#This Row],[P/B]]-VLOOKUP(Main_M[[#This Row],[Industry]], Mean_PB_M, 2, FALSE))/(VLOOKUP(Main_M[[#This Row],[Industry]], Mean_PB_M, 3, FALSE))</f>
        <v>1.7259597582828847</v>
      </c>
      <c r="Q76" s="1">
        <f>(Main_M[[#This Row],[ROE]]-VLOOKUP(Main_M[[#This Row],[Industry]], Mean_ROE_M, 2, FALSE))/(VLOOKUP(Main_M[[#This Row],[Industry]], Mean_ROE_M, 3, FALSE))</f>
        <v>0.52092839985735673</v>
      </c>
      <c r="R76" s="1">
        <f>(Main_M[[#This Row],[ROA]]-VLOOKUP(Main_M[[#This Row],[Industry]], Mean_ROA_M, 2, FALSE))/(VLOOKUP(Main_M[[#This Row],[Industry]], Mean_ROA_M, 3, FALSE))</f>
        <v>0.16124148999530358</v>
      </c>
      <c r="S76" s="1">
        <f>(Main_M[[#This Row],[A/E]]-VLOOKUP(Main_M[[#This Row],[Industry]], Mean_AE_M, 2, FALSE))/(VLOOKUP(Main_M[[#This Row],[Industry]], Mean_AE_M, 3, FALSE))</f>
        <v>17.452658200005107</v>
      </c>
      <c r="T76" s="1">
        <f>(Main_M[[#This Row],[P/E]]-VLOOKUP(Main_M[[#This Row],[Industry]], Mean_PE_M, 2, FALSE))/(VLOOKUP(Main_M[[#This Row],[Industry]], Mean_PE_M, 3, FALSE))</f>
        <v>-0.23885707931394384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t="s">
        <v>236</v>
      </c>
      <c r="B77" t="s">
        <v>410</v>
      </c>
      <c r="C77" s="2">
        <v>4591</v>
      </c>
      <c r="D77">
        <f>RTD("tos.rtd", , "LAST", Main_M[[#This Row],[Symbol]])</f>
        <v>16.21</v>
      </c>
      <c r="E77">
        <v>-0.3</v>
      </c>
      <c r="F77">
        <v>10.27</v>
      </c>
      <c r="G77">
        <v>-2.17</v>
      </c>
      <c r="H77" s="1">
        <f>IF(ISNUMBER(Main_M[[#This Row],[Free CF]]),IF(Main_M[[#This Row],[Free CF]]&lt;&gt;0,Main_M[[#This Row],[Current Price]]/Main_M[[#This Row],[Free CF]],""),"")</f>
        <v>-54.033333333333339</v>
      </c>
      <c r="I77" s="1">
        <f>IF(ISNUMBER(Main_M[[#This Row],[BVPS]]),IF(Main_M[[#This Row],[BVPS]]&lt;&gt;0,Main_M[[#This Row],[Current Price]]/Main_M[[#This Row],[BVPS]],""),"")</f>
        <v>1.578383641674781</v>
      </c>
      <c r="J77">
        <v>-23.46</v>
      </c>
      <c r="K77">
        <v>0.91</v>
      </c>
      <c r="L77">
        <v>2.0499999999999998</v>
      </c>
      <c r="M77" s="1">
        <f>IF(ISNUMBER(Main_M[[#This Row],[EPS]]),IF(Main_M[[#This Row],[EPS]]&lt;&gt;0,Main_M[[#This Row],[Current Price]]/Main_M[[#This Row],[EPS]],""),"")</f>
        <v>-7.4700460829493096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-4.084590554013249</v>
      </c>
      <c r="P77" s="1">
        <f>(Main_M[[#This Row],[P/B]]-VLOOKUP(Main_M[[#This Row],[Industry]], Mean_PB_M, 2, FALSE))/(VLOOKUP(Main_M[[#This Row],[Industry]], Mean_PB_M, 3, FALSE))</f>
        <v>0.30450018868081574</v>
      </c>
      <c r="Q77" s="1">
        <f>(Main_M[[#This Row],[ROE]]-VLOOKUP(Main_M[[#This Row],[Industry]], Mean_ROE_M, 2, FALSE))/(VLOOKUP(Main_M[[#This Row],[Industry]], Mean_ROE_M, 3, FALSE))</f>
        <v>0.14521545976282077</v>
      </c>
      <c r="R77" s="1">
        <f>(Main_M[[#This Row],[ROA]]-VLOOKUP(Main_M[[#This Row],[Industry]], Mean_ROA_M, 2, FALSE))/(VLOOKUP(Main_M[[#This Row],[Industry]], Mean_ROA_M, 3, FALSE))</f>
        <v>-0.52715110569536927</v>
      </c>
      <c r="S77" s="1">
        <f>(Main_M[[#This Row],[A/E]]-VLOOKUP(Main_M[[#This Row],[Industry]], Mean_AE_M, 2, FALSE))/(VLOOKUP(Main_M[[#This Row],[Industry]], Mean_AE_M, 3, FALSE))</f>
        <v>0.94449679670615738</v>
      </c>
      <c r="T77" s="1">
        <f>(Main_M[[#This Row],[P/E]]-VLOOKUP(Main_M[[#This Row],[Industry]], Mean_PE_M, 2, FALSE))/(VLOOKUP(Main_M[[#This Row],[Industry]], Mean_PE_M, 3, FALSE))</f>
        <v>-1.6447728602826885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8" spans="1:26" x14ac:dyDescent="0.25">
      <c r="A78" t="s">
        <v>236</v>
      </c>
      <c r="B78" t="s">
        <v>411</v>
      </c>
      <c r="C78" s="2">
        <v>5513</v>
      </c>
      <c r="D78">
        <f>RTD("tos.rtd", , "LAST", Main_M[[#This Row],[Symbol]])</f>
        <v>24.14</v>
      </c>
      <c r="E78">
        <v>0.56999999999999995</v>
      </c>
      <c r="F78">
        <v>16.940000000000001</v>
      </c>
      <c r="G78">
        <v>0.64</v>
      </c>
      <c r="H78" s="1">
        <f>IF(ISNUMBER(Main_M[[#This Row],[Free CF]]),IF(Main_M[[#This Row],[Free CF]]&lt;&gt;0,Main_M[[#This Row],[Current Price]]/Main_M[[#This Row],[Free CF]],""),"")</f>
        <v>42.350877192982459</v>
      </c>
      <c r="I78" s="1">
        <f>IF(ISNUMBER(Main_M[[#This Row],[BVPS]]),IF(Main_M[[#This Row],[BVPS]]&lt;&gt;0,Main_M[[#This Row],[Current Price]]/Main_M[[#This Row],[BVPS]],""),"")</f>
        <v>1.4250295159386068</v>
      </c>
      <c r="J78">
        <v>3.77</v>
      </c>
      <c r="K78">
        <v>2.12</v>
      </c>
      <c r="L78">
        <v>1.54</v>
      </c>
      <c r="M78" s="1">
        <f>IF(ISNUMBER(Main_M[[#This Row],[EPS]]),IF(Main_M[[#This Row],[EPS]]&lt;&gt;0,Main_M[[#This Row],[Current Price]]/Main_M[[#This Row],[EPS]],""),"")</f>
        <v>37.71875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0.77207866232697142</v>
      </c>
      <c r="P78" s="1">
        <f>(Main_M[[#This Row],[P/B]]-VLOOKUP(Main_M[[#This Row],[Industry]], Mean_PB_M, 2, FALSE))/(VLOOKUP(Main_M[[#This Row],[Industry]], Mean_PB_M, 3, FALSE))</f>
        <v>-9.9431470326207347E-2</v>
      </c>
      <c r="Q78" s="1">
        <f>(Main_M[[#This Row],[ROE]]-VLOOKUP(Main_M[[#This Row],[Industry]], Mean_ROE_M, 2, FALSE))/(VLOOKUP(Main_M[[#This Row],[Industry]], Mean_ROE_M, 3, FALSE))</f>
        <v>0.40754016126985193</v>
      </c>
      <c r="R78" s="1">
        <f>(Main_M[[#This Row],[ROA]]-VLOOKUP(Main_M[[#This Row],[Industry]], Mean_ROA_M, 2, FALSE))/(VLOOKUP(Main_M[[#This Row],[Industry]], Mean_ROA_M, 3, FALSE))</f>
        <v>-0.13791977822540935</v>
      </c>
      <c r="S78" s="1">
        <f>(Main_M[[#This Row],[A/E]]-VLOOKUP(Main_M[[#This Row],[Industry]], Mean_AE_M, 2, FALSE))/(VLOOKUP(Main_M[[#This Row],[Industry]], Mean_AE_M, 3, FALSE))</f>
        <v>-1.5686859840945766</v>
      </c>
      <c r="T78" s="1">
        <f>(Main_M[[#This Row],[P/E]]-VLOOKUP(Main_M[[#This Row],[Industry]], Mean_PE_M, 2, FALSE))/(VLOOKUP(Main_M[[#This Row],[Industry]], Mean_PE_M, 3, FALSE))</f>
        <v>1.2712394740288411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t="s">
        <v>236</v>
      </c>
      <c r="B79" t="s">
        <v>412</v>
      </c>
      <c r="C79" s="2">
        <v>2433</v>
      </c>
      <c r="D79">
        <f>RTD("tos.rtd", , "LAST", Main_M[[#This Row],[Symbol]])</f>
        <v>27.35</v>
      </c>
      <c r="E79">
        <v>-0.39</v>
      </c>
      <c r="F79">
        <v>23.44</v>
      </c>
      <c r="G79">
        <v>0.73</v>
      </c>
      <c r="H79" s="1">
        <f>IF(ISNUMBER(Main_M[[#This Row],[Free CF]]),IF(Main_M[[#This Row],[Free CF]]&lt;&gt;0,Main_M[[#This Row],[Current Price]]/Main_M[[#This Row],[Free CF]],""),"")</f>
        <v>-70.128205128205124</v>
      </c>
      <c r="I79" s="1">
        <f>IF(ISNUMBER(Main_M[[#This Row],[BVPS]]),IF(Main_M[[#This Row],[BVPS]]&lt;&gt;0,Main_M[[#This Row],[Current Price]]/Main_M[[#This Row],[BVPS]],""),"")</f>
        <v>1.1668088737201365</v>
      </c>
      <c r="J79">
        <v>2.98</v>
      </c>
      <c r="K79">
        <v>1.51</v>
      </c>
      <c r="L79">
        <v>2.16</v>
      </c>
      <c r="M79" s="1">
        <f>IF(ISNUMBER(Main_M[[#This Row],[EPS]]),IF(Main_M[[#This Row],[EPS]]&lt;&gt;0,Main_M[[#This Row],[Current Price]]/Main_M[[#This Row],[EPS]],""),"")</f>
        <v>37.465753424657535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-4.8955892431165244</v>
      </c>
      <c r="P79" s="1">
        <f>(Main_M[[#This Row],[P/B]]-VLOOKUP(Main_M[[#This Row],[Industry]], Mean_PB_M, 2, FALSE))/(VLOOKUP(Main_M[[#This Row],[Industry]], Mean_PB_M, 3, FALSE))</f>
        <v>-0.77957940831260542</v>
      </c>
      <c r="Q79" s="1">
        <f>(Main_M[[#This Row],[ROE]]-VLOOKUP(Main_M[[#This Row],[Industry]], Mean_ROE_M, 2, FALSE))/(VLOOKUP(Main_M[[#This Row],[Industry]], Mean_ROE_M, 3, FALSE))</f>
        <v>0.39992956581665484</v>
      </c>
      <c r="R79" s="1">
        <f>(Main_M[[#This Row],[ROA]]-VLOOKUP(Main_M[[#This Row],[Industry]], Mean_ROA_M, 2, FALSE))/(VLOOKUP(Main_M[[#This Row],[Industry]], Mean_ROA_M, 3, FALSE))</f>
        <v>-0.33414383587555446</v>
      </c>
      <c r="S79" s="1">
        <f>(Main_M[[#This Row],[A/E]]-VLOOKUP(Main_M[[#This Row],[Industry]], Mean_AE_M, 2, FALSE))/(VLOOKUP(Main_M[[#This Row],[Industry]], Mean_AE_M, 3, FALSE))</f>
        <v>1.4865558278592588</v>
      </c>
      <c r="T79" s="1">
        <f>(Main_M[[#This Row],[P/E]]-VLOOKUP(Main_M[[#This Row],[Industry]], Mean_PE_M, 2, FALSE))/(VLOOKUP(Main_M[[#This Row],[Industry]], Mean_PE_M, 3, FALSE))</f>
        <v>1.2549137207849841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t="s">
        <v>236</v>
      </c>
      <c r="B80" t="s">
        <v>413</v>
      </c>
      <c r="C80" s="2">
        <v>3600</v>
      </c>
      <c r="D80">
        <f>RTD("tos.rtd", , "LAST", Main_M[[#This Row],[Symbol]])</f>
        <v>126.1</v>
      </c>
      <c r="E80">
        <v>14.91</v>
      </c>
      <c r="F80">
        <v>-6.69</v>
      </c>
      <c r="G80">
        <v>11.08</v>
      </c>
      <c r="H80" s="1">
        <f>IF(ISNUMBER(Main_M[[#This Row],[Free CF]]),IF(Main_M[[#This Row],[Free CF]]&lt;&gt;0,Main_M[[#This Row],[Current Price]]/Main_M[[#This Row],[Free CF]],""),"")</f>
        <v>8.4574111334674704</v>
      </c>
      <c r="I80" s="1">
        <f>IF(ISNUMBER(Main_M[[#This Row],[BVPS]]),IF(Main_M[[#This Row],[BVPS]]&lt;&gt;0,Main_M[[#This Row],[Current Price]]/Main_M[[#This Row],[BVPS]],""),"")</f>
        <v>-18.849028400597906</v>
      </c>
      <c r="J80">
        <v>-311.27999999999997</v>
      </c>
      <c r="K80">
        <v>3.29</v>
      </c>
      <c r="L80">
        <v>-137.6</v>
      </c>
      <c r="M80" s="1">
        <f>IF(ISNUMBER(Main_M[[#This Row],[EPS]]),IF(Main_M[[#This Row],[EPS]]&lt;&gt;0,Main_M[[#This Row],[Current Price]]/Main_M[[#This Row],[EPS]],""),"")</f>
        <v>11.38086642599278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-0.93576697283933208</v>
      </c>
      <c r="P80" s="1">
        <f>(Main_M[[#This Row],[P/B]]-VLOOKUP(Main_M[[#This Row],[Industry]], Mean_PB_M, 2, FALSE))/(VLOOKUP(Main_M[[#This Row],[Industry]], Mean_PB_M, 3, FALSE))</f>
        <v>-53.500889107793029</v>
      </c>
      <c r="Q80" s="1">
        <f>(Main_M[[#This Row],[ROE]]-VLOOKUP(Main_M[[#This Row],[Industry]], Mean_ROE_M, 2, FALSE))/(VLOOKUP(Main_M[[#This Row],[Industry]], Mean_ROE_M, 3, FALSE))</f>
        <v>-2.6275460381348541</v>
      </c>
      <c r="R80" s="1">
        <f>(Main_M[[#This Row],[ROA]]-VLOOKUP(Main_M[[#This Row],[Industry]], Mean_ROA_M, 2, FALSE))/(VLOOKUP(Main_M[[#This Row],[Industry]], Mean_ROA_M, 3, FALSE))</f>
        <v>0.23844439792322958</v>
      </c>
      <c r="S80" s="1">
        <f>(Main_M[[#This Row],[A/E]]-VLOOKUP(Main_M[[#This Row],[Industry]], Mean_AE_M, 2, FALSE))/(VLOOKUP(Main_M[[#This Row],[Industry]], Mean_AE_M, 3, FALSE))</f>
        <v>-687.22408229902442</v>
      </c>
      <c r="T80" s="1">
        <f>(Main_M[[#This Row],[P/E]]-VLOOKUP(Main_M[[#This Row],[Industry]], Mean_PE_M, 2, FALSE))/(VLOOKUP(Main_M[[#This Row],[Industry]], Mean_PE_M, 3, FALSE))</f>
        <v>-0.42833210164420393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t="s">
        <v>236</v>
      </c>
      <c r="B81" t="s">
        <v>414</v>
      </c>
      <c r="C81" s="2">
        <v>6612</v>
      </c>
      <c r="D81">
        <f>RTD("tos.rtd", , "LAST", Main_M[[#This Row],[Symbol]])</f>
        <v>15.63</v>
      </c>
      <c r="E81">
        <v>1.59</v>
      </c>
      <c r="F81">
        <v>1.58</v>
      </c>
      <c r="G81">
        <v>-0.17</v>
      </c>
      <c r="H81" s="1">
        <f>IF(ISNUMBER(Main_M[[#This Row],[Free CF]]),IF(Main_M[[#This Row],[Free CF]]&lt;&gt;0,Main_M[[#This Row],[Current Price]]/Main_M[[#This Row],[Free CF]],""),"")</f>
        <v>9.8301886792452837</v>
      </c>
      <c r="I81" s="1">
        <f>IF(ISNUMBER(Main_M[[#This Row],[BVPS]]),IF(Main_M[[#This Row],[BVPS]]&lt;&gt;0,Main_M[[#This Row],[Current Price]]/Main_M[[#This Row],[BVPS]],""),"")</f>
        <v>9.8924050632911396</v>
      </c>
      <c r="J81">
        <v>-11.61</v>
      </c>
      <c r="K81">
        <v>-2.0299999999999998</v>
      </c>
      <c r="L81">
        <v>8.0299999999999994</v>
      </c>
      <c r="M81" s="1">
        <f>IF(ISNUMBER(Main_M[[#This Row],[EPS]]),IF(Main_M[[#This Row],[EPS]]&lt;&gt;0,Main_M[[#This Row],[Current Price]]/Main_M[[#This Row],[EPS]],""),"")</f>
        <v>-91.941176470588232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-0.8665945802756988</v>
      </c>
      <c r="P81" s="1">
        <f>(Main_M[[#This Row],[P/B]]-VLOOKUP(Main_M[[#This Row],[Industry]], Mean_PB_M, 2, FALSE))/(VLOOKUP(Main_M[[#This Row],[Industry]], Mean_PB_M, 3, FALSE))</f>
        <v>22.203464104597479</v>
      </c>
      <c r="Q81" s="1">
        <f>(Main_M[[#This Row],[ROE]]-VLOOKUP(Main_M[[#This Row],[Industry]], Mean_ROE_M, 2, FALSE))/(VLOOKUP(Main_M[[#This Row],[Industry]], Mean_ROE_M, 3, FALSE))</f>
        <v>0.25937439156077591</v>
      </c>
      <c r="R81" s="1">
        <f>(Main_M[[#This Row],[ROA]]-VLOOKUP(Main_M[[#This Row],[Industry]], Mean_ROA_M, 2, FALSE))/(VLOOKUP(Main_M[[#This Row],[Industry]], Mean_ROA_M, 3, FALSE))</f>
        <v>-1.4728867278124618</v>
      </c>
      <c r="S81" s="1">
        <f>(Main_M[[#This Row],[A/E]]-VLOOKUP(Main_M[[#This Row],[Industry]], Mean_AE_M, 2, FALSE))/(VLOOKUP(Main_M[[#This Row],[Industry]], Mean_AE_M, 3, FALSE))</f>
        <v>30.412796853938303</v>
      </c>
      <c r="T81" s="1">
        <f>(Main_M[[#This Row],[P/E]]-VLOOKUP(Main_M[[#This Row],[Industry]], Mean_PE_M, 2, FALSE))/(VLOOKUP(Main_M[[#This Row],[Industry]], Mean_PE_M, 3, FALSE))</f>
        <v>-7.0956562529591736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2" spans="1:26" x14ac:dyDescent="0.25">
      <c r="A82" t="s">
        <v>154</v>
      </c>
      <c r="B82" t="s">
        <v>307</v>
      </c>
      <c r="C82" s="2">
        <v>5322</v>
      </c>
      <c r="D82">
        <f>RTD("tos.rtd", , "LAST", Main_M[[#This Row],[Symbol]])</f>
        <v>8.39</v>
      </c>
      <c r="E82">
        <v>0.91</v>
      </c>
      <c r="F82">
        <v>6.78</v>
      </c>
      <c r="G82">
        <v>-1.06</v>
      </c>
      <c r="H82" s="1">
        <f>IF(ISNUMBER(Main_M[[#This Row],[Free CF]]),IF(Main_M[[#This Row],[Free CF]]&lt;&gt;0,Main_M[[#This Row],[Current Price]]/Main_M[[#This Row],[Free CF]],""),"")</f>
        <v>9.2197802197802208</v>
      </c>
      <c r="I82" s="1">
        <f>IF(ISNUMBER(Main_M[[#This Row],[BVPS]]),IF(Main_M[[#This Row],[BVPS]]&lt;&gt;0,Main_M[[#This Row],[Current Price]]/Main_M[[#This Row],[BVPS]],""),"")</f>
        <v>1.2374631268436578</v>
      </c>
      <c r="J82">
        <v>-11.12</v>
      </c>
      <c r="K82">
        <v>-0.44</v>
      </c>
      <c r="L82">
        <v>5.0999999999999996</v>
      </c>
      <c r="M82" s="1">
        <f>IF(ISNUMBER(Main_M[[#This Row],[EPS]]),IF(Main_M[[#This Row],[EPS]]&lt;&gt;0,Main_M[[#This Row],[Current Price]]/Main_M[[#This Row],[EPS]],""),"")</f>
        <v>-7.9150943396226419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 t="e">
        <f>(Main_M[[#This Row],[P/FCF]]-VLOOKUP(Main_M[[#This Row],[Industry]], Mean_PFCF_M, 2, FALSE))/(VLOOKUP(Main_M[[#This Row],[Industry]], Mean_PFCF_M, 3, FALSE))</f>
        <v>#DIV/0!</v>
      </c>
      <c r="P82" s="1" t="e">
        <f>(Main_M[[#This Row],[P/B]]-VLOOKUP(Main_M[[#This Row],[Industry]], Mean_PB_M, 2, FALSE))/(VLOOKUP(Main_M[[#This Row],[Industry]], Mean_PB_M, 3, FALSE))</f>
        <v>#DIV/0!</v>
      </c>
      <c r="Q82" s="1" t="e">
        <f>(Main_M[[#This Row],[ROE]]-VLOOKUP(Main_M[[#This Row],[Industry]], Mean_ROE_M, 2, FALSE))/(VLOOKUP(Main_M[[#This Row],[Industry]], Mean_ROE_M, 3, FALSE))</f>
        <v>#DIV/0!</v>
      </c>
      <c r="R82" s="1" t="e">
        <f>(Main_M[[#This Row],[ROA]]-VLOOKUP(Main_M[[#This Row],[Industry]], Mean_ROA_M, 2, FALSE))/(VLOOKUP(Main_M[[#This Row],[Industry]], Mean_ROA_M, 3, FALSE))</f>
        <v>#DIV/0!</v>
      </c>
      <c r="S82" s="1" t="e">
        <f>(Main_M[[#This Row],[A/E]]-VLOOKUP(Main_M[[#This Row],[Industry]], Mean_AE_M, 2, FALSE))/(VLOOKUP(Main_M[[#This Row],[Industry]], Mean_AE_M, 3, FALSE))</f>
        <v>#DIV/0!</v>
      </c>
      <c r="T82" s="1" t="e">
        <f>(Main_M[[#This Row],[P/E]]-VLOOKUP(Main_M[[#This Row],[Industry]], Mean_PE_M, 2, FALSE))/(VLOOKUP(Main_M[[#This Row],[Industry]], Mean_PE_M, 3, FALSE))</f>
        <v>#DIV/0!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t="s">
        <v>157</v>
      </c>
      <c r="B83" t="s">
        <v>308</v>
      </c>
      <c r="C83" s="2">
        <v>3543</v>
      </c>
      <c r="D83">
        <f>RTD("tos.rtd", , "LAST", Main_M[[#This Row],[Symbol]])</f>
        <v>36.58</v>
      </c>
      <c r="E83">
        <v>0.87</v>
      </c>
      <c r="F83">
        <v>2.66</v>
      </c>
      <c r="G83">
        <v>2.15</v>
      </c>
      <c r="H83" s="1">
        <f>IF(ISNUMBER(Main_M[[#This Row],[Free CF]]),IF(Main_M[[#This Row],[Free CF]]&lt;&gt;0,Main_M[[#This Row],[Current Price]]/Main_M[[#This Row],[Free CF]],""),"")</f>
        <v>42.045977011494251</v>
      </c>
      <c r="I83" s="1">
        <f>IF(ISNUMBER(Main_M[[#This Row],[BVPS]]),IF(Main_M[[#This Row],[BVPS]]&lt;&gt;0,Main_M[[#This Row],[Current Price]]/Main_M[[#This Row],[BVPS]],""),"")</f>
        <v>13.75187969924812</v>
      </c>
      <c r="J83">
        <v>141.08000000000001</v>
      </c>
      <c r="K83">
        <v>15.31</v>
      </c>
      <c r="L83">
        <v>5.51</v>
      </c>
      <c r="M83" s="1">
        <f>IF(ISNUMBER(Main_M[[#This Row],[EPS]]),IF(Main_M[[#This Row],[EPS]]&lt;&gt;0,Main_M[[#This Row],[Current Price]]/Main_M[[#This Row],[EPS]],""),"")</f>
        <v>17.013953488372092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1.8553119319810549</v>
      </c>
      <c r="P83" s="1">
        <f>(Main_M[[#This Row],[P/B]]-VLOOKUP(Main_M[[#This Row],[Industry]], Mean_PB_M, 2, FALSE))/(VLOOKUP(Main_M[[#This Row],[Industry]], Mean_PB_M, 3, FALSE))</f>
        <v>7.1880372688861147</v>
      </c>
      <c r="Q83" s="1">
        <f>(Main_M[[#This Row],[ROE]]-VLOOKUP(Main_M[[#This Row],[Industry]], Mean_ROE_M, 2, FALSE))/(VLOOKUP(Main_M[[#This Row],[Industry]], Mean_ROE_M, 3, FALSE))</f>
        <v>5.4572470635599295</v>
      </c>
      <c r="R83" s="1">
        <f>(Main_M[[#This Row],[ROA]]-VLOOKUP(Main_M[[#This Row],[Industry]], Mean_ROA_M, 2, FALSE))/(VLOOKUP(Main_M[[#This Row],[Industry]], Mean_ROA_M, 3, FALSE))</f>
        <v>2.9294278698615379</v>
      </c>
      <c r="S83" s="1">
        <f>(Main_M[[#This Row],[A/E]]-VLOOKUP(Main_M[[#This Row],[Industry]], Mean_AE_M, 2, FALSE))/(VLOOKUP(Main_M[[#This Row],[Industry]], Mean_AE_M, 3, FALSE))</f>
        <v>6.7445943982562806</v>
      </c>
      <c r="T83" s="1">
        <f>(Main_M[[#This Row],[P/E]]-VLOOKUP(Main_M[[#This Row],[Industry]], Mean_PE_M, 2, FALSE))/(VLOOKUP(Main_M[[#This Row],[Industry]], Mean_PE_M, 3, FALSE))</f>
        <v>-0.54771255457546342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t="s">
        <v>157</v>
      </c>
      <c r="B84" t="s">
        <v>309</v>
      </c>
      <c r="C84" s="2">
        <v>5977</v>
      </c>
      <c r="D84">
        <f>RTD("tos.rtd", , "LAST", Main_M[[#This Row],[Symbol]])</f>
        <v>100.46</v>
      </c>
      <c r="E84">
        <v>3.33</v>
      </c>
      <c r="F84">
        <v>18.809999999999999</v>
      </c>
      <c r="G84">
        <v>3.45</v>
      </c>
      <c r="H84" s="1">
        <f>IF(ISNUMBER(Main_M[[#This Row],[Free CF]]),IF(Main_M[[#This Row],[Free CF]]&lt;&gt;0,Main_M[[#This Row],[Current Price]]/Main_M[[#This Row],[Free CF]],""),"")</f>
        <v>30.168168168168165</v>
      </c>
      <c r="I84" s="1">
        <f>IF(ISNUMBER(Main_M[[#This Row],[BVPS]]),IF(Main_M[[#This Row],[BVPS]]&lt;&gt;0,Main_M[[#This Row],[Current Price]]/Main_M[[#This Row],[BVPS]],""),"")</f>
        <v>5.340776182881446</v>
      </c>
      <c r="J84">
        <v>20.21</v>
      </c>
      <c r="K84">
        <v>10.119999999999999</v>
      </c>
      <c r="L84">
        <v>1.51</v>
      </c>
      <c r="M84" s="1">
        <f>IF(ISNUMBER(Main_M[[#This Row],[EPS]]),IF(Main_M[[#This Row],[EPS]]&lt;&gt;0,Main_M[[#This Row],[Current Price]]/Main_M[[#This Row],[EPS]],""),"")</f>
        <v>29.118840579710142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0.70405494070260766</v>
      </c>
      <c r="P84" s="1">
        <f>(Main_M[[#This Row],[P/B]]-VLOOKUP(Main_M[[#This Row],[Industry]], Mean_PB_M, 2, FALSE))/(VLOOKUP(Main_M[[#This Row],[Industry]], Mean_PB_M, 3, FALSE))</f>
        <v>1.6153965587248693</v>
      </c>
      <c r="Q84" s="1">
        <f>(Main_M[[#This Row],[ROE]]-VLOOKUP(Main_M[[#This Row],[Industry]], Mean_ROE_M, 2, FALSE))/(VLOOKUP(Main_M[[#This Row],[Industry]], Mean_ROE_M, 3, FALSE))</f>
        <v>0.19122465971211142</v>
      </c>
      <c r="R84" s="1">
        <f>(Main_M[[#This Row],[ROA]]-VLOOKUP(Main_M[[#This Row],[Industry]], Mean_ROA_M, 2, FALSE))/(VLOOKUP(Main_M[[#This Row],[Industry]], Mean_ROA_M, 3, FALSE))</f>
        <v>1.082205021391816</v>
      </c>
      <c r="S84" s="1">
        <f>(Main_M[[#This Row],[A/E]]-VLOOKUP(Main_M[[#This Row],[Industry]], Mean_AE_M, 2, FALSE))/(VLOOKUP(Main_M[[#This Row],[Industry]], Mean_AE_M, 3, FALSE))</f>
        <v>-0.96151189941384041</v>
      </c>
      <c r="T84" s="1">
        <f>(Main_M[[#This Row],[P/E]]-VLOOKUP(Main_M[[#This Row],[Industry]], Mean_PE_M, 2, FALSE))/(VLOOKUP(Main_M[[#This Row],[Industry]], Mean_PE_M, 3, FALSE))</f>
        <v>0.39358691244829858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t="s">
        <v>157</v>
      </c>
      <c r="B85" t="s">
        <v>310</v>
      </c>
      <c r="C85" s="2">
        <v>2116</v>
      </c>
      <c r="D85">
        <f>RTD("tos.rtd", , "LAST", Main_M[[#This Row],[Symbol]])</f>
        <v>46.33</v>
      </c>
      <c r="E85">
        <v>-2.21</v>
      </c>
      <c r="F85">
        <v>44.2</v>
      </c>
      <c r="G85">
        <v>4.96</v>
      </c>
      <c r="H85" s="1">
        <f>IF(ISNUMBER(Main_M[[#This Row],[Free CF]]),IF(Main_M[[#This Row],[Free CF]]&lt;&gt;0,Main_M[[#This Row],[Current Price]]/Main_M[[#This Row],[Free CF]],""),"")</f>
        <v>-20.963800904977376</v>
      </c>
      <c r="I85" s="1">
        <f>IF(ISNUMBER(Main_M[[#This Row],[BVPS]]),IF(Main_M[[#This Row],[BVPS]]&lt;&gt;0,Main_M[[#This Row],[Current Price]]/Main_M[[#This Row],[BVPS]],""),"")</f>
        <v>1.0481900452488686</v>
      </c>
      <c r="J85">
        <v>11.35</v>
      </c>
      <c r="K85">
        <v>4.7300000000000004</v>
      </c>
      <c r="L85">
        <v>3.09</v>
      </c>
      <c r="M85" s="1">
        <f>IF(ISNUMBER(Main_M[[#This Row],[EPS]]),IF(Main_M[[#This Row],[EPS]]&lt;&gt;0,Main_M[[#This Row],[Current Price]]/Main_M[[#This Row],[EPS]],""),"")</f>
        <v>9.3407258064516121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-4.2519127507936103</v>
      </c>
      <c r="P85" s="1">
        <f>(Main_M[[#This Row],[P/B]]-VLOOKUP(Main_M[[#This Row],[Industry]], Mean_PB_M, 2, FALSE))/(VLOOKUP(Main_M[[#This Row],[Industry]], Mean_PB_M, 3, FALSE))</f>
        <v>-1.2285870179721212</v>
      </c>
      <c r="Q85" s="1">
        <f>(Main_M[[#This Row],[ROE]]-VLOOKUP(Main_M[[#This Row],[Industry]], Mean_ROE_M, 2, FALSE))/(VLOOKUP(Main_M[[#This Row],[Industry]], Mean_ROE_M, 3, FALSE))</f>
        <v>-0.19478475948282253</v>
      </c>
      <c r="R85" s="1">
        <f>(Main_M[[#This Row],[ROA]]-VLOOKUP(Main_M[[#This Row],[Industry]], Mean_ROA_M, 2, FALSE))/(VLOOKUP(Main_M[[#This Row],[Industry]], Mean_ROA_M, 3, FALSE))</f>
        <v>-0.83620175187442625</v>
      </c>
      <c r="S85" s="1">
        <f>(Main_M[[#This Row],[A/E]]-VLOOKUP(Main_M[[#This Row],[Industry]], Mean_AE_M, 2, FALSE))/(VLOOKUP(Main_M[[#This Row],[Industry]], Mean_AE_M, 3, FALSE))</f>
        <v>2.0824000881658571</v>
      </c>
      <c r="T85" s="1">
        <f>(Main_M[[#This Row],[P/E]]-VLOOKUP(Main_M[[#This Row],[Industry]], Mean_PE_M, 2, FALSE))/(VLOOKUP(Main_M[[#This Row],[Industry]], Mean_PE_M, 3, FALSE))</f>
        <v>-1.1443976019322604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t="s">
        <v>157</v>
      </c>
      <c r="B86" t="s">
        <v>311</v>
      </c>
      <c r="C86" s="2">
        <v>6938</v>
      </c>
      <c r="D86">
        <f>RTD("tos.rtd", , "LAST", Main_M[[#This Row],[Symbol]])</f>
        <v>110.69</v>
      </c>
      <c r="E86">
        <v>-0.79</v>
      </c>
      <c r="F86">
        <v>63.05</v>
      </c>
      <c r="G86">
        <v>10.3</v>
      </c>
      <c r="H86" s="1">
        <f>IF(ISNUMBER(Main_M[[#This Row],[Free CF]]),IF(Main_M[[#This Row],[Free CF]]&lt;&gt;0,Main_M[[#This Row],[Current Price]]/Main_M[[#This Row],[Free CF]],""),"")</f>
        <v>-140.1139240506329</v>
      </c>
      <c r="I86" s="1">
        <f>IF(ISNUMBER(Main_M[[#This Row],[BVPS]]),IF(Main_M[[#This Row],[BVPS]]&lt;&gt;0,Main_M[[#This Row],[Current Price]]/Main_M[[#This Row],[BVPS]],""),"")</f>
        <v>1.7555908009516257</v>
      </c>
      <c r="J86">
        <v>17.760000000000002</v>
      </c>
      <c r="K86">
        <v>7.07</v>
      </c>
      <c r="L86">
        <v>2.41</v>
      </c>
      <c r="M86" s="1">
        <f>IF(ISNUMBER(Main_M[[#This Row],[EPS]]),IF(Main_M[[#This Row],[EPS]]&lt;&gt;0,Main_M[[#This Row],[Current Price]]/Main_M[[#This Row],[EPS]],""),"")</f>
        <v>10.746601941747572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-15.800542139639047</v>
      </c>
      <c r="P86" s="1">
        <f>(Main_M[[#This Row],[P/B]]-VLOOKUP(Main_M[[#This Row],[Industry]], Mean_PB_M, 2, FALSE))/(VLOOKUP(Main_M[[#This Row],[Industry]], Mean_PB_M, 3, FALSE))</f>
        <v>-0.75991007897626506</v>
      </c>
      <c r="Q86" s="1">
        <f>(Main_M[[#This Row],[ROE]]-VLOOKUP(Main_M[[#This Row],[Industry]], Mean_ROE_M, 2, FALSE))/(VLOOKUP(Main_M[[#This Row],[Industry]], Mean_ROE_M, 3, FALSE))</f>
        <v>8.4483906097259531E-2</v>
      </c>
      <c r="R86" s="1">
        <f>(Main_M[[#This Row],[ROA]]-VLOOKUP(Main_M[[#This Row],[Industry]], Mean_ROA_M, 2, FALSE))/(VLOOKUP(Main_M[[#This Row],[Industry]], Mean_ROA_M, 3, FALSE))</f>
        <v>-3.349831755129885E-3</v>
      </c>
      <c r="S86" s="1">
        <f>(Main_M[[#This Row],[A/E]]-VLOOKUP(Main_M[[#This Row],[Industry]], Mean_AE_M, 2, FALSE))/(VLOOKUP(Main_M[[#This Row],[Industry]], Mean_AE_M, 3, FALSE))</f>
        <v>0.77236201756193712</v>
      </c>
      <c r="T86" s="1">
        <f>(Main_M[[#This Row],[P/E]]-VLOOKUP(Main_M[[#This Row],[Industry]], Mean_PE_M, 2, FALSE))/(VLOOKUP(Main_M[[#This Row],[Industry]], Mean_PE_M, 3, FALSE))</f>
        <v>-1.0350739505119617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t="s">
        <v>157</v>
      </c>
      <c r="B87" t="s">
        <v>312</v>
      </c>
      <c r="C87" s="2">
        <v>3536</v>
      </c>
      <c r="D87">
        <f>RTD("tos.rtd", , "LAST", Main_M[[#This Row],[Symbol]])</f>
        <v>47.63</v>
      </c>
      <c r="E87">
        <v>2.92</v>
      </c>
      <c r="F87">
        <v>29.65</v>
      </c>
      <c r="G87">
        <v>6.85</v>
      </c>
      <c r="H87" s="1">
        <f>IF(ISNUMBER(Main_M[[#This Row],[Free CF]]),IF(Main_M[[#This Row],[Free CF]]&lt;&gt;0,Main_M[[#This Row],[Current Price]]/Main_M[[#This Row],[Free CF]],""),"")</f>
        <v>16.31164383561644</v>
      </c>
      <c r="I87" s="1">
        <f>IF(ISNUMBER(Main_M[[#This Row],[BVPS]]),IF(Main_M[[#This Row],[BVPS]]&lt;&gt;0,Main_M[[#This Row],[Current Price]]/Main_M[[#This Row],[BVPS]],""),"")</f>
        <v>1.606408094435076</v>
      </c>
      <c r="J87">
        <v>26.91</v>
      </c>
      <c r="K87">
        <v>10.039999999999999</v>
      </c>
      <c r="L87">
        <v>1.93</v>
      </c>
      <c r="M87" s="1">
        <f>IF(ISNUMBER(Main_M[[#This Row],[EPS]]),IF(Main_M[[#This Row],[EPS]]&lt;&gt;0,Main_M[[#This Row],[Current Price]]/Main_M[[#This Row],[EPS]],""),"")</f>
        <v>6.9532846715328471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87" s="1">
        <f>(Main_M[[#This Row],[P/FCF]]-VLOOKUP(Main_M[[#This Row],[Industry]], Mean_PFCF_M, 2, FALSE))/(VLOOKUP(Main_M[[#This Row],[Industry]], Mean_PFCF_M, 3, FALSE))</f>
        <v>-0.63898911086364163</v>
      </c>
      <c r="P87" s="1">
        <f>(Main_M[[#This Row],[P/B]]-VLOOKUP(Main_M[[#This Row],[Industry]], Mean_PB_M, 2, FALSE))/(VLOOKUP(Main_M[[#This Row],[Industry]], Mean_PB_M, 3, FALSE))</f>
        <v>-0.85874867036543334</v>
      </c>
      <c r="Q87" s="1">
        <f>(Main_M[[#This Row],[ROE]]-VLOOKUP(Main_M[[#This Row],[Industry]], Mean_ROE_M, 2, FALSE))/(VLOOKUP(Main_M[[#This Row],[Industry]], Mean_ROE_M, 3, FALSE))</f>
        <v>0.48312794510782892</v>
      </c>
      <c r="R87" s="1">
        <f>(Main_M[[#This Row],[ROA]]-VLOOKUP(Main_M[[#This Row],[Industry]], Mean_ROA_M, 2, FALSE))/(VLOOKUP(Main_M[[#This Row],[Industry]], Mean_ROA_M, 3, FALSE))</f>
        <v>1.0537314514732075</v>
      </c>
      <c r="S87" s="1">
        <f>(Main_M[[#This Row],[A/E]]-VLOOKUP(Main_M[[#This Row],[Industry]], Mean_AE_M, 2, FALSE))/(VLOOKUP(Main_M[[#This Row],[Industry]], Mean_AE_M, 3, FALSE))</f>
        <v>-0.15237073815847785</v>
      </c>
      <c r="T87" s="1">
        <f>(Main_M[[#This Row],[P/E]]-VLOOKUP(Main_M[[#This Row],[Industry]], Mean_PE_M, 2, FALSE))/(VLOOKUP(Main_M[[#This Row],[Industry]], Mean_PE_M, 3, FALSE))</f>
        <v>-1.3300496489850369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t="s">
        <v>157</v>
      </c>
      <c r="B88" t="s">
        <v>313</v>
      </c>
      <c r="C88" s="2">
        <v>3121</v>
      </c>
      <c r="D88">
        <f>RTD("tos.rtd", , "LAST", Main_M[[#This Row],[Symbol]])</f>
        <v>26.34</v>
      </c>
      <c r="E88">
        <v>-1.34</v>
      </c>
      <c r="F88">
        <v>12.86</v>
      </c>
      <c r="G88">
        <v>2.25</v>
      </c>
      <c r="H88" s="1">
        <f>IF(ISNUMBER(Main_M[[#This Row],[Free CF]]),IF(Main_M[[#This Row],[Free CF]]&lt;&gt;0,Main_M[[#This Row],[Current Price]]/Main_M[[#This Row],[Free CF]],""),"")</f>
        <v>-19.656716417910445</v>
      </c>
      <c r="I88" s="1">
        <f>IF(ISNUMBER(Main_M[[#This Row],[BVPS]]),IF(Main_M[[#This Row],[BVPS]]&lt;&gt;0,Main_M[[#This Row],[Current Price]]/Main_M[[#This Row],[BVPS]],""),"")</f>
        <v>2.048211508553655</v>
      </c>
      <c r="J88">
        <v>15.99</v>
      </c>
      <c r="K88">
        <v>3.16</v>
      </c>
      <c r="L88">
        <v>8.36</v>
      </c>
      <c r="M88" s="1">
        <f>IF(ISNUMBER(Main_M[[#This Row],[EPS]]),IF(Main_M[[#This Row],[EPS]]&lt;&gt;0,Main_M[[#This Row],[Current Price]]/Main_M[[#This Row],[EPS]],""),"")</f>
        <v>11.706666666666667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-4.1252235462630189</v>
      </c>
      <c r="P88" s="1">
        <f>(Main_M[[#This Row],[P/B]]-VLOOKUP(Main_M[[#This Row],[Industry]], Mean_PB_M, 2, FALSE))/(VLOOKUP(Main_M[[#This Row],[Industry]], Mean_PB_M, 3, FALSE))</f>
        <v>-0.56603895794604198</v>
      </c>
      <c r="Q88" s="1">
        <f>(Main_M[[#This Row],[ROE]]-VLOOKUP(Main_M[[#This Row],[Industry]], Mean_ROE_M, 2, FALSE))/(VLOOKUP(Main_M[[#This Row],[Industry]], Mean_ROE_M, 3, FALSE))</f>
        <v>7.3691575673460411E-3</v>
      </c>
      <c r="R88" s="1">
        <f>(Main_M[[#This Row],[ROA]]-VLOOKUP(Main_M[[#This Row],[Industry]], Mean_ROA_M, 2, FALSE))/(VLOOKUP(Main_M[[#This Row],[Industry]], Mean_ROA_M, 3, FALSE))</f>
        <v>-1.3949955615271166</v>
      </c>
      <c r="S88" s="1">
        <f>(Main_M[[#This Row],[A/E]]-VLOOKUP(Main_M[[#This Row],[Industry]], Mean_AE_M, 2, FALSE))/(VLOOKUP(Main_M[[#This Row],[Industry]], Mean_AE_M, 3, FALSE))</f>
        <v>12.23519513534624</v>
      </c>
      <c r="T88" s="1">
        <f>(Main_M[[#This Row],[P/E]]-VLOOKUP(Main_M[[#This Row],[Industry]], Mean_PE_M, 2, FALSE))/(VLOOKUP(Main_M[[#This Row],[Industry]], Mean_PE_M, 3, FALSE))</f>
        <v>-0.96041745788582822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t="s">
        <v>157</v>
      </c>
      <c r="B89" t="s">
        <v>314</v>
      </c>
      <c r="C89" s="2">
        <v>7200</v>
      </c>
      <c r="D89">
        <f>RTD("tos.rtd", , "LAST", Main_M[[#This Row],[Symbol]])</f>
        <v>103.1</v>
      </c>
      <c r="E89">
        <v>4.7300000000000004</v>
      </c>
      <c r="F89">
        <v>55.58</v>
      </c>
      <c r="G89">
        <v>2.2599999999999998</v>
      </c>
      <c r="H89" s="1">
        <f>IF(ISNUMBER(Main_M[[#This Row],[Free CF]]),IF(Main_M[[#This Row],[Free CF]]&lt;&gt;0,Main_M[[#This Row],[Current Price]]/Main_M[[#This Row],[Free CF]],""),"")</f>
        <v>21.79704016913319</v>
      </c>
      <c r="I89" s="1">
        <f>IF(ISNUMBER(Main_M[[#This Row],[BVPS]]),IF(Main_M[[#This Row],[BVPS]]&lt;&gt;0,Main_M[[#This Row],[Current Price]]/Main_M[[#This Row],[BVPS]],""),"")</f>
        <v>1.854983807124865</v>
      </c>
      <c r="J89">
        <v>3.78</v>
      </c>
      <c r="K89">
        <v>5.56</v>
      </c>
      <c r="L89">
        <v>3.26</v>
      </c>
      <c r="M89" s="1">
        <f>IF(ISNUMBER(Main_M[[#This Row],[EPS]]),IF(Main_M[[#This Row],[EPS]]&lt;&gt;0,Main_M[[#This Row],[Current Price]]/Main_M[[#This Row],[EPS]],""),"")</f>
        <v>45.619469026548671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-0.10731690076214184</v>
      </c>
      <c r="P89" s="1">
        <f>(Main_M[[#This Row],[P/B]]-VLOOKUP(Main_M[[#This Row],[Industry]], Mean_PB_M, 2, FALSE))/(VLOOKUP(Main_M[[#This Row],[Industry]], Mean_PB_M, 3, FALSE))</f>
        <v>-0.69405884894104608</v>
      </c>
      <c r="Q89" s="1">
        <f>(Main_M[[#This Row],[ROE]]-VLOOKUP(Main_M[[#This Row],[Industry]], Mean_ROE_M, 2, FALSE))/(VLOOKUP(Main_M[[#This Row],[Industry]], Mean_ROE_M, 3, FALSE))</f>
        <v>-0.52459190432544667</v>
      </c>
      <c r="R89" s="1">
        <f>(Main_M[[#This Row],[ROA]]-VLOOKUP(Main_M[[#This Row],[Industry]], Mean_ROA_M, 2, FALSE))/(VLOOKUP(Main_M[[#This Row],[Industry]], Mean_ROA_M, 3, FALSE))</f>
        <v>-0.54078846396886415</v>
      </c>
      <c r="S89" s="1">
        <f>(Main_M[[#This Row],[A/E]]-VLOOKUP(Main_M[[#This Row],[Industry]], Mean_AE_M, 2, FALSE))/(VLOOKUP(Main_M[[#This Row],[Industry]], Mean_AE_M, 3, FALSE))</f>
        <v>2.409909605816837</v>
      </c>
      <c r="T89" s="1">
        <f>(Main_M[[#This Row],[P/E]]-VLOOKUP(Main_M[[#This Row],[Industry]], Mean_PE_M, 2, FALSE))/(VLOOKUP(Main_M[[#This Row],[Industry]], Mean_PE_M, 3, FALSE))</f>
        <v>1.6767077416942453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t="s">
        <v>157</v>
      </c>
      <c r="B90" t="s">
        <v>315</v>
      </c>
      <c r="C90" s="2">
        <v>2365</v>
      </c>
      <c r="D90">
        <f>RTD("tos.rtd", , "LAST", Main_M[[#This Row],[Symbol]])</f>
        <v>209.28</v>
      </c>
      <c r="E90">
        <v>12.97</v>
      </c>
      <c r="F90">
        <v>85.3</v>
      </c>
      <c r="G90">
        <v>9.93</v>
      </c>
      <c r="H90" s="1">
        <f>IF(ISNUMBER(Main_M[[#This Row],[Free CF]]),IF(Main_M[[#This Row],[Free CF]]&lt;&gt;0,Main_M[[#This Row],[Current Price]]/Main_M[[#This Row],[Free CF]],""),"")</f>
        <v>16.135697764070933</v>
      </c>
      <c r="I90" s="1">
        <f>IF(ISNUMBER(Main_M[[#This Row],[BVPS]]),IF(Main_M[[#This Row],[BVPS]]&lt;&gt;0,Main_M[[#This Row],[Current Price]]/Main_M[[#This Row],[BVPS]],""),"")</f>
        <v>2.4534583821805396</v>
      </c>
      <c r="J90">
        <v>12.53</v>
      </c>
      <c r="K90">
        <v>7.46</v>
      </c>
      <c r="L90">
        <v>1.46</v>
      </c>
      <c r="M90" s="1">
        <f>IF(ISNUMBER(Main_M[[#This Row],[EPS]]),IF(Main_M[[#This Row],[EPS]]&lt;&gt;0,Main_M[[#This Row],[Current Price]]/Main_M[[#This Row],[EPS]],""),"")</f>
        <v>21.075528700906347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0" s="1">
        <f>(Main_M[[#This Row],[P/FCF]]-VLOOKUP(Main_M[[#This Row],[Industry]], Mean_PFCF_M, 2, FALSE))/(VLOOKUP(Main_M[[#This Row],[Industry]], Mean_PFCF_M, 3, FALSE))</f>
        <v>-0.65604268931624965</v>
      </c>
      <c r="P90" s="1">
        <f>(Main_M[[#This Row],[P/B]]-VLOOKUP(Main_M[[#This Row],[Industry]], Mean_PB_M, 2, FALSE))/(VLOOKUP(Main_M[[#This Row],[Industry]], Mean_PB_M, 3, FALSE))</f>
        <v>-0.29754919067062291</v>
      </c>
      <c r="Q90" s="1">
        <f>(Main_M[[#This Row],[ROE]]-VLOOKUP(Main_M[[#This Row],[Industry]], Mean_ROE_M, 2, FALSE))/(VLOOKUP(Main_M[[#This Row],[Industry]], Mean_ROE_M, 3, FALSE))</f>
        <v>-0.14337492712954691</v>
      </c>
      <c r="R90" s="1">
        <f>(Main_M[[#This Row],[ROA]]-VLOOKUP(Main_M[[#This Row],[Industry]], Mean_ROA_M, 2, FALSE))/(VLOOKUP(Main_M[[#This Row],[Industry]], Mean_ROA_M, 3, FALSE))</f>
        <v>0.13545882159808606</v>
      </c>
      <c r="S90" s="1">
        <f>(Main_M[[#This Row],[A/E]]-VLOOKUP(Main_M[[#This Row],[Industry]], Mean_AE_M, 2, FALSE))/(VLOOKUP(Main_M[[#This Row],[Industry]], Mean_AE_M, 3, FALSE))</f>
        <v>-1.057838228134717</v>
      </c>
      <c r="T90" s="1">
        <f>(Main_M[[#This Row],[P/E]]-VLOOKUP(Main_M[[#This Row],[Industry]], Mean_PE_M, 2, FALSE))/(VLOOKUP(Main_M[[#This Row],[Industry]], Mean_PE_M, 3, FALSE))</f>
        <v>-0.23187659890007578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t="s">
        <v>157</v>
      </c>
      <c r="B91" t="s">
        <v>316</v>
      </c>
      <c r="C91" s="2">
        <v>8844</v>
      </c>
      <c r="D91">
        <f>RTD("tos.rtd", , "LAST", Main_M[[#This Row],[Symbol]])</f>
        <v>71.41</v>
      </c>
      <c r="E91">
        <v>3.59</v>
      </c>
      <c r="F91">
        <v>15.88</v>
      </c>
      <c r="G91">
        <v>3.81</v>
      </c>
      <c r="H91" s="1">
        <f>IF(ISNUMBER(Main_M[[#This Row],[Free CF]]),IF(Main_M[[#This Row],[Free CF]]&lt;&gt;0,Main_M[[#This Row],[Current Price]]/Main_M[[#This Row],[Free CF]],""),"")</f>
        <v>19.891364902506965</v>
      </c>
      <c r="I91" s="1">
        <f>IF(ISNUMBER(Main_M[[#This Row],[BVPS]]),IF(Main_M[[#This Row],[BVPS]]&lt;&gt;0,Main_M[[#This Row],[Current Price]]/Main_M[[#This Row],[BVPS]],""),"")</f>
        <v>4.4968513853904275</v>
      </c>
      <c r="J91">
        <v>25.65</v>
      </c>
      <c r="K91">
        <v>9.19</v>
      </c>
      <c r="L91">
        <v>2.2799999999999998</v>
      </c>
      <c r="M91" s="1">
        <f>IF(ISNUMBER(Main_M[[#This Row],[EPS]]),IF(Main_M[[#This Row],[EPS]]&lt;&gt;0,Main_M[[#This Row],[Current Price]]/Main_M[[#This Row],[EPS]],""),"")</f>
        <v>18.742782152230969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-0.29202453520454863</v>
      </c>
      <c r="P91" s="1">
        <f>(Main_M[[#This Row],[P/B]]-VLOOKUP(Main_M[[#This Row],[Industry]], Mean_PB_M, 2, FALSE))/(VLOOKUP(Main_M[[#This Row],[Industry]], Mean_PB_M, 3, FALSE))</f>
        <v>1.0562678220897823</v>
      </c>
      <c r="Q91" s="1">
        <f>(Main_M[[#This Row],[ROE]]-VLOOKUP(Main_M[[#This Row],[Industry]], Mean_ROE_M, 2, FALSE))/(VLOOKUP(Main_M[[#This Row],[Industry]], Mean_ROE_M, 3, FALSE))</f>
        <v>0.42823270039161926</v>
      </c>
      <c r="R91" s="1">
        <f>(Main_M[[#This Row],[ROA]]-VLOOKUP(Main_M[[#This Row],[Industry]], Mean_ROA_M, 2, FALSE))/(VLOOKUP(Main_M[[#This Row],[Industry]], Mean_ROA_M, 3, FALSE))</f>
        <v>0.75119977108799307</v>
      </c>
      <c r="S91" s="1">
        <f>(Main_M[[#This Row],[A/E]]-VLOOKUP(Main_M[[#This Row],[Industry]], Mean_AE_M, 2, FALSE))/(VLOOKUP(Main_M[[#This Row],[Industry]], Mean_AE_M, 3, FALSE))</f>
        <v>0.52191356288765756</v>
      </c>
      <c r="T91" s="1">
        <f>(Main_M[[#This Row],[P/E]]-VLOOKUP(Main_M[[#This Row],[Industry]], Mean_PE_M, 2, FALSE))/(VLOOKUP(Main_M[[#This Row],[Industry]], Mean_PE_M, 3, FALSE))</f>
        <v>-0.4132754889848021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t="s">
        <v>157</v>
      </c>
      <c r="B92" t="s">
        <v>317</v>
      </c>
      <c r="C92" s="2">
        <v>2507</v>
      </c>
      <c r="D92">
        <f>RTD("tos.rtd", , "LAST", Main_M[[#This Row],[Symbol]])</f>
        <v>68.16</v>
      </c>
      <c r="E92">
        <v>3.74</v>
      </c>
      <c r="F92">
        <v>31.71</v>
      </c>
      <c r="G92">
        <v>3.2</v>
      </c>
      <c r="H92" s="1">
        <f>IF(ISNUMBER(Main_M[[#This Row],[Free CF]]),IF(Main_M[[#This Row],[Free CF]]&lt;&gt;0,Main_M[[#This Row],[Current Price]]/Main_M[[#This Row],[Free CF]],""),"")</f>
        <v>18.224598930481282</v>
      </c>
      <c r="I92" s="1">
        <f>IF(ISNUMBER(Main_M[[#This Row],[BVPS]]),IF(Main_M[[#This Row],[BVPS]]&lt;&gt;0,Main_M[[#This Row],[Current Price]]/Main_M[[#This Row],[BVPS]],""),"")</f>
        <v>2.149479659413434</v>
      </c>
      <c r="J92">
        <v>10.52</v>
      </c>
      <c r="K92">
        <v>5.98</v>
      </c>
      <c r="L92">
        <v>1.77</v>
      </c>
      <c r="M92" s="1">
        <f>IF(ISNUMBER(Main_M[[#This Row],[EPS]]),IF(Main_M[[#This Row],[EPS]]&lt;&gt;0,Main_M[[#This Row],[Current Price]]/Main_M[[#This Row],[EPS]],""),"")</f>
        <v>21.299999999999997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2" s="1">
        <f>(Main_M[[#This Row],[P/FCF]]-VLOOKUP(Main_M[[#This Row],[Industry]], Mean_PFCF_M, 2, FALSE))/(VLOOKUP(Main_M[[#This Row],[Industry]], Mean_PFCF_M, 3, FALSE))</f>
        <v>-0.45357587884296419</v>
      </c>
      <c r="P92" s="1">
        <f>(Main_M[[#This Row],[P/B]]-VLOOKUP(Main_M[[#This Row],[Industry]], Mean_PB_M, 2, FALSE))/(VLOOKUP(Main_M[[#This Row],[Industry]], Mean_PB_M, 3, FALSE))</f>
        <v>-0.49894538110135606</v>
      </c>
      <c r="Q92" s="1">
        <f>(Main_M[[#This Row],[ROE]]-VLOOKUP(Main_M[[#This Row],[Industry]], Mean_ROE_M, 2, FALSE))/(VLOOKUP(Main_M[[#This Row],[Industry]], Mean_ROE_M, 3, FALSE))</f>
        <v>-0.23094591274826215</v>
      </c>
      <c r="R92" s="1">
        <f>(Main_M[[#This Row],[ROA]]-VLOOKUP(Main_M[[#This Row],[Industry]], Mean_ROA_M, 2, FALSE))/(VLOOKUP(Main_M[[#This Row],[Industry]], Mean_ROA_M, 3, FALSE))</f>
        <v>-0.39130222189616959</v>
      </c>
      <c r="S92" s="1">
        <f>(Main_M[[#This Row],[A/E]]-VLOOKUP(Main_M[[#This Row],[Industry]], Mean_AE_M, 2, FALSE))/(VLOOKUP(Main_M[[#This Row],[Industry]], Mean_AE_M, 3, FALSE))</f>
        <v>-0.46061499006528256</v>
      </c>
      <c r="T92" s="1">
        <f>(Main_M[[#This Row],[P/E]]-VLOOKUP(Main_M[[#This Row],[Industry]], Mean_PE_M, 2, FALSE))/(VLOOKUP(Main_M[[#This Row],[Industry]], Mean_PE_M, 3, FALSE))</f>
        <v>-0.21442127588841531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t="s">
        <v>157</v>
      </c>
      <c r="B93" t="s">
        <v>318</v>
      </c>
      <c r="C93" s="2">
        <v>3058</v>
      </c>
      <c r="D93">
        <f>RTD("tos.rtd", , "LAST", Main_M[[#This Row],[Symbol]])</f>
        <v>30.52</v>
      </c>
      <c r="E93">
        <v>-0.24</v>
      </c>
      <c r="F93">
        <v>12.86</v>
      </c>
      <c r="G93">
        <v>0.97</v>
      </c>
      <c r="H93" s="1">
        <f>IF(ISNUMBER(Main_M[[#This Row],[Free CF]]),IF(Main_M[[#This Row],[Free CF]]&lt;&gt;0,Main_M[[#This Row],[Current Price]]/Main_M[[#This Row],[Free CF]],""),"")</f>
        <v>-127.16666666666667</v>
      </c>
      <c r="I93" s="1">
        <f>IF(ISNUMBER(Main_M[[#This Row],[BVPS]]),IF(Main_M[[#This Row],[BVPS]]&lt;&gt;0,Main_M[[#This Row],[Current Price]]/Main_M[[#This Row],[BVPS]],""),"")</f>
        <v>2.3732503888024885</v>
      </c>
      <c r="J93">
        <v>7.99</v>
      </c>
      <c r="K93">
        <v>4.5</v>
      </c>
      <c r="L93">
        <v>2.63</v>
      </c>
      <c r="M93" s="1">
        <f>IF(ISNUMBER(Main_M[[#This Row],[EPS]]),IF(Main_M[[#This Row],[EPS]]&lt;&gt;0,Main_M[[#This Row],[Current Price]]/Main_M[[#This Row],[EPS]],""),"")</f>
        <v>31.463917525773198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-14.545628815322683</v>
      </c>
      <c r="P93" s="1">
        <f>(Main_M[[#This Row],[P/B]]-VLOOKUP(Main_M[[#This Row],[Industry]], Mean_PB_M, 2, FALSE))/(VLOOKUP(Main_M[[#This Row],[Industry]], Mean_PB_M, 3, FALSE))</f>
        <v>-0.35068970051087606</v>
      </c>
      <c r="Q93" s="1">
        <f>(Main_M[[#This Row],[ROE]]-VLOOKUP(Main_M[[#This Row],[Industry]], Mean_ROE_M, 2, FALSE))/(VLOOKUP(Main_M[[#This Row],[Industry]], Mean_ROE_M, 3, FALSE))</f>
        <v>-0.34117207872604799</v>
      </c>
      <c r="R93" s="1">
        <f>(Main_M[[#This Row],[ROA]]-VLOOKUP(Main_M[[#This Row],[Industry]], Mean_ROA_M, 2, FALSE))/(VLOOKUP(Main_M[[#This Row],[Industry]], Mean_ROA_M, 3, FALSE))</f>
        <v>-0.9180632653904256</v>
      </c>
      <c r="S93" s="1">
        <f>(Main_M[[#This Row],[A/E]]-VLOOKUP(Main_M[[#This Row],[Industry]], Mean_AE_M, 2, FALSE))/(VLOOKUP(Main_M[[#This Row],[Industry]], Mean_AE_M, 3, FALSE))</f>
        <v>1.1961978639337933</v>
      </c>
      <c r="T93" s="1">
        <f>(Main_M[[#This Row],[P/E]]-VLOOKUP(Main_M[[#This Row],[Industry]], Mean_PE_M, 2, FALSE))/(VLOOKUP(Main_M[[#This Row],[Industry]], Mean_PE_M, 3, FALSE))</f>
        <v>0.57594463811749874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t="s">
        <v>157</v>
      </c>
      <c r="B94" t="s">
        <v>319</v>
      </c>
      <c r="C94" s="2">
        <v>2393</v>
      </c>
      <c r="D94">
        <f>RTD("tos.rtd", , "LAST", Main_M[[#This Row],[Symbol]])</f>
        <v>20.309999999999999</v>
      </c>
      <c r="E94">
        <v>0.61</v>
      </c>
      <c r="F94">
        <v>25.66</v>
      </c>
      <c r="G94">
        <v>-0.78</v>
      </c>
      <c r="H94" s="1">
        <f>IF(ISNUMBER(Main_M[[#This Row],[Free CF]]),IF(Main_M[[#This Row],[Free CF]]&lt;&gt;0,Main_M[[#This Row],[Current Price]]/Main_M[[#This Row],[Free CF]],""),"")</f>
        <v>33.295081967213115</v>
      </c>
      <c r="I94" s="1">
        <f>IF(ISNUMBER(Main_M[[#This Row],[BVPS]]),IF(Main_M[[#This Row],[BVPS]]&lt;&gt;0,Main_M[[#This Row],[Current Price]]/Main_M[[#This Row],[BVPS]],""),"")</f>
        <v>0.79150428682774743</v>
      </c>
      <c r="J94">
        <v>-3.01</v>
      </c>
      <c r="K94">
        <v>4.4400000000000004</v>
      </c>
      <c r="L94">
        <v>2.36</v>
      </c>
      <c r="M94" s="1">
        <f>IF(ISNUMBER(Main_M[[#This Row],[EPS]]),IF(Main_M[[#This Row],[EPS]]&lt;&gt;0,Main_M[[#This Row],[Current Price]]/Main_M[[#This Row],[EPS]],""),"")</f>
        <v>-26.038461538461537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1.0071311578534041</v>
      </c>
      <c r="P94" s="1">
        <f>(Main_M[[#This Row],[P/B]]-VLOOKUP(Main_M[[#This Row],[Industry]], Mean_PB_M, 2, FALSE))/(VLOOKUP(Main_M[[#This Row],[Industry]], Mean_PB_M, 3, FALSE))</f>
        <v>-1.3986500191363309</v>
      </c>
      <c r="Q94" s="1">
        <f>(Main_M[[#This Row],[ROE]]-VLOOKUP(Main_M[[#This Row],[Industry]], Mean_ROE_M, 2, FALSE))/(VLOOKUP(Main_M[[#This Row],[Industry]], Mean_ROE_M, 3, FALSE))</f>
        <v>-0.82041627862946476</v>
      </c>
      <c r="R94" s="1">
        <f>(Main_M[[#This Row],[ROA]]-VLOOKUP(Main_M[[#This Row],[Industry]], Mean_ROA_M, 2, FALSE))/(VLOOKUP(Main_M[[#This Row],[Industry]], Mean_ROA_M, 3, FALSE))</f>
        <v>-0.93941844282938181</v>
      </c>
      <c r="S94" s="1">
        <f>(Main_M[[#This Row],[A/E]]-VLOOKUP(Main_M[[#This Row],[Industry]], Mean_AE_M, 2, FALSE))/(VLOOKUP(Main_M[[#This Row],[Industry]], Mean_AE_M, 3, FALSE))</f>
        <v>0.67603568884106002</v>
      </c>
      <c r="T94" s="1">
        <f>(Main_M[[#This Row],[P/E]]-VLOOKUP(Main_M[[#This Row],[Industry]], Mean_PE_M, 2, FALSE))/(VLOOKUP(Main_M[[#This Row],[Industry]], Mean_PE_M, 3, FALSE))</f>
        <v>-3.8955517382918576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5" spans="1:26" x14ac:dyDescent="0.25">
      <c r="A95" t="s">
        <v>157</v>
      </c>
      <c r="B95" t="s">
        <v>320</v>
      </c>
      <c r="C95" s="2">
        <v>8727</v>
      </c>
      <c r="D95">
        <f>RTD("tos.rtd", , "LAST", Main_M[[#This Row],[Symbol]])</f>
        <v>70.55</v>
      </c>
      <c r="E95">
        <v>3.37</v>
      </c>
      <c r="F95">
        <v>12.4</v>
      </c>
      <c r="G95">
        <v>3.44</v>
      </c>
      <c r="H95" s="1">
        <f>IF(ISNUMBER(Main_M[[#This Row],[Free CF]]),IF(Main_M[[#This Row],[Free CF]]&lt;&gt;0,Main_M[[#This Row],[Current Price]]/Main_M[[#This Row],[Free CF]],""),"")</f>
        <v>20.934718100890205</v>
      </c>
      <c r="I95" s="1">
        <f>IF(ISNUMBER(Main_M[[#This Row],[BVPS]]),IF(Main_M[[#This Row],[BVPS]]&lt;&gt;0,Main_M[[#This Row],[Current Price]]/Main_M[[#This Row],[BVPS]],""),"")</f>
        <v>5.689516129032258</v>
      </c>
      <c r="J95">
        <v>29.24</v>
      </c>
      <c r="K95">
        <v>11.97</v>
      </c>
      <c r="L95">
        <v>1.96</v>
      </c>
      <c r="M95" s="1">
        <f>IF(ISNUMBER(Main_M[[#This Row],[EPS]]),IF(Main_M[[#This Row],[EPS]]&lt;&gt;0,Main_M[[#This Row],[Current Price]]/Main_M[[#This Row],[EPS]],""),"")</f>
        <v>20.508720930232556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-0.19089749402587641</v>
      </c>
      <c r="P95" s="1">
        <f>(Main_M[[#This Row],[P/B]]-VLOOKUP(Main_M[[#This Row],[Industry]], Mean_PB_M, 2, FALSE))/(VLOOKUP(Main_M[[#This Row],[Industry]], Mean_PB_M, 3, FALSE))</f>
        <v>1.8464485743608561</v>
      </c>
      <c r="Q95" s="1">
        <f>(Main_M[[#This Row],[ROE]]-VLOOKUP(Main_M[[#This Row],[Industry]], Mean_ROE_M, 2, FALSE))/(VLOOKUP(Main_M[[#This Row],[Industry]], Mean_ROE_M, 3, FALSE))</f>
        <v>0.5846405801782798</v>
      </c>
      <c r="R95" s="1">
        <f>(Main_M[[#This Row],[ROA]]-VLOOKUP(Main_M[[#This Row],[Industry]], Mean_ROA_M, 2, FALSE))/(VLOOKUP(Main_M[[#This Row],[Industry]], Mean_ROA_M, 3, FALSE))</f>
        <v>1.7406563257596361</v>
      </c>
      <c r="S95" s="1">
        <f>(Main_M[[#This Row],[A/E]]-VLOOKUP(Main_M[[#This Row],[Industry]], Mean_AE_M, 2, FALSE))/(VLOOKUP(Main_M[[#This Row],[Industry]], Mean_AE_M, 3, FALSE))</f>
        <v>-9.4574940925951881E-2</v>
      </c>
      <c r="T95" s="1">
        <f>(Main_M[[#This Row],[P/E]]-VLOOKUP(Main_M[[#This Row],[Industry]], Mean_PE_M, 2, FALSE))/(VLOOKUP(Main_M[[#This Row],[Industry]], Mean_PE_M, 3, FALSE))</f>
        <v>-0.27595266903723142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t="s">
        <v>157</v>
      </c>
      <c r="B96" t="s">
        <v>321</v>
      </c>
      <c r="C96" s="2">
        <v>8341</v>
      </c>
      <c r="D96">
        <f>RTD("tos.rtd", , "LAST", Main_M[[#This Row],[Symbol]])</f>
        <v>13.07</v>
      </c>
      <c r="E96">
        <v>1.6</v>
      </c>
      <c r="F96">
        <v>7.4</v>
      </c>
      <c r="G96">
        <v>1.0900000000000001</v>
      </c>
      <c r="H96" s="1">
        <f>IF(ISNUMBER(Main_M[[#This Row],[Free CF]]),IF(Main_M[[#This Row],[Free CF]]&lt;&gt;0,Main_M[[#This Row],[Current Price]]/Main_M[[#This Row],[Free CF]],""),"")</f>
        <v>8.1687499999999993</v>
      </c>
      <c r="I96" s="1">
        <f>IF(ISNUMBER(Main_M[[#This Row],[BVPS]]),IF(Main_M[[#This Row],[BVPS]]&lt;&gt;0,Main_M[[#This Row],[Current Price]]/Main_M[[#This Row],[BVPS]],""),"")</f>
        <v>1.7662162162162163</v>
      </c>
      <c r="J96">
        <v>16.809999999999999</v>
      </c>
      <c r="K96">
        <v>7.74</v>
      </c>
      <c r="L96">
        <v>1.75</v>
      </c>
      <c r="M96" s="1">
        <f>IF(ISNUMBER(Main_M[[#This Row],[EPS]]),IF(Main_M[[#This Row],[EPS]]&lt;&gt;0,Main_M[[#This Row],[Current Price]]/Main_M[[#This Row],[EPS]],""),"")</f>
        <v>11.990825688073393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6" s="1">
        <f>(Main_M[[#This Row],[P/FCF]]-VLOOKUP(Main_M[[#This Row],[Industry]], Mean_PFCF_M, 2, FALSE))/(VLOOKUP(Main_M[[#This Row],[Industry]], Mean_PFCF_M, 3, FALSE))</f>
        <v>-1.4282393489459784</v>
      </c>
      <c r="P96" s="1">
        <f>(Main_M[[#This Row],[P/B]]-VLOOKUP(Main_M[[#This Row],[Industry]], Mean_PB_M, 2, FALSE))/(VLOOKUP(Main_M[[#This Row],[Industry]], Mean_PB_M, 3, FALSE))</f>
        <v>-0.75287038180090515</v>
      </c>
      <c r="Q96" s="1">
        <f>(Main_M[[#This Row],[ROE]]-VLOOKUP(Main_M[[#This Row],[Industry]], Mean_ROE_M, 2, FALSE))/(VLOOKUP(Main_M[[#This Row],[Industry]], Mean_ROE_M, 3, FALSE))</f>
        <v>4.3094634287418866E-2</v>
      </c>
      <c r="R96" s="1">
        <f>(Main_M[[#This Row],[ROA]]-VLOOKUP(Main_M[[#This Row],[Industry]], Mean_ROA_M, 2, FALSE))/(VLOOKUP(Main_M[[#This Row],[Industry]], Mean_ROA_M, 3, FALSE))</f>
        <v>0.23511631631321564</v>
      </c>
      <c r="S96" s="1">
        <f>(Main_M[[#This Row],[A/E]]-VLOOKUP(Main_M[[#This Row],[Industry]], Mean_AE_M, 2, FALSE))/(VLOOKUP(Main_M[[#This Row],[Industry]], Mean_AE_M, 3, FALSE))</f>
        <v>-0.49914552155363318</v>
      </c>
      <c r="T96" s="1">
        <f>(Main_M[[#This Row],[P/E]]-VLOOKUP(Main_M[[#This Row],[Industry]], Mean_PE_M, 2, FALSE))/(VLOOKUP(Main_M[[#This Row],[Industry]], Mean_PE_M, 3, FALSE))</f>
        <v>-0.93832070197378459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t="s">
        <v>157</v>
      </c>
      <c r="B97" t="s">
        <v>322</v>
      </c>
      <c r="C97" s="2">
        <v>2555</v>
      </c>
      <c r="D97">
        <f>RTD("tos.rtd", , "LAST", Main_M[[#This Row],[Symbol]])</f>
        <v>43.45</v>
      </c>
      <c r="E97">
        <v>1.26</v>
      </c>
      <c r="F97">
        <v>7.23</v>
      </c>
      <c r="G97">
        <v>1.5</v>
      </c>
      <c r="H97" s="1">
        <f>IF(ISNUMBER(Main_M[[#This Row],[Free CF]]),IF(Main_M[[#This Row],[Free CF]]&lt;&gt;0,Main_M[[#This Row],[Current Price]]/Main_M[[#This Row],[Free CF]],""),"")</f>
        <v>34.484126984126988</v>
      </c>
      <c r="I97" s="1">
        <f>IF(ISNUMBER(Main_M[[#This Row],[BVPS]]),IF(Main_M[[#This Row],[BVPS]]&lt;&gt;0,Main_M[[#This Row],[Current Price]]/Main_M[[#This Row],[BVPS]],""),"")</f>
        <v>6.0096818810511756</v>
      </c>
      <c r="J97">
        <v>22.88</v>
      </c>
      <c r="K97">
        <v>11.14</v>
      </c>
      <c r="L97">
        <v>1.98</v>
      </c>
      <c r="M97" s="1">
        <f>IF(ISNUMBER(Main_M[[#This Row],[EPS]]),IF(Main_M[[#This Row],[EPS]]&lt;&gt;0,Main_M[[#This Row],[Current Price]]/Main_M[[#This Row],[EPS]],""),"")</f>
        <v>28.966666666666669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1.1223793830709747</v>
      </c>
      <c r="P97" s="1">
        <f>(Main_M[[#This Row],[P/B]]-VLOOKUP(Main_M[[#This Row],[Industry]], Mean_PB_M, 2, FALSE))/(VLOOKUP(Main_M[[#This Row],[Industry]], Mean_PB_M, 3, FALSE))</f>
        <v>2.0585692194377239</v>
      </c>
      <c r="Q97" s="1">
        <f>(Main_M[[#This Row],[ROE]]-VLOOKUP(Main_M[[#This Row],[Industry]], Mean_ROE_M, 2, FALSE))/(VLOOKUP(Main_M[[#This Row],[Industry]], Mean_ROE_M, 3, FALSE))</f>
        <v>0.30755029732503159</v>
      </c>
      <c r="R97" s="1">
        <f>(Main_M[[#This Row],[ROA]]-VLOOKUP(Main_M[[#This Row],[Industry]], Mean_ROA_M, 2, FALSE))/(VLOOKUP(Main_M[[#This Row],[Industry]], Mean_ROA_M, 3, FALSE))</f>
        <v>1.4452430378540737</v>
      </c>
      <c r="S97" s="1">
        <f>(Main_M[[#This Row],[A/E]]-VLOOKUP(Main_M[[#This Row],[Industry]], Mean_AE_M, 2, FALSE))/(VLOOKUP(Main_M[[#This Row],[Industry]], Mean_AE_M, 3, FALSE))</f>
        <v>-5.6044409437601243E-2</v>
      </c>
      <c r="T97" s="1">
        <f>(Main_M[[#This Row],[P/E]]-VLOOKUP(Main_M[[#This Row],[Industry]], Mean_PE_M, 2, FALSE))/(VLOOKUP(Main_M[[#This Row],[Industry]], Mean_PE_M, 3, FALSE))</f>
        <v>0.38175357421375677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t="s">
        <v>157</v>
      </c>
      <c r="B98" t="s">
        <v>323</v>
      </c>
      <c r="C98" s="2">
        <v>7762</v>
      </c>
      <c r="D98">
        <f>RTD("tos.rtd", , "LAST", Main_M[[#This Row],[Symbol]])</f>
        <v>127.5</v>
      </c>
      <c r="E98">
        <v>5.04</v>
      </c>
      <c r="F98">
        <v>30.39</v>
      </c>
      <c r="G98">
        <v>4.45</v>
      </c>
      <c r="H98" s="1">
        <f>IF(ISNUMBER(Main_M[[#This Row],[Free CF]]),IF(Main_M[[#This Row],[Free CF]]&lt;&gt;0,Main_M[[#This Row],[Current Price]]/Main_M[[#This Row],[Free CF]],""),"")</f>
        <v>25.297619047619047</v>
      </c>
      <c r="I98" s="1">
        <f>IF(ISNUMBER(Main_M[[#This Row],[BVPS]]),IF(Main_M[[#This Row],[BVPS]]&lt;&gt;0,Main_M[[#This Row],[Current Price]]/Main_M[[#This Row],[BVPS]],""),"")</f>
        <v>4.1954590325765055</v>
      </c>
      <c r="J98">
        <v>16.32</v>
      </c>
      <c r="K98">
        <v>7.43</v>
      </c>
      <c r="L98">
        <v>2.2200000000000002</v>
      </c>
      <c r="M98" s="1">
        <f>IF(ISNUMBER(Main_M[[#This Row],[EPS]]),IF(Main_M[[#This Row],[EPS]]&lt;&gt;0,Main_M[[#This Row],[Current Price]]/Main_M[[#This Row],[EPS]],""),"")</f>
        <v>28.651685393258425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0.23197681582624441</v>
      </c>
      <c r="P98" s="1">
        <f>(Main_M[[#This Row],[P/B]]-VLOOKUP(Main_M[[#This Row],[Industry]], Mean_PB_M, 2, FALSE))/(VLOOKUP(Main_M[[#This Row],[Industry]], Mean_PB_M, 3, FALSE))</f>
        <v>0.85658518927543148</v>
      </c>
      <c r="Q98" s="1">
        <f>(Main_M[[#This Row],[ROE]]-VLOOKUP(Main_M[[#This Row],[Industry]], Mean_ROE_M, 2, FALSE))/(VLOOKUP(Main_M[[#This Row],[Industry]], Mean_ROE_M, 3, FALSE))</f>
        <v>2.1746483564448547E-2</v>
      </c>
      <c r="R98" s="1">
        <f>(Main_M[[#This Row],[ROA]]-VLOOKUP(Main_M[[#This Row],[Industry]], Mean_ROA_M, 2, FALSE))/(VLOOKUP(Main_M[[#This Row],[Industry]], Mean_ROA_M, 3, FALSE))</f>
        <v>0.12478123287860782</v>
      </c>
      <c r="S98" s="1">
        <f>(Main_M[[#This Row],[A/E]]-VLOOKUP(Main_M[[#This Row],[Industry]], Mean_AE_M, 2, FALSE))/(VLOOKUP(Main_M[[#This Row],[Industry]], Mean_AE_M, 3, FALSE))</f>
        <v>0.40632196842260643</v>
      </c>
      <c r="T98" s="1">
        <f>(Main_M[[#This Row],[P/E]]-VLOOKUP(Main_M[[#This Row],[Industry]], Mean_PE_M, 2, FALSE))/(VLOOKUP(Main_M[[#This Row],[Industry]], Mean_PE_M, 3, FALSE))</f>
        <v>0.35726002028430237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t="s">
        <v>157</v>
      </c>
      <c r="B99" t="s">
        <v>324</v>
      </c>
      <c r="C99" s="2">
        <v>3700</v>
      </c>
      <c r="D99">
        <f>RTD("tos.rtd", , "LAST", Main_M[[#This Row],[Symbol]])</f>
        <v>184.96</v>
      </c>
      <c r="E99">
        <v>3.08</v>
      </c>
      <c r="F99">
        <v>48.05</v>
      </c>
      <c r="G99">
        <v>3.94</v>
      </c>
      <c r="H99" s="1">
        <f>IF(ISNUMBER(Main_M[[#This Row],[Free CF]]),IF(Main_M[[#This Row],[Free CF]]&lt;&gt;0,Main_M[[#This Row],[Current Price]]/Main_M[[#This Row],[Free CF]],""),"")</f>
        <v>60.051948051948052</v>
      </c>
      <c r="I99" s="1">
        <f>IF(ISNUMBER(Main_M[[#This Row],[BVPS]]),IF(Main_M[[#This Row],[BVPS]]&lt;&gt;0,Main_M[[#This Row],[Current Price]]/Main_M[[#This Row],[BVPS]],""),"")</f>
        <v>3.8493236212278878</v>
      </c>
      <c r="J99">
        <v>8.6</v>
      </c>
      <c r="K99">
        <v>5.22</v>
      </c>
      <c r="L99">
        <v>1.49</v>
      </c>
      <c r="M99" s="1">
        <f>IF(ISNUMBER(Main_M[[#This Row],[EPS]]),IF(Main_M[[#This Row],[EPS]]&lt;&gt;0,Main_M[[#This Row],[Current Price]]/Main_M[[#This Row],[EPS]],""),"")</f>
        <v>46.944162436548226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3.6005412346674004</v>
      </c>
      <c r="P99" s="1">
        <f>(Main_M[[#This Row],[P/B]]-VLOOKUP(Main_M[[#This Row],[Industry]], Mean_PB_M, 2, FALSE))/(VLOOKUP(Main_M[[#This Row],[Industry]], Mean_PB_M, 3, FALSE))</f>
        <v>0.62725876608299236</v>
      </c>
      <c r="Q99" s="1">
        <f>(Main_M[[#This Row],[ROE]]-VLOOKUP(Main_M[[#This Row],[Industry]], Mean_ROE_M, 2, FALSE))/(VLOOKUP(Main_M[[#This Row],[Industry]], Mean_ROE_M, 3, FALSE))</f>
        <v>-0.31459580945867671</v>
      </c>
      <c r="R99" s="1">
        <f>(Main_M[[#This Row],[ROA]]-VLOOKUP(Main_M[[#This Row],[Industry]], Mean_ROA_M, 2, FALSE))/(VLOOKUP(Main_M[[#This Row],[Industry]], Mean_ROA_M, 3, FALSE))</f>
        <v>-0.66180113612294988</v>
      </c>
      <c r="S99" s="1">
        <f>(Main_M[[#This Row],[A/E]]-VLOOKUP(Main_M[[#This Row],[Industry]], Mean_AE_M, 2, FALSE))/(VLOOKUP(Main_M[[#This Row],[Industry]], Mean_AE_M, 3, FALSE))</f>
        <v>-1.0000424309021911</v>
      </c>
      <c r="T99" s="1">
        <f>(Main_M[[#This Row],[P/E]]-VLOOKUP(Main_M[[#This Row],[Industry]], Mean_PE_M, 2, FALSE))/(VLOOKUP(Main_M[[#This Row],[Industry]], Mean_PE_M, 3, FALSE))</f>
        <v>1.7797184671470043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t="s">
        <v>157</v>
      </c>
      <c r="B100" t="s">
        <v>325</v>
      </c>
      <c r="C100" s="2">
        <v>4869</v>
      </c>
      <c r="D100">
        <f>RTD("tos.rtd", , "LAST", Main_M[[#This Row],[Symbol]])</f>
        <v>86.83</v>
      </c>
      <c r="E100">
        <v>4.96</v>
      </c>
      <c r="F100">
        <v>27.79</v>
      </c>
      <c r="G100">
        <v>3.96</v>
      </c>
      <c r="H100" s="1">
        <f>IF(ISNUMBER(Main_M[[#This Row],[Free CF]]),IF(Main_M[[#This Row],[Free CF]]&lt;&gt;0,Main_M[[#This Row],[Current Price]]/Main_M[[#This Row],[Free CF]],""),"")</f>
        <v>17.506048387096772</v>
      </c>
      <c r="I100" s="1">
        <f>IF(ISNUMBER(Main_M[[#This Row],[BVPS]]),IF(Main_M[[#This Row],[BVPS]]&lt;&gt;0,Main_M[[#This Row],[Current Price]]/Main_M[[#This Row],[BVPS]],""),"")</f>
        <v>3.1245052177042103</v>
      </c>
      <c r="J100">
        <v>15.15</v>
      </c>
      <c r="K100">
        <v>8.94</v>
      </c>
      <c r="L100">
        <v>1.42</v>
      </c>
      <c r="M100" s="1">
        <f>IF(ISNUMBER(Main_M[[#This Row],[EPS]]),IF(Main_M[[#This Row],[EPS]]&lt;&gt;0,Main_M[[#This Row],[Current Price]]/Main_M[[#This Row],[EPS]],""),"")</f>
        <v>21.926767676767678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-0.52322141259165322</v>
      </c>
      <c r="P100" s="1">
        <f>(Main_M[[#This Row],[P/B]]-VLOOKUP(Main_M[[#This Row],[Industry]], Mean_PB_M, 2, FALSE))/(VLOOKUP(Main_M[[#This Row],[Industry]], Mean_PB_M, 3, FALSE))</f>
        <v>0.1470420459950067</v>
      </c>
      <c r="Q100" s="1">
        <f>(Main_M[[#This Row],[ROE]]-VLOOKUP(Main_M[[#This Row],[Industry]], Mean_ROE_M, 2, FALSE))/(VLOOKUP(Main_M[[#This Row],[Industry]], Mean_ROE_M, 3, FALSE))</f>
        <v>-2.9227672243460328E-2</v>
      </c>
      <c r="R100" s="1">
        <f>(Main_M[[#This Row],[ROA]]-VLOOKUP(Main_M[[#This Row],[Industry]], Mean_ROA_M, 2, FALSE))/(VLOOKUP(Main_M[[#This Row],[Industry]], Mean_ROA_M, 3, FALSE))</f>
        <v>0.66221986509234176</v>
      </c>
      <c r="S100" s="1">
        <f>(Main_M[[#This Row],[A/E]]-VLOOKUP(Main_M[[#This Row],[Industry]], Mean_AE_M, 2, FALSE))/(VLOOKUP(Main_M[[#This Row],[Industry]], Mean_AE_M, 3, FALSE))</f>
        <v>-1.1348992911114184</v>
      </c>
      <c r="T100" s="1">
        <f>(Main_M[[#This Row],[P/E]]-VLOOKUP(Main_M[[#This Row],[Industry]], Mean_PE_M, 2, FALSE))/(VLOOKUP(Main_M[[#This Row],[Industry]], Mean_PE_M, 3, FALSE))</f>
        <v>-0.16568260731286852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t="s">
        <v>157</v>
      </c>
      <c r="B101" t="s">
        <v>326</v>
      </c>
      <c r="C101" s="2">
        <v>7992</v>
      </c>
      <c r="D101">
        <f>RTD("tos.rtd", , "LAST", Main_M[[#This Row],[Symbol]])</f>
        <v>48.17</v>
      </c>
      <c r="E101">
        <v>2.67</v>
      </c>
      <c r="F101">
        <v>15.67</v>
      </c>
      <c r="G101">
        <v>2.0299999999999998</v>
      </c>
      <c r="H101" s="1">
        <f>IF(ISNUMBER(Main_M[[#This Row],[Free CF]]),IF(Main_M[[#This Row],[Free CF]]&lt;&gt;0,Main_M[[#This Row],[Current Price]]/Main_M[[#This Row],[Free CF]],""),"")</f>
        <v>18.04119850187266</v>
      </c>
      <c r="I101" s="1">
        <f>IF(ISNUMBER(Main_M[[#This Row],[BVPS]]),IF(Main_M[[#This Row],[BVPS]]&lt;&gt;0,Main_M[[#This Row],[Current Price]]/Main_M[[#This Row],[BVPS]],""),"")</f>
        <v>3.0740268028079134</v>
      </c>
      <c r="J101">
        <v>14.19</v>
      </c>
      <c r="K101">
        <v>6.03</v>
      </c>
      <c r="L101">
        <v>2.57</v>
      </c>
      <c r="M101" s="1">
        <f>IF(ISNUMBER(Main_M[[#This Row],[EPS]]),IF(Main_M[[#This Row],[EPS]]&lt;&gt;0,Main_M[[#This Row],[Current Price]]/Main_M[[#This Row],[EPS]],""),"")</f>
        <v>23.729064039408872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-0.47135197108558141</v>
      </c>
      <c r="P101" s="1">
        <f>(Main_M[[#This Row],[P/B]]-VLOOKUP(Main_M[[#This Row],[Industry]], Mean_PB_M, 2, FALSE))/(VLOOKUP(Main_M[[#This Row],[Industry]], Mean_PB_M, 3, FALSE))</f>
        <v>0.11359838794369957</v>
      </c>
      <c r="Q101" s="1">
        <f>(Main_M[[#This Row],[ROE]]-VLOOKUP(Main_M[[#This Row],[Industry]], Mean_ROE_M, 2, FALSE))/(VLOOKUP(Main_M[[#This Row],[Industry]], Mean_ROE_M, 3, FALSE))</f>
        <v>-7.1052620598667654E-2</v>
      </c>
      <c r="R101" s="1">
        <f>(Main_M[[#This Row],[ROA]]-VLOOKUP(Main_M[[#This Row],[Industry]], Mean_ROA_M, 2, FALSE))/(VLOOKUP(Main_M[[#This Row],[Industry]], Mean_ROA_M, 3, FALSE))</f>
        <v>-0.37350624069703942</v>
      </c>
      <c r="S101" s="1">
        <f>(Main_M[[#This Row],[A/E]]-VLOOKUP(Main_M[[#This Row],[Industry]], Mean_AE_M, 2, FALSE))/(VLOOKUP(Main_M[[#This Row],[Industry]], Mean_AE_M, 3, FALSE))</f>
        <v>1.0806062694687413</v>
      </c>
      <c r="T101" s="1">
        <f>(Main_M[[#This Row],[P/E]]-VLOOKUP(Main_M[[#This Row],[Industry]], Mean_PE_M, 2, FALSE))/(VLOOKUP(Main_M[[#This Row],[Industry]], Mean_PE_M, 3, FALSE))</f>
        <v>-2.5532551160176838E-2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t="s">
        <v>157</v>
      </c>
      <c r="B102" t="s">
        <v>327</v>
      </c>
      <c r="C102" s="2">
        <v>5767</v>
      </c>
      <c r="D102">
        <f>RTD("tos.rtd", , "LAST", Main_M[[#This Row],[Symbol]])</f>
        <v>21.96</v>
      </c>
      <c r="E102">
        <v>1.29</v>
      </c>
      <c r="F102">
        <v>12.21</v>
      </c>
      <c r="G102">
        <v>0.72</v>
      </c>
      <c r="H102" s="1">
        <f>IF(ISNUMBER(Main_M[[#This Row],[Free CF]]),IF(Main_M[[#This Row],[Free CF]]&lt;&gt;0,Main_M[[#This Row],[Current Price]]/Main_M[[#This Row],[Free CF]],""),"")</f>
        <v>17.02325581395349</v>
      </c>
      <c r="I102" s="1">
        <f>IF(ISNUMBER(Main_M[[#This Row],[BVPS]]),IF(Main_M[[#This Row],[BVPS]]&lt;&gt;0,Main_M[[#This Row],[Current Price]]/Main_M[[#This Row],[BVPS]],""),"")</f>
        <v>1.7985257985257985</v>
      </c>
      <c r="J102">
        <v>6.34</v>
      </c>
      <c r="K102">
        <v>9.08</v>
      </c>
      <c r="L102">
        <v>2.29</v>
      </c>
      <c r="M102" s="1">
        <f>IF(ISNUMBER(Main_M[[#This Row],[EPS]]),IF(Main_M[[#This Row],[EPS]]&lt;&gt;0,Main_M[[#This Row],[Current Price]]/Main_M[[#This Row],[EPS]],""),"")</f>
        <v>30.500000000000004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-0.5700160977478147</v>
      </c>
      <c r="P102" s="1">
        <f>(Main_M[[#This Row],[P/B]]-VLOOKUP(Main_M[[#This Row],[Industry]], Mean_PB_M, 2, FALSE))/(VLOOKUP(Main_M[[#This Row],[Industry]], Mean_PB_M, 3, FALSE))</f>
        <v>-0.73146419016905384</v>
      </c>
      <c r="Q102" s="1">
        <f>(Main_M[[#This Row],[ROE]]-VLOOKUP(Main_M[[#This Row],[Industry]], Mean_ROE_M, 2, FALSE))/(VLOOKUP(Main_M[[#This Row],[Industry]], Mean_ROE_M, 3, FALSE))</f>
        <v>-0.41305870871156053</v>
      </c>
      <c r="R102" s="1">
        <f>(Main_M[[#This Row],[ROA]]-VLOOKUP(Main_M[[#This Row],[Industry]], Mean_ROA_M, 2, FALSE))/(VLOOKUP(Main_M[[#This Row],[Industry]], Mean_ROA_M, 3, FALSE))</f>
        <v>0.71204861244990669</v>
      </c>
      <c r="S102" s="1">
        <f>(Main_M[[#This Row],[A/E]]-VLOOKUP(Main_M[[#This Row],[Industry]], Mean_AE_M, 2, FALSE))/(VLOOKUP(Main_M[[#This Row],[Industry]], Mean_AE_M, 3, FALSE))</f>
        <v>0.54117882863183331</v>
      </c>
      <c r="T102" s="1">
        <f>(Main_M[[#This Row],[P/E]]-VLOOKUP(Main_M[[#This Row],[Industry]], Mean_PE_M, 2, FALSE))/(VLOOKUP(Main_M[[#This Row],[Industry]], Mean_PE_M, 3, FALSE))</f>
        <v>0.50098854423419126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t="s">
        <v>157</v>
      </c>
      <c r="B103" t="s">
        <v>328</v>
      </c>
      <c r="C103" s="2">
        <v>8152</v>
      </c>
      <c r="D103">
        <f>RTD("tos.rtd", , "LAST", Main_M[[#This Row],[Symbol]])</f>
        <v>150</v>
      </c>
      <c r="E103">
        <v>4.8600000000000003</v>
      </c>
      <c r="F103">
        <v>70.66</v>
      </c>
      <c r="G103">
        <v>3.22</v>
      </c>
      <c r="H103" s="1">
        <f>IF(ISNUMBER(Main_M[[#This Row],[Free CF]]),IF(Main_M[[#This Row],[Free CF]]&lt;&gt;0,Main_M[[#This Row],[Current Price]]/Main_M[[#This Row],[Free CF]],""),"")</f>
        <v>30.864197530864196</v>
      </c>
      <c r="I103" s="1">
        <f>IF(ISNUMBER(Main_M[[#This Row],[BVPS]]),IF(Main_M[[#This Row],[BVPS]]&lt;&gt;0,Main_M[[#This Row],[Current Price]]/Main_M[[#This Row],[BVPS]],""),"")</f>
        <v>2.1228417775261819</v>
      </c>
      <c r="J103">
        <v>6.94</v>
      </c>
      <c r="K103">
        <v>4.4400000000000004</v>
      </c>
      <c r="L103">
        <v>3.2</v>
      </c>
      <c r="M103" s="1">
        <f>IF(ISNUMBER(Main_M[[#This Row],[EPS]]),IF(Main_M[[#This Row],[EPS]]&lt;&gt;0,Main_M[[#This Row],[Current Price]]/Main_M[[#This Row],[EPS]],""),"")</f>
        <v>46.583850931677013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0.77151760831315164</v>
      </c>
      <c r="P103" s="1">
        <f>(Main_M[[#This Row],[P/B]]-VLOOKUP(Main_M[[#This Row],[Industry]], Mean_PB_M, 2, FALSE))/(VLOOKUP(Main_M[[#This Row],[Industry]], Mean_PB_M, 3, FALSE))</f>
        <v>-0.51659387927386347</v>
      </c>
      <c r="Q103" s="1">
        <f>(Main_M[[#This Row],[ROE]]-VLOOKUP(Main_M[[#This Row],[Industry]], Mean_ROE_M, 2, FALSE))/(VLOOKUP(Main_M[[#This Row],[Industry]], Mean_ROE_M, 3, FALSE))</f>
        <v>-0.38691811598955594</v>
      </c>
      <c r="R103" s="1">
        <f>(Main_M[[#This Row],[ROA]]-VLOOKUP(Main_M[[#This Row],[Industry]], Mean_ROA_M, 2, FALSE))/(VLOOKUP(Main_M[[#This Row],[Industry]], Mean_ROA_M, 3, FALSE))</f>
        <v>-0.93941844282938181</v>
      </c>
      <c r="S103" s="1">
        <f>(Main_M[[#This Row],[A/E]]-VLOOKUP(Main_M[[#This Row],[Industry]], Mean_AE_M, 2, FALSE))/(VLOOKUP(Main_M[[#This Row],[Industry]], Mean_AE_M, 3, FALSE))</f>
        <v>2.2943180113517863</v>
      </c>
      <c r="T103" s="1">
        <f>(Main_M[[#This Row],[P/E]]-VLOOKUP(Main_M[[#This Row],[Industry]], Mean_PE_M, 2, FALSE))/(VLOOKUP(Main_M[[#This Row],[Industry]], Mean_PE_M, 3, FALSE))</f>
        <v>1.7516999466156977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t="s">
        <v>157</v>
      </c>
      <c r="B104" t="s">
        <v>329</v>
      </c>
      <c r="C104" s="2">
        <v>2331</v>
      </c>
      <c r="D104">
        <f>RTD("tos.rtd", , "LAST", Main_M[[#This Row],[Symbol]])</f>
        <v>21.42</v>
      </c>
      <c r="E104">
        <v>1.62</v>
      </c>
      <c r="F104">
        <v>20.27</v>
      </c>
      <c r="G104">
        <v>-3.03</v>
      </c>
      <c r="H104" s="1">
        <f>IF(ISNUMBER(Main_M[[#This Row],[Free CF]]),IF(Main_M[[#This Row],[Free CF]]&lt;&gt;0,Main_M[[#This Row],[Current Price]]/Main_M[[#This Row],[Free CF]],""),"")</f>
        <v>13.222222222222223</v>
      </c>
      <c r="I104" s="1">
        <f>IF(ISNUMBER(Main_M[[#This Row],[BVPS]]),IF(Main_M[[#This Row],[BVPS]]&lt;&gt;0,Main_M[[#This Row],[Current Price]]/Main_M[[#This Row],[BVPS]],""),"")</f>
        <v>1.0567340897878639</v>
      </c>
      <c r="J104">
        <v>-13.09</v>
      </c>
      <c r="K104">
        <v>4.0999999999999996</v>
      </c>
      <c r="L104">
        <v>3.68</v>
      </c>
      <c r="M104" s="1">
        <f>IF(ISNUMBER(Main_M[[#This Row],[EPS]]),IF(Main_M[[#This Row],[EPS]]&lt;&gt;0,Main_M[[#This Row],[Current Price]]/Main_M[[#This Row],[EPS]],""),"")</f>
        <v>-7.0693069306930703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-0.93843139675505705</v>
      </c>
      <c r="P104" s="1">
        <f>(Main_M[[#This Row],[P/B]]-VLOOKUP(Main_M[[#This Row],[Industry]], Mean_PB_M, 2, FALSE))/(VLOOKUP(Main_M[[#This Row],[Industry]], Mean_PB_M, 3, FALSE))</f>
        <v>-1.2229262993357628</v>
      </c>
      <c r="Q104" s="1">
        <f>(Main_M[[#This Row],[ROE]]-VLOOKUP(Main_M[[#This Row],[Industry]], Mean_ROE_M, 2, FALSE))/(VLOOKUP(Main_M[[#This Row],[Industry]], Mean_ROE_M, 3, FALSE))</f>
        <v>-1.2595782363591412</v>
      </c>
      <c r="R104" s="1">
        <f>(Main_M[[#This Row],[ROA]]-VLOOKUP(Main_M[[#This Row],[Industry]], Mean_ROA_M, 2, FALSE))/(VLOOKUP(Main_M[[#This Row],[Industry]], Mean_ROA_M, 3, FALSE))</f>
        <v>-1.0604311149834678</v>
      </c>
      <c r="S104" s="1">
        <f>(Main_M[[#This Row],[A/E]]-VLOOKUP(Main_M[[#This Row],[Industry]], Mean_AE_M, 2, FALSE))/(VLOOKUP(Main_M[[#This Row],[Industry]], Mean_AE_M, 3, FALSE))</f>
        <v>3.2190507670722006</v>
      </c>
      <c r="T104" s="1">
        <f>(Main_M[[#This Row],[P/E]]-VLOOKUP(Main_M[[#This Row],[Industry]], Mean_PE_M, 2, FALSE))/(VLOOKUP(Main_M[[#This Row],[Industry]], Mean_PE_M, 3, FALSE))</f>
        <v>-2.4204735333112555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t="s">
        <v>157</v>
      </c>
      <c r="B105" t="s">
        <v>330</v>
      </c>
      <c r="C105" s="2">
        <v>2194</v>
      </c>
      <c r="D105">
        <f>RTD("tos.rtd", , "LAST", Main_M[[#This Row],[Symbol]])</f>
        <v>7.44</v>
      </c>
      <c r="E105">
        <v>0.66</v>
      </c>
      <c r="F105">
        <v>6.01</v>
      </c>
      <c r="G105">
        <v>0.04</v>
      </c>
      <c r="H105" s="1">
        <f>IF(ISNUMBER(Main_M[[#This Row],[Free CF]]),IF(Main_M[[#This Row],[Free CF]]&lt;&gt;0,Main_M[[#This Row],[Current Price]]/Main_M[[#This Row],[Free CF]],""),"")</f>
        <v>11.272727272727273</v>
      </c>
      <c r="I105" s="1">
        <f>IF(ISNUMBER(Main_M[[#This Row],[BVPS]]),IF(Main_M[[#This Row],[BVPS]]&lt;&gt;0,Main_M[[#This Row],[Current Price]]/Main_M[[#This Row],[BVPS]],""),"")</f>
        <v>1.237936772046589</v>
      </c>
      <c r="J105">
        <v>0.72</v>
      </c>
      <c r="K105">
        <v>2.6</v>
      </c>
      <c r="L105">
        <v>2.0299999999999998</v>
      </c>
      <c r="M105" s="1">
        <f>IF(ISNUMBER(Main_M[[#This Row],[EPS]]),IF(Main_M[[#This Row],[EPS]]&lt;&gt;0,Main_M[[#This Row],[Current Price]]/Main_M[[#This Row],[EPS]],""),"")</f>
        <v>186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-1.127386255321345</v>
      </c>
      <c r="P105" s="1">
        <f>(Main_M[[#This Row],[P/B]]-VLOOKUP(Main_M[[#This Row],[Industry]], Mean_PB_M, 2, FALSE))/(VLOOKUP(Main_M[[#This Row],[Industry]], Mean_PB_M, 3, FALSE))</f>
        <v>-1.1028733904658961</v>
      </c>
      <c r="Q105" s="1">
        <f>(Main_M[[#This Row],[ROE]]-VLOOKUP(Main_M[[#This Row],[Industry]], Mean_ROE_M, 2, FALSE))/(VLOOKUP(Main_M[[#This Row],[Industry]], Mean_ROE_M, 3, FALSE))</f>
        <v>-0.6579089272076698</v>
      </c>
      <c r="R105" s="1">
        <f>(Main_M[[#This Row],[ROA]]-VLOOKUP(Main_M[[#This Row],[Industry]], Mean_ROA_M, 2, FALSE))/(VLOOKUP(Main_M[[#This Row],[Industry]], Mean_ROA_M, 3, FALSE))</f>
        <v>-1.5943105509573758</v>
      </c>
      <c r="S105" s="1">
        <f>(Main_M[[#This Row],[A/E]]-VLOOKUP(Main_M[[#This Row],[Industry]], Mean_AE_M, 2, FALSE))/(VLOOKUP(Main_M[[#This Row],[Industry]], Mean_AE_M, 3, FALSE))</f>
        <v>4.0281919283274931E-2</v>
      </c>
      <c r="T105" s="1">
        <f>(Main_M[[#This Row],[P/E]]-VLOOKUP(Main_M[[#This Row],[Industry]], Mean_PE_M, 2, FALSE))/(VLOOKUP(Main_M[[#This Row],[Industry]], Mean_PE_M, 3, FALSE))</f>
        <v>12.592969743045632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6" spans="1:26" x14ac:dyDescent="0.25">
      <c r="A106" t="s">
        <v>157</v>
      </c>
      <c r="B106" t="s">
        <v>331</v>
      </c>
      <c r="C106" s="2">
        <v>3911</v>
      </c>
      <c r="D106">
        <f>RTD("tos.rtd", , "LAST", Main_M[[#This Row],[Symbol]])</f>
        <v>125.32</v>
      </c>
      <c r="E106">
        <v>1.25</v>
      </c>
      <c r="F106">
        <v>49.78</v>
      </c>
      <c r="G106">
        <v>4.47</v>
      </c>
      <c r="H106" s="1">
        <f>IF(ISNUMBER(Main_M[[#This Row],[Free CF]]),IF(Main_M[[#This Row],[Free CF]]&lt;&gt;0,Main_M[[#This Row],[Current Price]]/Main_M[[#This Row],[Free CF]],""),"")</f>
        <v>100.256</v>
      </c>
      <c r="I106" s="1">
        <f>IF(ISNUMBER(Main_M[[#This Row],[BVPS]]),IF(Main_M[[#This Row],[BVPS]]&lt;&gt;0,Main_M[[#This Row],[Current Price]]/Main_M[[#This Row],[BVPS]],""),"")</f>
        <v>2.517476898352752</v>
      </c>
      <c r="J106">
        <v>9.75</v>
      </c>
      <c r="K106">
        <v>4.3899999999999997</v>
      </c>
      <c r="L106">
        <v>1.76</v>
      </c>
      <c r="M106" s="1">
        <f>IF(ISNUMBER(Main_M[[#This Row],[EPS]]),IF(Main_M[[#This Row],[EPS]]&lt;&gt;0,Main_M[[#This Row],[Current Price]]/Main_M[[#This Row],[EPS]],""),"")</f>
        <v>28.035794183445191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7.4973202191956316</v>
      </c>
      <c r="P106" s="1">
        <f>(Main_M[[#This Row],[P/B]]-VLOOKUP(Main_M[[#This Row],[Industry]], Mean_PB_M, 2, FALSE))/(VLOOKUP(Main_M[[#This Row],[Industry]], Mean_PB_M, 3, FALSE))</f>
        <v>-0.25513475732888558</v>
      </c>
      <c r="Q106" s="1">
        <f>(Main_M[[#This Row],[ROE]]-VLOOKUP(Main_M[[#This Row],[Industry]], Mean_ROE_M, 2, FALSE))/(VLOOKUP(Main_M[[#This Row],[Industry]], Mean_ROE_M, 3, FALSE))</f>
        <v>-0.26449300674150134</v>
      </c>
      <c r="R106" s="1">
        <f>(Main_M[[#This Row],[ROA]]-VLOOKUP(Main_M[[#This Row],[Industry]], Mean_ROA_M, 2, FALSE))/(VLOOKUP(Main_M[[#This Row],[Industry]], Mean_ROA_M, 3, FALSE))</f>
        <v>-0.95721442402851231</v>
      </c>
      <c r="S106" s="1">
        <f>(Main_M[[#This Row],[A/E]]-VLOOKUP(Main_M[[#This Row],[Industry]], Mean_AE_M, 2, FALSE))/(VLOOKUP(Main_M[[#This Row],[Industry]], Mean_AE_M, 3, FALSE))</f>
        <v>-0.47988025580945787</v>
      </c>
      <c r="T106" s="1">
        <f>(Main_M[[#This Row],[P/E]]-VLOOKUP(Main_M[[#This Row],[Industry]], Mean_PE_M, 2, FALSE))/(VLOOKUP(Main_M[[#This Row],[Industry]], Mean_PE_M, 3, FALSE))</f>
        <v>0.3093671268465219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t="s">
        <v>157</v>
      </c>
      <c r="B107" t="s">
        <v>332</v>
      </c>
      <c r="C107" s="2">
        <v>4794</v>
      </c>
      <c r="D107">
        <f>RTD("tos.rtd", , "LAST", Main_M[[#This Row],[Symbol]])</f>
        <v>333.06</v>
      </c>
      <c r="E107">
        <v>11.72</v>
      </c>
      <c r="F107">
        <v>72.52</v>
      </c>
      <c r="G107">
        <v>9.77</v>
      </c>
      <c r="H107" s="1">
        <f>IF(ISNUMBER(Main_M[[#This Row],[Free CF]]),IF(Main_M[[#This Row],[Free CF]]&lt;&gt;0,Main_M[[#This Row],[Current Price]]/Main_M[[#This Row],[Free CF]],""),"")</f>
        <v>28.418088737201362</v>
      </c>
      <c r="I107" s="1">
        <f>IF(ISNUMBER(Main_M[[#This Row],[BVPS]]),IF(Main_M[[#This Row],[BVPS]]&lt;&gt;0,Main_M[[#This Row],[Current Price]]/Main_M[[#This Row],[BVPS]],""),"")</f>
        <v>4.5926640926640934</v>
      </c>
      <c r="J107">
        <v>14.53</v>
      </c>
      <c r="K107">
        <v>8.6</v>
      </c>
      <c r="L107">
        <v>1.75</v>
      </c>
      <c r="M107" s="1">
        <f>IF(ISNUMBER(Main_M[[#This Row],[EPS]]),IF(Main_M[[#This Row],[EPS]]&lt;&gt;0,Main_M[[#This Row],[Current Price]]/Main_M[[#This Row],[EPS]],""),"")</f>
        <v>34.090071647901745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0.53442843746710467</v>
      </c>
      <c r="P107" s="1">
        <f>(Main_M[[#This Row],[P/B]]-VLOOKUP(Main_M[[#This Row],[Industry]], Mean_PB_M, 2, FALSE))/(VLOOKUP(Main_M[[#This Row],[Industry]], Mean_PB_M, 3, FALSE))</f>
        <v>1.1197469829472193</v>
      </c>
      <c r="Q107" s="1">
        <f>(Main_M[[#This Row],[ROE]]-VLOOKUP(Main_M[[#This Row],[Industry]], Mean_ROE_M, 2, FALSE))/(VLOOKUP(Main_M[[#This Row],[Industry]], Mean_ROE_M, 3, FALSE))</f>
        <v>-5.6239618056198405E-2</v>
      </c>
      <c r="R107" s="1">
        <f>(Main_M[[#This Row],[ROA]]-VLOOKUP(Main_M[[#This Row],[Industry]], Mean_ROA_M, 2, FALSE))/(VLOOKUP(Main_M[[#This Row],[Industry]], Mean_ROA_M, 3, FALSE))</f>
        <v>0.54120719293825603</v>
      </c>
      <c r="S107" s="1">
        <f>(Main_M[[#This Row],[A/E]]-VLOOKUP(Main_M[[#This Row],[Industry]], Mean_AE_M, 2, FALSE))/(VLOOKUP(Main_M[[#This Row],[Industry]], Mean_AE_M, 3, FALSE))</f>
        <v>-0.49914552155363318</v>
      </c>
      <c r="T107" s="1">
        <f>(Main_M[[#This Row],[P/E]]-VLOOKUP(Main_M[[#This Row],[Industry]], Mean_PE_M, 2, FALSE))/(VLOOKUP(Main_M[[#This Row],[Industry]], Mean_PE_M, 3, FALSE))</f>
        <v>0.78015946943556658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t="s">
        <v>157</v>
      </c>
      <c r="B108" t="s">
        <v>333</v>
      </c>
      <c r="C108" s="2">
        <v>2119</v>
      </c>
      <c r="D108">
        <f>RTD("tos.rtd", , "LAST", Main_M[[#This Row],[Symbol]])</f>
        <v>22.17</v>
      </c>
      <c r="E108">
        <v>2.14</v>
      </c>
      <c r="F108">
        <v>16.43</v>
      </c>
      <c r="G108">
        <v>1.28</v>
      </c>
      <c r="H108" s="1">
        <f>IF(ISNUMBER(Main_M[[#This Row],[Free CF]]),IF(Main_M[[#This Row],[Free CF]]&lt;&gt;0,Main_M[[#This Row],[Current Price]]/Main_M[[#This Row],[Free CF]],""),"")</f>
        <v>10.359813084112149</v>
      </c>
      <c r="I108" s="1">
        <f>IF(ISNUMBER(Main_M[[#This Row],[BVPS]]),IF(Main_M[[#This Row],[BVPS]]&lt;&gt;0,Main_M[[#This Row],[Current Price]]/Main_M[[#This Row],[BVPS]],""),"")</f>
        <v>1.3493609251369447</v>
      </c>
      <c r="J108">
        <v>8.16</v>
      </c>
      <c r="K108">
        <v>4.28</v>
      </c>
      <c r="L108">
        <v>1.97</v>
      </c>
      <c r="M108" s="1">
        <f>IF(ISNUMBER(Main_M[[#This Row],[EPS]]),IF(Main_M[[#This Row],[EPS]]&lt;&gt;0,Main_M[[#This Row],[Current Price]]/Main_M[[#This Row],[EPS]],""),"")</f>
        <v>17.3203125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-1.2158704914244531</v>
      </c>
      <c r="P108" s="1">
        <f>(Main_M[[#This Row],[P/B]]-VLOOKUP(Main_M[[#This Row],[Industry]], Mean_PB_M, 2, FALSE))/(VLOOKUP(Main_M[[#This Row],[Industry]], Mean_PB_M, 3, FALSE))</f>
        <v>-1.029051118465756</v>
      </c>
      <c r="Q108" s="1">
        <f>(Main_M[[#This Row],[ROE]]-VLOOKUP(Main_M[[#This Row],[Industry]], Mean_ROE_M, 2, FALSE))/(VLOOKUP(Main_M[[#This Row],[Industry]], Mean_ROE_M, 3, FALSE))</f>
        <v>-0.33376557745481339</v>
      </c>
      <c r="R108" s="1">
        <f>(Main_M[[#This Row],[ROA]]-VLOOKUP(Main_M[[#This Row],[Industry]], Mean_ROA_M, 2, FALSE))/(VLOOKUP(Main_M[[#This Row],[Industry]], Mean_ROA_M, 3, FALSE))</f>
        <v>-0.99636558266659869</v>
      </c>
      <c r="S108" s="1">
        <f>(Main_M[[#This Row],[A/E]]-VLOOKUP(Main_M[[#This Row],[Industry]], Mean_AE_M, 2, FALSE))/(VLOOKUP(Main_M[[#This Row],[Industry]], Mean_AE_M, 3, FALSE))</f>
        <v>-7.5309675181776559E-2</v>
      </c>
      <c r="T108" s="1">
        <f>(Main_M[[#This Row],[P/E]]-VLOOKUP(Main_M[[#This Row],[Industry]], Mean_PE_M, 2, FALSE))/(VLOOKUP(Main_M[[#This Row],[Industry]], Mean_PE_M, 3, FALSE))</f>
        <v>-0.52388948442310901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t="s">
        <v>157</v>
      </c>
      <c r="B109" t="s">
        <v>334</v>
      </c>
      <c r="C109" s="2">
        <v>4282</v>
      </c>
      <c r="D109">
        <f>RTD("tos.rtd", , "LAST", Main_M[[#This Row],[Symbol]])</f>
        <v>75.91</v>
      </c>
      <c r="E109">
        <v>1.44</v>
      </c>
      <c r="F109">
        <v>20.57</v>
      </c>
      <c r="G109">
        <v>1.94</v>
      </c>
      <c r="H109" s="1">
        <f>IF(ISNUMBER(Main_M[[#This Row],[Free CF]]),IF(Main_M[[#This Row],[Free CF]]&lt;&gt;0,Main_M[[#This Row],[Current Price]]/Main_M[[#This Row],[Free CF]],""),"")</f>
        <v>52.715277777777779</v>
      </c>
      <c r="I109" s="1">
        <f>IF(ISNUMBER(Main_M[[#This Row],[BVPS]]),IF(Main_M[[#This Row],[BVPS]]&lt;&gt;0,Main_M[[#This Row],[Current Price]]/Main_M[[#This Row],[BVPS]],""),"")</f>
        <v>3.690325717063685</v>
      </c>
      <c r="J109">
        <v>9.77</v>
      </c>
      <c r="K109">
        <v>5.17</v>
      </c>
      <c r="L109">
        <v>1.64</v>
      </c>
      <c r="M109" s="1">
        <f>IF(ISNUMBER(Main_M[[#This Row],[EPS]]),IF(Main_M[[#This Row],[EPS]]&lt;&gt;0,Main_M[[#This Row],[Current Price]]/Main_M[[#This Row],[EPS]],""),"")</f>
        <v>39.128865979381445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2.8894342403340847</v>
      </c>
      <c r="P109" s="1">
        <f>(Main_M[[#This Row],[P/B]]-VLOOKUP(Main_M[[#This Row],[Industry]], Mean_PB_M, 2, FALSE))/(VLOOKUP(Main_M[[#This Row],[Industry]], Mean_PB_M, 3, FALSE))</f>
        <v>0.52191727410733624</v>
      </c>
      <c r="Q109" s="1">
        <f>(Main_M[[#This Row],[ROE]]-VLOOKUP(Main_M[[#This Row],[Industry]], Mean_ROE_M, 2, FALSE))/(VLOOKUP(Main_M[[#This Row],[Industry]], Mean_ROE_M, 3, FALSE))</f>
        <v>-0.26362165365076784</v>
      </c>
      <c r="R109" s="1">
        <f>(Main_M[[#This Row],[ROA]]-VLOOKUP(Main_M[[#This Row],[Industry]], Mean_ROA_M, 2, FALSE))/(VLOOKUP(Main_M[[#This Row],[Industry]], Mean_ROA_M, 3, FALSE))</f>
        <v>-0.67959711732208006</v>
      </c>
      <c r="S109" s="1">
        <f>(Main_M[[#This Row],[A/E]]-VLOOKUP(Main_M[[#This Row],[Industry]], Mean_AE_M, 2, FALSE))/(VLOOKUP(Main_M[[#This Row],[Industry]], Mean_AE_M, 3, FALSE))</f>
        <v>-0.71106344473956173</v>
      </c>
      <c r="T109" s="1">
        <f>(Main_M[[#This Row],[P/E]]-VLOOKUP(Main_M[[#This Row],[Industry]], Mean_PE_M, 2, FALSE))/(VLOOKUP(Main_M[[#This Row],[Industry]], Mean_PE_M, 3, FALSE))</f>
        <v>1.1719858766441209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t="s">
        <v>157</v>
      </c>
      <c r="B110" t="s">
        <v>335</v>
      </c>
      <c r="C110" s="2">
        <v>7639</v>
      </c>
      <c r="D110">
        <f>RTD("tos.rtd", , "LAST", Main_M[[#This Row],[Symbol]])</f>
        <v>149.97</v>
      </c>
      <c r="E110">
        <v>12.12</v>
      </c>
      <c r="F110">
        <v>66.819999999999993</v>
      </c>
      <c r="G110">
        <v>7.26</v>
      </c>
      <c r="H110" s="1">
        <f>IF(ISNUMBER(Main_M[[#This Row],[Free CF]]),IF(Main_M[[#This Row],[Free CF]]&lt;&gt;0,Main_M[[#This Row],[Current Price]]/Main_M[[#This Row],[Free CF]],""),"")</f>
        <v>12.373762376237625</v>
      </c>
      <c r="I110" s="1">
        <f>IF(ISNUMBER(Main_M[[#This Row],[BVPS]]),IF(Main_M[[#This Row],[BVPS]]&lt;&gt;0,Main_M[[#This Row],[Current Price]]/Main_M[[#This Row],[BVPS]],""),"")</f>
        <v>2.2443879078120323</v>
      </c>
      <c r="J110">
        <v>11.74</v>
      </c>
      <c r="K110">
        <v>6.23</v>
      </c>
      <c r="L110">
        <v>2</v>
      </c>
      <c r="M110" s="1">
        <f>IF(ISNUMBER(Main_M[[#This Row],[EPS]]),IF(Main_M[[#This Row],[EPS]]&lt;&gt;0,Main_M[[#This Row],[Current Price]]/Main_M[[#This Row],[EPS]],""),"")</f>
        <v>20.65702479338843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0" s="1">
        <f>(Main_M[[#This Row],[P/FCF]]-VLOOKUP(Main_M[[#This Row],[Industry]], Mean_PFCF_M, 2, FALSE))/(VLOOKUP(Main_M[[#This Row],[Industry]], Mean_PFCF_M, 3, FALSE))</f>
        <v>-1.0206683936955867</v>
      </c>
      <c r="P110" s="1">
        <f>(Main_M[[#This Row],[P/B]]-VLOOKUP(Main_M[[#This Row],[Industry]], Mean_PB_M, 2, FALSE))/(VLOOKUP(Main_M[[#This Row],[Industry]], Mean_PB_M, 3, FALSE))</f>
        <v>-0.43606545485541343</v>
      </c>
      <c r="Q110" s="1">
        <f>(Main_M[[#This Row],[ROE]]-VLOOKUP(Main_M[[#This Row],[Industry]], Mean_ROE_M, 2, FALSE))/(VLOOKUP(Main_M[[#This Row],[Industry]], Mean_ROE_M, 3, FALSE))</f>
        <v>-0.17779337421351954</v>
      </c>
      <c r="R110" s="1">
        <f>(Main_M[[#This Row],[ROA]]-VLOOKUP(Main_M[[#This Row],[Industry]], Mean_ROA_M, 2, FALSE))/(VLOOKUP(Main_M[[#This Row],[Industry]], Mean_ROA_M, 3, FALSE))</f>
        <v>-0.30232231590051828</v>
      </c>
      <c r="S110" s="1">
        <f>(Main_M[[#This Row],[A/E]]-VLOOKUP(Main_M[[#This Row],[Industry]], Mean_AE_M, 2, FALSE))/(VLOOKUP(Main_M[[#This Row],[Industry]], Mean_AE_M, 3, FALSE))</f>
        <v>-1.7513877949250602E-2</v>
      </c>
      <c r="T110" s="1">
        <f>(Main_M[[#This Row],[P/E]]-VLOOKUP(Main_M[[#This Row],[Industry]], Mean_PE_M, 2, FALSE))/(VLOOKUP(Main_M[[#This Row],[Industry]], Mean_PE_M, 3, FALSE))</f>
        <v>-0.2644202733781193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t="s">
        <v>157</v>
      </c>
      <c r="B111" t="s">
        <v>336</v>
      </c>
      <c r="C111" s="2">
        <v>8953</v>
      </c>
      <c r="D111">
        <f>RTD("tos.rtd", , "LAST", Main_M[[#This Row],[Symbol]])</f>
        <v>77.44</v>
      </c>
      <c r="E111">
        <v>5.51</v>
      </c>
      <c r="F111">
        <v>23.55</v>
      </c>
      <c r="G111">
        <v>5.14</v>
      </c>
      <c r="H111" s="1">
        <f>IF(ISNUMBER(Main_M[[#This Row],[Free CF]]),IF(Main_M[[#This Row],[Free CF]]&lt;&gt;0,Main_M[[#This Row],[Current Price]]/Main_M[[#This Row],[Free CF]],""),"")</f>
        <v>14.054446460980037</v>
      </c>
      <c r="I111" s="1">
        <f>IF(ISNUMBER(Main_M[[#This Row],[BVPS]]),IF(Main_M[[#This Row],[BVPS]]&lt;&gt;0,Main_M[[#This Row],[Current Price]]/Main_M[[#This Row],[BVPS]],""),"")</f>
        <v>3.2883227176220804</v>
      </c>
      <c r="J111">
        <v>24.04</v>
      </c>
      <c r="K111">
        <v>15.58</v>
      </c>
      <c r="L111">
        <v>1.2</v>
      </c>
      <c r="M111" s="1">
        <f>IF(ISNUMBER(Main_M[[#This Row],[EPS]]),IF(Main_M[[#This Row],[EPS]]&lt;&gt;0,Main_M[[#This Row],[Current Price]]/Main_M[[#This Row],[EPS]],""),"")</f>
        <v>15.066147859922179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-0.85776803654955447</v>
      </c>
      <c r="P111" s="1">
        <f>(Main_M[[#This Row],[P/B]]-VLOOKUP(Main_M[[#This Row],[Industry]], Mean_PB_M, 2, FALSE))/(VLOOKUP(Main_M[[#This Row],[Industry]], Mean_PB_M, 3, FALSE))</f>
        <v>0.25557668325191463</v>
      </c>
      <c r="Q111" s="1">
        <f>(Main_M[[#This Row],[ROE]]-VLOOKUP(Main_M[[#This Row],[Industry]], Mean_ROE_M, 2, FALSE))/(VLOOKUP(Main_M[[#This Row],[Industry]], Mean_ROE_M, 3, FALSE))</f>
        <v>0.35808877658757376</v>
      </c>
      <c r="R111" s="1">
        <f>(Main_M[[#This Row],[ROA]]-VLOOKUP(Main_M[[#This Row],[Industry]], Mean_ROA_M, 2, FALSE))/(VLOOKUP(Main_M[[#This Row],[Industry]], Mean_ROA_M, 3, FALSE))</f>
        <v>3.0255261683368411</v>
      </c>
      <c r="S111" s="1">
        <f>(Main_M[[#This Row],[A/E]]-VLOOKUP(Main_M[[#This Row],[Industry]], Mean_AE_M, 2, FALSE))/(VLOOKUP(Main_M[[#This Row],[Industry]], Mean_AE_M, 3, FALSE))</f>
        <v>-1.558735137483275</v>
      </c>
      <c r="T111" s="1">
        <f>(Main_M[[#This Row],[P/E]]-VLOOKUP(Main_M[[#This Row],[Industry]], Mean_PE_M, 2, FALSE))/(VLOOKUP(Main_M[[#This Row],[Industry]], Mean_PE_M, 3, FALSE))</f>
        <v>-0.69917769308450173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t="s">
        <v>157</v>
      </c>
      <c r="B112" t="s">
        <v>337</v>
      </c>
      <c r="C112" s="2">
        <v>4638</v>
      </c>
      <c r="D112">
        <f>RTD("tos.rtd", , "LAST", Main_M[[#This Row],[Symbol]])</f>
        <v>6.45</v>
      </c>
      <c r="E112">
        <v>1.1000000000000001</v>
      </c>
      <c r="F112">
        <v>8.4700000000000006</v>
      </c>
      <c r="G112">
        <v>0.8</v>
      </c>
      <c r="H112" s="1">
        <f>IF(ISNUMBER(Main_M[[#This Row],[Free CF]]),IF(Main_M[[#This Row],[Free CF]]&lt;&gt;0,Main_M[[#This Row],[Current Price]]/Main_M[[#This Row],[Free CF]],""),"")</f>
        <v>5.8636363636363633</v>
      </c>
      <c r="I112" s="1">
        <f>IF(ISNUMBER(Main_M[[#This Row],[BVPS]]),IF(Main_M[[#This Row],[BVPS]]&lt;&gt;0,Main_M[[#This Row],[Current Price]]/Main_M[[#This Row],[BVPS]],""),"")</f>
        <v>0.7615112160566706</v>
      </c>
      <c r="J112">
        <v>9.64</v>
      </c>
      <c r="K112">
        <v>6.82</v>
      </c>
      <c r="L112">
        <v>1.19</v>
      </c>
      <c r="M112" s="1">
        <f>IF(ISNUMBER(Main_M[[#This Row],[EPS]]),IF(Main_M[[#This Row],[EPS]]&lt;&gt;0,Main_M[[#This Row],[Current Price]]/Main_M[[#This Row],[EPS]],""),"")</f>
        <v>8.0625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-1.6516625597889469</v>
      </c>
      <c r="P112" s="1">
        <f>(Main_M[[#This Row],[P/B]]-VLOOKUP(Main_M[[#This Row],[Industry]], Mean_PB_M, 2, FALSE))/(VLOOKUP(Main_M[[#This Row],[Industry]], Mean_PB_M, 3, FALSE))</f>
        <v>-1.4185214434834956</v>
      </c>
      <c r="Q112" s="1">
        <f>(Main_M[[#This Row],[ROE]]-VLOOKUP(Main_M[[#This Row],[Industry]], Mean_ROE_M, 2, FALSE))/(VLOOKUP(Main_M[[#This Row],[Industry]], Mean_ROE_M, 3, FALSE))</f>
        <v>-0.26928544874053545</v>
      </c>
      <c r="R112" s="1">
        <f>(Main_M[[#This Row],[ROA]]-VLOOKUP(Main_M[[#This Row],[Industry]], Mean_ROA_M, 2, FALSE))/(VLOOKUP(Main_M[[#This Row],[Industry]], Mean_ROA_M, 3, FALSE))</f>
        <v>-9.232973775078121E-2</v>
      </c>
      <c r="S112" s="1">
        <f>(Main_M[[#This Row],[A/E]]-VLOOKUP(Main_M[[#This Row],[Industry]], Mean_AE_M, 2, FALSE))/(VLOOKUP(Main_M[[#This Row],[Industry]], Mean_AE_M, 3, FALSE))</f>
        <v>-1.5780004032274502</v>
      </c>
      <c r="T112" s="1">
        <f>(Main_M[[#This Row],[P/E]]-VLOOKUP(Main_M[[#This Row],[Industry]], Mean_PE_M, 2, FALSE))/(VLOOKUP(Main_M[[#This Row],[Industry]], Mean_PE_M, 3, FALSE))</f>
        <v>-1.2437949165267845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t="s">
        <v>157</v>
      </c>
      <c r="B113" t="s">
        <v>338</v>
      </c>
      <c r="C113" s="2">
        <v>3953</v>
      </c>
      <c r="D113">
        <f>RTD("tos.rtd", , "LAST", Main_M[[#This Row],[Symbol]])</f>
        <v>24.59</v>
      </c>
      <c r="E113">
        <v>1.23</v>
      </c>
      <c r="F113">
        <v>5.19</v>
      </c>
      <c r="G113">
        <v>0.74</v>
      </c>
      <c r="H113" s="1">
        <f>IF(ISNUMBER(Main_M[[#This Row],[Free CF]]),IF(Main_M[[#This Row],[Free CF]]&lt;&gt;0,Main_M[[#This Row],[Current Price]]/Main_M[[#This Row],[Free CF]],""),"")</f>
        <v>19.991869918699187</v>
      </c>
      <c r="I113" s="1">
        <f>IF(ISNUMBER(Main_M[[#This Row],[BVPS]]),IF(Main_M[[#This Row],[BVPS]]&lt;&gt;0,Main_M[[#This Row],[Current Price]]/Main_M[[#This Row],[BVPS]],""),"")</f>
        <v>4.7379576107899801</v>
      </c>
      <c r="J113">
        <v>15.23</v>
      </c>
      <c r="K113">
        <v>8.35</v>
      </c>
      <c r="L113">
        <v>2.02</v>
      </c>
      <c r="M113" s="1">
        <f>IF(ISNUMBER(Main_M[[#This Row],[EPS]]),IF(Main_M[[#This Row],[EPS]]&lt;&gt;0,Main_M[[#This Row],[Current Price]]/Main_M[[#This Row],[EPS]],""),"")</f>
        <v>33.229729729729733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-0.28228308338661812</v>
      </c>
      <c r="P113" s="1">
        <f>(Main_M[[#This Row],[P/B]]-VLOOKUP(Main_M[[#This Row],[Industry]], Mean_PB_M, 2, FALSE))/(VLOOKUP(Main_M[[#This Row],[Industry]], Mean_PB_M, 3, FALSE))</f>
        <v>1.2160088554179813</v>
      </c>
      <c r="Q113" s="1">
        <f>(Main_M[[#This Row],[ROE]]-VLOOKUP(Main_M[[#This Row],[Industry]], Mean_ROE_M, 2, FALSE))/(VLOOKUP(Main_M[[#This Row],[Industry]], Mean_ROE_M, 3, FALSE))</f>
        <v>-2.5742259880526384E-2</v>
      </c>
      <c r="R113" s="1">
        <f>(Main_M[[#This Row],[ROA]]-VLOOKUP(Main_M[[#This Row],[Industry]], Mean_ROA_M, 2, FALSE))/(VLOOKUP(Main_M[[#This Row],[Industry]], Mean_ROA_M, 3, FALSE))</f>
        <v>0.45222728694260467</v>
      </c>
      <c r="S113" s="1">
        <f>(Main_M[[#This Row],[A/E]]-VLOOKUP(Main_M[[#This Row],[Industry]], Mean_AE_M, 2, FALSE))/(VLOOKUP(Main_M[[#This Row],[Industry]], Mean_AE_M, 3, FALSE))</f>
        <v>2.1016653539100039E-2</v>
      </c>
      <c r="T113" s="1">
        <f>(Main_M[[#This Row],[P/E]]-VLOOKUP(Main_M[[#This Row],[Industry]], Mean_PE_M, 2, FALSE))/(VLOOKUP(Main_M[[#This Row],[Industry]], Mean_PE_M, 3, FALSE))</f>
        <v>0.71325761542215604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t="s">
        <v>157</v>
      </c>
      <c r="B114" t="s">
        <v>339</v>
      </c>
      <c r="C114" s="2">
        <v>4052</v>
      </c>
      <c r="D114">
        <f>RTD("tos.rtd", , "LAST", Main_M[[#This Row],[Symbol]])</f>
        <v>191.32</v>
      </c>
      <c r="E114">
        <v>5.89</v>
      </c>
      <c r="F114">
        <v>69.45</v>
      </c>
      <c r="G114">
        <v>2.56</v>
      </c>
      <c r="H114" s="1">
        <f>IF(ISNUMBER(Main_M[[#This Row],[Free CF]]),IF(Main_M[[#This Row],[Free CF]]&lt;&gt;0,Main_M[[#This Row],[Current Price]]/Main_M[[#This Row],[Free CF]],""),"")</f>
        <v>32.482173174872663</v>
      </c>
      <c r="I114" s="1">
        <f>IF(ISNUMBER(Main_M[[#This Row],[BVPS]]),IF(Main_M[[#This Row],[BVPS]]&lt;&gt;0,Main_M[[#This Row],[Current Price]]/Main_M[[#This Row],[BVPS]],""),"")</f>
        <v>2.7547876169906407</v>
      </c>
      <c r="J114">
        <v>3.78</v>
      </c>
      <c r="K114">
        <v>3.47</v>
      </c>
      <c r="L114">
        <v>1.74</v>
      </c>
      <c r="M114" s="1">
        <f>IF(ISNUMBER(Main_M[[#This Row],[EPS]]),IF(Main_M[[#This Row],[EPS]]&lt;&gt;0,Main_M[[#This Row],[Current Price]]/Main_M[[#This Row],[EPS]],""),"")</f>
        <v>74.734375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0.92833994789219065</v>
      </c>
      <c r="P114" s="1">
        <f>(Main_M[[#This Row],[P/B]]-VLOOKUP(Main_M[[#This Row],[Industry]], Mean_PB_M, 2, FALSE))/(VLOOKUP(Main_M[[#This Row],[Industry]], Mean_PB_M, 3, FALSE))</f>
        <v>-9.7908375669707698E-2</v>
      </c>
      <c r="Q114" s="1">
        <f>(Main_M[[#This Row],[ROE]]-VLOOKUP(Main_M[[#This Row],[Industry]], Mean_ROE_M, 2, FALSE))/(VLOOKUP(Main_M[[#This Row],[Industry]], Mean_ROE_M, 3, FALSE))</f>
        <v>-0.52459190432544667</v>
      </c>
      <c r="R114" s="1">
        <f>(Main_M[[#This Row],[ROA]]-VLOOKUP(Main_M[[#This Row],[Industry]], Mean_ROA_M, 2, FALSE))/(VLOOKUP(Main_M[[#This Row],[Industry]], Mean_ROA_M, 3, FALSE))</f>
        <v>-1.2846604780925091</v>
      </c>
      <c r="S114" s="1">
        <f>(Main_M[[#This Row],[A/E]]-VLOOKUP(Main_M[[#This Row],[Industry]], Mean_AE_M, 2, FALSE))/(VLOOKUP(Main_M[[#This Row],[Industry]], Mean_AE_M, 3, FALSE))</f>
        <v>-0.51841078729780854</v>
      </c>
      <c r="T114" s="1">
        <f>(Main_M[[#This Row],[P/E]]-VLOOKUP(Main_M[[#This Row],[Industry]], Mean_PE_M, 2, FALSE))/(VLOOKUP(Main_M[[#This Row],[Industry]], Mean_PE_M, 3, FALSE))</f>
        <v>3.9407392248848327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5" spans="1:26" x14ac:dyDescent="0.25">
      <c r="A115" t="s">
        <v>157</v>
      </c>
      <c r="B115" t="s">
        <v>340</v>
      </c>
      <c r="C115" s="2">
        <v>7391</v>
      </c>
      <c r="D115">
        <f>RTD("tos.rtd", , "LAST", Main_M[[#This Row],[Symbol]])</f>
        <v>160</v>
      </c>
      <c r="E115">
        <v>4.57</v>
      </c>
      <c r="F115">
        <v>29.3</v>
      </c>
      <c r="G115">
        <v>3.76</v>
      </c>
      <c r="H115" s="1">
        <f>IF(ISNUMBER(Main_M[[#This Row],[Free CF]]),IF(Main_M[[#This Row],[Free CF]]&lt;&gt;0,Main_M[[#This Row],[Current Price]]/Main_M[[#This Row],[Free CF]],""),"")</f>
        <v>35.010940919037196</v>
      </c>
      <c r="I115" s="1">
        <f>IF(ISNUMBER(Main_M[[#This Row],[BVPS]]),IF(Main_M[[#This Row],[BVPS]]&lt;&gt;0,Main_M[[#This Row],[Current Price]]/Main_M[[#This Row],[BVPS]],""),"")</f>
        <v>5.4607508532423203</v>
      </c>
      <c r="J115">
        <v>14.12</v>
      </c>
      <c r="K115">
        <v>7.39</v>
      </c>
      <c r="L115">
        <v>2.0699999999999998</v>
      </c>
      <c r="M115" s="1">
        <f>IF(ISNUMBER(Main_M[[#This Row],[EPS]]),IF(Main_M[[#This Row],[EPS]]&lt;&gt;0,Main_M[[#This Row],[Current Price]]/Main_M[[#This Row],[EPS]],""),"")</f>
        <v>42.553191489361701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1.1734408400844933</v>
      </c>
      <c r="P115" s="1">
        <f>(Main_M[[#This Row],[P/B]]-VLOOKUP(Main_M[[#This Row],[Industry]], Mean_PB_M, 2, FALSE))/(VLOOKUP(Main_M[[#This Row],[Industry]], Mean_PB_M, 3, FALSE))</f>
        <v>1.6948838377650384</v>
      </c>
      <c r="Q115" s="1">
        <f>(Main_M[[#This Row],[ROE]]-VLOOKUP(Main_M[[#This Row],[Industry]], Mean_ROE_M, 2, FALSE))/(VLOOKUP(Main_M[[#This Row],[Industry]], Mean_ROE_M, 3, FALSE))</f>
        <v>-7.410235641623486E-2</v>
      </c>
      <c r="R115" s="1">
        <f>(Main_M[[#This Row],[ROA]]-VLOOKUP(Main_M[[#This Row],[Industry]], Mean_ROA_M, 2, FALSE))/(VLOOKUP(Main_M[[#This Row],[Industry]], Mean_ROA_M, 3, FALSE))</f>
        <v>0.1105444479193036</v>
      </c>
      <c r="S115" s="1">
        <f>(Main_M[[#This Row],[A/E]]-VLOOKUP(Main_M[[#This Row],[Industry]], Mean_AE_M, 2, FALSE))/(VLOOKUP(Main_M[[#This Row],[Industry]], Mean_AE_M, 3, FALSE))</f>
        <v>0.11734298225997621</v>
      </c>
      <c r="T115" s="1">
        <f>(Main_M[[#This Row],[P/E]]-VLOOKUP(Main_M[[#This Row],[Industry]], Mean_PE_M, 2, FALSE))/(VLOOKUP(Main_M[[#This Row],[Industry]], Mean_PE_M, 3, FALSE))</f>
        <v>1.4382680611154499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t="s">
        <v>157</v>
      </c>
      <c r="B116" t="s">
        <v>341</v>
      </c>
      <c r="C116" s="2">
        <v>2465</v>
      </c>
      <c r="D116">
        <f>RTD("tos.rtd", , "LAST", Main_M[[#This Row],[Symbol]])</f>
        <v>156.59</v>
      </c>
      <c r="E116">
        <v>6.15</v>
      </c>
      <c r="F116">
        <v>52.84</v>
      </c>
      <c r="G116">
        <v>6.13</v>
      </c>
      <c r="H116" s="1">
        <f>IF(ISNUMBER(Main_M[[#This Row],[Free CF]]),IF(Main_M[[#This Row],[Free CF]]&lt;&gt;0,Main_M[[#This Row],[Current Price]]/Main_M[[#This Row],[Free CF]],""),"")</f>
        <v>25.461788617886178</v>
      </c>
      <c r="I116" s="1">
        <f>IF(ISNUMBER(Main_M[[#This Row],[BVPS]]),IF(Main_M[[#This Row],[BVPS]]&lt;&gt;0,Main_M[[#This Row],[Current Price]]/Main_M[[#This Row],[BVPS]],""),"")</f>
        <v>2.9634746404239212</v>
      </c>
      <c r="J116">
        <v>11.64</v>
      </c>
      <c r="K116">
        <v>6.83</v>
      </c>
      <c r="L116">
        <v>1.62</v>
      </c>
      <c r="M116" s="1">
        <f>IF(ISNUMBER(Main_M[[#This Row],[EPS]]),IF(Main_M[[#This Row],[EPS]]&lt;&gt;0,Main_M[[#This Row],[Current Price]]/Main_M[[#This Row],[EPS]],""),"")</f>
        <v>25.544861337683525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0.24788895652645518</v>
      </c>
      <c r="P116" s="1">
        <f>(Main_M[[#This Row],[P/B]]-VLOOKUP(Main_M[[#This Row],[Industry]], Mean_PB_M, 2, FALSE))/(VLOOKUP(Main_M[[#This Row],[Industry]], Mean_PB_M, 3, FALSE))</f>
        <v>4.0353839294569017E-2</v>
      </c>
      <c r="Q116" s="1">
        <f>(Main_M[[#This Row],[ROE]]-VLOOKUP(Main_M[[#This Row],[Industry]], Mean_ROE_M, 2, FALSE))/(VLOOKUP(Main_M[[#This Row],[Industry]], Mean_ROE_M, 3, FALSE))</f>
        <v>-0.18215013966718696</v>
      </c>
      <c r="R116" s="1">
        <f>(Main_M[[#This Row],[ROA]]-VLOOKUP(Main_M[[#This Row],[Industry]], Mean_ROA_M, 2, FALSE))/(VLOOKUP(Main_M[[#This Row],[Industry]], Mean_ROA_M, 3, FALSE))</f>
        <v>-8.8770541510955231E-2</v>
      </c>
      <c r="S116" s="1">
        <f>(Main_M[[#This Row],[A/E]]-VLOOKUP(Main_M[[#This Row],[Industry]], Mean_AE_M, 2, FALSE))/(VLOOKUP(Main_M[[#This Row],[Industry]], Mean_AE_M, 3, FALSE))</f>
        <v>-0.74959397622791191</v>
      </c>
      <c r="T116" s="1">
        <f>(Main_M[[#This Row],[P/E]]-VLOOKUP(Main_M[[#This Row],[Industry]], Mean_PE_M, 2, FALSE))/(VLOOKUP(Main_M[[#This Row],[Industry]], Mean_PE_M, 3, FALSE))</f>
        <v>0.11566736389827789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t="s">
        <v>157</v>
      </c>
      <c r="B117" t="s">
        <v>342</v>
      </c>
      <c r="C117" s="2">
        <v>5353</v>
      </c>
      <c r="D117">
        <f>RTD("tos.rtd", , "LAST", Main_M[[#This Row],[Symbol]])</f>
        <v>72.63</v>
      </c>
      <c r="E117">
        <v>3.65</v>
      </c>
      <c r="F117">
        <v>41.83</v>
      </c>
      <c r="G117">
        <v>4.8099999999999996</v>
      </c>
      <c r="H117" s="1">
        <f>IF(ISNUMBER(Main_M[[#This Row],[Free CF]]),IF(Main_M[[#This Row],[Free CF]]&lt;&gt;0,Main_M[[#This Row],[Current Price]]/Main_M[[#This Row],[Free CF]],""),"")</f>
        <v>19.898630136986302</v>
      </c>
      <c r="I117" s="1">
        <f>IF(ISNUMBER(Main_M[[#This Row],[BVPS]]),IF(Main_M[[#This Row],[BVPS]]&lt;&gt;0,Main_M[[#This Row],[Current Price]]/Main_M[[#This Row],[BVPS]],""),"")</f>
        <v>1.7363136504900789</v>
      </c>
      <c r="J117">
        <v>12.73</v>
      </c>
      <c r="K117">
        <v>5.59</v>
      </c>
      <c r="L117">
        <v>2.31</v>
      </c>
      <c r="M117" s="1">
        <f>IF(ISNUMBER(Main_M[[#This Row],[EPS]]),IF(Main_M[[#This Row],[EPS]]&lt;&gt;0,Main_M[[#This Row],[Current Price]]/Main_M[[#This Row],[EPS]],""),"")</f>
        <v>15.099792099792101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-0.29132035212684954</v>
      </c>
      <c r="P117" s="1">
        <f>(Main_M[[#This Row],[P/B]]-VLOOKUP(Main_M[[#This Row],[Industry]], Mean_PB_M, 2, FALSE))/(VLOOKUP(Main_M[[#This Row],[Industry]], Mean_PB_M, 3, FALSE))</f>
        <v>-0.7726818434931193</v>
      </c>
      <c r="Q117" s="1">
        <f>(Main_M[[#This Row],[ROE]]-VLOOKUP(Main_M[[#This Row],[Industry]], Mean_ROE_M, 2, FALSE))/(VLOOKUP(Main_M[[#This Row],[Industry]], Mean_ROE_M, 3, FALSE))</f>
        <v>-0.13466139622221202</v>
      </c>
      <c r="R117" s="1">
        <f>(Main_M[[#This Row],[ROA]]-VLOOKUP(Main_M[[#This Row],[Industry]], Mean_ROA_M, 2, FALSE))/(VLOOKUP(Main_M[[#This Row],[Industry]], Mean_ROA_M, 3, FALSE))</f>
        <v>-0.53011087524938583</v>
      </c>
      <c r="S117" s="1">
        <f>(Main_M[[#This Row],[A/E]]-VLOOKUP(Main_M[[#This Row],[Industry]], Mean_AE_M, 2, FALSE))/(VLOOKUP(Main_M[[#This Row],[Industry]], Mean_AE_M, 3, FALSE))</f>
        <v>0.57970936012018393</v>
      </c>
      <c r="T117" s="1">
        <f>(Main_M[[#This Row],[P/E]]-VLOOKUP(Main_M[[#This Row],[Industry]], Mean_PE_M, 2, FALSE))/(VLOOKUP(Main_M[[#This Row],[Industry]], Mean_PE_M, 3, FALSE))</f>
        <v>-0.69656145182433837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8" spans="1:26" x14ac:dyDescent="0.25">
      <c r="A118" t="s">
        <v>157</v>
      </c>
      <c r="B118" t="s">
        <v>343</v>
      </c>
      <c r="C118" s="2">
        <v>7172</v>
      </c>
      <c r="D118">
        <f>RTD("tos.rtd", , "LAST", Main_M[[#This Row],[Symbol]])</f>
        <v>245.25</v>
      </c>
      <c r="E118">
        <v>8.89</v>
      </c>
      <c r="F118">
        <v>50.66</v>
      </c>
      <c r="G118">
        <v>8.34</v>
      </c>
      <c r="H118" s="1">
        <f>IF(ISNUMBER(Main_M[[#This Row],[Free CF]]),IF(Main_M[[#This Row],[Free CF]]&lt;&gt;0,Main_M[[#This Row],[Current Price]]/Main_M[[#This Row],[Free CF]],""),"")</f>
        <v>27.587176602924632</v>
      </c>
      <c r="I118" s="1">
        <f>IF(ISNUMBER(Main_M[[#This Row],[BVPS]]),IF(Main_M[[#This Row],[BVPS]]&lt;&gt;0,Main_M[[#This Row],[Current Price]]/Main_M[[#This Row],[BVPS]],""),"")</f>
        <v>4.8410975128306362</v>
      </c>
      <c r="J118">
        <v>17.78</v>
      </c>
      <c r="K118">
        <v>11.16</v>
      </c>
      <c r="L118">
        <v>1.42</v>
      </c>
      <c r="M118" s="1">
        <f>IF(ISNUMBER(Main_M[[#This Row],[EPS]]),IF(Main_M[[#This Row],[EPS]]&lt;&gt;0,Main_M[[#This Row],[Current Price]]/Main_M[[#This Row],[EPS]],""),"")</f>
        <v>29.406474820143885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0.45389225302920877</v>
      </c>
      <c r="P118" s="1">
        <f>(Main_M[[#This Row],[P/B]]-VLOOKUP(Main_M[[#This Row],[Industry]], Mean_PB_M, 2, FALSE))/(VLOOKUP(Main_M[[#This Row],[Industry]], Mean_PB_M, 3, FALSE))</f>
        <v>1.2843425307597969</v>
      </c>
      <c r="Q118" s="1">
        <f>(Main_M[[#This Row],[ROE]]-VLOOKUP(Main_M[[#This Row],[Industry]], Mean_ROE_M, 2, FALSE))/(VLOOKUP(Main_M[[#This Row],[Industry]], Mean_ROE_M, 3, FALSE))</f>
        <v>8.5355259187992999E-2</v>
      </c>
      <c r="R118" s="1">
        <f>(Main_M[[#This Row],[ROA]]-VLOOKUP(Main_M[[#This Row],[Industry]], Mean_ROA_M, 2, FALSE))/(VLOOKUP(Main_M[[#This Row],[Industry]], Mean_ROA_M, 3, FALSE))</f>
        <v>1.4523614303337258</v>
      </c>
      <c r="S118" s="1">
        <f>(Main_M[[#This Row],[A/E]]-VLOOKUP(Main_M[[#This Row],[Industry]], Mean_AE_M, 2, FALSE))/(VLOOKUP(Main_M[[#This Row],[Industry]], Mean_AE_M, 3, FALSE))</f>
        <v>-1.1348992911114184</v>
      </c>
      <c r="T118" s="1">
        <f>(Main_M[[#This Row],[P/E]]-VLOOKUP(Main_M[[#This Row],[Industry]], Mean_PE_M, 2, FALSE))/(VLOOKUP(Main_M[[#This Row],[Industry]], Mean_PE_M, 3, FALSE))</f>
        <v>0.41595390812327754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t="s">
        <v>250</v>
      </c>
      <c r="B119" t="s">
        <v>403</v>
      </c>
      <c r="C119" s="2">
        <v>6831</v>
      </c>
      <c r="D119">
        <f>RTD("tos.rtd", , "LAST", Main_M[[#This Row],[Symbol]])</f>
        <v>112.33</v>
      </c>
      <c r="E119">
        <v>6.04</v>
      </c>
      <c r="F119">
        <v>57.4</v>
      </c>
      <c r="G119">
        <v>5.2</v>
      </c>
      <c r="H119" s="1">
        <f>IF(ISNUMBER(Main_M[[#This Row],[Free CF]]),IF(Main_M[[#This Row],[Free CF]]&lt;&gt;0,Main_M[[#This Row],[Current Price]]/Main_M[[#This Row],[Free CF]],""),"")</f>
        <v>18.597682119205299</v>
      </c>
      <c r="I119" s="1">
        <f>IF(ISNUMBER(Main_M[[#This Row],[BVPS]]),IF(Main_M[[#This Row],[BVPS]]&lt;&gt;0,Main_M[[#This Row],[Current Price]]/Main_M[[#This Row],[BVPS]],""),"")</f>
        <v>1.9569686411149827</v>
      </c>
      <c r="J119">
        <v>9.4700000000000006</v>
      </c>
      <c r="K119">
        <v>4.84</v>
      </c>
      <c r="L119">
        <v>1.78</v>
      </c>
      <c r="M119" s="1">
        <f>IF(ISNUMBER(Main_M[[#This Row],[EPS]]),IF(Main_M[[#This Row],[EPS]]&lt;&gt;0,Main_M[[#This Row],[Current Price]]/Main_M[[#This Row],[EPS]],""),"")</f>
        <v>21.601923076923075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1.3441670906797314</v>
      </c>
      <c r="P119" s="1">
        <f>(Main_M[[#This Row],[P/B]]-VLOOKUP(Main_M[[#This Row],[Industry]], Mean_PB_M, 2, FALSE))/(VLOOKUP(Main_M[[#This Row],[Industry]], Mean_PB_M, 3, FALSE))</f>
        <v>1.1122168105739065</v>
      </c>
      <c r="Q119" s="1">
        <f>(Main_M[[#This Row],[ROE]]-VLOOKUP(Main_M[[#This Row],[Industry]], Mean_ROE_M, 2, FALSE))/(VLOOKUP(Main_M[[#This Row],[Industry]], Mean_ROE_M, 3, FALSE))</f>
        <v>-0.93048419903521351</v>
      </c>
      <c r="R119" s="1">
        <f>(Main_M[[#This Row],[ROA]]-VLOOKUP(Main_M[[#This Row],[Industry]], Mean_ROA_M, 2, FALSE))/(VLOOKUP(Main_M[[#This Row],[Industry]], Mean_ROA_M, 3, FALSE))</f>
        <v>-1.0055518914949781</v>
      </c>
      <c r="S119" s="1">
        <f>(Main_M[[#This Row],[A/E]]-VLOOKUP(Main_M[[#This Row],[Industry]], Mean_AE_M, 2, FALSE))/(VLOOKUP(Main_M[[#This Row],[Industry]], Mean_AE_M, 3, FALSE))</f>
        <v>-0.66633814502234789</v>
      </c>
      <c r="T119" s="1">
        <f>(Main_M[[#This Row],[P/E]]-VLOOKUP(Main_M[[#This Row],[Industry]], Mean_PE_M, 2, FALSE))/(VLOOKUP(Main_M[[#This Row],[Industry]], Mean_PE_M, 3, FALSE))</f>
        <v>1.3647280067135223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t="s">
        <v>250</v>
      </c>
      <c r="B120" t="s">
        <v>404</v>
      </c>
      <c r="C120" s="2">
        <v>5019</v>
      </c>
      <c r="D120">
        <f>RTD("tos.rtd", , "LAST", Main_M[[#This Row],[Symbol]])</f>
        <v>114.49</v>
      </c>
      <c r="E120">
        <v>13.47</v>
      </c>
      <c r="F120">
        <v>76.989999999999995</v>
      </c>
      <c r="G120">
        <v>11.85</v>
      </c>
      <c r="H120" s="1">
        <f>IF(ISNUMBER(Main_M[[#This Row],[Free CF]]),IF(Main_M[[#This Row],[Free CF]]&lt;&gt;0,Main_M[[#This Row],[Current Price]]/Main_M[[#This Row],[Free CF]],""),"")</f>
        <v>8.499628804751298</v>
      </c>
      <c r="I120" s="1">
        <f>IF(ISNUMBER(Main_M[[#This Row],[BVPS]]),IF(Main_M[[#This Row],[BVPS]]&lt;&gt;0,Main_M[[#This Row],[Current Price]]/Main_M[[#This Row],[BVPS]],""),"")</f>
        <v>1.4870762436680089</v>
      </c>
      <c r="J120">
        <v>16.61</v>
      </c>
      <c r="K120">
        <v>6.79</v>
      </c>
      <c r="L120">
        <v>1.74</v>
      </c>
      <c r="M120" s="1">
        <f>IF(ISNUMBER(Main_M[[#This Row],[EPS]]),IF(Main_M[[#This Row],[EPS]]&lt;&gt;0,Main_M[[#This Row],[Current Price]]/Main_M[[#This Row],[EPS]],""),"")</f>
        <v>9.6616033755274255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-9.4979295926391344E-2</v>
      </c>
      <c r="P120" s="1">
        <f>(Main_M[[#This Row],[P/B]]-VLOOKUP(Main_M[[#This Row],[Industry]], Mean_PB_M, 2, FALSE))/(VLOOKUP(Main_M[[#This Row],[Industry]], Mean_PB_M, 3, FALSE))</f>
        <v>0.29889102795077316</v>
      </c>
      <c r="Q120" s="1">
        <f>(Main_M[[#This Row],[ROE]]-VLOOKUP(Main_M[[#This Row],[Industry]], Mean_ROE_M, 2, FALSE))/(VLOOKUP(Main_M[[#This Row],[Industry]], Mean_ROE_M, 3, FALSE))</f>
        <v>-0.45706444741207158</v>
      </c>
      <c r="R120" s="1">
        <f>(Main_M[[#This Row],[ROA]]-VLOOKUP(Main_M[[#This Row],[Industry]], Mean_ROA_M, 2, FALSE))/(VLOOKUP(Main_M[[#This Row],[Industry]], Mean_ROA_M, 3, FALSE))</f>
        <v>-0.35841453558236841</v>
      </c>
      <c r="S120" s="1">
        <f>(Main_M[[#This Row],[A/E]]-VLOOKUP(Main_M[[#This Row],[Industry]], Mean_AE_M, 2, FALSE))/(VLOOKUP(Main_M[[#This Row],[Industry]], Mean_AE_M, 3, FALSE))</f>
        <v>-0.74710640502505676</v>
      </c>
      <c r="T120" s="1">
        <f>(Main_M[[#This Row],[P/E]]-VLOOKUP(Main_M[[#This Row],[Industry]], Mean_PE_M, 2, FALSE))/(VLOOKUP(Main_M[[#This Row],[Industry]], Mean_PE_M, 3, FALSE))</f>
        <v>-0.13594881684978216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1" spans="1:26" x14ac:dyDescent="0.25">
      <c r="A121" t="s">
        <v>250</v>
      </c>
      <c r="B121" t="s">
        <v>405</v>
      </c>
      <c r="C121" s="2">
        <v>2523</v>
      </c>
      <c r="D121">
        <f>RTD("tos.rtd", , "LAST", Main_M[[#This Row],[Symbol]])</f>
        <v>17.38</v>
      </c>
      <c r="E121">
        <v>21.45</v>
      </c>
      <c r="F121">
        <v>32.61</v>
      </c>
      <c r="G121">
        <v>11.94</v>
      </c>
      <c r="H121" s="1">
        <f>IF(ISNUMBER(Main_M[[#This Row],[Free CF]]),IF(Main_M[[#This Row],[Free CF]]&lt;&gt;0,Main_M[[#This Row],[Current Price]]/Main_M[[#This Row],[Free CF]],""),"")</f>
        <v>0.81025641025641026</v>
      </c>
      <c r="I121" s="1">
        <f>IF(ISNUMBER(Main_M[[#This Row],[BVPS]]),IF(Main_M[[#This Row],[BVPS]]&lt;&gt;0,Main_M[[#This Row],[Current Price]]/Main_M[[#This Row],[BVPS]],""),"")</f>
        <v>0.53296534805274454</v>
      </c>
      <c r="J121">
        <v>44.43</v>
      </c>
      <c r="K121">
        <v>11.98</v>
      </c>
      <c r="L121">
        <v>2.81</v>
      </c>
      <c r="M121" s="1">
        <f>IF(ISNUMBER(Main_M[[#This Row],[EPS]]),IF(Main_M[[#This Row],[EPS]]&lt;&gt;0,Main_M[[#This Row],[Current Price]]/Main_M[[#This Row],[EPS]],""),"")</f>
        <v>1.4556113902847572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-1.190847197610621</v>
      </c>
      <c r="P121" s="1">
        <f>(Main_M[[#This Row],[P/B]]-VLOOKUP(Main_M[[#This Row],[Industry]], Mean_PB_M, 2, FALSE))/(VLOOKUP(Main_M[[#This Row],[Industry]], Mean_PB_M, 3, FALSE))</f>
        <v>-1.3525572506375472</v>
      </c>
      <c r="Q121" s="1">
        <f>(Main_M[[#This Row],[ROE]]-VLOOKUP(Main_M[[#This Row],[Industry]], Mean_ROE_M, 2, FALSE))/(VLOOKUP(Main_M[[#This Row],[Industry]], Mean_ROE_M, 3, FALSE))</f>
        <v>1.3875486464472857</v>
      </c>
      <c r="R121" s="1">
        <f>(Main_M[[#This Row],[ROA]]-VLOOKUP(Main_M[[#This Row],[Industry]], Mean_ROA_M, 2, FALSE))/(VLOOKUP(Main_M[[#This Row],[Industry]], Mean_ROA_M, 3, FALSE))</f>
        <v>1.3639664270773466</v>
      </c>
      <c r="S121" s="1">
        <f>(Main_M[[#This Row],[A/E]]-VLOOKUP(Main_M[[#This Row],[Industry]], Mean_AE_M, 2, FALSE))/(VLOOKUP(Main_M[[#This Row],[Industry]], Mean_AE_M, 3, FALSE))</f>
        <v>1.4134445500474055</v>
      </c>
      <c r="T121" s="1">
        <f>(Main_M[[#This Row],[P/E]]-VLOOKUP(Main_M[[#This Row],[Industry]], Mean_PE_M, 2, FALSE))/(VLOOKUP(Main_M[[#This Row],[Industry]], Mean_PE_M, 3, FALSE))</f>
        <v>-1.1672898776055098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2" spans="1:26" x14ac:dyDescent="0.25">
      <c r="A122" t="s">
        <v>230</v>
      </c>
      <c r="B122" t="s">
        <v>397</v>
      </c>
      <c r="C122" s="2">
        <v>6898</v>
      </c>
      <c r="D122">
        <f>RTD("tos.rtd", , "LAST", Main_M[[#This Row],[Symbol]])</f>
        <v>51.73</v>
      </c>
      <c r="E122">
        <v>-1.72</v>
      </c>
      <c r="F122">
        <v>35.51</v>
      </c>
      <c r="G122">
        <v>2.5099999999999998</v>
      </c>
      <c r="H122" s="1">
        <f>IF(ISNUMBER(Main_M[[#This Row],[Free CF]]),IF(Main_M[[#This Row],[Free CF]]&lt;&gt;0,Main_M[[#This Row],[Current Price]]/Main_M[[#This Row],[Free CF]],""),"")</f>
        <v>-30.075581395348834</v>
      </c>
      <c r="I122" s="1">
        <f>IF(ISNUMBER(Main_M[[#This Row],[BVPS]]),IF(Main_M[[#This Row],[BVPS]]&lt;&gt;0,Main_M[[#This Row],[Current Price]]/Main_M[[#This Row],[BVPS]],""),"")</f>
        <v>1.4567727400732189</v>
      </c>
      <c r="J122">
        <v>7.51</v>
      </c>
      <c r="K122">
        <v>2.85</v>
      </c>
      <c r="L122">
        <v>4.37</v>
      </c>
      <c r="M122" s="1">
        <f>IF(ISNUMBER(Main_M[[#This Row],[EPS]]),IF(Main_M[[#This Row],[EPS]]&lt;&gt;0,Main_M[[#This Row],[Current Price]]/Main_M[[#This Row],[EPS]],""),"")</f>
        <v>20.60956175298805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-1.4050416153989302</v>
      </c>
      <c r="P122" s="1">
        <f>(Main_M[[#This Row],[P/B]]-VLOOKUP(Main_M[[#This Row],[Industry]], Mean_PB_M, 2, FALSE))/(VLOOKUP(Main_M[[#This Row],[Industry]], Mean_PB_M, 3, FALSE))</f>
        <v>-2.1016752921127018</v>
      </c>
      <c r="Q122" s="1">
        <f>(Main_M[[#This Row],[ROE]]-VLOOKUP(Main_M[[#This Row],[Industry]], Mean_ROE_M, 2, FALSE))/(VLOOKUP(Main_M[[#This Row],[Industry]], Mean_ROE_M, 3, FALSE))</f>
        <v>-0.42524494699116044</v>
      </c>
      <c r="R122" s="1">
        <f>(Main_M[[#This Row],[ROA]]-VLOOKUP(Main_M[[#This Row],[Industry]], Mean_ROA_M, 2, FALSE))/(VLOOKUP(Main_M[[#This Row],[Industry]], Mean_ROA_M, 3, FALSE))</f>
        <v>0.43037675252625213</v>
      </c>
      <c r="S122" s="1">
        <f>(Main_M[[#This Row],[A/E]]-VLOOKUP(Main_M[[#This Row],[Industry]], Mean_AE_M, 2, FALSE))/(VLOOKUP(Main_M[[#This Row],[Industry]], Mean_AE_M, 3, FALSE))</f>
        <v>0.52458228810861462</v>
      </c>
      <c r="T122" s="1">
        <f>(Main_M[[#This Row],[P/E]]-VLOOKUP(Main_M[[#This Row],[Industry]], Mean_PE_M, 2, FALSE))/(VLOOKUP(Main_M[[#This Row],[Industry]], Mean_PE_M, 3, FALSE))</f>
        <v>1.1524171310881226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t="s">
        <v>230</v>
      </c>
      <c r="B123" t="s">
        <v>398</v>
      </c>
      <c r="C123" s="2">
        <v>3728</v>
      </c>
      <c r="D123">
        <f>RTD("tos.rtd", , "LAST", Main_M[[#This Row],[Symbol]])</f>
        <v>107.69</v>
      </c>
      <c r="E123">
        <v>2.62</v>
      </c>
      <c r="F123">
        <v>55.84</v>
      </c>
      <c r="G123">
        <v>15.07</v>
      </c>
      <c r="H123" s="1">
        <f>IF(ISNUMBER(Main_M[[#This Row],[Free CF]]),IF(Main_M[[#This Row],[Free CF]]&lt;&gt;0,Main_M[[#This Row],[Current Price]]/Main_M[[#This Row],[Free CF]],""),"")</f>
        <v>41.103053435114504</v>
      </c>
      <c r="I123" s="1">
        <f>IF(ISNUMBER(Main_M[[#This Row],[BVPS]]),IF(Main_M[[#This Row],[BVPS]]&lt;&gt;0,Main_M[[#This Row],[Current Price]]/Main_M[[#This Row],[BVPS]],""),"")</f>
        <v>1.9285458452722062</v>
      </c>
      <c r="J123">
        <v>29.15</v>
      </c>
      <c r="K123">
        <v>9.06</v>
      </c>
      <c r="L123">
        <v>2.38</v>
      </c>
      <c r="M123" s="1">
        <f>IF(ISNUMBER(Main_M[[#This Row],[EPS]]),IF(Main_M[[#This Row],[EPS]]&lt;&gt;0,Main_M[[#This Row],[Current Price]]/Main_M[[#This Row],[EPS]],""),"")</f>
        <v>7.1459854014598534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3" s="1">
        <f>(Main_M[[#This Row],[P/FCF]]-VLOOKUP(Main_M[[#This Row],[Industry]], Mean_PFCF_M, 2, FALSE))/(VLOOKUP(Main_M[[#This Row],[Industry]], Mean_PFCF_M, 3, FALSE))</f>
        <v>3.3241468067133688</v>
      </c>
      <c r="P123" s="1">
        <f>(Main_M[[#This Row],[P/B]]-VLOOKUP(Main_M[[#This Row],[Industry]], Mean_PB_M, 2, FALSE))/(VLOOKUP(Main_M[[#This Row],[Industry]], Mean_PB_M, 3, FALSE))</f>
        <v>1.5604931681951308</v>
      </c>
      <c r="Q123" s="1">
        <f>(Main_M[[#This Row],[ROE]]-VLOOKUP(Main_M[[#This Row],[Industry]], Mean_ROE_M, 2, FALSE))/(VLOOKUP(Main_M[[#This Row],[Industry]], Mean_ROE_M, 3, FALSE))</f>
        <v>-4.2326311301716636E-2</v>
      </c>
      <c r="R123" s="1">
        <f>(Main_M[[#This Row],[ROA]]-VLOOKUP(Main_M[[#This Row],[Industry]], Mean_ROA_M, 2, FALSE))/(VLOOKUP(Main_M[[#This Row],[Industry]], Mean_ROA_M, 3, FALSE))</f>
        <v>0.8665124629028883</v>
      </c>
      <c r="S123" s="1">
        <f>(Main_M[[#This Row],[A/E]]-VLOOKUP(Main_M[[#This Row],[Industry]], Mean_AE_M, 2, FALSE))/(VLOOKUP(Main_M[[#This Row],[Industry]], Mean_AE_M, 3, FALSE))</f>
        <v>-0.61756076805784443</v>
      </c>
      <c r="T123" s="1">
        <f>(Main_M[[#This Row],[P/E]]-VLOOKUP(Main_M[[#This Row],[Industry]], Mean_PE_M, 2, FALSE))/(VLOOKUP(Main_M[[#This Row],[Industry]], Mean_PE_M, 3, FALSE))</f>
        <v>2.6828505139465324E-2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t="s">
        <v>230</v>
      </c>
      <c r="B124" t="s">
        <v>399</v>
      </c>
      <c r="C124" s="2">
        <v>2286</v>
      </c>
      <c r="D124">
        <f>RTD("tos.rtd", , "LAST", Main_M[[#This Row],[Symbol]])</f>
        <v>4.97</v>
      </c>
      <c r="E124">
        <v>-4.55</v>
      </c>
      <c r="F124">
        <v>7.62</v>
      </c>
      <c r="G124">
        <v>-2.4900000000000002</v>
      </c>
      <c r="H124" s="1">
        <f>IF(ISNUMBER(Main_M[[#This Row],[Free CF]]),IF(Main_M[[#This Row],[Free CF]]&lt;&gt;0,Main_M[[#This Row],[Current Price]]/Main_M[[#This Row],[Free CF]],""),"")</f>
        <v>-1.0923076923076922</v>
      </c>
      <c r="I124" s="1">
        <f>IF(ISNUMBER(Main_M[[#This Row],[BVPS]]),IF(Main_M[[#This Row],[BVPS]]&lt;&gt;0,Main_M[[#This Row],[Current Price]]/Main_M[[#This Row],[BVPS]],""),"")</f>
        <v>0.65223097112860884</v>
      </c>
      <c r="J124">
        <v>-28.17</v>
      </c>
      <c r="K124">
        <v>-0.62</v>
      </c>
      <c r="L124">
        <v>6.29</v>
      </c>
      <c r="M124" s="1">
        <f>IF(ISNUMBER(Main_M[[#This Row],[EPS]]),IF(Main_M[[#This Row],[EPS]]&lt;&gt;0,Main_M[[#This Row],[Current Price]]/Main_M[[#This Row],[EPS]],""),"")</f>
        <v>-1.9959839357429716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0.52063963372600186</v>
      </c>
      <c r="P124" s="1">
        <f>(Main_M[[#This Row],[P/B]]-VLOOKUP(Main_M[[#This Row],[Industry]], Mean_PB_M, 2, FALSE))/(VLOOKUP(Main_M[[#This Row],[Industry]], Mean_PB_M, 3, FALSE))</f>
        <v>-8.3469814758691641</v>
      </c>
      <c r="Q124" s="1">
        <f>(Main_M[[#This Row],[ROE]]-VLOOKUP(Main_M[[#This Row],[Industry]], Mean_ROE_M, 2, FALSE))/(VLOOKUP(Main_M[[#This Row],[Industry]], Mean_ROE_M, 3, FALSE))</f>
        <v>-1.0566006272776371</v>
      </c>
      <c r="R124" s="1">
        <f>(Main_M[[#This Row],[ROA]]-VLOOKUP(Main_M[[#This Row],[Industry]], Mean_ROA_M, 2, FALSE))/(VLOOKUP(Main_M[[#This Row],[Industry]], Mean_ROA_M, 3, FALSE))</f>
        <v>0.18667451178439592</v>
      </c>
      <c r="S124" s="1">
        <f>(Main_M[[#This Row],[A/E]]-VLOOKUP(Main_M[[#This Row],[Industry]], Mean_AE_M, 2, FALSE))/(VLOOKUP(Main_M[[#This Row],[Industry]], Mean_AE_M, 3, FALSE))</f>
        <v>1.6265494578772584</v>
      </c>
      <c r="T124" s="1">
        <f>(Main_M[[#This Row],[P/E]]-VLOOKUP(Main_M[[#This Row],[Industry]], Mean_PE_M, 2, FALSE))/(VLOOKUP(Main_M[[#This Row],[Industry]], Mean_PE_M, 3, FALSE))</f>
        <v>-0.73746297552338957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t="s">
        <v>230</v>
      </c>
      <c r="B125" t="s">
        <v>400</v>
      </c>
      <c r="C125" s="2">
        <v>6763</v>
      </c>
      <c r="D125">
        <f>RTD("tos.rtd", , "LAST", Main_M[[#This Row],[Symbol]])</f>
        <v>9.23</v>
      </c>
      <c r="E125">
        <v>-0.63</v>
      </c>
      <c r="F125">
        <v>1.0900000000000001</v>
      </c>
      <c r="G125">
        <v>-0.7</v>
      </c>
      <c r="H125" s="1">
        <f>IF(ISNUMBER(Main_M[[#This Row],[Free CF]]),IF(Main_M[[#This Row],[Free CF]]&lt;&gt;0,Main_M[[#This Row],[Current Price]]/Main_M[[#This Row],[Free CF]],""),"")</f>
        <v>-14.650793650793652</v>
      </c>
      <c r="I125" s="1">
        <f>IF(ISNUMBER(Main_M[[#This Row],[BVPS]]),IF(Main_M[[#This Row],[BVPS]]&lt;&gt;0,Main_M[[#This Row],[Current Price]]/Main_M[[#This Row],[BVPS]],""),"")</f>
        <v>8.4678899082568808</v>
      </c>
      <c r="J125">
        <v>-50.45</v>
      </c>
      <c r="K125">
        <v>-31.07</v>
      </c>
      <c r="L125">
        <v>1.23</v>
      </c>
      <c r="M125" s="1">
        <f>IF(ISNUMBER(Main_M[[#This Row],[EPS]]),IF(Main_M[[#This Row],[EPS]]&lt;&gt;0,Main_M[[#This Row],[Current Price]]/Main_M[[#This Row],[EPS]],""),"")</f>
        <v>-13.185714285714287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-0.38020139770104877</v>
      </c>
      <c r="P125" s="1">
        <f>(Main_M[[#This Row],[P/B]]-VLOOKUP(Main_M[[#This Row],[Industry]], Mean_PB_M, 2, FALSE))/(VLOOKUP(Main_M[[#This Row],[Industry]], Mean_PB_M, 3, FALSE))</f>
        <v>52.322563567402703</v>
      </c>
      <c r="Q125" s="1">
        <f>(Main_M[[#This Row],[ROE]]-VLOOKUP(Main_M[[#This Row],[Industry]], Mean_ROE_M, 2, FALSE))/(VLOOKUP(Main_M[[#This Row],[Industry]], Mean_ROE_M, 3, FALSE))</f>
        <v>-1.4508440285327575</v>
      </c>
      <c r="R125" s="1">
        <f>(Main_M[[#This Row],[ROA]]-VLOOKUP(Main_M[[#This Row],[Industry]], Mean_ROA_M, 2, FALSE))/(VLOOKUP(Main_M[[#This Row],[Industry]], Mean_ROA_M, 3, FALSE))</f>
        <v>-1.9518653241203656</v>
      </c>
      <c r="S125" s="1">
        <f>(Main_M[[#This Row],[A/E]]-VLOOKUP(Main_M[[#This Row],[Industry]], Mean_AE_M, 2, FALSE))/(VLOOKUP(Main_M[[#This Row],[Industry]], Mean_AE_M, 3, FALSE))</f>
        <v>-1.2775931874505215</v>
      </c>
      <c r="T125" s="1">
        <f>(Main_M[[#This Row],[P/E]]-VLOOKUP(Main_M[[#This Row],[Industry]], Mean_PE_M, 2, FALSE))/(VLOOKUP(Main_M[[#This Row],[Industry]], Mean_PE_M, 3, FALSE))</f>
        <v>-1.6729523938257256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6" spans="1:26" x14ac:dyDescent="0.25">
      <c r="A126" t="s">
        <v>230</v>
      </c>
      <c r="B126" t="s">
        <v>401</v>
      </c>
      <c r="C126" s="2">
        <v>8634</v>
      </c>
      <c r="D126">
        <f>RTD("tos.rtd", , "LAST", Main_M[[#This Row],[Symbol]])</f>
        <v>38.729999999999997</v>
      </c>
      <c r="E126">
        <v>0</v>
      </c>
      <c r="F126">
        <v>0</v>
      </c>
      <c r="G126">
        <v>0</v>
      </c>
      <c r="H126" s="1" t="str">
        <f>IF(ISNUMBER(Main_M[[#This Row],[Free CF]]),IF(Main_M[[#This Row],[Free CF]]&lt;&gt;0,Main_M[[#This Row],[Current Price]]/Main_M[[#This Row],[Free CF]],""),"")</f>
        <v/>
      </c>
      <c r="I126" s="1" t="str">
        <f>IF(ISNUMBER(Main_M[[#This Row],[BVPS]]),IF(Main_M[[#This Row],[BVPS]]&lt;&gt;0,Main_M[[#This Row],[Current Price]]/Main_M[[#This Row],[BVPS]],""),"")</f>
        <v/>
      </c>
      <c r="J126">
        <v>138.29</v>
      </c>
      <c r="K126">
        <v>5.98</v>
      </c>
      <c r="L126">
        <v>21.02</v>
      </c>
      <c r="M126" s="1" t="str">
        <f>IF(ISNUMBER(Main_M[[#This Row],[EPS]]),IF(Main_M[[#This Row],[EPS]]&lt;&gt;0,Main_M[[#This Row],[Current Price]]/Main_M[[#This Row],[EPS]],""),"")</f>
        <v/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 t="e">
        <f>(Main_M[[#This Row],[P/FCF]]-VLOOKUP(Main_M[[#This Row],[Industry]], Mean_PFCF_M, 2, FALSE))/(VLOOKUP(Main_M[[#This Row],[Industry]], Mean_PFCF_M, 3, FALSE))</f>
        <v>#VALUE!</v>
      </c>
      <c r="P126" s="1" t="e">
        <f>(Main_M[[#This Row],[P/B]]-VLOOKUP(Main_M[[#This Row],[Industry]], Mean_PB_M, 2, FALSE))/(VLOOKUP(Main_M[[#This Row],[Industry]], Mean_PB_M, 3, FALSE))</f>
        <v>#VALUE!</v>
      </c>
      <c r="Q126" s="1">
        <f>(Main_M[[#This Row],[ROE]]-VLOOKUP(Main_M[[#This Row],[Industry]], Mean_ROE_M, 2, FALSE))/(VLOOKUP(Main_M[[#This Row],[Industry]], Mean_ROE_M, 3, FALSE))</f>
        <v>1.8889001165700898</v>
      </c>
      <c r="R126" s="1">
        <f>(Main_M[[#This Row],[ROA]]-VLOOKUP(Main_M[[#This Row],[Industry]], Mean_ROA_M, 2, FALSE))/(VLOOKUP(Main_M[[#This Row],[Industry]], Mean_ROA_M, 3, FALSE))</f>
        <v>0.65020038754700438</v>
      </c>
      <c r="S126" s="1">
        <f>(Main_M[[#This Row],[A/E]]-VLOOKUP(Main_M[[#This Row],[Industry]], Mean_AE_M, 2, FALSE))/(VLOOKUP(Main_M[[#This Row],[Industry]], Mean_AE_M, 3, FALSE))</f>
        <v>10.080703838446071</v>
      </c>
      <c r="T126" s="1" t="e">
        <f>(Main_M[[#This Row],[P/E]]-VLOOKUP(Main_M[[#This Row],[Industry]], Mean_PE_M, 2, FALSE))/(VLOOKUP(Main_M[[#This Row],[Industry]], Mean_PE_M, 3, FALSE))</f>
        <v>#VALUE!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7" spans="1:26" x14ac:dyDescent="0.25">
      <c r="A127" t="s">
        <v>230</v>
      </c>
      <c r="B127" t="s">
        <v>402</v>
      </c>
      <c r="C127" s="2">
        <v>4419</v>
      </c>
      <c r="D127">
        <f>RTD("tos.rtd", , "LAST", Main_M[[#This Row],[Symbol]])</f>
        <v>102.95</v>
      </c>
      <c r="E127">
        <v>11.95</v>
      </c>
      <c r="F127">
        <v>57.3</v>
      </c>
      <c r="G127">
        <v>5.85</v>
      </c>
      <c r="H127" s="1">
        <f>IF(ISNUMBER(Main_M[[#This Row],[Free CF]]),IF(Main_M[[#This Row],[Free CF]]&lt;&gt;0,Main_M[[#This Row],[Current Price]]/Main_M[[#This Row],[Free CF]],""),"")</f>
        <v>8.6150627615062767</v>
      </c>
      <c r="I127" s="1">
        <f>IF(ISNUMBER(Main_M[[#This Row],[BVPS]]),IF(Main_M[[#This Row],[BVPS]]&lt;&gt;0,Main_M[[#This Row],[Current Price]]/Main_M[[#This Row],[BVPS]],""),"")</f>
        <v>1.7966841186736475</v>
      </c>
      <c r="J127">
        <v>10.93</v>
      </c>
      <c r="K127">
        <v>3.39</v>
      </c>
      <c r="L127">
        <v>3.01</v>
      </c>
      <c r="M127" s="1">
        <f>IF(ISNUMBER(Main_M[[#This Row],[EPS]]),IF(Main_M[[#This Row],[EPS]]&lt;&gt;0,Main_M[[#This Row],[Current Price]]/Main_M[[#This Row],[EPS]],""),"")</f>
        <v>17.5982905982906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1.1656082267409966</v>
      </c>
      <c r="P127" s="1">
        <f>(Main_M[[#This Row],[P/B]]-VLOOKUP(Main_M[[#This Row],[Industry]], Mean_PB_M, 2, FALSE))/(VLOOKUP(Main_M[[#This Row],[Industry]], Mean_PB_M, 3, FALSE))</f>
        <v>0.53690820553114948</v>
      </c>
      <c r="Q127" s="1">
        <f>(Main_M[[#This Row],[ROE]]-VLOOKUP(Main_M[[#This Row],[Industry]], Mean_ROE_M, 2, FALSE))/(VLOOKUP(Main_M[[#This Row],[Industry]], Mean_ROE_M, 3, FALSE))</f>
        <v>-0.36472823099957546</v>
      </c>
      <c r="R127" s="1">
        <f>(Main_M[[#This Row],[ROA]]-VLOOKUP(Main_M[[#This Row],[Industry]], Mean_ROA_M, 2, FALSE))/(VLOOKUP(Main_M[[#This Row],[Industry]], Mean_ROA_M, 3, FALSE))</f>
        <v>0.46830159690682921</v>
      </c>
      <c r="S127" s="1">
        <f>(Main_M[[#This Row],[A/E]]-VLOOKUP(Main_M[[#This Row],[Industry]], Mean_AE_M, 2, FALSE))/(VLOOKUP(Main_M[[#This Row],[Industry]], Mean_AE_M, 3, FALSE))</f>
        <v>-0.25597779047750824</v>
      </c>
      <c r="T127" s="1">
        <f>(Main_M[[#This Row],[P/E]]-VLOOKUP(Main_M[[#This Row],[Industry]], Mean_PE_M, 2, FALSE))/(VLOOKUP(Main_M[[#This Row],[Industry]], Mean_PE_M, 3, FALSE))</f>
        <v>0.90066733795162013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t="s">
        <v>205</v>
      </c>
      <c r="B128" t="s">
        <v>370</v>
      </c>
      <c r="C128" s="2">
        <v>3983</v>
      </c>
      <c r="D128">
        <f>RTD("tos.rtd", , "LAST", Main_M[[#This Row],[Symbol]])</f>
        <v>5.42</v>
      </c>
      <c r="E128">
        <v>0.24</v>
      </c>
      <c r="F128">
        <v>8.1199999999999992</v>
      </c>
      <c r="G128">
        <v>-0.61</v>
      </c>
      <c r="H128" s="1">
        <f>IF(ISNUMBER(Main_M[[#This Row],[Free CF]]),IF(Main_M[[#This Row],[Free CF]]&lt;&gt;0,Main_M[[#This Row],[Current Price]]/Main_M[[#This Row],[Free CF]],""),"")</f>
        <v>22.583333333333332</v>
      </c>
      <c r="I128" s="1">
        <f>IF(ISNUMBER(Main_M[[#This Row],[BVPS]]),IF(Main_M[[#This Row],[BVPS]]&lt;&gt;0,Main_M[[#This Row],[Current Price]]/Main_M[[#This Row],[BVPS]],""),"")</f>
        <v>0.66748768472906406</v>
      </c>
      <c r="J128">
        <v>-7.27</v>
      </c>
      <c r="K128">
        <v>0.11</v>
      </c>
      <c r="L128">
        <v>1.91</v>
      </c>
      <c r="M128" s="1">
        <f>IF(ISNUMBER(Main_M[[#This Row],[EPS]]),IF(Main_M[[#This Row],[EPS]]&lt;&gt;0,Main_M[[#This Row],[Current Price]]/Main_M[[#This Row],[EPS]],""),"")</f>
        <v>-8.8852459016393439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0.60423662321920868</v>
      </c>
      <c r="P128" s="1">
        <f>(Main_M[[#This Row],[P/B]]-VLOOKUP(Main_M[[#This Row],[Industry]], Mean_PB_M, 2, FALSE))/(VLOOKUP(Main_M[[#This Row],[Industry]], Mean_PB_M, 3, FALSE))</f>
        <v>-1.1591645733767324</v>
      </c>
      <c r="Q128" s="1">
        <f>(Main_M[[#This Row],[ROE]]-VLOOKUP(Main_M[[#This Row],[Industry]], Mean_ROE_M, 2, FALSE))/(VLOOKUP(Main_M[[#This Row],[Industry]], Mean_ROE_M, 3, FALSE))</f>
        <v>-0.50219309546079804</v>
      </c>
      <c r="R128" s="1">
        <f>(Main_M[[#This Row],[ROA]]-VLOOKUP(Main_M[[#This Row],[Industry]], Mean_ROA_M, 2, FALSE))/(VLOOKUP(Main_M[[#This Row],[Industry]], Mean_ROA_M, 3, FALSE))</f>
        <v>-1.8098315818695632</v>
      </c>
      <c r="S128" s="1">
        <f>(Main_M[[#This Row],[A/E]]-VLOOKUP(Main_M[[#This Row],[Industry]], Mean_AE_M, 2, FALSE))/(VLOOKUP(Main_M[[#This Row],[Industry]], Mean_AE_M, 3, FALSE))</f>
        <v>-0.61239418303446191</v>
      </c>
      <c r="T128" s="1">
        <f>(Main_M[[#This Row],[P/E]]-VLOOKUP(Main_M[[#This Row],[Industry]], Mean_PE_M, 2, FALSE))/(VLOOKUP(Main_M[[#This Row],[Industry]], Mean_PE_M, 3, FALSE))</f>
        <v>-2.2238122992767333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t="s">
        <v>205</v>
      </c>
      <c r="B129" t="s">
        <v>371</v>
      </c>
      <c r="C129" s="2">
        <v>3422</v>
      </c>
      <c r="D129">
        <f>RTD("tos.rtd", , "LAST", Main_M[[#This Row],[Symbol]])</f>
        <v>18.55</v>
      </c>
      <c r="E129">
        <v>0.99</v>
      </c>
      <c r="F129">
        <v>6.33</v>
      </c>
      <c r="G129">
        <v>0.03</v>
      </c>
      <c r="H129" s="1">
        <f>IF(ISNUMBER(Main_M[[#This Row],[Free CF]]),IF(Main_M[[#This Row],[Free CF]]&lt;&gt;0,Main_M[[#This Row],[Current Price]]/Main_M[[#This Row],[Free CF]],""),"")</f>
        <v>18.737373737373737</v>
      </c>
      <c r="I129" s="1">
        <f>IF(ISNUMBER(Main_M[[#This Row],[BVPS]]),IF(Main_M[[#This Row],[BVPS]]&lt;&gt;0,Main_M[[#This Row],[Current Price]]/Main_M[[#This Row],[BVPS]],""),"")</f>
        <v>2.9304897314375986</v>
      </c>
      <c r="J129">
        <v>0.54</v>
      </c>
      <c r="K129">
        <v>3.09</v>
      </c>
      <c r="L129">
        <v>1.8</v>
      </c>
      <c r="M129" s="1">
        <f>IF(ISNUMBER(Main_M[[#This Row],[EPS]]),IF(Main_M[[#This Row],[EPS]]&lt;&gt;0,Main_M[[#This Row],[Current Price]]/Main_M[[#This Row],[EPS]],""),"")</f>
        <v>618.33333333333337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5.1256749374241274E-2</v>
      </c>
      <c r="P129" s="1">
        <f>(Main_M[[#This Row],[P/B]]-VLOOKUP(Main_M[[#This Row],[Industry]], Mean_PB_M, 2, FALSE))/(VLOOKUP(Main_M[[#This Row],[Industry]], Mean_PB_M, 3, FALSE))</f>
        <v>-0.24471786818057728</v>
      </c>
      <c r="Q129" s="1">
        <f>(Main_M[[#This Row],[ROE]]-VLOOKUP(Main_M[[#This Row],[Industry]], Mean_ROE_M, 2, FALSE))/(VLOOKUP(Main_M[[#This Row],[Industry]], Mean_ROE_M, 3, FALSE))</f>
        <v>-0.397735604820948</v>
      </c>
      <c r="R129" s="1">
        <f>(Main_M[[#This Row],[ROA]]-VLOOKUP(Main_M[[#This Row],[Industry]], Mean_ROA_M, 2, FALSE))/(VLOOKUP(Main_M[[#This Row],[Industry]], Mean_ROA_M, 3, FALSE))</f>
        <v>-0.78696469818535131</v>
      </c>
      <c r="S129" s="1">
        <f>(Main_M[[#This Row],[A/E]]-VLOOKUP(Main_M[[#This Row],[Industry]], Mean_AE_M, 2, FALSE))/(VLOOKUP(Main_M[[#This Row],[Industry]], Mean_AE_M, 3, FALSE))</f>
        <v>-0.78080258336893871</v>
      </c>
      <c r="T129" s="1">
        <f>(Main_M[[#This Row],[P/E]]-VLOOKUP(Main_M[[#This Row],[Industry]], Mean_PE_M, 2, FALSE))/(VLOOKUP(Main_M[[#This Row],[Industry]], Mean_PE_M, 3, FALSE))</f>
        <v>42.033807270917272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0" spans="1:26" x14ac:dyDescent="0.25">
      <c r="A130" t="s">
        <v>205</v>
      </c>
      <c r="B130" t="s">
        <v>372</v>
      </c>
      <c r="C130" s="2">
        <v>3703</v>
      </c>
      <c r="D130">
        <f>RTD("tos.rtd", , "LAST", Main_M[[#This Row],[Symbol]])</f>
        <v>69.790000000000006</v>
      </c>
      <c r="E130">
        <v>4.4800000000000004</v>
      </c>
      <c r="F130">
        <v>33.340000000000003</v>
      </c>
      <c r="G130">
        <v>3.23</v>
      </c>
      <c r="H130" s="1">
        <f>IF(ISNUMBER(Main_M[[#This Row],[Free CF]]),IF(Main_M[[#This Row],[Free CF]]&lt;&gt;0,Main_M[[#This Row],[Current Price]]/Main_M[[#This Row],[Free CF]],""),"")</f>
        <v>15.578125</v>
      </c>
      <c r="I130" s="1">
        <f>IF(ISNUMBER(Main_M[[#This Row],[BVPS]]),IF(Main_M[[#This Row],[BVPS]]&lt;&gt;0,Main_M[[#This Row],[Current Price]]/Main_M[[#This Row],[BVPS]],""),"")</f>
        <v>2.0932813437312539</v>
      </c>
      <c r="J130">
        <v>10.99</v>
      </c>
      <c r="K130">
        <v>5.32</v>
      </c>
      <c r="L130">
        <v>2.12</v>
      </c>
      <c r="M130" s="1">
        <f>IF(ISNUMBER(Main_M[[#This Row],[EPS]]),IF(Main_M[[#This Row],[EPS]]&lt;&gt;0,Main_M[[#This Row],[Current Price]]/Main_M[[#This Row],[EPS]],""),"")</f>
        <v>21.606811145510839</v>
      </c>
      <c r="N1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30" s="1">
        <f>(Main_M[[#This Row],[P/FCF]]-VLOOKUP(Main_M[[#This Row],[Industry]], Mean_PFCF_M, 2, FALSE))/(VLOOKUP(Main_M[[#This Row],[Industry]], Mean_PFCF_M, 3, FALSE))</f>
        <v>-0.40298644394300731</v>
      </c>
      <c r="P130" s="1">
        <f>(Main_M[[#This Row],[P/B]]-VLOOKUP(Main_M[[#This Row],[Industry]], Mean_PB_M, 2, FALSE))/(VLOOKUP(Main_M[[#This Row],[Industry]], Mean_PB_M, 3, FALSE))</f>
        <v>-0.5830217830242107</v>
      </c>
      <c r="Q130" s="1">
        <f>(Main_M[[#This Row],[ROE]]-VLOOKUP(Main_M[[#This Row],[Industry]], Mean_ROE_M, 2, FALSE))/(VLOOKUP(Main_M[[#This Row],[Industry]], Mean_ROE_M, 3, FALSE))</f>
        <v>-0.25796853988030366</v>
      </c>
      <c r="R130" s="1">
        <f>(Main_M[[#This Row],[ROA]]-VLOOKUP(Main_M[[#This Row],[Industry]], Mean_ROA_M, 2, FALSE))/(VLOOKUP(Main_M[[#This Row],[Industry]], Mean_ROA_M, 3, FALSE))</f>
        <v>-2.1530755025689258E-2</v>
      </c>
      <c r="S130" s="1">
        <f>(Main_M[[#This Row],[A/E]]-VLOOKUP(Main_M[[#This Row],[Industry]], Mean_AE_M, 2, FALSE))/(VLOOKUP(Main_M[[#This Row],[Industry]], Mean_AE_M, 3, FALSE))</f>
        <v>-0.29088723694136925</v>
      </c>
      <c r="T130" s="1">
        <f>(Main_M[[#This Row],[P/E]]-VLOOKUP(Main_M[[#This Row],[Industry]], Mean_PE_M, 2, FALSE))/(VLOOKUP(Main_M[[#This Row],[Industry]], Mean_PE_M, 3, FALSE))</f>
        <v>-7.2240414477917209E-2</v>
      </c>
      <c r="U1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1" spans="1:26" x14ac:dyDescent="0.25">
      <c r="A131" t="s">
        <v>205</v>
      </c>
      <c r="B131" t="s">
        <v>373</v>
      </c>
      <c r="C131" s="2">
        <v>2880</v>
      </c>
      <c r="D131">
        <f>RTD("tos.rtd", , "LAST", Main_M[[#This Row],[Symbol]])</f>
        <v>40.76</v>
      </c>
      <c r="E131">
        <v>2.33</v>
      </c>
      <c r="F131">
        <v>46.01</v>
      </c>
      <c r="G131">
        <v>0.78</v>
      </c>
      <c r="H131" s="1">
        <f>IF(ISNUMBER(Main_M[[#This Row],[Free CF]]),IF(Main_M[[#This Row],[Free CF]]&lt;&gt;0,Main_M[[#This Row],[Current Price]]/Main_M[[#This Row],[Free CF]],""),"")</f>
        <v>17.493562231759654</v>
      </c>
      <c r="I131" s="1">
        <f>IF(ISNUMBER(Main_M[[#This Row],[BVPS]]),IF(Main_M[[#This Row],[BVPS]]&lt;&gt;0,Main_M[[#This Row],[Current Price]]/Main_M[[#This Row],[BVPS]],""),"")</f>
        <v>0.88589437078895894</v>
      </c>
      <c r="J131">
        <v>1.66</v>
      </c>
      <c r="K131">
        <v>2.79</v>
      </c>
      <c r="L131">
        <v>3.9</v>
      </c>
      <c r="M131" s="1">
        <f>IF(ISNUMBER(Main_M[[#This Row],[EPS]]),IF(Main_M[[#This Row],[EPS]]&lt;&gt;0,Main_M[[#This Row],[Current Price]]/Main_M[[#This Row],[EPS]],""),"")</f>
        <v>52.256410256410255</v>
      </c>
      <c r="N1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1" s="1">
        <f>(Main_M[[#This Row],[P/FCF]]-VLOOKUP(Main_M[[#This Row],[Industry]], Mean_PFCF_M, 2, FALSE))/(VLOOKUP(Main_M[[#This Row],[Industry]], Mean_PFCF_M, 3, FALSE))</f>
        <v>-0.12758099249490665</v>
      </c>
      <c r="P131" s="1">
        <f>(Main_M[[#This Row],[P/B]]-VLOOKUP(Main_M[[#This Row],[Industry]], Mean_PB_M, 2, FALSE))/(VLOOKUP(Main_M[[#This Row],[Industry]], Mean_PB_M, 3, FALSE))</f>
        <v>-1.0709095606378927</v>
      </c>
      <c r="Q131" s="1">
        <f>(Main_M[[#This Row],[ROE]]-VLOOKUP(Main_M[[#This Row],[Industry]], Mean_ROE_M, 2, FALSE))/(VLOOKUP(Main_M[[#This Row],[Industry]], Mean_ROE_M, 3, FALSE))</f>
        <v>-0.38275578542061101</v>
      </c>
      <c r="R131" s="1">
        <f>(Main_M[[#This Row],[ROA]]-VLOOKUP(Main_M[[#This Row],[Industry]], Mean_ROA_M, 2, FALSE))/(VLOOKUP(Main_M[[#This Row],[Industry]], Mean_ROA_M, 3, FALSE))</f>
        <v>-0.88993787439517125</v>
      </c>
      <c r="S131" s="1">
        <f>(Main_M[[#This Row],[A/E]]-VLOOKUP(Main_M[[#This Row],[Industry]], Mean_AE_M, 2, FALSE))/(VLOOKUP(Main_M[[#This Row],[Industry]], Mean_AE_M, 3, FALSE))</f>
        <v>2.4342668775619853</v>
      </c>
      <c r="T131" s="1">
        <f>(Main_M[[#This Row],[P/E]]-VLOOKUP(Main_M[[#This Row],[Industry]], Mean_PE_M, 2, FALSE))/(VLOOKUP(Main_M[[#This Row],[Industry]], Mean_PE_M, 3, FALSE))</f>
        <v>2.0904479087596668</v>
      </c>
      <c r="U1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2" spans="1:26" x14ac:dyDescent="0.25">
      <c r="A132" t="s">
        <v>205</v>
      </c>
      <c r="B132" t="s">
        <v>374</v>
      </c>
      <c r="C132" s="2">
        <v>3099</v>
      </c>
      <c r="D132">
        <f>RTD("tos.rtd", , "LAST", Main_M[[#This Row],[Symbol]])</f>
        <v>62.81</v>
      </c>
      <c r="E132">
        <v>-2.21</v>
      </c>
      <c r="F132">
        <v>3.34</v>
      </c>
      <c r="G132">
        <v>3.16</v>
      </c>
      <c r="H132" s="1">
        <f>IF(ISNUMBER(Main_M[[#This Row],[Free CF]]),IF(Main_M[[#This Row],[Free CF]]&lt;&gt;0,Main_M[[#This Row],[Current Price]]/Main_M[[#This Row],[Free CF]],""),"")</f>
        <v>-28.420814479638011</v>
      </c>
      <c r="I132" s="1">
        <f>IF(ISNUMBER(Main_M[[#This Row],[BVPS]]),IF(Main_M[[#This Row],[BVPS]]&lt;&gt;0,Main_M[[#This Row],[Current Price]]/Main_M[[#This Row],[BVPS]],""),"")</f>
        <v>18.805389221556887</v>
      </c>
      <c r="J132">
        <v>114.72</v>
      </c>
      <c r="K132">
        <v>4.92</v>
      </c>
      <c r="L132">
        <v>15.46</v>
      </c>
      <c r="M132" s="1">
        <f>IF(ISNUMBER(Main_M[[#This Row],[EPS]]),IF(Main_M[[#This Row],[EPS]]&lt;&gt;0,Main_M[[#This Row],[Current Price]]/Main_M[[#This Row],[EPS]],""),"")</f>
        <v>19.876582278481013</v>
      </c>
      <c r="N1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2" s="1">
        <f>(Main_M[[#This Row],[P/FCF]]-VLOOKUP(Main_M[[#This Row],[Industry]], Mean_PFCF_M, 2, FALSE))/(VLOOKUP(Main_M[[#This Row],[Industry]], Mean_PFCF_M, 3, FALSE))</f>
        <v>-6.7292432325798979</v>
      </c>
      <c r="P132" s="1">
        <f>(Main_M[[#This Row],[P/B]]-VLOOKUP(Main_M[[#This Row],[Industry]], Mean_PB_M, 2, FALSE))/(VLOOKUP(Main_M[[#This Row],[Industry]], Mean_PB_M, 3, FALSE))</f>
        <v>6.1701015771548171</v>
      </c>
      <c r="Q132" s="1">
        <f>(Main_M[[#This Row],[ROE]]-VLOOKUP(Main_M[[#This Row],[Industry]], Mean_ROE_M, 2, FALSE))/(VLOOKUP(Main_M[[#This Row],[Industry]], Mean_ROE_M, 3, FALSE))</f>
        <v>1.1294034836884084</v>
      </c>
      <c r="R132" s="1">
        <f>(Main_M[[#This Row],[ROA]]-VLOOKUP(Main_M[[#This Row],[Industry]], Mean_ROA_M, 2, FALSE))/(VLOOKUP(Main_M[[#This Row],[Industry]], Mean_ROA_M, 3, FALSE))</f>
        <v>-0.15882832330544938</v>
      </c>
      <c r="S132" s="1">
        <f>(Main_M[[#This Row],[A/E]]-VLOOKUP(Main_M[[#This Row],[Industry]], Mean_AE_M, 2, FALSE))/(VLOOKUP(Main_M[[#This Row],[Industry]], Mean_AE_M, 3, FALSE))</f>
        <v>20.13245876725793</v>
      </c>
      <c r="T132" s="1">
        <f>(Main_M[[#This Row],[P/E]]-VLOOKUP(Main_M[[#This Row],[Industry]], Mean_PE_M, 2, FALSE))/(VLOOKUP(Main_M[[#This Row],[Industry]], Mean_PE_M, 3, FALSE))</f>
        <v>-0.19432833326975915</v>
      </c>
      <c r="U1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3" spans="1:26" x14ac:dyDescent="0.25">
      <c r="A133" t="s">
        <v>205</v>
      </c>
      <c r="B133" t="s">
        <v>375</v>
      </c>
      <c r="C133" s="2">
        <v>3449</v>
      </c>
      <c r="D133">
        <f>RTD("tos.rtd", , "LAST", Main_M[[#This Row],[Symbol]])</f>
        <v>22.49</v>
      </c>
      <c r="E133">
        <v>0.15</v>
      </c>
      <c r="F133">
        <v>7.22</v>
      </c>
      <c r="G133">
        <v>-0.33</v>
      </c>
      <c r="H133" s="1">
        <f>IF(ISNUMBER(Main_M[[#This Row],[Free CF]]),IF(Main_M[[#This Row],[Free CF]]&lt;&gt;0,Main_M[[#This Row],[Current Price]]/Main_M[[#This Row],[Free CF]],""),"")</f>
        <v>149.93333333333334</v>
      </c>
      <c r="I133" s="1">
        <f>IF(ISNUMBER(Main_M[[#This Row],[BVPS]]),IF(Main_M[[#This Row],[BVPS]]&lt;&gt;0,Main_M[[#This Row],[Current Price]]/Main_M[[#This Row],[BVPS]],""),"")</f>
        <v>3.1149584487534625</v>
      </c>
      <c r="J133">
        <v>-3.55</v>
      </c>
      <c r="K133">
        <v>-1.17</v>
      </c>
      <c r="L133">
        <v>2.0299999999999998</v>
      </c>
      <c r="M133" s="1">
        <f>IF(ISNUMBER(Main_M[[#This Row],[EPS]]),IF(Main_M[[#This Row],[EPS]]&lt;&gt;0,Main_M[[#This Row],[Current Price]]/Main_M[[#This Row],[EPS]],""),"")</f>
        <v>-68.151515151515142</v>
      </c>
      <c r="N1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3" s="1">
        <f>(Main_M[[#This Row],[P/FCF]]-VLOOKUP(Main_M[[#This Row],[Industry]], Mean_PFCF_M, 2, FALSE))/(VLOOKUP(Main_M[[#This Row],[Industry]], Mean_PFCF_M, 3, FALSE))</f>
        <v>18.914878005967743</v>
      </c>
      <c r="P133" s="1">
        <f>(Main_M[[#This Row],[P/B]]-VLOOKUP(Main_M[[#This Row],[Industry]], Mean_PB_M, 2, FALSE))/(VLOOKUP(Main_M[[#This Row],[Industry]], Mean_PB_M, 3, FALSE))</f>
        <v>-0.1701767023841953</v>
      </c>
      <c r="Q133" s="1">
        <f>(Main_M[[#This Row],[ROE]]-VLOOKUP(Main_M[[#This Row],[Industry]], Mean_ROE_M, 2, FALSE))/(VLOOKUP(Main_M[[#This Row],[Industry]], Mean_ROE_M, 3, FALSE))</f>
        <v>-0.45243869530967867</v>
      </c>
      <c r="R133" s="1">
        <f>(Main_M[[#This Row],[ROA]]-VLOOKUP(Main_M[[#This Row],[Industry]], Mean_ROA_M, 2, FALSE))/(VLOOKUP(Main_M[[#This Row],[Industry]], Mean_ROA_M, 3, FALSE))</f>
        <v>-2.2491838003647953</v>
      </c>
      <c r="S133" s="1">
        <f>(Main_M[[#This Row],[A/E]]-VLOOKUP(Main_M[[#This Row],[Industry]], Mean_AE_M, 2, FALSE))/(VLOOKUP(Main_M[[#This Row],[Industry]], Mean_AE_M, 3, FALSE))</f>
        <v>-0.42867592812412358</v>
      </c>
      <c r="T133" s="1">
        <f>(Main_M[[#This Row],[P/E]]-VLOOKUP(Main_M[[#This Row],[Industry]], Mean_PE_M, 2, FALSE))/(VLOOKUP(Main_M[[#This Row],[Industry]], Mean_PE_M, 3, FALSE))</f>
        <v>-6.4057419879747002</v>
      </c>
      <c r="U1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4" spans="1:26" x14ac:dyDescent="0.25">
      <c r="A134" t="s">
        <v>205</v>
      </c>
      <c r="B134" t="s">
        <v>376</v>
      </c>
      <c r="C134" s="2">
        <v>7675</v>
      </c>
      <c r="D134">
        <f>RTD("tos.rtd", , "LAST", Main_M[[#This Row],[Symbol]])</f>
        <v>44.5</v>
      </c>
      <c r="E134">
        <v>3.06</v>
      </c>
      <c r="F134">
        <v>14.52</v>
      </c>
      <c r="G134">
        <v>2.75</v>
      </c>
      <c r="H134" s="1">
        <f>IF(ISNUMBER(Main_M[[#This Row],[Free CF]]),IF(Main_M[[#This Row],[Free CF]]&lt;&gt;0,Main_M[[#This Row],[Current Price]]/Main_M[[#This Row],[Free CF]],""),"")</f>
        <v>14.542483660130719</v>
      </c>
      <c r="I134" s="1">
        <f>IF(ISNUMBER(Main_M[[#This Row],[BVPS]]),IF(Main_M[[#This Row],[BVPS]]&lt;&gt;0,Main_M[[#This Row],[Current Price]]/Main_M[[#This Row],[BVPS]],""),"")</f>
        <v>3.0647382920110195</v>
      </c>
      <c r="J134">
        <v>18.64</v>
      </c>
      <c r="K134">
        <v>5.08</v>
      </c>
      <c r="L134">
        <v>2.02</v>
      </c>
      <c r="M134" s="1">
        <f>IF(ISNUMBER(Main_M[[#This Row],[EPS]]),IF(Main_M[[#This Row],[EPS]]&lt;&gt;0,Main_M[[#This Row],[Current Price]]/Main_M[[#This Row],[EPS]],""),"")</f>
        <v>16.181818181818183</v>
      </c>
      <c r="N1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34" s="1">
        <f>(Main_M[[#This Row],[P/FCF]]-VLOOKUP(Main_M[[#This Row],[Industry]], Mean_PFCF_M, 2, FALSE))/(VLOOKUP(Main_M[[#This Row],[Industry]], Mean_PFCF_M, 3, FALSE))</f>
        <v>-0.55189305702110392</v>
      </c>
      <c r="P134" s="1">
        <f>(Main_M[[#This Row],[P/B]]-VLOOKUP(Main_M[[#This Row],[Industry]], Mean_PB_M, 2, FALSE))/(VLOOKUP(Main_M[[#This Row],[Industry]], Mean_PB_M, 3, FALSE))</f>
        <v>-0.19046994822299423</v>
      </c>
      <c r="Q134" s="1">
        <f>(Main_M[[#This Row],[ROE]]-VLOOKUP(Main_M[[#This Row],[Industry]], Mean_ROE_M, 2, FALSE))/(VLOOKUP(Main_M[[#This Row],[Industry]], Mean_ROE_M, 3, FALSE))</f>
        <v>-0.15565102344050175</v>
      </c>
      <c r="R134" s="1">
        <f>(Main_M[[#This Row],[ROA]]-VLOOKUP(Main_M[[#This Row],[Industry]], Mean_ROA_M, 2, FALSE))/(VLOOKUP(Main_M[[#This Row],[Industry]], Mean_ROA_M, 3, FALSE))</f>
        <v>-0.10390929599354533</v>
      </c>
      <c r="S134" s="1">
        <f>(Main_M[[#This Row],[A/E]]-VLOOKUP(Main_M[[#This Row],[Industry]], Mean_AE_M, 2, FALSE))/(VLOOKUP(Main_M[[#This Row],[Industry]], Mean_AE_M, 3, FALSE))</f>
        <v>-0.44398578269998479</v>
      </c>
      <c r="T134" s="1">
        <f>(Main_M[[#This Row],[P/E]]-VLOOKUP(Main_M[[#This Row],[Industry]], Mean_PE_M, 2, FALSE))/(VLOOKUP(Main_M[[#This Row],[Industry]], Mean_PE_M, 3, FALSE))</f>
        <v>-0.45503722998510271</v>
      </c>
      <c r="U1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5" spans="1:26" x14ac:dyDescent="0.25">
      <c r="A135" t="s">
        <v>205</v>
      </c>
      <c r="B135" t="s">
        <v>377</v>
      </c>
      <c r="C135" s="2">
        <v>4694</v>
      </c>
      <c r="D135">
        <f>RTD("tos.rtd", , "LAST", Main_M[[#This Row],[Symbol]])</f>
        <v>82.64</v>
      </c>
      <c r="E135">
        <v>4.5999999999999996</v>
      </c>
      <c r="F135">
        <v>2.6</v>
      </c>
      <c r="G135">
        <v>5.19</v>
      </c>
      <c r="H135" s="1">
        <f>IF(ISNUMBER(Main_M[[#This Row],[Free CF]]),IF(Main_M[[#This Row],[Free CF]]&lt;&gt;0,Main_M[[#This Row],[Current Price]]/Main_M[[#This Row],[Free CF]],""),"")</f>
        <v>17.96521739130435</v>
      </c>
      <c r="I135" s="1">
        <f>IF(ISNUMBER(Main_M[[#This Row],[BVPS]]),IF(Main_M[[#This Row],[BVPS]]&lt;&gt;0,Main_M[[#This Row],[Current Price]]/Main_M[[#This Row],[BVPS]],""),"")</f>
        <v>31.784615384615385</v>
      </c>
      <c r="J135">
        <v>378.42</v>
      </c>
      <c r="K135">
        <v>6.53</v>
      </c>
      <c r="L135">
        <v>28.91</v>
      </c>
      <c r="M135" s="1">
        <f>IF(ISNUMBER(Main_M[[#This Row],[EPS]]),IF(Main_M[[#This Row],[EPS]]&lt;&gt;0,Main_M[[#This Row],[Current Price]]/Main_M[[#This Row],[EPS]],""),"")</f>
        <v>15.922928709055876</v>
      </c>
      <c r="N1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5" s="1">
        <f>(Main_M[[#This Row],[P/FCF]]-VLOOKUP(Main_M[[#This Row],[Industry]], Mean_PFCF_M, 2, FALSE))/(VLOOKUP(Main_M[[#This Row],[Industry]], Mean_PFCF_M, 3, FALSE))</f>
        <v>-5.9765456705774586E-2</v>
      </c>
      <c r="P135" s="1">
        <f>(Main_M[[#This Row],[P/B]]-VLOOKUP(Main_M[[#This Row],[Industry]], Mean_PB_M, 2, FALSE))/(VLOOKUP(Main_M[[#This Row],[Industry]], Mean_PB_M, 3, FALSE))</f>
        <v>11.414820917142773</v>
      </c>
      <c r="Q135" s="1">
        <f>(Main_M[[#This Row],[ROE]]-VLOOKUP(Main_M[[#This Row],[Industry]], Mean_ROE_M, 2, FALSE))/(VLOOKUP(Main_M[[#This Row],[Industry]], Mean_ROE_M, 3, FALSE))</f>
        <v>4.6563484621427556</v>
      </c>
      <c r="R135" s="1">
        <f>(Main_M[[#This Row],[ROA]]-VLOOKUP(Main_M[[#This Row],[Industry]], Mean_ROA_M, 2, FALSE))/(VLOOKUP(Main_M[[#This Row],[Industry]], Mean_ROA_M, 3, FALSE))</f>
        <v>0.39379438902058472</v>
      </c>
      <c r="S135" s="1">
        <f>(Main_M[[#This Row],[A/E]]-VLOOKUP(Main_M[[#This Row],[Industry]], Mean_AE_M, 2, FALSE))/(VLOOKUP(Main_M[[#This Row],[Industry]], Mean_AE_M, 3, FALSE))</f>
        <v>40.72421317179171</v>
      </c>
      <c r="T135" s="1">
        <f>(Main_M[[#This Row],[P/E]]-VLOOKUP(Main_M[[#This Row],[Industry]], Mean_PE_M, 2, FALSE))/(VLOOKUP(Main_M[[#This Row],[Industry]], Mean_PE_M, 3, FALSE))</f>
        <v>-0.47330491556644755</v>
      </c>
      <c r="U1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6" spans="1:26" x14ac:dyDescent="0.25">
      <c r="A136" t="s">
        <v>205</v>
      </c>
      <c r="B136" t="s">
        <v>378</v>
      </c>
      <c r="C136" s="2">
        <v>2267</v>
      </c>
      <c r="D136">
        <f>RTD("tos.rtd", , "LAST", Main_M[[#This Row],[Symbol]])</f>
        <v>15.48</v>
      </c>
      <c r="E136">
        <v>0.91</v>
      </c>
      <c r="F136">
        <v>3.08</v>
      </c>
      <c r="G136">
        <v>0.62</v>
      </c>
      <c r="H136" s="1">
        <f>IF(ISNUMBER(Main_M[[#This Row],[Free CF]]),IF(Main_M[[#This Row],[Free CF]]&lt;&gt;0,Main_M[[#This Row],[Current Price]]/Main_M[[#This Row],[Free CF]],""),"")</f>
        <v>17.010989010989011</v>
      </c>
      <c r="I136" s="1">
        <f>IF(ISNUMBER(Main_M[[#This Row],[BVPS]]),IF(Main_M[[#This Row],[BVPS]]&lt;&gt;0,Main_M[[#This Row],[Current Price]]/Main_M[[#This Row],[BVPS]],""),"")</f>
        <v>5.0259740259740262</v>
      </c>
      <c r="J136">
        <v>22.75</v>
      </c>
      <c r="K136">
        <v>3.71</v>
      </c>
      <c r="L136">
        <v>2.58</v>
      </c>
      <c r="M136" s="1">
        <f>IF(ISNUMBER(Main_M[[#This Row],[EPS]]),IF(Main_M[[#This Row],[EPS]]&lt;&gt;0,Main_M[[#This Row],[Current Price]]/Main_M[[#This Row],[EPS]],""),"")</f>
        <v>24.967741935483872</v>
      </c>
      <c r="N1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6" s="1">
        <f>(Main_M[[#This Row],[P/FCF]]-VLOOKUP(Main_M[[#This Row],[Industry]], Mean_PFCF_M, 2, FALSE))/(VLOOKUP(Main_M[[#This Row],[Industry]], Mean_PFCF_M, 3, FALSE))</f>
        <v>-0.1969663492789599</v>
      </c>
      <c r="P136" s="1">
        <f>(Main_M[[#This Row],[P/B]]-VLOOKUP(Main_M[[#This Row],[Industry]], Mean_PB_M, 2, FALSE))/(VLOOKUP(Main_M[[#This Row],[Industry]], Mean_PB_M, 3, FALSE))</f>
        <v>0.60203731337844557</v>
      </c>
      <c r="Q136" s="1">
        <f>(Main_M[[#This Row],[ROE]]-VLOOKUP(Main_M[[#This Row],[Industry]], Mean_ROE_M, 2, FALSE))/(VLOOKUP(Main_M[[#This Row],[Industry]], Mean_ROE_M, 3, FALSE))</f>
        <v>-0.10068043617676507</v>
      </c>
      <c r="R136" s="1">
        <f>(Main_M[[#This Row],[ROA]]-VLOOKUP(Main_M[[#This Row],[Industry]], Mean_ROA_M, 2, FALSE))/(VLOOKUP(Main_M[[#This Row],[Industry]], Mean_ROA_M, 3, FALSE))</f>
        <v>-0.57415346735172335</v>
      </c>
      <c r="S136" s="1">
        <f>(Main_M[[#This Row],[A/E]]-VLOOKUP(Main_M[[#This Row],[Industry]], Mean_AE_M, 2, FALSE))/(VLOOKUP(Main_M[[#This Row],[Industry]], Mean_AE_M, 3, FALSE))</f>
        <v>0.41336607354826171</v>
      </c>
      <c r="T136" s="1">
        <f>(Main_M[[#This Row],[P/E]]-VLOOKUP(Main_M[[#This Row],[Industry]], Mean_PE_M, 2, FALSE))/(VLOOKUP(Main_M[[#This Row],[Industry]], Mean_PE_M, 3, FALSE))</f>
        <v>0.16491263109322424</v>
      </c>
      <c r="U1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7" spans="1:26" x14ac:dyDescent="0.25">
      <c r="A137" t="s">
        <v>205</v>
      </c>
      <c r="B137" t="s">
        <v>379</v>
      </c>
      <c r="C137" s="2">
        <v>5637</v>
      </c>
      <c r="D137">
        <f>RTD("tos.rtd", , "LAST", Main_M[[#This Row],[Symbol]])</f>
        <v>23.13</v>
      </c>
      <c r="H137" s="1" t="str">
        <f>IF(ISNUMBER(Main_M[[#This Row],[Free CF]]),IF(Main_M[[#This Row],[Free CF]]&lt;&gt;0,Main_M[[#This Row],[Current Price]]/Main_M[[#This Row],[Free CF]],""),"")</f>
        <v/>
      </c>
      <c r="I137" s="1" t="str">
        <f>IF(ISNUMBER(Main_M[[#This Row],[BVPS]]),IF(Main_M[[#This Row],[BVPS]]&lt;&gt;0,Main_M[[#This Row],[Current Price]]/Main_M[[#This Row],[BVPS]],""),"")</f>
        <v/>
      </c>
      <c r="J137">
        <v>7.43</v>
      </c>
      <c r="K137">
        <v>4.8899999999999997</v>
      </c>
      <c r="L137">
        <v>1.26</v>
      </c>
      <c r="M137" s="1" t="str">
        <f>IF(ISNUMBER(Main_M[[#This Row],[EPS]]),IF(Main_M[[#This Row],[EPS]]&lt;&gt;0,Main_M[[#This Row],[Current Price]]/Main_M[[#This Row],[EPS]],""),"")</f>
        <v/>
      </c>
      <c r="N1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7" s="1" t="e">
        <f>(Main_M[[#This Row],[P/FCF]]-VLOOKUP(Main_M[[#This Row],[Industry]], Mean_PFCF_M, 2, FALSE))/(VLOOKUP(Main_M[[#This Row],[Industry]], Mean_PFCF_M, 3, FALSE))</f>
        <v>#VALUE!</v>
      </c>
      <c r="P137" s="1" t="e">
        <f>(Main_M[[#This Row],[P/B]]-VLOOKUP(Main_M[[#This Row],[Industry]], Mean_PB_M, 2, FALSE))/(VLOOKUP(Main_M[[#This Row],[Industry]], Mean_PB_M, 3, FALSE))</f>
        <v>#VALUE!</v>
      </c>
      <c r="Q137" s="1">
        <f>(Main_M[[#This Row],[ROE]]-VLOOKUP(Main_M[[#This Row],[Industry]], Mean_ROE_M, 2, FALSE))/(VLOOKUP(Main_M[[#This Row],[Industry]], Mean_ROE_M, 3, FALSE))</f>
        <v>-0.30558296583137484</v>
      </c>
      <c r="R137" s="1">
        <f>(Main_M[[#This Row],[ROA]]-VLOOKUP(Main_M[[#This Row],[Industry]], Mean_ROA_M, 2, FALSE))/(VLOOKUP(Main_M[[#This Row],[Industry]], Mean_ROA_M, 3, FALSE))</f>
        <v>-0.16912564092643145</v>
      </c>
      <c r="S137" s="1">
        <f>(Main_M[[#This Row],[A/E]]-VLOOKUP(Main_M[[#This Row],[Industry]], Mean_AE_M, 2, FALSE))/(VLOOKUP(Main_M[[#This Row],[Industry]], Mean_AE_M, 3, FALSE))</f>
        <v>-1.6075347304654621</v>
      </c>
      <c r="T137" s="1" t="e">
        <f>(Main_M[[#This Row],[P/E]]-VLOOKUP(Main_M[[#This Row],[Industry]], Mean_PE_M, 2, FALSE))/(VLOOKUP(Main_M[[#This Row],[Industry]], Mean_PE_M, 3, FALSE))</f>
        <v>#VALUE!</v>
      </c>
      <c r="U1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8" spans="1:26" x14ac:dyDescent="0.25">
      <c r="A138" t="s">
        <v>205</v>
      </c>
      <c r="B138" t="s">
        <v>380</v>
      </c>
      <c r="C138" s="2">
        <v>3960</v>
      </c>
      <c r="D138">
        <f>RTD("tos.rtd", , "LAST", Main_M[[#This Row],[Symbol]])</f>
        <v>72.58</v>
      </c>
      <c r="E138">
        <v>3.01</v>
      </c>
      <c r="F138">
        <v>18.489999999999998</v>
      </c>
      <c r="G138">
        <v>2.37</v>
      </c>
      <c r="H138" s="1">
        <f>IF(ISNUMBER(Main_M[[#This Row],[Free CF]]),IF(Main_M[[#This Row],[Free CF]]&lt;&gt;0,Main_M[[#This Row],[Current Price]]/Main_M[[#This Row],[Free CF]],""),"")</f>
        <v>24.112956810631232</v>
      </c>
      <c r="I138" s="1">
        <f>IF(ISNUMBER(Main_M[[#This Row],[BVPS]]),IF(Main_M[[#This Row],[BVPS]]&lt;&gt;0,Main_M[[#This Row],[Current Price]]/Main_M[[#This Row],[BVPS]],""),"")</f>
        <v>3.9253650621957816</v>
      </c>
      <c r="J138">
        <v>13.69</v>
      </c>
      <c r="K138">
        <v>4.5999999999999996</v>
      </c>
      <c r="L138">
        <v>2.2999999999999998</v>
      </c>
      <c r="M138" s="1">
        <f>IF(ISNUMBER(Main_M[[#This Row],[EPS]]),IF(Main_M[[#This Row],[EPS]]&lt;&gt;0,Main_M[[#This Row],[Current Price]]/Main_M[[#This Row],[EPS]],""),"")</f>
        <v>30.624472573839661</v>
      </c>
      <c r="N1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8" s="1">
        <f>(Main_M[[#This Row],[P/FCF]]-VLOOKUP(Main_M[[#This Row],[Industry]], Mean_PFCF_M, 2, FALSE))/(VLOOKUP(Main_M[[#This Row],[Industry]], Mean_PFCF_M, 3, FALSE))</f>
        <v>0.82416899026620227</v>
      </c>
      <c r="P138" s="1">
        <f>(Main_M[[#This Row],[P/B]]-VLOOKUP(Main_M[[#This Row],[Industry]], Mean_PB_M, 2, FALSE))/(VLOOKUP(Main_M[[#This Row],[Industry]], Mean_PB_M, 3, FALSE))</f>
        <v>0.15729699946657022</v>
      </c>
      <c r="Q138" s="1">
        <f>(Main_M[[#This Row],[ROE]]-VLOOKUP(Main_M[[#This Row],[Industry]], Mean_ROE_M, 2, FALSE))/(VLOOKUP(Main_M[[#This Row],[Industry]], Mean_ROE_M, 3, FALSE))</f>
        <v>-0.2218564752544912</v>
      </c>
      <c r="R138" s="1">
        <f>(Main_M[[#This Row],[ROA]]-VLOOKUP(Main_M[[#This Row],[Industry]], Mean_ROA_M, 2, FALSE))/(VLOOKUP(Main_M[[#This Row],[Industry]], Mean_ROA_M, 3, FALSE))</f>
        <v>-0.26866637792925746</v>
      </c>
      <c r="S138" s="1">
        <f>(Main_M[[#This Row],[A/E]]-VLOOKUP(Main_M[[#This Row],[Industry]], Mean_AE_M, 2, FALSE))/(VLOOKUP(Main_M[[#This Row],[Industry]], Mean_AE_M, 3, FALSE))</f>
        <v>-1.5309854575861898E-2</v>
      </c>
      <c r="T138" s="1">
        <f>(Main_M[[#This Row],[P/E]]-VLOOKUP(Main_M[[#This Row],[Industry]], Mean_PE_M, 2, FALSE))/(VLOOKUP(Main_M[[#This Row],[Industry]], Mean_PE_M, 3, FALSE))</f>
        <v>0.56406125470187241</v>
      </c>
      <c r="U1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9" spans="1:26" x14ac:dyDescent="0.25">
      <c r="A139" t="s">
        <v>205</v>
      </c>
      <c r="B139" t="s">
        <v>381</v>
      </c>
      <c r="C139" s="2">
        <v>4064</v>
      </c>
      <c r="D139">
        <f>RTD("tos.rtd", , "LAST", Main_M[[#This Row],[Symbol]])</f>
        <v>4.34</v>
      </c>
      <c r="E139">
        <v>0.54</v>
      </c>
      <c r="F139">
        <v>7.76</v>
      </c>
      <c r="G139">
        <v>-1.96</v>
      </c>
      <c r="H139" s="1">
        <f>IF(ISNUMBER(Main_M[[#This Row],[Free CF]]),IF(Main_M[[#This Row],[Free CF]]&lt;&gt;0,Main_M[[#This Row],[Current Price]]/Main_M[[#This Row],[Free CF]],""),"")</f>
        <v>8.0370370370370363</v>
      </c>
      <c r="I139" s="1">
        <f>IF(ISNUMBER(Main_M[[#This Row],[BVPS]]),IF(Main_M[[#This Row],[BVPS]]&lt;&gt;0,Main_M[[#This Row],[Current Price]]/Main_M[[#This Row],[BVPS]],""),"")</f>
        <v>0.55927835051546393</v>
      </c>
      <c r="J139">
        <v>-21.14</v>
      </c>
      <c r="K139">
        <v>1.3</v>
      </c>
      <c r="L139">
        <v>2.1800000000000002</v>
      </c>
      <c r="M139" s="1">
        <f>IF(ISNUMBER(Main_M[[#This Row],[EPS]]),IF(Main_M[[#This Row],[EPS]]&lt;&gt;0,Main_M[[#This Row],[Current Price]]/Main_M[[#This Row],[EPS]],""),"")</f>
        <v>-2.2142857142857144</v>
      </c>
      <c r="N1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9" s="1">
        <f>(Main_M[[#This Row],[P/FCF]]-VLOOKUP(Main_M[[#This Row],[Industry]], Mean_PFCF_M, 2, FALSE))/(VLOOKUP(Main_M[[#This Row],[Industry]], Mean_PFCF_M, 3, FALSE))</f>
        <v>-1.4872593715093716</v>
      </c>
      <c r="P139" s="1">
        <f>(Main_M[[#This Row],[P/B]]-VLOOKUP(Main_M[[#This Row],[Industry]], Mean_PB_M, 2, FALSE))/(VLOOKUP(Main_M[[#This Row],[Industry]], Mean_PB_M, 3, FALSE))</f>
        <v>-1.2028904150245641</v>
      </c>
      <c r="Q139" s="1">
        <f>(Main_M[[#This Row],[ROE]]-VLOOKUP(Main_M[[#This Row],[Industry]], Mean_ROE_M, 2, FALSE))/(VLOOKUP(Main_M[[#This Row],[Industry]], Mean_ROE_M, 3, FALSE))</f>
        <v>-0.68770210892747152</v>
      </c>
      <c r="R139" s="1">
        <f>(Main_M[[#This Row],[ROA]]-VLOOKUP(Main_M[[#This Row],[Industry]], Mean_ROA_M, 2, FALSE))/(VLOOKUP(Main_M[[#This Row],[Industry]], Mean_ROA_M, 3, FALSE))</f>
        <v>-1.4013713162372774</v>
      </c>
      <c r="S139" s="1">
        <f>(Main_M[[#This Row],[A/E]]-VLOOKUP(Main_M[[#This Row],[Industry]], Mean_AE_M, 2, FALSE))/(VLOOKUP(Main_M[[#This Row],[Industry]], Mean_AE_M, 3, FALSE))</f>
        <v>-0.19902810948619989</v>
      </c>
      <c r="T139" s="1">
        <f>(Main_M[[#This Row],[P/E]]-VLOOKUP(Main_M[[#This Row],[Industry]], Mean_PE_M, 2, FALSE))/(VLOOKUP(Main_M[[#This Row],[Industry]], Mean_PE_M, 3, FALSE))</f>
        <v>-1.7530978977679064</v>
      </c>
      <c r="U1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0" spans="1:26" x14ac:dyDescent="0.25">
      <c r="A140" t="s">
        <v>205</v>
      </c>
      <c r="B140" t="s">
        <v>382</v>
      </c>
      <c r="C140" s="2">
        <v>5488</v>
      </c>
      <c r="D140">
        <f>RTD("tos.rtd", , "LAST", Main_M[[#This Row],[Symbol]])</f>
        <v>9.02</v>
      </c>
      <c r="E140">
        <v>0.53</v>
      </c>
      <c r="F140">
        <v>7.55</v>
      </c>
      <c r="G140">
        <v>-0.08</v>
      </c>
      <c r="H140" s="1">
        <f>IF(ISNUMBER(Main_M[[#This Row],[Free CF]]),IF(Main_M[[#This Row],[Free CF]]&lt;&gt;0,Main_M[[#This Row],[Current Price]]/Main_M[[#This Row],[Free CF]],""),"")</f>
        <v>17.018867924528301</v>
      </c>
      <c r="I140" s="1">
        <f>IF(ISNUMBER(Main_M[[#This Row],[BVPS]]),IF(Main_M[[#This Row],[BVPS]]&lt;&gt;0,Main_M[[#This Row],[Current Price]]/Main_M[[#This Row],[BVPS]],""),"")</f>
        <v>1.1947019867549669</v>
      </c>
      <c r="J140">
        <v>-0.91</v>
      </c>
      <c r="K140">
        <v>1.49</v>
      </c>
      <c r="L140">
        <v>2.7</v>
      </c>
      <c r="M140" s="1">
        <f>IF(ISNUMBER(Main_M[[#This Row],[EPS]]),IF(Main_M[[#This Row],[EPS]]&lt;&gt;0,Main_M[[#This Row],[Current Price]]/Main_M[[#This Row],[EPS]],""),"")</f>
        <v>-112.74999999999999</v>
      </c>
      <c r="N1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0" s="1">
        <f>(Main_M[[#This Row],[P/FCF]]-VLOOKUP(Main_M[[#This Row],[Industry]], Mean_PFCF_M, 2, FALSE))/(VLOOKUP(Main_M[[#This Row],[Industry]], Mean_PFCF_M, 3, FALSE))</f>
        <v>-0.1958335031046087</v>
      </c>
      <c r="P140" s="1">
        <f>(Main_M[[#This Row],[P/B]]-VLOOKUP(Main_M[[#This Row],[Industry]], Mean_PB_M, 2, FALSE))/(VLOOKUP(Main_M[[#This Row],[Industry]], Mean_PB_M, 3, FALSE))</f>
        <v>-0.94612482729206115</v>
      </c>
      <c r="Q140" s="1">
        <f>(Main_M[[#This Row],[ROE]]-VLOOKUP(Main_M[[#This Row],[Industry]], Mean_ROE_M, 2, FALSE))/(VLOOKUP(Main_M[[#This Row],[Industry]], Mean_ROE_M, 3, FALSE))</f>
        <v>-0.41712912100888433</v>
      </c>
      <c r="R140" s="1">
        <f>(Main_M[[#This Row],[ROA]]-VLOOKUP(Main_M[[#This Row],[Industry]], Mean_ROA_M, 2, FALSE))/(VLOOKUP(Main_M[[#This Row],[Industry]], Mean_ROA_M, 3, FALSE))</f>
        <v>-1.3361549713043912</v>
      </c>
      <c r="S140" s="1">
        <f>(Main_M[[#This Row],[A/E]]-VLOOKUP(Main_M[[#This Row],[Industry]], Mean_AE_M, 2, FALSE))/(VLOOKUP(Main_M[[#This Row],[Industry]], Mean_AE_M, 3, FALSE))</f>
        <v>0.59708432845860038</v>
      </c>
      <c r="T140" s="1">
        <f>(Main_M[[#This Row],[P/E]]-VLOOKUP(Main_M[[#This Row],[Industry]], Mean_PE_M, 2, FALSE))/(VLOOKUP(Main_M[[#This Row],[Industry]], Mean_PE_M, 3, FALSE))</f>
        <v>-9.552687632089393</v>
      </c>
      <c r="U1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1" spans="1:26" x14ac:dyDescent="0.25">
      <c r="A141" t="s">
        <v>205</v>
      </c>
      <c r="B141" t="s">
        <v>383</v>
      </c>
      <c r="C141" s="2">
        <v>4853</v>
      </c>
      <c r="D141">
        <f>RTD("tos.rtd", , "LAST", Main_M[[#This Row],[Symbol]])</f>
        <v>77.39</v>
      </c>
      <c r="E141">
        <v>3.01</v>
      </c>
      <c r="F141">
        <v>8.08</v>
      </c>
      <c r="G141">
        <v>2.06</v>
      </c>
      <c r="H141" s="1">
        <f>IF(ISNUMBER(Main_M[[#This Row],[Free CF]]),IF(Main_M[[#This Row],[Free CF]]&lt;&gt;0,Main_M[[#This Row],[Current Price]]/Main_M[[#This Row],[Free CF]],""),"")</f>
        <v>25.710963455149503</v>
      </c>
      <c r="I141" s="1">
        <f>IF(ISNUMBER(Main_M[[#This Row],[BVPS]]),IF(Main_M[[#This Row],[BVPS]]&lt;&gt;0,Main_M[[#This Row],[Current Price]]/Main_M[[#This Row],[BVPS]],""),"")</f>
        <v>9.5779702970297027</v>
      </c>
      <c r="J141">
        <v>27.84</v>
      </c>
      <c r="K141">
        <v>10.28</v>
      </c>
      <c r="L141">
        <v>1.81</v>
      </c>
      <c r="M141" s="1">
        <f>IF(ISNUMBER(Main_M[[#This Row],[EPS]]),IF(Main_M[[#This Row],[EPS]]&lt;&gt;0,Main_M[[#This Row],[Current Price]]/Main_M[[#This Row],[EPS]],""),"")</f>
        <v>37.567961165048544</v>
      </c>
      <c r="N1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1" s="1">
        <f>(Main_M[[#This Row],[P/FCF]]-VLOOKUP(Main_M[[#This Row],[Industry]], Mean_PFCF_M, 2, FALSE))/(VLOOKUP(Main_M[[#This Row],[Industry]], Mean_PFCF_M, 3, FALSE))</f>
        <v>1.053933627840002</v>
      </c>
      <c r="P141" s="1">
        <f>(Main_M[[#This Row],[P/B]]-VLOOKUP(Main_M[[#This Row],[Industry]], Mean_PB_M, 2, FALSE))/(VLOOKUP(Main_M[[#This Row],[Industry]], Mean_PB_M, 3, FALSE))</f>
        <v>2.4414337903663288</v>
      </c>
      <c r="Q141" s="1">
        <f>(Main_M[[#This Row],[ROE]]-VLOOKUP(Main_M[[#This Row],[Industry]], Mean_ROE_M, 2, FALSE))/(VLOOKUP(Main_M[[#This Row],[Industry]], Mean_ROE_M, 3, FALSE))</f>
        <v>-3.2602506937733512E-2</v>
      </c>
      <c r="R141" s="1">
        <f>(Main_M[[#This Row],[ROA]]-VLOOKUP(Main_M[[#This Row],[Industry]], Mean_ROA_M, 2, FALSE))/(VLOOKUP(Main_M[[#This Row],[Industry]], Mean_ROA_M, 3, FALSE))</f>
        <v>1.6809590916433343</v>
      </c>
      <c r="S141" s="1">
        <f>(Main_M[[#This Row],[A/E]]-VLOOKUP(Main_M[[#This Row],[Industry]], Mean_AE_M, 2, FALSE))/(VLOOKUP(Main_M[[#This Row],[Industry]], Mean_AE_M, 3, FALSE))</f>
        <v>-0.76549272879307717</v>
      </c>
      <c r="T141" s="1">
        <f>(Main_M[[#This Row],[P/E]]-VLOOKUP(Main_M[[#This Row],[Industry]], Mean_PE_M, 2, FALSE))/(VLOOKUP(Main_M[[#This Row],[Industry]], Mean_PE_M, 3, FALSE))</f>
        <v>1.0540057281811592</v>
      </c>
      <c r="U1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2" spans="1:26" x14ac:dyDescent="0.25">
      <c r="A142" t="s">
        <v>205</v>
      </c>
      <c r="B142" t="s">
        <v>384</v>
      </c>
      <c r="C142" s="2">
        <v>7117</v>
      </c>
      <c r="D142">
        <f>RTD("tos.rtd", , "LAST", Main_M[[#This Row],[Symbol]])</f>
        <v>160.05000000000001</v>
      </c>
      <c r="E142">
        <v>12.39</v>
      </c>
      <c r="F142">
        <v>63.75</v>
      </c>
      <c r="G142">
        <v>8.7100000000000009</v>
      </c>
      <c r="H142" s="1">
        <f>IF(ISNUMBER(Main_M[[#This Row],[Free CF]]),IF(Main_M[[#This Row],[Free CF]]&lt;&gt;0,Main_M[[#This Row],[Current Price]]/Main_M[[#This Row],[Free CF]],""),"")</f>
        <v>12.917675544794189</v>
      </c>
      <c r="I142" s="1">
        <f>IF(ISNUMBER(Main_M[[#This Row],[BVPS]]),IF(Main_M[[#This Row],[BVPS]]&lt;&gt;0,Main_M[[#This Row],[Current Price]]/Main_M[[#This Row],[BVPS]],""),"")</f>
        <v>2.5105882352941178</v>
      </c>
      <c r="J142">
        <v>15.16</v>
      </c>
      <c r="K142">
        <v>7.56</v>
      </c>
      <c r="L142">
        <v>1.56</v>
      </c>
      <c r="M142" s="1">
        <f>IF(ISNUMBER(Main_M[[#This Row],[EPS]]),IF(Main_M[[#This Row],[EPS]]&lt;&gt;0,Main_M[[#This Row],[Current Price]]/Main_M[[#This Row],[EPS]],""),"")</f>
        <v>18.375430539609642</v>
      </c>
      <c r="N1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2" s="1">
        <f>(Main_M[[#This Row],[P/FCF]]-VLOOKUP(Main_M[[#This Row],[Industry]], Mean_PFCF_M, 2, FALSE))/(VLOOKUP(Main_M[[#This Row],[Industry]], Mean_PFCF_M, 3, FALSE))</f>
        <v>-0.78551126444714792</v>
      </c>
      <c r="P142" s="1">
        <f>(Main_M[[#This Row],[P/B]]-VLOOKUP(Main_M[[#This Row],[Industry]], Mean_PB_M, 2, FALSE))/(VLOOKUP(Main_M[[#This Row],[Industry]], Mean_PB_M, 3, FALSE))</f>
        <v>-0.41439404687154457</v>
      </c>
      <c r="Q142" s="1">
        <f>(Main_M[[#This Row],[ROE]]-VLOOKUP(Main_M[[#This Row],[Industry]], Mean_ROE_M, 2, FALSE))/(VLOOKUP(Main_M[[#This Row],[Industry]], Mean_ROE_M, 3, FALSE))</f>
        <v>-0.20219546229154889</v>
      </c>
      <c r="R142" s="1">
        <f>(Main_M[[#This Row],[ROA]]-VLOOKUP(Main_M[[#This Row],[Industry]], Mean_ROA_M, 2, FALSE))/(VLOOKUP(Main_M[[#This Row],[Industry]], Mean_ROA_M, 3, FALSE))</f>
        <v>0.74733562734096648</v>
      </c>
      <c r="S142" s="1">
        <f>(Main_M[[#This Row],[A/E]]-VLOOKUP(Main_M[[#This Row],[Industry]], Mean_AE_M, 2, FALSE))/(VLOOKUP(Main_M[[#This Row],[Industry]], Mean_AE_M, 3, FALSE))</f>
        <v>-1.1482390931896158</v>
      </c>
      <c r="T142" s="1">
        <f>(Main_M[[#This Row],[P/E]]-VLOOKUP(Main_M[[#This Row],[Industry]], Mean_PE_M, 2, FALSE))/(VLOOKUP(Main_M[[#This Row],[Industry]], Mean_PE_M, 3, FALSE))</f>
        <v>-0.30025217668833104</v>
      </c>
      <c r="U1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3" spans="1:26" x14ac:dyDescent="0.25">
      <c r="A143" t="s">
        <v>205</v>
      </c>
      <c r="B143" t="s">
        <v>385</v>
      </c>
      <c r="C143" s="2">
        <v>2184</v>
      </c>
      <c r="D143">
        <f>RTD("tos.rtd", , "LAST", Main_M[[#This Row],[Symbol]])</f>
        <v>140.02000000000001</v>
      </c>
      <c r="E143">
        <v>5.88</v>
      </c>
      <c r="F143">
        <v>32.01</v>
      </c>
      <c r="G143">
        <v>4.5199999999999996</v>
      </c>
      <c r="H143" s="1">
        <f>IF(ISNUMBER(Main_M[[#This Row],[Free CF]]),IF(Main_M[[#This Row],[Free CF]]&lt;&gt;0,Main_M[[#This Row],[Current Price]]/Main_M[[#This Row],[Free CF]],""),"")</f>
        <v>23.812925170068031</v>
      </c>
      <c r="I143" s="1">
        <f>IF(ISNUMBER(Main_M[[#This Row],[BVPS]]),IF(Main_M[[#This Row],[BVPS]]&lt;&gt;0,Main_M[[#This Row],[Current Price]]/Main_M[[#This Row],[BVPS]],""),"")</f>
        <v>4.3742580443611381</v>
      </c>
      <c r="J143">
        <v>15.88</v>
      </c>
      <c r="K143">
        <v>7.09</v>
      </c>
      <c r="L143">
        <v>2.54</v>
      </c>
      <c r="M143" s="1">
        <f>IF(ISNUMBER(Main_M[[#This Row],[EPS]]),IF(Main_M[[#This Row],[EPS]]&lt;&gt;0,Main_M[[#This Row],[Current Price]]/Main_M[[#This Row],[EPS]],""),"")</f>
        <v>30.977876106194696</v>
      </c>
      <c r="N1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3" s="1">
        <f>(Main_M[[#This Row],[P/FCF]]-VLOOKUP(Main_M[[#This Row],[Industry]], Mean_PFCF_M, 2, FALSE))/(VLOOKUP(Main_M[[#This Row],[Industry]], Mean_PFCF_M, 3, FALSE))</f>
        <v>0.78102983224633193</v>
      </c>
      <c r="P143" s="1">
        <f>(Main_M[[#This Row],[P/B]]-VLOOKUP(Main_M[[#This Row],[Industry]], Mean_PB_M, 2, FALSE))/(VLOOKUP(Main_M[[#This Row],[Industry]], Mean_PB_M, 3, FALSE))</f>
        <v>0.33868822229989887</v>
      </c>
      <c r="Q143" s="1">
        <f>(Main_M[[#This Row],[ROE]]-VLOOKUP(Main_M[[#This Row],[Industry]], Mean_ROE_M, 2, FALSE))/(VLOOKUP(Main_M[[#This Row],[Industry]], Mean_ROE_M, 3, FALSE))</f>
        <v>-0.19256557839133223</v>
      </c>
      <c r="R143" s="1">
        <f>(Main_M[[#This Row],[ROA]]-VLOOKUP(Main_M[[#This Row],[Industry]], Mean_ROA_M, 2, FALSE))/(VLOOKUP(Main_M[[#This Row],[Industry]], Mean_ROA_M, 3, FALSE))</f>
        <v>0.58601098461224854</v>
      </c>
      <c r="S143" s="1">
        <f>(Main_M[[#This Row],[A/E]]-VLOOKUP(Main_M[[#This Row],[Industry]], Mean_AE_M, 2, FALSE))/(VLOOKUP(Main_M[[#This Row],[Industry]], Mean_AE_M, 3, FALSE))</f>
        <v>0.35212665524481546</v>
      </c>
      <c r="T143" s="1">
        <f>(Main_M[[#This Row],[P/E]]-VLOOKUP(Main_M[[#This Row],[Industry]], Mean_PE_M, 2, FALSE))/(VLOOKUP(Main_M[[#This Row],[Industry]], Mean_PE_M, 3, FALSE))</f>
        <v>0.58899801456126499</v>
      </c>
      <c r="U1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4" spans="1:26" x14ac:dyDescent="0.25">
      <c r="A144" t="s">
        <v>205</v>
      </c>
      <c r="B144" t="s">
        <v>386</v>
      </c>
      <c r="C144" s="2">
        <v>2486</v>
      </c>
      <c r="D144">
        <f>RTD("tos.rtd", , "LAST", Main_M[[#This Row],[Symbol]])</f>
        <v>83.82</v>
      </c>
      <c r="E144">
        <v>8.68</v>
      </c>
      <c r="F144">
        <v>52.03</v>
      </c>
      <c r="G144">
        <v>5.69</v>
      </c>
      <c r="H144" s="1">
        <f>IF(ISNUMBER(Main_M[[#This Row],[Free CF]]),IF(Main_M[[#This Row],[Free CF]]&lt;&gt;0,Main_M[[#This Row],[Current Price]]/Main_M[[#This Row],[Free CF]],""),"")</f>
        <v>9.6566820276497687</v>
      </c>
      <c r="I144" s="1">
        <f>IF(ISNUMBER(Main_M[[#This Row],[BVPS]]),IF(Main_M[[#This Row],[BVPS]]&lt;&gt;0,Main_M[[#This Row],[Current Price]]/Main_M[[#This Row],[BVPS]],""),"")</f>
        <v>1.6109936575052852</v>
      </c>
      <c r="J144">
        <v>11.53</v>
      </c>
      <c r="K144">
        <v>5.33</v>
      </c>
      <c r="L144">
        <v>2.08</v>
      </c>
      <c r="M144" s="1">
        <f>IF(ISNUMBER(Main_M[[#This Row],[EPS]]),IF(Main_M[[#This Row],[EPS]]&lt;&gt;0,Main_M[[#This Row],[Current Price]]/Main_M[[#This Row],[EPS]],""),"")</f>
        <v>14.7311072056239</v>
      </c>
      <c r="N1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4" s="1">
        <f>(Main_M[[#This Row],[P/FCF]]-VLOOKUP(Main_M[[#This Row],[Industry]], Mean_PFCF_M, 2, FALSE))/(VLOOKUP(Main_M[[#This Row],[Industry]], Mean_PFCF_M, 3, FALSE))</f>
        <v>-1.2543835286316734</v>
      </c>
      <c r="P144" s="1">
        <f>(Main_M[[#This Row],[P/B]]-VLOOKUP(Main_M[[#This Row],[Industry]], Mean_PB_M, 2, FALSE))/(VLOOKUP(Main_M[[#This Row],[Industry]], Mean_PB_M, 3, FALSE))</f>
        <v>-0.7779073273247441</v>
      </c>
      <c r="Q144" s="1">
        <f>(Main_M[[#This Row],[ROE]]-VLOOKUP(Main_M[[#This Row],[Industry]], Mean_ROE_M, 2, FALSE))/(VLOOKUP(Main_M[[#This Row],[Industry]], Mean_ROE_M, 3, FALSE))</f>
        <v>-0.2507461269551412</v>
      </c>
      <c r="R144" s="1">
        <f>(Main_M[[#This Row],[ROA]]-VLOOKUP(Main_M[[#This Row],[Industry]], Mean_ROA_M, 2, FALSE))/(VLOOKUP(Main_M[[#This Row],[Industry]], Mean_ROA_M, 3, FALSE))</f>
        <v>-1.8098315818695334E-2</v>
      </c>
      <c r="S144" s="1">
        <f>(Main_M[[#This Row],[A/E]]-VLOOKUP(Main_M[[#This Row],[Industry]], Mean_AE_M, 2, FALSE))/(VLOOKUP(Main_M[[#This Row],[Industry]], Mean_AE_M, 3, FALSE))</f>
        <v>-0.35212665524481546</v>
      </c>
      <c r="T144" s="1">
        <f>(Main_M[[#This Row],[P/E]]-VLOOKUP(Main_M[[#This Row],[Industry]], Mean_PE_M, 2, FALSE))/(VLOOKUP(Main_M[[#This Row],[Industry]], Mean_PE_M, 3, FALSE))</f>
        <v>-0.55740188660771606</v>
      </c>
      <c r="U1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5" spans="1:26" x14ac:dyDescent="0.25">
      <c r="A145" t="s">
        <v>205</v>
      </c>
      <c r="B145" t="s">
        <v>387</v>
      </c>
      <c r="C145" s="2">
        <v>7915</v>
      </c>
      <c r="D145">
        <f>RTD("tos.rtd", , "LAST", Main_M[[#This Row],[Symbol]])</f>
        <v>52.85</v>
      </c>
      <c r="E145">
        <v>3.23</v>
      </c>
      <c r="F145">
        <v>11.28</v>
      </c>
      <c r="G145">
        <v>2.39</v>
      </c>
      <c r="H145" s="1">
        <f>IF(ISNUMBER(Main_M[[#This Row],[Free CF]]),IF(Main_M[[#This Row],[Free CF]]&lt;&gt;0,Main_M[[#This Row],[Current Price]]/Main_M[[#This Row],[Free CF]],""),"")</f>
        <v>16.362229102167184</v>
      </c>
      <c r="I145" s="1">
        <f>IF(ISNUMBER(Main_M[[#This Row],[BVPS]]),IF(Main_M[[#This Row],[BVPS]]&lt;&gt;0,Main_M[[#This Row],[Current Price]]/Main_M[[#This Row],[BVPS]],""),"")</f>
        <v>4.6852836879432624</v>
      </c>
      <c r="J145">
        <v>21.05</v>
      </c>
      <c r="K145">
        <v>5.33</v>
      </c>
      <c r="L145">
        <v>4.51</v>
      </c>
      <c r="M145" s="1">
        <f>IF(ISNUMBER(Main_M[[#This Row],[EPS]]),IF(Main_M[[#This Row],[EPS]]&lt;&gt;0,Main_M[[#This Row],[Current Price]]/Main_M[[#This Row],[EPS]],""),"")</f>
        <v>22.11297071129707</v>
      </c>
      <c r="N1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5" s="1">
        <f>(Main_M[[#This Row],[P/FCF]]-VLOOKUP(Main_M[[#This Row],[Industry]], Mean_PFCF_M, 2, FALSE))/(VLOOKUP(Main_M[[#This Row],[Industry]], Mean_PFCF_M, 3, FALSE))</f>
        <v>-0.2902463652502289</v>
      </c>
      <c r="P145" s="1">
        <f>(Main_M[[#This Row],[P/B]]-VLOOKUP(Main_M[[#This Row],[Industry]], Mean_PB_M, 2, FALSE))/(VLOOKUP(Main_M[[#This Row],[Industry]], Mean_PB_M, 3, FALSE))</f>
        <v>0.46436922882786996</v>
      </c>
      <c r="Q145" s="1">
        <f>(Main_M[[#This Row],[ROE]]-VLOOKUP(Main_M[[#This Row],[Industry]], Mean_ROE_M, 2, FALSE))/(VLOOKUP(Main_M[[#This Row],[Industry]], Mean_ROE_M, 3, FALSE))</f>
        <v>-0.1234176620522766</v>
      </c>
      <c r="R145" s="1">
        <f>(Main_M[[#This Row],[ROA]]-VLOOKUP(Main_M[[#This Row],[Industry]], Mean_ROA_M, 2, FALSE))/(VLOOKUP(Main_M[[#This Row],[Industry]], Mean_ROA_M, 3, FALSE))</f>
        <v>-1.8098315818695334E-2</v>
      </c>
      <c r="S145" s="1">
        <f>(Main_M[[#This Row],[A/E]]-VLOOKUP(Main_M[[#This Row],[Industry]], Mean_AE_M, 2, FALSE))/(VLOOKUP(Main_M[[#This Row],[Industry]], Mean_AE_M, 3, FALSE))</f>
        <v>3.368168006689539</v>
      </c>
      <c r="T145" s="1">
        <f>(Main_M[[#This Row],[P/E]]-VLOOKUP(Main_M[[#This Row],[Industry]], Mean_PE_M, 2, FALSE))/(VLOOKUP(Main_M[[#This Row],[Industry]], Mean_PE_M, 3, FALSE))</f>
        <v>-3.6524926694208856E-2</v>
      </c>
      <c r="U1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6" spans="1:26" x14ac:dyDescent="0.25">
      <c r="A146" t="s">
        <v>205</v>
      </c>
      <c r="B146" t="s">
        <v>388</v>
      </c>
      <c r="C146" s="2">
        <v>5846</v>
      </c>
      <c r="D146">
        <f>RTD("tos.rtd", , "LAST", Main_M[[#This Row],[Symbol]])</f>
        <v>103.52</v>
      </c>
      <c r="E146">
        <v>7.2</v>
      </c>
      <c r="F146">
        <v>32.5</v>
      </c>
      <c r="G146">
        <v>5.54</v>
      </c>
      <c r="H146" s="1">
        <f>IF(ISNUMBER(Main_M[[#This Row],[Free CF]]),IF(Main_M[[#This Row],[Free CF]]&lt;&gt;0,Main_M[[#This Row],[Current Price]]/Main_M[[#This Row],[Free CF]],""),"")</f>
        <v>14.377777777777776</v>
      </c>
      <c r="I146" s="1">
        <f>IF(ISNUMBER(Main_M[[#This Row],[BVPS]]),IF(Main_M[[#This Row],[BVPS]]&lt;&gt;0,Main_M[[#This Row],[Current Price]]/Main_M[[#This Row],[BVPS]],""),"")</f>
        <v>3.1852307692307691</v>
      </c>
      <c r="J146">
        <v>16.72</v>
      </c>
      <c r="K146">
        <v>5.83</v>
      </c>
      <c r="L146">
        <v>3.23</v>
      </c>
      <c r="M146" s="1">
        <f>IF(ISNUMBER(Main_M[[#This Row],[EPS]]),IF(Main_M[[#This Row],[EPS]]&lt;&gt;0,Main_M[[#This Row],[Current Price]]/Main_M[[#This Row],[EPS]],""),"")</f>
        <v>18.685920577617328</v>
      </c>
      <c r="N1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6" s="1">
        <f>(Main_M[[#This Row],[P/FCF]]-VLOOKUP(Main_M[[#This Row],[Industry]], Mean_PFCF_M, 2, FALSE))/(VLOOKUP(Main_M[[#This Row],[Industry]], Mean_PFCF_M, 3, FALSE))</f>
        <v>-0.57557480296059271</v>
      </c>
      <c r="P146" s="1">
        <f>(Main_M[[#This Row],[P/B]]-VLOOKUP(Main_M[[#This Row],[Industry]], Mean_PB_M, 2, FALSE))/(VLOOKUP(Main_M[[#This Row],[Industry]], Mean_PB_M, 3, FALSE))</f>
        <v>-0.14178066446614485</v>
      </c>
      <c r="Q146" s="1">
        <f>(Main_M[[#This Row],[ROE]]-VLOOKUP(Main_M[[#This Row],[Industry]], Mean_ROE_M, 2, FALSE))/(VLOOKUP(Main_M[[#This Row],[Industry]], Mean_ROE_M, 3, FALSE))</f>
        <v>-0.18133071384107952</v>
      </c>
      <c r="R146" s="1">
        <f>(Main_M[[#This Row],[ROA]]-VLOOKUP(Main_M[[#This Row],[Industry]], Mean_ROA_M, 2, FALSE))/(VLOOKUP(Main_M[[#This Row],[Industry]], Mean_ROA_M, 3, FALSE))</f>
        <v>0.15352364453100464</v>
      </c>
      <c r="S146" s="1">
        <f>(Main_M[[#This Row],[A/E]]-VLOOKUP(Main_M[[#This Row],[Industry]], Mean_AE_M, 2, FALSE))/(VLOOKUP(Main_M[[#This Row],[Industry]], Mean_AE_M, 3, FALSE))</f>
        <v>1.4085066209792618</v>
      </c>
      <c r="T146" s="1">
        <f>(Main_M[[#This Row],[P/E]]-VLOOKUP(Main_M[[#This Row],[Industry]], Mean_PE_M, 2, FALSE))/(VLOOKUP(Main_M[[#This Row],[Industry]], Mean_PE_M, 3, FALSE))</f>
        <v>-0.2783434666510104</v>
      </c>
      <c r="U1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7" spans="1:26" x14ac:dyDescent="0.25">
      <c r="A147" t="s">
        <v>205</v>
      </c>
      <c r="B147" t="s">
        <v>389</v>
      </c>
      <c r="C147" s="2">
        <v>2805</v>
      </c>
      <c r="D147">
        <f>RTD("tos.rtd", , "LAST", Main_M[[#This Row],[Symbol]])</f>
        <v>55.83</v>
      </c>
      <c r="E147">
        <v>5.73</v>
      </c>
      <c r="F147">
        <v>64.739999999999995</v>
      </c>
      <c r="G147">
        <v>3.08</v>
      </c>
      <c r="H147" s="1">
        <f>IF(ISNUMBER(Main_M[[#This Row],[Free CF]]),IF(Main_M[[#This Row],[Free CF]]&lt;&gt;0,Main_M[[#This Row],[Current Price]]/Main_M[[#This Row],[Free CF]],""),"")</f>
        <v>9.7434554973821985</v>
      </c>
      <c r="I147" s="1">
        <f>IF(ISNUMBER(Main_M[[#This Row],[BVPS]]),IF(Main_M[[#This Row],[BVPS]]&lt;&gt;0,Main_M[[#This Row],[Current Price]]/Main_M[[#This Row],[BVPS]],""),"")</f>
        <v>0.8623725671918443</v>
      </c>
      <c r="J147">
        <v>5.8</v>
      </c>
      <c r="K147">
        <v>4.6100000000000003</v>
      </c>
      <c r="L147">
        <v>2.93</v>
      </c>
      <c r="M147" s="1">
        <f>IF(ISNUMBER(Main_M[[#This Row],[EPS]]),IF(Main_M[[#This Row],[EPS]]&lt;&gt;0,Main_M[[#This Row],[Current Price]]/Main_M[[#This Row],[EPS]],""),"")</f>
        <v>18.126623376623375</v>
      </c>
      <c r="N1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7" s="1">
        <f>(Main_M[[#This Row],[P/FCF]]-VLOOKUP(Main_M[[#This Row],[Industry]], Mean_PFCF_M, 2, FALSE))/(VLOOKUP(Main_M[[#This Row],[Industry]], Mean_PFCF_M, 3, FALSE))</f>
        <v>-1.241907063097262</v>
      </c>
      <c r="P147" s="1">
        <f>(Main_M[[#This Row],[P/B]]-VLOOKUP(Main_M[[#This Row],[Industry]], Mean_PB_M, 2, FALSE))/(VLOOKUP(Main_M[[#This Row],[Industry]], Mean_PB_M, 3, FALSE))</f>
        <v>-1.080414384476182</v>
      </c>
      <c r="Q147" s="1">
        <f>(Main_M[[#This Row],[ROE]]-VLOOKUP(Main_M[[#This Row],[Industry]], Mean_ROE_M, 2, FALSE))/(VLOOKUP(Main_M[[#This Row],[Industry]], Mean_ROE_M, 3, FALSE))</f>
        <v>-0.32738395299436529</v>
      </c>
      <c r="R147" s="1">
        <f>(Main_M[[#This Row],[ROA]]-VLOOKUP(Main_M[[#This Row],[Industry]], Mean_ROA_M, 2, FALSE))/(VLOOKUP(Main_M[[#This Row],[Industry]], Mean_ROA_M, 3, FALSE))</f>
        <v>-0.26523393872226325</v>
      </c>
      <c r="S147" s="1">
        <f>(Main_M[[#This Row],[A/E]]-VLOOKUP(Main_M[[#This Row],[Industry]], Mean_AE_M, 2, FALSE))/(VLOOKUP(Main_M[[#This Row],[Industry]], Mean_AE_M, 3, FALSE))</f>
        <v>0.94921098370341583</v>
      </c>
      <c r="T147" s="1">
        <f>(Main_M[[#This Row],[P/E]]-VLOOKUP(Main_M[[#This Row],[Industry]], Mean_PE_M, 2, FALSE))/(VLOOKUP(Main_M[[#This Row],[Industry]], Mean_PE_M, 3, FALSE))</f>
        <v>-0.31780843718561491</v>
      </c>
      <c r="U1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8" spans="1:26" x14ac:dyDescent="0.25">
      <c r="A148" t="s">
        <v>205</v>
      </c>
      <c r="B148" t="s">
        <v>390</v>
      </c>
      <c r="C148" s="2">
        <v>7499</v>
      </c>
      <c r="D148">
        <f>RTD("tos.rtd", , "LAST", Main_M[[#This Row],[Symbol]])</f>
        <v>47.66</v>
      </c>
      <c r="E148">
        <v>1.19</v>
      </c>
      <c r="F148">
        <v>5.64</v>
      </c>
      <c r="G148">
        <v>1.1399999999999999</v>
      </c>
      <c r="H148" s="1">
        <f>IF(ISNUMBER(Main_M[[#This Row],[Free CF]]),IF(Main_M[[#This Row],[Free CF]]&lt;&gt;0,Main_M[[#This Row],[Current Price]]/Main_M[[#This Row],[Free CF]],""),"")</f>
        <v>40.050420168067227</v>
      </c>
      <c r="I148" s="1">
        <f>IF(ISNUMBER(Main_M[[#This Row],[BVPS]]),IF(Main_M[[#This Row],[BVPS]]&lt;&gt;0,Main_M[[#This Row],[Current Price]]/Main_M[[#This Row],[BVPS]],""),"")</f>
        <v>8.4503546099290787</v>
      </c>
      <c r="J148">
        <v>21.31</v>
      </c>
      <c r="K148">
        <v>10.24</v>
      </c>
      <c r="L148">
        <v>1.77</v>
      </c>
      <c r="M148" s="1">
        <f>IF(ISNUMBER(Main_M[[#This Row],[EPS]]),IF(Main_M[[#This Row],[EPS]]&lt;&gt;0,Main_M[[#This Row],[Current Price]]/Main_M[[#This Row],[EPS]],""),"")</f>
        <v>41.807017543859651</v>
      </c>
      <c r="N1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8" s="1">
        <f>(Main_M[[#This Row],[P/FCF]]-VLOOKUP(Main_M[[#This Row],[Industry]], Mean_PFCF_M, 2, FALSE))/(VLOOKUP(Main_M[[#This Row],[Industry]], Mean_PFCF_M, 3, FALSE))</f>
        <v>3.1156898076097903</v>
      </c>
      <c r="P148" s="1">
        <f>(Main_M[[#This Row],[P/B]]-VLOOKUP(Main_M[[#This Row],[Industry]], Mean_PB_M, 2, FALSE))/(VLOOKUP(Main_M[[#This Row],[Industry]], Mean_PB_M, 3, FALSE))</f>
        <v>1.9857804464833961</v>
      </c>
      <c r="Q148" s="1">
        <f>(Main_M[[#This Row],[ROE]]-VLOOKUP(Main_M[[#This Row],[Industry]], Mean_ROE_M, 2, FALSE))/(VLOOKUP(Main_M[[#This Row],[Industry]], Mean_ROE_M, 3, FALSE))</f>
        <v>-0.11994020397719839</v>
      </c>
      <c r="R148" s="1">
        <f>(Main_M[[#This Row],[ROA]]-VLOOKUP(Main_M[[#This Row],[Industry]], Mean_ROA_M, 2, FALSE))/(VLOOKUP(Main_M[[#This Row],[Industry]], Mean_ROA_M, 3, FALSE))</f>
        <v>1.6672293348153586</v>
      </c>
      <c r="S148" s="1">
        <f>(Main_M[[#This Row],[A/E]]-VLOOKUP(Main_M[[#This Row],[Industry]], Mean_AE_M, 2, FALSE))/(VLOOKUP(Main_M[[#This Row],[Industry]], Mean_AE_M, 3, FALSE))</f>
        <v>-0.82673214709652343</v>
      </c>
      <c r="T148" s="1">
        <f>(Main_M[[#This Row],[P/E]]-VLOOKUP(Main_M[[#This Row],[Industry]], Mean_PE_M, 2, FALSE))/(VLOOKUP(Main_M[[#This Row],[Industry]], Mean_PE_M, 3, FALSE))</f>
        <v>1.3531208226014446</v>
      </c>
      <c r="U1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9" spans="1:26" x14ac:dyDescent="0.25">
      <c r="A149" t="s">
        <v>205</v>
      </c>
      <c r="B149" t="s">
        <v>391</v>
      </c>
      <c r="C149" s="2">
        <v>7964</v>
      </c>
      <c r="D149">
        <f>RTD("tos.rtd", , "LAST", Main_M[[#This Row],[Symbol]])</f>
        <v>43.2</v>
      </c>
      <c r="E149">
        <v>2.9</v>
      </c>
      <c r="F149">
        <v>13.58</v>
      </c>
      <c r="G149">
        <v>3.66</v>
      </c>
      <c r="H149" s="1">
        <f>IF(ISNUMBER(Main_M[[#This Row],[Free CF]]),IF(Main_M[[#This Row],[Free CF]]&lt;&gt;0,Main_M[[#This Row],[Current Price]]/Main_M[[#This Row],[Free CF]],""),"")</f>
        <v>14.896551724137932</v>
      </c>
      <c r="I149" s="1">
        <f>IF(ISNUMBER(Main_M[[#This Row],[BVPS]]),IF(Main_M[[#This Row],[BVPS]]&lt;&gt;0,Main_M[[#This Row],[Current Price]]/Main_M[[#This Row],[BVPS]],""),"")</f>
        <v>3.1811487481590577</v>
      </c>
      <c r="J149">
        <v>30.11</v>
      </c>
      <c r="K149">
        <v>8.44</v>
      </c>
      <c r="L149">
        <v>2.2200000000000002</v>
      </c>
      <c r="M149" s="1">
        <f>IF(ISNUMBER(Main_M[[#This Row],[EPS]]),IF(Main_M[[#This Row],[EPS]]&lt;&gt;0,Main_M[[#This Row],[Current Price]]/Main_M[[#This Row],[EPS]],""),"")</f>
        <v>11.803278688524591</v>
      </c>
      <c r="N1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9" s="1">
        <f>(Main_M[[#This Row],[P/FCF]]-VLOOKUP(Main_M[[#This Row],[Industry]], Mean_PFCF_M, 2, FALSE))/(VLOOKUP(Main_M[[#This Row],[Industry]], Mean_PFCF_M, 3, FALSE))</f>
        <v>-0.50098443240296375</v>
      </c>
      <c r="P149" s="1">
        <f>(Main_M[[#This Row],[P/B]]-VLOOKUP(Main_M[[#This Row],[Industry]], Mean_PB_M, 2, FALSE))/(VLOOKUP(Main_M[[#This Row],[Industry]], Mean_PB_M, 3, FALSE))</f>
        <v>-0.14343015069838091</v>
      </c>
      <c r="Q149" s="1">
        <f>(Main_M[[#This Row],[ROE]]-VLOOKUP(Main_M[[#This Row],[Industry]], Mean_ROE_M, 2, FALSE))/(VLOOKUP(Main_M[[#This Row],[Industry]], Mean_ROE_M, 3, FALSE))</f>
        <v>-2.2416229745504807E-3</v>
      </c>
      <c r="R149" s="1">
        <f>(Main_M[[#This Row],[ROA]]-VLOOKUP(Main_M[[#This Row],[Industry]], Mean_ROA_M, 2, FALSE))/(VLOOKUP(Main_M[[#This Row],[Industry]], Mean_ROA_M, 3, FALSE))</f>
        <v>1.0493902775564383</v>
      </c>
      <c r="S149" s="1">
        <f>(Main_M[[#This Row],[A/E]]-VLOOKUP(Main_M[[#This Row],[Industry]], Mean_AE_M, 2, FALSE))/(VLOOKUP(Main_M[[#This Row],[Industry]], Mean_AE_M, 3, FALSE))</f>
        <v>-0.13778869118275366</v>
      </c>
      <c r="T149" s="1">
        <f>(Main_M[[#This Row],[P/E]]-VLOOKUP(Main_M[[#This Row],[Industry]], Mean_PE_M, 2, FALSE))/(VLOOKUP(Main_M[[#This Row],[Industry]], Mean_PE_M, 3, FALSE))</f>
        <v>-0.76399449238574557</v>
      </c>
      <c r="U1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0" spans="1:26" x14ac:dyDescent="0.25">
      <c r="A150" t="s">
        <v>205</v>
      </c>
      <c r="B150" t="s">
        <v>392</v>
      </c>
      <c r="C150" s="2">
        <v>4351</v>
      </c>
      <c r="D150">
        <f>RTD("tos.rtd", , "LAST", Main_M[[#This Row],[Symbol]])</f>
        <v>71.14</v>
      </c>
      <c r="E150">
        <v>6.27</v>
      </c>
      <c r="F150">
        <v>30.53</v>
      </c>
      <c r="G150">
        <v>4.99</v>
      </c>
      <c r="H150" s="1">
        <f>IF(ISNUMBER(Main_M[[#This Row],[Free CF]]),IF(Main_M[[#This Row],[Free CF]]&lt;&gt;0,Main_M[[#This Row],[Current Price]]/Main_M[[#This Row],[Free CF]],""),"")</f>
        <v>11.346092503987242</v>
      </c>
      <c r="I150" s="1">
        <f>IF(ISNUMBER(Main_M[[#This Row],[BVPS]]),IF(Main_M[[#This Row],[BVPS]]&lt;&gt;0,Main_M[[#This Row],[Current Price]]/Main_M[[#This Row],[BVPS]],""),"")</f>
        <v>2.3301670488044546</v>
      </c>
      <c r="J150">
        <v>17.48</v>
      </c>
      <c r="K150">
        <v>7.62</v>
      </c>
      <c r="L150">
        <v>2.2400000000000002</v>
      </c>
      <c r="M150" s="1">
        <f>IF(ISNUMBER(Main_M[[#This Row],[EPS]]),IF(Main_M[[#This Row],[EPS]]&lt;&gt;0,Main_M[[#This Row],[Current Price]]/Main_M[[#This Row],[EPS]],""),"")</f>
        <v>14.256513026052104</v>
      </c>
      <c r="N1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0" s="1">
        <f>(Main_M[[#This Row],[P/FCF]]-VLOOKUP(Main_M[[#This Row],[Industry]], Mean_PFCF_M, 2, FALSE))/(VLOOKUP(Main_M[[#This Row],[Industry]], Mean_PFCF_M, 3, FALSE))</f>
        <v>-1.0114766626679996</v>
      </c>
      <c r="P150" s="1">
        <f>(Main_M[[#This Row],[P/B]]-VLOOKUP(Main_M[[#This Row],[Industry]], Mean_PB_M, 2, FALSE))/(VLOOKUP(Main_M[[#This Row],[Industry]], Mean_PB_M, 3, FALSE))</f>
        <v>-0.48729966344976194</v>
      </c>
      <c r="Q150" s="1">
        <f>(Main_M[[#This Row],[ROE]]-VLOOKUP(Main_M[[#This Row],[Industry]], Mean_ROE_M, 2, FALSE))/(VLOOKUP(Main_M[[#This Row],[Industry]], Mean_ROE_M, 3, FALSE))</f>
        <v>-0.17116583639085081</v>
      </c>
      <c r="R150" s="1">
        <f>(Main_M[[#This Row],[ROA]]-VLOOKUP(Main_M[[#This Row],[Industry]], Mean_ROA_M, 2, FALSE))/(VLOOKUP(Main_M[[#This Row],[Industry]], Mean_ROA_M, 3, FALSE))</f>
        <v>0.76793026258293062</v>
      </c>
      <c r="S150" s="1">
        <f>(Main_M[[#This Row],[A/E]]-VLOOKUP(Main_M[[#This Row],[Industry]], Mean_AE_M, 2, FALSE))/(VLOOKUP(Main_M[[#This Row],[Industry]], Mean_AE_M, 3, FALSE))</f>
        <v>-0.10716898203103056</v>
      </c>
      <c r="T150" s="1">
        <f>(Main_M[[#This Row],[P/E]]-VLOOKUP(Main_M[[#This Row],[Industry]], Mean_PE_M, 2, FALSE))/(VLOOKUP(Main_M[[#This Row],[Industry]], Mean_PE_M, 3, FALSE))</f>
        <v>-0.59089006655821463</v>
      </c>
      <c r="U1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1" spans="1:26" x14ac:dyDescent="0.25">
      <c r="A151" t="s">
        <v>205</v>
      </c>
      <c r="B151" t="s">
        <v>393</v>
      </c>
      <c r="C151" s="2">
        <v>3908</v>
      </c>
      <c r="D151">
        <f>RTD("tos.rtd", , "LAST", Main_M[[#This Row],[Symbol]])</f>
        <v>24.14</v>
      </c>
      <c r="E151">
        <v>0.9</v>
      </c>
      <c r="F151">
        <v>2.95</v>
      </c>
      <c r="G151">
        <v>0.6</v>
      </c>
      <c r="H151" s="1">
        <f>IF(ISNUMBER(Main_M[[#This Row],[Free CF]]),IF(Main_M[[#This Row],[Free CF]]&lt;&gt;0,Main_M[[#This Row],[Current Price]]/Main_M[[#This Row],[Free CF]],""),"")</f>
        <v>26.822222222222223</v>
      </c>
      <c r="I151" s="1">
        <f>IF(ISNUMBER(Main_M[[#This Row],[BVPS]]),IF(Main_M[[#This Row],[BVPS]]&lt;&gt;0,Main_M[[#This Row],[Current Price]]/Main_M[[#This Row],[BVPS]],""),"")</f>
        <v>8.1830508474576273</v>
      </c>
      <c r="J151">
        <v>22.71</v>
      </c>
      <c r="K151">
        <v>8.27</v>
      </c>
      <c r="L151">
        <v>3.8</v>
      </c>
      <c r="M151" s="1">
        <f>IF(ISNUMBER(Main_M[[#This Row],[EPS]]),IF(Main_M[[#This Row],[EPS]]&lt;&gt;0,Main_M[[#This Row],[Current Price]]/Main_M[[#This Row],[EPS]],""),"")</f>
        <v>40.233333333333334</v>
      </c>
      <c r="N1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1" s="1">
        <f>(Main_M[[#This Row],[P/FCF]]-VLOOKUP(Main_M[[#This Row],[Industry]], Mean_PFCF_M, 2, FALSE))/(VLOOKUP(Main_M[[#This Row],[Industry]], Mean_PFCF_M, 3, FALSE))</f>
        <v>1.2137126680229926</v>
      </c>
      <c r="P151" s="1">
        <f>(Main_M[[#This Row],[P/B]]-VLOOKUP(Main_M[[#This Row],[Industry]], Mean_PB_M, 2, FALSE))/(VLOOKUP(Main_M[[#This Row],[Industry]], Mean_PB_M, 3, FALSE))</f>
        <v>1.8777668257117854</v>
      </c>
      <c r="Q151" s="1">
        <f>(Main_M[[#This Row],[ROE]]-VLOOKUP(Main_M[[#This Row],[Industry]], Mean_ROE_M, 2, FALSE))/(VLOOKUP(Main_M[[#This Row],[Industry]], Mean_ROE_M, 3, FALSE))</f>
        <v>-0.10121542972677711</v>
      </c>
      <c r="R151" s="1">
        <f>(Main_M[[#This Row],[ROA]]-VLOOKUP(Main_M[[#This Row],[Industry]], Mean_ROA_M, 2, FALSE))/(VLOOKUP(Main_M[[#This Row],[Industry]], Mean_ROA_M, 3, FALSE))</f>
        <v>0.99103881103754043</v>
      </c>
      <c r="S151" s="1">
        <f>(Main_M[[#This Row],[A/E]]-VLOOKUP(Main_M[[#This Row],[Industry]], Mean_AE_M, 2, FALSE))/(VLOOKUP(Main_M[[#This Row],[Industry]], Mean_AE_M, 3, FALSE))</f>
        <v>2.2811683318033698</v>
      </c>
      <c r="T151" s="1">
        <f>(Main_M[[#This Row],[P/E]]-VLOOKUP(Main_M[[#This Row],[Industry]], Mean_PE_M, 2, FALSE))/(VLOOKUP(Main_M[[#This Row],[Industry]], Mean_PE_M, 3, FALSE))</f>
        <v>1.2420789634810645</v>
      </c>
      <c r="U1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2" spans="1:26" x14ac:dyDescent="0.25">
      <c r="A152" t="s">
        <v>205</v>
      </c>
      <c r="B152" t="s">
        <v>394</v>
      </c>
      <c r="C152" s="2">
        <v>2154</v>
      </c>
      <c r="D152">
        <f>RTD("tos.rtd", , "LAST", Main_M[[#This Row],[Symbol]])</f>
        <v>59.61</v>
      </c>
      <c r="E152">
        <v>3.9</v>
      </c>
      <c r="F152">
        <v>16.760000000000002</v>
      </c>
      <c r="G152">
        <v>2.83</v>
      </c>
      <c r="H152" s="1">
        <f>IF(ISNUMBER(Main_M[[#This Row],[Free CF]]),IF(Main_M[[#This Row],[Free CF]]&lt;&gt;0,Main_M[[#This Row],[Current Price]]/Main_M[[#This Row],[Free CF]],""),"")</f>
        <v>15.284615384615385</v>
      </c>
      <c r="I152" s="1">
        <f>IF(ISNUMBER(Main_M[[#This Row],[BVPS]]),IF(Main_M[[#This Row],[BVPS]]&lt;&gt;0,Main_M[[#This Row],[Current Price]]/Main_M[[#This Row],[BVPS]],""),"")</f>
        <v>3.5566825775656321</v>
      </c>
      <c r="J152">
        <v>15.38</v>
      </c>
      <c r="K152">
        <v>7.91</v>
      </c>
      <c r="L152">
        <v>1.84</v>
      </c>
      <c r="M152" s="1">
        <f>IF(ISNUMBER(Main_M[[#This Row],[EPS]]),IF(Main_M[[#This Row],[EPS]]&lt;&gt;0,Main_M[[#This Row],[Current Price]]/Main_M[[#This Row],[EPS]],""),"")</f>
        <v>21.063604240282686</v>
      </c>
      <c r="N1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2" s="1">
        <f>(Main_M[[#This Row],[P/FCF]]-VLOOKUP(Main_M[[#This Row],[Industry]], Mean_PFCF_M, 2, FALSE))/(VLOOKUP(Main_M[[#This Row],[Industry]], Mean_PFCF_M, 3, FALSE))</f>
        <v>-0.44518785195004407</v>
      </c>
      <c r="P152" s="1">
        <f>(Main_M[[#This Row],[P/B]]-VLOOKUP(Main_M[[#This Row],[Industry]], Mean_PB_M, 2, FALSE))/(VLOOKUP(Main_M[[#This Row],[Industry]], Mean_PB_M, 3, FALSE))</f>
        <v>8.317689516792421E-3</v>
      </c>
      <c r="Q152" s="1">
        <f>(Main_M[[#This Row],[ROE]]-VLOOKUP(Main_M[[#This Row],[Industry]], Mean_ROE_M, 2, FALSE))/(VLOOKUP(Main_M[[#This Row],[Industry]], Mean_ROE_M, 3, FALSE))</f>
        <v>-0.19925299776648267</v>
      </c>
      <c r="R152" s="1">
        <f>(Main_M[[#This Row],[ROA]]-VLOOKUP(Main_M[[#This Row],[Industry]], Mean_ROA_M, 2, FALSE))/(VLOOKUP(Main_M[[#This Row],[Industry]], Mean_ROA_M, 3, FALSE))</f>
        <v>0.86747099958575669</v>
      </c>
      <c r="S152" s="1">
        <f>(Main_M[[#This Row],[A/E]]-VLOOKUP(Main_M[[#This Row],[Industry]], Mean_AE_M, 2, FALSE))/(VLOOKUP(Main_M[[#This Row],[Industry]], Mean_AE_M, 3, FALSE))</f>
        <v>-0.71956316506549245</v>
      </c>
      <c r="T152" s="1">
        <f>(Main_M[[#This Row],[P/E]]-VLOOKUP(Main_M[[#This Row],[Industry]], Mean_PE_M, 2, FALSE))/(VLOOKUP(Main_M[[#This Row],[Industry]], Mean_PE_M, 3, FALSE))</f>
        <v>-0.11057002612432799</v>
      </c>
      <c r="U1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3" spans="1:26" x14ac:dyDescent="0.25">
      <c r="A153" t="s">
        <v>182</v>
      </c>
      <c r="B153" t="s">
        <v>344</v>
      </c>
      <c r="C153" s="2">
        <v>5572</v>
      </c>
      <c r="D153">
        <f>RTD("tos.rtd", , "LAST", Main_M[[#This Row],[Symbol]])</f>
        <v>58.04</v>
      </c>
      <c r="E153">
        <v>-19.66</v>
      </c>
      <c r="F153">
        <v>68.92</v>
      </c>
      <c r="G153">
        <v>4.3899999999999997</v>
      </c>
      <c r="H153" s="1">
        <f>IF(ISNUMBER(Main_M[[#This Row],[Free CF]]),IF(Main_M[[#This Row],[Free CF]]&lt;&gt;0,Main_M[[#This Row],[Current Price]]/Main_M[[#This Row],[Free CF]],""),"")</f>
        <v>-2.9521871820956256</v>
      </c>
      <c r="I153" s="1">
        <f>IF(ISNUMBER(Main_M[[#This Row],[BVPS]]),IF(Main_M[[#This Row],[BVPS]]&lt;&gt;0,Main_M[[#This Row],[Current Price]]/Main_M[[#This Row],[BVPS]],""),"")</f>
        <v>0.84213580963435863</v>
      </c>
      <c r="J153">
        <v>7.32</v>
      </c>
      <c r="K153">
        <v>2.81</v>
      </c>
      <c r="L153">
        <v>4.1900000000000004</v>
      </c>
      <c r="M153" s="1">
        <f>IF(ISNUMBER(Main_M[[#This Row],[EPS]]),IF(Main_M[[#This Row],[EPS]]&lt;&gt;0,Main_M[[#This Row],[Current Price]]/Main_M[[#This Row],[EPS]],""),"")</f>
        <v>13.220956719817769</v>
      </c>
      <c r="N1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3" s="1">
        <f>(Main_M[[#This Row],[P/FCF]]-VLOOKUP(Main_M[[#This Row],[Industry]], Mean_PFCF_M, 2, FALSE))/(VLOOKUP(Main_M[[#This Row],[Industry]], Mean_PFCF_M, 3, FALSE))</f>
        <v>-1.4000916279651772</v>
      </c>
      <c r="P153" s="1">
        <f>(Main_M[[#This Row],[P/B]]-VLOOKUP(Main_M[[#This Row],[Industry]], Mean_PB_M, 2, FALSE))/(VLOOKUP(Main_M[[#This Row],[Industry]], Mean_PB_M, 3, FALSE))</f>
        <v>-1.8665307102245228</v>
      </c>
      <c r="Q153" s="1">
        <f>(Main_M[[#This Row],[ROE]]-VLOOKUP(Main_M[[#This Row],[Industry]], Mean_ROE_M, 2, FALSE))/(VLOOKUP(Main_M[[#This Row],[Industry]], Mean_ROE_M, 3, FALSE))</f>
        <v>-2.1136376940212696</v>
      </c>
      <c r="R153" s="1">
        <f>(Main_M[[#This Row],[ROA]]-VLOOKUP(Main_M[[#This Row],[Industry]], Mean_ROA_M, 2, FALSE))/(VLOOKUP(Main_M[[#This Row],[Industry]], Mean_ROA_M, 3, FALSE))</f>
        <v>-1.5662179399218084</v>
      </c>
      <c r="S153" s="1">
        <f>(Main_M[[#This Row],[A/E]]-VLOOKUP(Main_M[[#This Row],[Industry]], Mean_AE_M, 2, FALSE))/(VLOOKUP(Main_M[[#This Row],[Industry]], Mean_AE_M, 3, FALSE))</f>
        <v>0.7396161972328571</v>
      </c>
      <c r="T153" s="1">
        <f>(Main_M[[#This Row],[P/E]]-VLOOKUP(Main_M[[#This Row],[Industry]], Mean_PE_M, 2, FALSE))/(VLOOKUP(Main_M[[#This Row],[Industry]], Mean_PE_M, 3, FALSE))</f>
        <v>-0.50395950069648632</v>
      </c>
      <c r="U1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4" spans="1:26" x14ac:dyDescent="0.25">
      <c r="A154" t="s">
        <v>182</v>
      </c>
      <c r="B154" t="s">
        <v>345</v>
      </c>
      <c r="C154" s="2">
        <v>5602</v>
      </c>
      <c r="D154">
        <f>RTD("tos.rtd", , "LAST", Main_M[[#This Row],[Symbol]])</f>
        <v>88.65</v>
      </c>
      <c r="E154">
        <v>6.56</v>
      </c>
      <c r="F154">
        <v>55.22</v>
      </c>
      <c r="G154">
        <v>10.210000000000001</v>
      </c>
      <c r="H154" s="1">
        <f>IF(ISNUMBER(Main_M[[#This Row],[Free CF]]),IF(Main_M[[#This Row],[Free CF]]&lt;&gt;0,Main_M[[#This Row],[Current Price]]/Main_M[[#This Row],[Free CF]],""),"")</f>
        <v>13.513719512195124</v>
      </c>
      <c r="I154" s="1">
        <f>IF(ISNUMBER(Main_M[[#This Row],[BVPS]]),IF(Main_M[[#This Row],[BVPS]]&lt;&gt;0,Main_M[[#This Row],[Current Price]]/Main_M[[#This Row],[BVPS]],""),"")</f>
        <v>1.6053965954364362</v>
      </c>
      <c r="J154">
        <v>18.28</v>
      </c>
      <c r="K154">
        <v>9.3800000000000008</v>
      </c>
      <c r="L154">
        <v>1.62</v>
      </c>
      <c r="M154" s="1">
        <f>IF(ISNUMBER(Main_M[[#This Row],[EPS]]),IF(Main_M[[#This Row],[EPS]]&lt;&gt;0,Main_M[[#This Row],[Current Price]]/Main_M[[#This Row],[EPS]],""),"")</f>
        <v>8.6826640548481873</v>
      </c>
      <c r="N1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4" s="1">
        <f>(Main_M[[#This Row],[P/FCF]]-VLOOKUP(Main_M[[#This Row],[Industry]], Mean_PFCF_M, 2, FALSE))/(VLOOKUP(Main_M[[#This Row],[Industry]], Mean_PFCF_M, 3, FALSE))</f>
        <v>-0.26234119344156742</v>
      </c>
      <c r="P154" s="1">
        <f>(Main_M[[#This Row],[P/B]]-VLOOKUP(Main_M[[#This Row],[Industry]], Mean_PB_M, 2, FALSE))/(VLOOKUP(Main_M[[#This Row],[Industry]], Mean_PB_M, 3, FALSE))</f>
        <v>-0.97478395105687921</v>
      </c>
      <c r="Q154" s="1">
        <f>(Main_M[[#This Row],[ROE]]-VLOOKUP(Main_M[[#This Row],[Industry]], Mean_ROE_M, 2, FALSE))/(VLOOKUP(Main_M[[#This Row],[Industry]], Mean_ROE_M, 3, FALSE))</f>
        <v>-0.14147899431088398</v>
      </c>
      <c r="R154" s="1">
        <f>(Main_M[[#This Row],[ROA]]-VLOOKUP(Main_M[[#This Row],[Industry]], Mean_ROA_M, 2, FALSE))/(VLOOKUP(Main_M[[#This Row],[Industry]], Mean_ROA_M, 3, FALSE))</f>
        <v>1.4774256978261671</v>
      </c>
      <c r="S154" s="1">
        <f>(Main_M[[#This Row],[A/E]]-VLOOKUP(Main_M[[#This Row],[Industry]], Mean_AE_M, 2, FALSE))/(VLOOKUP(Main_M[[#This Row],[Industry]], Mean_AE_M, 3, FALSE))</f>
        <v>-1.1300365505262648</v>
      </c>
      <c r="T154" s="1">
        <f>(Main_M[[#This Row],[P/E]]-VLOOKUP(Main_M[[#This Row],[Industry]], Mean_PE_M, 2, FALSE))/(VLOOKUP(Main_M[[#This Row],[Industry]], Mean_PE_M, 3, FALSE))</f>
        <v>-1.5320796228413269</v>
      </c>
      <c r="U1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5" spans="1:26" x14ac:dyDescent="0.25">
      <c r="A155" t="s">
        <v>182</v>
      </c>
      <c r="B155" t="s">
        <v>346</v>
      </c>
      <c r="C155" s="2">
        <v>6905</v>
      </c>
      <c r="D155">
        <f>RTD("tos.rtd", , "LAST", Main_M[[#This Row],[Symbol]])</f>
        <v>124.17</v>
      </c>
      <c r="E155">
        <v>3.12</v>
      </c>
      <c r="F155">
        <v>30.66</v>
      </c>
      <c r="G155">
        <v>5.85</v>
      </c>
      <c r="H155" s="1">
        <f>IF(ISNUMBER(Main_M[[#This Row],[Free CF]]),IF(Main_M[[#This Row],[Free CF]]&lt;&gt;0,Main_M[[#This Row],[Current Price]]/Main_M[[#This Row],[Free CF]],""),"")</f>
        <v>39.79807692307692</v>
      </c>
      <c r="I155" s="1">
        <f>IF(ISNUMBER(Main_M[[#This Row],[BVPS]]),IF(Main_M[[#This Row],[BVPS]]&lt;&gt;0,Main_M[[#This Row],[Current Price]]/Main_M[[#This Row],[BVPS]],""),"")</f>
        <v>4.049902152641879</v>
      </c>
      <c r="J155">
        <v>20.46</v>
      </c>
      <c r="K155">
        <v>6.22</v>
      </c>
      <c r="L155">
        <v>3.91</v>
      </c>
      <c r="M155" s="1">
        <f>IF(ISNUMBER(Main_M[[#This Row],[EPS]]),IF(Main_M[[#This Row],[EPS]]&lt;&gt;0,Main_M[[#This Row],[Current Price]]/Main_M[[#This Row],[EPS]],""),"")</f>
        <v>21.225641025641028</v>
      </c>
      <c r="N1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5" s="1">
        <f>(Main_M[[#This Row],[P/FCF]]-VLOOKUP(Main_M[[#This Row],[Industry]], Mean_PFCF_M, 2, FALSE))/(VLOOKUP(Main_M[[#This Row],[Industry]], Mean_PFCF_M, 3, FALSE))</f>
        <v>1.5538381169740354</v>
      </c>
      <c r="P155" s="1">
        <f>(Main_M[[#This Row],[P/B]]-VLOOKUP(Main_M[[#This Row],[Industry]], Mean_PB_M, 2, FALSE))/(VLOOKUP(Main_M[[#This Row],[Industry]], Mean_PB_M, 3, FALSE))</f>
        <v>1.8812253565803623</v>
      </c>
      <c r="Q155" s="1">
        <f>(Main_M[[#This Row],[ROE]]-VLOOKUP(Main_M[[#This Row],[Industry]], Mean_ROE_M, 2, FALSE))/(VLOOKUP(Main_M[[#This Row],[Industry]], Mean_ROE_M, 3, FALSE))</f>
        <v>0.25079344778479479</v>
      </c>
      <c r="R155" s="1">
        <f>(Main_M[[#This Row],[ROA]]-VLOOKUP(Main_M[[#This Row],[Industry]], Mean_ROA_M, 2, FALSE))/(VLOOKUP(Main_M[[#This Row],[Industry]], Mean_ROA_M, 3, FALSE))</f>
        <v>1.35118629275972E-2</v>
      </c>
      <c r="S155" s="1">
        <f>(Main_M[[#This Row],[A/E]]-VLOOKUP(Main_M[[#This Row],[Industry]], Mean_AE_M, 2, FALSE))/(VLOOKUP(Main_M[[#This Row],[Industry]], Mean_AE_M, 3, FALSE))</f>
        <v>0.53591862160151293</v>
      </c>
      <c r="T155" s="1">
        <f>(Main_M[[#This Row],[P/E]]-VLOOKUP(Main_M[[#This Row],[Industry]], Mean_PE_M, 2, FALSE))/(VLOOKUP(Main_M[[#This Row],[Industry]], Mean_PE_M, 3, FALSE))</f>
        <v>1.3094486714468276</v>
      </c>
      <c r="U1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6" spans="1:26" x14ac:dyDescent="0.25">
      <c r="A156" t="s">
        <v>182</v>
      </c>
      <c r="B156" t="s">
        <v>347</v>
      </c>
      <c r="C156" s="2">
        <v>5716</v>
      </c>
      <c r="D156">
        <f>RTD("tos.rtd", , "LAST", Main_M[[#This Row],[Symbol]])</f>
        <v>157.27000000000001</v>
      </c>
      <c r="E156">
        <v>-34.479999999999997</v>
      </c>
      <c r="F156">
        <v>68.56</v>
      </c>
      <c r="G156">
        <v>7.5</v>
      </c>
      <c r="H156" s="1">
        <f>IF(ISNUMBER(Main_M[[#This Row],[Free CF]]),IF(Main_M[[#This Row],[Free CF]]&lt;&gt;0,Main_M[[#This Row],[Current Price]]/Main_M[[#This Row],[Free CF]],""),"")</f>
        <v>-4.5611948955916484</v>
      </c>
      <c r="I156" s="1">
        <f>IF(ISNUMBER(Main_M[[#This Row],[BVPS]]),IF(Main_M[[#This Row],[BVPS]]&lt;&gt;0,Main_M[[#This Row],[Current Price]]/Main_M[[#This Row],[BVPS]],""),"")</f>
        <v>2.2939031505250878</v>
      </c>
      <c r="J156">
        <v>11.87</v>
      </c>
      <c r="K156">
        <v>2.46</v>
      </c>
      <c r="L156">
        <v>5.08</v>
      </c>
      <c r="M156" s="1">
        <f>IF(ISNUMBER(Main_M[[#This Row],[EPS]]),IF(Main_M[[#This Row],[EPS]]&lt;&gt;0,Main_M[[#This Row],[Current Price]]/Main_M[[#This Row],[EPS]],""),"")</f>
        <v>20.969333333333335</v>
      </c>
      <c r="N1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6" s="1">
        <f>(Main_M[[#This Row],[P/FCF]]-VLOOKUP(Main_M[[#This Row],[Industry]], Mean_PFCF_M, 2, FALSE))/(VLOOKUP(Main_M[[#This Row],[Industry]], Mean_PFCF_M, 3, FALSE))</f>
        <v>-1.5112697889477538</v>
      </c>
      <c r="P156" s="1">
        <f>(Main_M[[#This Row],[P/B]]-VLOOKUP(Main_M[[#This Row],[Industry]], Mean_PB_M, 2, FALSE))/(VLOOKUP(Main_M[[#This Row],[Industry]], Mean_PB_M, 3, FALSE))</f>
        <v>-0.1703754178439674</v>
      </c>
      <c r="Q156" s="1">
        <f>(Main_M[[#This Row],[ROE]]-VLOOKUP(Main_M[[#This Row],[Industry]], Mean_ROE_M, 2, FALSE))/(VLOOKUP(Main_M[[#This Row],[Industry]], Mean_ROE_M, 3, FALSE))</f>
        <v>-1.2949039272619398</v>
      </c>
      <c r="R156" s="1">
        <f>(Main_M[[#This Row],[ROA]]-VLOOKUP(Main_M[[#This Row],[Industry]], Mean_ROA_M, 2, FALSE))/(VLOOKUP(Main_M[[#This Row],[Industry]], Mean_ROA_M, 3, FALSE))</f>
        <v>-1.7283602950529791</v>
      </c>
      <c r="S156" s="1">
        <f>(Main_M[[#This Row],[A/E]]-VLOOKUP(Main_M[[#This Row],[Industry]], Mean_AE_M, 2, FALSE))/(VLOOKUP(Main_M[[#This Row],[Industry]], Mean_AE_M, 3, FALSE))</f>
        <v>1.3870834912039147</v>
      </c>
      <c r="T156" s="1">
        <f>(Main_M[[#This Row],[P/E]]-VLOOKUP(Main_M[[#This Row],[Industry]], Mean_PE_M, 2, FALSE))/(VLOOKUP(Main_M[[#This Row],[Industry]], Mean_PE_M, 3, FALSE))</f>
        <v>1.2513838626353373</v>
      </c>
      <c r="U1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7" spans="1:26" x14ac:dyDescent="0.25">
      <c r="A157" t="s">
        <v>182</v>
      </c>
      <c r="B157" t="s">
        <v>348</v>
      </c>
      <c r="C157" s="2">
        <v>3772</v>
      </c>
      <c r="D157">
        <f>RTD("tos.rtd", , "LAST", Main_M[[#This Row],[Symbol]])</f>
        <v>79.17</v>
      </c>
      <c r="E157">
        <v>8.7899999999999991</v>
      </c>
      <c r="F157">
        <v>37.43</v>
      </c>
      <c r="G157">
        <v>6.07</v>
      </c>
      <c r="H157" s="1">
        <f>IF(ISNUMBER(Main_M[[#This Row],[Free CF]]),IF(Main_M[[#This Row],[Free CF]]&lt;&gt;0,Main_M[[#This Row],[Current Price]]/Main_M[[#This Row],[Free CF]],""),"")</f>
        <v>9.0068259385665534</v>
      </c>
      <c r="I157" s="1">
        <f>IF(ISNUMBER(Main_M[[#This Row],[BVPS]]),IF(Main_M[[#This Row],[BVPS]]&lt;&gt;0,Main_M[[#This Row],[Current Price]]/Main_M[[#This Row],[BVPS]],""),"")</f>
        <v>2.1151482767833287</v>
      </c>
      <c r="J157">
        <v>17.45</v>
      </c>
      <c r="K157">
        <v>7.14</v>
      </c>
      <c r="L157">
        <v>2.65</v>
      </c>
      <c r="M157" s="1">
        <f>IF(ISNUMBER(Main_M[[#This Row],[EPS]]),IF(Main_M[[#This Row],[EPS]]&lt;&gt;0,Main_M[[#This Row],[Current Price]]/Main_M[[#This Row],[EPS]],""),"")</f>
        <v>13.042833607907742</v>
      </c>
      <c r="N1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7" s="1">
        <f>(Main_M[[#This Row],[P/FCF]]-VLOOKUP(Main_M[[#This Row],[Industry]], Mean_PFCF_M, 2, FALSE))/(VLOOKUP(Main_M[[#This Row],[Industry]], Mean_PFCF_M, 3, FALSE))</f>
        <v>-0.57375557328410065</v>
      </c>
      <c r="P157" s="1">
        <f>(Main_M[[#This Row],[P/B]]-VLOOKUP(Main_M[[#This Row],[Industry]], Mean_PB_M, 2, FALSE))/(VLOOKUP(Main_M[[#This Row],[Industry]], Mean_PB_M, 3, FALSE))</f>
        <v>-0.37922157149133984</v>
      </c>
      <c r="Q157" s="1">
        <f>(Main_M[[#This Row],[ROE]]-VLOOKUP(Main_M[[#This Row],[Industry]], Mean_ROE_M, 2, FALSE))/(VLOOKUP(Main_M[[#This Row],[Industry]], Mean_ROE_M, 3, FALSE))</f>
        <v>-0.29083042868676201</v>
      </c>
      <c r="R157" s="1">
        <f>(Main_M[[#This Row],[ROA]]-VLOOKUP(Main_M[[#This Row],[Industry]], Mean_ROA_M, 2, FALSE))/(VLOOKUP(Main_M[[#This Row],[Industry]], Mean_ROA_M, 3, FALSE))</f>
        <v>0.43971462498667435</v>
      </c>
      <c r="S157" s="1">
        <f>(Main_M[[#This Row],[A/E]]-VLOOKUP(Main_M[[#This Row],[Industry]], Mean_AE_M, 2, FALSE))/(VLOOKUP(Main_M[[#This Row],[Industry]], Mean_AE_M, 3, FALSE))</f>
        <v>-0.38072046873953524</v>
      </c>
      <c r="T157" s="1">
        <f>(Main_M[[#This Row],[P/E]]-VLOOKUP(Main_M[[#This Row],[Industry]], Mean_PE_M, 2, FALSE))/(VLOOKUP(Main_M[[#This Row],[Industry]], Mean_PE_M, 3, FALSE))</f>
        <v>-0.54431211104868438</v>
      </c>
      <c r="U1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8" spans="1:26" x14ac:dyDescent="0.25">
      <c r="A158" t="s">
        <v>182</v>
      </c>
      <c r="B158" t="s">
        <v>349</v>
      </c>
      <c r="C158" s="2">
        <v>2196</v>
      </c>
      <c r="D158">
        <f>RTD("tos.rtd", , "LAST", Main_M[[#This Row],[Symbol]])</f>
        <v>94.64</v>
      </c>
      <c r="E158">
        <v>2.65</v>
      </c>
      <c r="F158">
        <v>16.54</v>
      </c>
      <c r="G158">
        <v>3.94</v>
      </c>
      <c r="H158" s="1">
        <f>IF(ISNUMBER(Main_M[[#This Row],[Free CF]]),IF(Main_M[[#This Row],[Free CF]]&lt;&gt;0,Main_M[[#This Row],[Current Price]]/Main_M[[#This Row],[Free CF]],""),"")</f>
        <v>35.713207547169816</v>
      </c>
      <c r="I158" s="1">
        <f>IF(ISNUMBER(Main_M[[#This Row],[BVPS]]),IF(Main_M[[#This Row],[BVPS]]&lt;&gt;0,Main_M[[#This Row],[Current Price]]/Main_M[[#This Row],[BVPS]],""),"")</f>
        <v>5.7218863361547765</v>
      </c>
      <c r="J158">
        <v>26.49</v>
      </c>
      <c r="K158">
        <v>5.7</v>
      </c>
      <c r="L158">
        <v>4.84</v>
      </c>
      <c r="M158" s="1">
        <f>IF(ISNUMBER(Main_M[[#This Row],[EPS]]),IF(Main_M[[#This Row],[EPS]]&lt;&gt;0,Main_M[[#This Row],[Current Price]]/Main_M[[#This Row],[EPS]],""),"")</f>
        <v>24.020304568527919</v>
      </c>
      <c r="N1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8" s="1">
        <f>(Main_M[[#This Row],[P/FCF]]-VLOOKUP(Main_M[[#This Row],[Industry]], Mean_PFCF_M, 2, FALSE))/(VLOOKUP(Main_M[[#This Row],[Industry]], Mean_PFCF_M, 3, FALSE))</f>
        <v>1.2715844886923962</v>
      </c>
      <c r="P158" s="1">
        <f>(Main_M[[#This Row],[P/B]]-VLOOKUP(Main_M[[#This Row],[Industry]], Mean_PB_M, 2, FALSE))/(VLOOKUP(Main_M[[#This Row],[Industry]], Mean_PB_M, 3, FALSE))</f>
        <v>3.8346684061409029</v>
      </c>
      <c r="Q158" s="1">
        <f>(Main_M[[#This Row],[ROE]]-VLOOKUP(Main_M[[#This Row],[Industry]], Mean_ROE_M, 2, FALSE))/(VLOOKUP(Main_M[[#This Row],[Industry]], Mean_ROE_M, 3, FALSE))</f>
        <v>1.3358406155999059</v>
      </c>
      <c r="R158" s="1">
        <f>(Main_M[[#This Row],[ROA]]-VLOOKUP(Main_M[[#This Row],[Industry]], Mean_ROA_M, 2, FALSE))/(VLOOKUP(Main_M[[#This Row],[Industry]], Mean_ROA_M, 3, FALSE))</f>
        <v>-0.22738535041014188</v>
      </c>
      <c r="S158" s="1">
        <f>(Main_M[[#This Row],[A/E]]-VLOOKUP(Main_M[[#This Row],[Industry]], Mean_AE_M, 2, FALSE))/(VLOOKUP(Main_M[[#This Row],[Industry]], Mean_AE_M, 3, FALSE))</f>
        <v>1.2124855692341909</v>
      </c>
      <c r="T158" s="1">
        <f>(Main_M[[#This Row],[P/E]]-VLOOKUP(Main_M[[#This Row],[Industry]], Mean_PE_M, 2, FALSE))/(VLOOKUP(Main_M[[#This Row],[Industry]], Mean_PE_M, 3, FALSE))</f>
        <v>1.942561173257211</v>
      </c>
      <c r="U1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9" spans="1:26" x14ac:dyDescent="0.25">
      <c r="A159" t="s">
        <v>182</v>
      </c>
      <c r="B159" t="s">
        <v>350</v>
      </c>
      <c r="C159" s="2">
        <v>6537</v>
      </c>
      <c r="D159">
        <f>RTD("tos.rtd", , "LAST", Main_M[[#This Row],[Symbol]])</f>
        <v>121.42</v>
      </c>
      <c r="E159">
        <v>11.93</v>
      </c>
      <c r="F159">
        <v>52.01</v>
      </c>
      <c r="G159">
        <v>12.22</v>
      </c>
      <c r="H159" s="1">
        <f>IF(ISNUMBER(Main_M[[#This Row],[Free CF]]),IF(Main_M[[#This Row],[Free CF]]&lt;&gt;0,Main_M[[#This Row],[Current Price]]/Main_M[[#This Row],[Free CF]],""),"")</f>
        <v>10.177703269069573</v>
      </c>
      <c r="I159" s="1">
        <f>IF(ISNUMBER(Main_M[[#This Row],[BVPS]]),IF(Main_M[[#This Row],[BVPS]]&lt;&gt;0,Main_M[[#This Row],[Current Price]]/Main_M[[#This Row],[BVPS]],""),"")</f>
        <v>2.3345510478754088</v>
      </c>
      <c r="J159">
        <v>26.01</v>
      </c>
      <c r="K159">
        <v>5.85</v>
      </c>
      <c r="L159">
        <v>5.53</v>
      </c>
      <c r="M159" s="1">
        <f>IF(ISNUMBER(Main_M[[#This Row],[EPS]]),IF(Main_M[[#This Row],[EPS]]&lt;&gt;0,Main_M[[#This Row],[Current Price]]/Main_M[[#This Row],[EPS]],""),"")</f>
        <v>9.9361702127659566</v>
      </c>
      <c r="N1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9" s="1">
        <f>(Main_M[[#This Row],[P/FCF]]-VLOOKUP(Main_M[[#This Row],[Industry]], Mean_PFCF_M, 2, FALSE))/(VLOOKUP(Main_M[[#This Row],[Industry]], Mean_PFCF_M, 3, FALSE))</f>
        <v>-0.49285105850171346</v>
      </c>
      <c r="P159" s="1">
        <f>(Main_M[[#This Row],[P/B]]-VLOOKUP(Main_M[[#This Row],[Industry]], Mean_PB_M, 2, FALSE))/(VLOOKUP(Main_M[[#This Row],[Industry]], Mean_PB_M, 3, FALSE))</f>
        <v>-0.12288492520580994</v>
      </c>
      <c r="Q159" s="1">
        <f>(Main_M[[#This Row],[ROE]]-VLOOKUP(Main_M[[#This Row],[Industry]], Mean_ROE_M, 2, FALSE))/(VLOOKUP(Main_M[[#This Row],[Industry]], Mean_ROE_M, 3, FALSE))</f>
        <v>1.2494687017439772</v>
      </c>
      <c r="R159" s="1">
        <f>(Main_M[[#This Row],[ROA]]-VLOOKUP(Main_M[[#This Row],[Industry]], Mean_ROA_M, 2, FALSE))/(VLOOKUP(Main_M[[#This Row],[Industry]], Mean_ROA_M, 3, FALSE))</f>
        <v>-0.15789576963964042</v>
      </c>
      <c r="S159" s="1">
        <f>(Main_M[[#This Row],[A/E]]-VLOOKUP(Main_M[[#This Row],[Industry]], Mean_AE_M, 2, FALSE))/(VLOOKUP(Main_M[[#This Row],[Industry]], Mean_AE_M, 3, FALSE))</f>
        <v>1.7144545948971461</v>
      </c>
      <c r="T159" s="1">
        <f>(Main_M[[#This Row],[P/E]]-VLOOKUP(Main_M[[#This Row],[Industry]], Mean_PE_M, 2, FALSE))/(VLOOKUP(Main_M[[#This Row],[Industry]], Mean_PE_M, 3, FALSE))</f>
        <v>-1.2481061113630043</v>
      </c>
      <c r="U1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0" spans="1:26" x14ac:dyDescent="0.25">
      <c r="A160" t="s">
        <v>182</v>
      </c>
      <c r="B160" t="s">
        <v>351</v>
      </c>
      <c r="C160" s="2">
        <v>2999</v>
      </c>
      <c r="D160">
        <f>RTD("tos.rtd", , "LAST", Main_M[[#This Row],[Symbol]])</f>
        <v>116.12</v>
      </c>
      <c r="E160">
        <v>3.74</v>
      </c>
      <c r="F160">
        <v>44.56</v>
      </c>
      <c r="G160">
        <v>9.15</v>
      </c>
      <c r="H160" s="1">
        <f>IF(ISNUMBER(Main_M[[#This Row],[Free CF]]),IF(Main_M[[#This Row],[Free CF]]&lt;&gt;0,Main_M[[#This Row],[Current Price]]/Main_M[[#This Row],[Free CF]],""),"")</f>
        <v>31.048128342245988</v>
      </c>
      <c r="I160" s="1">
        <f>IF(ISNUMBER(Main_M[[#This Row],[BVPS]]),IF(Main_M[[#This Row],[BVPS]]&lt;&gt;0,Main_M[[#This Row],[Current Price]]/Main_M[[#This Row],[BVPS]],""),"")</f>
        <v>2.605924596050269</v>
      </c>
      <c r="J160">
        <v>22.42</v>
      </c>
      <c r="K160">
        <v>6.67</v>
      </c>
      <c r="L160">
        <v>2.09</v>
      </c>
      <c r="M160" s="1">
        <f>IF(ISNUMBER(Main_M[[#This Row],[EPS]]),IF(Main_M[[#This Row],[EPS]]&lt;&gt;0,Main_M[[#This Row],[Current Price]]/Main_M[[#This Row],[EPS]],""),"")</f>
        <v>12.690710382513661</v>
      </c>
      <c r="N1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0" s="1">
        <f>(Main_M[[#This Row],[P/FCF]]-VLOOKUP(Main_M[[#This Row],[Industry]], Mean_PFCF_M, 2, FALSE))/(VLOOKUP(Main_M[[#This Row],[Industry]], Mean_PFCF_M, 3, FALSE))</f>
        <v>0.94923990172048733</v>
      </c>
      <c r="P160" s="1">
        <f>(Main_M[[#This Row],[P/B]]-VLOOKUP(Main_M[[#This Row],[Industry]], Mean_PB_M, 2, FALSE))/(VLOOKUP(Main_M[[#This Row],[Industry]], Mean_PB_M, 3, FALSE))</f>
        <v>0.19417116703722653</v>
      </c>
      <c r="Q160" s="1">
        <f>(Main_M[[#This Row],[ROE]]-VLOOKUP(Main_M[[#This Row],[Industry]], Mean_ROE_M, 2, FALSE))/(VLOOKUP(Main_M[[#This Row],[Industry]], Mean_ROE_M, 3, FALSE))</f>
        <v>0.60347876269650613</v>
      </c>
      <c r="R160" s="1">
        <f>(Main_M[[#This Row],[ROA]]-VLOOKUP(Main_M[[#This Row],[Industry]], Mean_ROA_M, 2, FALSE))/(VLOOKUP(Main_M[[#This Row],[Industry]], Mean_ROA_M, 3, FALSE))</f>
        <v>0.22198060523910243</v>
      </c>
      <c r="S160" s="1">
        <f>(Main_M[[#This Row],[A/E]]-VLOOKUP(Main_M[[#This Row],[Industry]], Mean_AE_M, 2, FALSE))/(VLOOKUP(Main_M[[#This Row],[Industry]], Mean_AE_M, 3, FALSE))</f>
        <v>-0.78811562000222324</v>
      </c>
      <c r="T160" s="1">
        <f>(Main_M[[#This Row],[P/E]]-VLOOKUP(Main_M[[#This Row],[Industry]], Mean_PE_M, 2, FALSE))/(VLOOKUP(Main_M[[#This Row],[Industry]], Mean_PE_M, 3, FALSE))</f>
        <v>-0.62408329378809113</v>
      </c>
      <c r="U1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1" spans="1:26" x14ac:dyDescent="0.25">
      <c r="A161" t="s">
        <v>182</v>
      </c>
      <c r="B161" t="s">
        <v>352</v>
      </c>
      <c r="C161" s="2">
        <v>4647</v>
      </c>
      <c r="D161">
        <f>RTD("tos.rtd", , "LAST", Main_M[[#This Row],[Symbol]])</f>
        <v>81.680000000000007</v>
      </c>
      <c r="E161">
        <v>5.53</v>
      </c>
      <c r="F161">
        <v>24.9</v>
      </c>
      <c r="G161">
        <v>4.58</v>
      </c>
      <c r="H161" s="1">
        <f>IF(ISNUMBER(Main_M[[#This Row],[Free CF]]),IF(Main_M[[#This Row],[Free CF]]&lt;&gt;0,Main_M[[#This Row],[Current Price]]/Main_M[[#This Row],[Free CF]],""),"")</f>
        <v>14.770343580470163</v>
      </c>
      <c r="I161" s="1">
        <f>IF(ISNUMBER(Main_M[[#This Row],[BVPS]]),IF(Main_M[[#This Row],[BVPS]]&lt;&gt;0,Main_M[[#This Row],[Current Price]]/Main_M[[#This Row],[BVPS]],""),"")</f>
        <v>3.2803212851405625</v>
      </c>
      <c r="J161">
        <v>17.690000000000001</v>
      </c>
      <c r="K161">
        <v>10.14</v>
      </c>
      <c r="L161">
        <v>1.77</v>
      </c>
      <c r="M161" s="1">
        <f>IF(ISNUMBER(Main_M[[#This Row],[EPS]]),IF(Main_M[[#This Row],[EPS]]&lt;&gt;0,Main_M[[#This Row],[Current Price]]/Main_M[[#This Row],[EPS]],""),"")</f>
        <v>17.834061135371179</v>
      </c>
      <c r="N1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1" s="1">
        <f>(Main_M[[#This Row],[P/FCF]]-VLOOKUP(Main_M[[#This Row],[Industry]], Mean_PFCF_M, 2, FALSE))/(VLOOKUP(Main_M[[#This Row],[Industry]], Mean_PFCF_M, 3, FALSE))</f>
        <v>-0.17551180674229239</v>
      </c>
      <c r="P161" s="1">
        <f>(Main_M[[#This Row],[P/B]]-VLOOKUP(Main_M[[#This Row],[Industry]], Mean_PB_M, 2, FALSE))/(VLOOKUP(Main_M[[#This Row],[Industry]], Mean_PB_M, 3, FALSE))</f>
        <v>0.98209460431650775</v>
      </c>
      <c r="Q161" s="1">
        <f>(Main_M[[#This Row],[ROE]]-VLOOKUP(Main_M[[#This Row],[Industry]], Mean_ROE_M, 2, FALSE))/(VLOOKUP(Main_M[[#This Row],[Industry]], Mean_ROE_M, 3, FALSE))</f>
        <v>-0.24764447175879703</v>
      </c>
      <c r="R161" s="1">
        <f>(Main_M[[#This Row],[ROA]]-VLOOKUP(Main_M[[#This Row],[Industry]], Mean_ROA_M, 2, FALSE))/(VLOOKUP(Main_M[[#This Row],[Industry]], Mean_ROA_M, 3, FALSE))</f>
        <v>1.8295062403967091</v>
      </c>
      <c r="S161" s="1">
        <f>(Main_M[[#This Row],[A/E]]-VLOOKUP(Main_M[[#This Row],[Industry]], Mean_AE_M, 2, FALSE))/(VLOOKUP(Main_M[[#This Row],[Industry]], Mean_AE_M, 3, FALSE))</f>
        <v>-1.0209128492951878</v>
      </c>
      <c r="T161" s="1">
        <f>(Main_M[[#This Row],[P/E]]-VLOOKUP(Main_M[[#This Row],[Industry]], Mean_PE_M, 2, FALSE))/(VLOOKUP(Main_M[[#This Row],[Industry]], Mean_PE_M, 3, FALSE))</f>
        <v>0.5411087276694041</v>
      </c>
      <c r="U1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2" spans="1:26" x14ac:dyDescent="0.25">
      <c r="A162" t="s">
        <v>182</v>
      </c>
      <c r="B162" t="s">
        <v>353</v>
      </c>
      <c r="C162" s="2">
        <v>4895</v>
      </c>
      <c r="D162">
        <f>RTD("tos.rtd", , "LAST", Main_M[[#This Row],[Symbol]])</f>
        <v>51.31</v>
      </c>
      <c r="E162">
        <v>-0.91</v>
      </c>
      <c r="F162">
        <v>26.37</v>
      </c>
      <c r="G162">
        <v>3.77</v>
      </c>
      <c r="H162" s="1">
        <f>IF(ISNUMBER(Main_M[[#This Row],[Free CF]]),IF(Main_M[[#This Row],[Free CF]]&lt;&gt;0,Main_M[[#This Row],[Current Price]]/Main_M[[#This Row],[Free CF]],""),"")</f>
        <v>-56.384615384615387</v>
      </c>
      <c r="I162" s="1">
        <f>IF(ISNUMBER(Main_M[[#This Row],[BVPS]]),IF(Main_M[[#This Row],[BVPS]]&lt;&gt;0,Main_M[[#This Row],[Current Price]]/Main_M[[#This Row],[BVPS]],""),"")</f>
        <v>1.9457717102768297</v>
      </c>
      <c r="J162">
        <v>15.31</v>
      </c>
      <c r="K162">
        <v>6.7</v>
      </c>
      <c r="L162">
        <v>2.23</v>
      </c>
      <c r="M162" s="1">
        <f>IF(ISNUMBER(Main_M[[#This Row],[EPS]]),IF(Main_M[[#This Row],[EPS]]&lt;&gt;0,Main_M[[#This Row],[Current Price]]/Main_M[[#This Row],[EPS]],""),"")</f>
        <v>13.610079575596817</v>
      </c>
      <c r="N1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2" s="1">
        <f>(Main_M[[#This Row],[P/FCF]]-VLOOKUP(Main_M[[#This Row],[Industry]], Mean_PFCF_M, 2, FALSE))/(VLOOKUP(Main_M[[#This Row],[Industry]], Mean_PFCF_M, 3, FALSE))</f>
        <v>-5.0921305501915022</v>
      </c>
      <c r="P162" s="1">
        <f>(Main_M[[#This Row],[P/B]]-VLOOKUP(Main_M[[#This Row],[Industry]], Mean_PB_M, 2, FALSE))/(VLOOKUP(Main_M[[#This Row],[Industry]], Mean_PB_M, 3, FALSE))</f>
        <v>-0.57711069021815997</v>
      </c>
      <c r="Q162" s="1">
        <f>(Main_M[[#This Row],[ROE]]-VLOOKUP(Main_M[[#This Row],[Industry]], Mean_ROE_M, 2, FALSE))/(VLOOKUP(Main_M[[#This Row],[Industry]], Mean_ROE_M, 3, FALSE))</f>
        <v>-0.67590521129444647</v>
      </c>
      <c r="R162" s="1">
        <f>(Main_M[[#This Row],[ROA]]-VLOOKUP(Main_M[[#This Row],[Industry]], Mean_ROA_M, 2, FALSE))/(VLOOKUP(Main_M[[#This Row],[Industry]], Mean_ROA_M, 3, FALSE))</f>
        <v>0.23587852139320289</v>
      </c>
      <c r="S162" s="1">
        <f>(Main_M[[#This Row],[A/E]]-VLOOKUP(Main_M[[#This Row],[Industry]], Mean_AE_M, 2, FALSE))/(VLOOKUP(Main_M[[#This Row],[Industry]], Mean_AE_M, 3, FALSE))</f>
        <v>-0.68626683218655116</v>
      </c>
      <c r="T162" s="1">
        <f>(Main_M[[#This Row],[P/E]]-VLOOKUP(Main_M[[#This Row],[Industry]], Mean_PE_M, 2, FALSE))/(VLOOKUP(Main_M[[#This Row],[Industry]], Mean_PE_M, 3, FALSE))</f>
        <v>-0.41580629693751592</v>
      </c>
      <c r="U1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3" spans="1:26" x14ac:dyDescent="0.25">
      <c r="A163" t="s">
        <v>182</v>
      </c>
      <c r="B163" t="s">
        <v>354</v>
      </c>
      <c r="C163" s="2">
        <v>4541</v>
      </c>
      <c r="D163">
        <f>RTD("tos.rtd", , "LAST", Main_M[[#This Row],[Symbol]])</f>
        <v>51.53</v>
      </c>
      <c r="E163">
        <v>-0.91</v>
      </c>
      <c r="F163">
        <v>26.37</v>
      </c>
      <c r="G163">
        <v>3.77</v>
      </c>
      <c r="H163" s="1">
        <f>IF(ISNUMBER(Main_M[[#This Row],[Free CF]]),IF(Main_M[[#This Row],[Free CF]]&lt;&gt;0,Main_M[[#This Row],[Current Price]]/Main_M[[#This Row],[Free CF]],""),"")</f>
        <v>-56.626373626373628</v>
      </c>
      <c r="I163" s="1">
        <f>IF(ISNUMBER(Main_M[[#This Row],[BVPS]]),IF(Main_M[[#This Row],[BVPS]]&lt;&gt;0,Main_M[[#This Row],[Current Price]]/Main_M[[#This Row],[BVPS]],""),"")</f>
        <v>1.9541145240803943</v>
      </c>
      <c r="J163">
        <v>15.31</v>
      </c>
      <c r="K163">
        <v>6.7</v>
      </c>
      <c r="L163">
        <v>2.23</v>
      </c>
      <c r="M163" s="1">
        <f>IF(ISNUMBER(Main_M[[#This Row],[EPS]]),IF(Main_M[[#This Row],[EPS]]&lt;&gt;0,Main_M[[#This Row],[Current Price]]/Main_M[[#This Row],[EPS]],""),"")</f>
        <v>13.6684350132626</v>
      </c>
      <c r="N1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3" s="1">
        <f>(Main_M[[#This Row],[P/FCF]]-VLOOKUP(Main_M[[#This Row],[Industry]], Mean_PFCF_M, 2, FALSE))/(VLOOKUP(Main_M[[#This Row],[Industry]], Mean_PFCF_M, 3, FALSE))</f>
        <v>-5.1088354028131606</v>
      </c>
      <c r="P163" s="1">
        <f>(Main_M[[#This Row],[P/B]]-VLOOKUP(Main_M[[#This Row],[Industry]], Mean_PB_M, 2, FALSE))/(VLOOKUP(Main_M[[#This Row],[Industry]], Mean_PB_M, 3, FALSE))</f>
        <v>-0.56736346186573017</v>
      </c>
      <c r="Q163" s="1">
        <f>(Main_M[[#This Row],[ROE]]-VLOOKUP(Main_M[[#This Row],[Industry]], Mean_ROE_M, 2, FALSE))/(VLOOKUP(Main_M[[#This Row],[Industry]], Mean_ROE_M, 3, FALSE))</f>
        <v>-0.67590521129444647</v>
      </c>
      <c r="R163" s="1">
        <f>(Main_M[[#This Row],[ROA]]-VLOOKUP(Main_M[[#This Row],[Industry]], Mean_ROA_M, 2, FALSE))/(VLOOKUP(Main_M[[#This Row],[Industry]], Mean_ROA_M, 3, FALSE))</f>
        <v>0.23587852139320289</v>
      </c>
      <c r="S163" s="1">
        <f>(Main_M[[#This Row],[A/E]]-VLOOKUP(Main_M[[#This Row],[Industry]], Mean_AE_M, 2, FALSE))/(VLOOKUP(Main_M[[#This Row],[Industry]], Mean_AE_M, 3, FALSE))</f>
        <v>-0.68626683218655116</v>
      </c>
      <c r="T163" s="1">
        <f>(Main_M[[#This Row],[P/E]]-VLOOKUP(Main_M[[#This Row],[Industry]], Mean_PE_M, 2, FALSE))/(VLOOKUP(Main_M[[#This Row],[Industry]], Mean_PE_M, 3, FALSE))</f>
        <v>-0.40258625933089259</v>
      </c>
      <c r="U1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4" spans="1:26" x14ac:dyDescent="0.25">
      <c r="A164" t="s">
        <v>182</v>
      </c>
      <c r="B164" t="s">
        <v>355</v>
      </c>
      <c r="C164" s="2">
        <v>6816</v>
      </c>
      <c r="D164">
        <f>RTD("tos.rtd", , "LAST", Main_M[[#This Row],[Symbol]])</f>
        <v>124.29</v>
      </c>
      <c r="E164">
        <v>5.0999999999999996</v>
      </c>
      <c r="F164">
        <v>35.979999999999997</v>
      </c>
      <c r="G164">
        <v>3.11</v>
      </c>
      <c r="H164" s="1">
        <f>IF(ISNUMBER(Main_M[[#This Row],[Free CF]]),IF(Main_M[[#This Row],[Free CF]]&lt;&gt;0,Main_M[[#This Row],[Current Price]]/Main_M[[#This Row],[Free CF]],""),"")</f>
        <v>24.370588235294122</v>
      </c>
      <c r="I164" s="1">
        <f>IF(ISNUMBER(Main_M[[#This Row],[BVPS]]),IF(Main_M[[#This Row],[BVPS]]&lt;&gt;0,Main_M[[#This Row],[Current Price]]/Main_M[[#This Row],[BVPS]],""),"")</f>
        <v>3.4544191217342974</v>
      </c>
      <c r="J164">
        <v>9.08</v>
      </c>
      <c r="K164">
        <v>4.5199999999999996</v>
      </c>
      <c r="L164">
        <v>1.94</v>
      </c>
      <c r="M164" s="1">
        <f>IF(ISNUMBER(Main_M[[#This Row],[EPS]]),IF(Main_M[[#This Row],[EPS]]&lt;&gt;0,Main_M[[#This Row],[Current Price]]/Main_M[[#This Row],[EPS]],""),"")</f>
        <v>39.964630225080391</v>
      </c>
      <c r="N1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4" s="1">
        <f>(Main_M[[#This Row],[P/FCF]]-VLOOKUP(Main_M[[#This Row],[Industry]], Mean_PFCF_M, 2, FALSE))/(VLOOKUP(Main_M[[#This Row],[Industry]], Mean_PFCF_M, 3, FALSE))</f>
        <v>0.4878396096328631</v>
      </c>
      <c r="P164" s="1">
        <f>(Main_M[[#This Row],[P/B]]-VLOOKUP(Main_M[[#This Row],[Industry]], Mean_PB_M, 2, FALSE))/(VLOOKUP(Main_M[[#This Row],[Industry]], Mean_PB_M, 3, FALSE))</f>
        <v>1.1854997634030109</v>
      </c>
      <c r="Q164" s="1">
        <f>(Main_M[[#This Row],[ROE]]-VLOOKUP(Main_M[[#This Row],[Industry]], Mean_ROE_M, 2, FALSE))/(VLOOKUP(Main_M[[#This Row],[Industry]], Mean_ROE_M, 3, FALSE))</f>
        <v>-1.7969406765495286</v>
      </c>
      <c r="R164" s="1">
        <f>(Main_M[[#This Row],[ROA]]-VLOOKUP(Main_M[[#This Row],[Industry]], Mean_ROA_M, 2, FALSE))/(VLOOKUP(Main_M[[#This Row],[Industry]], Mean_ROA_M, 3, FALSE))</f>
        <v>-0.77403671913808902</v>
      </c>
      <c r="S164" s="1">
        <f>(Main_M[[#This Row],[A/E]]-VLOOKUP(Main_M[[#This Row],[Industry]], Mean_AE_M, 2, FALSE))/(VLOOKUP(Main_M[[#This Row],[Industry]], Mean_AE_M, 3, FALSE))</f>
        <v>-0.8972393212333003</v>
      </c>
      <c r="T164" s="1">
        <f>(Main_M[[#This Row],[P/E]]-VLOOKUP(Main_M[[#This Row],[Industry]], Mean_PE_M, 2, FALSE))/(VLOOKUP(Main_M[[#This Row],[Industry]], Mean_PE_M, 3, FALSE))</f>
        <v>5.5546424671906243</v>
      </c>
      <c r="U1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5" spans="1:26" x14ac:dyDescent="0.25">
      <c r="A165" t="s">
        <v>251</v>
      </c>
      <c r="B165" t="s">
        <v>415</v>
      </c>
      <c r="C165" s="2">
        <v>7938</v>
      </c>
      <c r="D165">
        <f>RTD("tos.rtd", , "LAST", Main_M[[#This Row],[Symbol]])</f>
        <v>318.89999999999998</v>
      </c>
      <c r="E165">
        <v>1.94</v>
      </c>
      <c r="F165">
        <v>8.52</v>
      </c>
      <c r="G165">
        <v>2.15</v>
      </c>
      <c r="H165" s="1">
        <f>IF(ISNUMBER(Main_M[[#This Row],[Free CF]]),IF(Main_M[[#This Row],[Free CF]]&lt;&gt;0,Main_M[[#This Row],[Current Price]]/Main_M[[#This Row],[Free CF]],""),"")</f>
        <v>164.38144329896906</v>
      </c>
      <c r="I165" s="1">
        <f>IF(ISNUMBER(Main_M[[#This Row],[BVPS]]),IF(Main_M[[#This Row],[BVPS]]&lt;&gt;0,Main_M[[#This Row],[Current Price]]/Main_M[[#This Row],[BVPS]],""),"")</f>
        <v>37.429577464788728</v>
      </c>
      <c r="J165">
        <v>24.24</v>
      </c>
      <c r="K165">
        <v>13.92</v>
      </c>
      <c r="L165">
        <v>1.56</v>
      </c>
      <c r="M165" s="1">
        <f>IF(ISNUMBER(Main_M[[#This Row],[EPS]]),IF(Main_M[[#This Row],[EPS]]&lt;&gt;0,Main_M[[#This Row],[Current Price]]/Main_M[[#This Row],[EPS]],""),"")</f>
        <v>148.32558139534882</v>
      </c>
      <c r="N1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65" s="1">
        <f>(Main_M[[#This Row],[P/FCF]]-VLOOKUP(Main_M[[#This Row],[Industry]], Mean_PFCF_M, 2, FALSE))/(VLOOKUP(Main_M[[#This Row],[Industry]], Mean_PFCF_M, 3, FALSE))</f>
        <v>-0.12469798153626421</v>
      </c>
      <c r="P165" s="1">
        <f>(Main_M[[#This Row],[P/B]]-VLOOKUP(Main_M[[#This Row],[Industry]], Mean_PB_M, 2, FALSE))/(VLOOKUP(Main_M[[#This Row],[Industry]], Mean_PB_M, 3, FALSE))</f>
        <v>-0.50793745200250318</v>
      </c>
      <c r="Q165" s="1">
        <f>(Main_M[[#This Row],[ROE]]-VLOOKUP(Main_M[[#This Row],[Industry]], Mean_ROE_M, 2, FALSE))/(VLOOKUP(Main_M[[#This Row],[Industry]], Mean_ROE_M, 3, FALSE))</f>
        <v>-1.0334060017792572</v>
      </c>
      <c r="R165" s="1">
        <f>(Main_M[[#This Row],[ROA]]-VLOOKUP(Main_M[[#This Row],[Industry]], Mean_ROA_M, 2, FALSE))/(VLOOKUP(Main_M[[#This Row],[Industry]], Mean_ROA_M, 3, FALSE))</f>
        <v>0.21684089921077879</v>
      </c>
      <c r="S165" s="1">
        <f>(Main_M[[#This Row],[A/E]]-VLOOKUP(Main_M[[#This Row],[Industry]], Mean_AE_M, 2, FALSE))/(VLOOKUP(Main_M[[#This Row],[Industry]], Mean_AE_M, 3, FALSE))</f>
        <v>-1.584376190519037</v>
      </c>
      <c r="T165" s="1">
        <f>(Main_M[[#This Row],[P/E]]-VLOOKUP(Main_M[[#This Row],[Industry]], Mean_PE_M, 2, FALSE))/(VLOOKUP(Main_M[[#This Row],[Industry]], Mean_PE_M, 3, FALSE))</f>
        <v>-0.82733845773550596</v>
      </c>
      <c r="U1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6" spans="1:26" x14ac:dyDescent="0.25">
      <c r="A166" t="s">
        <v>251</v>
      </c>
      <c r="B166" t="s">
        <v>416</v>
      </c>
      <c r="C166" s="2">
        <v>3169</v>
      </c>
      <c r="D166">
        <f>RTD("tos.rtd", , "LAST", Main_M[[#This Row],[Symbol]])</f>
        <v>20.170000000000002</v>
      </c>
      <c r="E166">
        <v>2.44</v>
      </c>
      <c r="F166">
        <v>8.06</v>
      </c>
      <c r="G166">
        <v>2.09</v>
      </c>
      <c r="H166" s="1">
        <f>IF(ISNUMBER(Main_M[[#This Row],[Free CF]]),IF(Main_M[[#This Row],[Free CF]]&lt;&gt;0,Main_M[[#This Row],[Current Price]]/Main_M[[#This Row],[Free CF]],""),"")</f>
        <v>8.2663934426229524</v>
      </c>
      <c r="I166" s="1">
        <f>IF(ISNUMBER(Main_M[[#This Row],[BVPS]]),IF(Main_M[[#This Row],[BVPS]]&lt;&gt;0,Main_M[[#This Row],[Current Price]]/Main_M[[#This Row],[BVPS]],""),"")</f>
        <v>2.5024813895781639</v>
      </c>
      <c r="J166">
        <v>26.5</v>
      </c>
      <c r="K166">
        <v>6.1</v>
      </c>
      <c r="L166">
        <v>3.28</v>
      </c>
      <c r="M166" s="1">
        <f>IF(ISNUMBER(Main_M[[#This Row],[EPS]]),IF(Main_M[[#This Row],[EPS]]&lt;&gt;0,Main_M[[#This Row],[Current Price]]/Main_M[[#This Row],[EPS]],""),"")</f>
        <v>9.650717703349283</v>
      </c>
      <c r="N1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6" s="1">
        <f>(Main_M[[#This Row],[P/FCF]]-VLOOKUP(Main_M[[#This Row],[Industry]], Mean_PFCF_M, 2, FALSE))/(VLOOKUP(Main_M[[#This Row],[Industry]], Mean_PFCF_M, 3, FALSE))</f>
        <v>-1.6203865972516045</v>
      </c>
      <c r="P166" s="1">
        <f>(Main_M[[#This Row],[P/B]]-VLOOKUP(Main_M[[#This Row],[Industry]], Mean_PB_M, 2, FALSE))/(VLOOKUP(Main_M[[#This Row],[Industry]], Mean_PB_M, 3, FALSE))</f>
        <v>-1.3920896212025122</v>
      </c>
      <c r="Q166" s="1">
        <f>(Main_M[[#This Row],[ROE]]-VLOOKUP(Main_M[[#This Row],[Industry]], Mean_ROE_M, 2, FALSE))/(VLOOKUP(Main_M[[#This Row],[Industry]], Mean_ROE_M, 3, FALSE))</f>
        <v>-0.85953683639521683</v>
      </c>
      <c r="R166" s="1">
        <f>(Main_M[[#This Row],[ROA]]-VLOOKUP(Main_M[[#This Row],[Industry]], Mean_ROA_M, 2, FALSE))/(VLOOKUP(Main_M[[#This Row],[Industry]], Mean_ROA_M, 3, FALSE))</f>
        <v>-1.457920416175188</v>
      </c>
      <c r="S166" s="1">
        <f>(Main_M[[#This Row],[A/E]]-VLOOKUP(Main_M[[#This Row],[Industry]], Mean_AE_M, 2, FALSE))/(VLOOKUP(Main_M[[#This Row],[Industry]], Mean_AE_M, 3, FALSE))</f>
        <v>0.40840410029832525</v>
      </c>
      <c r="T166" s="1">
        <f>(Main_M[[#This Row],[P/E]]-VLOOKUP(Main_M[[#This Row],[Industry]], Mean_PE_M, 2, FALSE))/(VLOOKUP(Main_M[[#This Row],[Industry]], Mean_PE_M, 3, FALSE))</f>
        <v>-4.0619477369643961</v>
      </c>
      <c r="U1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7" spans="1:26" x14ac:dyDescent="0.25">
      <c r="A167" t="s">
        <v>251</v>
      </c>
      <c r="B167" t="s">
        <v>417</v>
      </c>
      <c r="C167" s="2">
        <v>3501</v>
      </c>
      <c r="D167">
        <f>RTD("tos.rtd", , "LAST", Main_M[[#This Row],[Symbol]])</f>
        <v>103.7</v>
      </c>
      <c r="E167">
        <v>0.4</v>
      </c>
      <c r="F167">
        <v>1.21</v>
      </c>
      <c r="G167">
        <v>0.66</v>
      </c>
      <c r="H167" s="1">
        <f>IF(ISNUMBER(Main_M[[#This Row],[Free CF]]),IF(Main_M[[#This Row],[Free CF]]&lt;&gt;0,Main_M[[#This Row],[Current Price]]/Main_M[[#This Row],[Free CF]],""),"")</f>
        <v>259.25</v>
      </c>
      <c r="I167" s="1">
        <f>IF(ISNUMBER(Main_M[[#This Row],[BVPS]]),IF(Main_M[[#This Row],[BVPS]]&lt;&gt;0,Main_M[[#This Row],[Current Price]]/Main_M[[#This Row],[BVPS]],""),"")</f>
        <v>85.702479338842977</v>
      </c>
      <c r="J167">
        <v>55.8</v>
      </c>
      <c r="K167">
        <v>19.2</v>
      </c>
      <c r="L167">
        <v>2.95</v>
      </c>
      <c r="M167" s="1">
        <f>IF(ISNUMBER(Main_M[[#This Row],[EPS]]),IF(Main_M[[#This Row],[EPS]]&lt;&gt;0,Main_M[[#This Row],[Current Price]]/Main_M[[#This Row],[EPS]],""),"")</f>
        <v>157.12121212121212</v>
      </c>
      <c r="N1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7" s="1">
        <f>(Main_M[[#This Row],[P/FCF]]-VLOOKUP(Main_M[[#This Row],[Industry]], Mean_PFCF_M, 2, FALSE))/(VLOOKUP(Main_M[[#This Row],[Industry]], Mean_PFCF_M, 3, FALSE))</f>
        <v>0.78420747234307064</v>
      </c>
      <c r="P167" s="1">
        <f>(Main_M[[#This Row],[P/B]]-VLOOKUP(Main_M[[#This Row],[Industry]], Mean_PB_M, 2, FALSE))/(VLOOKUP(Main_M[[#This Row],[Industry]], Mean_PB_M, 3, FALSE))</f>
        <v>0.7140533717870734</v>
      </c>
      <c r="Q167" s="1">
        <f>(Main_M[[#This Row],[ROE]]-VLOOKUP(Main_M[[#This Row],[Industry]], Mean_ROE_M, 2, FALSE))/(VLOOKUP(Main_M[[#This Row],[Industry]], Mean_ROE_M, 3, FALSE))</f>
        <v>1.3946076528757478</v>
      </c>
      <c r="R167" s="1">
        <f>(Main_M[[#This Row],[ROA]]-VLOOKUP(Main_M[[#This Row],[Industry]], Mean_ROA_M, 2, FALSE))/(VLOOKUP(Main_M[[#This Row],[Industry]], Mean_ROA_M, 3, FALSE))</f>
        <v>1.3476260328729148</v>
      </c>
      <c r="S167" s="1">
        <f>(Main_M[[#This Row],[A/E]]-VLOOKUP(Main_M[[#This Row],[Industry]], Mean_AE_M, 2, FALSE))/(VLOOKUP(Main_M[[#This Row],[Industry]], Mean_AE_M, 3, FALSE))</f>
        <v>2.6068346827552664E-2</v>
      </c>
      <c r="T167" s="1">
        <f>(Main_M[[#This Row],[P/E]]-VLOOKUP(Main_M[[#This Row],[Industry]], Mean_PE_M, 2, FALSE))/(VLOOKUP(Main_M[[#This Row],[Industry]], Mean_PE_M, 3, FALSE))</f>
        <v>-0.62217922407844384</v>
      </c>
      <c r="U1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8" spans="1:26" x14ac:dyDescent="0.25">
      <c r="A168" t="s">
        <v>251</v>
      </c>
      <c r="B168" t="s">
        <v>418</v>
      </c>
      <c r="C168" s="2">
        <v>9699</v>
      </c>
      <c r="D168">
        <f>RTD("tos.rtd", , "LAST", Main_M[[#This Row],[Symbol]])</f>
        <v>237.93</v>
      </c>
      <c r="E168">
        <v>0.77</v>
      </c>
      <c r="F168">
        <v>2.0299999999999998</v>
      </c>
      <c r="G168">
        <v>0.88</v>
      </c>
      <c r="H168" s="1">
        <f>IF(ISNUMBER(Main_M[[#This Row],[Free CF]]),IF(Main_M[[#This Row],[Free CF]]&lt;&gt;0,Main_M[[#This Row],[Current Price]]/Main_M[[#This Row],[Free CF]],""),"")</f>
        <v>309</v>
      </c>
      <c r="I168" s="1">
        <f>IF(ISNUMBER(Main_M[[#This Row],[BVPS]]),IF(Main_M[[#This Row],[BVPS]]&lt;&gt;0,Main_M[[#This Row],[Current Price]]/Main_M[[#This Row],[BVPS]],""),"")</f>
        <v>117.20689655172416</v>
      </c>
      <c r="J168">
        <v>44.15</v>
      </c>
      <c r="K168">
        <v>12.41</v>
      </c>
      <c r="L168">
        <v>3.92</v>
      </c>
      <c r="M168" s="1">
        <f>IF(ISNUMBER(Main_M[[#This Row],[EPS]]),IF(Main_M[[#This Row],[EPS]]&lt;&gt;0,Main_M[[#This Row],[Current Price]]/Main_M[[#This Row],[EPS]],""),"")</f>
        <v>270.375</v>
      </c>
      <c r="N1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8" s="1">
        <f>(Main_M[[#This Row],[P/FCF]]-VLOOKUP(Main_M[[#This Row],[Industry]], Mean_PFCF_M, 2, FALSE))/(VLOOKUP(Main_M[[#This Row],[Industry]], Mean_PFCF_M, 3, FALSE))</f>
        <v>1.2608463915267702</v>
      </c>
      <c r="P168" s="1">
        <f>(Main_M[[#This Row],[P/B]]-VLOOKUP(Main_M[[#This Row],[Industry]], Mean_PB_M, 2, FALSE))/(VLOOKUP(Main_M[[#This Row],[Industry]], Mean_PB_M, 3, FALSE))</f>
        <v>1.511563097707884</v>
      </c>
      <c r="Q168" s="1">
        <f>(Main_M[[#This Row],[ROE]]-VLOOKUP(Main_M[[#This Row],[Industry]], Mean_ROE_M, 2, FALSE))/(VLOOKUP(Main_M[[#This Row],[Industry]], Mean_ROE_M, 3, FALSE))</f>
        <v>0.49833518529872606</v>
      </c>
      <c r="R168" s="1">
        <f>(Main_M[[#This Row],[ROA]]-VLOOKUP(Main_M[[#This Row],[Industry]], Mean_ROA_M, 2, FALSE))/(VLOOKUP(Main_M[[#This Row],[Industry]], Mean_ROA_M, 3, FALSE))</f>
        <v>-0.10654651590850631</v>
      </c>
      <c r="S168" s="1">
        <f>(Main_M[[#This Row],[A/E]]-VLOOKUP(Main_M[[#This Row],[Industry]], Mean_AE_M, 2, FALSE))/(VLOOKUP(Main_M[[#This Row],[Industry]], Mean_AE_M, 3, FALSE))</f>
        <v>1.149903743393158</v>
      </c>
      <c r="T168" s="1">
        <f>(Main_M[[#This Row],[P/E]]-VLOOKUP(Main_M[[#This Row],[Industry]], Mean_PE_M, 2, FALSE))/(VLOOKUP(Main_M[[#This Row],[Industry]], Mean_PE_M, 3, FALSE))</f>
        <v>2.0194801468236969</v>
      </c>
      <c r="U1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68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419</v>
      </c>
      <c r="C2" s="2">
        <v>330</v>
      </c>
      <c r="D2">
        <f>RTD("tos.rtd", , "LAST", Main_S[[#This Row],[Symbol]])</f>
        <v>5.92</v>
      </c>
      <c r="E2">
        <v>-0.97</v>
      </c>
      <c r="F2">
        <v>8.49</v>
      </c>
      <c r="G2">
        <v>-0.02</v>
      </c>
      <c r="H2" s="1">
        <f>IF(ISNUMBER(Main_S[[#This Row],[Free CF]]),IF(Main_S[[#This Row],[Free CF]]&lt;&gt;0,Main_S[[#This Row],[Current Price]]/Main_S[[#This Row],[Free CF]],""),"")</f>
        <v>-6.1030927835051552</v>
      </c>
      <c r="I2" s="1">
        <f>IF(ISNUMBER(Main_S[[#This Row],[BVPS]]),IF(Main_S[[#This Row],[BVPS]]&lt;&gt;0,Main_S[[#This Row],[Current Price]]/Main_S[[#This Row],[BVPS]],""),"")</f>
        <v>0.69729093050647817</v>
      </c>
      <c r="J2">
        <v>0.09</v>
      </c>
      <c r="K2">
        <v>0.41</v>
      </c>
      <c r="L2">
        <v>1.33</v>
      </c>
      <c r="M2" s="1">
        <f>IF(ISNUMBER(Main_S[[#This Row],[EPS]]),IF(Main_S[[#This Row],[EPS]]&lt;&gt;0,Main_S[[#This Row],[Current Price]]/Main_S[[#This Row],[EPS]],""),"")</f>
        <v>-296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-0.16398198028640698</v>
      </c>
      <c r="P2" s="1">
        <f>(Main_S[[#This Row],[P/B]]-VLOOKUP(Main_S[[#This Row],[Industry]], Mean_PB_S, 2, FALSE))/(VLOOKUP(Main_S[[#This Row],[Industry]], Mean_PB_S, 3, FALSE))</f>
        <v>-0.72388133987603132</v>
      </c>
      <c r="Q2" s="1">
        <f>(Main_S[[#This Row],[ROE]]-VLOOKUP(Main_S[[#This Row],[Industry]], Mean_ROE_S, 2, FALSE))/(VLOOKUP(Main_S[[#This Row],[Industry]], Mean_ROE_S, 3, FALSE))</f>
        <v>-0.96253391556384882</v>
      </c>
      <c r="R2" s="1">
        <f>(Main_S[[#This Row],[ROA]]-VLOOKUP(Main_S[[#This Row],[Industry]], Mean_ROA_S, 2, FALSE))/(VLOOKUP(Main_S[[#This Row],[Industry]], Mean_ROA_S, 3, FALSE))</f>
        <v>0.11459457476337997</v>
      </c>
      <c r="S2" s="1">
        <f>(Main_S[[#This Row],[A/E]]-VLOOKUP(Main_S[[#This Row],[Industry]], Mean_AE_S, 2, FALSE))/(VLOOKUP(Main_S[[#This Row],[Industry]], Mean_AE_S, 3, FALSE))</f>
        <v>-0.77654078222776735</v>
      </c>
      <c r="T2" s="1">
        <f>(Main_S[[#This Row],[P/E]]-VLOOKUP(Main_S[[#This Row],[Industry]], Mean_PE_S, 2, FALSE))/(VLOOKUP(Main_S[[#This Row],[Industry]], Mean_PE_S, 3, FALSE))</f>
        <v>-11.874439893306075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" spans="1:26" x14ac:dyDescent="0.25">
      <c r="A3" t="s">
        <v>105</v>
      </c>
      <c r="B3" t="s">
        <v>420</v>
      </c>
      <c r="C3" s="2">
        <v>580</v>
      </c>
      <c r="D3">
        <f>RTD("tos.rtd", , "LAST", Main_S[[#This Row],[Symbol]])</f>
        <v>33.200000000000003</v>
      </c>
      <c r="E3">
        <v>-0.13</v>
      </c>
      <c r="F3">
        <v>7.11</v>
      </c>
      <c r="G3">
        <v>-0.18</v>
      </c>
      <c r="H3" s="1">
        <f>IF(ISNUMBER(Main_S[[#This Row],[Free CF]]),IF(Main_S[[#This Row],[Free CF]]&lt;&gt;0,Main_S[[#This Row],[Current Price]]/Main_S[[#This Row],[Free CF]],""),"")</f>
        <v>-255.38461538461539</v>
      </c>
      <c r="I3" s="1">
        <f>IF(ISNUMBER(Main_S[[#This Row],[BVPS]]),IF(Main_S[[#This Row],[BVPS]]&lt;&gt;0,Main_S[[#This Row],[Current Price]]/Main_S[[#This Row],[BVPS]],""),"")</f>
        <v>4.6694796061884674</v>
      </c>
      <c r="J3">
        <v>-2.66</v>
      </c>
      <c r="K3">
        <v>2.1800000000000002</v>
      </c>
      <c r="L3">
        <v>2.61</v>
      </c>
      <c r="M3" s="1">
        <f>IF(ISNUMBER(Main_S[[#This Row],[EPS]]),IF(Main_S[[#This Row],[EPS]]&lt;&gt;0,Main_S[[#This Row],[Current Price]]/Main_S[[#This Row],[EPS]],""),"")</f>
        <v>-184.44444444444446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-6.472213092015684</v>
      </c>
      <c r="P3" s="1">
        <f>(Main_S[[#This Row],[P/B]]-VLOOKUP(Main_S[[#This Row],[Industry]], Mean_PB_S, 2, FALSE))/(VLOOKUP(Main_S[[#This Row],[Industry]], Mean_PB_S, 3, FALSE))</f>
        <v>0.88657371783837591</v>
      </c>
      <c r="Q3" s="1">
        <f>(Main_S[[#This Row],[ROE]]-VLOOKUP(Main_S[[#This Row],[Industry]], Mean_ROE_S, 2, FALSE))/(VLOOKUP(Main_S[[#This Row],[Industry]], Mean_ROE_S, 3, FALSE))</f>
        <v>-1.5533750467693364</v>
      </c>
      <c r="R3" s="1">
        <f>(Main_S[[#This Row],[ROA]]-VLOOKUP(Main_S[[#This Row],[Industry]], Mean_ROA_S, 2, FALSE))/(VLOOKUP(Main_S[[#This Row],[Industry]], Mean_ROA_S, 3, FALSE))</f>
        <v>0.34207016055536055</v>
      </c>
      <c r="S3" s="1">
        <f>(Main_S[[#This Row],[A/E]]-VLOOKUP(Main_S[[#This Row],[Industry]], Mean_AE_S, 2, FALSE))/(VLOOKUP(Main_S[[#This Row],[Industry]], Mean_AE_S, 3, FALSE))</f>
        <v>2.1279234422085591</v>
      </c>
      <c r="T3" s="1">
        <f>(Main_S[[#This Row],[P/E]]-VLOOKUP(Main_S[[#This Row],[Industry]], Mean_PE_S, 2, FALSE))/(VLOOKUP(Main_S[[#This Row],[Industry]], Mean_PE_S, 3, FALSE))</f>
        <v>-7.536989954790295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" spans="1:26" x14ac:dyDescent="0.25">
      <c r="A4" t="s">
        <v>105</v>
      </c>
      <c r="B4" t="s">
        <v>421</v>
      </c>
      <c r="C4" s="2">
        <v>437</v>
      </c>
      <c r="D4">
        <f>RTD("tos.rtd", , "LAST", Main_S[[#This Row],[Symbol]])</f>
        <v>29.61</v>
      </c>
      <c r="E4">
        <v>0.45</v>
      </c>
      <c r="F4">
        <v>1.98</v>
      </c>
      <c r="G4">
        <v>0.1</v>
      </c>
      <c r="H4" s="1">
        <f>IF(ISNUMBER(Main_S[[#This Row],[Free CF]]),IF(Main_S[[#This Row],[Free CF]]&lt;&gt;0,Main_S[[#This Row],[Current Price]]/Main_S[[#This Row],[Free CF]],""),"")</f>
        <v>65.8</v>
      </c>
      <c r="I4" s="1">
        <f>IF(ISNUMBER(Main_S[[#This Row],[BVPS]]),IF(Main_S[[#This Row],[BVPS]]&lt;&gt;0,Main_S[[#This Row],[Current Price]]/Main_S[[#This Row],[BVPS]],""),"")</f>
        <v>14.954545454545455</v>
      </c>
      <c r="J4">
        <v>5.28</v>
      </c>
      <c r="K4">
        <v>1.97</v>
      </c>
      <c r="L4">
        <v>1.32</v>
      </c>
      <c r="M4" s="1">
        <f>IF(ISNUMBER(Main_S[[#This Row],[EPS]]),IF(Main_S[[#This Row],[EPS]]&lt;&gt;0,Main_S[[#This Row],[Current Price]]/Main_S[[#This Row],[EPS]],""),"")</f>
        <v>296.09999999999997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1.6555725626801239</v>
      </c>
      <c r="P4" s="1">
        <f>(Main_S[[#This Row],[P/B]]-VLOOKUP(Main_S[[#This Row],[Industry]], Mean_PB_S, 2, FALSE))/(VLOOKUP(Main_S[[#This Row],[Industry]], Mean_PB_S, 3, FALSE))</f>
        <v>5.0564754185848546</v>
      </c>
      <c r="Q4" s="1">
        <f>(Main_S[[#This Row],[ROE]]-VLOOKUP(Main_S[[#This Row],[Industry]], Mean_ROE_S, 2, FALSE))/(VLOOKUP(Main_S[[#This Row],[Industry]], Mean_ROE_S, 3, FALSE))</f>
        <v>0.15254443751123495</v>
      </c>
      <c r="R4" s="1">
        <f>(Main_S[[#This Row],[ROA]]-VLOOKUP(Main_S[[#This Row],[Industry]], Mean_ROA_S, 2, FALSE))/(VLOOKUP(Main_S[[#This Row],[Industry]], Mean_ROA_S, 3, FALSE))</f>
        <v>0.31508153173258319</v>
      </c>
      <c r="S4" s="1">
        <f>(Main_S[[#This Row],[A/E]]-VLOOKUP(Main_S[[#This Row],[Industry]], Mean_AE_S, 2, FALSE))/(VLOOKUP(Main_S[[#This Row],[Industry]], Mean_AE_S, 3, FALSE))</f>
        <v>-0.79923190898117624</v>
      </c>
      <c r="T4" s="1">
        <f>(Main_S[[#This Row],[P/E]]-VLOOKUP(Main_S[[#This Row],[Industry]], Mean_PE_S, 2, FALSE))/(VLOOKUP(Main_S[[#This Row],[Industry]], Mean_PE_S, 3, FALSE))</f>
        <v>11.147310084140887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" spans="1:26" x14ac:dyDescent="0.25">
      <c r="A5" t="s">
        <v>105</v>
      </c>
      <c r="B5" t="s">
        <v>422</v>
      </c>
      <c r="C5" s="2">
        <v>1443</v>
      </c>
      <c r="D5">
        <f>RTD("tos.rtd", , "LAST", Main_S[[#This Row],[Symbol]])</f>
        <v>35.04</v>
      </c>
      <c r="E5">
        <v>0.72</v>
      </c>
      <c r="F5">
        <v>7.39</v>
      </c>
      <c r="G5">
        <v>0.83</v>
      </c>
      <c r="H5" s="1">
        <f>IF(ISNUMBER(Main_S[[#This Row],[Free CF]]),IF(Main_S[[#This Row],[Free CF]]&lt;&gt;0,Main_S[[#This Row],[Current Price]]/Main_S[[#This Row],[Free CF]],""),"")</f>
        <v>48.666666666666664</v>
      </c>
      <c r="I5" s="1">
        <f>IF(ISNUMBER(Main_S[[#This Row],[BVPS]]),IF(Main_S[[#This Row],[BVPS]]&lt;&gt;0,Main_S[[#This Row],[Current Price]]/Main_S[[#This Row],[BVPS]],""),"")</f>
        <v>4.7415426251691475</v>
      </c>
      <c r="J5">
        <v>13.36</v>
      </c>
      <c r="K5">
        <v>7.39</v>
      </c>
      <c r="L5">
        <v>2.0499999999999998</v>
      </c>
      <c r="M5" s="1">
        <f>IF(ISNUMBER(Main_S[[#This Row],[EPS]]),IF(Main_S[[#This Row],[EPS]]&lt;&gt;0,Main_S[[#This Row],[Current Price]]/Main_S[[#This Row],[EPS]],""),"")</f>
        <v>42.216867469879517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1.222002415750669</v>
      </c>
      <c r="P5" s="1">
        <f>(Main_S[[#This Row],[P/B]]-VLOOKUP(Main_S[[#This Row],[Industry]], Mean_PB_S, 2, FALSE))/(VLOOKUP(Main_S[[#This Row],[Industry]], Mean_PB_S, 3, FALSE))</f>
        <v>0.91579041998097488</v>
      </c>
      <c r="Q5" s="1">
        <f>(Main_S[[#This Row],[ROE]]-VLOOKUP(Main_S[[#This Row],[Industry]], Mean_ROE_S, 2, FALSE))/(VLOOKUP(Main_S[[#This Row],[Industry]], Mean_ROE_S, 3, FALSE))</f>
        <v>1.8885431066531762</v>
      </c>
      <c r="R5" s="1">
        <f>(Main_S[[#This Row],[ROA]]-VLOOKUP(Main_S[[#This Row],[Industry]], Mean_ROA_S, 2, FALSE))/(VLOOKUP(Main_S[[#This Row],[Industry]], Mean_ROA_S, 3, FALSE))</f>
        <v>1.0116451899204557</v>
      </c>
      <c r="S5" s="1">
        <f>(Main_S[[#This Row],[A/E]]-VLOOKUP(Main_S[[#This Row],[Industry]], Mean_AE_S, 2, FALSE))/(VLOOKUP(Main_S[[#This Row],[Industry]], Mean_AE_S, 3, FALSE))</f>
        <v>0.85722034401766589</v>
      </c>
      <c r="T5" s="1">
        <f>(Main_S[[#This Row],[P/E]]-VLOOKUP(Main_S[[#This Row],[Industry]], Mean_PE_S, 2, FALSE))/(VLOOKUP(Main_S[[#This Row],[Industry]], Mean_PE_S, 3, FALSE))</f>
        <v>1.2759471376800435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105</v>
      </c>
      <c r="B6" t="s">
        <v>423</v>
      </c>
      <c r="C6" s="2">
        <v>941</v>
      </c>
      <c r="D6">
        <f>RTD("tos.rtd", , "LAST", Main_S[[#This Row],[Symbol]])</f>
        <v>73.900000000000006</v>
      </c>
      <c r="E6">
        <v>1.93</v>
      </c>
      <c r="F6">
        <v>45.04</v>
      </c>
      <c r="G6">
        <v>2</v>
      </c>
      <c r="H6" s="1">
        <f>IF(ISNUMBER(Main_S[[#This Row],[Free CF]]),IF(Main_S[[#This Row],[Free CF]]&lt;&gt;0,Main_S[[#This Row],[Current Price]]/Main_S[[#This Row],[Free CF]],""),"")</f>
        <v>38.290155440414509</v>
      </c>
      <c r="I6" s="1">
        <f>IF(ISNUMBER(Main_S[[#This Row],[BVPS]]),IF(Main_S[[#This Row],[BVPS]]&lt;&gt;0,Main_S[[#This Row],[Current Price]]/Main_S[[#This Row],[BVPS]],""),"")</f>
        <v>1.6407637655417409</v>
      </c>
      <c r="J6">
        <v>4.59</v>
      </c>
      <c r="K6">
        <v>3.33</v>
      </c>
      <c r="L6">
        <v>1.7</v>
      </c>
      <c r="M6" s="1">
        <f>IF(ISNUMBER(Main_S[[#This Row],[EPS]]),IF(Main_S[[#This Row],[EPS]]&lt;&gt;0,Main_S[[#This Row],[Current Price]]/Main_S[[#This Row],[EPS]],""),"")</f>
        <v>36.950000000000003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0.95941804822257837</v>
      </c>
      <c r="P6" s="1">
        <f>(Main_S[[#This Row],[P/B]]-VLOOKUP(Main_S[[#This Row],[Industry]], Mean_PB_S, 2, FALSE))/(VLOOKUP(Main_S[[#This Row],[Industry]], Mean_PB_S, 3, FALSE))</f>
        <v>-0.34136662996290812</v>
      </c>
      <c r="Q6" s="1">
        <f>(Main_S[[#This Row],[ROE]]-VLOOKUP(Main_S[[#This Row],[Industry]], Mean_ROE_S, 2, FALSE))/(VLOOKUP(Main_S[[#This Row],[Industry]], Mean_ROE_S, 3, FALSE))</f>
        <v>4.2970264087670903E-3</v>
      </c>
      <c r="R6" s="1">
        <f>(Main_S[[#This Row],[ROA]]-VLOOKUP(Main_S[[#This Row],[Industry]], Mean_ROA_S, 2, FALSE))/(VLOOKUP(Main_S[[#This Row],[Industry]], Mean_ROA_S, 3, FALSE))</f>
        <v>0.48986503268009368</v>
      </c>
      <c r="S6" s="1">
        <f>(Main_S[[#This Row],[A/E]]-VLOOKUP(Main_S[[#This Row],[Industry]], Mean_AE_S, 2, FALSE))/(VLOOKUP(Main_S[[#This Row],[Industry]], Mean_AE_S, 3, FALSE))</f>
        <v>6.3030907648358059E-2</v>
      </c>
      <c r="T6" s="1">
        <f>(Main_S[[#This Row],[P/E]]-VLOOKUP(Main_S[[#This Row],[Industry]], Mean_PE_S, 2, FALSE))/(VLOOKUP(Main_S[[#This Row],[Industry]], Mean_PE_S, 3, FALSE))</f>
        <v>1.0711633071515605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105</v>
      </c>
      <c r="B7" t="s">
        <v>424</v>
      </c>
      <c r="C7" s="2">
        <v>959</v>
      </c>
      <c r="D7">
        <f>RTD("tos.rtd", , "LAST", Main_S[[#This Row],[Symbol]])</f>
        <v>17.03</v>
      </c>
      <c r="E7">
        <v>-0.23</v>
      </c>
      <c r="F7">
        <v>1.54</v>
      </c>
      <c r="G7">
        <v>-0.56000000000000005</v>
      </c>
      <c r="H7" s="1">
        <f>IF(ISNUMBER(Main_S[[#This Row],[Free CF]]),IF(Main_S[[#This Row],[Free CF]]&lt;&gt;0,Main_S[[#This Row],[Current Price]]/Main_S[[#This Row],[Free CF]],""),"")</f>
        <v>-74.043478260869563</v>
      </c>
      <c r="I7" s="1">
        <f>IF(ISNUMBER(Main_S[[#This Row],[BVPS]]),IF(Main_S[[#This Row],[BVPS]]&lt;&gt;0,Main_S[[#This Row],[Current Price]]/Main_S[[#This Row],[BVPS]],""),"")</f>
        <v>11.058441558441558</v>
      </c>
      <c r="J7">
        <v>-49.73</v>
      </c>
      <c r="K7">
        <v>-17.38</v>
      </c>
      <c r="L7">
        <v>1.86</v>
      </c>
      <c r="M7" s="1">
        <f>IF(ISNUMBER(Main_S[[#This Row],[EPS]]),IF(Main_S[[#This Row],[EPS]]&lt;&gt;0,Main_S[[#This Row],[Current Price]]/Main_S[[#This Row],[EPS]],""),"")</f>
        <v>-30.410714285714285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-1.8832576367376537</v>
      </c>
      <c r="P7" s="1">
        <f>(Main_S[[#This Row],[P/B]]-VLOOKUP(Main_S[[#This Row],[Industry]], Mean_PB_S, 2, FALSE))/(VLOOKUP(Main_S[[#This Row],[Industry]], Mean_PB_S, 3, FALSE))</f>
        <v>3.47686761614731</v>
      </c>
      <c r="Q7" s="1">
        <f>(Main_S[[#This Row],[ROE]]-VLOOKUP(Main_S[[#This Row],[Industry]], Mean_ROE_S, 2, FALSE))/(VLOOKUP(Main_S[[#This Row],[Industry]], Mean_ROE_S, 3, FALSE))</f>
        <v>-11.666426699802898</v>
      </c>
      <c r="R7" s="1">
        <f>(Main_S[[#This Row],[ROA]]-VLOOKUP(Main_S[[#This Row],[Industry]], Mean_ROA_S, 2, FALSE))/(VLOOKUP(Main_S[[#This Row],[Industry]], Mean_ROA_S, 3, FALSE))</f>
        <v>-2.1717278383661873</v>
      </c>
      <c r="S7" s="1">
        <f>(Main_S[[#This Row],[A/E]]-VLOOKUP(Main_S[[#This Row],[Industry]], Mean_AE_S, 2, FALSE))/(VLOOKUP(Main_S[[#This Row],[Industry]], Mean_AE_S, 3, FALSE))</f>
        <v>0.42608893570289924</v>
      </c>
      <c r="T7" s="1">
        <f>(Main_S[[#This Row],[P/E]]-VLOOKUP(Main_S[[#This Row],[Industry]], Mean_PE_S, 2, FALSE))/(VLOOKUP(Main_S[[#This Row],[Industry]], Mean_PE_S, 3, FALSE))</f>
        <v>-1.5479238784386342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105</v>
      </c>
      <c r="B8" t="s">
        <v>425</v>
      </c>
      <c r="C8" s="2">
        <v>1327</v>
      </c>
      <c r="D8">
        <f>RTD("tos.rtd", , "LAST", Main_S[[#This Row],[Symbol]])</f>
        <v>5.65</v>
      </c>
      <c r="E8">
        <v>-0.45</v>
      </c>
      <c r="F8">
        <v>0.55000000000000004</v>
      </c>
      <c r="G8">
        <v>-0.49</v>
      </c>
      <c r="H8" s="1">
        <f>IF(ISNUMBER(Main_S[[#This Row],[Free CF]]),IF(Main_S[[#This Row],[Free CF]]&lt;&gt;0,Main_S[[#This Row],[Current Price]]/Main_S[[#This Row],[Free CF]],""),"")</f>
        <v>-12.555555555555555</v>
      </c>
      <c r="I8" s="1">
        <f>IF(ISNUMBER(Main_S[[#This Row],[BVPS]]),IF(Main_S[[#This Row],[BVPS]]&lt;&gt;0,Main_S[[#This Row],[Current Price]]/Main_S[[#This Row],[BVPS]],""),"")</f>
        <v>10.272727272727273</v>
      </c>
      <c r="J8">
        <v>-74.78</v>
      </c>
      <c r="K8">
        <v>-35.24</v>
      </c>
      <c r="L8">
        <v>1.77</v>
      </c>
      <c r="M8" s="1">
        <f>IF(ISNUMBER(Main_S[[#This Row],[EPS]]),IF(Main_S[[#This Row],[EPS]]&lt;&gt;0,Main_S[[#This Row],[Current Price]]/Main_S[[#This Row],[EPS]],""),"")</f>
        <v>-11.530612244897959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-0.32726574869893987</v>
      </c>
      <c r="P8" s="1">
        <f>(Main_S[[#This Row],[P/B]]-VLOOKUP(Main_S[[#This Row],[Industry]], Mean_PB_S, 2, FALSE))/(VLOOKUP(Main_S[[#This Row],[Industry]], Mean_PB_S, 3, FALSE))</f>
        <v>3.1583133759890725</v>
      </c>
      <c r="Q8" s="1">
        <f>(Main_S[[#This Row],[ROE]]-VLOOKUP(Main_S[[#This Row],[Industry]], Mean_ROE_S, 2, FALSE))/(VLOOKUP(Main_S[[#This Row],[Industry]], Mean_ROE_S, 3, FALSE))</f>
        <v>-17.048452276783792</v>
      </c>
      <c r="R8" s="1">
        <f>(Main_S[[#This Row],[ROA]]-VLOOKUP(Main_S[[#This Row],[Industry]], Mean_ROA_S, 2, FALSE))/(VLOOKUP(Main_S[[#This Row],[Industry]], Mean_ROA_S, 3, FALSE))</f>
        <v>-4.4670464611033465</v>
      </c>
      <c r="S8" s="1">
        <f>(Main_S[[#This Row],[A/E]]-VLOOKUP(Main_S[[#This Row],[Industry]], Mean_AE_S, 2, FALSE))/(VLOOKUP(Main_S[[#This Row],[Industry]], Mean_AE_S, 3, FALSE))</f>
        <v>0.22186879492221984</v>
      </c>
      <c r="T8" s="1">
        <f>(Main_S[[#This Row],[P/E]]-VLOOKUP(Main_S[[#This Row],[Industry]], Mean_PE_S, 2, FALSE))/(VLOOKUP(Main_S[[#This Row],[Industry]], Mean_PE_S, 3, FALSE))</f>
        <v>-0.8138367500272855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105</v>
      </c>
      <c r="B9" t="s">
        <v>426</v>
      </c>
      <c r="C9" s="2">
        <v>1004</v>
      </c>
      <c r="D9">
        <f>RTD("tos.rtd", , "LAST", Main_S[[#This Row],[Symbol]])</f>
        <v>11.79</v>
      </c>
      <c r="E9">
        <v>-1.89</v>
      </c>
      <c r="F9">
        <v>-6.2</v>
      </c>
      <c r="G9">
        <v>-2.79</v>
      </c>
      <c r="H9" s="1">
        <f>IF(ISNUMBER(Main_S[[#This Row],[Free CF]]),IF(Main_S[[#This Row],[Free CF]]&lt;&gt;0,Main_S[[#This Row],[Current Price]]/Main_S[[#This Row],[Free CF]],""),"")</f>
        <v>-6.2380952380952381</v>
      </c>
      <c r="I9" s="1">
        <f>IF(ISNUMBER(Main_S[[#This Row],[BVPS]]),IF(Main_S[[#This Row],[BVPS]]&lt;&gt;0,Main_S[[#This Row],[Current Price]]/Main_S[[#This Row],[BVPS]],""),"")</f>
        <v>-1.9016129032258062</v>
      </c>
      <c r="J9">
        <v>539.21</v>
      </c>
      <c r="K9">
        <v>-15.48</v>
      </c>
      <c r="L9">
        <v>-0.45</v>
      </c>
      <c r="M9" s="1">
        <f>IF(ISNUMBER(Main_S[[#This Row],[EPS]]),IF(Main_S[[#This Row],[EPS]]&lt;&gt;0,Main_S[[#This Row],[Current Price]]/Main_S[[#This Row],[EPS]],""),"")</f>
        <v>-4.225806451612903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-0.16739830523227037</v>
      </c>
      <c r="P9" s="1">
        <f>(Main_S[[#This Row],[P/B]]-VLOOKUP(Main_S[[#This Row],[Industry]], Mean_PB_S, 2, FALSE))/(VLOOKUP(Main_S[[#This Row],[Industry]], Mean_PB_S, 3, FALSE))</f>
        <v>-1.7775618584201112</v>
      </c>
      <c r="Q9" s="1">
        <f>(Main_S[[#This Row],[ROE]]-VLOOKUP(Main_S[[#This Row],[Industry]], Mean_ROE_S, 2, FALSE))/(VLOOKUP(Main_S[[#This Row],[Industry]], Mean_ROE_S, 3, FALSE))</f>
        <v>114.8681099591643</v>
      </c>
      <c r="R9" s="1">
        <f>(Main_S[[#This Row],[ROA]]-VLOOKUP(Main_S[[#This Row],[Industry]], Mean_ROA_S, 2, FALSE))/(VLOOKUP(Main_S[[#This Row],[Industry]], Mean_ROA_S, 3, FALSE))</f>
        <v>-1.9275450061601065</v>
      </c>
      <c r="S9" s="1">
        <f>(Main_S[[#This Row],[A/E]]-VLOOKUP(Main_S[[#This Row],[Industry]], Mean_AE_S, 2, FALSE))/(VLOOKUP(Main_S[[#This Row],[Industry]], Mean_AE_S, 3, FALSE))</f>
        <v>-4.8155613443345349</v>
      </c>
      <c r="T9" s="1">
        <f>(Main_S[[#This Row],[P/E]]-VLOOKUP(Main_S[[#This Row],[Industry]], Mean_PE_S, 2, FALSE))/(VLOOKUP(Main_S[[#This Row],[Industry]], Mean_PE_S, 3, FALSE))</f>
        <v>-0.52981477298486923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105</v>
      </c>
      <c r="B10" t="s">
        <v>427</v>
      </c>
      <c r="C10" s="2">
        <v>629</v>
      </c>
      <c r="D10">
        <f>RTD("tos.rtd", , "LAST", Main_S[[#This Row],[Symbol]])</f>
        <v>94.94</v>
      </c>
      <c r="E10">
        <v>-4.66</v>
      </c>
      <c r="F10">
        <v>48.81</v>
      </c>
      <c r="G10">
        <v>4.76</v>
      </c>
      <c r="H10" s="1">
        <f>IF(ISNUMBER(Main_S[[#This Row],[Free CF]]),IF(Main_S[[#This Row],[Free CF]]&lt;&gt;0,Main_S[[#This Row],[Current Price]]/Main_S[[#This Row],[Free CF]],""),"")</f>
        <v>-20.373390557939913</v>
      </c>
      <c r="I10" s="1">
        <f>IF(ISNUMBER(Main_S[[#This Row],[BVPS]]),IF(Main_S[[#This Row],[BVPS]]&lt;&gt;0,Main_S[[#This Row],[Current Price]]/Main_S[[#This Row],[BVPS]],""),"")</f>
        <v>1.9450932186027452</v>
      </c>
      <c r="J10">
        <v>9.83</v>
      </c>
      <c r="K10">
        <v>5.12</v>
      </c>
      <c r="L10">
        <v>1.24</v>
      </c>
      <c r="M10" s="1">
        <f>IF(ISNUMBER(Main_S[[#This Row],[EPS]]),IF(Main_S[[#This Row],[EPS]]&lt;&gt;0,Main_S[[#This Row],[Current Price]]/Main_S[[#This Row],[EPS]],""),"")</f>
        <v>19.945378151260506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-0.52510114970987498</v>
      </c>
      <c r="P10" s="1">
        <f>(Main_S[[#This Row],[P/B]]-VLOOKUP(Main_S[[#This Row],[Industry]], Mean_PB_S, 2, FALSE))/(VLOOKUP(Main_S[[#This Row],[Industry]], Mean_PB_S, 3, FALSE))</f>
        <v>-0.21798152746411845</v>
      </c>
      <c r="Q10" s="1">
        <f>(Main_S[[#This Row],[ROE]]-VLOOKUP(Main_S[[#This Row],[Industry]], Mean_ROE_S, 2, FALSE))/(VLOOKUP(Main_S[[#This Row],[Industry]], Mean_ROE_S, 3, FALSE))</f>
        <v>1.1301179455057688</v>
      </c>
      <c r="R10" s="1">
        <f>(Main_S[[#This Row],[ROA]]-VLOOKUP(Main_S[[#This Row],[Industry]], Mean_ROA_S, 2, FALSE))/(VLOOKUP(Main_S[[#This Row],[Industry]], Mean_ROA_S, 3, FALSE))</f>
        <v>0.71991096407424349</v>
      </c>
      <c r="S10" s="1">
        <f>(Main_S[[#This Row],[A/E]]-VLOOKUP(Main_S[[#This Row],[Industry]], Mean_AE_S, 2, FALSE))/(VLOOKUP(Main_S[[#This Row],[Industry]], Mean_AE_S, 3, FALSE))</f>
        <v>-0.98076092300844675</v>
      </c>
      <c r="T10" s="1">
        <f>(Main_S[[#This Row],[P/E]]-VLOOKUP(Main_S[[#This Row],[Industry]], Mean_PE_S, 2, FALSE))/(VLOOKUP(Main_S[[#This Row],[Industry]], Mean_PE_S, 3, FALSE))</f>
        <v>0.40999770562696553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105</v>
      </c>
      <c r="B11" t="s">
        <v>428</v>
      </c>
      <c r="C11" s="2">
        <v>299</v>
      </c>
      <c r="D11">
        <f>RTD("tos.rtd", , "LAST", Main_S[[#This Row],[Symbol]])</f>
        <v>14.11</v>
      </c>
      <c r="E11">
        <v>0.38</v>
      </c>
      <c r="F11">
        <v>5.58</v>
      </c>
      <c r="G11">
        <v>0.37</v>
      </c>
      <c r="H11" s="1">
        <f>IF(ISNUMBER(Main_S[[#This Row],[Free CF]]),IF(Main_S[[#This Row],[Free CF]]&lt;&gt;0,Main_S[[#This Row],[Current Price]]/Main_S[[#This Row],[Free CF]],""),"")</f>
        <v>37.131578947368418</v>
      </c>
      <c r="I11" s="1">
        <f>IF(ISNUMBER(Main_S[[#This Row],[BVPS]]),IF(Main_S[[#This Row],[BVPS]]&lt;&gt;0,Main_S[[#This Row],[Current Price]]/Main_S[[#This Row],[BVPS]],""),"")</f>
        <v>2.5286738351254479</v>
      </c>
      <c r="J11">
        <v>6.22</v>
      </c>
      <c r="K11">
        <v>4.53</v>
      </c>
      <c r="L11">
        <v>1.17</v>
      </c>
      <c r="M11" s="1">
        <f>IF(ISNUMBER(Main_S[[#This Row],[EPS]]),IF(Main_S[[#This Row],[EPS]]&lt;&gt;0,Main_S[[#This Row],[Current Price]]/Main_S[[#This Row],[EPS]],""),"")</f>
        <v>38.135135135135137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0.93009951629734455</v>
      </c>
      <c r="P11" s="1">
        <f>(Main_S[[#This Row],[P/B]]-VLOOKUP(Main_S[[#This Row],[Industry]], Mean_PB_S, 2, FALSE))/(VLOOKUP(Main_S[[#This Row],[Industry]], Mean_PB_S, 3, FALSE))</f>
        <v>1.8621119639928786E-2</v>
      </c>
      <c r="Q11" s="1">
        <f>(Main_S[[#This Row],[ROE]]-VLOOKUP(Main_S[[#This Row],[Industry]], Mean_ROE_S, 2, FALSE))/(VLOOKUP(Main_S[[#This Row],[Industry]], Mean_ROE_S, 3, FALSE))</f>
        <v>0.35450467872329239</v>
      </c>
      <c r="R11" s="1">
        <f>(Main_S[[#This Row],[ROA]]-VLOOKUP(Main_S[[#This Row],[Industry]], Mean_ROA_S, 2, FALSE))/(VLOOKUP(Main_S[[#This Row],[Industry]], Mean_ROA_S, 3, FALSE))</f>
        <v>0.64408576881025004</v>
      </c>
      <c r="S11" s="1">
        <f>(Main_S[[#This Row],[A/E]]-VLOOKUP(Main_S[[#This Row],[Industry]], Mean_AE_S, 2, FALSE))/(VLOOKUP(Main_S[[#This Row],[Industry]], Mean_AE_S, 3, FALSE))</f>
        <v>-1.1395988102823085</v>
      </c>
      <c r="T11" s="1">
        <f>(Main_S[[#This Row],[P/E]]-VLOOKUP(Main_S[[#This Row],[Industry]], Mean_PE_S, 2, FALSE))/(VLOOKUP(Main_S[[#This Row],[Industry]], Mean_PE_S, 3, FALSE))</f>
        <v>1.1172431665850495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105</v>
      </c>
      <c r="B12" t="s">
        <v>429</v>
      </c>
      <c r="C12" s="2">
        <v>936</v>
      </c>
      <c r="D12">
        <f>RTD("tos.rtd", , "LAST", Main_S[[#This Row],[Symbol]])</f>
        <v>19.96</v>
      </c>
      <c r="E12">
        <v>-0.28000000000000003</v>
      </c>
      <c r="F12">
        <v>-1.45</v>
      </c>
      <c r="G12">
        <v>-1.21</v>
      </c>
      <c r="H12" s="1">
        <f>IF(ISNUMBER(Main_S[[#This Row],[Free CF]]),IF(Main_S[[#This Row],[Free CF]]&lt;&gt;0,Main_S[[#This Row],[Current Price]]/Main_S[[#This Row],[Free CF]],""),"")</f>
        <v>-71.285714285714278</v>
      </c>
      <c r="I12" s="1">
        <f>IF(ISNUMBER(Main_S[[#This Row],[BVPS]]),IF(Main_S[[#This Row],[BVPS]]&lt;&gt;0,Main_S[[#This Row],[Current Price]]/Main_S[[#This Row],[BVPS]],""),"")</f>
        <v>-13.765517241379312</v>
      </c>
      <c r="J12">
        <v>-160.53</v>
      </c>
      <c r="K12">
        <v>-5.75</v>
      </c>
      <c r="L12">
        <v>-3.01</v>
      </c>
      <c r="M12" s="1">
        <f>IF(ISNUMBER(Main_S[[#This Row],[EPS]]),IF(Main_S[[#This Row],[EPS]]&lt;&gt;0,Main_S[[#This Row],[Current Price]]/Main_S[[#This Row],[EPS]],""),"")</f>
        <v>-16.495867768595044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-1.8134706251478774</v>
      </c>
      <c r="P12" s="1">
        <f>(Main_S[[#This Row],[P/B]]-VLOOKUP(Main_S[[#This Row],[Industry]], Mean_PB_S, 2, FALSE))/(VLOOKUP(Main_S[[#This Row],[Industry]], Mean_PB_S, 3, FALSE))</f>
        <v>-6.5875762624662206</v>
      </c>
      <c r="Q12" s="1">
        <f>(Main_S[[#This Row],[ROE]]-VLOOKUP(Main_S[[#This Row],[Industry]], Mean_ROE_S, 2, FALSE))/(VLOOKUP(Main_S[[#This Row],[Industry]], Mean_ROE_S, 3, FALSE))</f>
        <v>-35.471953004373084</v>
      </c>
      <c r="R12" s="1">
        <f>(Main_S[[#This Row],[ROA]]-VLOOKUP(Main_S[[#This Row],[Industry]], Mean_ROA_S, 2, FALSE))/(VLOOKUP(Main_S[[#This Row],[Industry]], Mean_ROA_S, 3, FALSE))</f>
        <v>-0.67707187070475572</v>
      </c>
      <c r="S12" s="1">
        <f>(Main_S[[#This Row],[A/E]]-VLOOKUP(Main_S[[#This Row],[Industry]], Mean_AE_S, 2, FALSE))/(VLOOKUP(Main_S[[#This Row],[Industry]], Mean_AE_S, 3, FALSE))</f>
        <v>-10.624489793207188</v>
      </c>
      <c r="T12" s="1">
        <f>(Main_S[[#This Row],[P/E]]-VLOOKUP(Main_S[[#This Row],[Industry]], Mean_PE_S, 2, FALSE))/(VLOOKUP(Main_S[[#This Row],[Industry]], Mean_PE_S, 3, FALSE))</f>
        <v>-1.0068934486266636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t="s">
        <v>105</v>
      </c>
      <c r="B13" t="s">
        <v>430</v>
      </c>
      <c r="C13" s="2">
        <v>1470</v>
      </c>
      <c r="D13">
        <f>RTD("tos.rtd", , "LAST", Main_S[[#This Row],[Symbol]])</f>
        <v>25.94</v>
      </c>
      <c r="E13">
        <v>-0.81</v>
      </c>
      <c r="F13">
        <v>-1.23</v>
      </c>
      <c r="G13">
        <v>-0.17</v>
      </c>
      <c r="H13" s="1">
        <f>IF(ISNUMBER(Main_S[[#This Row],[Free CF]]),IF(Main_S[[#This Row],[Free CF]]&lt;&gt;0,Main_S[[#This Row],[Current Price]]/Main_S[[#This Row],[Free CF]],""),"")</f>
        <v>-32.02469135802469</v>
      </c>
      <c r="I13" s="1">
        <f>IF(ISNUMBER(Main_S[[#This Row],[BVPS]]),IF(Main_S[[#This Row],[BVPS]]&lt;&gt;0,Main_S[[#This Row],[Current Price]]/Main_S[[#This Row],[BVPS]],""),"")</f>
        <v>-21.089430894308943</v>
      </c>
      <c r="J13">
        <v>3.5</v>
      </c>
      <c r="K13">
        <v>4.9800000000000004</v>
      </c>
      <c r="L13">
        <v>-15.88</v>
      </c>
      <c r="M13" s="1">
        <f>IF(ISNUMBER(Main_S[[#This Row],[EPS]]),IF(Main_S[[#This Row],[EPS]]&lt;&gt;0,Main_S[[#This Row],[Current Price]]/Main_S[[#This Row],[EPS]],""),"")</f>
        <v>-152.58823529411765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-0.81994489678061611</v>
      </c>
      <c r="P13" s="1">
        <f>(Main_S[[#This Row],[P/B]]-VLOOKUP(Main_S[[#This Row],[Industry]], Mean_PB_S, 2, FALSE))/(VLOOKUP(Main_S[[#This Row],[Industry]], Mean_PB_S, 3, FALSE))</f>
        <v>-9.556930124439825</v>
      </c>
      <c r="Q13" s="1">
        <f>(Main_S[[#This Row],[ROE]]-VLOOKUP(Main_S[[#This Row],[Industry]], Mean_ROE_S, 2, FALSE))/(VLOOKUP(Main_S[[#This Row],[Industry]], Mean_ROE_S, 3, FALSE))</f>
        <v>-0.22989091286904428</v>
      </c>
      <c r="R13" s="1">
        <f>(Main_S[[#This Row],[ROA]]-VLOOKUP(Main_S[[#This Row],[Industry]], Mean_ROA_S, 2, FALSE))/(VLOOKUP(Main_S[[#This Row],[Industry]], Mean_ROA_S, 3, FALSE))</f>
        <v>0.70191854485905869</v>
      </c>
      <c r="S13" s="1">
        <f>(Main_S[[#This Row],[A/E]]-VLOOKUP(Main_S[[#This Row],[Industry]], Mean_AE_S, 2, FALSE))/(VLOOKUP(Main_S[[#This Row],[Industry]], Mean_AE_S, 3, FALSE))</f>
        <v>-39.827969924844318</v>
      </c>
      <c r="T13" s="1">
        <f>(Main_S[[#This Row],[P/E]]-VLOOKUP(Main_S[[#This Row],[Industry]], Mean_PE_S, 2, FALSE))/(VLOOKUP(Main_S[[#This Row],[Industry]], Mean_PE_S, 3, FALSE))</f>
        <v>-6.2983720147665121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t="s">
        <v>105</v>
      </c>
      <c r="B14" t="s">
        <v>431</v>
      </c>
      <c r="C14" s="2">
        <v>1931</v>
      </c>
      <c r="D14">
        <f>RTD("tos.rtd", , "LAST", Main_S[[#This Row],[Symbol]])</f>
        <v>44.93</v>
      </c>
      <c r="E14">
        <v>2.06</v>
      </c>
      <c r="F14">
        <v>31.77</v>
      </c>
      <c r="G14">
        <v>0.28000000000000003</v>
      </c>
      <c r="H14" s="1">
        <f>IF(ISNUMBER(Main_S[[#This Row],[Free CF]]),IF(Main_S[[#This Row],[Free CF]]&lt;&gt;0,Main_S[[#This Row],[Current Price]]/Main_S[[#This Row],[Free CF]],""),"")</f>
        <v>21.810679611650485</v>
      </c>
      <c r="I14" s="1">
        <f>IF(ISNUMBER(Main_S[[#This Row],[BVPS]]),IF(Main_S[[#This Row],[BVPS]]&lt;&gt;0,Main_S[[#This Row],[Current Price]]/Main_S[[#This Row],[BVPS]],""),"")</f>
        <v>1.4142272584198929</v>
      </c>
      <c r="J14">
        <v>0.92</v>
      </c>
      <c r="K14">
        <v>2.92</v>
      </c>
      <c r="L14">
        <v>3.12</v>
      </c>
      <c r="M14" s="1">
        <f>IF(ISNUMBER(Main_S[[#This Row],[EPS]]),IF(Main_S[[#This Row],[EPS]]&lt;&gt;0,Main_S[[#This Row],[Current Price]]/Main_S[[#This Row],[EPS]],""),"")</f>
        <v>160.46428571428569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0.54239419084528528</v>
      </c>
      <c r="P14" s="1">
        <f>(Main_S[[#This Row],[P/B]]-VLOOKUP(Main_S[[#This Row],[Industry]], Mean_PB_S, 2, FALSE))/(VLOOKUP(Main_S[[#This Row],[Industry]], Mean_PB_S, 3, FALSE))</f>
        <v>-0.43321193073747372</v>
      </c>
      <c r="Q14" s="1">
        <f>(Main_S[[#This Row],[ROE]]-VLOOKUP(Main_S[[#This Row],[Industry]], Mean_ROE_S, 2, FALSE))/(VLOOKUP(Main_S[[#This Row],[Industry]], Mean_ROE_S, 3, FALSE))</f>
        <v>-0.78420731960001078</v>
      </c>
      <c r="R14" s="1">
        <f>(Main_S[[#This Row],[ROA]]-VLOOKUP(Main_S[[#This Row],[Industry]], Mean_ROA_S, 2, FALSE))/(VLOOKUP(Main_S[[#This Row],[Industry]], Mean_ROA_S, 3, FALSE))</f>
        <v>0.4371729478356236</v>
      </c>
      <c r="S14" s="1">
        <f>(Main_S[[#This Row],[A/E]]-VLOOKUP(Main_S[[#This Row],[Industry]], Mean_AE_S, 2, FALSE))/(VLOOKUP(Main_S[[#This Row],[Industry]], Mean_AE_S, 3, FALSE))</f>
        <v>3.2851709066324082</v>
      </c>
      <c r="T14" s="1">
        <f>(Main_S[[#This Row],[P/E]]-VLOOKUP(Main_S[[#This Row],[Industry]], Mean_PE_S, 2, FALSE))/(VLOOKUP(Main_S[[#This Row],[Industry]], Mean_PE_S, 3, FALSE))</f>
        <v>5.8735868916089737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t="s">
        <v>224</v>
      </c>
      <c r="B15" t="s">
        <v>560</v>
      </c>
      <c r="C15" s="2">
        <v>1445</v>
      </c>
      <c r="D15">
        <f>RTD("tos.rtd", , "LAST", Main_S[[#This Row],[Symbol]])</f>
        <v>22.48</v>
      </c>
      <c r="E15">
        <v>1.45</v>
      </c>
      <c r="F15">
        <v>22.48</v>
      </c>
      <c r="G15">
        <v>-0.04</v>
      </c>
      <c r="H15" s="1">
        <f>IF(ISNUMBER(Main_S[[#This Row],[Free CF]]),IF(Main_S[[#This Row],[Free CF]]&lt;&gt;0,Main_S[[#This Row],[Current Price]]/Main_S[[#This Row],[Free CF]],""),"")</f>
        <v>15.50344827586207</v>
      </c>
      <c r="I15" s="1">
        <f>IF(ISNUMBER(Main_S[[#This Row],[BVPS]]),IF(Main_S[[#This Row],[BVPS]]&lt;&gt;0,Main_S[[#This Row],[Current Price]]/Main_S[[#This Row],[BVPS]],""),"")</f>
        <v>1</v>
      </c>
      <c r="J15">
        <v>-0.2</v>
      </c>
      <c r="K15">
        <v>1.49</v>
      </c>
      <c r="L15">
        <v>2.65</v>
      </c>
      <c r="M15" s="1">
        <f>IF(ISNUMBER(Main_S[[#This Row],[EPS]]),IF(Main_S[[#This Row],[EPS]]&lt;&gt;0,Main_S[[#This Row],[Current Price]]/Main_S[[#This Row],[EPS]],""),"")</f>
        <v>-562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-0.59111107554277464</v>
      </c>
      <c r="P15" s="1">
        <f>(Main_S[[#This Row],[P/B]]-VLOOKUP(Main_S[[#This Row],[Industry]], Mean_PB_S, 2, FALSE))/(VLOOKUP(Main_S[[#This Row],[Industry]], Mean_PB_S, 3, FALSE))</f>
        <v>-1.0265998483940131</v>
      </c>
      <c r="Q15" s="1">
        <f>(Main_S[[#This Row],[ROE]]-VLOOKUP(Main_S[[#This Row],[Industry]], Mean_ROE_S, 2, FALSE))/(VLOOKUP(Main_S[[#This Row],[Industry]], Mean_ROE_S, 3, FALSE))</f>
        <v>-1.1973218933607106</v>
      </c>
      <c r="R15" s="1">
        <f>(Main_S[[#This Row],[ROA]]-VLOOKUP(Main_S[[#This Row],[Industry]], Mean_ROA_S, 2, FALSE))/(VLOOKUP(Main_S[[#This Row],[Industry]], Mean_ROA_S, 3, FALSE))</f>
        <v>-0.76554645504720598</v>
      </c>
      <c r="S15" s="1">
        <f>(Main_S[[#This Row],[A/E]]-VLOOKUP(Main_S[[#This Row],[Industry]], Mean_AE_S, 2, FALSE))/(VLOOKUP(Main_S[[#This Row],[Industry]], Mean_AE_S, 3, FALSE))</f>
        <v>1.0230559210576711</v>
      </c>
      <c r="T15" s="1">
        <f>(Main_S[[#This Row],[P/E]]-VLOOKUP(Main_S[[#This Row],[Industry]], Mean_PE_S, 2, FALSE))/(VLOOKUP(Main_S[[#This Row],[Industry]], Mean_PE_S, 3, FALSE))</f>
        <v>-1.4120625738619967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224</v>
      </c>
      <c r="B16" t="s">
        <v>561</v>
      </c>
      <c r="C16" s="2">
        <v>756</v>
      </c>
      <c r="D16">
        <f>RTD("tos.rtd", , "LAST", Main_S[[#This Row],[Symbol]])</f>
        <v>3.12</v>
      </c>
      <c r="H16" s="1" t="str">
        <f>IF(ISNUMBER(Main_S[[#This Row],[Free CF]]),IF(Main_S[[#This Row],[Free CF]]&lt;&gt;0,Main_S[[#This Row],[Current Price]]/Main_S[[#This Row],[Free CF]],""),"")</f>
        <v/>
      </c>
      <c r="I16" s="1" t="str">
        <f>IF(ISNUMBER(Main_S[[#This Row],[BVPS]]),IF(Main_S[[#This Row],[BVPS]]&lt;&gt;0,Main_S[[#This Row],[Current Price]]/Main_S[[#This Row],[BVPS]],""),"")</f>
        <v/>
      </c>
      <c r="J16">
        <v>9.17</v>
      </c>
      <c r="K16">
        <v>9.16</v>
      </c>
      <c r="L16">
        <v>-0.39</v>
      </c>
      <c r="M16" s="1" t="str">
        <f>IF(ISNUMBER(Main_S[[#This Row],[EPS]]),IF(Main_S[[#This Row],[EPS]]&lt;&gt;0,Main_S[[#This Row],[Current Price]]/Main_S[[#This Row],[EPS]],""),"")</f>
        <v/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 t="e">
        <f>(Main_S[[#This Row],[P/FCF]]-VLOOKUP(Main_S[[#This Row],[Industry]], Mean_PFCF_S, 2, FALSE))/(VLOOKUP(Main_S[[#This Row],[Industry]], Mean_PFCF_S, 3, FALSE))</f>
        <v>#VALUE!</v>
      </c>
      <c r="P16" s="1" t="e">
        <f>(Main_S[[#This Row],[P/B]]-VLOOKUP(Main_S[[#This Row],[Industry]], Mean_PB_S, 2, FALSE))/(VLOOKUP(Main_S[[#This Row],[Industry]], Mean_PB_S, 3, FALSE))</f>
        <v>#VALUE!</v>
      </c>
      <c r="Q16" s="1">
        <f>(Main_S[[#This Row],[ROE]]-VLOOKUP(Main_S[[#This Row],[Industry]], Mean_ROE_S, 2, FALSE))/(VLOOKUP(Main_S[[#This Row],[Industry]], Mean_ROE_S, 3, FALSE))</f>
        <v>1.2504394464479853</v>
      </c>
      <c r="R16" s="1">
        <f>(Main_S[[#This Row],[ROA]]-VLOOKUP(Main_S[[#This Row],[Industry]], Mean_ROA_S, 2, FALSE))/(VLOOKUP(Main_S[[#This Row],[Industry]], Mean_ROA_S, 3, FALSE))</f>
        <v>10.599114145363249</v>
      </c>
      <c r="S16" s="1">
        <f>(Main_S[[#This Row],[A/E]]-VLOOKUP(Main_S[[#This Row],[Industry]], Mean_AE_S, 2, FALSE))/(VLOOKUP(Main_S[[#This Row],[Industry]], Mean_AE_S, 3, FALSE))</f>
        <v>-1.3571149973213998</v>
      </c>
      <c r="T16" s="1" t="e">
        <f>(Main_S[[#This Row],[P/E]]-VLOOKUP(Main_S[[#This Row],[Industry]], Mean_PE_S, 2, FALSE))/(VLOOKUP(Main_S[[#This Row],[Industry]], Mean_PE_S, 3, FALSE))</f>
        <v>#VALUE!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t="s">
        <v>224</v>
      </c>
      <c r="B17" t="s">
        <v>562</v>
      </c>
      <c r="C17" s="2">
        <v>982</v>
      </c>
      <c r="D17">
        <f>RTD("tos.rtd", , "LAST", Main_S[[#This Row],[Symbol]])</f>
        <v>19.53</v>
      </c>
      <c r="E17">
        <v>-2.56</v>
      </c>
      <c r="F17">
        <v>7.88</v>
      </c>
      <c r="G17">
        <v>-29.66</v>
      </c>
      <c r="H17" s="1">
        <f>IF(ISNUMBER(Main_S[[#This Row],[Free CF]]),IF(Main_S[[#This Row],[Free CF]]&lt;&gt;0,Main_S[[#This Row],[Current Price]]/Main_S[[#This Row],[Free CF]],""),"")</f>
        <v>-7.62890625</v>
      </c>
      <c r="I17" s="1">
        <f>IF(ISNUMBER(Main_S[[#This Row],[BVPS]]),IF(Main_S[[#This Row],[BVPS]]&lt;&gt;0,Main_S[[#This Row],[Current Price]]/Main_S[[#This Row],[BVPS]],""),"")</f>
        <v>2.4784263959390866</v>
      </c>
      <c r="J17">
        <v>-220.34</v>
      </c>
      <c r="K17">
        <v>2.96</v>
      </c>
      <c r="L17">
        <v>13.52</v>
      </c>
      <c r="M17" s="1">
        <f>IF(ISNUMBER(Main_S[[#This Row],[EPS]]),IF(Main_S[[#This Row],[EPS]]&lt;&gt;0,Main_S[[#This Row],[Current Price]]/Main_S[[#This Row],[EPS]],""),"")</f>
        <v>-0.65846257585974377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-0.8195020695903853</v>
      </c>
      <c r="P17" s="1">
        <f>(Main_S[[#This Row],[P/B]]-VLOOKUP(Main_S[[#This Row],[Industry]], Mean_PB_S, 2, FALSE))/(VLOOKUP(Main_S[[#This Row],[Industry]], Mean_PB_S, 3, FALSE))</f>
        <v>1.4918503127797644</v>
      </c>
      <c r="Q17" s="1">
        <f>(Main_S[[#This Row],[ROE]]-VLOOKUP(Main_S[[#This Row],[Industry]], Mean_ROE_S, 2, FALSE))/(VLOOKUP(Main_S[[#This Row],[Industry]], Mean_ROE_S, 3, FALSE))</f>
        <v>-58.705345516144732</v>
      </c>
      <c r="R17" s="1">
        <f>(Main_S[[#This Row],[ROA]]-VLOOKUP(Main_S[[#This Row],[Industry]], Mean_ROA_S, 2, FALSE))/(VLOOKUP(Main_S[[#This Row],[Industry]], Mean_ROA_S, 3, FALSE))</f>
        <v>1.4125566847967794</v>
      </c>
      <c r="S17" s="1">
        <f>(Main_S[[#This Row],[A/E]]-VLOOKUP(Main_S[[#This Row],[Industry]], Mean_AE_S, 2, FALSE))/(VLOOKUP(Main_S[[#This Row],[Industry]], Mean_AE_S, 3, FALSE))</f>
        <v>9.5337328561828354</v>
      </c>
      <c r="T17" s="1">
        <f>(Main_S[[#This Row],[P/E]]-VLOOKUP(Main_S[[#This Row],[Industry]], Mean_PE_S, 2, FALSE))/(VLOOKUP(Main_S[[#This Row],[Industry]], Mean_PE_S, 3, FALSE))</f>
        <v>0.63842988265393763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224</v>
      </c>
      <c r="B18" t="s">
        <v>563</v>
      </c>
      <c r="C18" s="2">
        <v>338</v>
      </c>
      <c r="D18">
        <f>RTD("tos.rtd", , "LAST", Main_S[[#This Row],[Symbol]])</f>
        <v>5.95</v>
      </c>
      <c r="E18">
        <v>0.03</v>
      </c>
      <c r="F18">
        <v>4.6399999999999997</v>
      </c>
      <c r="G18">
        <v>0.18</v>
      </c>
      <c r="H18" s="1">
        <f>IF(ISNUMBER(Main_S[[#This Row],[Free CF]]),IF(Main_S[[#This Row],[Free CF]]&lt;&gt;0,Main_S[[#This Row],[Current Price]]/Main_S[[#This Row],[Free CF]],""),"")</f>
        <v>198.33333333333334</v>
      </c>
      <c r="I18" s="1">
        <f>IF(ISNUMBER(Main_S[[#This Row],[BVPS]]),IF(Main_S[[#This Row],[BVPS]]&lt;&gt;0,Main_S[[#This Row],[Current Price]]/Main_S[[#This Row],[BVPS]],""),"")</f>
        <v>1.2823275862068966</v>
      </c>
      <c r="J18">
        <v>4.18</v>
      </c>
      <c r="K18">
        <v>1.57</v>
      </c>
      <c r="L18">
        <v>1.77</v>
      </c>
      <c r="M18" s="1">
        <f>IF(ISNUMBER(Main_S[[#This Row],[EPS]]),IF(Main_S[[#This Row],[EPS]]&lt;&gt;0,Main_S[[#This Row],[Current Price]]/Main_S[[#This Row],[EPS]],""),"")</f>
        <v>33.055555555555557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1.2140099355156586</v>
      </c>
      <c r="P18" s="1">
        <f>(Main_S[[#This Row],[P/B]]-VLOOKUP(Main_S[[#This Row],[Industry]], Mean_PB_S, 2, FALSE))/(VLOOKUP(Main_S[[#This Row],[Industry]], Mean_PB_S, 3, FALSE))</f>
        <v>-0.54566420158765172</v>
      </c>
      <c r="Q18" s="1">
        <f>(Main_S[[#This Row],[ROE]]-VLOOKUP(Main_S[[#This Row],[Industry]], Mean_ROE_S, 2, FALSE))/(VLOOKUP(Main_S[[#This Row],[Industry]], Mean_ROE_S, 3, FALSE))</f>
        <v>-5.3117553087275331E-2</v>
      </c>
      <c r="R18" s="1">
        <f>(Main_S[[#This Row],[ROA]]-VLOOKUP(Main_S[[#This Row],[Industry]], Mean_ROA_S, 2, FALSE))/(VLOOKUP(Main_S[[#This Row],[Industry]], Mean_ROA_S, 3, FALSE))</f>
        <v>-0.64701022974957401</v>
      </c>
      <c r="S18" s="1">
        <f>(Main_S[[#This Row],[A/E]]-VLOOKUP(Main_S[[#This Row],[Industry]], Mean_AE_S, 2, FALSE))/(VLOOKUP(Main_S[[#This Row],[Industry]], Mean_AE_S, 3, FALSE))</f>
        <v>0.33405907626372949</v>
      </c>
      <c r="T18" s="1">
        <f>(Main_S[[#This Row],[P/E]]-VLOOKUP(Main_S[[#This Row],[Industry]], Mean_PE_S, 2, FALSE))/(VLOOKUP(Main_S[[#This Row],[Industry]], Mean_PE_S, 3, FALSE))</f>
        <v>0.76158189483983563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122</v>
      </c>
      <c r="B19" t="s">
        <v>432</v>
      </c>
      <c r="C19" s="2">
        <v>1346</v>
      </c>
      <c r="D19">
        <f>RTD("tos.rtd", , "LAST", Main_S[[#This Row],[Symbol]])</f>
        <v>55.96</v>
      </c>
      <c r="E19">
        <v>3.83</v>
      </c>
      <c r="F19">
        <v>60.36</v>
      </c>
      <c r="G19">
        <v>6.67</v>
      </c>
      <c r="H19" s="1">
        <f>IF(ISNUMBER(Main_S[[#This Row],[Free CF]]),IF(Main_S[[#This Row],[Free CF]]&lt;&gt;0,Main_S[[#This Row],[Current Price]]/Main_S[[#This Row],[Free CF]],""),"")</f>
        <v>14.610966057441253</v>
      </c>
      <c r="I19" s="1">
        <f>IF(ISNUMBER(Main_S[[#This Row],[BVPS]]),IF(Main_S[[#This Row],[BVPS]]&lt;&gt;0,Main_S[[#This Row],[Current Price]]/Main_S[[#This Row],[BVPS]],""),"")</f>
        <v>0.92710404241219357</v>
      </c>
      <c r="J19">
        <v>11.64</v>
      </c>
      <c r="K19">
        <v>6.24</v>
      </c>
      <c r="L19">
        <v>1.75</v>
      </c>
      <c r="M19" s="1">
        <f>IF(ISNUMBER(Main_S[[#This Row],[EPS]]),IF(Main_S[[#This Row],[EPS]]&lt;&gt;0,Main_S[[#This Row],[Current Price]]/Main_S[[#This Row],[EPS]],""),"")</f>
        <v>8.3898050974512746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0.66567383885420506</v>
      </c>
      <c r="P19" s="1">
        <f>(Main_S[[#This Row],[P/B]]-VLOOKUP(Main_S[[#This Row],[Industry]], Mean_PB_S, 2, FALSE))/(VLOOKUP(Main_S[[#This Row],[Industry]], Mean_PB_S, 3, FALSE))</f>
        <v>-0.85499143136407674</v>
      </c>
      <c r="Q19" s="1">
        <f>(Main_S[[#This Row],[ROE]]-VLOOKUP(Main_S[[#This Row],[Industry]], Mean_ROE_S, 2, FALSE))/(VLOOKUP(Main_S[[#This Row],[Industry]], Mean_ROE_S, 3, FALSE))</f>
        <v>-0.48551871300386484</v>
      </c>
      <c r="R19" s="1">
        <f>(Main_S[[#This Row],[ROA]]-VLOOKUP(Main_S[[#This Row],[Industry]], Mean_ROA_S, 2, FALSE))/(VLOOKUP(Main_S[[#This Row],[Industry]], Mean_ROA_S, 3, FALSE))</f>
        <v>1.4131880708160679E-2</v>
      </c>
      <c r="S19" s="1">
        <f>(Main_S[[#This Row],[A/E]]-VLOOKUP(Main_S[[#This Row],[Industry]], Mean_AE_S, 2, FALSE))/(VLOOKUP(Main_S[[#This Row],[Industry]], Mean_AE_S, 3, FALSE))</f>
        <v>-4.7091293497539292E-3</v>
      </c>
      <c r="T19" s="1">
        <f>(Main_S[[#This Row],[P/E]]-VLOOKUP(Main_S[[#This Row],[Industry]], Mean_PE_S, 2, FALSE))/(VLOOKUP(Main_S[[#This Row],[Industry]], Mean_PE_S, 3, FALSE))</f>
        <v>-0.89483975858184372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122</v>
      </c>
      <c r="B20" t="s">
        <v>433</v>
      </c>
      <c r="C20" s="2">
        <v>1821</v>
      </c>
      <c r="D20">
        <f>RTD("tos.rtd", , "LAST", Main_S[[#This Row],[Symbol]])</f>
        <v>39.86</v>
      </c>
      <c r="E20">
        <v>7.36</v>
      </c>
      <c r="F20">
        <v>21.32</v>
      </c>
      <c r="G20">
        <v>4.74</v>
      </c>
      <c r="H20" s="1">
        <f>IF(ISNUMBER(Main_S[[#This Row],[Free CF]]),IF(Main_S[[#This Row],[Free CF]]&lt;&gt;0,Main_S[[#This Row],[Current Price]]/Main_S[[#This Row],[Free CF]],""),"")</f>
        <v>5.4157608695652169</v>
      </c>
      <c r="I20" s="1">
        <f>IF(ISNUMBER(Main_S[[#This Row],[BVPS]]),IF(Main_S[[#This Row],[BVPS]]&lt;&gt;0,Main_S[[#This Row],[Current Price]]/Main_S[[#This Row],[BVPS]],""),"")</f>
        <v>1.8696060037523452</v>
      </c>
      <c r="J20">
        <v>22.22</v>
      </c>
      <c r="K20">
        <v>10.79</v>
      </c>
      <c r="L20">
        <v>1.88</v>
      </c>
      <c r="M20" s="1">
        <f>IF(ISNUMBER(Main_S[[#This Row],[EPS]]),IF(Main_S[[#This Row],[EPS]]&lt;&gt;0,Main_S[[#This Row],[Current Price]]/Main_S[[#This Row],[EPS]],""),"")</f>
        <v>8.4092827004219401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-1.0878807951652869</v>
      </c>
      <c r="P20" s="1">
        <f>(Main_S[[#This Row],[P/B]]-VLOOKUP(Main_S[[#This Row],[Industry]], Mean_PB_S, 2, FALSE))/(VLOOKUP(Main_S[[#This Row],[Industry]], Mean_PB_S, 3, FALSE))</f>
        <v>0.58813596724964279</v>
      </c>
      <c r="Q20" s="1">
        <f>(Main_S[[#This Row],[ROE]]-VLOOKUP(Main_S[[#This Row],[Industry]], Mean_ROE_S, 2, FALSE))/(VLOOKUP(Main_S[[#This Row],[Industry]], Mean_ROE_S, 3, FALSE))</f>
        <v>1.2008857464777154</v>
      </c>
      <c r="R20" s="1">
        <f>(Main_S[[#This Row],[ROA]]-VLOOKUP(Main_S[[#This Row],[Industry]], Mean_ROA_S, 2, FALSE))/(VLOOKUP(Main_S[[#This Row],[Industry]], Mean_ROA_S, 3, FALSE))</f>
        <v>1.3444778922005154</v>
      </c>
      <c r="S20" s="1">
        <f>(Main_S[[#This Row],[A/E]]-VLOOKUP(Main_S[[#This Row],[Industry]], Mean_AE_S, 2, FALSE))/(VLOOKUP(Main_S[[#This Row],[Industry]], Mean_AE_S, 3, FALSE))</f>
        <v>0.30138427838425091</v>
      </c>
      <c r="T20" s="1">
        <f>(Main_S[[#This Row],[P/E]]-VLOOKUP(Main_S[[#This Row],[Industry]], Mean_PE_S, 2, FALSE))/(VLOOKUP(Main_S[[#This Row],[Industry]], Mean_PE_S, 3, FALSE))</f>
        <v>-0.8801509118785702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122</v>
      </c>
      <c r="B21" t="s">
        <v>434</v>
      </c>
      <c r="C21" s="2">
        <v>574</v>
      </c>
      <c r="D21">
        <f>RTD("tos.rtd", , "LAST", Main_S[[#This Row],[Symbol]])</f>
        <v>36.31</v>
      </c>
      <c r="E21">
        <v>2</v>
      </c>
      <c r="F21">
        <v>18.04</v>
      </c>
      <c r="G21">
        <v>0.99</v>
      </c>
      <c r="H21" s="1">
        <f>IF(ISNUMBER(Main_S[[#This Row],[Free CF]]),IF(Main_S[[#This Row],[Free CF]]&lt;&gt;0,Main_S[[#This Row],[Current Price]]/Main_S[[#This Row],[Free CF]],""),"")</f>
        <v>18.155000000000001</v>
      </c>
      <c r="I21" s="1">
        <f>IF(ISNUMBER(Main_S[[#This Row],[BVPS]]),IF(Main_S[[#This Row],[BVPS]]&lt;&gt;0,Main_S[[#This Row],[Current Price]]/Main_S[[#This Row],[BVPS]],""),"")</f>
        <v>2.0127494456762753</v>
      </c>
      <c r="J21">
        <v>5.27</v>
      </c>
      <c r="K21">
        <v>2.88</v>
      </c>
      <c r="L21">
        <v>1.2</v>
      </c>
      <c r="M21" s="1">
        <f>IF(ISNUMBER(Main_S[[#This Row],[EPS]]),IF(Main_S[[#This Row],[EPS]]&lt;&gt;0,Main_S[[#This Row],[Current Price]]/Main_S[[#This Row],[EPS]],""),"")</f>
        <v>36.676767676767682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1.3415322907450173</v>
      </c>
      <c r="P21" s="1">
        <f>(Main_S[[#This Row],[P/B]]-VLOOKUP(Main_S[[#This Row],[Industry]], Mean_PB_S, 2, FALSE))/(VLOOKUP(Main_S[[#This Row],[Industry]], Mean_PB_S, 3, FALSE))</f>
        <v>0.80731240554433414</v>
      </c>
      <c r="Q21" s="1">
        <f>(Main_S[[#This Row],[ROE]]-VLOOKUP(Main_S[[#This Row],[Industry]], Mean_ROE_S, 2, FALSE))/(VLOOKUP(Main_S[[#This Row],[Industry]], Mean_ROE_S, 3, FALSE))</f>
        <v>-1.500868089837293</v>
      </c>
      <c r="R21" s="1">
        <f>(Main_S[[#This Row],[ROA]]-VLOOKUP(Main_S[[#This Row],[Industry]], Mean_ROA_S, 2, FALSE))/(VLOOKUP(Main_S[[#This Row],[Industry]], Mean_ROA_S, 3, FALSE))</f>
        <v>-0.96827748162465543</v>
      </c>
      <c r="S21" s="1">
        <f>(Main_S[[#This Row],[A/E]]-VLOOKUP(Main_S[[#This Row],[Industry]], Mean_AE_S, 2, FALSE))/(VLOOKUP(Main_S[[#This Row],[Industry]], Mean_AE_S, 3, FALSE))</f>
        <v>-1.2997197005320833</v>
      </c>
      <c r="T21" s="1">
        <f>(Main_S[[#This Row],[P/E]]-VLOOKUP(Main_S[[#This Row],[Industry]], Mean_PE_S, 2, FALSE))/(VLOOKUP(Main_S[[#This Row],[Industry]], Mean_PE_S, 3, FALSE))</f>
        <v>20.43750065592323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" spans="1:26" x14ac:dyDescent="0.25">
      <c r="A22" t="s">
        <v>122</v>
      </c>
      <c r="B22" t="s">
        <v>435</v>
      </c>
      <c r="C22" s="2">
        <v>1037</v>
      </c>
      <c r="D22">
        <f>RTD("tos.rtd", , "LAST", Main_S[[#This Row],[Symbol]])</f>
        <v>8.49</v>
      </c>
      <c r="E22">
        <v>1.04</v>
      </c>
      <c r="F22">
        <v>3.73</v>
      </c>
      <c r="G22">
        <v>0.72</v>
      </c>
      <c r="H22" s="1">
        <f>IF(ISNUMBER(Main_S[[#This Row],[Free CF]]),IF(Main_S[[#This Row],[Free CF]]&lt;&gt;0,Main_S[[#This Row],[Current Price]]/Main_S[[#This Row],[Free CF]],""),"")</f>
        <v>8.1634615384615383</v>
      </c>
      <c r="I22" s="1">
        <f>IF(ISNUMBER(Main_S[[#This Row],[BVPS]]),IF(Main_S[[#This Row],[BVPS]]&lt;&gt;0,Main_S[[#This Row],[Current Price]]/Main_S[[#This Row],[BVPS]],""),"")</f>
        <v>2.2761394101876675</v>
      </c>
      <c r="J22">
        <v>21.02</v>
      </c>
      <c r="K22">
        <v>9.7899999999999991</v>
      </c>
      <c r="L22">
        <v>2.46</v>
      </c>
      <c r="M22" s="1">
        <f>IF(ISNUMBER(Main_S[[#This Row],[EPS]]),IF(Main_S[[#This Row],[EPS]]&lt;&gt;0,Main_S[[#This Row],[Current Price]]/Main_S[[#This Row],[EPS]],""),"")</f>
        <v>11.791666666666668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-0.56388561045809837</v>
      </c>
      <c r="P22" s="1">
        <f>(Main_S[[#This Row],[P/B]]-VLOOKUP(Main_S[[#This Row],[Industry]], Mean_PB_S, 2, FALSE))/(VLOOKUP(Main_S[[#This Row],[Industry]], Mean_PB_S, 3, FALSE))</f>
        <v>1.2106062870401459</v>
      </c>
      <c r="Q22" s="1">
        <f>(Main_S[[#This Row],[ROE]]-VLOOKUP(Main_S[[#This Row],[Industry]], Mean_ROE_S, 2, FALSE))/(VLOOKUP(Main_S[[#This Row],[Industry]], Mean_ROE_S, 3, FALSE))</f>
        <v>1.0096111385970068</v>
      </c>
      <c r="R22" s="1">
        <f>(Main_S[[#This Row],[ROA]]-VLOOKUP(Main_S[[#This Row],[Industry]], Mean_ROA_S, 2, FALSE))/(VLOOKUP(Main_S[[#This Row],[Industry]], Mean_ROA_S, 3, FALSE))</f>
        <v>1.0520941534109869</v>
      </c>
      <c r="S22" s="1">
        <f>(Main_S[[#This Row],[A/E]]-VLOOKUP(Main_S[[#This Row],[Industry]], Mean_AE_S, 2, FALSE))/(VLOOKUP(Main_S[[#This Row],[Industry]], Mean_AE_S, 3, FALSE))</f>
        <v>1.6670317898128892</v>
      </c>
      <c r="T22" s="1">
        <f>(Main_S[[#This Row],[P/E]]-VLOOKUP(Main_S[[#This Row],[Industry]], Mean_PE_S, 2, FALSE))/(VLOOKUP(Main_S[[#This Row],[Industry]], Mean_PE_S, 3, FALSE))</f>
        <v>1.670641382563673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122</v>
      </c>
      <c r="B23" t="s">
        <v>436</v>
      </c>
      <c r="C23" s="2">
        <v>911</v>
      </c>
      <c r="D23">
        <f>RTD("tos.rtd", , "LAST", Main_S[[#This Row],[Symbol]])</f>
        <v>3.83</v>
      </c>
      <c r="E23">
        <v>0.02</v>
      </c>
      <c r="F23">
        <v>8.51</v>
      </c>
      <c r="G23">
        <v>-1.67</v>
      </c>
      <c r="H23" s="1">
        <f>IF(ISNUMBER(Main_S[[#This Row],[Free CF]]),IF(Main_S[[#This Row],[Free CF]]&lt;&gt;0,Main_S[[#This Row],[Current Price]]/Main_S[[#This Row],[Free CF]],""),"")</f>
        <v>191.5</v>
      </c>
      <c r="I23" s="1">
        <f>IF(ISNUMBER(Main_S[[#This Row],[BVPS]]),IF(Main_S[[#This Row],[BVPS]]&lt;&gt;0,Main_S[[#This Row],[Current Price]]/Main_S[[#This Row],[BVPS]],""),"")</f>
        <v>0.4500587544065805</v>
      </c>
      <c r="J23">
        <v>-18.21</v>
      </c>
      <c r="K23">
        <v>1.18</v>
      </c>
      <c r="L23">
        <v>3.94</v>
      </c>
      <c r="M23" s="1">
        <f>IF(ISNUMBER(Main_S[[#This Row],[EPS]]),IF(Main_S[[#This Row],[EPS]]&lt;&gt;0,Main_S[[#This Row],[Current Price]]/Main_S[[#This Row],[EPS]],""),"")</f>
        <v>-2.2934131736526946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34.398970577700922</v>
      </c>
      <c r="P23" s="1">
        <f>(Main_S[[#This Row],[P/B]]-VLOOKUP(Main_S[[#This Row],[Industry]], Mean_PB_S, 2, FALSE))/(VLOOKUP(Main_S[[#This Row],[Industry]], Mean_PB_S, 3, FALSE))</f>
        <v>-1.5854271797646196</v>
      </c>
      <c r="Q23" s="1">
        <f>(Main_S[[#This Row],[ROE]]-VLOOKUP(Main_S[[#This Row],[Industry]], Mean_ROE_S, 2, FALSE))/(VLOOKUP(Main_S[[#This Row],[Industry]], Mean_ROE_S, 3, FALSE))</f>
        <v>-5.2434745840364911</v>
      </c>
      <c r="R23" s="1">
        <f>(Main_S[[#This Row],[ROA]]-VLOOKUP(Main_S[[#This Row],[Industry]], Mean_ROA_S, 2, FALSE))/(VLOOKUP(Main_S[[#This Row],[Industry]], Mean_ROA_S, 3, FALSE))</f>
        <v>-1.465329837566854</v>
      </c>
      <c r="S23" s="1">
        <f>(Main_S[[#This Row],[A/E]]-VLOOKUP(Main_S[[#This Row],[Industry]], Mean_AE_S, 2, FALSE))/(VLOOKUP(Main_S[[#This Row],[Industry]], Mean_AE_S, 3, FALSE))</f>
        <v>5.1517875086307932</v>
      </c>
      <c r="T23" s="1">
        <f>(Main_S[[#This Row],[P/E]]-VLOOKUP(Main_S[[#This Row],[Industry]], Mean_PE_S, 2, FALSE))/(VLOOKUP(Main_S[[#This Row],[Industry]], Mean_PE_S, 3, FALSE))</f>
        <v>-8.951485934099134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" spans="1:26" x14ac:dyDescent="0.25">
      <c r="A24" t="s">
        <v>122</v>
      </c>
      <c r="B24" t="s">
        <v>437</v>
      </c>
      <c r="C24" s="2">
        <v>1379</v>
      </c>
      <c r="D24">
        <f>RTD("tos.rtd", , "LAST", Main_S[[#This Row],[Symbol]])</f>
        <v>19.02</v>
      </c>
      <c r="E24">
        <v>2.72</v>
      </c>
      <c r="F24">
        <v>18.07</v>
      </c>
      <c r="G24">
        <v>2.25</v>
      </c>
      <c r="H24" s="1">
        <f>IF(ISNUMBER(Main_S[[#This Row],[Free CF]]),IF(Main_S[[#This Row],[Free CF]]&lt;&gt;0,Main_S[[#This Row],[Current Price]]/Main_S[[#This Row],[Free CF]],""),"")</f>
        <v>6.992647058823529</v>
      </c>
      <c r="I24" s="1">
        <f>IF(ISNUMBER(Main_S[[#This Row],[BVPS]]),IF(Main_S[[#This Row],[BVPS]]&lt;&gt;0,Main_S[[#This Row],[Current Price]]/Main_S[[#This Row],[BVPS]],""),"")</f>
        <v>1.0525733259546208</v>
      </c>
      <c r="J24">
        <v>13.28</v>
      </c>
      <c r="K24">
        <v>6.27</v>
      </c>
      <c r="L24">
        <v>1.47</v>
      </c>
      <c r="M24" s="1">
        <f>IF(ISNUMBER(Main_S[[#This Row],[EPS]]),IF(Main_S[[#This Row],[EPS]]&lt;&gt;0,Main_S[[#This Row],[Current Price]]/Main_S[[#This Row],[EPS]],""),"")</f>
        <v>8.4533333333333331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4" s="1">
        <f>(Main_S[[#This Row],[P/FCF]]-VLOOKUP(Main_S[[#This Row],[Industry]], Mean_PFCF_S, 2, FALSE))/(VLOOKUP(Main_S[[#This Row],[Industry]], Mean_PFCF_S, 3, FALSE))</f>
        <v>-0.7871636248577516</v>
      </c>
      <c r="P24" s="1">
        <f>(Main_S[[#This Row],[P/B]]-VLOOKUP(Main_S[[#This Row],[Industry]], Mean_PB_S, 2, FALSE))/(VLOOKUP(Main_S[[#This Row],[Industry]], Mean_PB_S, 3, FALSE))</f>
        <v>-0.66287707172173937</v>
      </c>
      <c r="Q24" s="1">
        <f>(Main_S[[#This Row],[ROE]]-VLOOKUP(Main_S[[#This Row],[Industry]], Mean_ROE_S, 2, FALSE))/(VLOOKUP(Main_S[[#This Row],[Industry]], Mean_ROE_S, 3, FALSE))</f>
        <v>-0.22411008223356332</v>
      </c>
      <c r="R24" s="1">
        <f>(Main_S[[#This Row],[ROA]]-VLOOKUP(Main_S[[#This Row],[Industry]], Mean_ROA_S, 2, FALSE))/(VLOOKUP(Main_S[[#This Row],[Industry]], Mean_ROA_S, 3, FALSE))</f>
        <v>2.290339287184635E-2</v>
      </c>
      <c r="S24" s="1">
        <f>(Main_S[[#This Row],[A/E]]-VLOOKUP(Main_S[[#This Row],[Industry]], Mean_AE_S, 2, FALSE))/(VLOOKUP(Main_S[[#This Row],[Industry]], Mean_AE_S, 3, FALSE))</f>
        <v>-0.66398723831530349</v>
      </c>
      <c r="T24" s="1">
        <f>(Main_S[[#This Row],[P/E]]-VLOOKUP(Main_S[[#This Row],[Industry]], Mean_PE_S, 2, FALSE))/(VLOOKUP(Main_S[[#This Row],[Industry]], Mean_PE_S, 3, FALSE))</f>
        <v>-0.84693055129353689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192</v>
      </c>
      <c r="B25" t="s">
        <v>516</v>
      </c>
      <c r="C25" s="2">
        <v>1031</v>
      </c>
      <c r="D25">
        <f>RTD("tos.rtd", , "LAST", Main_S[[#This Row],[Symbol]])</f>
        <v>15.35</v>
      </c>
      <c r="E25">
        <v>2.91</v>
      </c>
      <c r="F25">
        <v>13.84</v>
      </c>
      <c r="G25">
        <v>1.24</v>
      </c>
      <c r="H25" s="1">
        <f>IF(ISNUMBER(Main_S[[#This Row],[Free CF]]),IF(Main_S[[#This Row],[Free CF]]&lt;&gt;0,Main_S[[#This Row],[Current Price]]/Main_S[[#This Row],[Free CF]],""),"")</f>
        <v>5.2749140893470789</v>
      </c>
      <c r="I25" s="1">
        <f>IF(ISNUMBER(Main_S[[#This Row],[BVPS]]),IF(Main_S[[#This Row],[BVPS]]&lt;&gt;0,Main_S[[#This Row],[Current Price]]/Main_S[[#This Row],[BVPS]],""),"")</f>
        <v>1.1091040462427746</v>
      </c>
      <c r="J25">
        <v>9.1199999999999992</v>
      </c>
      <c r="K25">
        <v>5.34</v>
      </c>
      <c r="L25">
        <v>4.28</v>
      </c>
      <c r="M25" s="1">
        <f>IF(ISNUMBER(Main_S[[#This Row],[EPS]]),IF(Main_S[[#This Row],[EPS]]&lt;&gt;0,Main_S[[#This Row],[Current Price]]/Main_S[[#This Row],[EPS]],""),"")</f>
        <v>12.379032258064516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-0.43290093656486012</v>
      </c>
      <c r="P25" s="1">
        <f>(Main_S[[#This Row],[P/B]]-VLOOKUP(Main_S[[#This Row],[Industry]], Mean_PB_S, 2, FALSE))/(VLOOKUP(Main_S[[#This Row],[Industry]], Mean_PB_S, 3, FALSE))</f>
        <v>-0.6645682990729106</v>
      </c>
      <c r="Q25" s="1">
        <f>(Main_S[[#This Row],[ROE]]-VLOOKUP(Main_S[[#This Row],[Industry]], Mean_ROE_S, 2, FALSE))/(VLOOKUP(Main_S[[#This Row],[Industry]], Mean_ROE_S, 3, FALSE))</f>
        <v>0.29284740713388491</v>
      </c>
      <c r="R25" s="1">
        <f>(Main_S[[#This Row],[ROA]]-VLOOKUP(Main_S[[#This Row],[Industry]], Mean_ROA_S, 2, FALSE))/(VLOOKUP(Main_S[[#This Row],[Industry]], Mean_ROA_S, 3, FALSE))</f>
        <v>0.52405798698865635</v>
      </c>
      <c r="S25" s="1">
        <f>(Main_S[[#This Row],[A/E]]-VLOOKUP(Main_S[[#This Row],[Industry]], Mean_AE_S, 2, FALSE))/(VLOOKUP(Main_S[[#This Row],[Industry]], Mean_AE_S, 3, FALSE))</f>
        <v>1.1693212263640735</v>
      </c>
      <c r="T25" s="1">
        <f>(Main_S[[#This Row],[P/E]]-VLOOKUP(Main_S[[#This Row],[Industry]], Mean_PE_S, 2, FALSE))/(VLOOKUP(Main_S[[#This Row],[Industry]], Mean_PE_S, 3, FALSE))</f>
        <v>0.13317477316416582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192</v>
      </c>
      <c r="B26" t="s">
        <v>517</v>
      </c>
      <c r="C26" s="2">
        <v>550</v>
      </c>
      <c r="D26">
        <f>RTD("tos.rtd", , "LAST", Main_S[[#This Row],[Symbol]])</f>
        <v>18.649999999999999</v>
      </c>
      <c r="E26">
        <v>2.42</v>
      </c>
      <c r="F26">
        <v>13.8</v>
      </c>
      <c r="G26">
        <v>1.57</v>
      </c>
      <c r="H26" s="1">
        <f>IF(ISNUMBER(Main_S[[#This Row],[Free CF]]),IF(Main_S[[#This Row],[Free CF]]&lt;&gt;0,Main_S[[#This Row],[Current Price]]/Main_S[[#This Row],[Free CF]],""),"")</f>
        <v>7.7066115702479339</v>
      </c>
      <c r="I26" s="1">
        <f>IF(ISNUMBER(Main_S[[#This Row],[BVPS]]),IF(Main_S[[#This Row],[BVPS]]&lt;&gt;0,Main_S[[#This Row],[Current Price]]/Main_S[[#This Row],[BVPS]],""),"")</f>
        <v>1.3514492753623186</v>
      </c>
      <c r="J26">
        <v>11.7</v>
      </c>
      <c r="K26">
        <v>8.0299999999999994</v>
      </c>
      <c r="L26">
        <v>1.1399999999999999</v>
      </c>
      <c r="M26" s="1">
        <f>IF(ISNUMBER(Main_S[[#This Row],[EPS]]),IF(Main_S[[#This Row],[EPS]]&lt;&gt;0,Main_S[[#This Row],[Current Price]]/Main_S[[#This Row],[EPS]],""),"")</f>
        <v>11.878980891719744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6" s="1">
        <f>(Main_S[[#This Row],[P/FCF]]-VLOOKUP(Main_S[[#This Row],[Industry]], Mean_PFCF_S, 2, FALSE))/(VLOOKUP(Main_S[[#This Row],[Industry]], Mean_PFCF_S, 3, FALSE))</f>
        <v>-0.26413135934270726</v>
      </c>
      <c r="P26" s="1">
        <f>(Main_S[[#This Row],[P/B]]-VLOOKUP(Main_S[[#This Row],[Industry]], Mean_PB_S, 2, FALSE))/(VLOOKUP(Main_S[[#This Row],[Industry]], Mean_PB_S, 3, FALSE))</f>
        <v>-0.19166509273899995</v>
      </c>
      <c r="Q26" s="1">
        <f>(Main_S[[#This Row],[ROE]]-VLOOKUP(Main_S[[#This Row],[Industry]], Mean_ROE_S, 2, FALSE))/(VLOOKUP(Main_S[[#This Row],[Industry]], Mean_ROE_S, 3, FALSE))</f>
        <v>0.49888676093956352</v>
      </c>
      <c r="R26" s="1">
        <f>(Main_S[[#This Row],[ROA]]-VLOOKUP(Main_S[[#This Row],[Industry]], Mean_ROA_S, 2, FALSE))/(VLOOKUP(Main_S[[#This Row],[Industry]], Mean_ROA_S, 3, FALSE))</f>
        <v>2.0537326708830146</v>
      </c>
      <c r="S26" s="1">
        <f>(Main_S[[#This Row],[A/E]]-VLOOKUP(Main_S[[#This Row],[Industry]], Mean_AE_S, 2, FALSE))/(VLOOKUP(Main_S[[#This Row],[Industry]], Mean_AE_S, 3, FALSE))</f>
        <v>-1.3036211474353101</v>
      </c>
      <c r="T26" s="1">
        <f>(Main_S[[#This Row],[P/E]]-VLOOKUP(Main_S[[#This Row],[Industry]], Mean_PE_S, 2, FALSE))/(VLOOKUP(Main_S[[#This Row],[Industry]], Mean_PE_S, 3, FALSE))</f>
        <v>0.1010032815134663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192</v>
      </c>
      <c r="B27" t="s">
        <v>518</v>
      </c>
      <c r="C27" s="2">
        <v>450</v>
      </c>
      <c r="D27">
        <f>RTD("tos.rtd", , "LAST", Main_S[[#This Row],[Symbol]])</f>
        <v>5.52</v>
      </c>
      <c r="E27">
        <v>0.08</v>
      </c>
      <c r="F27">
        <v>0.98</v>
      </c>
      <c r="G27">
        <v>-1.64</v>
      </c>
      <c r="H27" s="1">
        <f>IF(ISNUMBER(Main_S[[#This Row],[Free CF]]),IF(Main_S[[#This Row],[Free CF]]&lt;&gt;0,Main_S[[#This Row],[Current Price]]/Main_S[[#This Row],[Free CF]],""),"")</f>
        <v>69</v>
      </c>
      <c r="I27" s="1">
        <f>IF(ISNUMBER(Main_S[[#This Row],[BVPS]]),IF(Main_S[[#This Row],[BVPS]]&lt;&gt;0,Main_S[[#This Row],[Current Price]]/Main_S[[#This Row],[BVPS]],""),"")</f>
        <v>5.6326530612244898</v>
      </c>
      <c r="J27">
        <v>-79.88</v>
      </c>
      <c r="K27">
        <v>4.93</v>
      </c>
      <c r="L27">
        <v>27.28</v>
      </c>
      <c r="M27" s="1">
        <f>IF(ISNUMBER(Main_S[[#This Row],[EPS]]),IF(Main_S[[#This Row],[EPS]]&lt;&gt;0,Main_S[[#This Row],[Current Price]]/Main_S[[#This Row],[EPS]],""),"")</f>
        <v>-3.3658536585365852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3.9898761120020456</v>
      </c>
      <c r="P27" s="1">
        <f>(Main_S[[#This Row],[P/B]]-VLOOKUP(Main_S[[#This Row],[Industry]], Mean_PB_S, 2, FALSE))/(VLOOKUP(Main_S[[#This Row],[Industry]], Mean_PB_S, 3, FALSE))</f>
        <v>8.1625121471372832</v>
      </c>
      <c r="Q27" s="1">
        <f>(Main_S[[#This Row],[ROE]]-VLOOKUP(Main_S[[#This Row],[Industry]], Mean_ROE_S, 2, FALSE))/(VLOOKUP(Main_S[[#This Row],[Industry]], Mean_ROE_S, 3, FALSE))</f>
        <v>-6.8147116970154915</v>
      </c>
      <c r="R27" s="1">
        <f>(Main_S[[#This Row],[ROA]]-VLOOKUP(Main_S[[#This Row],[Industry]], Mean_ROA_S, 2, FALSE))/(VLOOKUP(Main_S[[#This Row],[Industry]], Mean_ROA_S, 3, FALSE))</f>
        <v>0.29091054446200681</v>
      </c>
      <c r="S27" s="1">
        <f>(Main_S[[#This Row],[A/E]]-VLOOKUP(Main_S[[#This Row],[Industry]], Mean_AE_S, 2, FALSE))/(VLOOKUP(Main_S[[#This Row],[Industry]], Mean_AE_S, 3, FALSE))</f>
        <v>19.283230333811787</v>
      </c>
      <c r="T27" s="1">
        <f>(Main_S[[#This Row],[P/E]]-VLOOKUP(Main_S[[#This Row],[Industry]], Mean_PE_S, 2, FALSE))/(VLOOKUP(Main_S[[#This Row],[Industry]], Mean_PE_S, 3, FALSE))</f>
        <v>-0.87979409343404114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192</v>
      </c>
      <c r="B28" t="s">
        <v>519</v>
      </c>
      <c r="C28" s="2">
        <v>490</v>
      </c>
      <c r="D28">
        <f>RTD("tos.rtd", , "LAST", Main_S[[#This Row],[Symbol]])</f>
        <v>0.75480000000000003</v>
      </c>
      <c r="H28" s="1" t="str">
        <f>IF(ISNUMBER(Main_S[[#This Row],[Free CF]]),IF(Main_S[[#This Row],[Free CF]]&lt;&gt;0,Main_S[[#This Row],[Current Price]]/Main_S[[#This Row],[Free CF]],""),"")</f>
        <v/>
      </c>
      <c r="I28" s="1" t="str">
        <f>IF(ISNUMBER(Main_S[[#This Row],[BVPS]]),IF(Main_S[[#This Row],[BVPS]]&lt;&gt;0,Main_S[[#This Row],[Current Price]]/Main_S[[#This Row],[BVPS]],""),"")</f>
        <v/>
      </c>
      <c r="J28">
        <v>-13.86</v>
      </c>
      <c r="K28">
        <v>-1.17</v>
      </c>
      <c r="L28">
        <v>4.51</v>
      </c>
      <c r="M28" s="1" t="str">
        <f>IF(ISNUMBER(Main_S[[#This Row],[EPS]]),IF(Main_S[[#This Row],[EPS]]&lt;&gt;0,Main_S[[#This Row],[Current Price]]/Main_S[[#This Row],[EPS]],""),"")</f>
        <v/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 t="e">
        <f>(Main_S[[#This Row],[P/FCF]]-VLOOKUP(Main_S[[#This Row],[Industry]], Mean_PFCF_S, 2, FALSE))/(VLOOKUP(Main_S[[#This Row],[Industry]], Mean_PFCF_S, 3, FALSE))</f>
        <v>#VALUE!</v>
      </c>
      <c r="P28" s="1" t="e">
        <f>(Main_S[[#This Row],[P/B]]-VLOOKUP(Main_S[[#This Row],[Industry]], Mean_PB_S, 2, FALSE))/(VLOOKUP(Main_S[[#This Row],[Industry]], Mean_PB_S, 3, FALSE))</f>
        <v>#VALUE!</v>
      </c>
      <c r="Q28" s="1">
        <f>(Main_S[[#This Row],[ROE]]-VLOOKUP(Main_S[[#This Row],[Industry]], Mean_ROE_S, 2, FALSE))/(VLOOKUP(Main_S[[#This Row],[Industry]], Mean_ROE_S, 3, FALSE))</f>
        <v>-1.5423403256004147</v>
      </c>
      <c r="R28" s="1">
        <f>(Main_S[[#This Row],[ROA]]-VLOOKUP(Main_S[[#This Row],[Industry]], Mean_ROA_S, 2, FALSE))/(VLOOKUP(Main_S[[#This Row],[Industry]], Mean_ROA_S, 3, FALSE))</f>
        <v>-3.1778684784954603</v>
      </c>
      <c r="S28" s="1">
        <f>(Main_S[[#This Row],[A/E]]-VLOOKUP(Main_S[[#This Row],[Industry]], Mean_AE_S, 2, FALSE))/(VLOOKUP(Main_S[[#This Row],[Industry]], Mean_AE_S, 3, FALSE))</f>
        <v>1.3504603174385501</v>
      </c>
      <c r="T28" s="1" t="e">
        <f>(Main_S[[#This Row],[P/E]]-VLOOKUP(Main_S[[#This Row],[Industry]], Mean_PE_S, 2, FALSE))/(VLOOKUP(Main_S[[#This Row],[Industry]], Mean_PE_S, 3, FALSE))</f>
        <v>#VALUE!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9" spans="1:26" x14ac:dyDescent="0.25">
      <c r="A29" t="s">
        <v>192</v>
      </c>
      <c r="B29" t="s">
        <v>520</v>
      </c>
      <c r="C29" s="2">
        <v>783</v>
      </c>
      <c r="D29">
        <f>RTD("tos.rtd", , "LAST", Main_S[[#This Row],[Symbol]])</f>
        <v>24.57</v>
      </c>
      <c r="E29">
        <v>0.57999999999999996</v>
      </c>
      <c r="F29">
        <v>11.21</v>
      </c>
      <c r="G29">
        <v>0.81</v>
      </c>
      <c r="H29" s="1">
        <f>IF(ISNUMBER(Main_S[[#This Row],[Free CF]]),IF(Main_S[[#This Row],[Free CF]]&lt;&gt;0,Main_S[[#This Row],[Current Price]]/Main_S[[#This Row],[Free CF]],""),"")</f>
        <v>42.362068965517246</v>
      </c>
      <c r="I29" s="1">
        <f>IF(ISNUMBER(Main_S[[#This Row],[BVPS]]),IF(Main_S[[#This Row],[BVPS]]&lt;&gt;0,Main_S[[#This Row],[Current Price]]/Main_S[[#This Row],[BVPS]],""),"")</f>
        <v>2.191793041926851</v>
      </c>
      <c r="J29">
        <v>8.4499999999999993</v>
      </c>
      <c r="K29">
        <v>4.8600000000000003</v>
      </c>
      <c r="L29">
        <v>4.0999999999999996</v>
      </c>
      <c r="M29" s="1">
        <f>IF(ISNUMBER(Main_S[[#This Row],[EPS]]),IF(Main_S[[#This Row],[EPS]]&lt;&gt;0,Main_S[[#This Row],[Current Price]]/Main_S[[#This Row],[EPS]],""),"")</f>
        <v>30.333333333333332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2.1410966507110643</v>
      </c>
      <c r="P29" s="1">
        <f>(Main_S[[#This Row],[P/B]]-VLOOKUP(Main_S[[#This Row],[Industry]], Mean_PB_S, 2, FALSE))/(VLOOKUP(Main_S[[#This Row],[Industry]], Mean_PB_S, 3, FALSE))</f>
        <v>1.4481495760905341</v>
      </c>
      <c r="Q29" s="1">
        <f>(Main_S[[#This Row],[ROE]]-VLOOKUP(Main_S[[#This Row],[Industry]], Mean_ROE_S, 2, FALSE))/(VLOOKUP(Main_S[[#This Row],[Industry]], Mean_ROE_S, 3, FALSE))</f>
        <v>0.2393410633161312</v>
      </c>
      <c r="R29" s="1">
        <f>(Main_S[[#This Row],[ROA]]-VLOOKUP(Main_S[[#This Row],[Industry]], Mean_ROA_S, 2, FALSE))/(VLOOKUP(Main_S[[#This Row],[Industry]], Mean_ROA_S, 3, FALSE))</f>
        <v>0.25110488354282307</v>
      </c>
      <c r="S29" s="1">
        <f>(Main_S[[#This Row],[A/E]]-VLOOKUP(Main_S[[#This Row],[Industry]], Mean_AE_S, 2, FALSE))/(VLOOKUP(Main_S[[#This Row],[Industry]], Mean_AE_S, 3, FALSE))</f>
        <v>1.027560198566656</v>
      </c>
      <c r="T29" s="1">
        <f>(Main_S[[#This Row],[P/E]]-VLOOKUP(Main_S[[#This Row],[Industry]], Mean_PE_S, 2, FALSE))/(VLOOKUP(Main_S[[#This Row],[Industry]], Mean_PE_S, 3, FALSE))</f>
        <v>1.2882893994061917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192</v>
      </c>
      <c r="B30" t="s">
        <v>521</v>
      </c>
      <c r="C30" s="2">
        <v>1636</v>
      </c>
      <c r="D30">
        <f>RTD("tos.rtd", , "LAST", Main_S[[#This Row],[Symbol]])</f>
        <v>16.940000000000001</v>
      </c>
      <c r="E30">
        <v>1.1599999999999999</v>
      </c>
      <c r="F30">
        <v>13.45</v>
      </c>
      <c r="G30">
        <v>0.2</v>
      </c>
      <c r="H30" s="1">
        <f>IF(ISNUMBER(Main_S[[#This Row],[Free CF]]),IF(Main_S[[#This Row],[Free CF]]&lt;&gt;0,Main_S[[#This Row],[Current Price]]/Main_S[[#This Row],[Free CF]],""),"")</f>
        <v>14.603448275862071</v>
      </c>
      <c r="I30" s="1">
        <f>IF(ISNUMBER(Main_S[[#This Row],[BVPS]]),IF(Main_S[[#This Row],[BVPS]]&lt;&gt;0,Main_S[[#This Row],[Current Price]]/Main_S[[#This Row],[BVPS]],""),"")</f>
        <v>1.2594795539033459</v>
      </c>
      <c r="J30">
        <v>3.77</v>
      </c>
      <c r="K30">
        <v>2.92</v>
      </c>
      <c r="L30">
        <v>2.66</v>
      </c>
      <c r="M30" s="1">
        <f>IF(ISNUMBER(Main_S[[#This Row],[EPS]]),IF(Main_S[[#This Row],[EPS]]&lt;&gt;0,Main_S[[#This Row],[Current Price]]/Main_S[[#This Row],[EPS]],""),"")</f>
        <v>84.7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0.2145368237347012</v>
      </c>
      <c r="P30" s="1">
        <f>(Main_S[[#This Row],[P/B]]-VLOOKUP(Main_S[[#This Row],[Industry]], Mean_PB_S, 2, FALSE))/(VLOOKUP(Main_S[[#This Row],[Industry]], Mean_PB_S, 3, FALSE))</f>
        <v>-0.37113128780954852</v>
      </c>
      <c r="Q30" s="1">
        <f>(Main_S[[#This Row],[ROE]]-VLOOKUP(Main_S[[#This Row],[Industry]], Mean_ROE_S, 2, FALSE))/(VLOOKUP(Main_S[[#This Row],[Industry]], Mean_ROE_S, 3, FALSE))</f>
        <v>-0.13440474126161128</v>
      </c>
      <c r="R30" s="1">
        <f>(Main_S[[#This Row],[ROA]]-VLOOKUP(Main_S[[#This Row],[Industry]], Mean_ROA_S, 2, FALSE))/(VLOOKUP(Main_S[[#This Row],[Industry]], Mean_ROA_S, 3, FALSE))</f>
        <v>-0.85208057621742084</v>
      </c>
      <c r="S30" s="1">
        <f>(Main_S[[#This Row],[A/E]]-VLOOKUP(Main_S[[#This Row],[Industry]], Mean_AE_S, 2, FALSE))/(VLOOKUP(Main_S[[#This Row],[Industry]], Mean_AE_S, 3, FALSE))</f>
        <v>-0.10652802381267852</v>
      </c>
      <c r="T30" s="1">
        <f>(Main_S[[#This Row],[P/E]]-VLOOKUP(Main_S[[#This Row],[Industry]], Mean_PE_S, 2, FALSE))/(VLOOKUP(Main_S[[#This Row],[Industry]], Mean_PE_S, 3, FALSE))</f>
        <v>4.7860435911967647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1" spans="1:26" x14ac:dyDescent="0.25">
      <c r="A31" t="s">
        <v>192</v>
      </c>
      <c r="B31" t="s">
        <v>522</v>
      </c>
      <c r="C31" s="2">
        <v>1145</v>
      </c>
      <c r="D31">
        <f>RTD("tos.rtd", , "LAST", Main_S[[#This Row],[Symbol]])</f>
        <v>27.2</v>
      </c>
      <c r="E31">
        <v>0.69</v>
      </c>
      <c r="F31">
        <v>6.9</v>
      </c>
      <c r="G31">
        <v>0.33</v>
      </c>
      <c r="H31" s="1">
        <f>IF(ISNUMBER(Main_S[[#This Row],[Free CF]]),IF(Main_S[[#This Row],[Free CF]]&lt;&gt;0,Main_S[[#This Row],[Current Price]]/Main_S[[#This Row],[Free CF]],""),"")</f>
        <v>39.420289855072468</v>
      </c>
      <c r="I31" s="1">
        <f>IF(ISNUMBER(Main_S[[#This Row],[BVPS]]),IF(Main_S[[#This Row],[BVPS]]&lt;&gt;0,Main_S[[#This Row],[Current Price]]/Main_S[[#This Row],[BVPS]],""),"")</f>
        <v>3.9420289855072461</v>
      </c>
      <c r="J31">
        <v>5.84</v>
      </c>
      <c r="K31">
        <v>4.24</v>
      </c>
      <c r="L31">
        <v>2.58</v>
      </c>
      <c r="M31" s="1">
        <f>IF(ISNUMBER(Main_S[[#This Row],[EPS]]),IF(Main_S[[#This Row],[EPS]]&lt;&gt;0,Main_S[[#This Row],[Current Price]]/Main_S[[#This Row],[EPS]],""),"")</f>
        <v>82.424242424242422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1.9369253585786246</v>
      </c>
      <c r="P31" s="1">
        <f>(Main_S[[#This Row],[P/B]]-VLOOKUP(Main_S[[#This Row],[Industry]], Mean_PB_S, 2, FALSE))/(VLOOKUP(Main_S[[#This Row],[Industry]], Mean_PB_S, 3, FALSE))</f>
        <v>4.8634930205110658</v>
      </c>
      <c r="Q31" s="1">
        <f>(Main_S[[#This Row],[ROE]]-VLOOKUP(Main_S[[#This Row],[Industry]], Mean_ROE_S, 2, FALSE))/(VLOOKUP(Main_S[[#This Row],[Industry]], Mean_ROE_S, 3, FALSE))</f>
        <v>3.090590307085175E-2</v>
      </c>
      <c r="R31" s="1">
        <f>(Main_S[[#This Row],[ROA]]-VLOOKUP(Main_S[[#This Row],[Industry]], Mean_ROA_S, 2, FALSE))/(VLOOKUP(Main_S[[#This Row],[Industry]], Mean_ROA_S, 3, FALSE))</f>
        <v>-0.10145954174137857</v>
      </c>
      <c r="S31" s="1">
        <f>(Main_S[[#This Row],[A/E]]-VLOOKUP(Main_S[[#This Row],[Industry]], Mean_AE_S, 2, FALSE))/(VLOOKUP(Main_S[[#This Row],[Industry]], Mean_AE_S, 3, FALSE))</f>
        <v>-0.16953292505597495</v>
      </c>
      <c r="T31" s="1">
        <f>(Main_S[[#This Row],[P/E]]-VLOOKUP(Main_S[[#This Row],[Industry]], Mean_PE_S, 2, FALSE))/(VLOOKUP(Main_S[[#This Row],[Industry]], Mean_PE_S, 3, FALSE))</f>
        <v>4.6396296010047617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2" spans="1:26" x14ac:dyDescent="0.25">
      <c r="A32" t="s">
        <v>192</v>
      </c>
      <c r="B32" t="s">
        <v>523</v>
      </c>
      <c r="C32" s="2">
        <v>582</v>
      </c>
      <c r="D32">
        <f>RTD("tos.rtd", , "LAST", Main_S[[#This Row],[Symbol]])</f>
        <v>22.12</v>
      </c>
      <c r="E32">
        <v>-1.06</v>
      </c>
      <c r="F32">
        <v>13.1</v>
      </c>
      <c r="G32">
        <v>-1.5</v>
      </c>
      <c r="H32" s="1">
        <f>IF(ISNUMBER(Main_S[[#This Row],[Free CF]]),IF(Main_S[[#This Row],[Free CF]]&lt;&gt;0,Main_S[[#This Row],[Current Price]]/Main_S[[#This Row],[Free CF]],""),"")</f>
        <v>-20.867924528301888</v>
      </c>
      <c r="I32" s="1">
        <f>IF(ISNUMBER(Main_S[[#This Row],[BVPS]]),IF(Main_S[[#This Row],[BVPS]]&lt;&gt;0,Main_S[[#This Row],[Current Price]]/Main_S[[#This Row],[BVPS]],""),"")</f>
        <v>1.6885496183206108</v>
      </c>
      <c r="J32">
        <v>-7.04</v>
      </c>
      <c r="K32">
        <v>-0.98</v>
      </c>
      <c r="L32">
        <v>2.2400000000000002</v>
      </c>
      <c r="M32" s="1">
        <f>IF(ISNUMBER(Main_S[[#This Row],[EPS]]),IF(Main_S[[#This Row],[EPS]]&lt;&gt;0,Main_S[[#This Row],[Current Price]]/Main_S[[#This Row],[EPS]],""),"")</f>
        <v>-14.746666666666668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-2.2473189945434617</v>
      </c>
      <c r="P32" s="1">
        <f>(Main_S[[#This Row],[P/B]]-VLOOKUP(Main_S[[#This Row],[Industry]], Mean_PB_S, 2, FALSE))/(VLOOKUP(Main_S[[#This Row],[Industry]], Mean_PB_S, 3, FALSE))</f>
        <v>0.46613961676737387</v>
      </c>
      <c r="Q32" s="1">
        <f>(Main_S[[#This Row],[ROE]]-VLOOKUP(Main_S[[#This Row],[Industry]], Mean_ROE_S, 2, FALSE))/(VLOOKUP(Main_S[[#This Row],[Industry]], Mean_ROE_S, 3, FALSE))</f>
        <v>-0.99769366166447382</v>
      </c>
      <c r="R32" s="1">
        <f>(Main_S[[#This Row],[ROA]]-VLOOKUP(Main_S[[#This Row],[Industry]], Mean_ROA_S, 2, FALSE))/(VLOOKUP(Main_S[[#This Row],[Industry]], Mean_ROA_S, 3, FALSE))</f>
        <v>-3.0698245417148176</v>
      </c>
      <c r="S32" s="1">
        <f>(Main_S[[#This Row],[A/E]]-VLOOKUP(Main_S[[#This Row],[Industry]], Mean_AE_S, 2, FALSE))/(VLOOKUP(Main_S[[#This Row],[Industry]], Mean_AE_S, 3, FALSE))</f>
        <v>-0.4373037553399845</v>
      </c>
      <c r="T32" s="1">
        <f>(Main_S[[#This Row],[P/E]]-VLOOKUP(Main_S[[#This Row],[Industry]], Mean_PE_S, 2, FALSE))/(VLOOKUP(Main_S[[#This Row],[Industry]], Mean_PE_S, 3, FALSE))</f>
        <v>-1.6119943338725147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192</v>
      </c>
      <c r="B33" t="s">
        <v>524</v>
      </c>
      <c r="C33" s="2">
        <v>607</v>
      </c>
      <c r="D33">
        <f>RTD("tos.rtd", , "LAST", Main_S[[#This Row],[Symbol]])</f>
        <v>8.5</v>
      </c>
      <c r="E33">
        <v>-0.48</v>
      </c>
      <c r="F33">
        <v>6.04</v>
      </c>
      <c r="G33">
        <v>-0.73</v>
      </c>
      <c r="H33" s="1">
        <f>IF(ISNUMBER(Main_S[[#This Row],[Free CF]]),IF(Main_S[[#This Row],[Free CF]]&lt;&gt;0,Main_S[[#This Row],[Current Price]]/Main_S[[#This Row],[Free CF]],""),"")</f>
        <v>-17.708333333333336</v>
      </c>
      <c r="I33" s="1">
        <f>IF(ISNUMBER(Main_S[[#This Row],[BVPS]]),IF(Main_S[[#This Row],[BVPS]]&lt;&gt;0,Main_S[[#This Row],[Current Price]]/Main_S[[#This Row],[BVPS]],""),"")</f>
        <v>1.4072847682119205</v>
      </c>
      <c r="J33">
        <v>-9.35</v>
      </c>
      <c r="K33">
        <v>2.27</v>
      </c>
      <c r="L33">
        <v>5.79</v>
      </c>
      <c r="M33" s="1">
        <f>IF(ISNUMBER(Main_S[[#This Row],[EPS]]),IF(Main_S[[#This Row],[EPS]]&lt;&gt;0,Main_S[[#This Row],[Current Price]]/Main_S[[#This Row],[EPS]],""),"")</f>
        <v>-11.643835616438356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-2.0280306684429088</v>
      </c>
      <c r="P33" s="1">
        <f>(Main_S[[#This Row],[P/B]]-VLOOKUP(Main_S[[#This Row],[Industry]], Mean_PB_S, 2, FALSE))/(VLOOKUP(Main_S[[#This Row],[Industry]], Mean_PB_S, 3, FALSE))</f>
        <v>-8.2709848636439487E-2</v>
      </c>
      <c r="Q33" s="1">
        <f>(Main_S[[#This Row],[ROE]]-VLOOKUP(Main_S[[#This Row],[Industry]], Mean_ROE_S, 2, FALSE))/(VLOOKUP(Main_S[[#This Row],[Industry]], Mean_ROE_S, 3, FALSE))</f>
        <v>-1.1821707575137441</v>
      </c>
      <c r="R33" s="1">
        <f>(Main_S[[#This Row],[ROA]]-VLOOKUP(Main_S[[#This Row],[Industry]], Mean_ROA_S, 2, FALSE))/(VLOOKUP(Main_S[[#This Row],[Industry]], Mean_ROA_S, 3, FALSE))</f>
        <v>-1.2217045704669871</v>
      </c>
      <c r="S33" s="1">
        <f>(Main_S[[#This Row],[A/E]]-VLOOKUP(Main_S[[#This Row],[Industry]], Mean_AE_S, 2, FALSE))/(VLOOKUP(Main_S[[#This Row],[Industry]], Mean_AE_S, 3, FALSE))</f>
        <v>2.3585387373312927</v>
      </c>
      <c r="T33" s="1">
        <f>(Main_S[[#This Row],[P/E]]-VLOOKUP(Main_S[[#This Row],[Industry]], Mean_PE_S, 2, FALSE))/(VLOOKUP(Main_S[[#This Row],[Industry]], Mean_PE_S, 3, FALSE))</f>
        <v>-1.4123694354233296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192</v>
      </c>
      <c r="B34" t="s">
        <v>525</v>
      </c>
      <c r="C34" s="2">
        <v>566</v>
      </c>
      <c r="D34">
        <f>RTD("tos.rtd", , "LAST", Main_S[[#This Row],[Symbol]])</f>
        <v>3.81</v>
      </c>
      <c r="E34">
        <v>1.47</v>
      </c>
      <c r="F34">
        <v>6.59</v>
      </c>
      <c r="G34">
        <v>-1.89</v>
      </c>
      <c r="H34" s="1">
        <f>IF(ISNUMBER(Main_S[[#This Row],[Free CF]]),IF(Main_S[[#This Row],[Free CF]]&lt;&gt;0,Main_S[[#This Row],[Current Price]]/Main_S[[#This Row],[Free CF]],""),"")</f>
        <v>2.5918367346938775</v>
      </c>
      <c r="I34" s="1">
        <f>IF(ISNUMBER(Main_S[[#This Row],[BVPS]]),IF(Main_S[[#This Row],[BVPS]]&lt;&gt;0,Main_S[[#This Row],[Current Price]]/Main_S[[#This Row],[BVPS]],""),"")</f>
        <v>0.5781487101669196</v>
      </c>
      <c r="J34">
        <v>-24.99</v>
      </c>
      <c r="K34">
        <v>3.55</v>
      </c>
      <c r="L34">
        <v>3.83</v>
      </c>
      <c r="M34" s="1">
        <f>IF(ISNUMBER(Main_S[[#This Row],[EPS]]),IF(Main_S[[#This Row],[EPS]]&lt;&gt;0,Main_S[[#This Row],[Current Price]]/Main_S[[#This Row],[EPS]],""),"")</f>
        <v>-2.0158730158730158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-0.61911728722349513</v>
      </c>
      <c r="P34" s="1">
        <f>(Main_S[[#This Row],[P/B]]-VLOOKUP(Main_S[[#This Row],[Industry]], Mean_PB_S, 2, FALSE))/(VLOOKUP(Main_S[[#This Row],[Industry]], Mean_PB_S, 3, FALSE))</f>
        <v>-1.7006542239438021</v>
      </c>
      <c r="Q34" s="1">
        <f>(Main_S[[#This Row],[ROE]]-VLOOKUP(Main_S[[#This Row],[Industry]], Mean_ROE_S, 2, FALSE))/(VLOOKUP(Main_S[[#This Row],[Industry]], Mean_ROE_S, 3, FALSE))</f>
        <v>-2.4311845146923536</v>
      </c>
      <c r="R34" s="1">
        <f>(Main_S[[#This Row],[ROA]]-VLOOKUP(Main_S[[#This Row],[Industry]], Mean_ROA_S, 2, FALSE))/(VLOOKUP(Main_S[[#This Row],[Industry]], Mean_ROA_S, 3, FALSE))</f>
        <v>-0.49382962794476443</v>
      </c>
      <c r="S34" s="1">
        <f>(Main_S[[#This Row],[A/E]]-VLOOKUP(Main_S[[#This Row],[Industry]], Mean_AE_S, 2, FALSE))/(VLOOKUP(Main_S[[#This Row],[Industry]], Mean_AE_S, 3, FALSE))</f>
        <v>0.81491865687053111</v>
      </c>
      <c r="T34" s="1">
        <f>(Main_S[[#This Row],[P/E]]-VLOOKUP(Main_S[[#This Row],[Industry]], Mean_PE_S, 2, FALSE))/(VLOOKUP(Main_S[[#This Row],[Industry]], Mean_PE_S, 3, FALSE))</f>
        <v>-0.79294123411375983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192</v>
      </c>
      <c r="B35" t="s">
        <v>526</v>
      </c>
      <c r="C35" s="2">
        <v>398</v>
      </c>
      <c r="D35">
        <f>RTD("tos.rtd", , "LAST", Main_S[[#This Row],[Symbol]])</f>
        <v>23.95</v>
      </c>
      <c r="E35">
        <v>2.2599999999999998</v>
      </c>
      <c r="F35">
        <v>11.8</v>
      </c>
      <c r="G35">
        <v>1.52</v>
      </c>
      <c r="H35" s="1">
        <f>IF(ISNUMBER(Main_S[[#This Row],[Free CF]]),IF(Main_S[[#This Row],[Free CF]]&lt;&gt;0,Main_S[[#This Row],[Current Price]]/Main_S[[#This Row],[Free CF]],""),"")</f>
        <v>10.597345132743364</v>
      </c>
      <c r="I35" s="1">
        <f>IF(ISNUMBER(Main_S[[#This Row],[BVPS]]),IF(Main_S[[#This Row],[BVPS]]&lt;&gt;0,Main_S[[#This Row],[Current Price]]/Main_S[[#This Row],[BVPS]],""),"")</f>
        <v>2.0296610169491522</v>
      </c>
      <c r="J35">
        <v>12.09</v>
      </c>
      <c r="K35">
        <v>7.15</v>
      </c>
      <c r="L35">
        <v>1.1000000000000001</v>
      </c>
      <c r="M35" s="1">
        <f>IF(ISNUMBER(Main_S[[#This Row],[EPS]]),IF(Main_S[[#This Row],[EPS]]&lt;&gt;0,Main_S[[#This Row],[Current Price]]/Main_S[[#This Row],[EPS]],""),"")</f>
        <v>15.756578947368421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-6.3502833370181977E-2</v>
      </c>
      <c r="P35" s="1">
        <f>(Main_S[[#This Row],[P/B]]-VLOOKUP(Main_S[[#This Row],[Industry]], Mean_PB_S, 2, FALSE))/(VLOOKUP(Main_S[[#This Row],[Industry]], Mean_PB_S, 3, FALSE))</f>
        <v>1.1317713468185138</v>
      </c>
      <c r="Q35" s="1">
        <f>(Main_S[[#This Row],[ROE]]-VLOOKUP(Main_S[[#This Row],[Industry]], Mean_ROE_S, 2, FALSE))/(VLOOKUP(Main_S[[#This Row],[Industry]], Mean_ROE_S, 3, FALSE))</f>
        <v>0.53003224465437537</v>
      </c>
      <c r="R35" s="1">
        <f>(Main_S[[#This Row],[ROA]]-VLOOKUP(Main_S[[#This Row],[Industry]], Mean_ROA_S, 2, FALSE))/(VLOOKUP(Main_S[[#This Row],[Industry]], Mean_ROA_S, 3, FALSE))</f>
        <v>1.5533186478989871</v>
      </c>
      <c r="S35" s="1">
        <f>(Main_S[[#This Row],[A/E]]-VLOOKUP(Main_S[[#This Row],[Industry]], Mean_AE_S, 2, FALSE))/(VLOOKUP(Main_S[[#This Row],[Industry]], Mean_AE_S, 3, FALSE))</f>
        <v>-1.3351235980569582</v>
      </c>
      <c r="T35" s="1">
        <f>(Main_S[[#This Row],[P/E]]-VLOOKUP(Main_S[[#This Row],[Industry]], Mean_PE_S, 2, FALSE))/(VLOOKUP(Main_S[[#This Row],[Industry]], Mean_PE_S, 3, FALSE))</f>
        <v>0.35047387967209542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192</v>
      </c>
      <c r="B36" t="s">
        <v>527</v>
      </c>
      <c r="C36" s="2">
        <v>1737</v>
      </c>
      <c r="D36">
        <f>RTD("tos.rtd", , "LAST", Main_S[[#This Row],[Symbol]])</f>
        <v>17.440000000000001</v>
      </c>
      <c r="E36">
        <v>3.74</v>
      </c>
      <c r="F36">
        <v>19.68</v>
      </c>
      <c r="G36">
        <v>1.1100000000000001</v>
      </c>
      <c r="H36" s="1">
        <f>IF(ISNUMBER(Main_S[[#This Row],[Free CF]]),IF(Main_S[[#This Row],[Free CF]]&lt;&gt;0,Main_S[[#This Row],[Current Price]]/Main_S[[#This Row],[Free CF]],""),"")</f>
        <v>4.6631016042780749</v>
      </c>
      <c r="I36" s="1">
        <f>IF(ISNUMBER(Main_S[[#This Row],[BVPS]]),IF(Main_S[[#This Row],[BVPS]]&lt;&gt;0,Main_S[[#This Row],[Current Price]]/Main_S[[#This Row],[BVPS]],""),"")</f>
        <v>0.88617886178861793</v>
      </c>
      <c r="J36">
        <v>4.63</v>
      </c>
      <c r="K36">
        <v>3.54</v>
      </c>
      <c r="L36">
        <v>2.92</v>
      </c>
      <c r="M36" s="1">
        <f>IF(ISNUMBER(Main_S[[#This Row],[EPS]]),IF(Main_S[[#This Row],[EPS]]&lt;&gt;0,Main_S[[#This Row],[Current Price]]/Main_S[[#This Row],[EPS]],""),"")</f>
        <v>15.711711711711711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-0.47536318166538066</v>
      </c>
      <c r="P36" s="1">
        <f>(Main_S[[#This Row],[P/B]]-VLOOKUP(Main_S[[#This Row],[Industry]], Mean_PB_S, 2, FALSE))/(VLOOKUP(Main_S[[#This Row],[Industry]], Mean_PB_S, 3, FALSE))</f>
        <v>-1.099575973389233</v>
      </c>
      <c r="Q36" s="1">
        <f>(Main_S[[#This Row],[ROE]]-VLOOKUP(Main_S[[#This Row],[Industry]], Mean_ROE_S, 2, FALSE))/(VLOOKUP(Main_S[[#This Row],[Industry]], Mean_ROE_S, 3, FALSE))</f>
        <v>-6.5724956659718434E-2</v>
      </c>
      <c r="R36" s="1">
        <f>(Main_S[[#This Row],[ROA]]-VLOOKUP(Main_S[[#This Row],[Industry]], Mean_ROA_S, 2, FALSE))/(VLOOKUP(Main_S[[#This Row],[Industry]], Mean_ROA_S, 3, FALSE))</f>
        <v>-0.49951615093321922</v>
      </c>
      <c r="S36" s="1">
        <f>(Main_S[[#This Row],[A/E]]-VLOOKUP(Main_S[[#This Row],[Industry]], Mean_AE_S, 2, FALSE))/(VLOOKUP(Main_S[[#This Row],[Industry]], Mean_AE_S, 3, FALSE))</f>
        <v>9.8237905228034578E-2</v>
      </c>
      <c r="T36" s="1">
        <f>(Main_S[[#This Row],[P/E]]-VLOOKUP(Main_S[[#This Row],[Industry]], Mean_PE_S, 2, FALSE))/(VLOOKUP(Main_S[[#This Row],[Industry]], Mean_PE_S, 3, FALSE))</f>
        <v>0.34758728442514908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192</v>
      </c>
      <c r="B37" t="s">
        <v>528</v>
      </c>
      <c r="C37" s="2">
        <v>393</v>
      </c>
      <c r="D37">
        <f>RTD("tos.rtd", , "LAST", Main_S[[#This Row],[Symbol]])</f>
        <v>6.74</v>
      </c>
      <c r="E37">
        <v>0.74</v>
      </c>
      <c r="F37">
        <v>7.9</v>
      </c>
      <c r="G37">
        <v>1.19</v>
      </c>
      <c r="H37" s="1">
        <f>IF(ISNUMBER(Main_S[[#This Row],[Free CF]]),IF(Main_S[[#This Row],[Free CF]]&lt;&gt;0,Main_S[[#This Row],[Current Price]]/Main_S[[#This Row],[Free CF]],""),"")</f>
        <v>9.1081081081081088</v>
      </c>
      <c r="I37" s="1">
        <f>IF(ISNUMBER(Main_S[[#This Row],[BVPS]]),IF(Main_S[[#This Row],[BVPS]]&lt;&gt;0,Main_S[[#This Row],[Current Price]]/Main_S[[#This Row],[BVPS]],""),"")</f>
        <v>0.85316455696202531</v>
      </c>
      <c r="J37">
        <v>15.33</v>
      </c>
      <c r="K37">
        <v>2.78</v>
      </c>
      <c r="L37">
        <v>1.52</v>
      </c>
      <c r="M37" s="1">
        <f>IF(ISNUMBER(Main_S[[#This Row],[EPS]]),IF(Main_S[[#This Row],[EPS]]&lt;&gt;0,Main_S[[#This Row],[Current Price]]/Main_S[[#This Row],[EPS]],""),"")</f>
        <v>5.6638655462184877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-0.16686186754500759</v>
      </c>
      <c r="P37" s="1">
        <f>(Main_S[[#This Row],[P/B]]-VLOOKUP(Main_S[[#This Row],[Industry]], Mean_PB_S, 2, FALSE))/(VLOOKUP(Main_S[[#This Row],[Industry]], Mean_PB_S, 3, FALSE))</f>
        <v>-1.1639988244769239</v>
      </c>
      <c r="Q37" s="1">
        <f>(Main_S[[#This Row],[ROE]]-VLOOKUP(Main_S[[#This Row],[Industry]], Mean_ROE_S, 2, FALSE))/(VLOOKUP(Main_S[[#This Row],[Industry]], Mean_ROE_S, 3, FALSE))</f>
        <v>0.78877934013127404</v>
      </c>
      <c r="R37" s="1">
        <f>(Main_S[[#This Row],[ROA]]-VLOOKUP(Main_S[[#This Row],[Industry]], Mean_ROA_S, 2, FALSE))/(VLOOKUP(Main_S[[#This Row],[Industry]], Mean_ROA_S, 3, FALSE))</f>
        <v>-0.931691898055789</v>
      </c>
      <c r="S37" s="1">
        <f>(Main_S[[#This Row],[A/E]]-VLOOKUP(Main_S[[#This Row],[Industry]], Mean_AE_S, 2, FALSE))/(VLOOKUP(Main_S[[#This Row],[Industry]], Mean_AE_S, 3, FALSE))</f>
        <v>-1.0043478665296521</v>
      </c>
      <c r="T37" s="1">
        <f>(Main_S[[#This Row],[P/E]]-VLOOKUP(Main_S[[#This Row],[Industry]], Mean_PE_S, 2, FALSE))/(VLOOKUP(Main_S[[#This Row],[Industry]], Mean_PE_S, 3, FALSE))</f>
        <v>-0.29885470289221605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192</v>
      </c>
      <c r="B38" t="s">
        <v>529</v>
      </c>
      <c r="C38" s="2">
        <v>1421</v>
      </c>
      <c r="D38">
        <f>RTD("tos.rtd", , "LAST", Main_S[[#This Row],[Symbol]])</f>
        <v>10.53</v>
      </c>
      <c r="E38">
        <v>0.48</v>
      </c>
      <c r="F38">
        <v>-2.86</v>
      </c>
      <c r="G38">
        <v>-1.36</v>
      </c>
      <c r="H38" s="1">
        <f>IF(ISNUMBER(Main_S[[#This Row],[Free CF]]),IF(Main_S[[#This Row],[Free CF]]&lt;&gt;0,Main_S[[#This Row],[Current Price]]/Main_S[[#This Row],[Free CF]],""),"")</f>
        <v>21.9375</v>
      </c>
      <c r="I38" s="1">
        <f>IF(ISNUMBER(Main_S[[#This Row],[BVPS]]),IF(Main_S[[#This Row],[BVPS]]&lt;&gt;0,Main_S[[#This Row],[Current Price]]/Main_S[[#This Row],[BVPS]],""),"")</f>
        <v>-3.6818181818181817</v>
      </c>
      <c r="J38">
        <v>74.959999999999994</v>
      </c>
      <c r="K38">
        <v>1.88</v>
      </c>
      <c r="L38">
        <v>-7.03</v>
      </c>
      <c r="M38" s="1">
        <f>IF(ISNUMBER(Main_S[[#This Row],[EPS]]),IF(Main_S[[#This Row],[EPS]]&lt;&gt;0,Main_S[[#This Row],[Current Price]]/Main_S[[#This Row],[EPS]],""),"")</f>
        <v>-7.7426470588235281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0.72354948609499314</v>
      </c>
      <c r="P38" s="1">
        <f>(Main_S[[#This Row],[P/B]]-VLOOKUP(Main_S[[#This Row],[Industry]], Mean_PB_S, 2, FALSE))/(VLOOKUP(Main_S[[#This Row],[Industry]], Mean_PB_S, 3, FALSE))</f>
        <v>-10.013390601775775</v>
      </c>
      <c r="Q38" s="1">
        <f>(Main_S[[#This Row],[ROE]]-VLOOKUP(Main_S[[#This Row],[Industry]], Mean_ROE_S, 2, FALSE))/(VLOOKUP(Main_S[[#This Row],[Industry]], Mean_ROE_S, 3, FALSE))</f>
        <v>5.5508439399113563</v>
      </c>
      <c r="R38" s="1">
        <f>(Main_S[[#This Row],[ROA]]-VLOOKUP(Main_S[[#This Row],[Industry]], Mean_ROA_S, 2, FALSE))/(VLOOKUP(Main_S[[#This Row],[Industry]], Mean_ROA_S, 3, FALSE))</f>
        <v>-1.4434789670167267</v>
      </c>
      <c r="S38" s="1">
        <f>(Main_S[[#This Row],[A/E]]-VLOOKUP(Main_S[[#This Row],[Industry]], Mean_AE_S, 2, FALSE))/(VLOOKUP(Main_S[[#This Row],[Industry]], Mean_AE_S, 3, FALSE))</f>
        <v>-7.7379966869069543</v>
      </c>
      <c r="T38" s="1">
        <f>(Main_S[[#This Row],[P/E]]-VLOOKUP(Main_S[[#This Row],[Industry]], Mean_PE_S, 2, FALSE))/(VLOOKUP(Main_S[[#This Row],[Industry]], Mean_PE_S, 3, FALSE))</f>
        <v>-1.161381109910834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192</v>
      </c>
      <c r="B39" t="s">
        <v>530</v>
      </c>
      <c r="C39" s="2">
        <v>1524</v>
      </c>
      <c r="D39">
        <f>RTD("tos.rtd", , "LAST", Main_S[[#This Row],[Symbol]])</f>
        <v>10.57</v>
      </c>
      <c r="E39">
        <v>2.29</v>
      </c>
      <c r="F39">
        <v>7.77</v>
      </c>
      <c r="G39">
        <v>1.06</v>
      </c>
      <c r="H39" s="1">
        <f>IF(ISNUMBER(Main_S[[#This Row],[Free CF]]),IF(Main_S[[#This Row],[Free CF]]&lt;&gt;0,Main_S[[#This Row],[Current Price]]/Main_S[[#This Row],[Free CF]],""),"")</f>
        <v>4.6157205240174672</v>
      </c>
      <c r="I39" s="1">
        <f>IF(ISNUMBER(Main_S[[#This Row],[BVPS]]),IF(Main_S[[#This Row],[BVPS]]&lt;&gt;0,Main_S[[#This Row],[Current Price]]/Main_S[[#This Row],[BVPS]],""),"")</f>
        <v>1.3603603603603605</v>
      </c>
      <c r="J39">
        <v>14.12</v>
      </c>
      <c r="K39">
        <v>3.9</v>
      </c>
      <c r="L39">
        <v>2.52</v>
      </c>
      <c r="M39" s="1">
        <f>IF(ISNUMBER(Main_S[[#This Row],[EPS]]),IF(Main_S[[#This Row],[EPS]]&lt;&gt;0,Main_S[[#This Row],[Current Price]]/Main_S[[#This Row],[EPS]],""),"")</f>
        <v>9.9716981132075464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-0.47865161904162423</v>
      </c>
      <c r="P39" s="1">
        <f>(Main_S[[#This Row],[P/B]]-VLOOKUP(Main_S[[#This Row],[Industry]], Mean_PB_S, 2, FALSE))/(VLOOKUP(Main_S[[#This Row],[Industry]], Mean_PB_S, 3, FALSE))</f>
        <v>-0.17427634247229151</v>
      </c>
      <c r="Q39" s="1">
        <f>(Main_S[[#This Row],[ROE]]-VLOOKUP(Main_S[[#This Row],[Industry]], Mean_ROE_S, 2, FALSE))/(VLOOKUP(Main_S[[#This Row],[Industry]], Mean_ROE_S, 3, FALSE))</f>
        <v>0.69214848040070376</v>
      </c>
      <c r="R39" s="1">
        <f>(Main_S[[#This Row],[ROA]]-VLOOKUP(Main_S[[#This Row],[Industry]], Mean_ROA_S, 2, FALSE))/(VLOOKUP(Main_S[[#This Row],[Industry]], Mean_ROA_S, 3, FALSE))</f>
        <v>-0.29480132334884412</v>
      </c>
      <c r="S39" s="1">
        <f>(Main_S[[#This Row],[A/E]]-VLOOKUP(Main_S[[#This Row],[Industry]], Mean_AE_S, 2, FALSE))/(VLOOKUP(Main_S[[#This Row],[Industry]], Mean_AE_S, 3, FALSE))</f>
        <v>-0.21678660098844729</v>
      </c>
      <c r="T39" s="1">
        <f>(Main_S[[#This Row],[P/E]]-VLOOKUP(Main_S[[#This Row],[Industry]], Mean_PE_S, 2, FALSE))/(VLOOKUP(Main_S[[#This Row],[Industry]], Mean_PE_S, 3, FALSE))</f>
        <v>-2.1704376367668129E-2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192</v>
      </c>
      <c r="B40" t="s">
        <v>531</v>
      </c>
      <c r="C40" s="2">
        <v>1546</v>
      </c>
      <c r="D40">
        <f>RTD("tos.rtd", , "LAST", Main_S[[#This Row],[Symbol]])</f>
        <v>20.85</v>
      </c>
      <c r="E40">
        <v>1.88</v>
      </c>
      <c r="F40">
        <v>8.6</v>
      </c>
      <c r="G40">
        <v>1.44</v>
      </c>
      <c r="H40" s="1">
        <f>IF(ISNUMBER(Main_S[[#This Row],[Free CF]]),IF(Main_S[[#This Row],[Free CF]]&lt;&gt;0,Main_S[[#This Row],[Current Price]]/Main_S[[#This Row],[Free CF]],""),"")</f>
        <v>11.090425531914896</v>
      </c>
      <c r="I40" s="1">
        <f>IF(ISNUMBER(Main_S[[#This Row],[BVPS]]),IF(Main_S[[#This Row],[BVPS]]&lt;&gt;0,Main_S[[#This Row],[Current Price]]/Main_S[[#This Row],[BVPS]],""),"")</f>
        <v>2.4244186046511631</v>
      </c>
      <c r="J40">
        <v>19.059999999999999</v>
      </c>
      <c r="K40">
        <v>7.02</v>
      </c>
      <c r="L40">
        <v>2.48</v>
      </c>
      <c r="M40" s="1">
        <f>IF(ISNUMBER(Main_S[[#This Row],[EPS]]),IF(Main_S[[#This Row],[EPS]]&lt;&gt;0,Main_S[[#This Row],[Current Price]]/Main_S[[#This Row],[EPS]],""),"")</f>
        <v>14.479166666666668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-2.9281072169080182E-2</v>
      </c>
      <c r="P40" s="1">
        <f>(Main_S[[#This Row],[P/B]]-VLOOKUP(Main_S[[#This Row],[Industry]], Mean_PB_S, 2, FALSE))/(VLOOKUP(Main_S[[#This Row],[Industry]], Mean_PB_S, 3, FALSE))</f>
        <v>1.9020861973610605</v>
      </c>
      <c r="Q40" s="1">
        <f>(Main_S[[#This Row],[ROE]]-VLOOKUP(Main_S[[#This Row],[Industry]], Mean_ROE_S, 2, FALSE))/(VLOOKUP(Main_S[[#This Row],[Industry]], Mean_ROE_S, 3, FALSE))</f>
        <v>1.086657940788321</v>
      </c>
      <c r="R40" s="1">
        <f>(Main_S[[#This Row],[ROA]]-VLOOKUP(Main_S[[#This Row],[Industry]], Mean_ROA_S, 2, FALSE))/(VLOOKUP(Main_S[[#This Row],[Industry]], Mean_ROA_S, 3, FALSE))</f>
        <v>1.4793938490490735</v>
      </c>
      <c r="S40" s="1">
        <f>(Main_S[[#This Row],[A/E]]-VLOOKUP(Main_S[[#This Row],[Industry]], Mean_AE_S, 2, FALSE))/(VLOOKUP(Main_S[[#This Row],[Industry]], Mean_AE_S, 3, FALSE))</f>
        <v>-0.24828905161009551</v>
      </c>
      <c r="T40" s="1">
        <f>(Main_S[[#This Row],[P/E]]-VLOOKUP(Main_S[[#This Row],[Industry]], Mean_PE_S, 2, FALSE))/(VLOOKUP(Main_S[[#This Row],[Industry]], Mean_PE_S, 3, FALSE))</f>
        <v>0.26828980561686583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192</v>
      </c>
      <c r="B41" t="s">
        <v>532</v>
      </c>
      <c r="C41" s="2">
        <v>266</v>
      </c>
      <c r="D41">
        <f>RTD("tos.rtd", , "LAST", Main_S[[#This Row],[Symbol]])</f>
        <v>8.44</v>
      </c>
      <c r="E41">
        <v>3.11</v>
      </c>
      <c r="F41">
        <v>6.62</v>
      </c>
      <c r="G41">
        <v>1.63</v>
      </c>
      <c r="H41" s="1">
        <f>IF(ISNUMBER(Main_S[[#This Row],[Free CF]]),IF(Main_S[[#This Row],[Free CF]]&lt;&gt;0,Main_S[[#This Row],[Current Price]]/Main_S[[#This Row],[Free CF]],""),"")</f>
        <v>2.7138263665594855</v>
      </c>
      <c r="I41" s="1">
        <f>IF(ISNUMBER(Main_S[[#This Row],[BVPS]]),IF(Main_S[[#This Row],[BVPS]]&lt;&gt;0,Main_S[[#This Row],[Current Price]]/Main_S[[#This Row],[BVPS]],""),"")</f>
        <v>1.2749244712990935</v>
      </c>
      <c r="J41">
        <v>28.18</v>
      </c>
      <c r="K41">
        <v>10.67</v>
      </c>
      <c r="L41">
        <v>2.0099999999999998</v>
      </c>
      <c r="M41" s="1">
        <f>IF(ISNUMBER(Main_S[[#This Row],[EPS]]),IF(Main_S[[#This Row],[EPS]]&lt;&gt;0,Main_S[[#This Row],[Current Price]]/Main_S[[#This Row],[EPS]],""),"")</f>
        <v>5.1779141104294482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41" s="1">
        <f>(Main_S[[#This Row],[P/FCF]]-VLOOKUP(Main_S[[#This Row],[Industry]], Mean_PFCF_S, 2, FALSE))/(VLOOKUP(Main_S[[#This Row],[Industry]], Mean_PFCF_S, 3, FALSE))</f>
        <v>-0.61065071654307579</v>
      </c>
      <c r="P41" s="1">
        <f>(Main_S[[#This Row],[P/B]]-VLOOKUP(Main_S[[#This Row],[Industry]], Mean_PB_S, 2, FALSE))/(VLOOKUP(Main_S[[#This Row],[Industry]], Mean_PB_S, 3, FALSE))</f>
        <v>-0.34099266703064085</v>
      </c>
      <c r="Q41" s="1">
        <f>(Main_S[[#This Row],[ROE]]-VLOOKUP(Main_S[[#This Row],[Industry]], Mean_ROE_S, 2, FALSE))/(VLOOKUP(Main_S[[#This Row],[Industry]], Mean_ROE_S, 3, FALSE))</f>
        <v>1.8149830984269988</v>
      </c>
      <c r="R41" s="1">
        <f>(Main_S[[#This Row],[ROA]]-VLOOKUP(Main_S[[#This Row],[Industry]], Mean_ROA_S, 2, FALSE))/(VLOOKUP(Main_S[[#This Row],[Industry]], Mean_ROA_S, 3, FALSE))</f>
        <v>3.554974739835099</v>
      </c>
      <c r="S41" s="1">
        <f>(Main_S[[#This Row],[A/E]]-VLOOKUP(Main_S[[#This Row],[Industry]], Mean_AE_S, 2, FALSE))/(VLOOKUP(Main_S[[#This Row],[Industry]], Mean_AE_S, 3, FALSE))</f>
        <v>-0.6184428464144619</v>
      </c>
      <c r="T41" s="1">
        <f>(Main_S[[#This Row],[P/E]]-VLOOKUP(Main_S[[#This Row],[Industry]], Mean_PE_S, 2, FALSE))/(VLOOKUP(Main_S[[#This Row],[Industry]], Mean_PE_S, 3, FALSE))</f>
        <v>-0.33011905613938514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192</v>
      </c>
      <c r="B42" t="s">
        <v>533</v>
      </c>
      <c r="C42" s="2">
        <v>313</v>
      </c>
      <c r="D42">
        <f>RTD("tos.rtd", , "LAST", Main_S[[#This Row],[Symbol]])</f>
        <v>23.24</v>
      </c>
      <c r="E42">
        <v>5.86</v>
      </c>
      <c r="F42">
        <v>20.36</v>
      </c>
      <c r="G42">
        <v>1.44</v>
      </c>
      <c r="H42" s="1">
        <f>IF(ISNUMBER(Main_S[[#This Row],[Free CF]]),IF(Main_S[[#This Row],[Free CF]]&lt;&gt;0,Main_S[[#This Row],[Current Price]]/Main_S[[#This Row],[Free CF]],""),"")</f>
        <v>3.965870307167235</v>
      </c>
      <c r="I42" s="1">
        <f>IF(ISNUMBER(Main_S[[#This Row],[BVPS]]),IF(Main_S[[#This Row],[BVPS]]&lt;&gt;0,Main_S[[#This Row],[Current Price]]/Main_S[[#This Row],[BVPS]],""),"")</f>
        <v>1.1414538310412574</v>
      </c>
      <c r="J42">
        <v>6.8</v>
      </c>
      <c r="K42">
        <v>1.75</v>
      </c>
      <c r="L42">
        <v>1.69</v>
      </c>
      <c r="M42" s="1">
        <f>IF(ISNUMBER(Main_S[[#This Row],[EPS]]),IF(Main_S[[#This Row],[EPS]]&lt;&gt;0,Main_S[[#This Row],[Current Price]]/Main_S[[#This Row],[EPS]],""),"")</f>
        <v>16.138888888888889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-0.52375383558663113</v>
      </c>
      <c r="P42" s="1">
        <f>(Main_S[[#This Row],[P/B]]-VLOOKUP(Main_S[[#This Row],[Industry]], Mean_PB_S, 2, FALSE))/(VLOOKUP(Main_S[[#This Row],[Industry]], Mean_PB_S, 3, FALSE))</f>
        <v>-0.60144216693903563</v>
      </c>
      <c r="Q42" s="1">
        <f>(Main_S[[#This Row],[ROE]]-VLOOKUP(Main_S[[#This Row],[Industry]], Mean_ROE_S, 2, FALSE))/(VLOOKUP(Main_S[[#This Row],[Industry]], Mean_ROE_S, 3, FALSE))</f>
        <v>0.10757170913808098</v>
      </c>
      <c r="R42" s="1">
        <f>(Main_S[[#This Row],[ROA]]-VLOOKUP(Main_S[[#This Row],[Industry]], Mean_ROA_S, 2, FALSE))/(VLOOKUP(Main_S[[#This Row],[Industry]], Mean_ROA_S, 3, FALSE))</f>
        <v>-1.5174037658666399</v>
      </c>
      <c r="S42" s="1">
        <f>(Main_S[[#This Row],[A/E]]-VLOOKUP(Main_S[[#This Row],[Industry]], Mean_AE_S, 2, FALSE))/(VLOOKUP(Main_S[[#This Row],[Industry]], Mean_AE_S, 3, FALSE))</f>
        <v>-0.87046245138764733</v>
      </c>
      <c r="T42" s="1">
        <f>(Main_S[[#This Row],[P/E]]-VLOOKUP(Main_S[[#This Row],[Industry]], Mean_PE_S, 2, FALSE))/(VLOOKUP(Main_S[[#This Row],[Industry]], Mean_PE_S, 3, FALSE))</f>
        <v>0.37507031499735155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192</v>
      </c>
      <c r="B43" t="s">
        <v>534</v>
      </c>
      <c r="C43" s="2">
        <v>910</v>
      </c>
      <c r="D43">
        <f>RTD("tos.rtd", , "LAST", Main_S[[#This Row],[Symbol]])</f>
        <v>14.63</v>
      </c>
      <c r="E43">
        <v>0.51</v>
      </c>
      <c r="F43">
        <v>6.67</v>
      </c>
      <c r="G43">
        <v>0.69</v>
      </c>
      <c r="H43" s="1">
        <f>IF(ISNUMBER(Main_S[[#This Row],[Free CF]]),IF(Main_S[[#This Row],[Free CF]]&lt;&gt;0,Main_S[[#This Row],[Current Price]]/Main_S[[#This Row],[Free CF]],""),"")</f>
        <v>28.686274509803923</v>
      </c>
      <c r="I43" s="1">
        <f>IF(ISNUMBER(Main_S[[#This Row],[BVPS]]),IF(Main_S[[#This Row],[BVPS]]&lt;&gt;0,Main_S[[#This Row],[Current Price]]/Main_S[[#This Row],[BVPS]],""),"")</f>
        <v>2.1934032983508249</v>
      </c>
      <c r="J43">
        <v>10.98</v>
      </c>
      <c r="K43">
        <v>4.8</v>
      </c>
      <c r="L43">
        <v>1.65</v>
      </c>
      <c r="M43" s="1">
        <f>IF(ISNUMBER(Main_S[[#This Row],[EPS]]),IF(Main_S[[#This Row],[EPS]]&lt;&gt;0,Main_S[[#This Row],[Current Price]]/Main_S[[#This Row],[EPS]],""),"")</f>
        <v>21.20289855072464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1.1919415577787196</v>
      </c>
      <c r="P43" s="1">
        <f>(Main_S[[#This Row],[P/B]]-VLOOKUP(Main_S[[#This Row],[Industry]], Mean_PB_S, 2, FALSE))/(VLOOKUP(Main_S[[#This Row],[Industry]], Mean_PB_S, 3, FALSE))</f>
        <v>1.4512917688569591</v>
      </c>
      <c r="Q43" s="1">
        <f>(Main_S[[#This Row],[ROE]]-VLOOKUP(Main_S[[#This Row],[Industry]], Mean_ROE_S, 2, FALSE))/(VLOOKUP(Main_S[[#This Row],[Industry]], Mean_ROE_S, 3, FALSE))</f>
        <v>0.44138740638914165</v>
      </c>
      <c r="R43" s="1">
        <f>(Main_S[[#This Row],[ROA]]-VLOOKUP(Main_S[[#This Row],[Industry]], Mean_ROA_S, 2, FALSE))/(VLOOKUP(Main_S[[#This Row],[Industry]], Mean_ROA_S, 3, FALSE))</f>
        <v>0.21698574561209363</v>
      </c>
      <c r="S43" s="1">
        <f>(Main_S[[#This Row],[A/E]]-VLOOKUP(Main_S[[#This Row],[Industry]], Mean_AE_S, 2, FALSE))/(VLOOKUP(Main_S[[#This Row],[Industry]], Mean_AE_S, 3, FALSE))</f>
        <v>-0.90196490200929558</v>
      </c>
      <c r="T43" s="1">
        <f>(Main_S[[#This Row],[P/E]]-VLOOKUP(Main_S[[#This Row],[Industry]], Mean_PE_S, 2, FALSE))/(VLOOKUP(Main_S[[#This Row],[Industry]], Mean_PE_S, 3, FALSE))</f>
        <v>0.70087033379478791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t="s">
        <v>192</v>
      </c>
      <c r="B44" t="s">
        <v>535</v>
      </c>
      <c r="C44" s="2">
        <v>755</v>
      </c>
      <c r="D44">
        <f>RTD("tos.rtd", , "LAST", Main_S[[#This Row],[Symbol]])</f>
        <v>24.78</v>
      </c>
      <c r="E44">
        <v>1.81</v>
      </c>
      <c r="F44">
        <v>5.63</v>
      </c>
      <c r="G44">
        <v>0.62</v>
      </c>
      <c r="H44" s="1">
        <f>IF(ISNUMBER(Main_S[[#This Row],[Free CF]]),IF(Main_S[[#This Row],[Free CF]]&lt;&gt;0,Main_S[[#This Row],[Current Price]]/Main_S[[#This Row],[Free CF]],""),"")</f>
        <v>13.69060773480663</v>
      </c>
      <c r="I44" s="1">
        <f>IF(ISNUMBER(Main_S[[#This Row],[BVPS]]),IF(Main_S[[#This Row],[BVPS]]&lt;&gt;0,Main_S[[#This Row],[Current Price]]/Main_S[[#This Row],[BVPS]],""),"")</f>
        <v>4.4014209591474245</v>
      </c>
      <c r="J44">
        <v>12.14</v>
      </c>
      <c r="K44">
        <v>5.24</v>
      </c>
      <c r="L44">
        <v>1.89</v>
      </c>
      <c r="M44" s="1">
        <f>IF(ISNUMBER(Main_S[[#This Row],[EPS]]),IF(Main_S[[#This Row],[EPS]]&lt;&gt;0,Main_S[[#This Row],[Current Price]]/Main_S[[#This Row],[EPS]],""),"")</f>
        <v>39.967741935483872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0.15118202183389295</v>
      </c>
      <c r="P44" s="1">
        <f>(Main_S[[#This Row],[P/B]]-VLOOKUP(Main_S[[#This Row],[Industry]], Mean_PB_S, 2, FALSE))/(VLOOKUP(Main_S[[#This Row],[Industry]], Mean_PB_S, 3, FALSE))</f>
        <v>5.7599329384239519</v>
      </c>
      <c r="Q44" s="1">
        <f>(Main_S[[#This Row],[ROE]]-VLOOKUP(Main_S[[#This Row],[Industry]], Mean_ROE_S, 2, FALSE))/(VLOOKUP(Main_S[[#This Row],[Industry]], Mean_ROE_S, 3, FALSE))</f>
        <v>0.53402525538704371</v>
      </c>
      <c r="R44" s="1">
        <f>(Main_S[[#This Row],[ROA]]-VLOOKUP(Main_S[[#This Row],[Industry]], Mean_ROA_S, 2, FALSE))/(VLOOKUP(Main_S[[#This Row],[Industry]], Mean_ROA_S, 3, FALSE))</f>
        <v>0.4671927571041079</v>
      </c>
      <c r="S44" s="1">
        <f>(Main_S[[#This Row],[A/E]]-VLOOKUP(Main_S[[#This Row],[Industry]], Mean_AE_S, 2, FALSE))/(VLOOKUP(Main_S[[#This Row],[Industry]], Mean_AE_S, 3, FALSE))</f>
        <v>-0.71295019827940642</v>
      </c>
      <c r="T44" s="1">
        <f>(Main_S[[#This Row],[P/E]]-VLOOKUP(Main_S[[#This Row],[Industry]], Mean_PE_S, 2, FALSE))/(VLOOKUP(Main_S[[#This Row],[Industry]], Mean_PE_S, 3, FALSE))</f>
        <v>1.9081323130836021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192</v>
      </c>
      <c r="B45" t="s">
        <v>536</v>
      </c>
      <c r="C45" s="2">
        <v>903</v>
      </c>
      <c r="D45">
        <f>RTD("tos.rtd", , "LAST", Main_S[[#This Row],[Symbol]])</f>
        <v>22.81</v>
      </c>
      <c r="E45">
        <v>1.1000000000000001</v>
      </c>
      <c r="F45">
        <v>14.29</v>
      </c>
      <c r="G45">
        <v>-1.93</v>
      </c>
      <c r="H45" s="1">
        <f>IF(ISNUMBER(Main_S[[#This Row],[Free CF]]),IF(Main_S[[#This Row],[Free CF]]&lt;&gt;0,Main_S[[#This Row],[Current Price]]/Main_S[[#This Row],[Free CF]],""),"")</f>
        <v>20.736363636363635</v>
      </c>
      <c r="I45" s="1">
        <f>IF(ISNUMBER(Main_S[[#This Row],[BVPS]]),IF(Main_S[[#This Row],[BVPS]]&lt;&gt;0,Main_S[[#This Row],[Current Price]]/Main_S[[#This Row],[BVPS]],""),"")</f>
        <v>1.5962211336599019</v>
      </c>
      <c r="J45">
        <v>-12.4</v>
      </c>
      <c r="K45">
        <v>3.46</v>
      </c>
      <c r="L45">
        <v>4.2</v>
      </c>
      <c r="M45" s="1">
        <f>IF(ISNUMBER(Main_S[[#This Row],[EPS]]),IF(Main_S[[#This Row],[EPS]]&lt;&gt;0,Main_S[[#This Row],[Current Price]]/Main_S[[#This Row],[EPS]],""),"")</f>
        <v>-11.818652849740932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0.64018579555814037</v>
      </c>
      <c r="P45" s="1">
        <f>(Main_S[[#This Row],[P/B]]-VLOOKUP(Main_S[[#This Row],[Industry]], Mean_PB_S, 2, FALSE))/(VLOOKUP(Main_S[[#This Row],[Industry]], Mean_PB_S, 3, FALSE))</f>
        <v>0.2859733449136676</v>
      </c>
      <c r="Q45" s="1">
        <f>(Main_S[[#This Row],[ROE]]-VLOOKUP(Main_S[[#This Row],[Industry]], Mean_ROE_S, 2, FALSE))/(VLOOKUP(Main_S[[#This Row],[Industry]], Mean_ROE_S, 3, FALSE))</f>
        <v>-1.4257444122065037</v>
      </c>
      <c r="R45" s="1">
        <f>(Main_S[[#This Row],[ROA]]-VLOOKUP(Main_S[[#This Row],[Industry]], Mean_ROA_S, 2, FALSE))/(VLOOKUP(Main_S[[#This Row],[Industry]], Mean_ROA_S, 3, FALSE))</f>
        <v>-0.5450083348408582</v>
      </c>
      <c r="S45" s="1">
        <f>(Main_S[[#This Row],[A/E]]-VLOOKUP(Main_S[[#This Row],[Industry]], Mean_AE_S, 2, FALSE))/(VLOOKUP(Main_S[[#This Row],[Industry]], Mean_AE_S, 3, FALSE))</f>
        <v>1.106316325120777</v>
      </c>
      <c r="T45" s="1">
        <f>(Main_S[[#This Row],[P/E]]-VLOOKUP(Main_S[[#This Row],[Industry]], Mean_PE_S, 2, FALSE))/(VLOOKUP(Main_S[[#This Row],[Industry]], Mean_PE_S, 3, FALSE))</f>
        <v>-1.423616542300975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192</v>
      </c>
      <c r="B46" t="s">
        <v>537</v>
      </c>
      <c r="C46" s="2">
        <v>938</v>
      </c>
      <c r="D46">
        <f>RTD("tos.rtd", , "LAST", Main_S[[#This Row],[Symbol]])</f>
        <v>42.51</v>
      </c>
      <c r="E46">
        <v>1.86</v>
      </c>
      <c r="F46">
        <v>4.57</v>
      </c>
      <c r="G46">
        <v>1.02</v>
      </c>
      <c r="H46" s="1">
        <f>IF(ISNUMBER(Main_S[[#This Row],[Free CF]]),IF(Main_S[[#This Row],[Free CF]]&lt;&gt;0,Main_S[[#This Row],[Current Price]]/Main_S[[#This Row],[Free CF]],""),"")</f>
        <v>22.854838709677416</v>
      </c>
      <c r="I46" s="1">
        <f>IF(ISNUMBER(Main_S[[#This Row],[BVPS]]),IF(Main_S[[#This Row],[BVPS]]&lt;&gt;0,Main_S[[#This Row],[Current Price]]/Main_S[[#This Row],[BVPS]],""),"")</f>
        <v>9.3019693654266948</v>
      </c>
      <c r="J46">
        <v>14.49</v>
      </c>
      <c r="K46">
        <v>6.29</v>
      </c>
      <c r="L46">
        <v>12.36</v>
      </c>
      <c r="M46" s="1">
        <f>IF(ISNUMBER(Main_S[[#This Row],[EPS]]),IF(Main_S[[#This Row],[EPS]]&lt;&gt;0,Main_S[[#This Row],[Current Price]]/Main_S[[#This Row],[EPS]],""),"")</f>
        <v>41.67647058823529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0.78721647897455893</v>
      </c>
      <c r="P46" s="1">
        <f>(Main_S[[#This Row],[P/B]]-VLOOKUP(Main_S[[#This Row],[Industry]], Mean_PB_S, 2, FALSE))/(VLOOKUP(Main_S[[#This Row],[Industry]], Mean_PB_S, 3, FALSE))</f>
        <v>15.322675570261914</v>
      </c>
      <c r="Q46" s="1">
        <f>(Main_S[[#This Row],[ROE]]-VLOOKUP(Main_S[[#This Row],[Industry]], Mean_ROE_S, 2, FALSE))/(VLOOKUP(Main_S[[#This Row],[Industry]], Mean_ROE_S, 3, FALSE))</f>
        <v>0.72169675982244852</v>
      </c>
      <c r="R46" s="1">
        <f>(Main_S[[#This Row],[ROA]]-VLOOKUP(Main_S[[#This Row],[Industry]], Mean_ROA_S, 2, FALSE))/(VLOOKUP(Main_S[[#This Row],[Industry]], Mean_ROA_S, 3, FALSE))</f>
        <v>1.0642776708918686</v>
      </c>
      <c r="S46" s="1">
        <f>(Main_S[[#This Row],[A/E]]-VLOOKUP(Main_S[[#This Row],[Industry]], Mean_AE_S, 2, FALSE))/(VLOOKUP(Main_S[[#This Row],[Industry]], Mean_AE_S, 3, FALSE))</f>
        <v>7.5328162519370077</v>
      </c>
      <c r="T46" s="1">
        <f>(Main_S[[#This Row],[P/E]]-VLOOKUP(Main_S[[#This Row],[Industry]], Mean_PE_S, 2, FALSE))/(VLOOKUP(Main_S[[#This Row],[Industry]], Mean_PE_S, 3, FALSE))</f>
        <v>2.0180657184997997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135</v>
      </c>
      <c r="B47" t="s">
        <v>438</v>
      </c>
      <c r="C47" s="2">
        <v>1986</v>
      </c>
      <c r="D47">
        <f>RTD("tos.rtd", , "LAST", Main_S[[#This Row],[Symbol]])</f>
        <v>217.97</v>
      </c>
      <c r="E47">
        <v>12.69</v>
      </c>
      <c r="F47">
        <v>22.82</v>
      </c>
      <c r="G47">
        <v>3.19</v>
      </c>
      <c r="H47" s="1">
        <f>IF(ISNUMBER(Main_S[[#This Row],[Free CF]]),IF(Main_S[[#This Row],[Free CF]]&lt;&gt;0,Main_S[[#This Row],[Current Price]]/Main_S[[#This Row],[Free CF]],""),"")</f>
        <v>17.17651694247439</v>
      </c>
      <c r="I47" s="1">
        <f>IF(ISNUMBER(Main_S[[#This Row],[BVPS]]),IF(Main_S[[#This Row],[BVPS]]&lt;&gt;0,Main_S[[#This Row],[Current Price]]/Main_S[[#This Row],[BVPS]],""),"")</f>
        <v>9.5517090271691494</v>
      </c>
      <c r="J47">
        <v>14.69</v>
      </c>
      <c r="K47">
        <v>4.54</v>
      </c>
      <c r="L47">
        <v>2.36</v>
      </c>
      <c r="M47" s="1">
        <f>IF(ISNUMBER(Main_S[[#This Row],[EPS]]),IF(Main_S[[#This Row],[EPS]]&lt;&gt;0,Main_S[[#This Row],[Current Price]]/Main_S[[#This Row],[EPS]],""),"")</f>
        <v>68.329153605015676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0.68608537533587977</v>
      </c>
      <c r="P47" s="1">
        <f>(Main_S[[#This Row],[P/B]]-VLOOKUP(Main_S[[#This Row],[Industry]], Mean_PB_S, 2, FALSE))/(VLOOKUP(Main_S[[#This Row],[Industry]], Mean_PB_S, 3, FALSE))</f>
        <v>10.678202683765784</v>
      </c>
      <c r="Q47" s="1">
        <f>(Main_S[[#This Row],[ROE]]-VLOOKUP(Main_S[[#This Row],[Industry]], Mean_ROE_S, 2, FALSE))/(VLOOKUP(Main_S[[#This Row],[Industry]], Mean_ROE_S, 3, FALSE))</f>
        <v>0.99893771330041803</v>
      </c>
      <c r="R47" s="1">
        <f>(Main_S[[#This Row],[ROA]]-VLOOKUP(Main_S[[#This Row],[Industry]], Mean_ROA_S, 2, FALSE))/(VLOOKUP(Main_S[[#This Row],[Industry]], Mean_ROA_S, 3, FALSE))</f>
        <v>0.66104133163728052</v>
      </c>
      <c r="S47" s="1">
        <f>(Main_S[[#This Row],[A/E]]-VLOOKUP(Main_S[[#This Row],[Industry]], Mean_AE_S, 2, FALSE))/(VLOOKUP(Main_S[[#This Row],[Industry]], Mean_AE_S, 3, FALSE))</f>
        <v>-0.69018203916539844</v>
      </c>
      <c r="T47" s="1">
        <f>(Main_S[[#This Row],[P/E]]-VLOOKUP(Main_S[[#This Row],[Industry]], Mean_PE_S, 2, FALSE))/(VLOOKUP(Main_S[[#This Row],[Industry]], Mean_PE_S, 3, FALSE))</f>
        <v>2.1035051228943904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135</v>
      </c>
      <c r="B48" t="s">
        <v>439</v>
      </c>
      <c r="C48" s="2">
        <v>1457</v>
      </c>
      <c r="D48">
        <f>RTD("tos.rtd", , "LAST", Main_S[[#This Row],[Symbol]])</f>
        <v>15.97</v>
      </c>
      <c r="E48">
        <v>-7.31</v>
      </c>
      <c r="F48">
        <v>17.87</v>
      </c>
      <c r="G48">
        <v>1</v>
      </c>
      <c r="H48" s="1">
        <f>IF(ISNUMBER(Main_S[[#This Row],[Free CF]]),IF(Main_S[[#This Row],[Free CF]]&lt;&gt;0,Main_S[[#This Row],[Current Price]]/Main_S[[#This Row],[Free CF]],""),"")</f>
        <v>-2.1846785225718195</v>
      </c>
      <c r="I48" s="1">
        <f>IF(ISNUMBER(Main_S[[#This Row],[BVPS]]),IF(Main_S[[#This Row],[BVPS]]&lt;&gt;0,Main_S[[#This Row],[Current Price]]/Main_S[[#This Row],[BVPS]],""),"")</f>
        <v>0.89367655288192505</v>
      </c>
      <c r="J48">
        <v>5.0199999999999996</v>
      </c>
      <c r="K48">
        <v>1.7</v>
      </c>
      <c r="L48">
        <v>4.25</v>
      </c>
      <c r="M48" s="1">
        <f>IF(ISNUMBER(Main_S[[#This Row],[EPS]]),IF(Main_S[[#This Row],[EPS]]&lt;&gt;0,Main_S[[#This Row],[Current Price]]/Main_S[[#This Row],[EPS]],""),"")</f>
        <v>15.97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-0.95468249743058031</v>
      </c>
      <c r="P48" s="1">
        <f>(Main_S[[#This Row],[P/B]]-VLOOKUP(Main_S[[#This Row],[Industry]], Mean_PB_S, 2, FALSE))/(VLOOKUP(Main_S[[#This Row],[Industry]], Mean_PB_S, 3, FALSE))</f>
        <v>-1.2516521711161441</v>
      </c>
      <c r="Q48" s="1">
        <f>(Main_S[[#This Row],[ROE]]-VLOOKUP(Main_S[[#This Row],[Industry]], Mean_ROE_S, 2, FALSE))/(VLOOKUP(Main_S[[#This Row],[Industry]], Mean_ROE_S, 3, FALSE))</f>
        <v>0.1814943954012013</v>
      </c>
      <c r="R48" s="1">
        <f>(Main_S[[#This Row],[ROA]]-VLOOKUP(Main_S[[#This Row],[Industry]], Mean_ROA_S, 2, FALSE))/(VLOOKUP(Main_S[[#This Row],[Industry]], Mean_ROA_S, 3, FALSE))</f>
        <v>-0.17031660718512862</v>
      </c>
      <c r="S48" s="1">
        <f>(Main_S[[#This Row],[A/E]]-VLOOKUP(Main_S[[#This Row],[Industry]], Mean_AE_S, 2, FALSE))/(VLOOKUP(Main_S[[#This Row],[Industry]], Mean_AE_S, 3, FALSE))</f>
        <v>1.771033157103663</v>
      </c>
      <c r="T48" s="1">
        <f>(Main_S[[#This Row],[P/E]]-VLOOKUP(Main_S[[#This Row],[Industry]], Mean_PE_S, 2, FALSE))/(VLOOKUP(Main_S[[#This Row],[Industry]], Mean_PE_S, 3, FALSE))</f>
        <v>0.28769611469566825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135</v>
      </c>
      <c r="B49" t="s">
        <v>440</v>
      </c>
      <c r="C49" s="2">
        <v>383</v>
      </c>
      <c r="D49">
        <f>RTD("tos.rtd", , "LAST", Main_S[[#This Row],[Symbol]])</f>
        <v>5.875</v>
      </c>
      <c r="E49">
        <v>0.87</v>
      </c>
      <c r="F49">
        <v>5.85</v>
      </c>
      <c r="G49">
        <v>0.26</v>
      </c>
      <c r="H49" s="1">
        <f>IF(ISNUMBER(Main_S[[#This Row],[Free CF]]),IF(Main_S[[#This Row],[Free CF]]&lt;&gt;0,Main_S[[#This Row],[Current Price]]/Main_S[[#This Row],[Free CF]],""),"")</f>
        <v>6.7528735632183912</v>
      </c>
      <c r="I49" s="1">
        <f>IF(ISNUMBER(Main_S[[#This Row],[BVPS]]),IF(Main_S[[#This Row],[BVPS]]&lt;&gt;0,Main_S[[#This Row],[Current Price]]/Main_S[[#This Row],[BVPS]],""),"")</f>
        <v>1.0042735042735043</v>
      </c>
      <c r="J49">
        <v>4.84</v>
      </c>
      <c r="K49">
        <v>3.62</v>
      </c>
      <c r="L49">
        <v>2.83</v>
      </c>
      <c r="M49" s="1">
        <f>IF(ISNUMBER(Main_S[[#This Row],[EPS]]),IF(Main_S[[#This Row],[EPS]]&lt;&gt;0,Main_S[[#This Row],[Current Price]]/Main_S[[#This Row],[EPS]],""),"")</f>
        <v>22.596153846153847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-0.19726809344834967</v>
      </c>
      <c r="P49" s="1">
        <f>(Main_S[[#This Row],[P/B]]-VLOOKUP(Main_S[[#This Row],[Industry]], Mean_PB_S, 2, FALSE))/(VLOOKUP(Main_S[[#This Row],[Industry]], Mean_PB_S, 3, FALSE))</f>
        <v>-1.0992612461095257</v>
      </c>
      <c r="Q49" s="1">
        <f>(Main_S[[#This Row],[ROE]]-VLOOKUP(Main_S[[#This Row],[Industry]], Mean_ROE_S, 2, FALSE))/(VLOOKUP(Main_S[[#This Row],[Industry]], Mean_ROE_S, 3, FALSE))</f>
        <v>0.16627828400287051</v>
      </c>
      <c r="R49" s="1">
        <f>(Main_S[[#This Row],[ROA]]-VLOOKUP(Main_S[[#This Row],[Industry]], Mean_ROA_S, 2, FALSE))/(VLOOKUP(Main_S[[#This Row],[Industry]], Mean_ROA_S, 3, FALSE))</f>
        <v>0.39172819652579594</v>
      </c>
      <c r="S49" s="1">
        <f>(Main_S[[#This Row],[A/E]]-VLOOKUP(Main_S[[#This Row],[Industry]], Mean_AE_S, 2, FALSE))/(VLOOKUP(Main_S[[#This Row],[Industry]], Mean_AE_S, 3, FALSE))</f>
        <v>-7.8133815754573441E-2</v>
      </c>
      <c r="T49" s="1">
        <f>(Main_S[[#This Row],[P/E]]-VLOOKUP(Main_S[[#This Row],[Industry]], Mean_PE_S, 2, FALSE))/(VLOOKUP(Main_S[[#This Row],[Industry]], Mean_PE_S, 3, FALSE))</f>
        <v>0.51749031523454392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135</v>
      </c>
      <c r="B50" t="s">
        <v>441</v>
      </c>
      <c r="C50" s="2">
        <v>497</v>
      </c>
      <c r="D50">
        <f>RTD("tos.rtd", , "LAST", Main_S[[#This Row],[Symbol]])</f>
        <v>27.22</v>
      </c>
      <c r="E50">
        <v>0.74</v>
      </c>
      <c r="F50">
        <v>13.71</v>
      </c>
      <c r="G50">
        <v>-0.7</v>
      </c>
      <c r="H50" s="1">
        <f>IF(ISNUMBER(Main_S[[#This Row],[Free CF]]),IF(Main_S[[#This Row],[Free CF]]&lt;&gt;0,Main_S[[#This Row],[Current Price]]/Main_S[[#This Row],[Free CF]],""),"")</f>
        <v>36.783783783783782</v>
      </c>
      <c r="I50" s="1">
        <f>IF(ISNUMBER(Main_S[[#This Row],[BVPS]]),IF(Main_S[[#This Row],[BVPS]]&lt;&gt;0,Main_S[[#This Row],[Current Price]]/Main_S[[#This Row],[BVPS]],""),"")</f>
        <v>1.985412107950401</v>
      </c>
      <c r="J50">
        <v>-5.32</v>
      </c>
      <c r="K50">
        <v>-1.1100000000000001</v>
      </c>
      <c r="L50">
        <v>2.04</v>
      </c>
      <c r="M50" s="1">
        <f>IF(ISNUMBER(Main_S[[#This Row],[EPS]]),IF(Main_S[[#This Row],[EPS]]&lt;&gt;0,Main_S[[#This Row],[Current Price]]/Main_S[[#This Row],[EPS]],""),"")</f>
        <v>-38.885714285714286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2.3477066096268886</v>
      </c>
      <c r="P50" s="1">
        <f>(Main_S[[#This Row],[P/B]]-VLOOKUP(Main_S[[#This Row],[Industry]], Mean_PB_S, 2, FALSE))/(VLOOKUP(Main_S[[#This Row],[Industry]], Mean_PB_S, 3, FALSE))</f>
        <v>0.25264418611750095</v>
      </c>
      <c r="Q50" s="1">
        <f>(Main_S[[#This Row],[ROE]]-VLOOKUP(Main_S[[#This Row],[Industry]], Mean_ROE_S, 2, FALSE))/(VLOOKUP(Main_S[[#This Row],[Industry]], Mean_ROE_S, 3, FALSE))</f>
        <v>-0.69258667048069111</v>
      </c>
      <c r="R50" s="1">
        <f>(Main_S[[#This Row],[ROA]]-VLOOKUP(Main_S[[#This Row],[Industry]], Mean_ROA_S, 2, FALSE))/(VLOOKUP(Main_S[[#This Row],[Industry]], Mean_ROA_S, 3, FALSE))</f>
        <v>-0.99289259594955448</v>
      </c>
      <c r="S50" s="1">
        <f>(Main_S[[#This Row],[A/E]]-VLOOKUP(Main_S[[#This Row],[Industry]], Mean_AE_S, 2, FALSE))/(VLOOKUP(Main_S[[#This Row],[Industry]], Mean_AE_S, 3, FALSE))</f>
        <v>-1.1068957231897896</v>
      </c>
      <c r="T50" s="1">
        <f>(Main_S[[#This Row],[P/E]]-VLOOKUP(Main_S[[#This Row],[Industry]], Mean_PE_S, 2, FALSE))/(VLOOKUP(Main_S[[#This Row],[Industry]], Mean_PE_S, 3, FALSE))</f>
        <v>-1.6146933108972152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135</v>
      </c>
      <c r="B51" t="s">
        <v>442</v>
      </c>
      <c r="C51" s="2">
        <v>1885</v>
      </c>
      <c r="D51">
        <f>RTD("tos.rtd", , "LAST", Main_S[[#This Row],[Symbol]])</f>
        <v>22.64</v>
      </c>
      <c r="E51">
        <v>1.24</v>
      </c>
      <c r="F51">
        <v>5.96</v>
      </c>
      <c r="G51">
        <v>-2.57</v>
      </c>
      <c r="H51" s="1">
        <f>IF(ISNUMBER(Main_S[[#This Row],[Free CF]]),IF(Main_S[[#This Row],[Free CF]]&lt;&gt;0,Main_S[[#This Row],[Current Price]]/Main_S[[#This Row],[Free CF]],""),"")</f>
        <v>18.258064516129032</v>
      </c>
      <c r="I51" s="1">
        <f>IF(ISNUMBER(Main_S[[#This Row],[BVPS]]),IF(Main_S[[#This Row],[BVPS]]&lt;&gt;0,Main_S[[#This Row],[Current Price]]/Main_S[[#This Row],[BVPS]],""),"")</f>
        <v>3.7986577181208054</v>
      </c>
      <c r="J51">
        <v>-42.47</v>
      </c>
      <c r="K51">
        <v>3.87</v>
      </c>
      <c r="L51">
        <v>4.01</v>
      </c>
      <c r="M51" s="1">
        <f>IF(ISNUMBER(Main_S[[#This Row],[EPS]]),IF(Main_S[[#This Row],[EPS]]&lt;&gt;0,Main_S[[#This Row],[Current Price]]/Main_S[[#This Row],[EPS]],""),"")</f>
        <v>-8.8093385214007789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0.77774131233237243</v>
      </c>
      <c r="P51" s="1">
        <f>(Main_S[[#This Row],[P/B]]-VLOOKUP(Main_S[[#This Row],[Industry]], Mean_PB_S, 2, FALSE))/(VLOOKUP(Main_S[[#This Row],[Industry]], Mean_PB_S, 3, FALSE))</f>
        <v>2.7511052406154035</v>
      </c>
      <c r="Q51" s="1">
        <f>(Main_S[[#This Row],[ROE]]-VLOOKUP(Main_S[[#This Row],[Industry]], Mean_ROE_S, 2, FALSE))/(VLOOKUP(Main_S[[#This Row],[Industry]], Mean_ROE_S, 3, FALSE))</f>
        <v>-3.8330229951917461</v>
      </c>
      <c r="R51" s="1">
        <f>(Main_S[[#This Row],[ROA]]-VLOOKUP(Main_S[[#This Row],[Industry]], Mean_ROA_S, 2, FALSE))/(VLOOKUP(Main_S[[#This Row],[Industry]], Mean_ROA_S, 3, FALSE))</f>
        <v>0.46491111367565585</v>
      </c>
      <c r="S51" s="1">
        <f>(Main_S[[#This Row],[A/E]]-VLOOKUP(Main_S[[#This Row],[Industry]], Mean_AE_S, 2, FALSE))/(VLOOKUP(Main_S[[#This Row],[Industry]], Mean_AE_S, 3, FALSE))</f>
        <v>1.4584978940853692</v>
      </c>
      <c r="T51" s="1">
        <f>(Main_S[[#This Row],[P/E]]-VLOOKUP(Main_S[[#This Row],[Industry]], Mean_PE_S, 2, FALSE))/(VLOOKUP(Main_S[[#This Row],[Industry]], Mean_PE_S, 3, FALSE))</f>
        <v>-0.57164829800803407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135</v>
      </c>
      <c r="B52" t="s">
        <v>443</v>
      </c>
      <c r="C52" s="2">
        <v>840</v>
      </c>
      <c r="D52">
        <f>RTD("tos.rtd", , "LAST", Main_S[[#This Row],[Symbol]])</f>
        <v>11.48</v>
      </c>
      <c r="E52">
        <v>-1.1000000000000001</v>
      </c>
      <c r="F52">
        <v>6.32</v>
      </c>
      <c r="G52">
        <v>0.87</v>
      </c>
      <c r="H52" s="1">
        <f>IF(ISNUMBER(Main_S[[#This Row],[Free CF]]),IF(Main_S[[#This Row],[Free CF]]&lt;&gt;0,Main_S[[#This Row],[Current Price]]/Main_S[[#This Row],[Free CF]],""),"")</f>
        <v>-10.436363636363636</v>
      </c>
      <c r="I52" s="1">
        <f>IF(ISNUMBER(Main_S[[#This Row],[BVPS]]),IF(Main_S[[#This Row],[BVPS]]&lt;&gt;0,Main_S[[#This Row],[Current Price]]/Main_S[[#This Row],[BVPS]],""),"")</f>
        <v>1.8164556962025316</v>
      </c>
      <c r="J52">
        <v>14.94</v>
      </c>
      <c r="K52">
        <v>4.8099999999999996</v>
      </c>
      <c r="L52">
        <v>2.69</v>
      </c>
      <c r="M52" s="1">
        <f>IF(ISNUMBER(Main_S[[#This Row],[EPS]]),IF(Main_S[[#This Row],[EPS]]&lt;&gt;0,Main_S[[#This Row],[Current Price]]/Main_S[[#This Row],[EPS]],""),"")</f>
        <v>13.195402298850576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-1.6539729857342453</v>
      </c>
      <c r="P52" s="1">
        <f>(Main_S[[#This Row],[P/B]]-VLOOKUP(Main_S[[#This Row],[Industry]], Mean_PB_S, 2, FALSE))/(VLOOKUP(Main_S[[#This Row],[Industry]], Mean_PB_S, 3, FALSE))</f>
        <v>1.9840084846249079E-2</v>
      </c>
      <c r="Q52" s="1">
        <f>(Main_S[[#This Row],[ROE]]-VLOOKUP(Main_S[[#This Row],[Industry]], Mean_ROE_S, 2, FALSE))/(VLOOKUP(Main_S[[#This Row],[Industry]], Mean_ROE_S, 3, FALSE))</f>
        <v>1.0200712013536553</v>
      </c>
      <c r="R52" s="1">
        <f>(Main_S[[#This Row],[ROA]]-VLOOKUP(Main_S[[#This Row],[Industry]], Mean_ROA_S, 2, FALSE))/(VLOOKUP(Main_S[[#This Row],[Industry]], Mean_ROA_S, 3, FALSE))</f>
        <v>0.7400788821591292</v>
      </c>
      <c r="S52" s="1">
        <f>(Main_S[[#This Row],[A/E]]-VLOOKUP(Main_S[[#This Row],[Industry]], Mean_AE_S, 2, FALSE))/(VLOOKUP(Main_S[[#This Row],[Industry]], Mean_AE_S, 3, FALSE))</f>
        <v>-0.26044605251524483</v>
      </c>
      <c r="T52" s="1">
        <f>(Main_S[[#This Row],[P/E]]-VLOOKUP(Main_S[[#This Row],[Industry]], Mean_PE_S, 2, FALSE))/(VLOOKUP(Main_S[[#This Row],[Industry]], Mean_PE_S, 3, FALSE))</f>
        <v>0.19147340762364315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135</v>
      </c>
      <c r="B53" t="s">
        <v>444</v>
      </c>
      <c r="C53" s="2">
        <v>1105</v>
      </c>
      <c r="D53">
        <f>RTD("tos.rtd", , "LAST", Main_S[[#This Row],[Symbol]])</f>
        <v>137.46</v>
      </c>
      <c r="E53">
        <v>2.21</v>
      </c>
      <c r="F53">
        <v>12.61</v>
      </c>
      <c r="G53">
        <v>2.1800000000000002</v>
      </c>
      <c r="H53" s="1">
        <f>IF(ISNUMBER(Main_S[[#This Row],[Free CF]]),IF(Main_S[[#This Row],[Free CF]]&lt;&gt;0,Main_S[[#This Row],[Current Price]]/Main_S[[#This Row],[Free CF]],""),"")</f>
        <v>62.199095022624441</v>
      </c>
      <c r="I53" s="1">
        <f>IF(ISNUMBER(Main_S[[#This Row],[BVPS]]),IF(Main_S[[#This Row],[BVPS]]&lt;&gt;0,Main_S[[#This Row],[Current Price]]/Main_S[[#This Row],[BVPS]],""),"")</f>
        <v>10.900872323552736</v>
      </c>
      <c r="J53">
        <v>20.51</v>
      </c>
      <c r="K53">
        <v>7.68</v>
      </c>
      <c r="L53">
        <v>2.2799999999999998</v>
      </c>
      <c r="M53" s="1">
        <f>IF(ISNUMBER(Main_S[[#This Row],[EPS]]),IF(Main_S[[#This Row],[EPS]]&lt;&gt;0,Main_S[[#This Row],[Current Price]]/Main_S[[#This Row],[EPS]],""),"")</f>
        <v>63.055045871559635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4.5015315752564353</v>
      </c>
      <c r="P53" s="1">
        <f>(Main_S[[#This Row],[P/B]]-VLOOKUP(Main_S[[#This Row],[Industry]], Mean_PB_S, 2, FALSE))/(VLOOKUP(Main_S[[#This Row],[Industry]], Mean_PB_S, 3, FALSE))</f>
        <v>12.537207295863327</v>
      </c>
      <c r="Q53" s="1">
        <f>(Main_S[[#This Row],[ROE]]-VLOOKUP(Main_S[[#This Row],[Industry]], Mean_ROE_S, 2, FALSE))/(VLOOKUP(Main_S[[#This Row],[Industry]], Mean_ROE_S, 3, FALSE))</f>
        <v>1.4909253151797812</v>
      </c>
      <c r="R53" s="1">
        <f>(Main_S[[#This Row],[ROA]]-VLOOKUP(Main_S[[#This Row],[Industry]], Mean_ROA_S, 2, FALSE))/(VLOOKUP(Main_S[[#This Row],[Industry]], Mean_ROA_S, 3, FALSE))</f>
        <v>1.5802187710395217</v>
      </c>
      <c r="S53" s="1">
        <f>(Main_S[[#This Row],[A/E]]-VLOOKUP(Main_S[[#This Row],[Industry]], Mean_AE_S, 2, FALSE))/(VLOOKUP(Main_S[[#This Row],[Industry]], Mean_AE_S, 3, FALSE))</f>
        <v>-0.79436046017149642</v>
      </c>
      <c r="T53" s="1">
        <f>(Main_S[[#This Row],[P/E]]-VLOOKUP(Main_S[[#This Row],[Industry]], Mean_PE_S, 2, FALSE))/(VLOOKUP(Main_S[[#This Row],[Industry]], Mean_PE_S, 3, FALSE))</f>
        <v>1.9205997152771321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t="s">
        <v>135</v>
      </c>
      <c r="B54" t="s">
        <v>445</v>
      </c>
      <c r="C54" s="2">
        <v>355</v>
      </c>
      <c r="D54">
        <f>RTD("tos.rtd", , "LAST", Main_S[[#This Row],[Symbol]])</f>
        <v>12.5</v>
      </c>
      <c r="E54">
        <v>2.4</v>
      </c>
      <c r="F54">
        <v>6.01</v>
      </c>
      <c r="G54">
        <v>-0.91</v>
      </c>
      <c r="H54" s="1">
        <f>IF(ISNUMBER(Main_S[[#This Row],[Free CF]]),IF(Main_S[[#This Row],[Free CF]]&lt;&gt;0,Main_S[[#This Row],[Current Price]]/Main_S[[#This Row],[Free CF]],""),"")</f>
        <v>5.2083333333333339</v>
      </c>
      <c r="I54" s="1">
        <f>IF(ISNUMBER(Main_S[[#This Row],[BVPS]]),IF(Main_S[[#This Row],[BVPS]]&lt;&gt;0,Main_S[[#This Row],[Current Price]]/Main_S[[#This Row],[BVPS]],""),"")</f>
        <v>2.0798668885191347</v>
      </c>
      <c r="J54">
        <v>-18.489999999999998</v>
      </c>
      <c r="K54">
        <v>-5.15</v>
      </c>
      <c r="L54">
        <v>3</v>
      </c>
      <c r="M54" s="1">
        <f>IF(ISNUMBER(Main_S[[#This Row],[EPS]]),IF(Main_S[[#This Row],[EPS]]&lt;&gt;0,Main_S[[#This Row],[Current Price]]/Main_S[[#This Row],[EPS]],""),"")</f>
        <v>-13.736263736263735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-0.32816042351990476</v>
      </c>
      <c r="P54" s="1">
        <f>(Main_S[[#This Row],[P/B]]-VLOOKUP(Main_S[[#This Row],[Industry]], Mean_PB_S, 2, FALSE))/(VLOOKUP(Main_S[[#This Row],[Industry]], Mean_PB_S, 3, FALSE))</f>
        <v>0.38279290360974871</v>
      </c>
      <c r="Q54" s="1">
        <f>(Main_S[[#This Row],[ROE]]-VLOOKUP(Main_S[[#This Row],[Industry]], Mean_ROE_S, 2, FALSE))/(VLOOKUP(Main_S[[#This Row],[Industry]], Mean_ROE_S, 3, FALSE))</f>
        <v>-1.8058988211252291</v>
      </c>
      <c r="R54" s="1">
        <f>(Main_S[[#This Row],[ROA]]-VLOOKUP(Main_S[[#This Row],[Industry]], Mean_ROA_S, 2, FALSE))/(VLOOKUP(Main_S[[#This Row],[Industry]], Mean_ROA_S, 3, FALSE))</f>
        <v>-2.1755285370912913</v>
      </c>
      <c r="S54" s="1">
        <f>(Main_S[[#This Row],[A/E]]-VLOOKUP(Main_S[[#This Row],[Industry]], Mean_AE_S, 2, FALSE))/(VLOOKUP(Main_S[[#This Row],[Industry]], Mean_AE_S, 3, FALSE))</f>
        <v>0.14324532888338437</v>
      </c>
      <c r="T54" s="1">
        <f>(Main_S[[#This Row],[P/E]]-VLOOKUP(Main_S[[#This Row],[Industry]], Mean_PE_S, 2, FALSE))/(VLOOKUP(Main_S[[#This Row],[Industry]], Mean_PE_S, 3, FALSE))</f>
        <v>-0.74251345857496465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t="s">
        <v>135</v>
      </c>
      <c r="B55" t="s">
        <v>446</v>
      </c>
      <c r="C55" s="2">
        <v>552</v>
      </c>
      <c r="D55">
        <f>RTD("tos.rtd", , "LAST", Main_S[[#This Row],[Symbol]])</f>
        <v>39.5</v>
      </c>
      <c r="E55">
        <v>0.64</v>
      </c>
      <c r="F55">
        <v>36.53</v>
      </c>
      <c r="G55">
        <v>2.94</v>
      </c>
      <c r="H55" s="1">
        <f>IF(ISNUMBER(Main_S[[#This Row],[Free CF]]),IF(Main_S[[#This Row],[Free CF]]&lt;&gt;0,Main_S[[#This Row],[Current Price]]/Main_S[[#This Row],[Free CF]],""),"")</f>
        <v>61.71875</v>
      </c>
      <c r="I55" s="1">
        <f>IF(ISNUMBER(Main_S[[#This Row],[BVPS]]),IF(Main_S[[#This Row],[BVPS]]&lt;&gt;0,Main_S[[#This Row],[Current Price]]/Main_S[[#This Row],[BVPS]],""),"")</f>
        <v>1.0813030385984121</v>
      </c>
      <c r="J55">
        <v>8.4700000000000006</v>
      </c>
      <c r="K55">
        <v>4.8099999999999996</v>
      </c>
      <c r="L55">
        <v>1.7</v>
      </c>
      <c r="M55" s="1">
        <f>IF(ISNUMBER(Main_S[[#This Row],[EPS]]),IF(Main_S[[#This Row],[EPS]]&lt;&gt;0,Main_S[[#This Row],[Current Price]]/Main_S[[#This Row],[EPS]],""),"")</f>
        <v>13.435374149659864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4.460824652877168</v>
      </c>
      <c r="P55" s="1">
        <f>(Main_S[[#This Row],[P/B]]-VLOOKUP(Main_S[[#This Row],[Industry]], Mean_PB_S, 2, FALSE))/(VLOOKUP(Main_S[[#This Row],[Industry]], Mean_PB_S, 3, FALSE))</f>
        <v>-0.99312267862731607</v>
      </c>
      <c r="Q55" s="1">
        <f>(Main_S[[#This Row],[ROE]]-VLOOKUP(Main_S[[#This Row],[Industry]], Mean_ROE_S, 2, FALSE))/(VLOOKUP(Main_S[[#This Row],[Industry]], Mean_ROE_S, 3, FALSE))</f>
        <v>0.4731365305358754</v>
      </c>
      <c r="R55" s="1">
        <f>(Main_S[[#This Row],[ROA]]-VLOOKUP(Main_S[[#This Row],[Industry]], Mean_ROA_S, 2, FALSE))/(VLOOKUP(Main_S[[#This Row],[Industry]], Mean_ROA_S, 3, FALSE))</f>
        <v>0.7400788821591292</v>
      </c>
      <c r="S55" s="1">
        <f>(Main_S[[#This Row],[A/E]]-VLOOKUP(Main_S[[#This Row],[Industry]], Mean_AE_S, 2, FALSE))/(VLOOKUP(Main_S[[#This Row],[Industry]], Mean_AE_S, 3, FALSE))</f>
        <v>-1.5496540124657054</v>
      </c>
      <c r="T55" s="1">
        <f>(Main_S[[#This Row],[P/E]]-VLOOKUP(Main_S[[#This Row],[Industry]], Mean_PE_S, 2, FALSE))/(VLOOKUP(Main_S[[#This Row],[Industry]], Mean_PE_S, 3, FALSE))</f>
        <v>0.19979560189937118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135</v>
      </c>
      <c r="B56" t="s">
        <v>447</v>
      </c>
      <c r="C56" s="2">
        <v>331</v>
      </c>
      <c r="D56">
        <f>RTD("tos.rtd", , "LAST", Main_S[[#This Row],[Symbol]])</f>
        <v>8.9</v>
      </c>
      <c r="E56">
        <v>0.97</v>
      </c>
      <c r="F56">
        <v>3.66</v>
      </c>
      <c r="G56">
        <v>-0.38</v>
      </c>
      <c r="H56" s="1">
        <f>IF(ISNUMBER(Main_S[[#This Row],[Free CF]]),IF(Main_S[[#This Row],[Free CF]]&lt;&gt;0,Main_S[[#This Row],[Current Price]]/Main_S[[#This Row],[Free CF]],""),"")</f>
        <v>9.175257731958764</v>
      </c>
      <c r="I56" s="1">
        <f>IF(ISNUMBER(Main_S[[#This Row],[BVPS]]),IF(Main_S[[#This Row],[BVPS]]&lt;&gt;0,Main_S[[#This Row],[Current Price]]/Main_S[[#This Row],[BVPS]],""),"")</f>
        <v>2.4316939890710381</v>
      </c>
      <c r="J56">
        <v>-9.52</v>
      </c>
      <c r="K56">
        <v>0.87</v>
      </c>
      <c r="L56">
        <v>3.02</v>
      </c>
      <c r="M56" s="1">
        <f>IF(ISNUMBER(Main_S[[#This Row],[EPS]]),IF(Main_S[[#This Row],[EPS]]&lt;&gt;0,Main_S[[#This Row],[Current Price]]/Main_S[[#This Row],[EPS]],""),"")</f>
        <v>-23.421052631578949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8.0172737048714929E-3</v>
      </c>
      <c r="P56" s="1">
        <f>(Main_S[[#This Row],[P/B]]-VLOOKUP(Main_S[[#This Row],[Industry]], Mean_PB_S, 2, FALSE))/(VLOOKUP(Main_S[[#This Row],[Industry]], Mean_PB_S, 3, FALSE))</f>
        <v>0.86757351122045145</v>
      </c>
      <c r="Q56" s="1">
        <f>(Main_S[[#This Row],[ROE]]-VLOOKUP(Main_S[[#This Row],[Industry]], Mean_ROE_S, 2, FALSE))/(VLOOKUP(Main_S[[#This Row],[Industry]], Mean_ROE_S, 3, FALSE))</f>
        <v>-1.0476292697750769</v>
      </c>
      <c r="R56" s="1">
        <f>(Main_S[[#This Row],[ROA]]-VLOOKUP(Main_S[[#This Row],[Industry]], Mean_ROA_S, 2, FALSE))/(VLOOKUP(Main_S[[#This Row],[Industry]], Mean_ROA_S, 3, FALSE))</f>
        <v>-0.41328389212266364</v>
      </c>
      <c r="S56" s="1">
        <f>(Main_S[[#This Row],[A/E]]-VLOOKUP(Main_S[[#This Row],[Industry]], Mean_AE_S, 2, FALSE))/(VLOOKUP(Main_S[[#This Row],[Industry]], Mean_AE_S, 3, FALSE))</f>
        <v>0.16928993413490884</v>
      </c>
      <c r="T56" s="1">
        <f>(Main_S[[#This Row],[P/E]]-VLOOKUP(Main_S[[#This Row],[Industry]], Mean_PE_S, 2, FALSE))/(VLOOKUP(Main_S[[#This Row],[Industry]], Mean_PE_S, 3, FALSE))</f>
        <v>-1.0783807464856636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t="s">
        <v>135</v>
      </c>
      <c r="B57" t="s">
        <v>448</v>
      </c>
      <c r="C57" s="2">
        <v>1404</v>
      </c>
      <c r="D57">
        <f>RTD("tos.rtd", , "LAST", Main_S[[#This Row],[Symbol]])</f>
        <v>40.56</v>
      </c>
      <c r="E57">
        <v>5.09</v>
      </c>
      <c r="F57">
        <v>23.14</v>
      </c>
      <c r="G57">
        <v>-2.52</v>
      </c>
      <c r="H57" s="1">
        <f>IF(ISNUMBER(Main_S[[#This Row],[Free CF]]),IF(Main_S[[#This Row],[Free CF]]&lt;&gt;0,Main_S[[#This Row],[Current Price]]/Main_S[[#This Row],[Free CF]],""),"")</f>
        <v>7.9685658153241654</v>
      </c>
      <c r="I57" s="1">
        <f>IF(ISNUMBER(Main_S[[#This Row],[BVPS]]),IF(Main_S[[#This Row],[BVPS]]&lt;&gt;0,Main_S[[#This Row],[Current Price]]/Main_S[[#This Row],[BVPS]],""),"")</f>
        <v>1.752808988764045</v>
      </c>
      <c r="J57">
        <v>-6.41</v>
      </c>
      <c r="K57">
        <v>-0.54</v>
      </c>
      <c r="L57">
        <v>3.61</v>
      </c>
      <c r="M57" s="1">
        <f>IF(ISNUMBER(Main_S[[#This Row],[EPS]]),IF(Main_S[[#This Row],[EPS]]&lt;&gt;0,Main_S[[#This Row],[Current Price]]/Main_S[[#This Row],[EPS]],""),"")</f>
        <v>-16.095238095238095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-9.4244042375297918E-2</v>
      </c>
      <c r="P57" s="1">
        <f>(Main_S[[#This Row],[P/B]]-VLOOKUP(Main_S[[#This Row],[Industry]], Mean_PB_S, 2, FALSE))/(VLOOKUP(Main_S[[#This Row],[Industry]], Mean_PB_S, 3, FALSE))</f>
        <v>-6.7858359804686214E-2</v>
      </c>
      <c r="Q57" s="1">
        <f>(Main_S[[#This Row],[ROE]]-VLOOKUP(Main_S[[#This Row],[Industry]], Mean_ROE_S, 2, FALSE))/(VLOOKUP(Main_S[[#This Row],[Industry]], Mean_ROE_S, 3, FALSE))</f>
        <v>-0.78472867839280547</v>
      </c>
      <c r="R57" s="1">
        <f>(Main_S[[#This Row],[ROA]]-VLOOKUP(Main_S[[#This Row],[Industry]], Mean_ROA_S, 2, FALSE))/(VLOOKUP(Main_S[[#This Row],[Industry]], Mean_ROA_S, 3, FALSE))</f>
        <v>-0.82603554484787389</v>
      </c>
      <c r="S57" s="1">
        <f>(Main_S[[#This Row],[A/E]]-VLOOKUP(Main_S[[#This Row],[Industry]], Mean_AE_S, 2, FALSE))/(VLOOKUP(Main_S[[#This Row],[Industry]], Mean_AE_S, 3, FALSE))</f>
        <v>0.93760578905488023</v>
      </c>
      <c r="T57" s="1">
        <f>(Main_S[[#This Row],[P/E]]-VLOOKUP(Main_S[[#This Row],[Industry]], Mean_PE_S, 2, FALSE))/(VLOOKUP(Main_S[[#This Row],[Industry]], Mean_PE_S, 3, FALSE))</f>
        <v>-0.82432239925129203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142</v>
      </c>
      <c r="B58" t="s">
        <v>449</v>
      </c>
      <c r="C58" s="2">
        <v>443</v>
      </c>
      <c r="D58">
        <f>RTD("tos.rtd", , "LAST", Main_S[[#This Row],[Symbol]])</f>
        <v>33.36</v>
      </c>
      <c r="E58">
        <v>2.2400000000000002</v>
      </c>
      <c r="F58">
        <v>16.2</v>
      </c>
      <c r="G58">
        <v>0.87</v>
      </c>
      <c r="H58" s="1">
        <f>IF(ISNUMBER(Main_S[[#This Row],[Free CF]]),IF(Main_S[[#This Row],[Free CF]]&lt;&gt;0,Main_S[[#This Row],[Current Price]]/Main_S[[#This Row],[Free CF]],""),"")</f>
        <v>14.892857142857141</v>
      </c>
      <c r="I58" s="1">
        <f>IF(ISNUMBER(Main_S[[#This Row],[BVPS]]),IF(Main_S[[#This Row],[BVPS]]&lt;&gt;0,Main_S[[#This Row],[Current Price]]/Main_S[[#This Row],[BVPS]],""),"")</f>
        <v>2.0592592592592593</v>
      </c>
      <c r="J58">
        <v>5.63</v>
      </c>
      <c r="K58">
        <v>3.45</v>
      </c>
      <c r="L58">
        <v>2.19</v>
      </c>
      <c r="M58" s="1">
        <f>IF(ISNUMBER(Main_S[[#This Row],[EPS]]),IF(Main_S[[#This Row],[EPS]]&lt;&gt;0,Main_S[[#This Row],[Current Price]]/Main_S[[#This Row],[EPS]],""),"")</f>
        <v>38.344827586206897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1.3334929672341516</v>
      </c>
      <c r="P58" s="1">
        <f>(Main_S[[#This Row],[P/B]]-VLOOKUP(Main_S[[#This Row],[Industry]], Mean_PB_S, 2, FALSE))/(VLOOKUP(Main_S[[#This Row],[Industry]], Mean_PB_S, 3, FALSE))</f>
        <v>0.16350487448977305</v>
      </c>
      <c r="Q58" s="1">
        <f>(Main_S[[#This Row],[ROE]]-VLOOKUP(Main_S[[#This Row],[Industry]], Mean_ROE_S, 2, FALSE))/(VLOOKUP(Main_S[[#This Row],[Industry]], Mean_ROE_S, 3, FALSE))</f>
        <v>0.70756604239114074</v>
      </c>
      <c r="R58" s="1">
        <f>(Main_S[[#This Row],[ROA]]-VLOOKUP(Main_S[[#This Row],[Industry]], Mean_ROA_S, 2, FALSE))/(VLOOKUP(Main_S[[#This Row],[Industry]], Mean_ROA_S, 3, FALSE))</f>
        <v>0.7177938155517255</v>
      </c>
      <c r="S58" s="1">
        <f>(Main_S[[#This Row],[A/E]]-VLOOKUP(Main_S[[#This Row],[Industry]], Mean_AE_S, 2, FALSE))/(VLOOKUP(Main_S[[#This Row],[Industry]], Mean_AE_S, 3, FALSE))</f>
        <v>0.72974508242206004</v>
      </c>
      <c r="T58" s="1">
        <f>(Main_S[[#This Row],[P/E]]-VLOOKUP(Main_S[[#This Row],[Industry]], Mean_PE_S, 2, FALSE))/(VLOOKUP(Main_S[[#This Row],[Industry]], Mean_PE_S, 3, FALSE))</f>
        <v>2.0023476253285009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142</v>
      </c>
      <c r="B59" t="s">
        <v>450</v>
      </c>
      <c r="C59" s="2">
        <v>1231</v>
      </c>
      <c r="D59">
        <f>RTD("tos.rtd", , "LAST", Main_S[[#This Row],[Symbol]])</f>
        <v>33.090000000000003</v>
      </c>
      <c r="E59">
        <v>0.54</v>
      </c>
      <c r="F59">
        <v>4.74</v>
      </c>
      <c r="G59">
        <v>-0.03</v>
      </c>
      <c r="H59" s="1">
        <f>IF(ISNUMBER(Main_S[[#This Row],[Free CF]]),IF(Main_S[[#This Row],[Free CF]]&lt;&gt;0,Main_S[[#This Row],[Current Price]]/Main_S[[#This Row],[Free CF]],""),"")</f>
        <v>61.277777777777779</v>
      </c>
      <c r="I59" s="1">
        <f>IF(ISNUMBER(Main_S[[#This Row],[BVPS]]),IF(Main_S[[#This Row],[BVPS]]&lt;&gt;0,Main_S[[#This Row],[Current Price]]/Main_S[[#This Row],[BVPS]],""),"")</f>
        <v>6.9810126582278489</v>
      </c>
      <c r="J59">
        <v>-0.66</v>
      </c>
      <c r="K59">
        <v>0.82</v>
      </c>
      <c r="L59">
        <v>1.6</v>
      </c>
      <c r="M59" s="1">
        <f>IF(ISNUMBER(Main_S[[#This Row],[EPS]]),IF(Main_S[[#This Row],[EPS]]&lt;&gt;0,Main_S[[#This Row],[Current Price]]/Main_S[[#This Row],[EPS]],""),"")</f>
        <v>-1103.0000000000002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6.0694210591562934</v>
      </c>
      <c r="P59" s="1">
        <f>(Main_S[[#This Row],[P/B]]-VLOOKUP(Main_S[[#This Row],[Industry]], Mean_PB_S, 2, FALSE))/(VLOOKUP(Main_S[[#This Row],[Industry]], Mean_PB_S, 3, FALSE))</f>
        <v>1.9543795313465779</v>
      </c>
      <c r="Q59" s="1">
        <f>(Main_S[[#This Row],[ROE]]-VLOOKUP(Main_S[[#This Row],[Industry]], Mean_ROE_S, 2, FALSE))/(VLOOKUP(Main_S[[#This Row],[Industry]], Mean_ROE_S, 3, FALSE))</f>
        <v>0.61498180534012392</v>
      </c>
      <c r="R59" s="1">
        <f>(Main_S[[#This Row],[ROA]]-VLOOKUP(Main_S[[#This Row],[Industry]], Mean_ROA_S, 2, FALSE))/(VLOOKUP(Main_S[[#This Row],[Industry]], Mean_ROA_S, 3, FALSE))</f>
        <v>0.55720307079181197</v>
      </c>
      <c r="S59" s="1">
        <f>(Main_S[[#This Row],[A/E]]-VLOOKUP(Main_S[[#This Row],[Industry]], Mean_AE_S, 2, FALSE))/(VLOOKUP(Main_S[[#This Row],[Industry]], Mean_AE_S, 3, FALSE))</f>
        <v>0.10316562495779649</v>
      </c>
      <c r="T59" s="1">
        <f>(Main_S[[#This Row],[P/E]]-VLOOKUP(Main_S[[#This Row],[Industry]], Mean_PE_S, 2, FALSE))/(VLOOKUP(Main_S[[#This Row],[Industry]], Mean_PE_S, 3, FALSE))</f>
        <v>-72.671639141357417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0" spans="1:26" x14ac:dyDescent="0.25">
      <c r="A60" t="s">
        <v>142</v>
      </c>
      <c r="B60" t="s">
        <v>451</v>
      </c>
      <c r="C60" s="2">
        <v>854</v>
      </c>
      <c r="D60">
        <f>RTD("tos.rtd", , "LAST", Main_S[[#This Row],[Symbol]])</f>
        <v>7.49</v>
      </c>
      <c r="E60">
        <v>1.18</v>
      </c>
      <c r="F60">
        <v>0.42</v>
      </c>
      <c r="G60">
        <v>-0.98</v>
      </c>
      <c r="H60" s="1">
        <f>IF(ISNUMBER(Main_S[[#This Row],[Free CF]]),IF(Main_S[[#This Row],[Free CF]]&lt;&gt;0,Main_S[[#This Row],[Current Price]]/Main_S[[#This Row],[Free CF]],""),"")</f>
        <v>6.3474576271186445</v>
      </c>
      <c r="I60" s="1">
        <f>IF(ISNUMBER(Main_S[[#This Row],[BVPS]]),IF(Main_S[[#This Row],[BVPS]]&lt;&gt;0,Main_S[[#This Row],[Current Price]]/Main_S[[#This Row],[BVPS]],""),"")</f>
        <v>17.833333333333336</v>
      </c>
      <c r="J60">
        <v>-17.54</v>
      </c>
      <c r="K60">
        <v>3.89</v>
      </c>
      <c r="L60">
        <v>24.24</v>
      </c>
      <c r="M60" s="1">
        <f>IF(ISNUMBER(Main_S[[#This Row],[EPS]]),IF(Main_S[[#This Row],[EPS]]&lt;&gt;0,Main_S[[#This Row],[Current Price]]/Main_S[[#This Row],[EPS]],""),"")</f>
        <v>-7.6428571428571432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0.46100257446594883</v>
      </c>
      <c r="P60" s="1">
        <f>(Main_S[[#This Row],[P/B]]-VLOOKUP(Main_S[[#This Row],[Industry]], Mean_PB_S, 2, FALSE))/(VLOOKUP(Main_S[[#This Row],[Industry]], Mean_PB_S, 3, FALSE))</f>
        <v>5.9032051814090964</v>
      </c>
      <c r="Q60" s="1">
        <f>(Main_S[[#This Row],[ROE]]-VLOOKUP(Main_S[[#This Row],[Industry]], Mean_ROE_S, 2, FALSE))/(VLOOKUP(Main_S[[#This Row],[Industry]], Mean_ROE_S, 3, FALSE))</f>
        <v>0.36652045058318194</v>
      </c>
      <c r="R60" s="1">
        <f>(Main_S[[#This Row],[ROA]]-VLOOKUP(Main_S[[#This Row],[Industry]], Mean_ROA_S, 2, FALSE))/(VLOOKUP(Main_S[[#This Row],[Industry]], Mean_ROA_S, 3, FALSE))</f>
        <v>0.7446607082111788</v>
      </c>
      <c r="S60" s="1">
        <f>(Main_S[[#This Row],[A/E]]-VLOOKUP(Main_S[[#This Row],[Industry]], Mean_AE_S, 2, FALSE))/(VLOOKUP(Main_S[[#This Row],[Industry]], Mean_AE_S, 3, FALSE))</f>
        <v>24.146824806298355</v>
      </c>
      <c r="T60" s="1">
        <f>(Main_S[[#This Row],[P/E]]-VLOOKUP(Main_S[[#This Row],[Industry]], Mean_PE_S, 2, FALSE))/(VLOOKUP(Main_S[[#This Row],[Industry]], Mean_PE_S, 3, FALSE))</f>
        <v>-1.0064571441742298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142</v>
      </c>
      <c r="B61" t="s">
        <v>452</v>
      </c>
      <c r="C61" s="2">
        <v>482</v>
      </c>
      <c r="D61">
        <f>RTD("tos.rtd", , "LAST", Main_S[[#This Row],[Symbol]])</f>
        <v>1.64</v>
      </c>
      <c r="E61">
        <v>-0.44</v>
      </c>
      <c r="F61">
        <v>2.4</v>
      </c>
      <c r="G61">
        <v>-1.0900000000000001</v>
      </c>
      <c r="H61" s="1">
        <f>IF(ISNUMBER(Main_S[[#This Row],[Free CF]]),IF(Main_S[[#This Row],[Free CF]]&lt;&gt;0,Main_S[[#This Row],[Current Price]]/Main_S[[#This Row],[Free CF]],""),"")</f>
        <v>-3.7272727272727271</v>
      </c>
      <c r="I61" s="1">
        <f>IF(ISNUMBER(Main_S[[#This Row],[BVPS]]),IF(Main_S[[#This Row],[BVPS]]&lt;&gt;0,Main_S[[#This Row],[Current Price]]/Main_S[[#This Row],[BVPS]],""),"")</f>
        <v>0.68333333333333335</v>
      </c>
      <c r="J61">
        <v>-37.08</v>
      </c>
      <c r="K61">
        <v>-11.2</v>
      </c>
      <c r="L61">
        <v>1.1499999999999999</v>
      </c>
      <c r="M61" s="1">
        <f>IF(ISNUMBER(Main_S[[#This Row],[EPS]]),IF(Main_S[[#This Row],[EPS]]&lt;&gt;0,Main_S[[#This Row],[Current Price]]/Main_S[[#This Row],[EPS]],""),"")</f>
        <v>-1.5045871559633026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-0.56763341004799672</v>
      </c>
      <c r="P61" s="1">
        <f>(Main_S[[#This Row],[P/B]]-VLOOKUP(Main_S[[#This Row],[Industry]], Mean_PB_S, 2, FALSE))/(VLOOKUP(Main_S[[#This Row],[Industry]], Mean_PB_S, 3, FALSE))</f>
        <v>-0.33715224314829412</v>
      </c>
      <c r="Q61" s="1">
        <f>(Main_S[[#This Row],[ROE]]-VLOOKUP(Main_S[[#This Row],[Industry]], Mean_ROE_S, 2, FALSE))/(VLOOKUP(Main_S[[#This Row],[Industry]], Mean_ROE_S, 3, FALSE))</f>
        <v>7.8905825467622398E-2</v>
      </c>
      <c r="R61" s="1">
        <f>(Main_S[[#This Row],[ROA]]-VLOOKUP(Main_S[[#This Row],[Industry]], Mean_ROA_S, 2, FALSE))/(VLOOKUP(Main_S[[#This Row],[Industry]], Mean_ROA_S, 3, FALSE))</f>
        <v>-0.17675158776870592</v>
      </c>
      <c r="S61" s="1">
        <f>(Main_S[[#This Row],[A/E]]-VLOOKUP(Main_S[[#This Row],[Industry]], Mean_AE_S, 2, FALSE))/(VLOOKUP(Main_S[[#This Row],[Industry]], Mean_AE_S, 3, FALSE))</f>
        <v>-0.37473396124376074</v>
      </c>
      <c r="T61" s="1">
        <f>(Main_S[[#This Row],[P/E]]-VLOOKUP(Main_S[[#This Row],[Industry]], Mean_PE_S, 2, FALSE))/(VLOOKUP(Main_S[[#This Row],[Industry]], Mean_PE_S, 3, FALSE))</f>
        <v>-0.60485275548037143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142</v>
      </c>
      <c r="B62" t="s">
        <v>453</v>
      </c>
      <c r="C62" s="2">
        <v>578</v>
      </c>
      <c r="D62">
        <f>RTD("tos.rtd", , "LAST", Main_S[[#This Row],[Symbol]])</f>
        <v>0.78400000000000003</v>
      </c>
      <c r="E62">
        <v>-0.65</v>
      </c>
      <c r="F62">
        <v>0.54</v>
      </c>
      <c r="G62">
        <v>-0.96</v>
      </c>
      <c r="H62" s="1">
        <f>IF(ISNUMBER(Main_S[[#This Row],[Free CF]]),IF(Main_S[[#This Row],[Free CF]]&lt;&gt;0,Main_S[[#This Row],[Current Price]]/Main_S[[#This Row],[Free CF]],""),"")</f>
        <v>-1.2061538461538461</v>
      </c>
      <c r="I62" s="1">
        <f>IF(ISNUMBER(Main_S[[#This Row],[BVPS]]),IF(Main_S[[#This Row],[BVPS]]&lt;&gt;0,Main_S[[#This Row],[Current Price]]/Main_S[[#This Row],[BVPS]],""),"")</f>
        <v>1.4518518518518517</v>
      </c>
      <c r="J62">
        <v>-155.55000000000001</v>
      </c>
      <c r="K62">
        <v>-21.01</v>
      </c>
      <c r="L62">
        <v>4.3499999999999996</v>
      </c>
      <c r="M62" s="1">
        <f>IF(ISNUMBER(Main_S[[#This Row],[EPS]]),IF(Main_S[[#This Row],[EPS]]&lt;&gt;0,Main_S[[#This Row],[Current Price]]/Main_S[[#This Row],[EPS]],""),"")</f>
        <v>-0.81666666666666676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-0.31022566699847237</v>
      </c>
      <c r="P62" s="1">
        <f>(Main_S[[#This Row],[P/B]]-VLOOKUP(Main_S[[#This Row],[Industry]], Mean_PB_S, 2, FALSE))/(VLOOKUP(Main_S[[#This Row],[Industry]], Mean_PB_S, 3, FALSE))</f>
        <v>-5.7511995746143622E-2</v>
      </c>
      <c r="Q62" s="1">
        <f>(Main_S[[#This Row],[ROE]]-VLOOKUP(Main_S[[#This Row],[Industry]], Mean_ROE_S, 2, FALSE))/(VLOOKUP(Main_S[[#This Row],[Industry]], Mean_ROE_S, 3, FALSE))</f>
        <v>-1.664886632947953</v>
      </c>
      <c r="R62" s="1">
        <f>(Main_S[[#This Row],[ROA]]-VLOOKUP(Main_S[[#This Row],[Industry]], Mean_ROA_S, 2, FALSE))/(VLOOKUP(Main_S[[#This Row],[Industry]], Mean_ROA_S, 3, FALSE))</f>
        <v>-0.77576117183515203</v>
      </c>
      <c r="S62" s="1">
        <f>(Main_S[[#This Row],[A/E]]-VLOOKUP(Main_S[[#This Row],[Industry]], Mean_AE_S, 2, FALSE))/(VLOOKUP(Main_S[[#This Row],[Industry]], Mean_AE_S, 3, FALSE))</f>
        <v>3.0236630961895337</v>
      </c>
      <c r="T62" s="1">
        <f>(Main_S[[#This Row],[P/E]]-VLOOKUP(Main_S[[#This Row],[Industry]], Mean_PE_S, 2, FALSE))/(VLOOKUP(Main_S[[#This Row],[Industry]], Mean_PE_S, 3, FALSE))</f>
        <v>-0.55984465251913984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142</v>
      </c>
      <c r="B63" t="s">
        <v>454</v>
      </c>
      <c r="C63" s="2">
        <v>530</v>
      </c>
      <c r="D63">
        <f>RTD("tos.rtd", , "LAST", Main_S[[#This Row],[Symbol]])</f>
        <v>1.3</v>
      </c>
      <c r="E63">
        <v>-0.12</v>
      </c>
      <c r="F63">
        <v>-0.03</v>
      </c>
      <c r="G63">
        <v>-1.1599999999999999</v>
      </c>
      <c r="H63" s="1">
        <f>IF(ISNUMBER(Main_S[[#This Row],[Free CF]]),IF(Main_S[[#This Row],[Free CF]]&lt;&gt;0,Main_S[[#This Row],[Current Price]]/Main_S[[#This Row],[Free CF]],""),"")</f>
        <v>-10.833333333333334</v>
      </c>
      <c r="I63" s="1">
        <f>IF(ISNUMBER(Main_S[[#This Row],[BVPS]]),IF(Main_S[[#This Row],[BVPS]]&lt;&gt;0,Main_S[[#This Row],[Current Price]]/Main_S[[#This Row],[BVPS]],""),"")</f>
        <v>-43.333333333333336</v>
      </c>
      <c r="J63">
        <v>-213.73</v>
      </c>
      <c r="K63">
        <v>-4.04</v>
      </c>
      <c r="L63">
        <v>-127.03</v>
      </c>
      <c r="M63" s="1">
        <f>IF(ISNUMBER(Main_S[[#This Row],[EPS]]),IF(Main_S[[#This Row],[EPS]]&lt;&gt;0,Main_S[[#This Row],[Current Price]]/Main_S[[#This Row],[EPS]],""),"")</f>
        <v>-1.1206896551724139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-1.2931664407503847</v>
      </c>
      <c r="P63" s="1">
        <f>(Main_S[[#This Row],[P/B]]-VLOOKUP(Main_S[[#This Row],[Industry]], Mean_PB_S, 2, FALSE))/(VLOOKUP(Main_S[[#This Row],[Industry]], Mean_PB_S, 3, FALSE))</f>
        <v>-16.353463184116286</v>
      </c>
      <c r="Q63" s="1">
        <f>(Main_S[[#This Row],[ROE]]-VLOOKUP(Main_S[[#This Row],[Industry]], Mean_ROE_S, 2, FALSE))/(VLOOKUP(Main_S[[#This Row],[Industry]], Mean_ROE_S, 3, FALSE))</f>
        <v>-2.5212540274834319</v>
      </c>
      <c r="R63" s="1">
        <f>(Main_S[[#This Row],[ROA]]-VLOOKUP(Main_S[[#This Row],[Industry]], Mean_ROA_S, 2, FALSE))/(VLOOKUP(Main_S[[#This Row],[Industry]], Mean_ROA_S, 3, FALSE))</f>
        <v>0.26044602914421483</v>
      </c>
      <c r="S63" s="1">
        <f>(Main_S[[#This Row],[A/E]]-VLOOKUP(Main_S[[#This Row],[Industry]], Mean_AE_S, 2, FALSE))/(VLOOKUP(Main_S[[#This Row],[Industry]], Mean_AE_S, 3, FALSE))</f>
        <v>-136.50177609305618</v>
      </c>
      <c r="T63" s="1">
        <f>(Main_S[[#This Row],[P/E]]-VLOOKUP(Main_S[[#This Row],[Industry]], Mean_PE_S, 2, FALSE))/(VLOOKUP(Main_S[[#This Row],[Industry]], Mean_PE_S, 3, FALSE))</f>
        <v>-0.57973575647977149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142</v>
      </c>
      <c r="B64" t="s">
        <v>455</v>
      </c>
      <c r="C64" s="2">
        <v>1801</v>
      </c>
      <c r="D64">
        <f>RTD("tos.rtd", , "LAST", Main_S[[#This Row],[Symbol]])</f>
        <v>8.59</v>
      </c>
      <c r="E64">
        <v>-1.23</v>
      </c>
      <c r="F64">
        <v>0.94</v>
      </c>
      <c r="G64">
        <v>-1.45</v>
      </c>
      <c r="H64" s="1">
        <f>IF(ISNUMBER(Main_S[[#This Row],[Free CF]]),IF(Main_S[[#This Row],[Free CF]]&lt;&gt;0,Main_S[[#This Row],[Current Price]]/Main_S[[#This Row],[Free CF]],""),"")</f>
        <v>-6.9837398373983737</v>
      </c>
      <c r="I64" s="1">
        <f>IF(ISNUMBER(Main_S[[#This Row],[BVPS]]),IF(Main_S[[#This Row],[BVPS]]&lt;&gt;0,Main_S[[#This Row],[Current Price]]/Main_S[[#This Row],[BVPS]],""),"")</f>
        <v>9.1382978723404253</v>
      </c>
      <c r="J64">
        <v>-115.97</v>
      </c>
      <c r="K64">
        <v>-25.69</v>
      </c>
      <c r="L64">
        <v>2.67</v>
      </c>
      <c r="M64" s="1">
        <f>IF(ISNUMBER(Main_S[[#This Row],[EPS]]),IF(Main_S[[#This Row],[EPS]]&lt;&gt;0,Main_S[[#This Row],[Current Price]]/Main_S[[#This Row],[EPS]],""),"")</f>
        <v>-5.9241379310344833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-0.900120646334306</v>
      </c>
      <c r="P64" s="1">
        <f>(Main_S[[#This Row],[P/B]]-VLOOKUP(Main_S[[#This Row],[Industry]], Mean_PB_S, 2, FALSE))/(VLOOKUP(Main_S[[#This Row],[Industry]], Mean_PB_S, 3, FALSE))</f>
        <v>2.7393492574559244</v>
      </c>
      <c r="Q64" s="1">
        <f>(Main_S[[#This Row],[ROE]]-VLOOKUP(Main_S[[#This Row],[Industry]], Mean_ROE_S, 2, FALSE))/(VLOOKUP(Main_S[[#This Row],[Industry]], Mean_ROE_S, 3, FALSE))</f>
        <v>-1.0822977454313794</v>
      </c>
      <c r="R64" s="1">
        <f>(Main_S[[#This Row],[ROA]]-VLOOKUP(Main_S[[#This Row],[Industry]], Mean_ROA_S, 2, FALSE))/(VLOOKUP(Main_S[[#This Row],[Industry]], Mean_ROA_S, 3, FALSE))</f>
        <v>-1.0615272119402455</v>
      </c>
      <c r="S64" s="1">
        <f>(Main_S[[#This Row],[A/E]]-VLOOKUP(Main_S[[#This Row],[Industry]], Mean_AE_S, 2, FALSE))/(VLOOKUP(Main_S[[#This Row],[Industry]], Mean_AE_S, 3, FALSE))</f>
        <v>1.239504641037054</v>
      </c>
      <c r="T64" s="1">
        <f>(Main_S[[#This Row],[P/E]]-VLOOKUP(Main_S[[#This Row],[Industry]], Mean_PE_S, 2, FALSE))/(VLOOKUP(Main_S[[#This Row],[Industry]], Mean_PE_S, 3, FALSE))</f>
        <v>-0.89400767879160414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142</v>
      </c>
      <c r="B65" t="s">
        <v>456</v>
      </c>
      <c r="C65" s="2">
        <v>699</v>
      </c>
      <c r="D65">
        <f>RTD("tos.rtd", , "LAST", Main_S[[#This Row],[Symbol]])</f>
        <v>4.18</v>
      </c>
      <c r="E65">
        <v>-0.89</v>
      </c>
      <c r="F65">
        <v>-2.64</v>
      </c>
      <c r="G65">
        <v>-2.64</v>
      </c>
      <c r="H65" s="1">
        <f>IF(ISNUMBER(Main_S[[#This Row],[Free CF]]),IF(Main_S[[#This Row],[Free CF]]&lt;&gt;0,Main_S[[#This Row],[Current Price]]/Main_S[[#This Row],[Free CF]],""),"")</f>
        <v>-4.6966292134831455</v>
      </c>
      <c r="I65" s="1">
        <f>IF(ISNUMBER(Main_S[[#This Row],[BVPS]]),IF(Main_S[[#This Row],[BVPS]]&lt;&gt;0,Main_S[[#This Row],[Current Price]]/Main_S[[#This Row],[BVPS]],""),"")</f>
        <v>-1.5833333333333333</v>
      </c>
      <c r="J65">
        <v>168.11</v>
      </c>
      <c r="K65">
        <v>-54.66</v>
      </c>
      <c r="L65">
        <v>-0.38</v>
      </c>
      <c r="M65" s="1">
        <f>IF(ISNUMBER(Main_S[[#This Row],[EPS]]),IF(Main_S[[#This Row],[EPS]]&lt;&gt;0,Main_S[[#This Row],[Current Price]]/Main_S[[#This Row],[EPS]],""),"")</f>
        <v>-1.5833333333333333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-0.66660528606484815</v>
      </c>
      <c r="P65" s="1">
        <f>(Main_S[[#This Row],[P/B]]-VLOOKUP(Main_S[[#This Row],[Industry]], Mean_PB_S, 2, FALSE))/(VLOOKUP(Main_S[[#This Row],[Industry]], Mean_PB_S, 3, FALSE))</f>
        <v>-1.1619225150042756</v>
      </c>
      <c r="Q65" s="1">
        <f>(Main_S[[#This Row],[ROE]]-VLOOKUP(Main_S[[#This Row],[Industry]], Mean_ROE_S, 2, FALSE))/(VLOOKUP(Main_S[[#This Row],[Industry]], Mean_ROE_S, 3, FALSE))</f>
        <v>3.0991537746724163</v>
      </c>
      <c r="R65" s="1">
        <f>(Main_S[[#This Row],[ROA]]-VLOOKUP(Main_S[[#This Row],[Industry]], Mean_ROA_S, 2, FALSE))/(VLOOKUP(Main_S[[#This Row],[Industry]], Mean_ROA_S, 3, FALSE))</f>
        <v>-2.8304678490865181</v>
      </c>
      <c r="S65" s="1">
        <f>(Main_S[[#This Row],[A/E]]-VLOOKUP(Main_S[[#This Row],[Industry]], Mean_AE_S, 2, FALSE))/(VLOOKUP(Main_S[[#This Row],[Industry]], Mean_AE_S, 3, FALSE))</f>
        <v>-1.9995925543290547</v>
      </c>
      <c r="T65" s="1">
        <f>(Main_S[[#This Row],[P/E]]-VLOOKUP(Main_S[[#This Row],[Industry]], Mean_PE_S, 2, FALSE))/(VLOOKUP(Main_S[[#This Row],[Industry]], Mean_PE_S, 3, FALSE))</f>
        <v>-0.61000482772421094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142</v>
      </c>
      <c r="B66" t="s">
        <v>457</v>
      </c>
      <c r="C66" s="2">
        <v>306</v>
      </c>
      <c r="D66">
        <f>RTD("tos.rtd", , "LAST", Main_S[[#This Row],[Symbol]])</f>
        <v>1.23</v>
      </c>
      <c r="E66">
        <v>-0.09</v>
      </c>
      <c r="F66">
        <v>0.03</v>
      </c>
      <c r="G66">
        <v>-0.11</v>
      </c>
      <c r="H66" s="1">
        <f>IF(ISNUMBER(Main_S[[#This Row],[Free CF]]),IF(Main_S[[#This Row],[Free CF]]&lt;&gt;0,Main_S[[#This Row],[Current Price]]/Main_S[[#This Row],[Free CF]],""),"")</f>
        <v>-13.666666666666668</v>
      </c>
      <c r="I66" s="1">
        <f>IF(ISNUMBER(Main_S[[#This Row],[BVPS]]),IF(Main_S[[#This Row],[BVPS]]&lt;&gt;0,Main_S[[#This Row],[Current Price]]/Main_S[[#This Row],[BVPS]],""),"")</f>
        <v>41</v>
      </c>
      <c r="J66">
        <v>-567.80999999999995</v>
      </c>
      <c r="K66">
        <v>-83.47</v>
      </c>
      <c r="L66">
        <v>2.39</v>
      </c>
      <c r="M66" s="1">
        <f>IF(ISNUMBER(Main_S[[#This Row],[EPS]]),IF(Main_S[[#This Row],[EPS]]&lt;&gt;0,Main_S[[#This Row],[Current Price]]/Main_S[[#This Row],[EPS]],""),"")</f>
        <v>-11.181818181818182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-1.5824514657852391</v>
      </c>
      <c r="P66" s="1">
        <f>(Main_S[[#This Row],[P/B]]-VLOOKUP(Main_S[[#This Row],[Industry]], Mean_PB_S, 2, FALSE))/(VLOOKUP(Main_S[[#This Row],[Industry]], Mean_PB_S, 3, FALSE))</f>
        <v>14.332842518760669</v>
      </c>
      <c r="Q66" s="1">
        <f>(Main_S[[#This Row],[ROE]]-VLOOKUP(Main_S[[#This Row],[Industry]], Mean_ROE_S, 2, FALSE))/(VLOOKUP(Main_S[[#This Row],[Industry]], Mean_ROE_S, 3, FALSE))</f>
        <v>-7.7330547675508479</v>
      </c>
      <c r="R66" s="1">
        <f>(Main_S[[#This Row],[ROA]]-VLOOKUP(Main_S[[#This Row],[Industry]], Mean_ROA_S, 2, FALSE))/(VLOOKUP(Main_S[[#This Row],[Industry]], Mean_ROA_S, 3, FALSE))</f>
        <v>-4.5896387070838989</v>
      </c>
      <c r="S66" s="1">
        <f>(Main_S[[#This Row],[A/E]]-VLOOKUP(Main_S[[#This Row],[Industry]], Mean_AE_S, 2, FALSE))/(VLOOKUP(Main_S[[#This Row],[Industry]], Mean_AE_S, 3, FALSE))</f>
        <v>0.94214489851164107</v>
      </c>
      <c r="T66" s="1">
        <f>(Main_S[[#This Row],[P/E]]-VLOOKUP(Main_S[[#This Row],[Industry]], Mean_PE_S, 2, FALSE))/(VLOOKUP(Main_S[[#This Row],[Industry]], Mean_PE_S, 3, FALSE))</f>
        <v>-1.2379983255979772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t="s">
        <v>142</v>
      </c>
      <c r="B67" t="s">
        <v>458</v>
      </c>
      <c r="C67" s="2">
        <v>600</v>
      </c>
      <c r="D67">
        <f>RTD("tos.rtd", , "LAST", Main_S[[#This Row],[Symbol]])</f>
        <v>16.350000000000001</v>
      </c>
      <c r="E67">
        <v>1.36</v>
      </c>
      <c r="F67">
        <v>7.33</v>
      </c>
      <c r="G67">
        <v>0.78</v>
      </c>
      <c r="H67" s="1">
        <f>IF(ISNUMBER(Main_S[[#This Row],[Free CF]]),IF(Main_S[[#This Row],[Free CF]]&lt;&gt;0,Main_S[[#This Row],[Current Price]]/Main_S[[#This Row],[Free CF]],""),"")</f>
        <v>12.022058823529411</v>
      </c>
      <c r="I67" s="1">
        <f>IF(ISNUMBER(Main_S[[#This Row],[BVPS]]),IF(Main_S[[#This Row],[BVPS]]&lt;&gt;0,Main_S[[#This Row],[Current Price]]/Main_S[[#This Row],[BVPS]],""),"")</f>
        <v>2.2305593451568897</v>
      </c>
      <c r="J67">
        <v>11.88</v>
      </c>
      <c r="K67">
        <v>6.75</v>
      </c>
      <c r="L67">
        <v>1.71</v>
      </c>
      <c r="M67" s="1">
        <f>IF(ISNUMBER(Main_S[[#This Row],[EPS]]),IF(Main_S[[#This Row],[EPS]]&lt;&gt;0,Main_S[[#This Row],[Current Price]]/Main_S[[#This Row],[EPS]],""),"")</f>
        <v>20.961538461538463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1.0403827447600082</v>
      </c>
      <c r="P67" s="1">
        <f>(Main_S[[#This Row],[P/B]]-VLOOKUP(Main_S[[#This Row],[Industry]], Mean_PB_S, 2, FALSE))/(VLOOKUP(Main_S[[#This Row],[Industry]], Mean_PB_S, 3, FALSE))</f>
        <v>0.22583570614333551</v>
      </c>
      <c r="Q67" s="1">
        <f>(Main_S[[#This Row],[ROE]]-VLOOKUP(Main_S[[#This Row],[Industry]], Mean_ROE_S, 2, FALSE))/(VLOOKUP(Main_S[[#This Row],[Industry]], Mean_ROE_S, 3, FALSE))</f>
        <v>0.79956150845932128</v>
      </c>
      <c r="R67" s="1">
        <f>(Main_S[[#This Row],[ROA]]-VLOOKUP(Main_S[[#This Row],[Industry]], Mean_ROA_S, 2, FALSE))/(VLOOKUP(Main_S[[#This Row],[Industry]], Mean_ROA_S, 3, FALSE))</f>
        <v>0.91929551049762481</v>
      </c>
      <c r="S67" s="1">
        <f>(Main_S[[#This Row],[A/E]]-VLOOKUP(Main_S[[#This Row],[Industry]], Mean_AE_S, 2, FALSE))/(VLOOKUP(Main_S[[#This Row],[Industry]], Mean_AE_S, 3, FALSE))</f>
        <v>0.21998552380706585</v>
      </c>
      <c r="T67" s="1">
        <f>(Main_S[[#This Row],[P/E]]-VLOOKUP(Main_S[[#This Row],[Industry]], Mean_PE_S, 2, FALSE))/(VLOOKUP(Main_S[[#This Row],[Industry]], Mean_PE_S, 3, FALSE))</f>
        <v>0.86502306689314046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t="s">
        <v>142</v>
      </c>
      <c r="B68" t="s">
        <v>459</v>
      </c>
      <c r="C68" s="2">
        <v>669</v>
      </c>
      <c r="D68">
        <f>RTD("tos.rtd", , "LAST", Main_S[[#This Row],[Symbol]])</f>
        <v>150.87</v>
      </c>
      <c r="E68">
        <v>8.82</v>
      </c>
      <c r="F68">
        <v>87.59</v>
      </c>
      <c r="G68">
        <v>6.65</v>
      </c>
      <c r="H68" s="1">
        <f>IF(ISNUMBER(Main_S[[#This Row],[Free CF]]),IF(Main_S[[#This Row],[Free CF]]&lt;&gt;0,Main_S[[#This Row],[Current Price]]/Main_S[[#This Row],[Free CF]],""),"")</f>
        <v>17.105442176870749</v>
      </c>
      <c r="I68" s="1">
        <f>IF(ISNUMBER(Main_S[[#This Row],[BVPS]]),IF(Main_S[[#This Row],[BVPS]]&lt;&gt;0,Main_S[[#This Row],[Current Price]]/Main_S[[#This Row],[BVPS]],""),"")</f>
        <v>1.7224569014727709</v>
      </c>
      <c r="J68">
        <v>7.96</v>
      </c>
      <c r="K68">
        <v>4.1900000000000004</v>
      </c>
      <c r="L68">
        <v>1.38</v>
      </c>
      <c r="M68" s="1">
        <f>IF(ISNUMBER(Main_S[[#This Row],[EPS]]),IF(Main_S[[#This Row],[EPS]]&lt;&gt;0,Main_S[[#This Row],[Current Price]]/Main_S[[#This Row],[EPS]],""),"")</f>
        <v>22.687218045112783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1.5593992202775762</v>
      </c>
      <c r="P68" s="1">
        <f>(Main_S[[#This Row],[P/B]]-VLOOKUP(Main_S[[#This Row],[Industry]], Mean_PB_S, 2, FALSE))/(VLOOKUP(Main_S[[#This Row],[Industry]], Mean_PB_S, 3, FALSE))</f>
        <v>4.0952857345671154E-2</v>
      </c>
      <c r="Q68" s="1">
        <f>(Main_S[[#This Row],[ROE]]-VLOOKUP(Main_S[[#This Row],[Industry]], Mean_ROE_S, 2, FALSE))/(VLOOKUP(Main_S[[#This Row],[Industry]], Mean_ROE_S, 3, FALSE))</f>
        <v>0.74186195214135842</v>
      </c>
      <c r="R68" s="1">
        <f>(Main_S[[#This Row],[ROA]]-VLOOKUP(Main_S[[#This Row],[Industry]], Mean_ROA_S, 2, FALSE))/(VLOOKUP(Main_S[[#This Row],[Industry]], Mean_ROA_S, 3, FALSE))</f>
        <v>0.76297904411535156</v>
      </c>
      <c r="S68" s="1">
        <f>(Main_S[[#This Row],[A/E]]-VLOOKUP(Main_S[[#This Row],[Industry]], Mean_AE_S, 2, FALSE))/(VLOOKUP(Main_S[[#This Row],[Industry]], Mean_AE_S, 3, FALSE))</f>
        <v>-0.13047417274074272</v>
      </c>
      <c r="T68" s="1">
        <f>(Main_S[[#This Row],[P/E]]-VLOOKUP(Main_S[[#This Row],[Industry]], Mean_PE_S, 2, FALSE))/(VLOOKUP(Main_S[[#This Row],[Industry]], Mean_PE_S, 3, FALSE))</f>
        <v>0.97792792375388227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142</v>
      </c>
      <c r="B69" t="s">
        <v>460</v>
      </c>
      <c r="C69" s="2">
        <v>330</v>
      </c>
      <c r="D69">
        <f>RTD("tos.rtd", , "LAST", Main_S[[#This Row],[Symbol]])</f>
        <v>0.61429999999999996</v>
      </c>
      <c r="E69">
        <v>-1.1499999999999999</v>
      </c>
      <c r="F69">
        <v>-0.28000000000000003</v>
      </c>
      <c r="G69">
        <v>-1.63</v>
      </c>
      <c r="H69" s="1">
        <f>IF(ISNUMBER(Main_S[[#This Row],[Free CF]]),IF(Main_S[[#This Row],[Free CF]]&lt;&gt;0,Main_S[[#This Row],[Current Price]]/Main_S[[#This Row],[Free CF]],""),"")</f>
        <v>-0.53417391304347828</v>
      </c>
      <c r="I69" s="1">
        <f>IF(ISNUMBER(Main_S[[#This Row],[BVPS]]),IF(Main_S[[#This Row],[BVPS]]&lt;&gt;0,Main_S[[#This Row],[Current Price]]/Main_S[[#This Row],[BVPS]],""),"")</f>
        <v>-2.1939285714285712</v>
      </c>
      <c r="L69">
        <v>-0.4</v>
      </c>
      <c r="M69" s="1">
        <f>IF(ISNUMBER(Main_S[[#This Row],[EPS]]),IF(Main_S[[#This Row],[EPS]]&lt;&gt;0,Main_S[[#This Row],[Current Price]]/Main_S[[#This Row],[EPS]],""),"")</f>
        <v>-0.37687116564417178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-0.24161611460808918</v>
      </c>
      <c r="P69" s="1">
        <f>(Main_S[[#This Row],[P/B]]-VLOOKUP(Main_S[[#This Row],[Industry]], Mean_PB_S, 2, FALSE))/(VLOOKUP(Main_S[[#This Row],[Industry]], Mean_PB_S, 3, FALSE))</f>
        <v>-1.3840993387621185</v>
      </c>
      <c r="Q69" s="1">
        <f>(Main_S[[#This Row],[ROE]]-VLOOKUP(Main_S[[#This Row],[Industry]], Mean_ROE_S, 2, FALSE))/(VLOOKUP(Main_S[[#This Row],[Industry]], Mean_ROE_S, 3, FALSE))</f>
        <v>0.62469652655692376</v>
      </c>
      <c r="R69" s="1">
        <f>(Main_S[[#This Row],[ROA]]-VLOOKUP(Main_S[[#This Row],[Industry]], Mean_ROA_S, 2, FALSE))/(VLOOKUP(Main_S[[#This Row],[Industry]], Mean_ROA_S, 3, FALSE))</f>
        <v>0.50713295265373992</v>
      </c>
      <c r="S69" s="1">
        <f>(Main_S[[#This Row],[A/E]]-VLOOKUP(Main_S[[#This Row],[Industry]], Mean_AE_S, 2, FALSE))/(VLOOKUP(Main_S[[#This Row],[Industry]], Mean_AE_S, 3, FALSE))</f>
        <v>-2.0208325359380126</v>
      </c>
      <c r="T69" s="1">
        <f>(Main_S[[#This Row],[P/E]]-VLOOKUP(Main_S[[#This Row],[Industry]], Mean_PE_S, 2, FALSE))/(VLOOKUP(Main_S[[#This Row],[Industry]], Mean_PE_S, 3, FALSE))</f>
        <v>-0.53107045332041325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142</v>
      </c>
      <c r="B70" t="s">
        <v>461</v>
      </c>
      <c r="C70" s="2">
        <v>755</v>
      </c>
      <c r="D70">
        <f>RTD("tos.rtd", , "LAST", Main_S[[#This Row],[Symbol]])</f>
        <v>5.0999999999999996</v>
      </c>
      <c r="E70">
        <v>0.49</v>
      </c>
      <c r="F70">
        <v>3.27</v>
      </c>
      <c r="G70">
        <v>0.19</v>
      </c>
      <c r="H70" s="1">
        <f>IF(ISNUMBER(Main_S[[#This Row],[Free CF]]),IF(Main_S[[#This Row],[Free CF]]&lt;&gt;0,Main_S[[#This Row],[Current Price]]/Main_S[[#This Row],[Free CF]],""),"")</f>
        <v>10.408163265306122</v>
      </c>
      <c r="I70" s="1">
        <f>IF(ISNUMBER(Main_S[[#This Row],[BVPS]]),IF(Main_S[[#This Row],[BVPS]]&lt;&gt;0,Main_S[[#This Row],[Current Price]]/Main_S[[#This Row],[BVPS]],""),"")</f>
        <v>1.5596330275229358</v>
      </c>
      <c r="J70">
        <v>6.15</v>
      </c>
      <c r="K70">
        <v>5.07</v>
      </c>
      <c r="L70">
        <v>1.47</v>
      </c>
      <c r="M70" s="1">
        <f>IF(ISNUMBER(Main_S[[#This Row],[EPS]]),IF(Main_S[[#This Row],[EPS]]&lt;&gt;0,Main_S[[#This Row],[Current Price]]/Main_S[[#This Row],[EPS]],""),"")</f>
        <v>26.842105263157894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0.87560304465497374</v>
      </c>
      <c r="P70" s="1">
        <f>(Main_S[[#This Row],[P/B]]-VLOOKUP(Main_S[[#This Row],[Industry]], Mean_PB_S, 2, FALSE))/(VLOOKUP(Main_S[[#This Row],[Industry]], Mean_PB_S, 3, FALSE))</f>
        <v>-1.8293741528850712E-2</v>
      </c>
      <c r="Q70" s="1">
        <f>(Main_S[[#This Row],[ROE]]-VLOOKUP(Main_S[[#This Row],[Industry]], Mean_ROE_S, 2, FALSE))/(VLOOKUP(Main_S[[#This Row],[Industry]], Mean_ROE_S, 3, FALSE))</f>
        <v>0.7152200651680134</v>
      </c>
      <c r="R70" s="1">
        <f>(Main_S[[#This Row],[ROA]]-VLOOKUP(Main_S[[#This Row],[Industry]], Mean_ROA_S, 2, FALSE))/(VLOOKUP(Main_S[[#This Row],[Industry]], Mean_ROA_S, 3, FALSE))</f>
        <v>0.81671282943425794</v>
      </c>
      <c r="S70" s="1">
        <f>(Main_S[[#This Row],[A/E]]-VLOOKUP(Main_S[[#This Row],[Industry]], Mean_AE_S, 2, FALSE))/(VLOOKUP(Main_S[[#This Row],[Industry]], Mean_AE_S, 3, FALSE))</f>
        <v>-3.4894255500431209E-2</v>
      </c>
      <c r="T70" s="1">
        <f>(Main_S[[#This Row],[P/E]]-VLOOKUP(Main_S[[#This Row],[Industry]], Mean_PE_S, 2, FALSE))/(VLOOKUP(Main_S[[#This Row],[Industry]], Mean_PE_S, 3, FALSE))</f>
        <v>1.249766885685778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142</v>
      </c>
      <c r="B71" t="s">
        <v>462</v>
      </c>
      <c r="C71" s="2">
        <v>1077</v>
      </c>
      <c r="D71">
        <f>RTD("tos.rtd", , "LAST", Main_S[[#This Row],[Symbol]])</f>
        <v>27.86</v>
      </c>
      <c r="E71">
        <v>2.13</v>
      </c>
      <c r="F71">
        <v>14.52</v>
      </c>
      <c r="G71">
        <v>1.29</v>
      </c>
      <c r="H71" s="1">
        <f>IF(ISNUMBER(Main_S[[#This Row],[Free CF]]),IF(Main_S[[#This Row],[Free CF]]&lt;&gt;0,Main_S[[#This Row],[Current Price]]/Main_S[[#This Row],[Free CF]],""),"")</f>
        <v>13.07981220657277</v>
      </c>
      <c r="I71" s="1">
        <f>IF(ISNUMBER(Main_S[[#This Row],[BVPS]]),IF(Main_S[[#This Row],[BVPS]]&lt;&gt;0,Main_S[[#This Row],[Current Price]]/Main_S[[#This Row],[BVPS]],""),"")</f>
        <v>1.918732782369146</v>
      </c>
      <c r="J71">
        <v>9.42</v>
      </c>
      <c r="K71">
        <v>6.28</v>
      </c>
      <c r="L71">
        <v>1.55</v>
      </c>
      <c r="M71" s="1">
        <f>IF(ISNUMBER(Main_S[[#This Row],[EPS]]),IF(Main_S[[#This Row],[EPS]]&lt;&gt;0,Main_S[[#This Row],[Current Price]]/Main_S[[#This Row],[EPS]],""),"")</f>
        <v>21.596899224806201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1.1483799967227375</v>
      </c>
      <c r="P71" s="1">
        <f>(Main_S[[#This Row],[P/B]]-VLOOKUP(Main_S[[#This Row],[Industry]], Mean_PB_S, 2, FALSE))/(VLOOKUP(Main_S[[#This Row],[Industry]], Mean_PB_S, 3, FALSE))</f>
        <v>0.11237161248346919</v>
      </c>
      <c r="Q71" s="1">
        <f>(Main_S[[#This Row],[ROE]]-VLOOKUP(Main_S[[#This Row],[Industry]], Mean_ROE_S, 2, FALSE))/(VLOOKUP(Main_S[[#This Row],[Industry]], Mean_ROE_S, 3, FALSE))</f>
        <v>0.76335209301488549</v>
      </c>
      <c r="R71" s="1">
        <f>(Main_S[[#This Row],[ROA]]-VLOOKUP(Main_S[[#This Row],[Industry]], Mean_ROA_S, 2, FALSE))/(VLOOKUP(Main_S[[#This Row],[Industry]], Mean_ROA_S, 3, FALSE))</f>
        <v>0.89059678424775435</v>
      </c>
      <c r="S71" s="1">
        <f>(Main_S[[#This Row],[A/E]]-VLOOKUP(Main_S[[#This Row],[Industry]], Mean_AE_S, 2, FALSE))/(VLOOKUP(Main_S[[#This Row],[Industry]], Mean_AE_S, 3, FALSE))</f>
        <v>5.0065670935401221E-2</v>
      </c>
      <c r="T71" s="1">
        <f>(Main_S[[#This Row],[P/E]]-VLOOKUP(Main_S[[#This Row],[Industry]], Mean_PE_S, 2, FALSE))/(VLOOKUP(Main_S[[#This Row],[Industry]], Mean_PE_S, 3, FALSE))</f>
        <v>0.90659238063740666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t="s">
        <v>142</v>
      </c>
      <c r="B72" t="s">
        <v>463</v>
      </c>
      <c r="C72" s="2">
        <v>1380</v>
      </c>
      <c r="D72">
        <f>RTD("tos.rtd", , "LAST", Main_S[[#This Row],[Symbol]])</f>
        <v>1.33</v>
      </c>
      <c r="H72" s="1" t="str">
        <f>IF(ISNUMBER(Main_S[[#This Row],[Free CF]]),IF(Main_S[[#This Row],[Free CF]]&lt;&gt;0,Main_S[[#This Row],[Current Price]]/Main_S[[#This Row],[Free CF]],""),"")</f>
        <v/>
      </c>
      <c r="I72" s="1" t="str">
        <f>IF(ISNUMBER(Main_S[[#This Row],[BVPS]]),IF(Main_S[[#This Row],[BVPS]]&lt;&gt;0,Main_S[[#This Row],[Current Price]]/Main_S[[#This Row],[BVPS]],""),"")</f>
        <v/>
      </c>
      <c r="J72">
        <v>-48.4</v>
      </c>
      <c r="K72">
        <v>-11.62</v>
      </c>
      <c r="L72">
        <v>-1.32</v>
      </c>
      <c r="M72" s="1" t="str">
        <f>IF(ISNUMBER(Main_S[[#This Row],[EPS]]),IF(Main_S[[#This Row],[EPS]]&lt;&gt;0,Main_S[[#This Row],[Current Price]]/Main_S[[#This Row],[EPS]],""),"")</f>
        <v/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 t="e">
        <f>(Main_S[[#This Row],[P/FCF]]-VLOOKUP(Main_S[[#This Row],[Industry]], Mean_PFCF_S, 2, FALSE))/(VLOOKUP(Main_S[[#This Row],[Industry]], Mean_PFCF_S, 3, FALSE))</f>
        <v>#VALUE!</v>
      </c>
      <c r="P72" s="1" t="e">
        <f>(Main_S[[#This Row],[P/B]]-VLOOKUP(Main_S[[#This Row],[Industry]], Mean_PB_S, 2, FALSE))/(VLOOKUP(Main_S[[#This Row],[Industry]], Mean_PB_S, 3, FALSE))</f>
        <v>#VALUE!</v>
      </c>
      <c r="Q72" s="1">
        <f>(Main_S[[#This Row],[ROE]]-VLOOKUP(Main_S[[#This Row],[Industry]], Mean_ROE_S, 2, FALSE))/(VLOOKUP(Main_S[[#This Row],[Industry]], Mean_ROE_S, 3, FALSE))</f>
        <v>-8.7716362675066162E-2</v>
      </c>
      <c r="R72" s="1">
        <f>(Main_S[[#This Row],[ROA]]-VLOOKUP(Main_S[[#This Row],[Industry]], Mean_ROA_S, 2, FALSE))/(VLOOKUP(Main_S[[#This Row],[Industry]], Mean_ROA_S, 3, FALSE))</f>
        <v>-0.20239725803454764</v>
      </c>
      <c r="S72" s="1">
        <f>(Main_S[[#This Row],[A/E]]-VLOOKUP(Main_S[[#This Row],[Industry]], Mean_AE_S, 2, FALSE))/(VLOOKUP(Main_S[[#This Row],[Industry]], Mean_AE_S, 3, FALSE))</f>
        <v>-2.997871689950085</v>
      </c>
      <c r="T72" s="1" t="e">
        <f>(Main_S[[#This Row],[P/E]]-VLOOKUP(Main_S[[#This Row],[Industry]], Mean_PE_S, 2, FALSE))/(VLOOKUP(Main_S[[#This Row],[Industry]], Mean_PE_S, 3, FALSE))</f>
        <v>#VALUE!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3" spans="1:26" x14ac:dyDescent="0.25">
      <c r="A73" t="s">
        <v>142</v>
      </c>
      <c r="B73" t="s">
        <v>464</v>
      </c>
      <c r="C73" s="2">
        <v>952</v>
      </c>
      <c r="D73">
        <f>RTD("tos.rtd", , "LAST", Main_S[[#This Row],[Symbol]])</f>
        <v>31.15</v>
      </c>
      <c r="E73">
        <v>-0.28999999999999998</v>
      </c>
      <c r="F73">
        <v>0.45</v>
      </c>
      <c r="G73">
        <v>-0.37</v>
      </c>
      <c r="H73" s="1">
        <f>IF(ISNUMBER(Main_S[[#This Row],[Free CF]]),IF(Main_S[[#This Row],[Free CF]]&lt;&gt;0,Main_S[[#This Row],[Current Price]]/Main_S[[#This Row],[Free CF]],""),"")</f>
        <v>-107.41379310344828</v>
      </c>
      <c r="I73" s="1">
        <f>IF(ISNUMBER(Main_S[[#This Row],[BVPS]]),IF(Main_S[[#This Row],[BVPS]]&lt;&gt;0,Main_S[[#This Row],[Current Price]]/Main_S[[#This Row],[BVPS]],""),"")</f>
        <v>69.222222222222214</v>
      </c>
      <c r="J73">
        <v>-303.54000000000002</v>
      </c>
      <c r="K73">
        <v>-82.84</v>
      </c>
      <c r="L73">
        <v>1.26</v>
      </c>
      <c r="M73" s="1">
        <f>IF(ISNUMBER(Main_S[[#This Row],[EPS]]),IF(Main_S[[#This Row],[EPS]]&lt;&gt;0,Main_S[[#This Row],[Current Price]]/Main_S[[#This Row],[EPS]],""),"")</f>
        <v>-84.189189189189193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-11.154089048682886</v>
      </c>
      <c r="P73" s="1">
        <f>(Main_S[[#This Row],[P/B]]-VLOOKUP(Main_S[[#This Row],[Industry]], Mean_PB_S, 2, FALSE))/(VLOOKUP(Main_S[[#This Row],[Industry]], Mean_PB_S, 3, FALSE))</f>
        <v>24.602041001673378</v>
      </c>
      <c r="Q73" s="1">
        <f>(Main_S[[#This Row],[ROE]]-VLOOKUP(Main_S[[#This Row],[Industry]], Mean_ROE_S, 2, FALSE))/(VLOOKUP(Main_S[[#This Row],[Industry]], Mean_ROE_S, 3, FALSE))</f>
        <v>-3.8431920766967584</v>
      </c>
      <c r="R73" s="1">
        <f>(Main_S[[#This Row],[ROA]]-VLOOKUP(Main_S[[#This Row],[Industry]], Mean_ROA_S, 2, FALSE))/(VLOOKUP(Main_S[[#This Row],[Industry]], Mean_ROA_S, 3, FALSE))</f>
        <v>-4.551170201685137</v>
      </c>
      <c r="S73" s="1">
        <f>(Main_S[[#This Row],[A/E]]-VLOOKUP(Main_S[[#This Row],[Industry]], Mean_AE_S, 2, FALSE))/(VLOOKUP(Main_S[[#This Row],[Industry]], Mean_AE_S, 3, FALSE))</f>
        <v>-0.25791406239449111</v>
      </c>
      <c r="T73" s="1">
        <f>(Main_S[[#This Row],[P/E]]-VLOOKUP(Main_S[[#This Row],[Industry]], Mean_PE_S, 2, FALSE))/(VLOOKUP(Main_S[[#This Row],[Industry]], Mean_PE_S, 3, FALSE))</f>
        <v>-6.0146016138475789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4" spans="1:26" x14ac:dyDescent="0.25">
      <c r="A74" t="s">
        <v>142</v>
      </c>
      <c r="B74" t="s">
        <v>465</v>
      </c>
      <c r="C74" s="2">
        <v>805</v>
      </c>
      <c r="D74">
        <f>RTD("tos.rtd", , "LAST", Main_S[[#This Row],[Symbol]])</f>
        <v>2.62</v>
      </c>
      <c r="E74">
        <v>-0.93</v>
      </c>
      <c r="F74">
        <v>10.199999999999999</v>
      </c>
      <c r="G74">
        <v>0.11</v>
      </c>
      <c r="H74" s="1">
        <f>IF(ISNUMBER(Main_S[[#This Row],[Free CF]]),IF(Main_S[[#This Row],[Free CF]]&lt;&gt;0,Main_S[[#This Row],[Current Price]]/Main_S[[#This Row],[Free CF]],""),"")</f>
        <v>-2.817204301075269</v>
      </c>
      <c r="I74" s="1">
        <f>IF(ISNUMBER(Main_S[[#This Row],[BVPS]]),IF(Main_S[[#This Row],[BVPS]]&lt;&gt;0,Main_S[[#This Row],[Current Price]]/Main_S[[#This Row],[BVPS]],""),"")</f>
        <v>0.25686274509803925</v>
      </c>
      <c r="J74">
        <v>-0.22</v>
      </c>
      <c r="K74">
        <v>-4.01</v>
      </c>
      <c r="L74">
        <v>3.04</v>
      </c>
      <c r="M74" s="1">
        <f>IF(ISNUMBER(Main_S[[#This Row],[EPS]]),IF(Main_S[[#This Row],[EPS]]&lt;&gt;0,Main_S[[#This Row],[Current Price]]/Main_S[[#This Row],[EPS]],""),"")</f>
        <v>23.81818181818182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-0.47471488035765713</v>
      </c>
      <c r="P74" s="1">
        <f>(Main_S[[#This Row],[P/B]]-VLOOKUP(Main_S[[#This Row],[Industry]], Mean_PB_S, 2, FALSE))/(VLOOKUP(Main_S[[#This Row],[Industry]], Mean_PB_S, 3, FALSE))</f>
        <v>-0.49233177094126646</v>
      </c>
      <c r="Q74" s="1">
        <f>(Main_S[[#This Row],[ROE]]-VLOOKUP(Main_S[[#This Row],[Industry]], Mean_ROE_S, 2, FALSE))/(VLOOKUP(Main_S[[#This Row],[Industry]], Mean_ROE_S, 3, FALSE))</f>
        <v>0.62145828615132381</v>
      </c>
      <c r="R74" s="1">
        <f>(Main_S[[#This Row],[ROA]]-VLOOKUP(Main_S[[#This Row],[Industry]], Mean_ROA_S, 2, FALSE))/(VLOOKUP(Main_S[[#This Row],[Industry]], Mean_ROA_S, 3, FALSE))</f>
        <v>0.26227786273463211</v>
      </c>
      <c r="S74" s="1">
        <f>(Main_S[[#This Row],[A/E]]-VLOOKUP(Main_S[[#This Row],[Industry]], Mean_AE_S, 2, FALSE))/(VLOOKUP(Main_S[[#This Row],[Industry]], Mean_AE_S, 3, FALSE))</f>
        <v>1.6324443008027789</v>
      </c>
      <c r="T74" s="1">
        <f>(Main_S[[#This Row],[P/E]]-VLOOKUP(Main_S[[#This Row],[Industry]], Mean_PE_S, 2, FALSE))/(VLOOKUP(Main_S[[#This Row],[Industry]], Mean_PE_S, 3, FALSE))</f>
        <v>1.0519227163726621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t="s">
        <v>142</v>
      </c>
      <c r="B75" t="s">
        <v>466</v>
      </c>
      <c r="C75" s="2">
        <v>268</v>
      </c>
      <c r="D75">
        <f>RTD("tos.rtd", , "LAST", Main_S[[#This Row],[Symbol]])</f>
        <v>0.88700000000000001</v>
      </c>
      <c r="E75">
        <v>-0.37</v>
      </c>
      <c r="F75">
        <v>1.18</v>
      </c>
      <c r="G75">
        <v>-0.65</v>
      </c>
      <c r="H75" s="1">
        <f>IF(ISNUMBER(Main_S[[#This Row],[Free CF]]),IF(Main_S[[#This Row],[Free CF]]&lt;&gt;0,Main_S[[#This Row],[Current Price]]/Main_S[[#This Row],[Free CF]],""),"")</f>
        <v>-2.3972972972972975</v>
      </c>
      <c r="I75" s="1">
        <f>IF(ISNUMBER(Main_S[[#This Row],[BVPS]]),IF(Main_S[[#This Row],[BVPS]]&lt;&gt;0,Main_S[[#This Row],[Current Price]]/Main_S[[#This Row],[BVPS]],""),"")</f>
        <v>0.75169491525423737</v>
      </c>
      <c r="J75">
        <v>-46.06</v>
      </c>
      <c r="K75">
        <v>-22.8</v>
      </c>
      <c r="L75">
        <v>1.41</v>
      </c>
      <c r="M75" s="1">
        <f>IF(ISNUMBER(Main_S[[#This Row],[EPS]]),IF(Main_S[[#This Row],[EPS]]&lt;&gt;0,Main_S[[#This Row],[Current Price]]/Main_S[[#This Row],[EPS]],""),"")</f>
        <v>-1.3646153846153846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-0.43184212455757909</v>
      </c>
      <c r="P75" s="1">
        <f>(Main_S[[#This Row],[P/B]]-VLOOKUP(Main_S[[#This Row],[Industry]], Mean_PB_S, 2, FALSE))/(VLOOKUP(Main_S[[#This Row],[Industry]], Mean_PB_S, 3, FALSE))</f>
        <v>-0.31227756645473137</v>
      </c>
      <c r="Q75" s="1">
        <f>(Main_S[[#This Row],[ROE]]-VLOOKUP(Main_S[[#This Row],[Industry]], Mean_ROE_S, 2, FALSE))/(VLOOKUP(Main_S[[#This Row],[Industry]], Mean_ROE_S, 3, FALSE))</f>
        <v>-5.3273260179139435E-2</v>
      </c>
      <c r="R75" s="1">
        <f>(Main_S[[#This Row],[ROA]]-VLOOKUP(Main_S[[#This Row],[Industry]], Mean_ROA_S, 2, FALSE))/(VLOOKUP(Main_S[[#This Row],[Industry]], Mean_ROA_S, 3, FALSE))</f>
        <v>-0.88506057606338218</v>
      </c>
      <c r="S75" s="1">
        <f>(Main_S[[#This Row],[A/E]]-VLOOKUP(Main_S[[#This Row],[Industry]], Mean_AE_S, 2, FALSE))/(VLOOKUP(Main_S[[#This Row],[Industry]], Mean_AE_S, 3, FALSE))</f>
        <v>-9.8614200327305543E-2</v>
      </c>
      <c r="T75" s="1">
        <f>(Main_S[[#This Row],[P/E]]-VLOOKUP(Main_S[[#This Row],[Industry]], Mean_PE_S, 2, FALSE))/(VLOOKUP(Main_S[[#This Row],[Industry]], Mean_PE_S, 3, FALSE))</f>
        <v>-0.59569491820918563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t="s">
        <v>236</v>
      </c>
      <c r="B76" t="s">
        <v>577</v>
      </c>
      <c r="C76" s="2">
        <v>940</v>
      </c>
      <c r="D76">
        <f>RTD("tos.rtd", , "LAST", Main_S[[#This Row],[Symbol]])</f>
        <v>6.44</v>
      </c>
      <c r="E76">
        <v>-0.83</v>
      </c>
      <c r="F76">
        <v>3.26</v>
      </c>
      <c r="G76">
        <v>-1.98</v>
      </c>
      <c r="H76" s="1">
        <f>IF(ISNUMBER(Main_S[[#This Row],[Free CF]]),IF(Main_S[[#This Row],[Free CF]]&lt;&gt;0,Main_S[[#This Row],[Current Price]]/Main_S[[#This Row],[Free CF]],""),"")</f>
        <v>-7.7590361445783138</v>
      </c>
      <c r="I76" s="1">
        <f>IF(ISNUMBER(Main_S[[#This Row],[BVPS]]),IF(Main_S[[#This Row],[BVPS]]&lt;&gt;0,Main_S[[#This Row],[Current Price]]/Main_S[[#This Row],[BVPS]],""),"")</f>
        <v>1.9754601226993866</v>
      </c>
      <c r="J76">
        <v>-35.61</v>
      </c>
      <c r="K76">
        <v>-0.54</v>
      </c>
      <c r="L76">
        <v>6.57</v>
      </c>
      <c r="M76" s="1">
        <f>IF(ISNUMBER(Main_S[[#This Row],[EPS]]),IF(Main_S[[#This Row],[EPS]]&lt;&gt;0,Main_S[[#This Row],[Current Price]]/Main_S[[#This Row],[EPS]],""),"")</f>
        <v>-3.2525252525252526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-0.5144842945535022</v>
      </c>
      <c r="P76" s="1">
        <f>(Main_S[[#This Row],[P/B]]-VLOOKUP(Main_S[[#This Row],[Industry]], Mean_PB_S, 2, FALSE))/(VLOOKUP(Main_S[[#This Row],[Industry]], Mean_PB_S, 3, FALSE))</f>
        <v>2.7672507635465857</v>
      </c>
      <c r="Q76" s="1">
        <f>(Main_S[[#This Row],[ROE]]-VLOOKUP(Main_S[[#This Row],[Industry]], Mean_ROE_S, 2, FALSE))/(VLOOKUP(Main_S[[#This Row],[Industry]], Mean_ROE_S, 3, FALSE))</f>
        <v>-1.9733677384051027</v>
      </c>
      <c r="R76" s="1">
        <f>(Main_S[[#This Row],[ROA]]-VLOOKUP(Main_S[[#This Row],[Industry]], Mean_ROA_S, 2, FALSE))/(VLOOKUP(Main_S[[#This Row],[Industry]], Mean_ROA_S, 3, FALSE))</f>
        <v>-0.29311351679451908</v>
      </c>
      <c r="S76" s="1">
        <f>(Main_S[[#This Row],[A/E]]-VLOOKUP(Main_S[[#This Row],[Industry]], Mean_AE_S, 2, FALSE))/(VLOOKUP(Main_S[[#This Row],[Industry]], Mean_AE_S, 3, FALSE))</f>
        <v>9.5577777593993147</v>
      </c>
      <c r="T76" s="1">
        <f>(Main_S[[#This Row],[P/E]]-VLOOKUP(Main_S[[#This Row],[Industry]], Mean_PE_S, 2, FALSE))/(VLOOKUP(Main_S[[#This Row],[Industry]], Mean_PE_S, 3, FALSE))</f>
        <v>-0.12535038195149695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t="s">
        <v>236</v>
      </c>
      <c r="B77" t="s">
        <v>578</v>
      </c>
      <c r="C77" s="2">
        <v>749</v>
      </c>
      <c r="D77">
        <f>RTD("tos.rtd", , "LAST", Main_S[[#This Row],[Symbol]])</f>
        <v>22.89</v>
      </c>
      <c r="E77">
        <v>-7.96</v>
      </c>
      <c r="F77">
        <v>32.74</v>
      </c>
      <c r="G77">
        <v>2.98</v>
      </c>
      <c r="H77" s="1">
        <f>IF(ISNUMBER(Main_S[[#This Row],[Free CF]]),IF(Main_S[[#This Row],[Free CF]]&lt;&gt;0,Main_S[[#This Row],[Current Price]]/Main_S[[#This Row],[Free CF]],""),"")</f>
        <v>-2.8756281407035176</v>
      </c>
      <c r="I77" s="1">
        <f>IF(ISNUMBER(Main_S[[#This Row],[BVPS]]),IF(Main_S[[#This Row],[BVPS]]&lt;&gt;0,Main_S[[#This Row],[Current Price]]/Main_S[[#This Row],[BVPS]],""),"")</f>
        <v>0.69914477703115452</v>
      </c>
      <c r="J77">
        <v>10.029999999999999</v>
      </c>
      <c r="K77">
        <v>4.07</v>
      </c>
      <c r="L77">
        <v>2.34</v>
      </c>
      <c r="M77" s="1">
        <f>IF(ISNUMBER(Main_S[[#This Row],[EPS]]),IF(Main_S[[#This Row],[EPS]]&lt;&gt;0,Main_S[[#This Row],[Current Price]]/Main_S[[#This Row],[EPS]],""),"")</f>
        <v>7.6812080536912752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0.26160618727797624</v>
      </c>
      <c r="P77" s="1">
        <f>(Main_S[[#This Row],[P/B]]-VLOOKUP(Main_S[[#This Row],[Industry]], Mean_PB_S, 2, FALSE))/(VLOOKUP(Main_S[[#This Row],[Industry]], Mean_PB_S, 3, FALSE))</f>
        <v>-1.0647029437432629</v>
      </c>
      <c r="Q77" s="1">
        <f>(Main_S[[#This Row],[ROE]]-VLOOKUP(Main_S[[#This Row],[Industry]], Mean_ROE_S, 2, FALSE))/(VLOOKUP(Main_S[[#This Row],[Industry]], Mean_ROE_S, 3, FALSE))</f>
        <v>0.57538719737856547</v>
      </c>
      <c r="R77" s="1">
        <f>(Main_S[[#This Row],[ROA]]-VLOOKUP(Main_S[[#This Row],[Industry]], Mean_ROA_S, 2, FALSE))/(VLOOKUP(Main_S[[#This Row],[Industry]], Mean_ROA_S, 3, FALSE))</f>
        <v>1.6280997236169492</v>
      </c>
      <c r="S77" s="1">
        <f>(Main_S[[#This Row],[A/E]]-VLOOKUP(Main_S[[#This Row],[Industry]], Mean_AE_S, 2, FALSE))/(VLOOKUP(Main_S[[#This Row],[Industry]], Mean_AE_S, 3, FALSE))</f>
        <v>0.81628588431626492</v>
      </c>
      <c r="T77" s="1">
        <f>(Main_S[[#This Row],[P/E]]-VLOOKUP(Main_S[[#This Row],[Industry]], Mean_PE_S, 2, FALSE))/(VLOOKUP(Main_S[[#This Row],[Industry]], Mean_PE_S, 3, FALSE))</f>
        <v>0.45176264826235507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t="s">
        <v>236</v>
      </c>
      <c r="B78" t="s">
        <v>579</v>
      </c>
      <c r="C78" s="2">
        <v>938</v>
      </c>
      <c r="D78">
        <f>RTD("tos.rtd", , "LAST", Main_S[[#This Row],[Symbol]])</f>
        <v>8.7899999999999991</v>
      </c>
      <c r="E78">
        <v>1.1299999999999999</v>
      </c>
      <c r="F78">
        <v>10.52</v>
      </c>
      <c r="G78">
        <v>-0.28999999999999998</v>
      </c>
      <c r="H78" s="1">
        <f>IF(ISNUMBER(Main_S[[#This Row],[Free CF]]),IF(Main_S[[#This Row],[Free CF]]&lt;&gt;0,Main_S[[#This Row],[Current Price]]/Main_S[[#This Row],[Free CF]],""),"")</f>
        <v>7.778761061946903</v>
      </c>
      <c r="I78" s="1">
        <f>IF(ISNUMBER(Main_S[[#This Row],[BVPS]]),IF(Main_S[[#This Row],[BVPS]]&lt;&gt;0,Main_S[[#This Row],[Current Price]]/Main_S[[#This Row],[BVPS]],""),"")</f>
        <v>0.83555133079847899</v>
      </c>
      <c r="J78">
        <v>-2.7</v>
      </c>
      <c r="K78">
        <v>-1.59</v>
      </c>
      <c r="L78">
        <v>1.65</v>
      </c>
      <c r="M78" s="1">
        <f>IF(ISNUMBER(Main_S[[#This Row],[EPS]]),IF(Main_S[[#This Row],[EPS]]&lt;&gt;0,Main_S[[#This Row],[Current Price]]/Main_S[[#This Row],[EPS]],""),"")</f>
        <v>-30.310344827586206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1.9548437876062954</v>
      </c>
      <c r="P78" s="1">
        <f>(Main_S[[#This Row],[P/B]]-VLOOKUP(Main_S[[#This Row],[Industry]], Mean_PB_S, 2, FALSE))/(VLOOKUP(Main_S[[#This Row],[Industry]], Mean_PB_S, 3, FALSE))</f>
        <v>-0.65516183685195406</v>
      </c>
      <c r="Q78" s="1">
        <f>(Main_S[[#This Row],[ROE]]-VLOOKUP(Main_S[[#This Row],[Industry]], Mean_ROE_S, 2, FALSE))/(VLOOKUP(Main_S[[#This Row],[Industry]], Mean_ROE_S, 3, FALSE))</f>
        <v>-0.13551662235250589</v>
      </c>
      <c r="R78" s="1">
        <f>(Main_S[[#This Row],[ROA]]-VLOOKUP(Main_S[[#This Row],[Industry]], Mean_ROA_S, 2, FALSE))/(VLOOKUP(Main_S[[#This Row],[Industry]], Mean_ROA_S, 3, FALSE))</f>
        <v>-0.73070004660624177</v>
      </c>
      <c r="S78" s="1">
        <f>(Main_S[[#This Row],[A/E]]-VLOOKUP(Main_S[[#This Row],[Industry]], Mean_AE_S, 2, FALSE))/(VLOOKUP(Main_S[[#This Row],[Industry]], Mean_AE_S, 3, FALSE))</f>
        <v>-0.60963123005898412</v>
      </c>
      <c r="T78" s="1">
        <f>(Main_S[[#This Row],[P/E]]-VLOOKUP(Main_S[[#This Row],[Industry]], Mean_PE_S, 2, FALSE))/(VLOOKUP(Main_S[[#This Row],[Industry]], Mean_PE_S, 3, FALSE))</f>
        <v>-1.5535377913759376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t="s">
        <v>236</v>
      </c>
      <c r="B79" t="s">
        <v>580</v>
      </c>
      <c r="C79" s="2">
        <v>1379</v>
      </c>
      <c r="D79">
        <f>RTD("tos.rtd", , "LAST", Main_S[[#This Row],[Symbol]])</f>
        <v>13.16</v>
      </c>
      <c r="E79">
        <v>-1.1200000000000001</v>
      </c>
      <c r="F79">
        <v>9.41</v>
      </c>
      <c r="G79">
        <v>0.41</v>
      </c>
      <c r="H79" s="1">
        <f>IF(ISNUMBER(Main_S[[#This Row],[Free CF]]),IF(Main_S[[#This Row],[Free CF]]&lt;&gt;0,Main_S[[#This Row],[Current Price]]/Main_S[[#This Row],[Free CF]],""),"")</f>
        <v>-11.749999999999998</v>
      </c>
      <c r="I79" s="1">
        <f>IF(ISNUMBER(Main_S[[#This Row],[BVPS]]),IF(Main_S[[#This Row],[BVPS]]&lt;&gt;0,Main_S[[#This Row],[Current Price]]/Main_S[[#This Row],[BVPS]],""),"")</f>
        <v>1.3985122210414453</v>
      </c>
      <c r="J79">
        <v>4.4400000000000004</v>
      </c>
      <c r="K79">
        <v>2.2400000000000002</v>
      </c>
      <c r="L79">
        <v>1.3</v>
      </c>
      <c r="M79" s="1">
        <f>IF(ISNUMBER(Main_S[[#This Row],[EPS]]),IF(Main_S[[#This Row],[EPS]]&lt;&gt;0,Main_S[[#This Row],[Current Price]]/Main_S[[#This Row],[EPS]],""),"")</f>
        <v>32.09756097560976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-1.1487440285484096</v>
      </c>
      <c r="P79" s="1">
        <f>(Main_S[[#This Row],[P/B]]-VLOOKUP(Main_S[[#This Row],[Industry]], Mean_PB_S, 2, FALSE))/(VLOOKUP(Main_S[[#This Row],[Industry]], Mean_PB_S, 3, FALSE))</f>
        <v>1.0350474658468836</v>
      </c>
      <c r="Q79" s="1">
        <f>(Main_S[[#This Row],[ROE]]-VLOOKUP(Main_S[[#This Row],[Industry]], Mean_ROE_S, 2, FALSE))/(VLOOKUP(Main_S[[#This Row],[Industry]], Mean_ROE_S, 3, FALSE))</f>
        <v>0.26321497803082872</v>
      </c>
      <c r="R79" s="1">
        <f>(Main_S[[#This Row],[ROA]]-VLOOKUP(Main_S[[#This Row],[Industry]], Mean_ROA_S, 2, FALSE))/(VLOOKUP(Main_S[[#This Row],[Industry]], Mean_ROA_S, 3, FALSE))</f>
        <v>0.86544891451651829</v>
      </c>
      <c r="S79" s="1">
        <f>(Main_S[[#This Row],[A/E]]-VLOOKUP(Main_S[[#This Row],[Industry]], Mean_AE_S, 2, FALSE))/(VLOOKUP(Main_S[[#This Row],[Industry]], Mean_AE_S, 3, FALSE))</f>
        <v>-1.3329225199594725</v>
      </c>
      <c r="T79" s="1">
        <f>(Main_S[[#This Row],[P/E]]-VLOOKUP(Main_S[[#This Row],[Industry]], Mean_PE_S, 2, FALSE))/(VLOOKUP(Main_S[[#This Row],[Industry]], Mean_PE_S, 3, FALSE))</f>
        <v>1.7405260584259796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t="s">
        <v>236</v>
      </c>
      <c r="B80" t="s">
        <v>581</v>
      </c>
      <c r="C80" s="2">
        <v>259</v>
      </c>
      <c r="D80">
        <f>RTD("tos.rtd", , "LAST", Main_S[[#This Row],[Symbol]])</f>
        <v>7.54</v>
      </c>
      <c r="E80">
        <v>0.09</v>
      </c>
      <c r="F80">
        <v>12.52</v>
      </c>
      <c r="G80">
        <v>-0.43</v>
      </c>
      <c r="H80" s="1">
        <f>IF(ISNUMBER(Main_S[[#This Row],[Free CF]]),IF(Main_S[[#This Row],[Free CF]]&lt;&gt;0,Main_S[[#This Row],[Current Price]]/Main_S[[#This Row],[Free CF]],""),"")</f>
        <v>83.777777777777786</v>
      </c>
      <c r="I80" s="1">
        <f>IF(ISNUMBER(Main_S[[#This Row],[BVPS]]),IF(Main_S[[#This Row],[BVPS]]&lt;&gt;0,Main_S[[#This Row],[Current Price]]/Main_S[[#This Row],[BVPS]],""),"")</f>
        <v>0.60223642172523961</v>
      </c>
      <c r="L80">
        <v>1.47</v>
      </c>
      <c r="M80" s="1">
        <f>IF(ISNUMBER(Main_S[[#This Row],[EPS]]),IF(Main_S[[#This Row],[EPS]]&lt;&gt;0,Main_S[[#This Row],[Current Price]]/Main_S[[#This Row],[EPS]],""),"")</f>
        <v>-17.534883720930232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14.03290760183352</v>
      </c>
      <c r="P80" s="1">
        <f>(Main_S[[#This Row],[P/B]]-VLOOKUP(Main_S[[#This Row],[Industry]], Mean_PB_S, 2, FALSE))/(VLOOKUP(Main_S[[#This Row],[Industry]], Mean_PB_S, 3, FALSE))</f>
        <v>-1.3556563767190593</v>
      </c>
      <c r="Q80" s="1">
        <f>(Main_S[[#This Row],[ROE]]-VLOOKUP(Main_S[[#This Row],[Industry]], Mean_ROE_S, 2, FALSE))/(VLOOKUP(Main_S[[#This Row],[Industry]], Mean_ROE_S, 3, FALSE))</f>
        <v>1.5264234935309699E-2</v>
      </c>
      <c r="R80" s="1">
        <f>(Main_S[[#This Row],[ROA]]-VLOOKUP(Main_S[[#This Row],[Industry]], Mean_ROA_S, 2, FALSE))/(VLOOKUP(Main_S[[#This Row],[Industry]], Mean_ROA_S, 3, FALSE))</f>
        <v>-6.8069015748490239E-2</v>
      </c>
      <c r="S80" s="1">
        <f>(Main_S[[#This Row],[A/E]]-VLOOKUP(Main_S[[#This Row],[Industry]], Mean_AE_S, 2, FALSE))/(VLOOKUP(Main_S[[#This Row],[Industry]], Mean_AE_S, 3, FALSE))</f>
        <v>-0.98160960772209249</v>
      </c>
      <c r="T80" s="1">
        <f>(Main_S[[#This Row],[P/E]]-VLOOKUP(Main_S[[#This Row],[Industry]], Mean_PE_S, 2, FALSE))/(VLOOKUP(Main_S[[#This Row],[Industry]], Mean_PE_S, 3, FALSE))</f>
        <v>-0.87921321575733502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t="s">
        <v>236</v>
      </c>
      <c r="B81" t="s">
        <v>582</v>
      </c>
      <c r="C81" s="2">
        <v>380</v>
      </c>
      <c r="D81">
        <f>RTD("tos.rtd", , "LAST", Main_S[[#This Row],[Symbol]])</f>
        <v>12.52</v>
      </c>
      <c r="E81">
        <v>-1.29</v>
      </c>
      <c r="F81">
        <v>14.18</v>
      </c>
      <c r="G81">
        <v>-0.11</v>
      </c>
      <c r="H81" s="1">
        <f>IF(ISNUMBER(Main_S[[#This Row],[Free CF]]),IF(Main_S[[#This Row],[Free CF]]&lt;&gt;0,Main_S[[#This Row],[Current Price]]/Main_S[[#This Row],[Free CF]],""),"")</f>
        <v>-9.7054263565891468</v>
      </c>
      <c r="I81" s="1">
        <f>IF(ISNUMBER(Main_S[[#This Row],[BVPS]]),IF(Main_S[[#This Row],[BVPS]]&lt;&gt;0,Main_S[[#This Row],[Current Price]]/Main_S[[#This Row],[BVPS]],""),"")</f>
        <v>0.88293370944992944</v>
      </c>
      <c r="J81">
        <v>-0.78</v>
      </c>
      <c r="K81">
        <v>0.01</v>
      </c>
      <c r="L81">
        <v>2.4500000000000002</v>
      </c>
      <c r="M81" s="1">
        <f>IF(ISNUMBER(Main_S[[#This Row],[EPS]]),IF(Main_S[[#This Row],[EPS]]&lt;&gt;0,Main_S[[#This Row],[Current Price]]/Main_S[[#This Row],[EPS]],""),"")</f>
        <v>-113.81818181818181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-0.82381231225609397</v>
      </c>
      <c r="P81" s="1">
        <f>(Main_S[[#This Row],[P/B]]-VLOOKUP(Main_S[[#This Row],[Industry]], Mean_PB_S, 2, FALSE))/(VLOOKUP(Main_S[[#This Row],[Industry]], Mean_PB_S, 3, FALSE))</f>
        <v>-0.51290304309078139</v>
      </c>
      <c r="Q81" s="1">
        <f>(Main_S[[#This Row],[ROE]]-VLOOKUP(Main_S[[#This Row],[Industry]], Mean_ROE_S, 2, FALSE))/(VLOOKUP(Main_S[[#This Row],[Industry]], Mean_ROE_S, 3, FALSE))</f>
        <v>-2.8294679392281478E-2</v>
      </c>
      <c r="R81" s="1">
        <f>(Main_S[[#This Row],[ROA]]-VLOOKUP(Main_S[[#This Row],[Industry]], Mean_ROA_S, 2, FALSE))/(VLOOKUP(Main_S[[#This Row],[Industry]], Mean_ROA_S, 3, FALSE))</f>
        <v>-6.3901524988378589E-2</v>
      </c>
      <c r="S81" s="1">
        <f>(Main_S[[#This Row],[A/E]]-VLOOKUP(Main_S[[#This Row],[Industry]], Mean_AE_S, 2, FALSE))/(VLOOKUP(Main_S[[#This Row],[Industry]], Mean_AE_S, 3, FALSE))</f>
        <v>1.0436060039992763</v>
      </c>
      <c r="T81" s="1">
        <f>(Main_S[[#This Row],[P/E]]-VLOOKUP(Main_S[[#This Row],[Industry]], Mean_PE_S, 2, FALSE))/(VLOOKUP(Main_S[[#This Row],[Industry]], Mean_PE_S, 3, FALSE))</f>
        <v>-5.9613150347486066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2" spans="1:26" x14ac:dyDescent="0.25">
      <c r="A82" t="s">
        <v>236</v>
      </c>
      <c r="B82" t="s">
        <v>583</v>
      </c>
      <c r="C82" s="2">
        <v>1260</v>
      </c>
      <c r="D82">
        <f>RTD("tos.rtd", , "LAST", Main_S[[#This Row],[Symbol]])</f>
        <v>24.69</v>
      </c>
      <c r="E82">
        <v>-5.99</v>
      </c>
      <c r="F82">
        <v>23.98</v>
      </c>
      <c r="G82">
        <v>4.9800000000000004</v>
      </c>
      <c r="H82" s="1">
        <f>IF(ISNUMBER(Main_S[[#This Row],[Free CF]]),IF(Main_S[[#This Row],[Free CF]]&lt;&gt;0,Main_S[[#This Row],[Current Price]]/Main_S[[#This Row],[Free CF]],""),"")</f>
        <v>-4.1218697829716193</v>
      </c>
      <c r="I82" s="1">
        <f>IF(ISNUMBER(Main_S[[#This Row],[BVPS]]),IF(Main_S[[#This Row],[BVPS]]&lt;&gt;0,Main_S[[#This Row],[Current Price]]/Main_S[[#This Row],[BVPS]],""),"")</f>
        <v>1.0296080066722268</v>
      </c>
      <c r="J82">
        <v>22.98</v>
      </c>
      <c r="K82">
        <v>9.8000000000000007</v>
      </c>
      <c r="L82">
        <v>2.46</v>
      </c>
      <c r="M82" s="1">
        <f>IF(ISNUMBER(Main_S[[#This Row],[EPS]]),IF(Main_S[[#This Row],[EPS]]&lt;&gt;0,Main_S[[#This Row],[Current Price]]/Main_S[[#This Row],[EPS]],""),"")</f>
        <v>4.9578313253012043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6.3548544775266863E-2</v>
      </c>
      <c r="P82" s="1">
        <f>(Main_S[[#This Row],[P/B]]-VLOOKUP(Main_S[[#This Row],[Industry]], Mean_PB_S, 2, FALSE))/(VLOOKUP(Main_S[[#This Row],[Industry]], Mean_PB_S, 3, FALSE))</f>
        <v>-7.253450963023024E-2</v>
      </c>
      <c r="Q82" s="1">
        <f>(Main_S[[#This Row],[ROE]]-VLOOKUP(Main_S[[#This Row],[Industry]], Mean_ROE_S, 2, FALSE))/(VLOOKUP(Main_S[[#This Row],[Industry]], Mean_ROE_S, 3, FALSE))</f>
        <v>1.2985768647404958</v>
      </c>
      <c r="R82" s="1">
        <f>(Main_S[[#This Row],[ROA]]-VLOOKUP(Main_S[[#This Row],[Industry]], Mean_ROA_S, 2, FALSE))/(VLOOKUP(Main_S[[#This Row],[Industry]], Mean_ROA_S, 3, FALSE))</f>
        <v>4.0160719291609217</v>
      </c>
      <c r="S82" s="1">
        <f>(Main_S[[#This Row],[A/E]]-VLOOKUP(Main_S[[#This Row],[Industry]], Mean_AE_S, 2, FALSE))/(VLOOKUP(Main_S[[#This Row],[Industry]], Mean_AE_S, 3, FALSE))</f>
        <v>1.0642714694250042</v>
      </c>
      <c r="T82" s="1">
        <f>(Main_S[[#This Row],[P/E]]-VLOOKUP(Main_S[[#This Row],[Industry]], Mean_PE_S, 2, FALSE))/(VLOOKUP(Main_S[[#This Row],[Industry]], Mean_PE_S, 3, FALSE))</f>
        <v>0.30801520609258215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t="s">
        <v>236</v>
      </c>
      <c r="B83" t="s">
        <v>584</v>
      </c>
      <c r="C83" s="2">
        <v>1445</v>
      </c>
      <c r="D83">
        <f>RTD("tos.rtd", , "LAST", Main_S[[#This Row],[Symbol]])</f>
        <v>6.31</v>
      </c>
      <c r="E83">
        <v>-2.7</v>
      </c>
      <c r="F83">
        <v>2.2200000000000002</v>
      </c>
      <c r="G83">
        <v>-9.09</v>
      </c>
      <c r="H83" s="1">
        <f>IF(ISNUMBER(Main_S[[#This Row],[Free CF]]),IF(Main_S[[#This Row],[Free CF]]&lt;&gt;0,Main_S[[#This Row],[Current Price]]/Main_S[[#This Row],[Free CF]],""),"")</f>
        <v>-2.3370370370370366</v>
      </c>
      <c r="I83" s="1">
        <f>IF(ISNUMBER(Main_S[[#This Row],[BVPS]]),IF(Main_S[[#This Row],[BVPS]]&lt;&gt;0,Main_S[[#This Row],[Current Price]]/Main_S[[#This Row],[BVPS]],""),"")</f>
        <v>2.842342342342342</v>
      </c>
      <c r="J83">
        <v>-134.16999999999999</v>
      </c>
      <c r="K83">
        <v>-3.21</v>
      </c>
      <c r="L83">
        <v>33.74</v>
      </c>
      <c r="M83" s="1">
        <f>IF(ISNUMBER(Main_S[[#This Row],[EPS]]),IF(Main_S[[#This Row],[EPS]]&lt;&gt;0,Main_S[[#This Row],[Current Price]]/Main_S[[#This Row],[EPS]],""),"")</f>
        <v>-0.6941694169416941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0.34720121206865601</v>
      </c>
      <c r="P83" s="1">
        <f>(Main_S[[#This Row],[P/B]]-VLOOKUP(Main_S[[#This Row],[Industry]], Mean_PB_S, 2, FALSE))/(VLOOKUP(Main_S[[#This Row],[Industry]], Mean_PB_S, 3, FALSE))</f>
        <v>5.3699402529574298</v>
      </c>
      <c r="Q83" s="1">
        <f>(Main_S[[#This Row],[ROE]]-VLOOKUP(Main_S[[#This Row],[Industry]], Mean_ROE_S, 2, FALSE))/(VLOOKUP(Main_S[[#This Row],[Industry]], Mean_ROE_S, 3, FALSE))</f>
        <v>-7.4774274770299556</v>
      </c>
      <c r="R83" s="1">
        <f>(Main_S[[#This Row],[ROA]]-VLOOKUP(Main_S[[#This Row],[Industry]], Mean_ROA_S, 2, FALSE))/(VLOOKUP(Main_S[[#This Row],[Industry]], Mean_ROA_S, 3, FALSE))</f>
        <v>-1.4058335497443282</v>
      </c>
      <c r="S83" s="1">
        <f>(Main_S[[#This Row],[A/E]]-VLOOKUP(Main_S[[#This Row],[Industry]], Mean_AE_S, 2, FALSE))/(VLOOKUP(Main_S[[#This Row],[Industry]], Mean_AE_S, 3, FALSE))</f>
        <v>65.705847321102965</v>
      </c>
      <c r="T83" s="1">
        <f>(Main_S[[#This Row],[P/E]]-VLOOKUP(Main_S[[#This Row],[Industry]], Mean_PE_S, 2, FALSE))/(VLOOKUP(Main_S[[#This Row],[Industry]], Mean_PE_S, 3, FALSE))</f>
        <v>9.6867958621832551E-3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t="s">
        <v>154</v>
      </c>
      <c r="B84" t="s">
        <v>467</v>
      </c>
      <c r="C84" s="2">
        <v>1838</v>
      </c>
      <c r="D84">
        <f>RTD("tos.rtd", , "LAST", Main_S[[#This Row],[Symbol]])</f>
        <v>24.91</v>
      </c>
      <c r="E84">
        <v>1</v>
      </c>
      <c r="F84">
        <v>9.1300000000000008</v>
      </c>
      <c r="G84">
        <v>2.77</v>
      </c>
      <c r="H84" s="1">
        <f>IF(ISNUMBER(Main_S[[#This Row],[Free CF]]),IF(Main_S[[#This Row],[Free CF]]&lt;&gt;0,Main_S[[#This Row],[Current Price]]/Main_S[[#This Row],[Free CF]],""),"")</f>
        <v>24.91</v>
      </c>
      <c r="I84" s="1">
        <f>IF(ISNUMBER(Main_S[[#This Row],[BVPS]]),IF(Main_S[[#This Row],[BVPS]]&lt;&gt;0,Main_S[[#This Row],[Current Price]]/Main_S[[#This Row],[BVPS]],""),"")</f>
        <v>2.7283680175246436</v>
      </c>
      <c r="J84">
        <v>29.02</v>
      </c>
      <c r="K84">
        <v>3.14</v>
      </c>
      <c r="L84">
        <v>40.53</v>
      </c>
      <c r="M84" s="1">
        <f>IF(ISNUMBER(Main_S[[#This Row],[EPS]]),IF(Main_S[[#This Row],[EPS]]&lt;&gt;0,Main_S[[#This Row],[Current Price]]/Main_S[[#This Row],[EPS]],""),"")</f>
        <v>8.9927797833935017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1.0146413950935644</v>
      </c>
      <c r="P84" s="1">
        <f>(Main_S[[#This Row],[P/B]]-VLOOKUP(Main_S[[#This Row],[Industry]], Mean_PB_S, 2, FALSE))/(VLOOKUP(Main_S[[#This Row],[Industry]], Mean_PB_S, 3, FALSE))</f>
        <v>-0.98323659118523465</v>
      </c>
      <c r="Q84" s="1">
        <f>(Main_S[[#This Row],[ROE]]-VLOOKUP(Main_S[[#This Row],[Industry]], Mean_ROE_S, 2, FALSE))/(VLOOKUP(Main_S[[#This Row],[Industry]], Mean_ROE_S, 3, FALSE))</f>
        <v>1</v>
      </c>
      <c r="R84" s="1">
        <f>(Main_S[[#This Row],[ROA]]-VLOOKUP(Main_S[[#This Row],[Industry]], Mean_ROA_S, 2, FALSE))/(VLOOKUP(Main_S[[#This Row],[Industry]], Mean_ROA_S, 3, FALSE))</f>
        <v>1</v>
      </c>
      <c r="S84" s="1">
        <f>(Main_S[[#This Row],[A/E]]-VLOOKUP(Main_S[[#This Row],[Industry]], Mean_AE_S, 2, FALSE))/(VLOOKUP(Main_S[[#This Row],[Industry]], Mean_AE_S, 3, FALSE))</f>
        <v>-1.000000000000002</v>
      </c>
      <c r="T84" s="1">
        <f>(Main_S[[#This Row],[P/E]]-VLOOKUP(Main_S[[#This Row],[Industry]], Mean_PE_S, 2, FALSE))/(VLOOKUP(Main_S[[#This Row],[Industry]], Mean_PE_S, 3, FALSE))</f>
        <v>1.0168074904113944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t="s">
        <v>154</v>
      </c>
      <c r="B85" t="s">
        <v>468</v>
      </c>
      <c r="C85" s="2">
        <v>1944</v>
      </c>
      <c r="D85">
        <f>RTD("tos.rtd", , "LAST", Main_S[[#This Row],[Symbol]])</f>
        <v>29</v>
      </c>
      <c r="E85">
        <v>-5.39</v>
      </c>
      <c r="F85">
        <v>5.18</v>
      </c>
      <c r="G85">
        <v>-53.77</v>
      </c>
      <c r="H85" s="1">
        <f>IF(ISNUMBER(Main_S[[#This Row],[Free CF]]),IF(Main_S[[#This Row],[Free CF]]&lt;&gt;0,Main_S[[#This Row],[Current Price]]/Main_S[[#This Row],[Free CF]],""),"")</f>
        <v>-5.3803339517625233</v>
      </c>
      <c r="I85" s="1">
        <f>IF(ISNUMBER(Main_S[[#This Row],[BVPS]]),IF(Main_S[[#This Row],[BVPS]]&lt;&gt;0,Main_S[[#This Row],[Current Price]]/Main_S[[#This Row],[BVPS]],""),"")</f>
        <v>5.5984555984555984</v>
      </c>
      <c r="J85">
        <v>-43.54</v>
      </c>
      <c r="K85">
        <v>0.99</v>
      </c>
      <c r="L85">
        <v>54.56</v>
      </c>
      <c r="M85" s="1">
        <f>IF(ISNUMBER(Main_S[[#This Row],[EPS]]),IF(Main_S[[#This Row],[EPS]]&lt;&gt;0,Main_S[[#This Row],[Current Price]]/Main_S[[#This Row],[EPS]],""),"")</f>
        <v>-0.53933420122745024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-1.0012347271962865</v>
      </c>
      <c r="P85" s="1">
        <f>(Main_S[[#This Row],[P/B]]-VLOOKUP(Main_S[[#This Row],[Industry]], Mean_PB_S, 2, FALSE))/(VLOOKUP(Main_S[[#This Row],[Industry]], Mean_PB_S, 3, FALSE))</f>
        <v>1.0134301441276572</v>
      </c>
      <c r="Q85" s="1">
        <f>(Main_S[[#This Row],[ROE]]-VLOOKUP(Main_S[[#This Row],[Industry]], Mean_ROE_S, 2, FALSE))/(VLOOKUP(Main_S[[#This Row],[Industry]], Mean_ROE_S, 3, FALSE))</f>
        <v>-1</v>
      </c>
      <c r="R85" s="1">
        <f>(Main_S[[#This Row],[ROA]]-VLOOKUP(Main_S[[#This Row],[Industry]], Mean_ROA_S, 2, FALSE))/(VLOOKUP(Main_S[[#This Row],[Industry]], Mean_ROA_S, 3, FALSE))</f>
        <v>-0.99999999999999978</v>
      </c>
      <c r="S85" s="1">
        <f>(Main_S[[#This Row],[A/E]]-VLOOKUP(Main_S[[#This Row],[Industry]], Mean_AE_S, 2, FALSE))/(VLOOKUP(Main_S[[#This Row],[Industry]], Mean_AE_S, 3, FALSE))</f>
        <v>1.000000000000002</v>
      </c>
      <c r="T85" s="1">
        <f>(Main_S[[#This Row],[P/E]]-VLOOKUP(Main_S[[#This Row],[Industry]], Mean_PE_S, 2, FALSE))/(VLOOKUP(Main_S[[#This Row],[Industry]], Mean_PE_S, 3, FALSE))</f>
        <v>-1.0003935681305862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t="s">
        <v>157</v>
      </c>
      <c r="B86" t="s">
        <v>469</v>
      </c>
      <c r="C86" s="2">
        <v>859</v>
      </c>
      <c r="D86">
        <f>RTD("tos.rtd", , "LAST", Main_S[[#This Row],[Symbol]])</f>
        <v>40.65</v>
      </c>
      <c r="E86">
        <v>0.35</v>
      </c>
      <c r="F86">
        <v>27.69</v>
      </c>
      <c r="G86">
        <v>-0.09</v>
      </c>
      <c r="H86" s="1">
        <f>IF(ISNUMBER(Main_S[[#This Row],[Free CF]]),IF(Main_S[[#This Row],[Free CF]]&lt;&gt;0,Main_S[[#This Row],[Current Price]]/Main_S[[#This Row],[Free CF]],""),"")</f>
        <v>116.14285714285715</v>
      </c>
      <c r="I86" s="1">
        <f>IF(ISNUMBER(Main_S[[#This Row],[BVPS]]),IF(Main_S[[#This Row],[BVPS]]&lt;&gt;0,Main_S[[#This Row],[Current Price]]/Main_S[[#This Row],[BVPS]],""),"")</f>
        <v>1.4680390032502708</v>
      </c>
      <c r="J86">
        <v>-0.32</v>
      </c>
      <c r="K86">
        <v>4.37</v>
      </c>
      <c r="L86">
        <v>1.69</v>
      </c>
      <c r="M86" s="1">
        <f>IF(ISNUMBER(Main_S[[#This Row],[EPS]]),IF(Main_S[[#This Row],[EPS]]&lt;&gt;0,Main_S[[#This Row],[Current Price]]/Main_S[[#This Row],[EPS]],""),"")</f>
        <v>-451.66666666666669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9.3173782674047452</v>
      </c>
      <c r="P86" s="1">
        <f>(Main_S[[#This Row],[P/B]]-VLOOKUP(Main_S[[#This Row],[Industry]], Mean_PB_S, 2, FALSE))/(VLOOKUP(Main_S[[#This Row],[Industry]], Mean_PB_S, 3, FALSE))</f>
        <v>-0.21953062831097001</v>
      </c>
      <c r="Q86" s="1">
        <f>(Main_S[[#This Row],[ROE]]-VLOOKUP(Main_S[[#This Row],[Industry]], Mean_ROE_S, 2, FALSE))/(VLOOKUP(Main_S[[#This Row],[Industry]], Mean_ROE_S, 3, FALSE))</f>
        <v>-0.53286497524314702</v>
      </c>
      <c r="R86" s="1">
        <f>(Main_S[[#This Row],[ROA]]-VLOOKUP(Main_S[[#This Row],[Industry]], Mean_ROA_S, 2, FALSE))/(VLOOKUP(Main_S[[#This Row],[Industry]], Mean_ROA_S, 3, FALSE))</f>
        <v>0.25342437989688821</v>
      </c>
      <c r="S86" s="1">
        <f>(Main_S[[#This Row],[A/E]]-VLOOKUP(Main_S[[#This Row],[Industry]], Mean_AE_S, 2, FALSE))/(VLOOKUP(Main_S[[#This Row],[Industry]], Mean_AE_S, 3, FALSE))</f>
        <v>-0.54391359047572907</v>
      </c>
      <c r="T86" s="1">
        <f>(Main_S[[#This Row],[P/E]]-VLOOKUP(Main_S[[#This Row],[Industry]], Mean_PE_S, 2, FALSE))/(VLOOKUP(Main_S[[#This Row],[Industry]], Mean_PE_S, 3, FALSE))</f>
        <v>-29.378360182358353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7" spans="1:26" x14ac:dyDescent="0.25">
      <c r="A87" t="s">
        <v>157</v>
      </c>
      <c r="B87" t="s">
        <v>470</v>
      </c>
      <c r="C87" s="2">
        <v>1293</v>
      </c>
      <c r="D87">
        <f>RTD("tos.rtd", , "LAST", Main_S[[#This Row],[Symbol]])</f>
        <v>40.847000000000001</v>
      </c>
      <c r="E87">
        <v>2.97</v>
      </c>
      <c r="F87">
        <v>4.9400000000000004</v>
      </c>
      <c r="G87">
        <v>3.16</v>
      </c>
      <c r="H87" s="1">
        <f>IF(ISNUMBER(Main_S[[#This Row],[Free CF]]),IF(Main_S[[#This Row],[Free CF]]&lt;&gt;0,Main_S[[#This Row],[Current Price]]/Main_S[[#This Row],[Free CF]],""),"")</f>
        <v>13.753198653198652</v>
      </c>
      <c r="I87" s="1">
        <f>IF(ISNUMBER(Main_S[[#This Row],[BVPS]]),IF(Main_S[[#This Row],[BVPS]]&lt;&gt;0,Main_S[[#This Row],[Current Price]]/Main_S[[#This Row],[BVPS]],""),"")</f>
        <v>8.2686234817813755</v>
      </c>
      <c r="J87">
        <v>105.78</v>
      </c>
      <c r="K87">
        <v>18.46</v>
      </c>
      <c r="L87">
        <v>3.29</v>
      </c>
      <c r="M87" s="1">
        <f>IF(ISNUMBER(Main_S[[#This Row],[EPS]]),IF(Main_S[[#This Row],[EPS]]&lt;&gt;0,Main_S[[#This Row],[Current Price]]/Main_S[[#This Row],[EPS]],""),"")</f>
        <v>12.92626582278481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0.31056788160115278</v>
      </c>
      <c r="P87" s="1">
        <f>(Main_S[[#This Row],[P/B]]-VLOOKUP(Main_S[[#This Row],[Industry]], Mean_PB_S, 2, FALSE))/(VLOOKUP(Main_S[[#This Row],[Industry]], Mean_PB_S, 3, FALSE))</f>
        <v>6.9371400779044148</v>
      </c>
      <c r="Q87" s="1">
        <f>(Main_S[[#This Row],[ROE]]-VLOOKUP(Main_S[[#This Row],[Industry]], Mean_ROE_S, 2, FALSE))/(VLOOKUP(Main_S[[#This Row],[Industry]], Mean_ROE_S, 3, FALSE))</f>
        <v>7.4560552459837313</v>
      </c>
      <c r="R87" s="1">
        <f>(Main_S[[#This Row],[ROA]]-VLOOKUP(Main_S[[#This Row],[Industry]], Mean_ROA_S, 2, FALSE))/(VLOOKUP(Main_S[[#This Row],[Industry]], Mean_ROA_S, 3, FALSE))</f>
        <v>5.1129092910933407</v>
      </c>
      <c r="S87" s="1">
        <f>(Main_S[[#This Row],[A/E]]-VLOOKUP(Main_S[[#This Row],[Industry]], Mean_AE_S, 2, FALSE))/(VLOOKUP(Main_S[[#This Row],[Industry]], Mean_AE_S, 3, FALSE))</f>
        <v>1.347959767700722</v>
      </c>
      <c r="T87" s="1">
        <f>(Main_S[[#This Row],[P/E]]-VLOOKUP(Main_S[[#This Row],[Industry]], Mean_PE_S, 2, FALSE))/(VLOOKUP(Main_S[[#This Row],[Industry]], Mean_PE_S, 3, FALSE))</f>
        <v>-0.21368154226914921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t="s">
        <v>157</v>
      </c>
      <c r="B88" t="s">
        <v>471</v>
      </c>
      <c r="C88" s="2">
        <v>346</v>
      </c>
      <c r="D88">
        <f>RTD("tos.rtd", , "LAST", Main_S[[#This Row],[Symbol]])</f>
        <v>19.04</v>
      </c>
      <c r="E88">
        <v>2.82</v>
      </c>
      <c r="F88">
        <v>31.82</v>
      </c>
      <c r="G88">
        <v>1.17</v>
      </c>
      <c r="H88" s="1">
        <f>IF(ISNUMBER(Main_S[[#This Row],[Free CF]]),IF(Main_S[[#This Row],[Free CF]]&lt;&gt;0,Main_S[[#This Row],[Current Price]]/Main_S[[#This Row],[Free CF]],""),"")</f>
        <v>6.75177304964539</v>
      </c>
      <c r="I88" s="1">
        <f>IF(ISNUMBER(Main_S[[#This Row],[BVPS]]),IF(Main_S[[#This Row],[BVPS]]&lt;&gt;0,Main_S[[#This Row],[Current Price]]/Main_S[[#This Row],[BVPS]],""),"")</f>
        <v>0.59836580766813319</v>
      </c>
      <c r="J88">
        <v>3.52</v>
      </c>
      <c r="K88">
        <v>0.95</v>
      </c>
      <c r="L88">
        <v>2.79</v>
      </c>
      <c r="M88" s="1">
        <f>IF(ISNUMBER(Main_S[[#This Row],[EPS]]),IF(Main_S[[#This Row],[EPS]]&lt;&gt;0,Main_S[[#This Row],[Current Price]]/Main_S[[#This Row],[EPS]],""),"")</f>
        <v>16.273504273504273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-0.30531963840541027</v>
      </c>
      <c r="P88" s="1">
        <f>(Main_S[[#This Row],[P/B]]-VLOOKUP(Main_S[[#This Row],[Industry]], Mean_PB_S, 2, FALSE))/(VLOOKUP(Main_S[[#This Row],[Industry]], Mean_PB_S, 3, FALSE))</f>
        <v>-1.134740887436779</v>
      </c>
      <c r="Q88" s="1">
        <f>(Main_S[[#This Row],[ROE]]-VLOOKUP(Main_S[[#This Row],[Industry]], Mean_ROE_S, 2, FALSE))/(VLOOKUP(Main_S[[#This Row],[Industry]], Mean_ROE_S, 3, FALSE))</f>
        <v>-0.24372780606773506</v>
      </c>
      <c r="R88" s="1">
        <f>(Main_S[[#This Row],[ROA]]-VLOOKUP(Main_S[[#This Row],[Industry]], Mean_ROA_S, 2, FALSE))/(VLOOKUP(Main_S[[#This Row],[Industry]], Mean_ROA_S, 3, FALSE))</f>
        <v>-0.92609573339565032</v>
      </c>
      <c r="S88" s="1">
        <f>(Main_S[[#This Row],[A/E]]-VLOOKUP(Main_S[[#This Row],[Industry]], Mean_AE_S, 2, FALSE))/(VLOOKUP(Main_S[[#This Row],[Industry]], Mean_AE_S, 3, FALSE))</f>
        <v>0.75674934327058108</v>
      </c>
      <c r="T88" s="1">
        <f>(Main_S[[#This Row],[P/E]]-VLOOKUP(Main_S[[#This Row],[Industry]], Mean_PE_S, 2, FALSE))/(VLOOKUP(Main_S[[#This Row],[Industry]], Mean_PE_S, 3, FALSE))</f>
        <v>-3.5596766094737374E-3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t="s">
        <v>157</v>
      </c>
      <c r="B89" t="s">
        <v>472</v>
      </c>
      <c r="C89" s="2">
        <v>561</v>
      </c>
      <c r="D89">
        <f>RTD("tos.rtd", , "LAST", Main_S[[#This Row],[Symbol]])</f>
        <v>1.61</v>
      </c>
      <c r="E89">
        <v>-0.45</v>
      </c>
      <c r="F89">
        <v>1.48</v>
      </c>
      <c r="G89">
        <v>-0.38</v>
      </c>
      <c r="H89" s="1">
        <f>IF(ISNUMBER(Main_S[[#This Row],[Free CF]]),IF(Main_S[[#This Row],[Free CF]]&lt;&gt;0,Main_S[[#This Row],[Current Price]]/Main_S[[#This Row],[Free CF]],""),"")</f>
        <v>-3.5777777777777779</v>
      </c>
      <c r="I89" s="1">
        <f>IF(ISNUMBER(Main_S[[#This Row],[BVPS]]),IF(Main_S[[#This Row],[BVPS]]&lt;&gt;0,Main_S[[#This Row],[Current Price]]/Main_S[[#This Row],[BVPS]],""),"")</f>
        <v>1.0878378378378379</v>
      </c>
      <c r="J89">
        <v>-22.56</v>
      </c>
      <c r="K89">
        <v>-13.01</v>
      </c>
      <c r="L89">
        <v>1.06</v>
      </c>
      <c r="M89" s="1">
        <f>IF(ISNUMBER(Main_S[[#This Row],[EPS]]),IF(Main_S[[#This Row],[EPS]]&lt;&gt;0,Main_S[[#This Row],[Current Price]]/Main_S[[#This Row],[EPS]],""),"")</f>
        <v>-4.2368421052631584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-1.2139690766933393</v>
      </c>
      <c r="P89" s="1">
        <f>(Main_S[[#This Row],[P/B]]-VLOOKUP(Main_S[[#This Row],[Industry]], Mean_PB_S, 2, FALSE))/(VLOOKUP(Main_S[[#This Row],[Industry]], Mean_PB_S, 3, FALSE))</f>
        <v>-0.6196395530020764</v>
      </c>
      <c r="Q89" s="1">
        <f>(Main_S[[#This Row],[ROE]]-VLOOKUP(Main_S[[#This Row],[Industry]], Mean_ROE_S, 2, FALSE))/(VLOOKUP(Main_S[[#This Row],[Industry]], Mean_ROE_S, 3, FALSE))</f>
        <v>-2.2074510800507414</v>
      </c>
      <c r="R89" s="1">
        <f>(Main_S[[#This Row],[ROA]]-VLOOKUP(Main_S[[#This Row],[Industry]], Mean_ROA_S, 2, FALSE))/(VLOOKUP(Main_S[[#This Row],[Industry]], Mean_ROA_S, 3, FALSE))</f>
        <v>-5.7407450847301051</v>
      </c>
      <c r="S89" s="1">
        <f>(Main_S[[#This Row],[A/E]]-VLOOKUP(Main_S[[#This Row],[Industry]], Mean_AE_S, 2, FALSE))/(VLOOKUP(Main_S[[#This Row],[Industry]], Mean_AE_S, 3, FALSE))</f>
        <v>-1.2888387252577065</v>
      </c>
      <c r="T89" s="1">
        <f>(Main_S[[#This Row],[P/E]]-VLOOKUP(Main_S[[#This Row],[Industry]], Mean_PE_S, 2, FALSE))/(VLOOKUP(Main_S[[#This Row],[Industry]], Mean_PE_S, 3, FALSE))</f>
        <v>-1.2910903709065744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t="s">
        <v>157</v>
      </c>
      <c r="B90" t="s">
        <v>473</v>
      </c>
      <c r="C90" s="2">
        <v>834</v>
      </c>
      <c r="D90">
        <f>RTD("tos.rtd", , "LAST", Main_S[[#This Row],[Symbol]])</f>
        <v>45.79</v>
      </c>
      <c r="E90">
        <v>1.65</v>
      </c>
      <c r="F90">
        <v>34.549999999999997</v>
      </c>
      <c r="G90">
        <v>6.02</v>
      </c>
      <c r="H90" s="1">
        <f>IF(ISNUMBER(Main_S[[#This Row],[Free CF]]),IF(Main_S[[#This Row],[Free CF]]&lt;&gt;0,Main_S[[#This Row],[Current Price]]/Main_S[[#This Row],[Free CF]],""),"")</f>
        <v>27.751515151515154</v>
      </c>
      <c r="I90" s="1">
        <f>IF(ISNUMBER(Main_S[[#This Row],[BVPS]]),IF(Main_S[[#This Row],[BVPS]]&lt;&gt;0,Main_S[[#This Row],[Current Price]]/Main_S[[#This Row],[BVPS]],""),"")</f>
        <v>1.3253256150506514</v>
      </c>
      <c r="J90">
        <v>19.149999999999999</v>
      </c>
      <c r="K90">
        <v>8.65</v>
      </c>
      <c r="L90">
        <v>1.91</v>
      </c>
      <c r="M90" s="1">
        <f>IF(ISNUMBER(Main_S[[#This Row],[EPS]]),IF(Main_S[[#This Row],[EPS]]&lt;&gt;0,Main_S[[#This Row],[Current Price]]/Main_S[[#This Row],[EPS]],""),"")</f>
        <v>7.6063122923588047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1.5419440213461362</v>
      </c>
      <c r="P90" s="1">
        <f>(Main_S[[#This Row],[P/B]]-VLOOKUP(Main_S[[#This Row],[Industry]], Mean_PB_S, 2, FALSE))/(VLOOKUP(Main_S[[#This Row],[Industry]], Mean_PB_S, 3, FALSE))</f>
        <v>-0.36971664951801314</v>
      </c>
      <c r="Q90" s="1">
        <f>(Main_S[[#This Row],[ROE]]-VLOOKUP(Main_S[[#This Row],[Industry]], Mean_ROE_S, 2, FALSE))/(VLOOKUP(Main_S[[#This Row],[Industry]], Mean_ROE_S, 3, FALSE))</f>
        <v>0.93315082784155889</v>
      </c>
      <c r="R90" s="1">
        <f>(Main_S[[#This Row],[ROA]]-VLOOKUP(Main_S[[#This Row],[Industry]], Mean_ROA_S, 2, FALSE))/(VLOOKUP(Main_S[[#This Row],[Industry]], Mean_ROA_S, 3, FALSE))</f>
        <v>1.7295489661226382</v>
      </c>
      <c r="S90" s="1">
        <f>(Main_S[[#This Row],[A/E]]-VLOOKUP(Main_S[[#This Row],[Industry]], Mean_AE_S, 2, FALSE))/(VLOOKUP(Main_S[[#This Row],[Industry]], Mean_AE_S, 3, FALSE))</f>
        <v>-0.28378100372646708</v>
      </c>
      <c r="T90" s="1">
        <f>(Main_S[[#This Row],[P/E]]-VLOOKUP(Main_S[[#This Row],[Industry]], Mean_PE_S, 2, FALSE))/(VLOOKUP(Main_S[[#This Row],[Industry]], Mean_PE_S, 3, FALSE))</f>
        <v>-0.54763999114978357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t="s">
        <v>157</v>
      </c>
      <c r="B91" t="s">
        <v>474</v>
      </c>
      <c r="C91" s="2">
        <v>359</v>
      </c>
      <c r="D91">
        <f>RTD("tos.rtd", , "LAST", Main_S[[#This Row],[Symbol]])</f>
        <v>11.26</v>
      </c>
      <c r="E91">
        <v>-2.14</v>
      </c>
      <c r="F91">
        <v>17.3</v>
      </c>
      <c r="G91">
        <v>-0.25</v>
      </c>
      <c r="H91" s="1">
        <f>IF(ISNUMBER(Main_S[[#This Row],[Free CF]]),IF(Main_S[[#This Row],[Free CF]]&lt;&gt;0,Main_S[[#This Row],[Current Price]]/Main_S[[#This Row],[Free CF]],""),"")</f>
        <v>-5.2616822429906538</v>
      </c>
      <c r="I91" s="1">
        <f>IF(ISNUMBER(Main_S[[#This Row],[BVPS]]),IF(Main_S[[#This Row],[BVPS]]&lt;&gt;0,Main_S[[#This Row],[Current Price]]/Main_S[[#This Row],[BVPS]],""),"")</f>
        <v>0.65086705202312134</v>
      </c>
      <c r="J91">
        <v>-1.49</v>
      </c>
      <c r="K91">
        <v>2.2999999999999998</v>
      </c>
      <c r="L91">
        <v>2.92</v>
      </c>
      <c r="M91" s="1">
        <f>IF(ISNUMBER(Main_S[[#This Row],[EPS]]),IF(Main_S[[#This Row],[EPS]]&lt;&gt;0,Main_S[[#This Row],[Current Price]]/Main_S[[#This Row],[EPS]],""),"")</f>
        <v>-45.04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-1.3620954446264077</v>
      </c>
      <c r="P91" s="1">
        <f>(Main_S[[#This Row],[P/B]]-VLOOKUP(Main_S[[#This Row],[Industry]], Mean_PB_S, 2, FALSE))/(VLOOKUP(Main_S[[#This Row],[Industry]], Mean_PB_S, 3, FALSE))</f>
        <v>-1.0794906190662645</v>
      </c>
      <c r="Q91" s="1">
        <f>(Main_S[[#This Row],[ROE]]-VLOOKUP(Main_S[[#This Row],[Industry]], Mean_ROE_S, 2, FALSE))/(VLOOKUP(Main_S[[#This Row],[Industry]], Mean_ROE_S, 3, FALSE))</f>
        <v>-0.62096145647628043</v>
      </c>
      <c r="R91" s="1">
        <f>(Main_S[[#This Row],[ROA]]-VLOOKUP(Main_S[[#This Row],[Industry]], Mean_ROA_S, 2, FALSE))/(VLOOKUP(Main_S[[#This Row],[Industry]], Mean_ROA_S, 3, FALSE))</f>
        <v>-0.46049568867491147</v>
      </c>
      <c r="S91" s="1">
        <f>(Main_S[[#This Row],[A/E]]-VLOOKUP(Main_S[[#This Row],[Industry]], Mean_AE_S, 2, FALSE))/(VLOOKUP(Main_S[[#This Row],[Industry]], Mean_AE_S, 3, FALSE))</f>
        <v>0.91046405362241756</v>
      </c>
      <c r="T91" s="1">
        <f>(Main_S[[#This Row],[P/E]]-VLOOKUP(Main_S[[#This Row],[Industry]], Mean_PE_S, 2, FALSE))/(VLOOKUP(Main_S[[#This Row],[Industry]], Mean_PE_S, 3, FALSE))</f>
        <v>-3.8524960753031596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2" spans="1:26" x14ac:dyDescent="0.25">
      <c r="A92" t="s">
        <v>157</v>
      </c>
      <c r="B92" t="s">
        <v>475</v>
      </c>
      <c r="C92" s="2">
        <v>399</v>
      </c>
      <c r="D92">
        <f>RTD("tos.rtd", , "LAST", Main_S[[#This Row],[Symbol]])</f>
        <v>4.09</v>
      </c>
      <c r="E92">
        <v>-0.22</v>
      </c>
      <c r="F92">
        <v>1.58</v>
      </c>
      <c r="G92">
        <v>-0.36</v>
      </c>
      <c r="H92" s="1">
        <f>IF(ISNUMBER(Main_S[[#This Row],[Free CF]]),IF(Main_S[[#This Row],[Free CF]]&lt;&gt;0,Main_S[[#This Row],[Current Price]]/Main_S[[#This Row],[Free CF]],""),"")</f>
        <v>-18.59090909090909</v>
      </c>
      <c r="I92" s="1">
        <f>IF(ISNUMBER(Main_S[[#This Row],[BVPS]]),IF(Main_S[[#This Row],[BVPS]]&lt;&gt;0,Main_S[[#This Row],[Current Price]]/Main_S[[#This Row],[BVPS]],""),"")</f>
        <v>2.5886075949367084</v>
      </c>
      <c r="J92">
        <v>-21.29</v>
      </c>
      <c r="K92">
        <v>-3.22</v>
      </c>
      <c r="L92">
        <v>2.0099999999999998</v>
      </c>
      <c r="M92" s="1">
        <f>IF(ISNUMBER(Main_S[[#This Row],[EPS]]),IF(Main_S[[#This Row],[EPS]]&lt;&gt;0,Main_S[[#This Row],[Current Price]]/Main_S[[#This Row],[EPS]],""),"")</f>
        <v>-11.361111111111111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-2.5346144331597023</v>
      </c>
      <c r="P92" s="1">
        <f>(Main_S[[#This Row],[P/B]]-VLOOKUP(Main_S[[#This Row],[Industry]], Mean_PB_S, 2, FALSE))/(VLOOKUP(Main_S[[#This Row],[Industry]], Mean_PB_S, 3, FALSE))</f>
        <v>0.95971219114732775</v>
      </c>
      <c r="Q92" s="1">
        <f>(Main_S[[#This Row],[ROE]]-VLOOKUP(Main_S[[#This Row],[Industry]], Mean_ROE_S, 2, FALSE))/(VLOOKUP(Main_S[[#This Row],[Industry]], Mean_ROE_S, 3, FALSE))</f>
        <v>-2.1118249850369981</v>
      </c>
      <c r="R92" s="1">
        <f>(Main_S[[#This Row],[ROA]]-VLOOKUP(Main_S[[#This Row],[Industry]], Mean_ROA_S, 2, FALSE))/(VLOOKUP(Main_S[[#This Row],[Industry]], Mean_ROA_S, 3, FALSE))</f>
        <v>-2.3642825381997103</v>
      </c>
      <c r="S92" s="1">
        <f>(Main_S[[#This Row],[A/E]]-VLOOKUP(Main_S[[#This Row],[Industry]], Mean_AE_S, 2, FALSE))/(VLOOKUP(Main_S[[#This Row],[Industry]], Mean_AE_S, 3, FALSE))</f>
        <v>-0.16553891884043909</v>
      </c>
      <c r="T92" s="1">
        <f>(Main_S[[#This Row],[P/E]]-VLOOKUP(Main_S[[#This Row],[Industry]], Mean_PE_S, 2, FALSE))/(VLOOKUP(Main_S[[#This Row],[Industry]], Mean_PE_S, 3, FALSE))</f>
        <v>-1.7383141695721318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t="s">
        <v>157</v>
      </c>
      <c r="B93" t="s">
        <v>476</v>
      </c>
      <c r="C93" s="2">
        <v>587</v>
      </c>
      <c r="D93">
        <f>RTD("tos.rtd", , "LAST", Main_S[[#This Row],[Symbol]])</f>
        <v>28.47</v>
      </c>
      <c r="E93">
        <v>1.59</v>
      </c>
      <c r="F93">
        <v>11.29</v>
      </c>
      <c r="G93">
        <v>2.33</v>
      </c>
      <c r="H93" s="1">
        <f>IF(ISNUMBER(Main_S[[#This Row],[Free CF]]),IF(Main_S[[#This Row],[Free CF]]&lt;&gt;0,Main_S[[#This Row],[Current Price]]/Main_S[[#This Row],[Free CF]],""),"")</f>
        <v>17.90566037735849</v>
      </c>
      <c r="I93" s="1">
        <f>IF(ISNUMBER(Main_S[[#This Row],[BVPS]]),IF(Main_S[[#This Row],[BVPS]]&lt;&gt;0,Main_S[[#This Row],[Current Price]]/Main_S[[#This Row],[BVPS]],""),"")</f>
        <v>2.521700620017715</v>
      </c>
      <c r="J93">
        <v>22.23</v>
      </c>
      <c r="K93">
        <v>4.42</v>
      </c>
      <c r="L93">
        <v>2.5499999999999998</v>
      </c>
      <c r="M93" s="1">
        <f>IF(ISNUMBER(Main_S[[#This Row],[EPS]]),IF(Main_S[[#This Row],[EPS]]&lt;&gt;0,Main_S[[#This Row],[Current Price]]/Main_S[[#This Row],[EPS]],""),"")</f>
        <v>12.218884120171673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0.67584339804984006</v>
      </c>
      <c r="P93" s="1">
        <f>(Main_S[[#This Row],[P/B]]-VLOOKUP(Main_S[[#This Row],[Industry]], Mean_PB_S, 2, FALSE))/(VLOOKUP(Main_S[[#This Row],[Industry]], Mean_PB_S, 3, FALSE))</f>
        <v>0.8893018920096758</v>
      </c>
      <c r="Q93" s="1">
        <f>(Main_S[[#This Row],[ROE]]-VLOOKUP(Main_S[[#This Row],[Industry]], Mean_ROE_S, 2, FALSE))/(VLOOKUP(Main_S[[#This Row],[Industry]], Mean_ROE_S, 3, FALSE))</f>
        <v>1.1650629322843373</v>
      </c>
      <c r="R93" s="1">
        <f>(Main_S[[#This Row],[ROA]]-VLOOKUP(Main_S[[#This Row],[Industry]], Mean_ROA_S, 2, FALSE))/(VLOOKUP(Main_S[[#This Row],[Industry]], Mean_ROA_S, 3, FALSE))</f>
        <v>0.27066882599765624</v>
      </c>
      <c r="S93" s="1">
        <f>(Main_S[[#This Row],[A/E]]-VLOOKUP(Main_S[[#This Row],[Industry]], Mean_AE_S, 2, FALSE))/(VLOOKUP(Main_S[[#This Row],[Industry]], Mean_AE_S, 3, FALSE))</f>
        <v>0.47296833954411316</v>
      </c>
      <c r="T93" s="1">
        <f>(Main_S[[#This Row],[P/E]]-VLOOKUP(Main_S[[#This Row],[Industry]], Mean_PE_S, 2, FALSE))/(VLOOKUP(Main_S[[#This Row],[Industry]], Mean_PE_S, 3, FALSE))</f>
        <v>-0.25808721138263646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t="s">
        <v>157</v>
      </c>
      <c r="B94" t="s">
        <v>477</v>
      </c>
      <c r="C94" s="2">
        <v>1594</v>
      </c>
      <c r="D94">
        <f>RTD("tos.rtd", , "LAST", Main_S[[#This Row],[Symbol]])</f>
        <v>45.94</v>
      </c>
      <c r="E94">
        <v>0.04</v>
      </c>
      <c r="F94">
        <v>7.59</v>
      </c>
      <c r="G94">
        <v>4.37</v>
      </c>
      <c r="H94" s="1">
        <f>IF(ISNUMBER(Main_S[[#This Row],[Free CF]]),IF(Main_S[[#This Row],[Free CF]]&lt;&gt;0,Main_S[[#This Row],[Current Price]]/Main_S[[#This Row],[Free CF]],""),"")</f>
        <v>1148.5</v>
      </c>
      <c r="I94" s="1">
        <f>IF(ISNUMBER(Main_S[[#This Row],[BVPS]]),IF(Main_S[[#This Row],[BVPS]]&lt;&gt;0,Main_S[[#This Row],[Current Price]]/Main_S[[#This Row],[BVPS]],""),"")</f>
        <v>6.0527009222661396</v>
      </c>
      <c r="J94">
        <v>56.9</v>
      </c>
      <c r="K94">
        <v>5.72</v>
      </c>
      <c r="L94">
        <v>3.38</v>
      </c>
      <c r="M94" s="1">
        <f>IF(ISNUMBER(Main_S[[#This Row],[EPS]]),IF(Main_S[[#This Row],[EPS]]&lt;&gt;0,Main_S[[#This Row],[Current Price]]/Main_S[[#This Row],[EPS]],""),"")</f>
        <v>10.512585812356978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100.12972370640603</v>
      </c>
      <c r="P94" s="1">
        <f>(Main_S[[#This Row],[P/B]]-VLOOKUP(Main_S[[#This Row],[Industry]], Mean_PB_S, 2, FALSE))/(VLOOKUP(Main_S[[#This Row],[Industry]], Mean_PB_S, 3, FALSE))</f>
        <v>4.6051893288196988</v>
      </c>
      <c r="Q94" s="1">
        <f>(Main_S[[#This Row],[ROE]]-VLOOKUP(Main_S[[#This Row],[Industry]], Mean_ROE_S, 2, FALSE))/(VLOOKUP(Main_S[[#This Row],[Industry]], Mean_ROE_S, 3, FALSE))</f>
        <v>3.7755800300217155</v>
      </c>
      <c r="R94" s="1">
        <f>(Main_S[[#This Row],[ROA]]-VLOOKUP(Main_S[[#This Row],[Industry]], Mean_ROA_S, 2, FALSE))/(VLOOKUP(Main_S[[#This Row],[Industry]], Mean_ROA_S, 3, FALSE))</f>
        <v>0.71902442461762694</v>
      </c>
      <c r="S94" s="1">
        <f>(Main_S[[#This Row],[A/E]]-VLOOKUP(Main_S[[#This Row],[Industry]], Mean_AE_S, 2, FALSE))/(VLOOKUP(Main_S[[#This Row],[Industry]], Mean_AE_S, 3, FALSE))</f>
        <v>1.4543776440981471</v>
      </c>
      <c r="T94" s="1">
        <f>(Main_S[[#This Row],[P/E]]-VLOOKUP(Main_S[[#This Row],[Industry]], Mean_PE_S, 2, FALSE))/(VLOOKUP(Main_S[[#This Row],[Industry]], Mean_PE_S, 3, FALSE))</f>
        <v>-0.3651995635764001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t="s">
        <v>157</v>
      </c>
      <c r="B95" t="s">
        <v>478</v>
      </c>
      <c r="C95" s="2">
        <v>445</v>
      </c>
      <c r="D95">
        <f>RTD("tos.rtd", , "LAST", Main_S[[#This Row],[Symbol]])</f>
        <v>11.81</v>
      </c>
      <c r="E95">
        <v>0.37</v>
      </c>
      <c r="F95">
        <v>7.33</v>
      </c>
      <c r="G95">
        <v>-0.11</v>
      </c>
      <c r="H95" s="1">
        <f>IF(ISNUMBER(Main_S[[#This Row],[Free CF]]),IF(Main_S[[#This Row],[Free CF]]&lt;&gt;0,Main_S[[#This Row],[Current Price]]/Main_S[[#This Row],[Free CF]],""),"")</f>
        <v>31.918918918918919</v>
      </c>
      <c r="I95" s="1">
        <f>IF(ISNUMBER(Main_S[[#This Row],[BVPS]]),IF(Main_S[[#This Row],[BVPS]]&lt;&gt;0,Main_S[[#This Row],[Current Price]]/Main_S[[#This Row],[BVPS]],""),"")</f>
        <v>1.6111869031377899</v>
      </c>
      <c r="J95">
        <v>-1.49</v>
      </c>
      <c r="K95">
        <v>7.0000000000000007E-2</v>
      </c>
      <c r="L95">
        <v>2.25</v>
      </c>
      <c r="M95" s="1">
        <f>IF(ISNUMBER(Main_S[[#This Row],[EPS]]),IF(Main_S[[#This Row],[EPS]]&lt;&gt;0,Main_S[[#This Row],[Current Price]]/Main_S[[#This Row],[EPS]],""),"")</f>
        <v>-107.36363636363637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1.9085339298170227</v>
      </c>
      <c r="P95" s="1">
        <f>(Main_S[[#This Row],[P/B]]-VLOOKUP(Main_S[[#This Row],[Industry]], Mean_PB_S, 2, FALSE))/(VLOOKUP(Main_S[[#This Row],[Industry]], Mean_PB_S, 3, FALSE))</f>
        <v>-6.8887343896901584E-2</v>
      </c>
      <c r="Q95" s="1">
        <f>(Main_S[[#This Row],[ROE]]-VLOOKUP(Main_S[[#This Row],[Industry]], Mean_ROE_S, 2, FALSE))/(VLOOKUP(Main_S[[#This Row],[Industry]], Mean_ROE_S, 3, FALSE))</f>
        <v>-0.62096145647628043</v>
      </c>
      <c r="R95" s="1">
        <f>(Main_S[[#This Row],[ROA]]-VLOOKUP(Main_S[[#This Row],[Industry]], Mean_ROA_S, 2, FALSE))/(VLOOKUP(Main_S[[#This Row],[Industry]], Mean_ROA_S, 3, FALSE))</f>
        <v>-1.2295979847691689</v>
      </c>
      <c r="S95" s="1">
        <f>(Main_S[[#This Row],[A/E]]-VLOOKUP(Main_S[[#This Row],[Industry]], Mean_AE_S, 2, FALSE))/(VLOOKUP(Main_S[[#This Row],[Industry]], Mean_AE_S, 3, FALSE))</f>
        <v>0.11824208488602882</v>
      </c>
      <c r="T95" s="1">
        <f>(Main_S[[#This Row],[P/E]]-VLOOKUP(Main_S[[#This Row],[Industry]], Mean_PE_S, 2, FALSE))/(VLOOKUP(Main_S[[#This Row],[Industry]], Mean_PE_S, 3, FALSE))</f>
        <v>-7.7648432056988685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6" spans="1:26" x14ac:dyDescent="0.25">
      <c r="A96" t="s">
        <v>157</v>
      </c>
      <c r="B96" t="s">
        <v>479</v>
      </c>
      <c r="C96" s="2">
        <v>837</v>
      </c>
      <c r="D96">
        <f>RTD("tos.rtd", , "LAST", Main_S[[#This Row],[Symbol]])</f>
        <v>9.92</v>
      </c>
      <c r="E96">
        <v>1.94</v>
      </c>
      <c r="F96">
        <v>4.63</v>
      </c>
      <c r="G96">
        <v>-5.17</v>
      </c>
      <c r="H96" s="1">
        <f>IF(ISNUMBER(Main_S[[#This Row],[Free CF]]),IF(Main_S[[#This Row],[Free CF]]&lt;&gt;0,Main_S[[#This Row],[Current Price]]/Main_S[[#This Row],[Free CF]],""),"")</f>
        <v>5.1134020618556706</v>
      </c>
      <c r="I96" s="1">
        <f>IF(ISNUMBER(Main_S[[#This Row],[BVPS]]),IF(Main_S[[#This Row],[BVPS]]&lt;&gt;0,Main_S[[#This Row],[Current Price]]/Main_S[[#This Row],[BVPS]],""),"")</f>
        <v>2.1425485961123112</v>
      </c>
      <c r="J96">
        <v>-64.38</v>
      </c>
      <c r="K96">
        <v>-12.95</v>
      </c>
      <c r="L96">
        <v>7.26</v>
      </c>
      <c r="M96" s="1">
        <f>IF(ISNUMBER(Main_S[[#This Row],[EPS]]),IF(Main_S[[#This Row],[EPS]]&lt;&gt;0,Main_S[[#This Row],[Current Price]]/Main_S[[#This Row],[EPS]],""),"")</f>
        <v>-1.9187620889748549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-0.44944060771320576</v>
      </c>
      <c r="P96" s="1">
        <f>(Main_S[[#This Row],[P/B]]-VLOOKUP(Main_S[[#This Row],[Industry]], Mean_PB_S, 2, FALSE))/(VLOOKUP(Main_S[[#This Row],[Industry]], Mean_PB_S, 3, FALSE))</f>
        <v>0.49029704305113814</v>
      </c>
      <c r="Q96" s="1">
        <f>(Main_S[[#This Row],[ROE]]-VLOOKUP(Main_S[[#This Row],[Industry]], Mean_ROE_S, 2, FALSE))/(VLOOKUP(Main_S[[#This Row],[Industry]], Mean_ROE_S, 3, FALSE))</f>
        <v>-5.3563355631017115</v>
      </c>
      <c r="R96" s="1">
        <f>(Main_S[[#This Row],[ROA]]-VLOOKUP(Main_S[[#This Row],[Industry]], Mean_ROA_S, 2, FALSE))/(VLOOKUP(Main_S[[#This Row],[Industry]], Mean_ROA_S, 3, FALSE))</f>
        <v>-5.7200517494091834</v>
      </c>
      <c r="S96" s="1">
        <f>(Main_S[[#This Row],[A/E]]-VLOOKUP(Main_S[[#This Row],[Industry]], Mean_AE_S, 2, FALSE))/(VLOOKUP(Main_S[[#This Row],[Industry]], Mean_AE_S, 3, FALSE))</f>
        <v>6.0421705376760411</v>
      </c>
      <c r="T96" s="1">
        <f>(Main_S[[#This Row],[P/E]]-VLOOKUP(Main_S[[#This Row],[Industry]], Mean_PE_S, 2, FALSE))/(VLOOKUP(Main_S[[#This Row],[Industry]], Mean_PE_S, 3, FALSE))</f>
        <v>-1.1455736098684668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t="s">
        <v>157</v>
      </c>
      <c r="B97" t="s">
        <v>480</v>
      </c>
      <c r="C97" s="2">
        <v>1408</v>
      </c>
      <c r="D97">
        <f>RTD("tos.rtd", , "LAST", Main_S[[#This Row],[Symbol]])</f>
        <v>137.22</v>
      </c>
      <c r="E97">
        <v>6.08</v>
      </c>
      <c r="F97">
        <v>44.33</v>
      </c>
      <c r="G97">
        <v>6.01</v>
      </c>
      <c r="H97" s="1">
        <f>IF(ISNUMBER(Main_S[[#This Row],[Free CF]]),IF(Main_S[[#This Row],[Free CF]]&lt;&gt;0,Main_S[[#This Row],[Current Price]]/Main_S[[#This Row],[Free CF]],""),"")</f>
        <v>22.569078947368421</v>
      </c>
      <c r="I97" s="1">
        <f>IF(ISNUMBER(Main_S[[#This Row],[BVPS]]),IF(Main_S[[#This Row],[BVPS]]&lt;&gt;0,Main_S[[#This Row],[Current Price]]/Main_S[[#This Row],[BVPS]],""),"")</f>
        <v>3.095420708323934</v>
      </c>
      <c r="J97">
        <v>14.15</v>
      </c>
      <c r="K97">
        <v>6.32</v>
      </c>
      <c r="L97">
        <v>1.58</v>
      </c>
      <c r="M97" s="1">
        <f>IF(ISNUMBER(Main_S[[#This Row],[EPS]]),IF(Main_S[[#This Row],[EPS]]&lt;&gt;0,Main_S[[#This Row],[Current Price]]/Main_S[[#This Row],[EPS]],""),"")</f>
        <v>22.831946755407653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1.0860657528197517</v>
      </c>
      <c r="P97" s="1">
        <f>(Main_S[[#This Row],[P/B]]-VLOOKUP(Main_S[[#This Row],[Industry]], Mean_PB_S, 2, FALSE))/(VLOOKUP(Main_S[[#This Row],[Industry]], Mean_PB_S, 3, FALSE))</f>
        <v>1.4930626073585547</v>
      </c>
      <c r="Q97" s="1">
        <f>(Main_S[[#This Row],[ROE]]-VLOOKUP(Main_S[[#This Row],[Industry]], Mean_ROE_S, 2, FALSE))/(VLOOKUP(Main_S[[#This Row],[Industry]], Mean_ROE_S, 3, FALSE))</f>
        <v>0.55667013881107474</v>
      </c>
      <c r="R97" s="1">
        <f>(Main_S[[#This Row],[ROA]]-VLOOKUP(Main_S[[#This Row],[Industry]], Mean_ROA_S, 2, FALSE))/(VLOOKUP(Main_S[[#This Row],[Industry]], Mean_ROA_S, 3, FALSE))</f>
        <v>0.92595777782684441</v>
      </c>
      <c r="S97" s="1">
        <f>(Main_S[[#This Row],[A/E]]-VLOOKUP(Main_S[[#This Row],[Industry]], Mean_AE_S, 2, FALSE))/(VLOOKUP(Main_S[[#This Row],[Industry]], Mean_AE_S, 3, FALSE))</f>
        <v>-0.6739798838503599</v>
      </c>
      <c r="T97" s="1">
        <f>(Main_S[[#This Row],[P/E]]-VLOOKUP(Main_S[[#This Row],[Industry]], Mean_PE_S, 2, FALSE))/(VLOOKUP(Main_S[[#This Row],[Industry]], Mean_PE_S, 3, FALSE))</f>
        <v>0.40814453580569043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t="s">
        <v>157</v>
      </c>
      <c r="B98" t="s">
        <v>481</v>
      </c>
      <c r="C98" s="2">
        <v>439</v>
      </c>
      <c r="D98">
        <f>RTD("tos.rtd", , "LAST", Main_S[[#This Row],[Symbol]])</f>
        <v>9.32</v>
      </c>
      <c r="E98">
        <v>1.48</v>
      </c>
      <c r="F98">
        <v>8.4</v>
      </c>
      <c r="G98">
        <v>-0.15</v>
      </c>
      <c r="H98" s="1">
        <f>IF(ISNUMBER(Main_S[[#This Row],[Free CF]]),IF(Main_S[[#This Row],[Free CF]]&lt;&gt;0,Main_S[[#This Row],[Current Price]]/Main_S[[#This Row],[Free CF]],""),"")</f>
        <v>6.2972972972972974</v>
      </c>
      <c r="I98" s="1">
        <f>IF(ISNUMBER(Main_S[[#This Row],[BVPS]]),IF(Main_S[[#This Row],[BVPS]]&lt;&gt;0,Main_S[[#This Row],[Current Price]]/Main_S[[#This Row],[BVPS]],""),"")</f>
        <v>1.1095238095238096</v>
      </c>
      <c r="J98">
        <v>-1.18</v>
      </c>
      <c r="K98">
        <v>3.79</v>
      </c>
      <c r="L98">
        <v>2.82</v>
      </c>
      <c r="M98" s="1">
        <f>IF(ISNUMBER(Main_S[[#This Row],[EPS]]),IF(Main_S[[#This Row],[EPS]]&lt;&gt;0,Main_S[[#This Row],[Current Price]]/Main_S[[#This Row],[EPS]],""),"")</f>
        <v>-62.13333333333334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-0.34529805992498336</v>
      </c>
      <c r="P98" s="1">
        <f>(Main_S[[#This Row],[P/B]]-VLOOKUP(Main_S[[#This Row],[Industry]], Mean_PB_S, 2, FALSE))/(VLOOKUP(Main_S[[#This Row],[Industry]], Mean_PB_S, 3, FALSE))</f>
        <v>-0.59681807952567723</v>
      </c>
      <c r="Q98" s="1">
        <f>(Main_S[[#This Row],[ROE]]-VLOOKUP(Main_S[[#This Row],[Industry]], Mean_ROE_S, 2, FALSE))/(VLOOKUP(Main_S[[#This Row],[Industry]], Mean_ROE_S, 3, FALSE))</f>
        <v>-0.59761965375639037</v>
      </c>
      <c r="R98" s="1">
        <f>(Main_S[[#This Row],[ROA]]-VLOOKUP(Main_S[[#This Row],[Industry]], Mean_ROA_S, 2, FALSE))/(VLOOKUP(Main_S[[#This Row],[Industry]], Mean_ROA_S, 3, FALSE))</f>
        <v>5.3388805127978146E-2</v>
      </c>
      <c r="S98" s="1">
        <f>(Main_S[[#This Row],[A/E]]-VLOOKUP(Main_S[[#This Row],[Industry]], Mean_AE_S, 2, FALSE))/(VLOOKUP(Main_S[[#This Row],[Industry]], Mean_AE_S, 3, FALSE))</f>
        <v>0.79222196873638928</v>
      </c>
      <c r="T98" s="1">
        <f>(Main_S[[#This Row],[P/E]]-VLOOKUP(Main_S[[#This Row],[Industry]], Mean_PE_S, 2, FALSE))/(VLOOKUP(Main_S[[#This Row],[Industry]], Mean_PE_S, 3, FALSE))</f>
        <v>-4.9255248251882238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9" spans="1:26" x14ac:dyDescent="0.25">
      <c r="A99" t="s">
        <v>157</v>
      </c>
      <c r="B99" t="s">
        <v>482</v>
      </c>
      <c r="C99" s="2">
        <v>466</v>
      </c>
      <c r="D99">
        <f>RTD("tos.rtd", , "LAST", Main_S[[#This Row],[Symbol]])</f>
        <v>4.43</v>
      </c>
      <c r="E99">
        <v>-0.41</v>
      </c>
      <c r="F99">
        <v>4.76</v>
      </c>
      <c r="G99">
        <v>4.07</v>
      </c>
      <c r="H99" s="1">
        <f>IF(ISNUMBER(Main_S[[#This Row],[Free CF]]),IF(Main_S[[#This Row],[Free CF]]&lt;&gt;0,Main_S[[#This Row],[Current Price]]/Main_S[[#This Row],[Free CF]],""),"")</f>
        <v>-10.804878048780488</v>
      </c>
      <c r="I99" s="1">
        <f>IF(ISNUMBER(Main_S[[#This Row],[BVPS]]),IF(Main_S[[#This Row],[BVPS]]&lt;&gt;0,Main_S[[#This Row],[Current Price]]/Main_S[[#This Row],[BVPS]],""),"")</f>
        <v>0.93067226890756305</v>
      </c>
      <c r="J99">
        <v>172.82</v>
      </c>
      <c r="K99">
        <v>-3.78</v>
      </c>
      <c r="L99">
        <v>1.41</v>
      </c>
      <c r="M99" s="1">
        <f>IF(ISNUMBER(Main_S[[#This Row],[EPS]]),IF(Main_S[[#This Row],[EPS]]&lt;&gt;0,Main_S[[#This Row],[Current Price]]/Main_S[[#This Row],[EPS]],""),"")</f>
        <v>1.0884520884520883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-1.8497082982152633</v>
      </c>
      <c r="P99" s="1">
        <f>(Main_S[[#This Row],[P/B]]-VLOOKUP(Main_S[[#This Row],[Industry]], Mean_PB_S, 2, FALSE))/(VLOOKUP(Main_S[[#This Row],[Industry]], Mean_PB_S, 3, FALSE))</f>
        <v>-0.7850344873257098</v>
      </c>
      <c r="Q99" s="1">
        <f>(Main_S[[#This Row],[ROE]]-VLOOKUP(Main_S[[#This Row],[Industry]], Mean_ROE_S, 2, FALSE))/(VLOOKUP(Main_S[[#This Row],[Industry]], Mean_ROE_S, 3, FALSE))</f>
        <v>12.503908324504465</v>
      </c>
      <c r="R99" s="1">
        <f>(Main_S[[#This Row],[ROA]]-VLOOKUP(Main_S[[#This Row],[Industry]], Mean_ROA_S, 2, FALSE))/(VLOOKUP(Main_S[[#This Row],[Industry]], Mean_ROA_S, 3, FALSE))</f>
        <v>-2.5574203345283131</v>
      </c>
      <c r="S99" s="1">
        <f>(Main_S[[#This Row],[A/E]]-VLOOKUP(Main_S[[#This Row],[Industry]], Mean_AE_S, 2, FALSE))/(VLOOKUP(Main_S[[#This Row],[Industry]], Mean_AE_S, 3, FALSE))</f>
        <v>-0.87499142815660802</v>
      </c>
      <c r="T99" s="1">
        <f>(Main_S[[#This Row],[P/E]]-VLOOKUP(Main_S[[#This Row],[Industry]], Mean_PE_S, 2, FALSE))/(VLOOKUP(Main_S[[#This Row],[Industry]], Mean_PE_S, 3, FALSE))</f>
        <v>-0.95679666352831061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t="s">
        <v>157</v>
      </c>
      <c r="B100" t="s">
        <v>483</v>
      </c>
      <c r="C100" s="2">
        <v>1139</v>
      </c>
      <c r="D100">
        <f>RTD("tos.rtd", , "LAST", Main_S[[#This Row],[Symbol]])</f>
        <v>16.149999999999999</v>
      </c>
      <c r="E100">
        <v>1.48</v>
      </c>
      <c r="F100">
        <v>31.36</v>
      </c>
      <c r="G100">
        <v>0.52</v>
      </c>
      <c r="H100" s="1">
        <f>IF(ISNUMBER(Main_S[[#This Row],[Free CF]]),IF(Main_S[[#This Row],[Free CF]]&lt;&gt;0,Main_S[[#This Row],[Current Price]]/Main_S[[#This Row],[Free CF]],""),"")</f>
        <v>10.912162162162161</v>
      </c>
      <c r="I100" s="1">
        <f>IF(ISNUMBER(Main_S[[#This Row],[BVPS]]),IF(Main_S[[#This Row],[BVPS]]&lt;&gt;0,Main_S[[#This Row],[Current Price]]/Main_S[[#This Row],[BVPS]],""),"")</f>
        <v>0.51498724489795911</v>
      </c>
      <c r="J100">
        <v>1.73</v>
      </c>
      <c r="K100">
        <v>2.2400000000000002</v>
      </c>
      <c r="L100">
        <v>2.0699999999999998</v>
      </c>
      <c r="M100" s="1">
        <f>IF(ISNUMBER(Main_S[[#This Row],[EPS]]),IF(Main_S[[#This Row],[EPS]]&lt;&gt;0,Main_S[[#This Row],[Current Price]]/Main_S[[#This Row],[EPS]],""),"")</f>
        <v>31.057692307692303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6.0653218818104711E-2</v>
      </c>
      <c r="P100" s="1">
        <f>(Main_S[[#This Row],[P/B]]-VLOOKUP(Main_S[[#This Row],[Industry]], Mean_PB_S, 2, FALSE))/(VLOOKUP(Main_S[[#This Row],[Industry]], Mean_PB_S, 3, FALSE))</f>
        <v>-1.2224852452324098</v>
      </c>
      <c r="Q100" s="1">
        <f>(Main_S[[#This Row],[ROE]]-VLOOKUP(Main_S[[#This Row],[Industry]], Mean_ROE_S, 2, FALSE))/(VLOOKUP(Main_S[[#This Row],[Industry]], Mean_ROE_S, 3, FALSE))</f>
        <v>-0.37850789274064844</v>
      </c>
      <c r="R100" s="1">
        <f>(Main_S[[#This Row],[ROA]]-VLOOKUP(Main_S[[#This Row],[Industry]], Mean_ROA_S, 2, FALSE))/(VLOOKUP(Main_S[[#This Row],[Industry]], Mean_ROA_S, 3, FALSE))</f>
        <v>-0.48118902399583308</v>
      </c>
      <c r="S100" s="1">
        <f>(Main_S[[#This Row],[A/E]]-VLOOKUP(Main_S[[#This Row],[Industry]], Mean_AE_S, 2, FALSE))/(VLOOKUP(Main_S[[#This Row],[Industry]], Mean_AE_S, 3, FALSE))</f>
        <v>-9.4593667908822107E-2</v>
      </c>
      <c r="T100" s="1">
        <f>(Main_S[[#This Row],[P/E]]-VLOOKUP(Main_S[[#This Row],[Industry]], Mean_PE_S, 2, FALSE))/(VLOOKUP(Main_S[[#This Row],[Industry]], Mean_PE_S, 3, FALSE))</f>
        <v>0.92451318636188851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t="s">
        <v>157</v>
      </c>
      <c r="B101" t="s">
        <v>484</v>
      </c>
      <c r="C101" s="2">
        <v>393</v>
      </c>
      <c r="D101">
        <f>RTD("tos.rtd", , "LAST", Main_S[[#This Row],[Symbol]])</f>
        <v>1.84</v>
      </c>
      <c r="E101">
        <v>-0.48</v>
      </c>
      <c r="F101">
        <v>1.62</v>
      </c>
      <c r="G101">
        <v>-3.92</v>
      </c>
      <c r="H101" s="1">
        <f>IF(ISNUMBER(Main_S[[#This Row],[Free CF]]),IF(Main_S[[#This Row],[Free CF]]&lt;&gt;0,Main_S[[#This Row],[Current Price]]/Main_S[[#This Row],[Free CF]],""),"")</f>
        <v>-3.8333333333333335</v>
      </c>
      <c r="I101" s="1">
        <f>IF(ISNUMBER(Main_S[[#This Row],[BVPS]]),IF(Main_S[[#This Row],[BVPS]]&lt;&gt;0,Main_S[[#This Row],[Current Price]]/Main_S[[#This Row],[BVPS]],""),"")</f>
        <v>1.1358024691358024</v>
      </c>
      <c r="J101">
        <v>-111.75</v>
      </c>
      <c r="K101">
        <v>-8.24</v>
      </c>
      <c r="L101">
        <v>3.02</v>
      </c>
      <c r="M101" s="1">
        <f>IF(ISNUMBER(Main_S[[#This Row],[EPS]]),IF(Main_S[[#This Row],[EPS]]&lt;&gt;0,Main_S[[#This Row],[Current Price]]/Main_S[[#This Row],[EPS]],""),"")</f>
        <v>-0.46938775510204084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-1.2364492809041978</v>
      </c>
      <c r="P101" s="1">
        <f>(Main_S[[#This Row],[P/B]]-VLOOKUP(Main_S[[#This Row],[Industry]], Mean_PB_S, 2, FALSE))/(VLOOKUP(Main_S[[#This Row],[Industry]], Mean_PB_S, 3, FALSE))</f>
        <v>-0.56916343983441697</v>
      </c>
      <c r="Q101" s="1">
        <f>(Main_S[[#This Row],[ROE]]-VLOOKUP(Main_S[[#This Row],[Industry]], Mean_ROE_S, 2, FALSE))/(VLOOKUP(Main_S[[#This Row],[Industry]], Mean_ROE_S, 3, FALSE))</f>
        <v>-8.9231136109765217</v>
      </c>
      <c r="R101" s="1">
        <f>(Main_S[[#This Row],[ROA]]-VLOOKUP(Main_S[[#This Row],[Industry]], Mean_ROA_S, 2, FALSE))/(VLOOKUP(Main_S[[#This Row],[Industry]], Mean_ROA_S, 3, FALSE))</f>
        <v>-4.0956249267168277</v>
      </c>
      <c r="S101" s="1">
        <f>(Main_S[[#This Row],[A/E]]-VLOOKUP(Main_S[[#This Row],[Industry]], Mean_AE_S, 2, FALSE))/(VLOOKUP(Main_S[[#This Row],[Industry]], Mean_AE_S, 3, FALSE))</f>
        <v>1.0287061385084459</v>
      </c>
      <c r="T101" s="1">
        <f>(Main_S[[#This Row],[P/E]]-VLOOKUP(Main_S[[#This Row],[Industry]], Mean_PE_S, 2, FALSE))/(VLOOKUP(Main_S[[#This Row],[Industry]], Mean_PE_S, 3, FALSE))</f>
        <v>-1.0545895812262454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t="s">
        <v>157</v>
      </c>
      <c r="B102" t="s">
        <v>485</v>
      </c>
      <c r="C102" s="2">
        <v>941</v>
      </c>
      <c r="D102">
        <f>RTD("tos.rtd", , "LAST", Main_S[[#This Row],[Symbol]])</f>
        <v>12.72</v>
      </c>
      <c r="E102">
        <v>0.4</v>
      </c>
      <c r="F102">
        <v>4.04</v>
      </c>
      <c r="G102">
        <v>0.33</v>
      </c>
      <c r="H102" s="1">
        <f>IF(ISNUMBER(Main_S[[#This Row],[Free CF]]),IF(Main_S[[#This Row],[Free CF]]&lt;&gt;0,Main_S[[#This Row],[Current Price]]/Main_S[[#This Row],[Free CF]],""),"")</f>
        <v>31.8</v>
      </c>
      <c r="I102" s="1">
        <f>IF(ISNUMBER(Main_S[[#This Row],[BVPS]]),IF(Main_S[[#This Row],[BVPS]]&lt;&gt;0,Main_S[[#This Row],[Current Price]]/Main_S[[#This Row],[BVPS]],""),"")</f>
        <v>3.1485148514851486</v>
      </c>
      <c r="J102">
        <v>9.06</v>
      </c>
      <c r="K102">
        <v>3.79</v>
      </c>
      <c r="L102">
        <v>1.1200000000000001</v>
      </c>
      <c r="M102" s="1">
        <f>IF(ISNUMBER(Main_S[[#This Row],[EPS]]),IF(Main_S[[#This Row],[EPS]]&lt;&gt;0,Main_S[[#This Row],[Current Price]]/Main_S[[#This Row],[EPS]],""),"")</f>
        <v>38.545454545454547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1.8980731062359417</v>
      </c>
      <c r="P102" s="1">
        <f>(Main_S[[#This Row],[P/B]]-VLOOKUP(Main_S[[#This Row],[Industry]], Mean_PB_S, 2, FALSE))/(VLOOKUP(Main_S[[#This Row],[Industry]], Mean_PB_S, 3, FALSE))</f>
        <v>1.5489368193815105</v>
      </c>
      <c r="Q102" s="1">
        <f>(Main_S[[#This Row],[ROE]]-VLOOKUP(Main_S[[#This Row],[Industry]], Mean_ROE_S, 2, FALSE))/(VLOOKUP(Main_S[[#This Row],[Industry]], Mean_ROE_S, 3, FALSE))</f>
        <v>0.17341279737804163</v>
      </c>
      <c r="R102" s="1">
        <f>(Main_S[[#This Row],[ROA]]-VLOOKUP(Main_S[[#This Row],[Industry]], Mean_ROA_S, 2, FALSE))/(VLOOKUP(Main_S[[#This Row],[Industry]], Mean_ROA_S, 3, FALSE))</f>
        <v>5.3388805127978146E-2</v>
      </c>
      <c r="S102" s="1">
        <f>(Main_S[[#This Row],[A/E]]-VLOOKUP(Main_S[[#This Row],[Industry]], Mean_AE_S, 2, FALSE))/(VLOOKUP(Main_S[[#This Row],[Industry]], Mean_AE_S, 3, FALSE))</f>
        <v>-1.2178934743260896</v>
      </c>
      <c r="T102" s="1">
        <f>(Main_S[[#This Row],[P/E]]-VLOOKUP(Main_S[[#This Row],[Industry]], Mean_PE_S, 2, FALSE))/(VLOOKUP(Main_S[[#This Row],[Industry]], Mean_PE_S, 3, FALSE))</f>
        <v>1.3945551610160969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t="s">
        <v>157</v>
      </c>
      <c r="B103" t="s">
        <v>486</v>
      </c>
      <c r="C103" s="2">
        <v>314</v>
      </c>
      <c r="D103">
        <f>RTD("tos.rtd", , "LAST", Main_S[[#This Row],[Symbol]])</f>
        <v>19.27</v>
      </c>
      <c r="E103">
        <v>0.97</v>
      </c>
      <c r="F103">
        <v>17.059999999999999</v>
      </c>
      <c r="G103">
        <v>3.85</v>
      </c>
      <c r="H103" s="1">
        <f>IF(ISNUMBER(Main_S[[#This Row],[Free CF]]),IF(Main_S[[#This Row],[Free CF]]&lt;&gt;0,Main_S[[#This Row],[Current Price]]/Main_S[[#This Row],[Free CF]],""),"")</f>
        <v>19.865979381443299</v>
      </c>
      <c r="I103" s="1">
        <f>IF(ISNUMBER(Main_S[[#This Row],[BVPS]]),IF(Main_S[[#This Row],[BVPS]]&lt;&gt;0,Main_S[[#This Row],[Current Price]]/Main_S[[#This Row],[BVPS]],""),"")</f>
        <v>1.1295427901524033</v>
      </c>
      <c r="J103">
        <v>26.28</v>
      </c>
      <c r="K103">
        <v>3.04</v>
      </c>
      <c r="L103">
        <v>1.89</v>
      </c>
      <c r="M103" s="1">
        <f>IF(ISNUMBER(Main_S[[#This Row],[EPS]]),IF(Main_S[[#This Row],[EPS]]&lt;&gt;0,Main_S[[#This Row],[Current Price]]/Main_S[[#This Row],[EPS]],""),"")</f>
        <v>5.0051948051948045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0.84828485186387459</v>
      </c>
      <c r="P103" s="1">
        <f>(Main_S[[#This Row],[P/B]]-VLOOKUP(Main_S[[#This Row],[Industry]], Mean_PB_S, 2, FALSE))/(VLOOKUP(Main_S[[#This Row],[Industry]], Mean_PB_S, 3, FALSE))</f>
        <v>-0.57575088262734597</v>
      </c>
      <c r="Q103" s="1">
        <f>(Main_S[[#This Row],[ROE]]-VLOOKUP(Main_S[[#This Row],[Industry]], Mean_ROE_S, 2, FALSE))/(VLOOKUP(Main_S[[#This Row],[Industry]], Mean_ROE_S, 3, FALSE))</f>
        <v>1.4700122903990298</v>
      </c>
      <c r="R103" s="1">
        <f>(Main_S[[#This Row],[ROA]]-VLOOKUP(Main_S[[#This Row],[Industry]], Mean_ROA_S, 2, FALSE))/(VLOOKUP(Main_S[[#This Row],[Industry]], Mean_ROA_S, 3, FALSE))</f>
        <v>-0.20527788638354344</v>
      </c>
      <c r="S103" s="1">
        <f>(Main_S[[#This Row],[A/E]]-VLOOKUP(Main_S[[#This Row],[Industry]], Mean_AE_S, 2, FALSE))/(VLOOKUP(Main_S[[#This Row],[Industry]], Mean_AE_S, 3, FALSE))</f>
        <v>-0.30742942070367274</v>
      </c>
      <c r="T103" s="1">
        <f>(Main_S[[#This Row],[P/E]]-VLOOKUP(Main_S[[#This Row],[Industry]], Mean_PE_S, 2, FALSE))/(VLOOKUP(Main_S[[#This Row],[Industry]], Mean_PE_S, 3, FALSE))</f>
        <v>-0.71092434248884917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t="s">
        <v>157</v>
      </c>
      <c r="B104" t="s">
        <v>487</v>
      </c>
      <c r="C104" s="2">
        <v>322</v>
      </c>
      <c r="D104">
        <f>RTD("tos.rtd", , "LAST", Main_S[[#This Row],[Symbol]])</f>
        <v>14.15</v>
      </c>
      <c r="E104">
        <v>1.54</v>
      </c>
      <c r="F104">
        <v>13.28</v>
      </c>
      <c r="G104">
        <v>1.1100000000000001</v>
      </c>
      <c r="H104" s="1">
        <f>IF(ISNUMBER(Main_S[[#This Row],[Free CF]]),IF(Main_S[[#This Row],[Free CF]]&lt;&gt;0,Main_S[[#This Row],[Current Price]]/Main_S[[#This Row],[Free CF]],""),"")</f>
        <v>9.1883116883116891</v>
      </c>
      <c r="I104" s="1">
        <f>IF(ISNUMBER(Main_S[[#This Row],[BVPS]]),IF(Main_S[[#This Row],[BVPS]]&lt;&gt;0,Main_S[[#This Row],[Current Price]]/Main_S[[#This Row],[BVPS]],""),"")</f>
        <v>1.0655120481927711</v>
      </c>
      <c r="J104">
        <v>8.69</v>
      </c>
      <c r="K104">
        <v>4.83</v>
      </c>
      <c r="L104">
        <v>1.04</v>
      </c>
      <c r="M104" s="1">
        <f>IF(ISNUMBER(Main_S[[#This Row],[EPS]]),IF(Main_S[[#This Row],[EPS]]&lt;&gt;0,Main_S[[#This Row],[Current Price]]/Main_S[[#This Row],[EPS]],""),"")</f>
        <v>12.747747747747747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-9.0987040368979755E-2</v>
      </c>
      <c r="P104" s="1">
        <f>(Main_S[[#This Row],[P/B]]-VLOOKUP(Main_S[[#This Row],[Industry]], Mean_PB_S, 2, FALSE))/(VLOOKUP(Main_S[[#This Row],[Industry]], Mean_PB_S, 3, FALSE))</f>
        <v>-0.64313434602323272</v>
      </c>
      <c r="Q104" s="1">
        <f>(Main_S[[#This Row],[ROE]]-VLOOKUP(Main_S[[#This Row],[Industry]], Mean_ROE_S, 2, FALSE))/(VLOOKUP(Main_S[[#This Row],[Industry]], Mean_ROE_S, 3, FALSE))</f>
        <v>0.14555322638978571</v>
      </c>
      <c r="R104" s="1">
        <f>(Main_S[[#This Row],[ROA]]-VLOOKUP(Main_S[[#This Row],[Industry]], Mean_ROA_S, 2, FALSE))/(VLOOKUP(Main_S[[#This Row],[Industry]], Mean_ROA_S, 3, FALSE))</f>
        <v>0.41207328402395477</v>
      </c>
      <c r="S104" s="1">
        <f>(Main_S[[#This Row],[A/E]]-VLOOKUP(Main_S[[#This Row],[Industry]], Mean_AE_S, 2, FALSE))/(VLOOKUP(Main_S[[#This Row],[Industry]], Mean_AE_S, 3, FALSE))</f>
        <v>-1.3124871422349123</v>
      </c>
      <c r="T104" s="1">
        <f>(Main_S[[#This Row],[P/E]]-VLOOKUP(Main_S[[#This Row],[Industry]], Mean_PE_S, 2, FALSE))/(VLOOKUP(Main_S[[#This Row],[Industry]], Mean_PE_S, 3, FALSE))</f>
        <v>-0.22488795959884347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t="s">
        <v>157</v>
      </c>
      <c r="B105" t="s">
        <v>488</v>
      </c>
      <c r="C105" s="2">
        <v>471</v>
      </c>
      <c r="D105">
        <f>RTD("tos.rtd", , "LAST", Main_S[[#This Row],[Symbol]])</f>
        <v>44.66</v>
      </c>
      <c r="E105">
        <v>2.44</v>
      </c>
      <c r="F105">
        <v>10.33</v>
      </c>
      <c r="G105">
        <v>0.71</v>
      </c>
      <c r="H105" s="1">
        <f>IF(ISNUMBER(Main_S[[#This Row],[Free CF]]),IF(Main_S[[#This Row],[Free CF]]&lt;&gt;0,Main_S[[#This Row],[Current Price]]/Main_S[[#This Row],[Free CF]],""),"")</f>
        <v>18.303278688524589</v>
      </c>
      <c r="I105" s="1">
        <f>IF(ISNUMBER(Main_S[[#This Row],[BVPS]]),IF(Main_S[[#This Row],[BVPS]]&lt;&gt;0,Main_S[[#This Row],[Current Price]]/Main_S[[#This Row],[BVPS]],""),"")</f>
        <v>4.3233301064859626</v>
      </c>
      <c r="J105">
        <v>7.27</v>
      </c>
      <c r="K105">
        <v>2.5099999999999998</v>
      </c>
      <c r="L105">
        <v>2.2200000000000002</v>
      </c>
      <c r="M105" s="1">
        <f>IF(ISNUMBER(Main_S[[#This Row],[EPS]]),IF(Main_S[[#This Row],[EPS]]&lt;&gt;0,Main_S[[#This Row],[Current Price]]/Main_S[[#This Row],[EPS]],""),"")</f>
        <v>62.901408450704224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0.71082029696154225</v>
      </c>
      <c r="P105" s="1">
        <f>(Main_S[[#This Row],[P/B]]-VLOOKUP(Main_S[[#This Row],[Industry]], Mean_PB_S, 2, FALSE))/(VLOOKUP(Main_S[[#This Row],[Industry]], Mean_PB_S, 3, FALSE))</f>
        <v>2.7852667182632787</v>
      </c>
      <c r="Q105" s="1">
        <f>(Main_S[[#This Row],[ROE]]-VLOOKUP(Main_S[[#This Row],[Industry]], Mean_ROE_S, 2, FALSE))/(VLOOKUP(Main_S[[#This Row],[Industry]], Mean_ROE_S, 3, FALSE))</f>
        <v>3.8632710705128172E-2</v>
      </c>
      <c r="R105" s="1">
        <f>(Main_S[[#This Row],[ROA]]-VLOOKUP(Main_S[[#This Row],[Industry]], Mean_ROA_S, 2, FALSE))/(VLOOKUP(Main_S[[#This Row],[Industry]], Mean_ROA_S, 3, FALSE))</f>
        <v>-0.38806901505168545</v>
      </c>
      <c r="S105" s="1">
        <f>(Main_S[[#This Row],[A/E]]-VLOOKUP(Main_S[[#This Row],[Industry]], Mean_AE_S, 2, FALSE))/(VLOOKUP(Main_S[[#This Row],[Industry]], Mean_AE_S, 3, FALSE))</f>
        <v>8.2769459420220584E-2</v>
      </c>
      <c r="T105" s="1">
        <f>(Main_S[[#This Row],[P/E]]-VLOOKUP(Main_S[[#This Row],[Industry]], Mean_PE_S, 2, FALSE))/(VLOOKUP(Main_S[[#This Row],[Industry]], Mean_PE_S, 3, FALSE))</f>
        <v>2.9234926866328053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t="s">
        <v>157</v>
      </c>
      <c r="B106" t="s">
        <v>489</v>
      </c>
      <c r="C106" s="2">
        <v>1102</v>
      </c>
      <c r="D106">
        <f>RTD("tos.rtd", , "LAST", Main_S[[#This Row],[Symbol]])</f>
        <v>37.159999999999997</v>
      </c>
      <c r="E106">
        <v>2.78</v>
      </c>
      <c r="F106">
        <v>14.01</v>
      </c>
      <c r="G106">
        <v>1.45</v>
      </c>
      <c r="H106" s="1">
        <f>IF(ISNUMBER(Main_S[[#This Row],[Free CF]]),IF(Main_S[[#This Row],[Free CF]]&lt;&gt;0,Main_S[[#This Row],[Current Price]]/Main_S[[#This Row],[Free CF]],""),"")</f>
        <v>13.366906474820144</v>
      </c>
      <c r="I106" s="1">
        <f>IF(ISNUMBER(Main_S[[#This Row],[BVPS]]),IF(Main_S[[#This Row],[BVPS]]&lt;&gt;0,Main_S[[#This Row],[Current Price]]/Main_S[[#This Row],[BVPS]],""),"")</f>
        <v>2.6523911491791576</v>
      </c>
      <c r="J106">
        <v>10.67</v>
      </c>
      <c r="K106">
        <v>6.28</v>
      </c>
      <c r="L106">
        <v>2.41</v>
      </c>
      <c r="M106" s="1">
        <f>IF(ISNUMBER(Main_S[[#This Row],[EPS]]),IF(Main_S[[#This Row],[EPS]]&lt;&gt;0,Main_S[[#This Row],[Current Price]]/Main_S[[#This Row],[EPS]],""),"")</f>
        <v>25.627586206896549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0.27658729747286753</v>
      </c>
      <c r="P106" s="1">
        <f>(Main_S[[#This Row],[P/B]]-VLOOKUP(Main_S[[#This Row],[Industry]], Mean_PB_S, 2, FALSE))/(VLOOKUP(Main_S[[#This Row],[Industry]], Mean_PB_S, 3, FALSE))</f>
        <v>1.0268355238000284</v>
      </c>
      <c r="Q106" s="1">
        <f>(Main_S[[#This Row],[ROE]]-VLOOKUP(Main_S[[#This Row],[Industry]], Mean_ROE_S, 2, FALSE))/(VLOOKUP(Main_S[[#This Row],[Industry]], Mean_ROE_S, 3, FALSE))</f>
        <v>0.29463957924585754</v>
      </c>
      <c r="R106" s="1">
        <f>(Main_S[[#This Row],[ROA]]-VLOOKUP(Main_S[[#This Row],[Industry]], Mean_ROA_S, 2, FALSE))/(VLOOKUP(Main_S[[#This Row],[Industry]], Mean_ROA_S, 3, FALSE))</f>
        <v>0.9121622209462299</v>
      </c>
      <c r="S106" s="1">
        <f>(Main_S[[#This Row],[A/E]]-VLOOKUP(Main_S[[#This Row],[Industry]], Mean_AE_S, 2, FALSE))/(VLOOKUP(Main_S[[#This Row],[Industry]], Mean_AE_S, 3, FALSE))</f>
        <v>0.30742942070367407</v>
      </c>
      <c r="T106" s="1">
        <f>(Main_S[[#This Row],[P/E]]-VLOOKUP(Main_S[[#This Row],[Industry]], Mean_PE_S, 2, FALSE))/(VLOOKUP(Main_S[[#This Row],[Industry]], Mean_PE_S, 3, FALSE))</f>
        <v>0.5836399437089953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t="s">
        <v>157</v>
      </c>
      <c r="B107" t="s">
        <v>490</v>
      </c>
      <c r="C107" s="2">
        <v>1711</v>
      </c>
      <c r="D107">
        <f>RTD("tos.rtd", , "LAST", Main_S[[#This Row],[Symbol]])</f>
        <v>32.76</v>
      </c>
      <c r="E107">
        <v>2.65</v>
      </c>
      <c r="F107">
        <v>26.67</v>
      </c>
      <c r="G107">
        <v>1.1299999999999999</v>
      </c>
      <c r="H107" s="1">
        <f>IF(ISNUMBER(Main_S[[#This Row],[Free CF]]),IF(Main_S[[#This Row],[Free CF]]&lt;&gt;0,Main_S[[#This Row],[Current Price]]/Main_S[[#This Row],[Free CF]],""),"")</f>
        <v>12.362264150943396</v>
      </c>
      <c r="I107" s="1">
        <f>IF(ISNUMBER(Main_S[[#This Row],[BVPS]]),IF(Main_S[[#This Row],[BVPS]]&lt;&gt;0,Main_S[[#This Row],[Current Price]]/Main_S[[#This Row],[BVPS]],""),"")</f>
        <v>1.2283464566929132</v>
      </c>
      <c r="J107">
        <v>4.3499999999999996</v>
      </c>
      <c r="K107">
        <v>3.66</v>
      </c>
      <c r="L107">
        <v>1.77</v>
      </c>
      <c r="M107" s="1">
        <f>IF(ISNUMBER(Main_S[[#This Row],[EPS]]),IF(Main_S[[#This Row],[EPS]]&lt;&gt;0,Main_S[[#This Row],[Current Price]]/Main_S[[#This Row],[EPS]],""),"")</f>
        <v>28.991150442477878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0.18821291425696027</v>
      </c>
      <c r="P107" s="1">
        <f>(Main_S[[#This Row],[P/B]]-VLOOKUP(Main_S[[#This Row],[Industry]], Mean_PB_S, 2, FALSE))/(VLOOKUP(Main_S[[#This Row],[Industry]], Mean_PB_S, 3, FALSE))</f>
        <v>-0.47177374533430672</v>
      </c>
      <c r="Q107" s="1">
        <f>(Main_S[[#This Row],[ROE]]-VLOOKUP(Main_S[[#This Row],[Industry]], Mean_ROE_S, 2, FALSE))/(VLOOKUP(Main_S[[#This Row],[Industry]], Mean_ROE_S, 3, FALSE))</f>
        <v>-0.18123201168867467</v>
      </c>
      <c r="R107" s="1">
        <f>(Main_S[[#This Row],[ROA]]-VLOOKUP(Main_S[[#This Row],[Industry]], Mean_ROA_S, 2, FALSE))/(VLOOKUP(Main_S[[#This Row],[Industry]], Mean_ROA_S, 3, FALSE))</f>
        <v>8.5532452659811097E-3</v>
      </c>
      <c r="S107" s="1">
        <f>(Main_S[[#This Row],[A/E]]-VLOOKUP(Main_S[[#This Row],[Industry]], Mean_AE_S, 2, FALSE))/(VLOOKUP(Main_S[[#This Row],[Industry]], Mean_AE_S, 3, FALSE))</f>
        <v>-0.44931992256690645</v>
      </c>
      <c r="T107" s="1">
        <f>(Main_S[[#This Row],[P/E]]-VLOOKUP(Main_S[[#This Row],[Industry]], Mean_PE_S, 2, FALSE))/(VLOOKUP(Main_S[[#This Row],[Industry]], Mean_PE_S, 3, FALSE))</f>
        <v>0.7947866554990074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t="s">
        <v>157</v>
      </c>
      <c r="B108" t="s">
        <v>491</v>
      </c>
      <c r="C108" s="2">
        <v>963</v>
      </c>
      <c r="D108">
        <f>RTD("tos.rtd", , "LAST", Main_S[[#This Row],[Symbol]])</f>
        <v>41.97</v>
      </c>
      <c r="E108">
        <v>5.13</v>
      </c>
      <c r="F108">
        <v>30.28</v>
      </c>
      <c r="G108">
        <v>8.9</v>
      </c>
      <c r="H108" s="1">
        <f>IF(ISNUMBER(Main_S[[#This Row],[Free CF]]),IF(Main_S[[#This Row],[Free CF]]&lt;&gt;0,Main_S[[#This Row],[Current Price]]/Main_S[[#This Row],[Free CF]],""),"")</f>
        <v>8.1812865497076022</v>
      </c>
      <c r="I108" s="1">
        <f>IF(ISNUMBER(Main_S[[#This Row],[BVPS]]),IF(Main_S[[#This Row],[BVPS]]&lt;&gt;0,Main_S[[#This Row],[Current Price]]/Main_S[[#This Row],[BVPS]],""),"")</f>
        <v>1.3860634081902246</v>
      </c>
      <c r="J108">
        <v>36.619999999999997</v>
      </c>
      <c r="K108">
        <v>7.64</v>
      </c>
      <c r="L108">
        <v>4.0999999999999996</v>
      </c>
      <c r="M108" s="1">
        <f>IF(ISNUMBER(Main_S[[#This Row],[EPS]]),IF(Main_S[[#This Row],[EPS]]&lt;&gt;0,Main_S[[#This Row],[Current Price]]/Main_S[[#This Row],[EPS]],""),"")</f>
        <v>4.715730337078651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-0.17957103030445437</v>
      </c>
      <c r="P108" s="1">
        <f>(Main_S[[#This Row],[P/B]]-VLOOKUP(Main_S[[#This Row],[Industry]], Mean_PB_S, 2, FALSE))/(VLOOKUP(Main_S[[#This Row],[Industry]], Mean_PB_S, 3, FALSE))</f>
        <v>-0.30579855743425122</v>
      </c>
      <c r="Q108" s="1">
        <f>(Main_S[[#This Row],[ROE]]-VLOOKUP(Main_S[[#This Row],[Industry]], Mean_ROE_S, 2, FALSE))/(VLOOKUP(Main_S[[#This Row],[Industry]], Mean_ROE_S, 3, FALSE))</f>
        <v>2.2485743553140711</v>
      </c>
      <c r="R108" s="1">
        <f>(Main_S[[#This Row],[ROA]]-VLOOKUP(Main_S[[#This Row],[Industry]], Mean_ROA_S, 2, FALSE))/(VLOOKUP(Main_S[[#This Row],[Industry]], Mean_ROA_S, 3, FALSE))</f>
        <v>1.381211154887122</v>
      </c>
      <c r="S108" s="1">
        <f>(Main_S[[#This Row],[A/E]]-VLOOKUP(Main_S[[#This Row],[Industry]], Mean_AE_S, 2, FALSE))/(VLOOKUP(Main_S[[#This Row],[Industry]], Mean_AE_S, 3, FALSE))</f>
        <v>2.30572065527755</v>
      </c>
      <c r="T108" s="1">
        <f>(Main_S[[#This Row],[P/E]]-VLOOKUP(Main_S[[#This Row],[Industry]], Mean_PE_S, 2, FALSE))/(VLOOKUP(Main_S[[#This Row],[Industry]], Mean_PE_S, 3, FALSE))</f>
        <v>-0.72909538556756348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t="s">
        <v>157</v>
      </c>
      <c r="B109" t="s">
        <v>492</v>
      </c>
      <c r="C109" s="2">
        <v>370</v>
      </c>
      <c r="D109">
        <f>RTD("tos.rtd", , "LAST", Main_S[[#This Row],[Symbol]])</f>
        <v>12.18</v>
      </c>
      <c r="E109">
        <v>1.19</v>
      </c>
      <c r="F109">
        <v>8.4</v>
      </c>
      <c r="G109">
        <v>0.32</v>
      </c>
      <c r="H109" s="1">
        <f>IF(ISNUMBER(Main_S[[#This Row],[Free CF]]),IF(Main_S[[#This Row],[Free CF]]&lt;&gt;0,Main_S[[#This Row],[Current Price]]/Main_S[[#This Row],[Free CF]],""),"")</f>
        <v>10.23529411764706</v>
      </c>
      <c r="I109" s="1">
        <f>IF(ISNUMBER(Main_S[[#This Row],[BVPS]]),IF(Main_S[[#This Row],[BVPS]]&lt;&gt;0,Main_S[[#This Row],[Current Price]]/Main_S[[#This Row],[BVPS]],""),"")</f>
        <v>1.45</v>
      </c>
      <c r="J109">
        <v>3.95</v>
      </c>
      <c r="K109">
        <v>4.58</v>
      </c>
      <c r="L109">
        <v>1.8</v>
      </c>
      <c r="M109" s="1">
        <f>IF(ISNUMBER(Main_S[[#This Row],[EPS]]),IF(Main_S[[#This Row],[EPS]]&lt;&gt;0,Main_S[[#This Row],[Current Price]]/Main_S[[#This Row],[EPS]],""),"")</f>
        <v>38.0625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1.1118332613501386E-3</v>
      </c>
      <c r="P109" s="1">
        <f>(Main_S[[#This Row],[P/B]]-VLOOKUP(Main_S[[#This Row],[Industry]], Mean_PB_S, 2, FALSE))/(VLOOKUP(Main_S[[#This Row],[Industry]], Mean_PB_S, 3, FALSE))</f>
        <v>-0.23851417399562305</v>
      </c>
      <c r="Q109" s="1">
        <f>(Main_S[[#This Row],[ROE]]-VLOOKUP(Main_S[[#This Row],[Industry]], Mean_ROE_S, 2, FALSE))/(VLOOKUP(Main_S[[#This Row],[Industry]], Mean_ROE_S, 3, FALSE))</f>
        <v>-0.21135046681111339</v>
      </c>
      <c r="R109" s="1">
        <f>(Main_S[[#This Row],[ROA]]-VLOOKUP(Main_S[[#This Row],[Industry]], Mean_ROA_S, 2, FALSE))/(VLOOKUP(Main_S[[#This Row],[Industry]], Mean_ROA_S, 3, FALSE))</f>
        <v>0.32585105352011423</v>
      </c>
      <c r="S109" s="1">
        <f>(Main_S[[#This Row],[A/E]]-VLOOKUP(Main_S[[#This Row],[Industry]], Mean_AE_S, 2, FALSE))/(VLOOKUP(Main_S[[#This Row],[Industry]], Mean_AE_S, 3, FALSE))</f>
        <v>-0.41384729710109797</v>
      </c>
      <c r="T109" s="1">
        <f>(Main_S[[#This Row],[P/E]]-VLOOKUP(Main_S[[#This Row],[Industry]], Mean_PE_S, 2, FALSE))/(VLOOKUP(Main_S[[#This Row],[Industry]], Mean_PE_S, 3, FALSE))</f>
        <v>1.3642378377617832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t="s">
        <v>157</v>
      </c>
      <c r="B110" t="s">
        <v>493</v>
      </c>
      <c r="C110" s="2">
        <v>354</v>
      </c>
      <c r="D110">
        <f>RTD("tos.rtd", , "LAST", Main_S[[#This Row],[Symbol]])</f>
        <v>14.91</v>
      </c>
      <c r="E110">
        <v>3.02</v>
      </c>
      <c r="F110">
        <v>11.55</v>
      </c>
      <c r="G110">
        <v>0.59</v>
      </c>
      <c r="H110" s="1">
        <f>IF(ISNUMBER(Main_S[[#This Row],[Free CF]]),IF(Main_S[[#This Row],[Free CF]]&lt;&gt;0,Main_S[[#This Row],[Current Price]]/Main_S[[#This Row],[Free CF]],""),"")</f>
        <v>4.9370860927152318</v>
      </c>
      <c r="I110" s="1">
        <f>IF(ISNUMBER(Main_S[[#This Row],[BVPS]]),IF(Main_S[[#This Row],[BVPS]]&lt;&gt;0,Main_S[[#This Row],[Current Price]]/Main_S[[#This Row],[BVPS]],""),"")</f>
        <v>1.2909090909090908</v>
      </c>
      <c r="J110">
        <v>5.25</v>
      </c>
      <c r="K110">
        <v>3.13</v>
      </c>
      <c r="L110">
        <v>1.96</v>
      </c>
      <c r="M110" s="1">
        <f>IF(ISNUMBER(Main_S[[#This Row],[EPS]]),IF(Main_S[[#This Row],[EPS]]&lt;&gt;0,Main_S[[#This Row],[Current Price]]/Main_S[[#This Row],[EPS]],""),"")</f>
        <v>25.271186440677969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-0.46495042115981983</v>
      </c>
      <c r="P110" s="1">
        <f>(Main_S[[#This Row],[P/B]]-VLOOKUP(Main_S[[#This Row],[Industry]], Mean_PB_S, 2, FALSE))/(VLOOKUP(Main_S[[#This Row],[Industry]], Mean_PB_S, 3, FALSE))</f>
        <v>-0.40593526144927211</v>
      </c>
      <c r="Q110" s="1">
        <f>(Main_S[[#This Row],[ROE]]-VLOOKUP(Main_S[[#This Row],[Industry]], Mean_ROE_S, 2, FALSE))/(VLOOKUP(Main_S[[#This Row],[Industry]], Mean_ROE_S, 3, FALSE))</f>
        <v>-0.11346548766318747</v>
      </c>
      <c r="R110" s="1">
        <f>(Main_S[[#This Row],[ROA]]-VLOOKUP(Main_S[[#This Row],[Industry]], Mean_ROA_S, 2, FALSE))/(VLOOKUP(Main_S[[#This Row],[Industry]], Mean_ROA_S, 3, FALSE))</f>
        <v>-0.1742378834021609</v>
      </c>
      <c r="S110" s="1">
        <f>(Main_S[[#This Row],[A/E]]-VLOOKUP(Main_S[[#This Row],[Industry]], Mean_AE_S, 2, FALSE))/(VLOOKUP(Main_S[[#This Row],[Industry]], Mean_AE_S, 3, FALSE))</f>
        <v>-0.22465996128345297</v>
      </c>
      <c r="T110" s="1">
        <f>(Main_S[[#This Row],[P/E]]-VLOOKUP(Main_S[[#This Row],[Industry]], Mean_PE_S, 2, FALSE))/(VLOOKUP(Main_S[[#This Row],[Industry]], Mean_PE_S, 3, FALSE))</f>
        <v>0.56126705785067721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t="s">
        <v>157</v>
      </c>
      <c r="B111" t="s">
        <v>494</v>
      </c>
      <c r="C111" s="2">
        <v>528</v>
      </c>
      <c r="D111">
        <f>RTD("tos.rtd", , "LAST", Main_S[[#This Row],[Symbol]])</f>
        <v>1.49</v>
      </c>
      <c r="E111">
        <v>-0.35</v>
      </c>
      <c r="F111">
        <v>5.19</v>
      </c>
      <c r="G111">
        <v>-0.4</v>
      </c>
      <c r="H111" s="1">
        <f>IF(ISNUMBER(Main_S[[#This Row],[Free CF]]),IF(Main_S[[#This Row],[Free CF]]&lt;&gt;0,Main_S[[#This Row],[Current Price]]/Main_S[[#This Row],[Free CF]],""),"")</f>
        <v>-4.2571428571428571</v>
      </c>
      <c r="I111" s="1">
        <f>IF(ISNUMBER(Main_S[[#This Row],[BVPS]]),IF(Main_S[[#This Row],[BVPS]]&lt;&gt;0,Main_S[[#This Row],[Current Price]]/Main_S[[#This Row],[BVPS]],""),"")</f>
        <v>0.28709055876685929</v>
      </c>
      <c r="J111">
        <v>-14.6</v>
      </c>
      <c r="K111">
        <v>-6.22</v>
      </c>
      <c r="L111">
        <v>1.05</v>
      </c>
      <c r="M111" s="1">
        <f>IF(ISNUMBER(Main_S[[#This Row],[EPS]]),IF(Main_S[[#This Row],[EPS]]&lt;&gt;0,Main_S[[#This Row],[Current Price]]/Main_S[[#This Row],[EPS]],""),"")</f>
        <v>-3.7249999999999996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-1.2737301164588513</v>
      </c>
      <c r="P111" s="1">
        <f>(Main_S[[#This Row],[P/B]]-VLOOKUP(Main_S[[#This Row],[Industry]], Mean_PB_S, 2, FALSE))/(VLOOKUP(Main_S[[#This Row],[Industry]], Mean_PB_S, 3, FALSE))</f>
        <v>-1.4623148573527918</v>
      </c>
      <c r="Q111" s="1">
        <f>(Main_S[[#This Row],[ROE]]-VLOOKUP(Main_S[[#This Row],[Industry]], Mean_ROE_S, 2, FALSE))/(VLOOKUP(Main_S[[#This Row],[Industry]], Mean_ROE_S, 3, FALSE))</f>
        <v>-1.6080938231142101</v>
      </c>
      <c r="R111" s="1">
        <f>(Main_S[[#This Row],[ROA]]-VLOOKUP(Main_S[[#This Row],[Industry]], Mean_ROA_S, 2, FALSE))/(VLOOKUP(Main_S[[#This Row],[Industry]], Mean_ROA_S, 3, FALSE))</f>
        <v>-3.3989493042457966</v>
      </c>
      <c r="S111" s="1">
        <f>(Main_S[[#This Row],[A/E]]-VLOOKUP(Main_S[[#This Row],[Industry]], Mean_AE_S, 2, FALSE))/(VLOOKUP(Main_S[[#This Row],[Industry]], Mean_AE_S, 3, FALSE))</f>
        <v>-1.3006629337463094</v>
      </c>
      <c r="T111" s="1">
        <f>(Main_S[[#This Row],[P/E]]-VLOOKUP(Main_S[[#This Row],[Industry]], Mean_PE_S, 2, FALSE))/(VLOOKUP(Main_S[[#This Row],[Industry]], Mean_PE_S, 3, FALSE))</f>
        <v>-1.2589596399579159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t="s">
        <v>157</v>
      </c>
      <c r="B112" t="s">
        <v>495</v>
      </c>
      <c r="C112" s="2">
        <v>477</v>
      </c>
      <c r="D112">
        <f>RTD("tos.rtd", , "LAST", Main_S[[#This Row],[Symbol]])</f>
        <v>31.87</v>
      </c>
      <c r="E112">
        <v>2.12</v>
      </c>
      <c r="F112">
        <v>8.1199999999999992</v>
      </c>
      <c r="G112">
        <v>1.81</v>
      </c>
      <c r="H112" s="1">
        <f>IF(ISNUMBER(Main_S[[#This Row],[Free CF]]),IF(Main_S[[#This Row],[Free CF]]&lt;&gt;0,Main_S[[#This Row],[Current Price]]/Main_S[[#This Row],[Free CF]],""),"")</f>
        <v>15.033018867924527</v>
      </c>
      <c r="I112" s="1">
        <f>IF(ISNUMBER(Main_S[[#This Row],[BVPS]]),IF(Main_S[[#This Row],[BVPS]]&lt;&gt;0,Main_S[[#This Row],[Current Price]]/Main_S[[#This Row],[BVPS]],""),"")</f>
        <v>3.924876847290641</v>
      </c>
      <c r="J112">
        <v>22.76</v>
      </c>
      <c r="K112">
        <v>13.81</v>
      </c>
      <c r="L112">
        <v>1.25</v>
      </c>
      <c r="M112" s="1">
        <f>IF(ISNUMBER(Main_S[[#This Row],[EPS]]),IF(Main_S[[#This Row],[EPS]]&lt;&gt;0,Main_S[[#This Row],[Current Price]]/Main_S[[#This Row],[EPS]],""),"")</f>
        <v>17.607734806629836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0.42314856769767539</v>
      </c>
      <c r="P112" s="1">
        <f>(Main_S[[#This Row],[P/B]]-VLOOKUP(Main_S[[#This Row],[Industry]], Mean_PB_S, 2, FALSE))/(VLOOKUP(Main_S[[#This Row],[Industry]], Mean_PB_S, 3, FALSE))</f>
        <v>2.3659499996957103</v>
      </c>
      <c r="Q112" s="1">
        <f>(Main_S[[#This Row],[ROE]]-VLOOKUP(Main_S[[#This Row],[Industry]], Mean_ROE_S, 2, FALSE))/(VLOOKUP(Main_S[[#This Row],[Industry]], Mean_ROE_S, 3, FALSE))</f>
        <v>1.2049698853215689</v>
      </c>
      <c r="R112" s="1">
        <f>(Main_S[[#This Row],[ROA]]-VLOOKUP(Main_S[[#This Row],[Industry]], Mean_ROA_S, 2, FALSE))/(VLOOKUP(Main_S[[#This Row],[Industry]], Mean_ROA_S, 3, FALSE))</f>
        <v>3.5091758037219067</v>
      </c>
      <c r="S112" s="1">
        <f>(Main_S[[#This Row],[A/E]]-VLOOKUP(Main_S[[#This Row],[Industry]], Mean_AE_S, 2, FALSE))/(VLOOKUP(Main_S[[#This Row],[Industry]], Mean_AE_S, 3, FALSE))</f>
        <v>-1.064178763974253</v>
      </c>
      <c r="T112" s="1">
        <f>(Main_S[[#This Row],[P/E]]-VLOOKUP(Main_S[[#This Row],[Industry]], Mean_PE_S, 2, FALSE))/(VLOOKUP(Main_S[[#This Row],[Industry]], Mean_PE_S, 3, FALSE))</f>
        <v>8.0196235306567817E-2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t="s">
        <v>157</v>
      </c>
      <c r="B113" t="s">
        <v>496</v>
      </c>
      <c r="C113" s="2">
        <v>440</v>
      </c>
      <c r="D113">
        <f>RTD("tos.rtd", , "LAST", Main_S[[#This Row],[Symbol]])</f>
        <v>17.7</v>
      </c>
      <c r="E113">
        <v>0.35</v>
      </c>
      <c r="F113">
        <v>25.14</v>
      </c>
      <c r="G113">
        <v>3.35</v>
      </c>
      <c r="H113" s="1">
        <f>IF(ISNUMBER(Main_S[[#This Row],[Free CF]]),IF(Main_S[[#This Row],[Free CF]]&lt;&gt;0,Main_S[[#This Row],[Current Price]]/Main_S[[#This Row],[Free CF]],""),"")</f>
        <v>50.571428571428569</v>
      </c>
      <c r="I113" s="1">
        <f>IF(ISNUMBER(Main_S[[#This Row],[BVPS]]),IF(Main_S[[#This Row],[BVPS]]&lt;&gt;0,Main_S[[#This Row],[Current Price]]/Main_S[[#This Row],[BVPS]],""),"")</f>
        <v>0.70405727923627681</v>
      </c>
      <c r="J113">
        <v>13.1</v>
      </c>
      <c r="K113">
        <v>4.22</v>
      </c>
      <c r="L113">
        <v>4.1900000000000004</v>
      </c>
      <c r="M113" s="1">
        <f>IF(ISNUMBER(Main_S[[#This Row],[EPS]]),IF(Main_S[[#This Row],[EPS]]&lt;&gt;0,Main_S[[#This Row],[Current Price]]/Main_S[[#This Row],[EPS]],""),"")</f>
        <v>5.2835820895522385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3.5493209012521691</v>
      </c>
      <c r="P113" s="1">
        <f>(Main_S[[#This Row],[P/B]]-VLOOKUP(Main_S[[#This Row],[Industry]], Mean_PB_S, 2, FALSE))/(VLOOKUP(Main_S[[#This Row],[Industry]], Mean_PB_S, 3, FALSE))</f>
        <v>-1.0235152919226846</v>
      </c>
      <c r="Q113" s="1">
        <f>(Main_S[[#This Row],[ROE]]-VLOOKUP(Main_S[[#This Row],[Industry]], Mean_ROE_S, 2, FALSE))/(VLOOKUP(Main_S[[#This Row],[Industry]], Mean_ROE_S, 3, FALSE))</f>
        <v>0.4776091941146729</v>
      </c>
      <c r="R113" s="1">
        <f>(Main_S[[#This Row],[ROA]]-VLOOKUP(Main_S[[#This Row],[Industry]], Mean_ROA_S, 2, FALSE))/(VLOOKUP(Main_S[[#This Row],[Industry]], Mean_ROA_S, 3, FALSE))</f>
        <v>0.20169104159458376</v>
      </c>
      <c r="S113" s="1">
        <f>(Main_S[[#This Row],[A/E]]-VLOOKUP(Main_S[[#This Row],[Industry]], Mean_AE_S, 2, FALSE))/(VLOOKUP(Main_S[[#This Row],[Industry]], Mean_AE_S, 3, FALSE))</f>
        <v>2.4121385316749762</v>
      </c>
      <c r="T113" s="1">
        <f>(Main_S[[#This Row],[P/E]]-VLOOKUP(Main_S[[#This Row],[Industry]], Mean_PE_S, 2, FALSE))/(VLOOKUP(Main_S[[#This Row],[Industry]], Mean_PE_S, 3, FALSE))</f>
        <v>-0.69344866621829804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t="s">
        <v>157</v>
      </c>
      <c r="B114" t="s">
        <v>497</v>
      </c>
      <c r="C114" s="2">
        <v>1046</v>
      </c>
      <c r="D114">
        <f>RTD("tos.rtd", , "LAST", Main_S[[#This Row],[Symbol]])</f>
        <v>39.200000000000003</v>
      </c>
      <c r="E114">
        <v>2.0099999999999998</v>
      </c>
      <c r="F114">
        <v>27.74</v>
      </c>
      <c r="G114">
        <v>0.94</v>
      </c>
      <c r="H114" s="1">
        <f>IF(ISNUMBER(Main_S[[#This Row],[Free CF]]),IF(Main_S[[#This Row],[Free CF]]&lt;&gt;0,Main_S[[#This Row],[Current Price]]/Main_S[[#This Row],[Free CF]],""),"")</f>
        <v>19.502487562189057</v>
      </c>
      <c r="I114" s="1">
        <f>IF(ISNUMBER(Main_S[[#This Row],[BVPS]]),IF(Main_S[[#This Row],[BVPS]]&lt;&gt;0,Main_S[[#This Row],[Current Price]]/Main_S[[#This Row],[BVPS]],""),"")</f>
        <v>1.413121845710166</v>
      </c>
      <c r="J114">
        <v>3.51</v>
      </c>
      <c r="K114">
        <v>2.42</v>
      </c>
      <c r="L114">
        <v>1.1100000000000001</v>
      </c>
      <c r="M114" s="1">
        <f>IF(ISNUMBER(Main_S[[#This Row],[EPS]]),IF(Main_S[[#This Row],[EPS]]&lt;&gt;0,Main_S[[#This Row],[Current Price]]/Main_S[[#This Row],[EPS]],""),"")</f>
        <v>41.702127659574472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0.81630992450200213</v>
      </c>
      <c r="P114" s="1">
        <f>(Main_S[[#This Row],[P/B]]-VLOOKUP(Main_S[[#This Row],[Industry]], Mean_PB_S, 2, FALSE))/(VLOOKUP(Main_S[[#This Row],[Industry]], Mean_PB_S, 3, FALSE))</f>
        <v>-0.27732330978954423</v>
      </c>
      <c r="Q114" s="1">
        <f>(Main_S[[#This Row],[ROE]]-VLOOKUP(Main_S[[#This Row],[Industry]], Mean_ROE_S, 2, FALSE))/(VLOOKUP(Main_S[[#This Row],[Industry]], Mean_ROE_S, 3, FALSE))</f>
        <v>-0.24448076744579603</v>
      </c>
      <c r="R114" s="1">
        <f>(Main_S[[#This Row],[ROA]]-VLOOKUP(Main_S[[#This Row],[Industry]], Mean_ROA_S, 2, FALSE))/(VLOOKUP(Main_S[[#This Row],[Industry]], Mean_ROA_S, 3, FALSE))</f>
        <v>-0.41910901803306799</v>
      </c>
      <c r="S114" s="1">
        <f>(Main_S[[#This Row],[A/E]]-VLOOKUP(Main_S[[#This Row],[Industry]], Mean_AE_S, 2, FALSE))/(VLOOKUP(Main_S[[#This Row],[Industry]], Mean_AE_S, 3, FALSE))</f>
        <v>-1.2297176828146923</v>
      </c>
      <c r="T114" s="1">
        <f>(Main_S[[#This Row],[P/E]]-VLOOKUP(Main_S[[#This Row],[Industry]], Mean_PE_S, 2, FALSE))/(VLOOKUP(Main_S[[#This Row],[Industry]], Mean_PE_S, 3, FALSE))</f>
        <v>1.5927143462017379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t="s">
        <v>157</v>
      </c>
      <c r="B115" t="s">
        <v>498</v>
      </c>
      <c r="C115" s="2">
        <v>1070</v>
      </c>
      <c r="D115">
        <f>RTD("tos.rtd", , "LAST", Main_S[[#This Row],[Symbol]])</f>
        <v>14.1335</v>
      </c>
      <c r="E115">
        <v>1.08</v>
      </c>
      <c r="F115">
        <v>5.97</v>
      </c>
      <c r="G115">
        <v>0.48</v>
      </c>
      <c r="H115" s="1">
        <f>IF(ISNUMBER(Main_S[[#This Row],[Free CF]]),IF(Main_S[[#This Row],[Free CF]]&lt;&gt;0,Main_S[[#This Row],[Current Price]]/Main_S[[#This Row],[Free CF]],""),"")</f>
        <v>13.086574074074074</v>
      </c>
      <c r="I115" s="1">
        <f>IF(ISNUMBER(Main_S[[#This Row],[BVPS]]),IF(Main_S[[#This Row],[BVPS]]&lt;&gt;0,Main_S[[#This Row],[Current Price]]/Main_S[[#This Row],[BVPS]],""),"")</f>
        <v>2.3674204355108879</v>
      </c>
      <c r="J115">
        <v>8.2200000000000006</v>
      </c>
      <c r="K115">
        <v>5.62</v>
      </c>
      <c r="L115">
        <v>1.96</v>
      </c>
      <c r="M115" s="1">
        <f>IF(ISNUMBER(Main_S[[#This Row],[EPS]]),IF(Main_S[[#This Row],[EPS]]&lt;&gt;0,Main_S[[#This Row],[Current Price]]/Main_S[[#This Row],[EPS]],""),"")</f>
        <v>29.444791666666667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0.25192757288972534</v>
      </c>
      <c r="P115" s="1">
        <f>(Main_S[[#This Row],[P/B]]-VLOOKUP(Main_S[[#This Row],[Industry]], Mean_PB_S, 2, FALSE))/(VLOOKUP(Main_S[[#This Row],[Industry]], Mean_PB_S, 3, FALSE))</f>
        <v>0.72694342407281365</v>
      </c>
      <c r="Q115" s="1">
        <f>(Main_S[[#This Row],[ROE]]-VLOOKUP(Main_S[[#This Row],[Industry]], Mean_ROE_S, 2, FALSE))/(VLOOKUP(Main_S[[#This Row],[Industry]], Mean_ROE_S, 3, FALSE))</f>
        <v>0.11016404162092028</v>
      </c>
      <c r="R115" s="1">
        <f>(Main_S[[#This Row],[ROA]]-VLOOKUP(Main_S[[#This Row],[Industry]], Mean_ROA_S, 2, FALSE))/(VLOOKUP(Main_S[[#This Row],[Industry]], Mean_ROA_S, 3, FALSE))</f>
        <v>0.68453553241609089</v>
      </c>
      <c r="S115" s="1">
        <f>(Main_S[[#This Row],[A/E]]-VLOOKUP(Main_S[[#This Row],[Industry]], Mean_AE_S, 2, FALSE))/(VLOOKUP(Main_S[[#This Row],[Industry]], Mean_AE_S, 3, FALSE))</f>
        <v>-0.22465996128345297</v>
      </c>
      <c r="T115" s="1">
        <f>(Main_S[[#This Row],[P/E]]-VLOOKUP(Main_S[[#This Row],[Industry]], Mean_PE_S, 2, FALSE))/(VLOOKUP(Main_S[[#This Row],[Industry]], Mean_PE_S, 3, FALSE))</f>
        <v>0.82326384401427422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t="s">
        <v>157</v>
      </c>
      <c r="B116" t="s">
        <v>499</v>
      </c>
      <c r="C116" s="2">
        <v>1619</v>
      </c>
      <c r="D116">
        <f>RTD("tos.rtd", , "LAST", Main_S[[#This Row],[Symbol]])</f>
        <v>75.63</v>
      </c>
      <c r="E116">
        <v>5.12</v>
      </c>
      <c r="F116">
        <v>34.29</v>
      </c>
      <c r="G116">
        <v>5.67</v>
      </c>
      <c r="H116" s="1">
        <f>IF(ISNUMBER(Main_S[[#This Row],[Free CF]]),IF(Main_S[[#This Row],[Free CF]]&lt;&gt;0,Main_S[[#This Row],[Current Price]]/Main_S[[#This Row],[Free CF]],""),"")</f>
        <v>14.771484374999998</v>
      </c>
      <c r="I116" s="1">
        <f>IF(ISNUMBER(Main_S[[#This Row],[BVPS]]),IF(Main_S[[#This Row],[BVPS]]&lt;&gt;0,Main_S[[#This Row],[Current Price]]/Main_S[[#This Row],[BVPS]],""),"")</f>
        <v>2.2055993000874889</v>
      </c>
      <c r="J116">
        <v>18.100000000000001</v>
      </c>
      <c r="K116">
        <v>7.33</v>
      </c>
      <c r="L116">
        <v>1.88</v>
      </c>
      <c r="M116" s="1">
        <f>IF(ISNUMBER(Main_S[[#This Row],[EPS]]),IF(Main_S[[#This Row],[EPS]]&lt;&gt;0,Main_S[[#This Row],[Current Price]]/Main_S[[#This Row],[EPS]],""),"")</f>
        <v>13.338624338624339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0.40014242018370122</v>
      </c>
      <c r="P116" s="1">
        <f>(Main_S[[#This Row],[P/B]]-VLOOKUP(Main_S[[#This Row],[Industry]], Mean_PB_S, 2, FALSE))/(VLOOKUP(Main_S[[#This Row],[Industry]], Mean_PB_S, 3, FALSE))</f>
        <v>0.55664915257494729</v>
      </c>
      <c r="Q116" s="1">
        <f>(Main_S[[#This Row],[ROE]]-VLOOKUP(Main_S[[#This Row],[Industry]], Mean_ROE_S, 2, FALSE))/(VLOOKUP(Main_S[[#This Row],[Industry]], Mean_ROE_S, 3, FALSE))</f>
        <v>0.85408988314515744</v>
      </c>
      <c r="R116" s="1">
        <f>(Main_S[[#This Row],[ROA]]-VLOOKUP(Main_S[[#This Row],[Industry]], Mean_ROA_S, 2, FALSE))/(VLOOKUP(Main_S[[#This Row],[Industry]], Mean_ROA_S, 3, FALSE))</f>
        <v>1.27429558906236</v>
      </c>
      <c r="S116" s="1">
        <f>(Main_S[[#This Row],[A/E]]-VLOOKUP(Main_S[[#This Row],[Industry]], Mean_AE_S, 2, FALSE))/(VLOOKUP(Main_S[[#This Row],[Industry]], Mean_AE_S, 3, FALSE))</f>
        <v>-0.31925362919227557</v>
      </c>
      <c r="T116" s="1">
        <f>(Main_S[[#This Row],[P/E]]-VLOOKUP(Main_S[[#This Row],[Industry]], Mean_PE_S, 2, FALSE))/(VLOOKUP(Main_S[[#This Row],[Industry]], Mean_PE_S, 3, FALSE))</f>
        <v>-0.18779586309077073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t="s">
        <v>250</v>
      </c>
      <c r="B117" t="s">
        <v>571</v>
      </c>
      <c r="C117" s="2">
        <v>1583</v>
      </c>
      <c r="D117">
        <f>RTD("tos.rtd", , "LAST", Main_S[[#This Row],[Symbol]])</f>
        <v>8.9</v>
      </c>
      <c r="E117">
        <v>2.6</v>
      </c>
      <c r="F117">
        <v>20.79</v>
      </c>
      <c r="G117">
        <v>3.01</v>
      </c>
      <c r="H117" s="1">
        <f>IF(ISNUMBER(Main_S[[#This Row],[Free CF]]),IF(Main_S[[#This Row],[Free CF]]&lt;&gt;0,Main_S[[#This Row],[Current Price]]/Main_S[[#This Row],[Free CF]],""),"")</f>
        <v>3.4230769230769229</v>
      </c>
      <c r="I117" s="1">
        <f>IF(ISNUMBER(Main_S[[#This Row],[BVPS]]),IF(Main_S[[#This Row],[BVPS]]&lt;&gt;0,Main_S[[#This Row],[Current Price]]/Main_S[[#This Row],[BVPS]],""),"")</f>
        <v>0.42809042809042813</v>
      </c>
      <c r="J117">
        <v>15.83</v>
      </c>
      <c r="K117">
        <v>5.16</v>
      </c>
      <c r="L117">
        <v>2.11</v>
      </c>
      <c r="M117" s="1">
        <f>IF(ISNUMBER(Main_S[[#This Row],[EPS]]),IF(Main_S[[#This Row],[EPS]]&lt;&gt;0,Main_S[[#This Row],[Current Price]]/Main_S[[#This Row],[EPS]],""),"")</f>
        <v>2.9568106312292364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1.0756890662542002</v>
      </c>
      <c r="P117" s="1">
        <f>(Main_S[[#This Row],[P/B]]-VLOOKUP(Main_S[[#This Row],[Industry]], Mean_PB_S, 2, FALSE))/(VLOOKUP(Main_S[[#This Row],[Industry]], Mean_PB_S, 3, FALSE))</f>
        <v>-0.85423302324108796</v>
      </c>
      <c r="Q117" s="1">
        <f>(Main_S[[#This Row],[ROE]]-VLOOKUP(Main_S[[#This Row],[Industry]], Mean_ROE_S, 2, FALSE))/(VLOOKUP(Main_S[[#This Row],[Industry]], Mean_ROE_S, 3, FALSE))</f>
        <v>0.27826888449989806</v>
      </c>
      <c r="R117" s="1">
        <f>(Main_S[[#This Row],[ROA]]-VLOOKUP(Main_S[[#This Row],[Industry]], Mean_ROA_S, 2, FALSE))/(VLOOKUP(Main_S[[#This Row],[Industry]], Mean_ROA_S, 3, FALSE))</f>
        <v>-0.71418345127065452</v>
      </c>
      <c r="S117" s="1">
        <f>(Main_S[[#This Row],[A/E]]-VLOOKUP(Main_S[[#This Row],[Industry]], Mean_AE_S, 2, FALSE))/(VLOOKUP(Main_S[[#This Row],[Industry]], Mean_AE_S, 3, FALSE))</f>
        <v>1.5474585434580508</v>
      </c>
      <c r="T117" s="1">
        <f>(Main_S[[#This Row],[P/E]]-VLOOKUP(Main_S[[#This Row],[Industry]], Mean_PE_S, 2, FALSE))/(VLOOKUP(Main_S[[#This Row],[Industry]], Mean_PE_S, 3, FALSE))</f>
        <v>-0.3939765928439109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t="s">
        <v>250</v>
      </c>
      <c r="B118" t="s">
        <v>572</v>
      </c>
      <c r="C118" s="2">
        <v>1573</v>
      </c>
      <c r="D118">
        <f>RTD("tos.rtd", , "LAST", Main_S[[#This Row],[Symbol]])</f>
        <v>86</v>
      </c>
      <c r="E118">
        <v>-5.67</v>
      </c>
      <c r="F118">
        <v>175.16</v>
      </c>
      <c r="G118">
        <v>28.9</v>
      </c>
      <c r="H118" s="1">
        <f>IF(ISNUMBER(Main_S[[#This Row],[Free CF]]),IF(Main_S[[#This Row],[Free CF]]&lt;&gt;0,Main_S[[#This Row],[Current Price]]/Main_S[[#This Row],[Free CF]],""),"")</f>
        <v>-15.167548500881834</v>
      </c>
      <c r="I118" s="1">
        <f>IF(ISNUMBER(Main_S[[#This Row],[BVPS]]),IF(Main_S[[#This Row],[BVPS]]&lt;&gt;0,Main_S[[#This Row],[Current Price]]/Main_S[[#This Row],[BVPS]],""),"")</f>
        <v>0.49097967572505141</v>
      </c>
      <c r="J118">
        <v>17.98</v>
      </c>
      <c r="K118">
        <v>8.59</v>
      </c>
      <c r="L118">
        <v>1.26</v>
      </c>
      <c r="M118" s="1">
        <f>IF(ISNUMBER(Main_S[[#This Row],[EPS]]),IF(Main_S[[#This Row],[EPS]]&lt;&gt;0,Main_S[[#This Row],[Current Price]]/Main_S[[#This Row],[EPS]],""),"")</f>
        <v>2.9757785467128031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-1.6727327779854868</v>
      </c>
      <c r="P118" s="1">
        <f>(Main_S[[#This Row],[P/B]]-VLOOKUP(Main_S[[#This Row],[Industry]], Mean_PB_S, 2, FALSE))/(VLOOKUP(Main_S[[#This Row],[Industry]], Mean_PB_S, 3, FALSE))</f>
        <v>-0.22887119783885901</v>
      </c>
      <c r="Q118" s="1">
        <f>(Main_S[[#This Row],[ROE]]-VLOOKUP(Main_S[[#This Row],[Industry]], Mean_ROE_S, 2, FALSE))/(VLOOKUP(Main_S[[#This Row],[Industry]], Mean_ROE_S, 3, FALSE))</f>
        <v>1.4808379330924215</v>
      </c>
      <c r="R118" s="1">
        <f>(Main_S[[#This Row],[ROA]]-VLOOKUP(Main_S[[#This Row],[Industry]], Mean_ROA_S, 2, FALSE))/(VLOOKUP(Main_S[[#This Row],[Industry]], Mean_ROA_S, 3, FALSE))</f>
        <v>0.84942244523467214</v>
      </c>
      <c r="S118" s="1">
        <f>(Main_S[[#This Row],[A/E]]-VLOOKUP(Main_S[[#This Row],[Industry]], Mean_AE_S, 2, FALSE))/(VLOOKUP(Main_S[[#This Row],[Industry]], Mean_AE_S, 3, FALSE))</f>
        <v>-1.006599246715431</v>
      </c>
      <c r="T118" s="1">
        <f>(Main_S[[#This Row],[P/E]]-VLOOKUP(Main_S[[#This Row],[Industry]], Mean_PE_S, 2, FALSE))/(VLOOKUP(Main_S[[#This Row],[Industry]], Mean_PE_S, 3, FALSE))</f>
        <v>-0.35212489625386306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t="s">
        <v>250</v>
      </c>
      <c r="B119" t="s">
        <v>573</v>
      </c>
      <c r="C119" s="2">
        <v>643</v>
      </c>
      <c r="D119">
        <f>RTD("tos.rtd", , "LAST", Main_S[[#This Row],[Symbol]])</f>
        <v>13.5</v>
      </c>
      <c r="E119">
        <v>0.97</v>
      </c>
      <c r="F119">
        <v>21.75</v>
      </c>
      <c r="G119">
        <v>1.58</v>
      </c>
      <c r="H119" s="1">
        <f>IF(ISNUMBER(Main_S[[#This Row],[Free CF]]),IF(Main_S[[#This Row],[Free CF]]&lt;&gt;0,Main_S[[#This Row],[Current Price]]/Main_S[[#This Row],[Free CF]],""),"")</f>
        <v>13.917525773195877</v>
      </c>
      <c r="I119" s="1">
        <f>IF(ISNUMBER(Main_S[[#This Row],[BVPS]]),IF(Main_S[[#This Row],[BVPS]]&lt;&gt;0,Main_S[[#This Row],[Current Price]]/Main_S[[#This Row],[BVPS]],""),"")</f>
        <v>0.62068965517241381</v>
      </c>
      <c r="J119">
        <v>7.48</v>
      </c>
      <c r="K119">
        <v>4.8499999999999996</v>
      </c>
      <c r="L119">
        <v>1.1200000000000001</v>
      </c>
      <c r="M119" s="1">
        <f>IF(ISNUMBER(Main_S[[#This Row],[EPS]]),IF(Main_S[[#This Row],[EPS]]&lt;&gt;0,Main_S[[#This Row],[Current Price]]/Main_S[[#This Row],[EPS]],""),"")</f>
        <v>8.5443037974683538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2.6271792289117308</v>
      </c>
      <c r="P119" s="1">
        <f>(Main_S[[#This Row],[P/B]]-VLOOKUP(Main_S[[#This Row],[Industry]], Mean_PB_S, 2, FALSE))/(VLOOKUP(Main_S[[#This Row],[Industry]], Mean_PB_S, 3, FALSE))</f>
        <v>1.0609465781879355</v>
      </c>
      <c r="Q119" s="1">
        <f>(Main_S[[#This Row],[ROE]]-VLOOKUP(Main_S[[#This Row],[Industry]], Mean_ROE_S, 2, FALSE))/(VLOOKUP(Main_S[[#This Row],[Industry]], Mean_ROE_S, 3, FALSE))</f>
        <v>-4.3921736995687386</v>
      </c>
      <c r="R119" s="1">
        <f>(Main_S[[#This Row],[ROA]]-VLOOKUP(Main_S[[#This Row],[Industry]], Mean_ROA_S, 2, FALSE))/(VLOOKUP(Main_S[[#This Row],[Industry]], Mean_ROA_S, 3, FALSE))</f>
        <v>-0.85550060226676294</v>
      </c>
      <c r="S119" s="1">
        <f>(Main_S[[#This Row],[A/E]]-VLOOKUP(Main_S[[#This Row],[Industry]], Mean_AE_S, 2, FALSE))/(VLOOKUP(Main_S[[#This Row],[Industry]], Mean_AE_S, 3, FALSE))</f>
        <v>-1.4272675886263573</v>
      </c>
      <c r="T119" s="1">
        <f>(Main_S[[#This Row],[P/E]]-VLOOKUP(Main_S[[#This Row],[Industry]], Mean_PE_S, 2, FALSE))/(VLOOKUP(Main_S[[#This Row],[Industry]], Mean_PE_S, 3, FALSE))</f>
        <v>11.934529873509941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0" spans="1:26" x14ac:dyDescent="0.25">
      <c r="A120" t="s">
        <v>250</v>
      </c>
      <c r="B120" t="s">
        <v>574</v>
      </c>
      <c r="C120" s="2">
        <v>780</v>
      </c>
      <c r="D120">
        <f>RTD("tos.rtd", , "LAST", Main_S[[#This Row],[Symbol]])</f>
        <v>25.65</v>
      </c>
      <c r="E120">
        <v>11.31</v>
      </c>
      <c r="F120">
        <v>39.15</v>
      </c>
      <c r="G120">
        <v>8.9600000000000009</v>
      </c>
      <c r="H120" s="1">
        <f>IF(ISNUMBER(Main_S[[#This Row],[Free CF]]),IF(Main_S[[#This Row],[Free CF]]&lt;&gt;0,Main_S[[#This Row],[Current Price]]/Main_S[[#This Row],[Free CF]],""),"")</f>
        <v>2.2679045092838193</v>
      </c>
      <c r="I120" s="1">
        <f>IF(ISNUMBER(Main_S[[#This Row],[BVPS]]),IF(Main_S[[#This Row],[BVPS]]&lt;&gt;0,Main_S[[#This Row],[Current Price]]/Main_S[[#This Row],[BVPS]],""),"")</f>
        <v>0.65517241379310343</v>
      </c>
      <c r="J120">
        <v>25.95</v>
      </c>
      <c r="K120">
        <v>10.75</v>
      </c>
      <c r="L120">
        <v>1.61</v>
      </c>
      <c r="M120" s="1">
        <f>IF(ISNUMBER(Main_S[[#This Row],[EPS]]),IF(Main_S[[#This Row],[EPS]]&lt;&gt;0,Main_S[[#This Row],[Current Price]]/Main_S[[#This Row],[EPS]],""),"")</f>
        <v>2.862723214285714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0.90490938436999724</v>
      </c>
      <c r="P120" s="1">
        <f>(Main_S[[#This Row],[P/B]]-VLOOKUP(Main_S[[#This Row],[Industry]], Mean_PB_S, 2, FALSE))/(VLOOKUP(Main_S[[#This Row],[Industry]], Mean_PB_S, 3, FALSE))</f>
        <v>1.4038382756880161</v>
      </c>
      <c r="Q120" s="1">
        <f>(Main_S[[#This Row],[ROE]]-VLOOKUP(Main_S[[#This Row],[Industry]], Mean_ROE_S, 2, FALSE))/(VLOOKUP(Main_S[[#This Row],[Industry]], Mean_ROE_S, 3, FALSE))</f>
        <v>5.938733429502844</v>
      </c>
      <c r="R120" s="1">
        <f>(Main_S[[#This Row],[ROA]]-VLOOKUP(Main_S[[#This Row],[Industry]], Mean_ROA_S, 2, FALSE))/(VLOOKUP(Main_S[[#This Row],[Industry]], Mean_ROA_S, 3, FALSE))</f>
        <v>1.834083884433362</v>
      </c>
      <c r="S120" s="1">
        <f>(Main_S[[#This Row],[A/E]]-VLOOKUP(Main_S[[#This Row],[Industry]], Mean_AE_S, 2, FALSE))/(VLOOKUP(Main_S[[#This Row],[Industry]], Mean_AE_S, 3, FALSE))</f>
        <v>4.507160806188535E-2</v>
      </c>
      <c r="T120" s="1">
        <f>(Main_S[[#This Row],[P/E]]-VLOOKUP(Main_S[[#This Row],[Industry]], Mean_PE_S, 2, FALSE))/(VLOOKUP(Main_S[[#This Row],[Industry]], Mean_PE_S, 3, FALSE))</f>
        <v>-0.60157547371583187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t="s">
        <v>250</v>
      </c>
      <c r="B121" t="s">
        <v>575</v>
      </c>
      <c r="C121" s="2">
        <v>1455</v>
      </c>
      <c r="D121">
        <f>RTD("tos.rtd", , "LAST", Main_S[[#This Row],[Symbol]])</f>
        <v>38.99</v>
      </c>
      <c r="E121">
        <v>-9.89</v>
      </c>
      <c r="F121">
        <v>99.1</v>
      </c>
      <c r="G121">
        <v>13.27</v>
      </c>
      <c r="H121" s="1">
        <f>IF(ISNUMBER(Main_S[[#This Row],[Free CF]]),IF(Main_S[[#This Row],[Free CF]]&lt;&gt;0,Main_S[[#This Row],[Current Price]]/Main_S[[#This Row],[Free CF]],""),"")</f>
        <v>-3.9423660262891809</v>
      </c>
      <c r="I121" s="1">
        <f>IF(ISNUMBER(Main_S[[#This Row],[BVPS]]),IF(Main_S[[#This Row],[BVPS]]&lt;&gt;0,Main_S[[#This Row],[Current Price]]/Main_S[[#This Row],[BVPS]],""),"")</f>
        <v>0.39344096871846623</v>
      </c>
      <c r="J121">
        <v>14.3</v>
      </c>
      <c r="K121">
        <v>5.15</v>
      </c>
      <c r="L121">
        <v>1.84</v>
      </c>
      <c r="M121" s="1">
        <f>IF(ISNUMBER(Main_S[[#This Row],[EPS]]),IF(Main_S[[#This Row],[EPS]]&lt;&gt;0,Main_S[[#This Row],[Current Price]]/Main_S[[#This Row],[EPS]],""),"")</f>
        <v>2.9382064807837227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-1.3211593776864738E-2</v>
      </c>
      <c r="P121" s="1">
        <f>(Main_S[[#This Row],[P/B]]-VLOOKUP(Main_S[[#This Row],[Industry]], Mean_PB_S, 2, FALSE))/(VLOOKUP(Main_S[[#This Row],[Industry]], Mean_PB_S, 3, FALSE))</f>
        <v>-1.1987823695449389</v>
      </c>
      <c r="Q121" s="1">
        <f>(Main_S[[#This Row],[ROE]]-VLOOKUP(Main_S[[#This Row],[Industry]], Mean_ROE_S, 2, FALSE))/(VLOOKUP(Main_S[[#This Row],[Industry]], Mean_ROE_S, 3, FALSE))</f>
        <v>-0.57751281054501336</v>
      </c>
      <c r="R121" s="1">
        <f>(Main_S[[#This Row],[ROA]]-VLOOKUP(Main_S[[#This Row],[Industry]], Mean_ROA_S, 2, FALSE))/(VLOOKUP(Main_S[[#This Row],[Industry]], Mean_ROA_S, 3, FALSE))</f>
        <v>-0.71874206904472238</v>
      </c>
      <c r="S121" s="1">
        <f>(Main_S[[#This Row],[A/E]]-VLOOKUP(Main_S[[#This Row],[Industry]], Mean_AE_S, 2, FALSE))/(VLOOKUP(Main_S[[#This Row],[Industry]], Mean_AE_S, 3, FALSE))</f>
        <v>0.73616959834412166</v>
      </c>
      <c r="T121" s="1">
        <f>(Main_S[[#This Row],[P/E]]-VLOOKUP(Main_S[[#This Row],[Industry]], Mean_PE_S, 2, FALSE))/(VLOOKUP(Main_S[[#This Row],[Industry]], Mean_PE_S, 3, FALSE))</f>
        <v>-0.43502566122656022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t="s">
        <v>250</v>
      </c>
      <c r="B122" t="s">
        <v>576</v>
      </c>
      <c r="C122" s="2">
        <v>410</v>
      </c>
      <c r="D122">
        <f>RTD("tos.rtd", , "LAST", Main_S[[#This Row],[Symbol]])</f>
        <v>3.76</v>
      </c>
      <c r="E122">
        <v>-0.71</v>
      </c>
      <c r="F122">
        <v>7.73</v>
      </c>
      <c r="G122">
        <v>0.9</v>
      </c>
      <c r="H122" s="1">
        <f>IF(ISNUMBER(Main_S[[#This Row],[Free CF]]),IF(Main_S[[#This Row],[Free CF]]&lt;&gt;0,Main_S[[#This Row],[Current Price]]/Main_S[[#This Row],[Free CF]],""),"")</f>
        <v>-5.295774647887324</v>
      </c>
      <c r="I122" s="1">
        <f>IF(ISNUMBER(Main_S[[#This Row],[BVPS]]),IF(Main_S[[#This Row],[BVPS]]&lt;&gt;0,Main_S[[#This Row],[Current Price]]/Main_S[[#This Row],[BVPS]],""),"")</f>
        <v>0.4864165588615782</v>
      </c>
      <c r="J122">
        <v>13.22</v>
      </c>
      <c r="K122">
        <v>5.86</v>
      </c>
      <c r="L122">
        <v>1.63</v>
      </c>
      <c r="M122" s="1">
        <f>IF(ISNUMBER(Main_S[[#This Row],[EPS]]),IF(Main_S[[#This Row],[EPS]]&lt;&gt;0,Main_S[[#This Row],[Current Price]]/Main_S[[#This Row],[EPS]],""),"")</f>
        <v>4.1777777777777771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-0.21329834368194495</v>
      </c>
      <c r="P122" s="1">
        <f>(Main_S[[#This Row],[P/B]]-VLOOKUP(Main_S[[#This Row],[Industry]], Mean_PB_S, 2, FALSE))/(VLOOKUP(Main_S[[#This Row],[Industry]], Mean_PB_S, 3, FALSE))</f>
        <v>-0.27424618956787872</v>
      </c>
      <c r="Q122" s="1">
        <f>(Main_S[[#This Row],[ROE]]-VLOOKUP(Main_S[[#This Row],[Industry]], Mean_ROE_S, 2, FALSE))/(VLOOKUP(Main_S[[#This Row],[Industry]], Mean_ROE_S, 3, FALSE))</f>
        <v>-1.1815940070473041</v>
      </c>
      <c r="R122" s="1">
        <f>(Main_S[[#This Row],[ROA]]-VLOOKUP(Main_S[[#This Row],[Industry]], Mean_ROA_S, 2, FALSE))/(VLOOKUP(Main_S[[#This Row],[Industry]], Mean_ROA_S, 3, FALSE))</f>
        <v>-0.39508020708589386</v>
      </c>
      <c r="S122" s="1">
        <f>(Main_S[[#This Row],[A/E]]-VLOOKUP(Main_S[[#This Row],[Industry]], Mean_AE_S, 2, FALSE))/(VLOOKUP(Main_S[[#This Row],[Industry]], Mean_AE_S, 3, FALSE))</f>
        <v>0.10516708547773138</v>
      </c>
      <c r="T122" s="1">
        <f>(Main_S[[#This Row],[P/E]]-VLOOKUP(Main_S[[#This Row],[Industry]], Mean_PE_S, 2, FALSE))/(VLOOKUP(Main_S[[#This Row],[Industry]], Mean_PE_S, 3, FALSE))</f>
        <v>2.300022471420021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t="s">
        <v>230</v>
      </c>
      <c r="B123" t="s">
        <v>564</v>
      </c>
      <c r="C123" s="2">
        <v>1465</v>
      </c>
      <c r="D123">
        <f>RTD("tos.rtd", , "LAST", Main_S[[#This Row],[Symbol]])</f>
        <v>57.17</v>
      </c>
      <c r="E123">
        <v>-9.8000000000000007</v>
      </c>
      <c r="F123">
        <v>73.209999999999994</v>
      </c>
      <c r="G123">
        <v>-1.47</v>
      </c>
      <c r="H123" s="1">
        <f>IF(ISNUMBER(Main_S[[#This Row],[Free CF]]),IF(Main_S[[#This Row],[Free CF]]&lt;&gt;0,Main_S[[#This Row],[Current Price]]/Main_S[[#This Row],[Free CF]],""),"")</f>
        <v>-5.8336734693877546</v>
      </c>
      <c r="I123" s="1">
        <f>IF(ISNUMBER(Main_S[[#This Row],[BVPS]]),IF(Main_S[[#This Row],[BVPS]]&lt;&gt;0,Main_S[[#This Row],[Current Price]]/Main_S[[#This Row],[BVPS]],""),"")</f>
        <v>0.78090424805354464</v>
      </c>
      <c r="J123">
        <v>-1.96</v>
      </c>
      <c r="K123">
        <v>1.0900000000000001</v>
      </c>
      <c r="L123">
        <v>3.68</v>
      </c>
      <c r="M123" s="1">
        <f>IF(ISNUMBER(Main_S[[#This Row],[EPS]]),IF(Main_S[[#This Row],[EPS]]&lt;&gt;0,Main_S[[#This Row],[Current Price]]/Main_S[[#This Row],[EPS]],""),"")</f>
        <v>-38.891156462585037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-0.79580537730810907</v>
      </c>
      <c r="P123" s="1">
        <f>(Main_S[[#This Row],[P/B]]-VLOOKUP(Main_S[[#This Row],[Industry]], Mean_PB_S, 2, FALSE))/(VLOOKUP(Main_S[[#This Row],[Industry]], Mean_PB_S, 3, FALSE))</f>
        <v>-0.33395669936915173</v>
      </c>
      <c r="Q123" s="1">
        <f>(Main_S[[#This Row],[ROE]]-VLOOKUP(Main_S[[#This Row],[Industry]], Mean_ROE_S, 2, FALSE))/(VLOOKUP(Main_S[[#This Row],[Industry]], Mean_ROE_S, 3, FALSE))</f>
        <v>-0.21751364604198009</v>
      </c>
      <c r="R123" s="1">
        <f>(Main_S[[#This Row],[ROA]]-VLOOKUP(Main_S[[#This Row],[Industry]], Mean_ROA_S, 2, FALSE))/(VLOOKUP(Main_S[[#This Row],[Industry]], Mean_ROA_S, 3, FALSE))</f>
        <v>0.31377453915645692</v>
      </c>
      <c r="S123" s="1">
        <f>(Main_S[[#This Row],[A/E]]-VLOOKUP(Main_S[[#This Row],[Industry]], Mean_AE_S, 2, FALSE))/(VLOOKUP(Main_S[[#This Row],[Industry]], Mean_AE_S, 3, FALSE))</f>
        <v>-7.4222433040983316E-4</v>
      </c>
      <c r="T123" s="1">
        <f>(Main_S[[#This Row],[P/E]]-VLOOKUP(Main_S[[#This Row],[Industry]], Mean_PE_S, 2, FALSE))/(VLOOKUP(Main_S[[#This Row],[Industry]], Mean_PE_S, 3, FALSE))</f>
        <v>-1.8527287826962902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t="s">
        <v>230</v>
      </c>
      <c r="B124" t="s">
        <v>565</v>
      </c>
      <c r="C124" s="2">
        <v>256</v>
      </c>
      <c r="D124">
        <f>RTD("tos.rtd", , "LAST", Main_S[[#This Row],[Symbol]])</f>
        <v>0.5</v>
      </c>
      <c r="E124">
        <v>1.17</v>
      </c>
      <c r="F124">
        <v>-13.74</v>
      </c>
      <c r="G124">
        <v>-2.5299999999999998</v>
      </c>
      <c r="H124" s="1">
        <f>IF(ISNUMBER(Main_S[[#This Row],[Free CF]]),IF(Main_S[[#This Row],[Free CF]]&lt;&gt;0,Main_S[[#This Row],[Current Price]]/Main_S[[#This Row],[Free CF]],""),"")</f>
        <v>0.42735042735042739</v>
      </c>
      <c r="I124" s="1">
        <f>IF(ISNUMBER(Main_S[[#This Row],[BVPS]]),IF(Main_S[[#This Row],[BVPS]]&lt;&gt;0,Main_S[[#This Row],[Current Price]]/Main_S[[#This Row],[BVPS]],""),"")</f>
        <v>-3.6390101892285295E-2</v>
      </c>
      <c r="J124">
        <v>20.25</v>
      </c>
      <c r="K124">
        <v>7.33</v>
      </c>
      <c r="L124">
        <v>-0.9</v>
      </c>
      <c r="M124" s="1">
        <f>IF(ISNUMBER(Main_S[[#This Row],[EPS]]),IF(Main_S[[#This Row],[EPS]]&lt;&gt;0,Main_S[[#This Row],[Current Price]]/Main_S[[#This Row],[EPS]],""),"")</f>
        <v>-0.19762845849802374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0.19328874110434208</v>
      </c>
      <c r="P124" s="1">
        <f>(Main_S[[#This Row],[P/B]]-VLOOKUP(Main_S[[#This Row],[Industry]], Mean_PB_S, 2, FALSE))/(VLOOKUP(Main_S[[#This Row],[Industry]], Mean_PB_S, 3, FALSE))</f>
        <v>-1.6792200825638435</v>
      </c>
      <c r="Q124" s="1">
        <f>(Main_S[[#This Row],[ROE]]-VLOOKUP(Main_S[[#This Row],[Industry]], Mean_ROE_S, 2, FALSE))/(VLOOKUP(Main_S[[#This Row],[Industry]], Mean_ROE_S, 3, FALSE))</f>
        <v>1.4279148548409826</v>
      </c>
      <c r="R124" s="1">
        <f>(Main_S[[#This Row],[ROA]]-VLOOKUP(Main_S[[#This Row],[Industry]], Mean_ROA_S, 2, FALSE))/(VLOOKUP(Main_S[[#This Row],[Industry]], Mean_ROA_S, 3, FALSE))</f>
        <v>1.1330017878327294</v>
      </c>
      <c r="S124" s="1">
        <f>(Main_S[[#This Row],[A/E]]-VLOOKUP(Main_S[[#This Row],[Industry]], Mean_AE_S, 2, FALSE))/(VLOOKUP(Main_S[[#This Row],[Industry]], Mean_AE_S, 3, FALSE))</f>
        <v>-0.59563502515393019</v>
      </c>
      <c r="T124" s="1">
        <f>(Main_S[[#This Row],[P/E]]-VLOOKUP(Main_S[[#This Row],[Industry]], Mean_PE_S, 2, FALSE))/(VLOOKUP(Main_S[[#This Row],[Industry]], Mean_PE_S, 3, FALSE))</f>
        <v>5.126718609461052E-2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t="s">
        <v>230</v>
      </c>
      <c r="B125" t="s">
        <v>566</v>
      </c>
      <c r="C125" s="2">
        <v>370</v>
      </c>
      <c r="D125">
        <f>RTD("tos.rtd", , "LAST", Main_S[[#This Row],[Symbol]])</f>
        <v>4.24</v>
      </c>
      <c r="E125">
        <v>-0.5</v>
      </c>
      <c r="F125">
        <v>2.98</v>
      </c>
      <c r="G125">
        <v>-0.68</v>
      </c>
      <c r="H125" s="1">
        <f>IF(ISNUMBER(Main_S[[#This Row],[Free CF]]),IF(Main_S[[#This Row],[Free CF]]&lt;&gt;0,Main_S[[#This Row],[Current Price]]/Main_S[[#This Row],[Free CF]],""),"")</f>
        <v>-8.48</v>
      </c>
      <c r="I125" s="1">
        <f>IF(ISNUMBER(Main_S[[#This Row],[BVPS]]),IF(Main_S[[#This Row],[BVPS]]&lt;&gt;0,Main_S[[#This Row],[Current Price]]/Main_S[[#This Row],[BVPS]],""),"")</f>
        <v>1.4228187919463089</v>
      </c>
      <c r="J125">
        <v>-20.73</v>
      </c>
      <c r="K125">
        <v>-7.14</v>
      </c>
      <c r="L125">
        <v>1.21</v>
      </c>
      <c r="M125" s="1">
        <f>IF(ISNUMBER(Main_S[[#This Row],[EPS]]),IF(Main_S[[#This Row],[EPS]]&lt;&gt;0,Main_S[[#This Row],[Current Price]]/Main_S[[#This Row],[EPS]],""),"")</f>
        <v>-6.2352941176470589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-1.2138625593276549</v>
      </c>
      <c r="P125" s="1">
        <f>(Main_S[[#This Row],[P/B]]-VLOOKUP(Main_S[[#This Row],[Industry]], Mean_PB_S, 2, FALSE))/(VLOOKUP(Main_S[[#This Row],[Industry]], Mean_PB_S, 3, FALSE))</f>
        <v>0.72263219188684813</v>
      </c>
      <c r="Q125" s="1">
        <f>(Main_S[[#This Row],[ROE]]-VLOOKUP(Main_S[[#This Row],[Industry]], Mean_ROE_S, 2, FALSE))/(VLOOKUP(Main_S[[#This Row],[Industry]], Mean_ROE_S, 3, FALSE))</f>
        <v>-1.6080896461128134</v>
      </c>
      <c r="R125" s="1">
        <f>(Main_S[[#This Row],[ROA]]-VLOOKUP(Main_S[[#This Row],[Industry]], Mean_ROA_S, 2, FALSE))/(VLOOKUP(Main_S[[#This Row],[Industry]], Mean_ROA_S, 3, FALSE))</f>
        <v>-0.76671268145343452</v>
      </c>
      <c r="S125" s="1">
        <f>(Main_S[[#This Row],[A/E]]-VLOOKUP(Main_S[[#This Row],[Industry]], Mean_AE_S, 2, FALSE))/(VLOOKUP(Main_S[[#This Row],[Industry]], Mean_AE_S, 3, FALSE))</f>
        <v>-0.32156869115008135</v>
      </c>
      <c r="T125" s="1">
        <f>(Main_S[[#This Row],[P/E]]-VLOOKUP(Main_S[[#This Row],[Industry]], Mean_PE_S, 2, FALSE))/(VLOOKUP(Main_S[[#This Row],[Industry]], Mean_PE_S, 3, FALSE))</f>
        <v>-0.24582877979179776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t="s">
        <v>230</v>
      </c>
      <c r="B126" t="s">
        <v>567</v>
      </c>
      <c r="C126" s="2">
        <v>758</v>
      </c>
      <c r="D126">
        <f>RTD("tos.rtd", , "LAST", Main_S[[#This Row],[Symbol]])</f>
        <v>11.88</v>
      </c>
      <c r="E126">
        <v>1.8</v>
      </c>
      <c r="F126">
        <v>10.44</v>
      </c>
      <c r="G126">
        <v>0.82</v>
      </c>
      <c r="H126" s="1">
        <f>IF(ISNUMBER(Main_S[[#This Row],[Free CF]]),IF(Main_S[[#This Row],[Free CF]]&lt;&gt;0,Main_S[[#This Row],[Current Price]]/Main_S[[#This Row],[Free CF]],""),"")</f>
        <v>6.6000000000000005</v>
      </c>
      <c r="I126" s="1">
        <f>IF(ISNUMBER(Main_S[[#This Row],[BVPS]]),IF(Main_S[[#This Row],[BVPS]]&lt;&gt;0,Main_S[[#This Row],[Current Price]]/Main_S[[#This Row],[BVPS]],""),"")</f>
        <v>1.1379310344827587</v>
      </c>
      <c r="J126">
        <v>8.42</v>
      </c>
      <c r="K126">
        <v>3.78</v>
      </c>
      <c r="L126">
        <v>2.91</v>
      </c>
      <c r="M126" s="1">
        <f>IF(ISNUMBER(Main_S[[#This Row],[EPS]]),IF(Main_S[[#This Row],[EPS]]&lt;&gt;0,Main_S[[#This Row],[Current Price]]/Main_S[[#This Row],[EPS]],""),"")</f>
        <v>14.487804878048783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1.1684218004925244</v>
      </c>
      <c r="P126" s="1">
        <f>(Main_S[[#This Row],[P/B]]-VLOOKUP(Main_S[[#This Row],[Industry]], Mean_PB_S, 2, FALSE))/(VLOOKUP(Main_S[[#This Row],[Industry]], Mean_PB_S, 3, FALSE))</f>
        <v>0.25370802954366528</v>
      </c>
      <c r="Q126" s="1">
        <f>(Main_S[[#This Row],[ROE]]-VLOOKUP(Main_S[[#This Row],[Industry]], Mean_ROE_S, 2, FALSE))/(VLOOKUP(Main_S[[#This Row],[Industry]], Mean_ROE_S, 3, FALSE))</f>
        <v>0.55148895815275878</v>
      </c>
      <c r="R126" s="1">
        <f>(Main_S[[#This Row],[ROA]]-VLOOKUP(Main_S[[#This Row],[Industry]], Mean_ROA_S, 2, FALSE))/(VLOOKUP(Main_S[[#This Row],[Industry]], Mean_ROA_S, 3, FALSE))</f>
        <v>0.66693500373004222</v>
      </c>
      <c r="S126" s="1">
        <f>(Main_S[[#This Row],[A/E]]-VLOOKUP(Main_S[[#This Row],[Industry]], Mean_AE_S, 2, FALSE))/(VLOOKUP(Main_S[[#This Row],[Industry]], Mean_AE_S, 3, FALSE))</f>
        <v>-0.10075695285314143</v>
      </c>
      <c r="T126" s="1">
        <f>(Main_S[[#This Row],[P/E]]-VLOOKUP(Main_S[[#This Row],[Industry]], Mean_PE_S, 2, FALSE))/(VLOOKUP(Main_S[[#This Row],[Industry]], Mean_PE_S, 3, FALSE))</f>
        <v>0.77389464642284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t="s">
        <v>230</v>
      </c>
      <c r="B127" t="s">
        <v>568</v>
      </c>
      <c r="C127" s="2">
        <v>1309</v>
      </c>
      <c r="D127">
        <f>RTD("tos.rtd", , "LAST", Main_S[[#This Row],[Symbol]])</f>
        <v>3.99</v>
      </c>
      <c r="E127">
        <v>-1.27</v>
      </c>
      <c r="F127">
        <v>2.4500000000000002</v>
      </c>
      <c r="G127">
        <v>-0.03</v>
      </c>
      <c r="H127" s="1">
        <f>IF(ISNUMBER(Main_S[[#This Row],[Free CF]]),IF(Main_S[[#This Row],[Free CF]]&lt;&gt;0,Main_S[[#This Row],[Current Price]]/Main_S[[#This Row],[Free CF]],""),"")</f>
        <v>-3.1417322834645671</v>
      </c>
      <c r="I127" s="1">
        <f>IF(ISNUMBER(Main_S[[#This Row],[BVPS]]),IF(Main_S[[#This Row],[BVPS]]&lt;&gt;0,Main_S[[#This Row],[Current Price]]/Main_S[[#This Row],[BVPS]],""),"")</f>
        <v>1.6285714285714286</v>
      </c>
      <c r="J127">
        <v>-1.1000000000000001</v>
      </c>
      <c r="K127">
        <v>-3.46</v>
      </c>
      <c r="L127">
        <v>10.61</v>
      </c>
      <c r="M127" s="1">
        <f>IF(ISNUMBER(Main_S[[#This Row],[EPS]]),IF(Main_S[[#This Row],[EPS]]&lt;&gt;0,Main_S[[#This Row],[Current Price]]/Main_S[[#This Row],[EPS]],""),"")</f>
        <v>-133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-0.37054215550568242</v>
      </c>
      <c r="P127" s="1">
        <f>(Main_S[[#This Row],[P/B]]-VLOOKUP(Main_S[[#This Row],[Industry]], Mean_PB_S, 2, FALSE))/(VLOOKUP(Main_S[[#This Row],[Industry]], Mean_PB_S, 3, FALSE))</f>
        <v>1.061300247117968</v>
      </c>
      <c r="Q127" s="1">
        <f>(Main_S[[#This Row],[ROE]]-VLOOKUP(Main_S[[#This Row],[Industry]], Mean_ROE_S, 2, FALSE))/(VLOOKUP(Main_S[[#This Row],[Industry]], Mean_ROE_S, 3, FALSE))</f>
        <v>-0.15380052083894777</v>
      </c>
      <c r="R127" s="1">
        <f>(Main_S[[#This Row],[ROA]]-VLOOKUP(Main_S[[#This Row],[Industry]], Mean_ROA_S, 2, FALSE))/(VLOOKUP(Main_S[[#This Row],[Industry]], Mean_ROA_S, 3, FALSE))</f>
        <v>-0.28357866300332513</v>
      </c>
      <c r="S127" s="1">
        <f>(Main_S[[#This Row],[A/E]]-VLOOKUP(Main_S[[#This Row],[Industry]], Mean_AE_S, 2, FALSE))/(VLOOKUP(Main_S[[#This Row],[Industry]], Mean_AE_S, 3, FALSE))</f>
        <v>0.89939033237417443</v>
      </c>
      <c r="T127" s="1">
        <f>(Main_S[[#This Row],[P/E]]-VLOOKUP(Main_S[[#This Row],[Industry]], Mean_PE_S, 2, FALSE))/(VLOOKUP(Main_S[[#This Row],[Industry]], Mean_PE_S, 3, FALSE))</f>
        <v>-6.4835512474734864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8" spans="1:26" x14ac:dyDescent="0.25">
      <c r="A128" t="s">
        <v>230</v>
      </c>
      <c r="B128" t="s">
        <v>569</v>
      </c>
      <c r="C128" s="2">
        <v>1493</v>
      </c>
      <c r="D128">
        <f>RTD("tos.rtd", , "LAST", Main_S[[#This Row],[Symbol]])</f>
        <v>1.62</v>
      </c>
      <c r="E128">
        <v>-0.25</v>
      </c>
      <c r="F128">
        <v>-0.17</v>
      </c>
      <c r="G128">
        <v>-0.53</v>
      </c>
      <c r="H128" s="1">
        <f>IF(ISNUMBER(Main_S[[#This Row],[Free CF]]),IF(Main_S[[#This Row],[Free CF]]&lt;&gt;0,Main_S[[#This Row],[Current Price]]/Main_S[[#This Row],[Free CF]],""),"")</f>
        <v>-6.48</v>
      </c>
      <c r="I128" s="1">
        <f>IF(ISNUMBER(Main_S[[#This Row],[BVPS]]),IF(Main_S[[#This Row],[BVPS]]&lt;&gt;0,Main_S[[#This Row],[Current Price]]/Main_S[[#This Row],[BVPS]],""),"")</f>
        <v>-9.5294117647058822</v>
      </c>
      <c r="J128">
        <v>-2416.9</v>
      </c>
      <c r="K128">
        <v>-16.04</v>
      </c>
      <c r="L128">
        <v>-8.8699999999999992</v>
      </c>
      <c r="M128" s="1">
        <f>IF(ISNUMBER(Main_S[[#This Row],[EPS]]),IF(Main_S[[#This Row],[EPS]]&lt;&gt;0,Main_S[[#This Row],[Current Price]]/Main_S[[#This Row],[EPS]],""),"")</f>
        <v>-3.0566037735849059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-0.89790972646025702</v>
      </c>
      <c r="P128" s="1">
        <f>(Main_S[[#This Row],[P/B]]-VLOOKUP(Main_S[[#This Row],[Industry]], Mean_PB_S, 2, FALSE))/(VLOOKUP(Main_S[[#This Row],[Industry]], Mean_PB_S, 3, FALSE))</f>
        <v>-17.304697537171904</v>
      </c>
      <c r="Q128" s="1">
        <f>(Main_S[[#This Row],[ROE]]-VLOOKUP(Main_S[[#This Row],[Industry]], Mean_ROE_S, 2, FALSE))/(VLOOKUP(Main_S[[#This Row],[Industry]], Mean_ROE_S, 3, FALSE))</f>
        <v>-179.12841431791512</v>
      </c>
      <c r="R128" s="1">
        <f>(Main_S[[#This Row],[ROA]]-VLOOKUP(Main_S[[#This Row],[Industry]], Mean_ROA_S, 2, FALSE))/(VLOOKUP(Main_S[[#This Row],[Industry]], Mean_ROA_S, 3, FALSE))</f>
        <v>-1.9351618021615797</v>
      </c>
      <c r="S128" s="1">
        <f>(Main_S[[#This Row],[A/E]]-VLOOKUP(Main_S[[#This Row],[Industry]], Mean_AE_S, 2, FALSE))/(VLOOKUP(Main_S[[#This Row],[Industry]], Mean_AE_S, 3, FALSE))</f>
        <v>-1.630852409993113</v>
      </c>
      <c r="T128" s="1">
        <f>(Main_S[[#This Row],[P/E]]-VLOOKUP(Main_S[[#This Row],[Industry]], Mean_PE_S, 2, FALSE))/(VLOOKUP(Main_S[[#This Row],[Industry]], Mean_PE_S, 3, FALSE))</f>
        <v>-8.941467352344111E-2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t="s">
        <v>230</v>
      </c>
      <c r="B129" t="s">
        <v>570</v>
      </c>
      <c r="C129" s="2">
        <v>976</v>
      </c>
      <c r="D129">
        <f>RTD("tos.rtd", , "LAST", Main_S[[#This Row],[Symbol]])</f>
        <v>4.99</v>
      </c>
      <c r="E129">
        <v>0.44</v>
      </c>
      <c r="F129">
        <v>0.28000000000000003</v>
      </c>
      <c r="G129">
        <v>0.17</v>
      </c>
      <c r="H129" s="1">
        <f>IF(ISNUMBER(Main_S[[#This Row],[Free CF]]),IF(Main_S[[#This Row],[Free CF]]&lt;&gt;0,Main_S[[#This Row],[Current Price]]/Main_S[[#This Row],[Free CF]],""),"")</f>
        <v>11.340909090909092</v>
      </c>
      <c r="I129" s="1">
        <f>IF(ISNUMBER(Main_S[[#This Row],[BVPS]]),IF(Main_S[[#This Row],[BVPS]]&lt;&gt;0,Main_S[[#This Row],[Current Price]]/Main_S[[#This Row],[BVPS]],""),"")</f>
        <v>17.821428571428569</v>
      </c>
      <c r="J129">
        <v>85.45</v>
      </c>
      <c r="K129">
        <v>5.34</v>
      </c>
      <c r="L129">
        <v>17.16</v>
      </c>
      <c r="M129" s="1">
        <f>IF(ISNUMBER(Main_S[[#This Row],[EPS]]),IF(Main_S[[#This Row],[EPS]]&lt;&gt;0,Main_S[[#This Row],[Current Price]]/Main_S[[#This Row],[EPS]],""),"")</f>
        <v>29.352941176470587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1.9173736293122878</v>
      </c>
      <c r="P129" s="1">
        <f>(Main_S[[#This Row],[P/B]]-VLOOKUP(Main_S[[#This Row],[Industry]], Mean_PB_S, 2, FALSE))/(VLOOKUP(Main_S[[#This Row],[Industry]], Mean_PB_S, 3, FALSE))</f>
        <v>27.7146813515293</v>
      </c>
      <c r="Q129" s="1">
        <f>(Main_S[[#This Row],[ROE]]-VLOOKUP(Main_S[[#This Row],[Industry]], Mean_ROE_S, 2, FALSE))/(VLOOKUP(Main_S[[#This Row],[Industry]], Mean_ROE_S, 3, FALSE))</f>
        <v>6.2582587655825028</v>
      </c>
      <c r="R129" s="1">
        <f>(Main_S[[#This Row],[ROA]]-VLOOKUP(Main_S[[#This Row],[Industry]], Mean_ROA_S, 2, FALSE))/(VLOOKUP(Main_S[[#This Row],[Industry]], Mean_ROA_S, 3, FALSE))</f>
        <v>0.87174181589911048</v>
      </c>
      <c r="S129" s="1">
        <f>(Main_S[[#This Row],[A/E]]-VLOOKUP(Main_S[[#This Row],[Industry]], Mean_AE_S, 2, FALSE))/(VLOOKUP(Main_S[[#This Row],[Industry]], Mean_AE_S, 3, FALSE))</f>
        <v>1.7501649711065017</v>
      </c>
      <c r="T129" s="1">
        <f>(Main_S[[#This Row],[P/E]]-VLOOKUP(Main_S[[#This Row],[Industry]], Mean_PE_S, 2, FALSE))/(VLOOKUP(Main_S[[#This Row],[Industry]], Mean_PE_S, 3, FALSE))</f>
        <v>1.5053647668195347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t="s">
        <v>205</v>
      </c>
      <c r="B130" t="s">
        <v>538</v>
      </c>
      <c r="C130" s="2">
        <v>1130</v>
      </c>
      <c r="D130">
        <f>RTD("tos.rtd", , "LAST", Main_S[[#This Row],[Symbol]])</f>
        <v>42.1</v>
      </c>
      <c r="E130">
        <v>-0.03</v>
      </c>
      <c r="F130">
        <v>8.3000000000000007</v>
      </c>
      <c r="G130">
        <v>1.89</v>
      </c>
      <c r="H130" s="1">
        <f>IF(ISNUMBER(Main_S[[#This Row],[Free CF]]),IF(Main_S[[#This Row],[Free CF]]&lt;&gt;0,Main_S[[#This Row],[Current Price]]/Main_S[[#This Row],[Free CF]],""),"")</f>
        <v>-1403.3333333333335</v>
      </c>
      <c r="I130" s="1">
        <f>IF(ISNUMBER(Main_S[[#This Row],[BVPS]]),IF(Main_S[[#This Row],[BVPS]]&lt;&gt;0,Main_S[[#This Row],[Current Price]]/Main_S[[#This Row],[BVPS]],""),"")</f>
        <v>5.072289156626506</v>
      </c>
      <c r="J130">
        <v>25.64</v>
      </c>
      <c r="K130">
        <v>5.0599999999999996</v>
      </c>
      <c r="L130">
        <v>3.37</v>
      </c>
      <c r="M130" s="1">
        <f>IF(ISNUMBER(Main_S[[#This Row],[EPS]]),IF(Main_S[[#This Row],[EPS]]&lt;&gt;0,Main_S[[#This Row],[Current Price]]/Main_S[[#This Row],[EPS]],""),"")</f>
        <v>22.275132275132275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-129.90480235543373</v>
      </c>
      <c r="P130" s="1">
        <f>(Main_S[[#This Row],[P/B]]-VLOOKUP(Main_S[[#This Row],[Industry]], Mean_PB_S, 2, FALSE))/(VLOOKUP(Main_S[[#This Row],[Industry]], Mean_PB_S, 3, FALSE))</f>
        <v>1.328421456208533</v>
      </c>
      <c r="Q130" s="1">
        <f>(Main_S[[#This Row],[ROE]]-VLOOKUP(Main_S[[#This Row],[Industry]], Mean_ROE_S, 2, FALSE))/(VLOOKUP(Main_S[[#This Row],[Industry]], Mean_ROE_S, 3, FALSE))</f>
        <v>0.84248802658557986</v>
      </c>
      <c r="R130" s="1">
        <f>(Main_S[[#This Row],[ROA]]-VLOOKUP(Main_S[[#This Row],[Industry]], Mean_ROA_S, 2, FALSE))/(VLOOKUP(Main_S[[#This Row],[Industry]], Mean_ROA_S, 3, FALSE))</f>
        <v>5.9751070555962855E-2</v>
      </c>
      <c r="S130" s="1">
        <f>(Main_S[[#This Row],[A/E]]-VLOOKUP(Main_S[[#This Row],[Industry]], Mean_AE_S, 2, FALSE))/(VLOOKUP(Main_S[[#This Row],[Industry]], Mean_AE_S, 3, FALSE))</f>
        <v>1.1247432332146465</v>
      </c>
      <c r="T130" s="1">
        <f>(Main_S[[#This Row],[P/E]]-VLOOKUP(Main_S[[#This Row],[Industry]], Mean_PE_S, 2, FALSE))/(VLOOKUP(Main_S[[#This Row],[Industry]], Mean_PE_S, 3, FALSE))</f>
        <v>0.3456724111355487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t="s">
        <v>205</v>
      </c>
      <c r="B131" t="s">
        <v>539</v>
      </c>
      <c r="C131" s="2">
        <v>1247</v>
      </c>
      <c r="D131">
        <f>RTD("tos.rtd", , "LAST", Main_S[[#This Row],[Symbol]])</f>
        <v>32.18</v>
      </c>
      <c r="E131">
        <v>2.1</v>
      </c>
      <c r="F131">
        <v>9.16</v>
      </c>
      <c r="G131">
        <v>0.25</v>
      </c>
      <c r="H131" s="1">
        <f>IF(ISNUMBER(Main_S[[#This Row],[Free CF]]),IF(Main_S[[#This Row],[Free CF]]&lt;&gt;0,Main_S[[#This Row],[Current Price]]/Main_S[[#This Row],[Free CF]],""),"")</f>
        <v>15.323809523809523</v>
      </c>
      <c r="I131" s="1">
        <f>IF(ISNUMBER(Main_S[[#This Row],[BVPS]]),IF(Main_S[[#This Row],[BVPS]]&lt;&gt;0,Main_S[[#This Row],[Current Price]]/Main_S[[#This Row],[BVPS]],""),"")</f>
        <v>3.5131004366812224</v>
      </c>
      <c r="J131">
        <v>3.12</v>
      </c>
      <c r="K131">
        <v>-0.62</v>
      </c>
      <c r="L131">
        <v>3.19</v>
      </c>
      <c r="M131" s="1">
        <f>IF(ISNUMBER(Main_S[[#This Row],[EPS]]),IF(Main_S[[#This Row],[EPS]]&lt;&gt;0,Main_S[[#This Row],[Current Price]]/Main_S[[#This Row],[EPS]],""),"")</f>
        <v>128.72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0.52802010294457169</v>
      </c>
      <c r="P131" s="1">
        <f>(Main_S[[#This Row],[P/B]]-VLOOKUP(Main_S[[#This Row],[Industry]], Mean_PB_S, 2, FALSE))/(VLOOKUP(Main_S[[#This Row],[Industry]], Mean_PB_S, 3, FALSE))</f>
        <v>0.50444251801541085</v>
      </c>
      <c r="Q131" s="1">
        <f>(Main_S[[#This Row],[ROE]]-VLOOKUP(Main_S[[#This Row],[Industry]], Mean_ROE_S, 2, FALSE))/(VLOOKUP(Main_S[[#This Row],[Industry]], Mean_ROE_S, 3, FALSE))</f>
        <v>-0.55891840662764514</v>
      </c>
      <c r="R131" s="1">
        <f>(Main_S[[#This Row],[ROA]]-VLOOKUP(Main_S[[#This Row],[Industry]], Mean_ROA_S, 2, FALSE))/(VLOOKUP(Main_S[[#This Row],[Industry]], Mean_ROA_S, 3, FALSE))</f>
        <v>-1.4539427168617751</v>
      </c>
      <c r="S131" s="1">
        <f>(Main_S[[#This Row],[A/E]]-VLOOKUP(Main_S[[#This Row],[Industry]], Mean_AE_S, 2, FALSE))/(VLOOKUP(Main_S[[#This Row],[Industry]], Mean_AE_S, 3, FALSE))</f>
        <v>0.90015108204975658</v>
      </c>
      <c r="T131" s="1">
        <f>(Main_S[[#This Row],[P/E]]-VLOOKUP(Main_S[[#This Row],[Industry]], Mean_PE_S, 2, FALSE))/(VLOOKUP(Main_S[[#This Row],[Industry]], Mean_PE_S, 3, FALSE))</f>
        <v>6.0222852174130672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2" spans="1:26" x14ac:dyDescent="0.25">
      <c r="A132" t="s">
        <v>205</v>
      </c>
      <c r="B132" t="s">
        <v>540</v>
      </c>
      <c r="C132" s="2">
        <v>917</v>
      </c>
      <c r="D132">
        <f>RTD("tos.rtd", , "LAST", Main_S[[#This Row],[Symbol]])</f>
        <v>44.3</v>
      </c>
      <c r="E132">
        <v>4.9800000000000004</v>
      </c>
      <c r="F132">
        <v>23.68</v>
      </c>
      <c r="G132">
        <v>1.83</v>
      </c>
      <c r="H132" s="1">
        <f>IF(ISNUMBER(Main_S[[#This Row],[Free CF]]),IF(Main_S[[#This Row],[Free CF]]&lt;&gt;0,Main_S[[#This Row],[Current Price]]/Main_S[[#This Row],[Free CF]],""),"")</f>
        <v>8.8955823293172678</v>
      </c>
      <c r="I132" s="1">
        <f>IF(ISNUMBER(Main_S[[#This Row],[BVPS]]),IF(Main_S[[#This Row],[BVPS]]&lt;&gt;0,Main_S[[#This Row],[Current Price]]/Main_S[[#This Row],[BVPS]],""),"")</f>
        <v>1.870777027027027</v>
      </c>
      <c r="J132">
        <v>8.36</v>
      </c>
      <c r="K132">
        <v>4.4400000000000004</v>
      </c>
      <c r="L132">
        <v>2.37</v>
      </c>
      <c r="M132" s="1">
        <f>IF(ISNUMBER(Main_S[[#This Row],[EPS]]),IF(Main_S[[#This Row],[EPS]]&lt;&gt;0,Main_S[[#This Row],[Current Price]]/Main_S[[#This Row],[EPS]],""),"")</f>
        <v>24.20765027322404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-6.2997832997797432E-2</v>
      </c>
      <c r="P132" s="1">
        <f>(Main_S[[#This Row],[P/B]]-VLOOKUP(Main_S[[#This Row],[Industry]], Mean_PB_S, 2, FALSE))/(VLOOKUP(Main_S[[#This Row],[Industry]], Mean_PB_S, 3, FALSE))</f>
        <v>-0.36347031507900834</v>
      </c>
      <c r="Q132" s="1">
        <f>(Main_S[[#This Row],[ROE]]-VLOOKUP(Main_S[[#This Row],[Industry]], Mean_ROE_S, 2, FALSE))/(VLOOKUP(Main_S[[#This Row],[Industry]], Mean_ROE_S, 3, FALSE))</f>
        <v>-0.23283627030272075</v>
      </c>
      <c r="R132" s="1">
        <f>(Main_S[[#This Row],[ROA]]-VLOOKUP(Main_S[[#This Row],[Industry]], Mean_ROA_S, 2, FALSE))/(VLOOKUP(Main_S[[#This Row],[Industry]], Mean_ROA_S, 3, FALSE))</f>
        <v>-0.10547606821146609</v>
      </c>
      <c r="S132" s="1">
        <f>(Main_S[[#This Row],[A/E]]-VLOOKUP(Main_S[[#This Row],[Industry]], Mean_AE_S, 2, FALSE))/(VLOOKUP(Main_S[[#This Row],[Industry]], Mean_AE_S, 3, FALSE))</f>
        <v>-0.12299093992363039</v>
      </c>
      <c r="T132" s="1">
        <f>(Main_S[[#This Row],[P/E]]-VLOOKUP(Main_S[[#This Row],[Industry]], Mean_PE_S, 2, FALSE))/(VLOOKUP(Main_S[[#This Row],[Industry]], Mean_PE_S, 3, FALSE))</f>
        <v>0.44873192589472433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t="s">
        <v>205</v>
      </c>
      <c r="B133" t="s">
        <v>541</v>
      </c>
      <c r="C133" s="2">
        <v>510</v>
      </c>
      <c r="D133">
        <f>RTD("tos.rtd", , "LAST", Main_S[[#This Row],[Symbol]])</f>
        <v>12.06</v>
      </c>
      <c r="E133">
        <v>1.22</v>
      </c>
      <c r="F133">
        <v>36.03</v>
      </c>
      <c r="G133">
        <v>1.1599999999999999</v>
      </c>
      <c r="H133" s="1">
        <f>IF(ISNUMBER(Main_S[[#This Row],[Free CF]]),IF(Main_S[[#This Row],[Free CF]]&lt;&gt;0,Main_S[[#This Row],[Current Price]]/Main_S[[#This Row],[Free CF]],""),"")</f>
        <v>9.8852459016393457</v>
      </c>
      <c r="I133" s="1">
        <f>IF(ISNUMBER(Main_S[[#This Row],[BVPS]]),IF(Main_S[[#This Row],[BVPS]]&lt;&gt;0,Main_S[[#This Row],[Current Price]]/Main_S[[#This Row],[BVPS]],""),"")</f>
        <v>0.3347210657785179</v>
      </c>
      <c r="J133">
        <v>3.38</v>
      </c>
      <c r="K133">
        <v>1.55</v>
      </c>
      <c r="L133">
        <v>2.1</v>
      </c>
      <c r="M133" s="1">
        <f>IF(ISNUMBER(Main_S[[#This Row],[EPS]]),IF(Main_S[[#This Row],[EPS]]&lt;&gt;0,Main_S[[#This Row],[Current Price]]/Main_S[[#This Row],[EPS]],""),"")</f>
        <v>10.396551724137932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2.7992871607711797E-2</v>
      </c>
      <c r="P133" s="1">
        <f>(Main_S[[#This Row],[P/B]]-VLOOKUP(Main_S[[#This Row],[Industry]], Mean_PB_S, 2, FALSE))/(VLOOKUP(Main_S[[#This Row],[Industry]], Mean_PB_S, 3, FALSE))</f>
        <v>-1.1752243662494006</v>
      </c>
      <c r="Q133" s="1">
        <f>(Main_S[[#This Row],[ROE]]-VLOOKUP(Main_S[[#This Row],[Industry]], Mean_ROE_S, 2, FALSE))/(VLOOKUP(Main_S[[#This Row],[Industry]], Mean_ROE_S, 3, FALSE))</f>
        <v>-0.54273875864205734</v>
      </c>
      <c r="R133" s="1">
        <f>(Main_S[[#This Row],[ROA]]-VLOOKUP(Main_S[[#This Row],[Industry]], Mean_ROA_S, 2, FALSE))/(VLOOKUP(Main_S[[#This Row],[Industry]], Mean_ROA_S, 3, FALSE))</f>
        <v>-0.8756477311757731</v>
      </c>
      <c r="S133" s="1">
        <f>(Main_S[[#This Row],[A/E]]-VLOOKUP(Main_S[[#This Row],[Industry]], Mean_AE_S, 2, FALSE))/(VLOOKUP(Main_S[[#This Row],[Industry]], Mean_AE_S, 3, FALSE))</f>
        <v>-0.45987916667096518</v>
      </c>
      <c r="T133" s="1">
        <f>(Main_S[[#This Row],[P/E]]-VLOOKUP(Main_S[[#This Row],[Industry]], Mean_PE_S, 2, FALSE))/(VLOOKUP(Main_S[[#This Row],[Industry]], Mean_PE_S, 3, FALSE))</f>
        <v>-0.28780202419808154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t="s">
        <v>205</v>
      </c>
      <c r="B134" t="s">
        <v>542</v>
      </c>
      <c r="C134" s="2">
        <v>524</v>
      </c>
      <c r="D134">
        <f>RTD("tos.rtd", , "LAST", Main_S[[#This Row],[Symbol]])</f>
        <v>11.440099999999999</v>
      </c>
      <c r="E134">
        <v>1.22</v>
      </c>
      <c r="F134">
        <v>36.03</v>
      </c>
      <c r="G134">
        <v>1.1599999999999999</v>
      </c>
      <c r="H134" s="1">
        <f>IF(ISNUMBER(Main_S[[#This Row],[Free CF]]),IF(Main_S[[#This Row],[Free CF]]&lt;&gt;0,Main_S[[#This Row],[Current Price]]/Main_S[[#This Row],[Free CF]],""),"")</f>
        <v>9.3771311475409824</v>
      </c>
      <c r="I134" s="1">
        <f>IF(ISNUMBER(Main_S[[#This Row],[BVPS]]),IF(Main_S[[#This Row],[BVPS]]&lt;&gt;0,Main_S[[#This Row],[Current Price]]/Main_S[[#This Row],[BVPS]],""),"")</f>
        <v>0.31751595892311957</v>
      </c>
      <c r="J134">
        <v>3.38</v>
      </c>
      <c r="K134">
        <v>1.55</v>
      </c>
      <c r="L134">
        <v>2.1</v>
      </c>
      <c r="M134" s="1">
        <f>IF(ISNUMBER(Main_S[[#This Row],[EPS]]),IF(Main_S[[#This Row],[EPS]]&lt;&gt;0,Main_S[[#This Row],[Current Price]]/Main_S[[#This Row],[EPS]],""),"")</f>
        <v>9.862155172413793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-1.8723730668944238E-2</v>
      </c>
      <c r="P134" s="1">
        <f>(Main_S[[#This Row],[P/B]]-VLOOKUP(Main_S[[#This Row],[Industry]], Mean_PB_S, 2, FALSE))/(VLOOKUP(Main_S[[#This Row],[Industry]], Mean_PB_S, 3, FALSE))</f>
        <v>-1.1843166881068266</v>
      </c>
      <c r="Q134" s="1">
        <f>(Main_S[[#This Row],[ROE]]-VLOOKUP(Main_S[[#This Row],[Industry]], Mean_ROE_S, 2, FALSE))/(VLOOKUP(Main_S[[#This Row],[Industry]], Mean_ROE_S, 3, FALSE))</f>
        <v>-0.54273875864205734</v>
      </c>
      <c r="R134" s="1">
        <f>(Main_S[[#This Row],[ROA]]-VLOOKUP(Main_S[[#This Row],[Industry]], Mean_ROA_S, 2, FALSE))/(VLOOKUP(Main_S[[#This Row],[Industry]], Mean_ROA_S, 3, FALSE))</f>
        <v>-0.8756477311757731</v>
      </c>
      <c r="S134" s="1">
        <f>(Main_S[[#This Row],[A/E]]-VLOOKUP(Main_S[[#This Row],[Industry]], Mean_AE_S, 2, FALSE))/(VLOOKUP(Main_S[[#This Row],[Industry]], Mean_AE_S, 3, FALSE))</f>
        <v>-0.45987916667096518</v>
      </c>
      <c r="T134" s="1">
        <f>(Main_S[[#This Row],[P/E]]-VLOOKUP(Main_S[[#This Row],[Industry]], Mean_PE_S, 2, FALSE))/(VLOOKUP(Main_S[[#This Row],[Industry]], Mean_PE_S, 3, FALSE))</f>
        <v>-0.31630093047685831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t="s">
        <v>205</v>
      </c>
      <c r="B135" t="s">
        <v>543</v>
      </c>
      <c r="C135" s="2">
        <v>1140</v>
      </c>
      <c r="D135">
        <f>RTD("tos.rtd", , "LAST", Main_S[[#This Row],[Symbol]])</f>
        <v>41.52</v>
      </c>
      <c r="E135">
        <v>4.13</v>
      </c>
      <c r="F135">
        <v>9.07</v>
      </c>
      <c r="G135">
        <v>2.9</v>
      </c>
      <c r="H135" s="1">
        <f>IF(ISNUMBER(Main_S[[#This Row],[Free CF]]),IF(Main_S[[#This Row],[Free CF]]&lt;&gt;0,Main_S[[#This Row],[Current Price]]/Main_S[[#This Row],[Free CF]],""),"")</f>
        <v>10.053268765133174</v>
      </c>
      <c r="I135" s="1">
        <f>IF(ISNUMBER(Main_S[[#This Row],[BVPS]]),IF(Main_S[[#This Row],[BVPS]]&lt;&gt;0,Main_S[[#This Row],[Current Price]]/Main_S[[#This Row],[BVPS]],""),"")</f>
        <v>4.5777287761852259</v>
      </c>
      <c r="J135">
        <v>31.8</v>
      </c>
      <c r="K135">
        <v>11.84</v>
      </c>
      <c r="L135">
        <v>2.21</v>
      </c>
      <c r="M135" s="1">
        <f>IF(ISNUMBER(Main_S[[#This Row],[EPS]]),IF(Main_S[[#This Row],[EPS]]&lt;&gt;0,Main_S[[#This Row],[Current Price]]/Main_S[[#This Row],[EPS]],""),"")</f>
        <v>14.317241379310346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4.3441069527401607E-2</v>
      </c>
      <c r="P135" s="1">
        <f>(Main_S[[#This Row],[P/B]]-VLOOKUP(Main_S[[#This Row],[Industry]], Mean_PB_S, 2, FALSE))/(VLOOKUP(Main_S[[#This Row],[Industry]], Mean_PB_S, 3, FALSE))</f>
        <v>1.0670628843207803</v>
      </c>
      <c r="Q135" s="1">
        <f>(Main_S[[#This Row],[ROE]]-VLOOKUP(Main_S[[#This Row],[Industry]], Mean_ROE_S, 2, FALSE))/(VLOOKUP(Main_S[[#This Row],[Industry]], Mean_ROE_S, 3, FALSE))</f>
        <v>1.2258212250133536</v>
      </c>
      <c r="R135" s="1">
        <f>(Main_S[[#This Row],[ROA]]-VLOOKUP(Main_S[[#This Row],[Industry]], Mean_ROA_S, 2, FALSE))/(VLOOKUP(Main_S[[#This Row],[Industry]], Mean_ROA_S, 3, FALSE))</f>
        <v>1.8665897815933332</v>
      </c>
      <c r="S135" s="1">
        <f>(Main_S[[#This Row],[A/E]]-VLOOKUP(Main_S[[#This Row],[Industry]], Mean_AE_S, 2, FALSE))/(VLOOKUP(Main_S[[#This Row],[Industry]], Mean_AE_S, 3, FALSE))</f>
        <v>-0.3226284076257549</v>
      </c>
      <c r="T135" s="1">
        <f>(Main_S[[#This Row],[P/E]]-VLOOKUP(Main_S[[#This Row],[Industry]], Mean_PE_S, 2, FALSE))/(VLOOKUP(Main_S[[#This Row],[Industry]], Mean_PE_S, 3, FALSE))</f>
        <v>-7.8715033141658911E-2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t="s">
        <v>205</v>
      </c>
      <c r="B136" t="s">
        <v>544</v>
      </c>
      <c r="C136" s="2">
        <v>331</v>
      </c>
      <c r="D136">
        <f>RTD("tos.rtd", , "LAST", Main_S[[#This Row],[Symbol]])</f>
        <v>12.72</v>
      </c>
      <c r="E136">
        <v>-3</v>
      </c>
      <c r="F136">
        <v>3.62</v>
      </c>
      <c r="G136">
        <v>-2.2799999999999998</v>
      </c>
      <c r="H136" s="1">
        <f>IF(ISNUMBER(Main_S[[#This Row],[Free CF]]),IF(Main_S[[#This Row],[Free CF]]&lt;&gt;0,Main_S[[#This Row],[Current Price]]/Main_S[[#This Row],[Free CF]],""),"")</f>
        <v>-4.24</v>
      </c>
      <c r="I136" s="1">
        <f>IF(ISNUMBER(Main_S[[#This Row],[BVPS]]),IF(Main_S[[#This Row],[BVPS]]&lt;&gt;0,Main_S[[#This Row],[Current Price]]/Main_S[[#This Row],[BVPS]],""),"")</f>
        <v>3.5138121546961325</v>
      </c>
      <c r="J136">
        <v>-41.09</v>
      </c>
      <c r="K136">
        <v>-11.69</v>
      </c>
      <c r="L136">
        <v>2.23</v>
      </c>
      <c r="M136" s="1">
        <f>IF(ISNUMBER(Main_S[[#This Row],[EPS]]),IF(Main_S[[#This Row],[EPS]]&lt;&gt;0,Main_S[[#This Row],[Current Price]]/Main_S[[#This Row],[EPS]],""),"")</f>
        <v>-5.5789473684210531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-1.2706970198476102</v>
      </c>
      <c r="P136" s="1">
        <f>(Main_S[[#This Row],[P/B]]-VLOOKUP(Main_S[[#This Row],[Industry]], Mean_PB_S, 2, FALSE))/(VLOOKUP(Main_S[[#This Row],[Industry]], Mean_PB_S, 3, FALSE))</f>
        <v>0.50481863711293684</v>
      </c>
      <c r="Q136" s="1">
        <f>(Main_S[[#This Row],[ROE]]-VLOOKUP(Main_S[[#This Row],[Industry]], Mean_ROE_S, 2, FALSE))/(VLOOKUP(Main_S[[#This Row],[Industry]], Mean_ROE_S, 3, FALSE))</f>
        <v>-3.3100808583308727</v>
      </c>
      <c r="R136" s="1">
        <f>(Main_S[[#This Row],[ROA]]-VLOOKUP(Main_S[[#This Row],[Industry]], Mean_ROA_S, 2, FALSE))/(VLOOKUP(Main_S[[#This Row],[Industry]], Mean_ROA_S, 3, FALSE))</f>
        <v>-4.4040466300157117</v>
      </c>
      <c r="S136" s="1">
        <f>(Main_S[[#This Row],[A/E]]-VLOOKUP(Main_S[[#This Row],[Industry]], Mean_AE_S, 2, FALSE))/(VLOOKUP(Main_S[[#This Row],[Industry]], Mean_AE_S, 3, FALSE))</f>
        <v>-0.29767372416298932</v>
      </c>
      <c r="T136" s="1">
        <f>(Main_S[[#This Row],[P/E]]-VLOOKUP(Main_S[[#This Row],[Industry]], Mean_PE_S, 2, FALSE))/(VLOOKUP(Main_S[[#This Row],[Industry]], Mean_PE_S, 3, FALSE))</f>
        <v>-1.1397615848027016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t="s">
        <v>205</v>
      </c>
      <c r="B137" t="s">
        <v>545</v>
      </c>
      <c r="C137" s="2">
        <v>1257</v>
      </c>
      <c r="D137">
        <f>RTD("tos.rtd", , "LAST", Main_S[[#This Row],[Symbol]])</f>
        <v>188.77</v>
      </c>
      <c r="E137">
        <v>3.5</v>
      </c>
      <c r="F137">
        <v>30.25</v>
      </c>
      <c r="G137">
        <v>6.18</v>
      </c>
      <c r="H137" s="1">
        <f>IF(ISNUMBER(Main_S[[#This Row],[Free CF]]),IF(Main_S[[#This Row],[Free CF]]&lt;&gt;0,Main_S[[#This Row],[Current Price]]/Main_S[[#This Row],[Free CF]],""),"")</f>
        <v>53.934285714285714</v>
      </c>
      <c r="I137" s="1">
        <f>IF(ISNUMBER(Main_S[[#This Row],[BVPS]]),IF(Main_S[[#This Row],[BVPS]]&lt;&gt;0,Main_S[[#This Row],[Current Price]]/Main_S[[#This Row],[BVPS]],""),"")</f>
        <v>6.2403305785123973</v>
      </c>
      <c r="J137">
        <v>20.91</v>
      </c>
      <c r="K137">
        <v>7.3</v>
      </c>
      <c r="L137">
        <v>2.85</v>
      </c>
      <c r="M137" s="1">
        <f>IF(ISNUMBER(Main_S[[#This Row],[EPS]]),IF(Main_S[[#This Row],[EPS]]&lt;&gt;0,Main_S[[#This Row],[Current Price]]/Main_S[[#This Row],[EPS]],""),"")</f>
        <v>30.545307443365697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4.0779076930096991</v>
      </c>
      <c r="P137" s="1">
        <f>(Main_S[[#This Row],[P/B]]-VLOOKUP(Main_S[[#This Row],[Industry]], Mean_PB_S, 2, FALSE))/(VLOOKUP(Main_S[[#This Row],[Industry]], Mean_PB_S, 3, FALSE))</f>
        <v>1.9456921677391399</v>
      </c>
      <c r="Q137" s="1">
        <f>(Main_S[[#This Row],[ROE]]-VLOOKUP(Main_S[[#This Row],[Industry]], Mean_ROE_S, 2, FALSE))/(VLOOKUP(Main_S[[#This Row],[Industry]], Mean_ROE_S, 3, FALSE))</f>
        <v>0.54814289207853917</v>
      </c>
      <c r="R137" s="1">
        <f>(Main_S[[#This Row],[ROA]]-VLOOKUP(Main_S[[#This Row],[Industry]], Mean_ROA_S, 2, FALSE))/(VLOOKUP(Main_S[[#This Row],[Industry]], Mean_ROA_S, 3, FALSE))</f>
        <v>0.65670073319957789</v>
      </c>
      <c r="S137" s="1">
        <f>(Main_S[[#This Row],[A/E]]-VLOOKUP(Main_S[[#This Row],[Industry]], Mean_AE_S, 2, FALSE))/(VLOOKUP(Main_S[[#This Row],[Industry]], Mean_AE_S, 3, FALSE))</f>
        <v>0.47592146318274253</v>
      </c>
      <c r="T137" s="1">
        <f>(Main_S[[#This Row],[P/E]]-VLOOKUP(Main_S[[#This Row],[Industry]], Mean_PE_S, 2, FALSE))/(VLOOKUP(Main_S[[#This Row],[Industry]], Mean_PE_S, 3, FALSE))</f>
        <v>0.78671370578487709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t="s">
        <v>205</v>
      </c>
      <c r="B138" t="s">
        <v>546</v>
      </c>
      <c r="C138" s="2">
        <v>477</v>
      </c>
      <c r="D138">
        <f>RTD("tos.rtd", , "LAST", Main_S[[#This Row],[Symbol]])</f>
        <v>23</v>
      </c>
      <c r="E138">
        <v>4.24</v>
      </c>
      <c r="F138">
        <v>6.41</v>
      </c>
      <c r="G138">
        <v>1.74</v>
      </c>
      <c r="H138" s="1">
        <f>IF(ISNUMBER(Main_S[[#This Row],[Free CF]]),IF(Main_S[[#This Row],[Free CF]]&lt;&gt;0,Main_S[[#This Row],[Current Price]]/Main_S[[#This Row],[Free CF]],""),"")</f>
        <v>5.4245283018867925</v>
      </c>
      <c r="I138" s="1">
        <f>IF(ISNUMBER(Main_S[[#This Row],[BVPS]]),IF(Main_S[[#This Row],[BVPS]]&lt;&gt;0,Main_S[[#This Row],[Current Price]]/Main_S[[#This Row],[BVPS]],""),"")</f>
        <v>3.5881435257410295</v>
      </c>
      <c r="J138">
        <v>28.93</v>
      </c>
      <c r="K138">
        <v>9.11</v>
      </c>
      <c r="L138">
        <v>3.15</v>
      </c>
      <c r="M138" s="1">
        <f>IF(ISNUMBER(Main_S[[#This Row],[EPS]]),IF(Main_S[[#This Row],[EPS]]&lt;&gt;0,Main_S[[#This Row],[Current Price]]/Main_S[[#This Row],[EPS]],""),"")</f>
        <v>13.218390804597702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-0.38213017302991498</v>
      </c>
      <c r="P138" s="1">
        <f>(Main_S[[#This Row],[P/B]]-VLOOKUP(Main_S[[#This Row],[Industry]], Mean_PB_S, 2, FALSE))/(VLOOKUP(Main_S[[#This Row],[Industry]], Mean_PB_S, 3, FALSE))</f>
        <v>0.54410027339245182</v>
      </c>
      <c r="Q138" s="1">
        <f>(Main_S[[#This Row],[ROE]]-VLOOKUP(Main_S[[#This Row],[Industry]], Mean_ROE_S, 2, FALSE))/(VLOOKUP(Main_S[[#This Row],[Industry]], Mean_ROE_S, 3, FALSE))</f>
        <v>1.0472228030185953</v>
      </c>
      <c r="R138" s="1">
        <f>(Main_S[[#This Row],[ROA]]-VLOOKUP(Main_S[[#This Row],[Industry]], Mean_ROA_S, 2, FALSE))/(VLOOKUP(Main_S[[#This Row],[Industry]], Mean_ROA_S, 3, FALSE))</f>
        <v>1.1390573802464274</v>
      </c>
      <c r="S138" s="1">
        <f>(Main_S[[#This Row],[A/E]]-VLOOKUP(Main_S[[#This Row],[Industry]], Mean_AE_S, 2, FALSE))/(VLOOKUP(Main_S[[#This Row],[Industry]], Mean_AE_S, 3, FALSE))</f>
        <v>0.85024171512422542</v>
      </c>
      <c r="T138" s="1">
        <f>(Main_S[[#This Row],[P/E]]-VLOOKUP(Main_S[[#This Row],[Industry]], Mean_PE_S, 2, FALSE))/(VLOOKUP(Main_S[[#This Row],[Industry]], Mean_PE_S, 3, FALSE))</f>
        <v>-0.13731578466612099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t="s">
        <v>205</v>
      </c>
      <c r="B139" t="s">
        <v>547</v>
      </c>
      <c r="C139" s="2">
        <v>322</v>
      </c>
      <c r="D139">
        <f>RTD("tos.rtd", , "LAST", Main_S[[#This Row],[Symbol]])</f>
        <v>10.68</v>
      </c>
      <c r="E139">
        <v>0.28999999999999998</v>
      </c>
      <c r="F139">
        <v>12.34</v>
      </c>
      <c r="G139">
        <v>-0.36</v>
      </c>
      <c r="H139" s="1">
        <f>IF(ISNUMBER(Main_S[[#This Row],[Free CF]]),IF(Main_S[[#This Row],[Free CF]]&lt;&gt;0,Main_S[[#This Row],[Current Price]]/Main_S[[#This Row],[Free CF]],""),"")</f>
        <v>36.827586206896555</v>
      </c>
      <c r="I139" s="1">
        <f>IF(ISNUMBER(Main_S[[#This Row],[BVPS]]),IF(Main_S[[#This Row],[BVPS]]&lt;&gt;0,Main_S[[#This Row],[Current Price]]/Main_S[[#This Row],[BVPS]],""),"")</f>
        <v>0.86547811993517021</v>
      </c>
      <c r="J139">
        <v>-2.93</v>
      </c>
      <c r="K139">
        <v>0.67</v>
      </c>
      <c r="L139">
        <v>2.16</v>
      </c>
      <c r="M139" s="1">
        <f>IF(ISNUMBER(Main_S[[#This Row],[EPS]]),IF(Main_S[[#This Row],[EPS]]&lt;&gt;0,Main_S[[#This Row],[Current Price]]/Main_S[[#This Row],[EPS]],""),"")</f>
        <v>-29.666666666666668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2.5050998366996251</v>
      </c>
      <c r="P139" s="1">
        <f>(Main_S[[#This Row],[P/B]]-VLOOKUP(Main_S[[#This Row],[Industry]], Mean_PB_S, 2, FALSE))/(VLOOKUP(Main_S[[#This Row],[Industry]], Mean_PB_S, 3, FALSE))</f>
        <v>-0.89473706645809947</v>
      </c>
      <c r="Q139" s="1">
        <f>(Main_S[[#This Row],[ROE]]-VLOOKUP(Main_S[[#This Row],[Industry]], Mean_ROE_S, 2, FALSE))/(VLOOKUP(Main_S[[#This Row],[Industry]], Mean_ROE_S, 3, FALSE))</f>
        <v>-0.93540636936920873</v>
      </c>
      <c r="R139" s="1">
        <f>(Main_S[[#This Row],[ROA]]-VLOOKUP(Main_S[[#This Row],[Industry]], Mean_ROA_S, 2, FALSE))/(VLOOKUP(Main_S[[#This Row],[Industry]], Mean_ROA_S, 3, FALSE))</f>
        <v>-1.110163670071479</v>
      </c>
      <c r="S139" s="1">
        <f>(Main_S[[#This Row],[A/E]]-VLOOKUP(Main_S[[#This Row],[Industry]], Mean_AE_S, 2, FALSE))/(VLOOKUP(Main_S[[#This Row],[Industry]], Mean_AE_S, 3, FALSE))</f>
        <v>-0.38501511628266849</v>
      </c>
      <c r="T139" s="1">
        <f>(Main_S[[#This Row],[P/E]]-VLOOKUP(Main_S[[#This Row],[Industry]], Mean_PE_S, 2, FALSE))/(VLOOKUP(Main_S[[#This Row],[Industry]], Mean_PE_S, 3, FALSE))</f>
        <v>-2.4243388384084632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t="s">
        <v>205</v>
      </c>
      <c r="B140" t="s">
        <v>548</v>
      </c>
      <c r="C140" s="2">
        <v>1292</v>
      </c>
      <c r="D140">
        <f>RTD("tos.rtd", , "LAST", Main_S[[#This Row],[Symbol]])</f>
        <v>48.67</v>
      </c>
      <c r="E140">
        <v>0.38</v>
      </c>
      <c r="F140">
        <v>1.65</v>
      </c>
      <c r="G140">
        <v>0.62</v>
      </c>
      <c r="H140" s="1">
        <f>IF(ISNUMBER(Main_S[[#This Row],[Free CF]]),IF(Main_S[[#This Row],[Free CF]]&lt;&gt;0,Main_S[[#This Row],[Current Price]]/Main_S[[#This Row],[Free CF]],""),"")</f>
        <v>128.07894736842107</v>
      </c>
      <c r="I140" s="1">
        <f>IF(ISNUMBER(Main_S[[#This Row],[BVPS]]),IF(Main_S[[#This Row],[BVPS]]&lt;&gt;0,Main_S[[#This Row],[Current Price]]/Main_S[[#This Row],[BVPS]],""),"")</f>
        <v>29.4969696969697</v>
      </c>
      <c r="J140">
        <v>57.92</v>
      </c>
      <c r="K140">
        <v>13.51</v>
      </c>
      <c r="L140">
        <v>1.85</v>
      </c>
      <c r="M140" s="1">
        <f>IF(ISNUMBER(Main_S[[#This Row],[EPS]]),IF(Main_S[[#This Row],[EPS]]&lt;&gt;0,Main_S[[#This Row],[Current Price]]/Main_S[[#This Row],[EPS]],""),"")</f>
        <v>78.5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10.894845484119255</v>
      </c>
      <c r="P140" s="1">
        <f>(Main_S[[#This Row],[P/B]]-VLOOKUP(Main_S[[#This Row],[Industry]], Mean_PB_S, 2, FALSE))/(VLOOKUP(Main_S[[#This Row],[Industry]], Mean_PB_S, 3, FALSE))</f>
        <v>14.23604583797321</v>
      </c>
      <c r="Q140" s="1">
        <f>(Main_S[[#This Row],[ROE]]-VLOOKUP(Main_S[[#This Row],[Industry]], Mean_ROE_S, 2, FALSE))/(VLOOKUP(Main_S[[#This Row],[Industry]], Mean_ROE_S, 3, FALSE))</f>
        <v>2.8512535534116412</v>
      </c>
      <c r="R140" s="1">
        <f>(Main_S[[#This Row],[ROA]]-VLOOKUP(Main_S[[#This Row],[Industry]], Mean_ROA_S, 2, FALSE))/(VLOOKUP(Main_S[[#This Row],[Industry]], Mean_ROA_S, 3, FALSE))</f>
        <v>2.3116370747249571</v>
      </c>
      <c r="S140" s="1">
        <f>(Main_S[[#This Row],[A/E]]-VLOOKUP(Main_S[[#This Row],[Industry]], Mean_AE_S, 2, FALSE))/(VLOOKUP(Main_S[[#This Row],[Industry]], Mean_AE_S, 3, FALSE))</f>
        <v>-0.77181270995553442</v>
      </c>
      <c r="T140" s="1">
        <f>(Main_S[[#This Row],[P/E]]-VLOOKUP(Main_S[[#This Row],[Industry]], Mean_PE_S, 2, FALSE))/(VLOOKUP(Main_S[[#This Row],[Industry]], Mean_PE_S, 3, FALSE))</f>
        <v>3.3440960174592163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1" spans="1:26" x14ac:dyDescent="0.25">
      <c r="A141" t="s">
        <v>205</v>
      </c>
      <c r="B141" t="s">
        <v>549</v>
      </c>
      <c r="C141" s="2">
        <v>1417</v>
      </c>
      <c r="D141">
        <f>RTD("tos.rtd", , "LAST", Main_S[[#This Row],[Symbol]])</f>
        <v>9.35</v>
      </c>
      <c r="E141">
        <v>0.43</v>
      </c>
      <c r="F141">
        <v>0.35</v>
      </c>
      <c r="G141">
        <v>0.13</v>
      </c>
      <c r="H141" s="1">
        <f>IF(ISNUMBER(Main_S[[#This Row],[Free CF]]),IF(Main_S[[#This Row],[Free CF]]&lt;&gt;0,Main_S[[#This Row],[Current Price]]/Main_S[[#This Row],[Free CF]],""),"")</f>
        <v>21.744186046511626</v>
      </c>
      <c r="I141" s="1">
        <f>IF(ISNUMBER(Main_S[[#This Row],[BVPS]]),IF(Main_S[[#This Row],[BVPS]]&lt;&gt;0,Main_S[[#This Row],[Current Price]]/Main_S[[#This Row],[BVPS]],""),"")</f>
        <v>26.714285714285715</v>
      </c>
      <c r="J141">
        <v>23.61</v>
      </c>
      <c r="K141">
        <v>6.29</v>
      </c>
      <c r="L141">
        <v>5.8</v>
      </c>
      <c r="M141" s="1">
        <f>IF(ISNUMBER(Main_S[[#This Row],[EPS]]),IF(Main_S[[#This Row],[EPS]]&lt;&gt;0,Main_S[[#This Row],[Current Price]]/Main_S[[#This Row],[EPS]],""),"")</f>
        <v>71.92307692307692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1.1183162399061657</v>
      </c>
      <c r="P141" s="1">
        <f>(Main_S[[#This Row],[P/B]]-VLOOKUP(Main_S[[#This Row],[Industry]], Mean_PB_S, 2, FALSE))/(VLOOKUP(Main_S[[#This Row],[Industry]], Mean_PB_S, 3, FALSE))</f>
        <v>12.765490693462274</v>
      </c>
      <c r="Q141" s="1">
        <f>(Main_S[[#This Row],[ROE]]-VLOOKUP(Main_S[[#This Row],[Industry]], Mean_ROE_S, 2, FALSE))/(VLOOKUP(Main_S[[#This Row],[Industry]], Mean_ROE_S, 3, FALSE))</f>
        <v>0.71616231346733616</v>
      </c>
      <c r="R141" s="1">
        <f>(Main_S[[#This Row],[ROA]]-VLOOKUP(Main_S[[#This Row],[Industry]], Mean_ROA_S, 2, FALSE))/(VLOOKUP(Main_S[[#This Row],[Industry]], Mean_ROA_S, 3, FALSE))</f>
        <v>0.38754039423973369</v>
      </c>
      <c r="S141" s="1">
        <f>(Main_S[[#This Row],[A/E]]-VLOOKUP(Main_S[[#This Row],[Industry]], Mean_AE_S, 2, FALSE))/(VLOOKUP(Main_S[[#This Row],[Industry]], Mean_AE_S, 3, FALSE))</f>
        <v>4.1567372739406592</v>
      </c>
      <c r="T141" s="1">
        <f>(Main_S[[#This Row],[P/E]]-VLOOKUP(Main_S[[#This Row],[Industry]], Mean_PE_S, 2, FALSE))/(VLOOKUP(Main_S[[#This Row],[Industry]], Mean_PE_S, 3, FALSE))</f>
        <v>2.9933543935336355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2" spans="1:26" x14ac:dyDescent="0.25">
      <c r="A142" t="s">
        <v>205</v>
      </c>
      <c r="B142" t="s">
        <v>550</v>
      </c>
      <c r="C142" s="2">
        <v>281</v>
      </c>
      <c r="D142">
        <f>RTD("tos.rtd", , "LAST", Main_S[[#This Row],[Symbol]])</f>
        <v>7.68</v>
      </c>
      <c r="E142">
        <v>0.49</v>
      </c>
      <c r="F142">
        <v>6.62</v>
      </c>
      <c r="G142">
        <v>0.36</v>
      </c>
      <c r="H142" s="1">
        <f>IF(ISNUMBER(Main_S[[#This Row],[Free CF]]),IF(Main_S[[#This Row],[Free CF]]&lt;&gt;0,Main_S[[#This Row],[Current Price]]/Main_S[[#This Row],[Free CF]],""),"")</f>
        <v>15.673469387755102</v>
      </c>
      <c r="I142" s="1">
        <f>IF(ISNUMBER(Main_S[[#This Row],[BVPS]]),IF(Main_S[[#This Row],[BVPS]]&lt;&gt;0,Main_S[[#This Row],[Current Price]]/Main_S[[#This Row],[BVPS]],""),"")</f>
        <v>1.16012084592145</v>
      </c>
      <c r="J142">
        <v>5.77</v>
      </c>
      <c r="K142">
        <v>4.67</v>
      </c>
      <c r="L142">
        <v>2.69</v>
      </c>
      <c r="M142" s="1">
        <f>IF(ISNUMBER(Main_S[[#This Row],[EPS]]),IF(Main_S[[#This Row],[EPS]]&lt;&gt;0,Main_S[[#This Row],[Current Price]]/Main_S[[#This Row],[EPS]],""),"")</f>
        <v>21.333333333333332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0.56016819678420282</v>
      </c>
      <c r="P142" s="1">
        <f>(Main_S[[#This Row],[P/B]]-VLOOKUP(Main_S[[#This Row],[Industry]], Mean_PB_S, 2, FALSE))/(VLOOKUP(Main_S[[#This Row],[Industry]], Mean_PB_S, 3, FALSE))</f>
        <v>-0.7390282690567036</v>
      </c>
      <c r="Q142" s="1">
        <f>(Main_S[[#This Row],[ROE]]-VLOOKUP(Main_S[[#This Row],[Industry]], Mean_ROE_S, 2, FALSE))/(VLOOKUP(Main_S[[#This Row],[Industry]], Mean_ROE_S, 3, FALSE))</f>
        <v>-0.39401045600530743</v>
      </c>
      <c r="R142" s="1">
        <f>(Main_S[[#This Row],[ROA]]-VLOOKUP(Main_S[[#This Row],[Industry]], Mean_ROA_S, 2, FALSE))/(VLOOKUP(Main_S[[#This Row],[Industry]], Mean_ROA_S, 3, FALSE))</f>
        <v>-4.4182129636452169E-2</v>
      </c>
      <c r="S142" s="1">
        <f>(Main_S[[#This Row],[A/E]]-VLOOKUP(Main_S[[#This Row],[Industry]], Mean_AE_S, 2, FALSE))/(VLOOKUP(Main_S[[#This Row],[Industry]], Mean_AE_S, 3, FALSE))</f>
        <v>0.27628399548061805</v>
      </c>
      <c r="T142" s="1">
        <f>(Main_S[[#This Row],[P/E]]-VLOOKUP(Main_S[[#This Row],[Industry]], Mean_PE_S, 2, FALSE))/(VLOOKUP(Main_S[[#This Row],[Industry]], Mean_PE_S, 3, FALSE))</f>
        <v>0.29544708747059661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t="s">
        <v>205</v>
      </c>
      <c r="B143" t="s">
        <v>551</v>
      </c>
      <c r="C143" s="2">
        <v>1362</v>
      </c>
      <c r="D143">
        <f>RTD("tos.rtd", , "LAST", Main_S[[#This Row],[Symbol]])</f>
        <v>22.53</v>
      </c>
      <c r="E143">
        <v>0.94</v>
      </c>
      <c r="F143">
        <v>12.63</v>
      </c>
      <c r="G143">
        <v>0.54</v>
      </c>
      <c r="H143" s="1">
        <f>IF(ISNUMBER(Main_S[[#This Row],[Free CF]]),IF(Main_S[[#This Row],[Free CF]]&lt;&gt;0,Main_S[[#This Row],[Current Price]]/Main_S[[#This Row],[Free CF]],""),"")</f>
        <v>23.968085106382983</v>
      </c>
      <c r="I143" s="1">
        <f>IF(ISNUMBER(Main_S[[#This Row],[BVPS]]),IF(Main_S[[#This Row],[BVPS]]&lt;&gt;0,Main_S[[#This Row],[Current Price]]/Main_S[[#This Row],[BVPS]],""),"")</f>
        <v>1.7838479809976246</v>
      </c>
      <c r="J143">
        <v>4.24</v>
      </c>
      <c r="K143">
        <v>2.78</v>
      </c>
      <c r="L143">
        <v>1.57</v>
      </c>
      <c r="M143" s="1">
        <f>IF(ISNUMBER(Main_S[[#This Row],[EPS]]),IF(Main_S[[#This Row],[EPS]]&lt;&gt;0,Main_S[[#This Row],[Current Price]]/Main_S[[#This Row],[EPS]],""),"")</f>
        <v>41.722222222222221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1.3227838469682651</v>
      </c>
      <c r="P143" s="1">
        <f>(Main_S[[#This Row],[P/B]]-VLOOKUP(Main_S[[#This Row],[Industry]], Mean_PB_S, 2, FALSE))/(VLOOKUP(Main_S[[#This Row],[Industry]], Mean_PB_S, 3, FALSE))</f>
        <v>-0.40940940002054227</v>
      </c>
      <c r="Q143" s="1">
        <f>(Main_S[[#This Row],[ROE]]-VLOOKUP(Main_S[[#This Row],[Industry]], Mean_ROE_S, 2, FALSE))/(VLOOKUP(Main_S[[#This Row],[Industry]], Mean_ROE_S, 3, FALSE))</f>
        <v>-0.48922146145895901</v>
      </c>
      <c r="R143" s="1">
        <f>(Main_S[[#This Row],[ROA]]-VLOOKUP(Main_S[[#This Row],[Industry]], Mean_ROA_S, 2, FALSE))/(VLOOKUP(Main_S[[#This Row],[Industry]], Mean_ROA_S, 3, FALSE))</f>
        <v>-0.54785840749200232</v>
      </c>
      <c r="S143" s="1">
        <f>(Main_S[[#This Row],[A/E]]-VLOOKUP(Main_S[[#This Row],[Industry]], Mean_AE_S, 2, FALSE))/(VLOOKUP(Main_S[[#This Row],[Industry]], Mean_AE_S, 3, FALSE))</f>
        <v>-1.1211782784342521</v>
      </c>
      <c r="T143" s="1">
        <f>(Main_S[[#This Row],[P/E]]-VLOOKUP(Main_S[[#This Row],[Industry]], Mean_PE_S, 2, FALSE))/(VLOOKUP(Main_S[[#This Row],[Industry]], Mean_PE_S, 3, FALSE))</f>
        <v>1.38276891186887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t="s">
        <v>205</v>
      </c>
      <c r="B144" t="s">
        <v>552</v>
      </c>
      <c r="C144" s="2">
        <v>1221</v>
      </c>
      <c r="D144">
        <f>RTD("tos.rtd", , "LAST", Main_S[[#This Row],[Symbol]])</f>
        <v>5.83</v>
      </c>
      <c r="E144">
        <v>-0.32</v>
      </c>
      <c r="F144">
        <v>1.61</v>
      </c>
      <c r="G144">
        <v>-0.47</v>
      </c>
      <c r="H144" s="1">
        <f>IF(ISNUMBER(Main_S[[#This Row],[Free CF]]),IF(Main_S[[#This Row],[Free CF]]&lt;&gt;0,Main_S[[#This Row],[Current Price]]/Main_S[[#This Row],[Free CF]],""),"")</f>
        <v>-18.21875</v>
      </c>
      <c r="I144" s="1">
        <f>IF(ISNUMBER(Main_S[[#This Row],[BVPS]]),IF(Main_S[[#This Row],[BVPS]]&lt;&gt;0,Main_S[[#This Row],[Current Price]]/Main_S[[#This Row],[BVPS]],""),"")</f>
        <v>3.6211180124223601</v>
      </c>
      <c r="J144">
        <v>-26.87</v>
      </c>
      <c r="K144">
        <v>-12.51</v>
      </c>
      <c r="L144">
        <v>1.39</v>
      </c>
      <c r="M144" s="1">
        <f>IF(ISNUMBER(Main_S[[#This Row],[EPS]]),IF(Main_S[[#This Row],[EPS]]&lt;&gt;0,Main_S[[#This Row],[Current Price]]/Main_S[[#This Row],[EPS]],""),"")</f>
        <v>-12.404255319148938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-2.5559179247859207</v>
      </c>
      <c r="P144" s="1">
        <f>(Main_S[[#This Row],[P/B]]-VLOOKUP(Main_S[[#This Row],[Industry]], Mean_PB_S, 2, FALSE))/(VLOOKUP(Main_S[[#This Row],[Industry]], Mean_PB_S, 3, FALSE))</f>
        <v>0.56152618353121908</v>
      </c>
      <c r="Q144" s="1">
        <f>(Main_S[[#This Row],[ROE]]-VLOOKUP(Main_S[[#This Row],[Industry]], Mean_ROE_S, 2, FALSE))/(VLOOKUP(Main_S[[#This Row],[Industry]], Mean_ROE_S, 3, FALSE))</f>
        <v>-2.4251785723498753</v>
      </c>
      <c r="R144" s="1">
        <f>(Main_S[[#This Row],[ROA]]-VLOOKUP(Main_S[[#This Row],[Industry]], Mean_ROA_S, 2, FALSE))/(VLOOKUP(Main_S[[#This Row],[Industry]], Mean_ROA_S, 3, FALSE))</f>
        <v>-4.6225728458048927</v>
      </c>
      <c r="S144" s="1">
        <f>(Main_S[[#This Row],[A/E]]-VLOOKUP(Main_S[[#This Row],[Industry]], Mean_AE_S, 2, FALSE))/(VLOOKUP(Main_S[[#This Row],[Industry]], Mean_AE_S, 3, FALSE))</f>
        <v>-1.3457704295991422</v>
      </c>
      <c r="T144" s="1">
        <f>(Main_S[[#This Row],[P/E]]-VLOOKUP(Main_S[[#This Row],[Industry]], Mean_PE_S, 2, FALSE))/(VLOOKUP(Main_S[[#This Row],[Industry]], Mean_PE_S, 3, FALSE))</f>
        <v>-1.5037493593944693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t="s">
        <v>205</v>
      </c>
      <c r="B145" t="s">
        <v>553</v>
      </c>
      <c r="C145" s="2">
        <v>287</v>
      </c>
      <c r="D145">
        <f>RTD("tos.rtd", , "LAST", Main_S[[#This Row],[Symbol]])</f>
        <v>5.32</v>
      </c>
      <c r="E145">
        <v>0.69</v>
      </c>
      <c r="F145">
        <v>12.48</v>
      </c>
      <c r="G145">
        <v>0.36</v>
      </c>
      <c r="H145" s="1">
        <f>IF(ISNUMBER(Main_S[[#This Row],[Free CF]]),IF(Main_S[[#This Row],[Free CF]]&lt;&gt;0,Main_S[[#This Row],[Current Price]]/Main_S[[#This Row],[Free CF]],""),"")</f>
        <v>7.7101449275362333</v>
      </c>
      <c r="I145" s="1">
        <f>IF(ISNUMBER(Main_S[[#This Row],[BVPS]]),IF(Main_S[[#This Row],[BVPS]]&lt;&gt;0,Main_S[[#This Row],[Current Price]]/Main_S[[#This Row],[BVPS]],""),"")</f>
        <v>0.42628205128205127</v>
      </c>
      <c r="J145">
        <v>2.96</v>
      </c>
      <c r="K145">
        <v>3.12</v>
      </c>
      <c r="L145">
        <v>1.22</v>
      </c>
      <c r="M145" s="1">
        <f>IF(ISNUMBER(Main_S[[#This Row],[EPS]]),IF(Main_S[[#This Row],[EPS]]&lt;&gt;0,Main_S[[#This Row],[Current Price]]/Main_S[[#This Row],[EPS]],""),"")</f>
        <v>14.777777777777779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-0.17198818837755175</v>
      </c>
      <c r="P145" s="1">
        <f>(Main_S[[#This Row],[P/B]]-VLOOKUP(Main_S[[#This Row],[Industry]], Mean_PB_S, 2, FALSE))/(VLOOKUP(Main_S[[#This Row],[Industry]], Mean_PB_S, 3, FALSE))</f>
        <v>-1.1268374566662138</v>
      </c>
      <c r="Q145" s="1">
        <f>(Main_S[[#This Row],[ROE]]-VLOOKUP(Main_S[[#This Row],[Industry]], Mean_ROE_S, 2, FALSE))/(VLOOKUP(Main_S[[#This Row],[Industry]], Mean_ROE_S, 3, FALSE))</f>
        <v>-0.56887511308031458</v>
      </c>
      <c r="R145" s="1">
        <f>(Main_S[[#This Row],[ROA]]-VLOOKUP(Main_S[[#This Row],[Industry]], Mean_ROA_S, 2, FALSE))/(VLOOKUP(Main_S[[#This Row],[Industry]], Mean_ROA_S, 3, FALSE))</f>
        <v>-0.45724997655502503</v>
      </c>
      <c r="S145" s="1">
        <f>(Main_S[[#This Row],[A/E]]-VLOOKUP(Main_S[[#This Row],[Industry]], Mean_AE_S, 2, FALSE))/(VLOOKUP(Main_S[[#This Row],[Industry]], Mean_AE_S, 3, FALSE))</f>
        <v>-1.5578852390326492</v>
      </c>
      <c r="T145" s="1">
        <f>(Main_S[[#This Row],[P/E]]-VLOOKUP(Main_S[[#This Row],[Industry]], Mean_PE_S, 2, FALSE))/(VLOOKUP(Main_S[[#This Row],[Industry]], Mean_PE_S, 3, FALSE))</f>
        <v>-5.4155025006232364E-2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t="s">
        <v>205</v>
      </c>
      <c r="B146" t="s">
        <v>554</v>
      </c>
      <c r="C146" s="2">
        <v>359</v>
      </c>
      <c r="D146">
        <f>RTD("tos.rtd", , "LAST", Main_S[[#This Row],[Symbol]])</f>
        <v>12.32</v>
      </c>
      <c r="E146">
        <v>-2.61</v>
      </c>
      <c r="F146">
        <v>3.51</v>
      </c>
      <c r="G146">
        <v>-3.49</v>
      </c>
      <c r="H146" s="1">
        <f>IF(ISNUMBER(Main_S[[#This Row],[Free CF]]),IF(Main_S[[#This Row],[Free CF]]&lt;&gt;0,Main_S[[#This Row],[Current Price]]/Main_S[[#This Row],[Free CF]],""),"")</f>
        <v>-4.7203065134099624</v>
      </c>
      <c r="I146" s="1">
        <f>IF(ISNUMBER(Main_S[[#This Row],[BVPS]]),IF(Main_S[[#This Row],[BVPS]]&lt;&gt;0,Main_S[[#This Row],[Current Price]]/Main_S[[#This Row],[BVPS]],""),"")</f>
        <v>3.5099715099715101</v>
      </c>
      <c r="J146">
        <v>-79.87</v>
      </c>
      <c r="K146">
        <v>-10.24</v>
      </c>
      <c r="L146">
        <v>3.14</v>
      </c>
      <c r="M146" s="1">
        <f>IF(ISNUMBER(Main_S[[#This Row],[EPS]]),IF(Main_S[[#This Row],[EPS]]&lt;&gt;0,Main_S[[#This Row],[Current Price]]/Main_S[[#This Row],[EPS]],""),"")</f>
        <v>-3.5300859598853869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-1.3148569033717104</v>
      </c>
      <c r="P146" s="1">
        <f>(Main_S[[#This Row],[P/B]]-VLOOKUP(Main_S[[#This Row],[Industry]], Mean_PB_S, 2, FALSE))/(VLOOKUP(Main_S[[#This Row],[Industry]], Mean_PB_S, 3, FALSE))</f>
        <v>0.50278898520378079</v>
      </c>
      <c r="Q146" s="1">
        <f>(Main_S[[#This Row],[ROE]]-VLOOKUP(Main_S[[#This Row],[Industry]], Mean_ROE_S, 2, FALSE))/(VLOOKUP(Main_S[[#This Row],[Industry]], Mean_ROE_S, 3, FALSE))</f>
        <v>-5.7233375847966306</v>
      </c>
      <c r="R146" s="1">
        <f>(Main_S[[#This Row],[ROA]]-VLOOKUP(Main_S[[#This Row],[Industry]], Mean_ROA_S, 2, FALSE))/(VLOOKUP(Main_S[[#This Row],[Industry]], Mean_ROA_S, 3, FALSE))</f>
        <v>-4.0176283216080142</v>
      </c>
      <c r="S146" s="1">
        <f>(Main_S[[#This Row],[A/E]]-VLOOKUP(Main_S[[#This Row],[Industry]], Mean_AE_S, 2, FALSE))/(VLOOKUP(Main_S[[#This Row],[Industry]], Mean_AE_S, 3, FALSE))</f>
        <v>0.83776437339284293</v>
      </c>
      <c r="T146" s="1">
        <f>(Main_S[[#This Row],[P/E]]-VLOOKUP(Main_S[[#This Row],[Industry]], Mean_PE_S, 2, FALSE))/(VLOOKUP(Main_S[[#This Row],[Industry]], Mean_PE_S, 3, FALSE))</f>
        <v>-1.0304975765083475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t="s">
        <v>205</v>
      </c>
      <c r="B147" t="s">
        <v>555</v>
      </c>
      <c r="C147" s="2">
        <v>613</v>
      </c>
      <c r="D147">
        <f>RTD("tos.rtd", , "LAST", Main_S[[#This Row],[Symbol]])</f>
        <v>57.21</v>
      </c>
      <c r="E147">
        <v>3.31</v>
      </c>
      <c r="F147">
        <v>15.86</v>
      </c>
      <c r="G147">
        <v>1.63</v>
      </c>
      <c r="H147" s="1">
        <f>IF(ISNUMBER(Main_S[[#This Row],[Free CF]]),IF(Main_S[[#This Row],[Free CF]]&lt;&gt;0,Main_S[[#This Row],[Current Price]]/Main_S[[#This Row],[Free CF]],""),"")</f>
        <v>17.283987915407856</v>
      </c>
      <c r="I147" s="1">
        <f>IF(ISNUMBER(Main_S[[#This Row],[BVPS]]),IF(Main_S[[#This Row],[BVPS]]&lt;&gt;0,Main_S[[#This Row],[Current Price]]/Main_S[[#This Row],[BVPS]],""),"")</f>
        <v>3.6071878940731401</v>
      </c>
      <c r="J147">
        <v>11.04</v>
      </c>
      <c r="K147">
        <v>4.75</v>
      </c>
      <c r="L147">
        <v>2</v>
      </c>
      <c r="M147" s="1">
        <f>IF(ISNUMBER(Main_S[[#This Row],[EPS]]),IF(Main_S[[#This Row],[EPS]]&lt;&gt;0,Main_S[[#This Row],[Current Price]]/Main_S[[#This Row],[EPS]],""),"")</f>
        <v>35.098159509202453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0.70824095575977564</v>
      </c>
      <c r="P147" s="1">
        <f>(Main_S[[#This Row],[P/B]]-VLOOKUP(Main_S[[#This Row],[Industry]], Mean_PB_S, 2, FALSE))/(VLOOKUP(Main_S[[#This Row],[Industry]], Mean_PB_S, 3, FALSE))</f>
        <v>0.55416458324546425</v>
      </c>
      <c r="Q147" s="1">
        <f>(Main_S[[#This Row],[ROE]]-VLOOKUP(Main_S[[#This Row],[Industry]], Mean_ROE_S, 2, FALSE))/(VLOOKUP(Main_S[[#This Row],[Industry]], Mean_ROE_S, 3, FALSE))</f>
        <v>-6.6061437220507488E-2</v>
      </c>
      <c r="R147" s="1">
        <f>(Main_S[[#This Row],[ROA]]-VLOOKUP(Main_S[[#This Row],[Industry]], Mean_ROA_S, 2, FALSE))/(VLOOKUP(Main_S[[#This Row],[Industry]], Mean_ROA_S, 3, FALSE))</f>
        <v>-2.2862498827751616E-2</v>
      </c>
      <c r="S147" s="1">
        <f>(Main_S[[#This Row],[A/E]]-VLOOKUP(Main_S[[#This Row],[Industry]], Mean_AE_S, 2, FALSE))/(VLOOKUP(Main_S[[#This Row],[Industry]], Mean_AE_S, 3, FALSE))</f>
        <v>-0.58465258398479303</v>
      </c>
      <c r="T147" s="1">
        <f>(Main_S[[#This Row],[P/E]]-VLOOKUP(Main_S[[#This Row],[Industry]], Mean_PE_S, 2, FALSE))/(VLOOKUP(Main_S[[#This Row],[Industry]], Mean_PE_S, 3, FALSE))</f>
        <v>1.0295133718882536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t="s">
        <v>205</v>
      </c>
      <c r="B148" t="s">
        <v>556</v>
      </c>
      <c r="C148" s="2">
        <v>644</v>
      </c>
      <c r="D148">
        <f>RTD("tos.rtd", , "LAST", Main_S[[#This Row],[Symbol]])</f>
        <v>2.72</v>
      </c>
      <c r="E148">
        <v>-0.36</v>
      </c>
      <c r="F148">
        <v>5.49</v>
      </c>
      <c r="G148">
        <v>2.2000000000000002</v>
      </c>
      <c r="H148" s="1">
        <f>IF(ISNUMBER(Main_S[[#This Row],[Free CF]]),IF(Main_S[[#This Row],[Free CF]]&lt;&gt;0,Main_S[[#This Row],[Current Price]]/Main_S[[#This Row],[Free CF]],""),"")</f>
        <v>-7.5555555555555562</v>
      </c>
      <c r="I148" s="1">
        <f>IF(ISNUMBER(Main_S[[#This Row],[BVPS]]),IF(Main_S[[#This Row],[BVPS]]&lt;&gt;0,Main_S[[#This Row],[Current Price]]/Main_S[[#This Row],[BVPS]],""),"")</f>
        <v>0.49544626593806923</v>
      </c>
      <c r="J148">
        <v>49.75</v>
      </c>
      <c r="K148">
        <v>-0.02</v>
      </c>
      <c r="L148">
        <v>3.24</v>
      </c>
      <c r="M148" s="1">
        <f>IF(ISNUMBER(Main_S[[#This Row],[EPS]]),IF(Main_S[[#This Row],[EPS]]&lt;&gt;0,Main_S[[#This Row],[Current Price]]/Main_S[[#This Row],[EPS]],""),"")</f>
        <v>1.2363636363636363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-1.5755326676333101</v>
      </c>
      <c r="P148" s="1">
        <f>(Main_S[[#This Row],[P/B]]-VLOOKUP(Main_S[[#This Row],[Industry]], Mean_PB_S, 2, FALSE))/(VLOOKUP(Main_S[[#This Row],[Industry]], Mean_PB_S, 3, FALSE))</f>
        <v>-1.0902864892148671</v>
      </c>
      <c r="Q148" s="1">
        <f>(Main_S[[#This Row],[ROE]]-VLOOKUP(Main_S[[#This Row],[Industry]], Mean_ROE_S, 2, FALSE))/(VLOOKUP(Main_S[[#This Row],[Industry]], Mean_ROE_S, 3, FALSE))</f>
        <v>2.3428392301722072</v>
      </c>
      <c r="R148" s="1">
        <f>(Main_S[[#This Row],[ROA]]-VLOOKUP(Main_S[[#This Row],[Industry]], Mean_ROA_S, 2, FALSE))/(VLOOKUP(Main_S[[#This Row],[Industry]], Mean_ROA_S, 3, FALSE))</f>
        <v>-1.2940454857965209</v>
      </c>
      <c r="S148" s="1">
        <f>(Main_S[[#This Row],[A/E]]-VLOOKUP(Main_S[[#This Row],[Industry]], Mean_AE_S, 2, FALSE))/(VLOOKUP(Main_S[[#This Row],[Industry]], Mean_AE_S, 3, FALSE))</f>
        <v>0.96253779070667067</v>
      </c>
      <c r="T148" s="1">
        <f>(Main_S[[#This Row],[P/E]]-VLOOKUP(Main_S[[#This Row],[Industry]], Mean_PE_S, 2, FALSE))/(VLOOKUP(Main_S[[#This Row],[Industry]], Mean_PE_S, 3, FALSE))</f>
        <v>-0.77630693869873935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t="s">
        <v>205</v>
      </c>
      <c r="B149" t="s">
        <v>557</v>
      </c>
      <c r="C149" s="2">
        <v>1579</v>
      </c>
      <c r="D149">
        <f>RTD("tos.rtd", , "LAST", Main_S[[#This Row],[Symbol]])</f>
        <v>64.599999999999994</v>
      </c>
      <c r="E149">
        <v>3.9</v>
      </c>
      <c r="F149">
        <v>10.28</v>
      </c>
      <c r="G149">
        <v>2.27</v>
      </c>
      <c r="H149" s="1">
        <f>IF(ISNUMBER(Main_S[[#This Row],[Free CF]]),IF(Main_S[[#This Row],[Free CF]]&lt;&gt;0,Main_S[[#This Row],[Current Price]]/Main_S[[#This Row],[Free CF]],""),"")</f>
        <v>16.564102564102562</v>
      </c>
      <c r="I149" s="1">
        <f>IF(ISNUMBER(Main_S[[#This Row],[BVPS]]),IF(Main_S[[#This Row],[BVPS]]&lt;&gt;0,Main_S[[#This Row],[Current Price]]/Main_S[[#This Row],[BVPS]],""),"")</f>
        <v>6.2840466926070038</v>
      </c>
      <c r="J149">
        <v>23.7</v>
      </c>
      <c r="K149">
        <v>6.17</v>
      </c>
      <c r="L149">
        <v>4.8099999999999996</v>
      </c>
      <c r="M149" s="1">
        <f>IF(ISNUMBER(Main_S[[#This Row],[EPS]]),IF(Main_S[[#This Row],[EPS]]&lt;&gt;0,Main_S[[#This Row],[Current Price]]/Main_S[[#This Row],[EPS]],""),"")</f>
        <v>28.458149779735681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0.64205394314016206</v>
      </c>
      <c r="P149" s="1">
        <f>(Main_S[[#This Row],[P/B]]-VLOOKUP(Main_S[[#This Row],[Industry]], Mean_PB_S, 2, FALSE))/(VLOOKUP(Main_S[[#This Row],[Industry]], Mean_PB_S, 3, FALSE))</f>
        <v>1.9687946676564476</v>
      </c>
      <c r="Q149" s="1">
        <f>(Main_S[[#This Row],[ROE]]-VLOOKUP(Main_S[[#This Row],[Industry]], Mean_ROE_S, 2, FALSE))/(VLOOKUP(Main_S[[#This Row],[Industry]], Mean_ROE_S, 3, FALSE))</f>
        <v>0.72176296084696268</v>
      </c>
      <c r="R149" s="1">
        <f>(Main_S[[#This Row],[ROA]]-VLOOKUP(Main_S[[#This Row],[Industry]], Mean_ROA_S, 2, FALSE))/(VLOOKUP(Main_S[[#This Row],[Industry]], Mean_ROA_S, 3, FALSE))</f>
        <v>0.35556094802668287</v>
      </c>
      <c r="S149" s="1">
        <f>(Main_S[[#This Row],[A/E]]-VLOOKUP(Main_S[[#This Row],[Industry]], Mean_AE_S, 2, FALSE))/(VLOOKUP(Main_S[[#This Row],[Industry]], Mean_AE_S, 3, FALSE))</f>
        <v>2.921480442533765</v>
      </c>
      <c r="T149" s="1">
        <f>(Main_S[[#This Row],[P/E]]-VLOOKUP(Main_S[[#This Row],[Industry]], Mean_PE_S, 2, FALSE))/(VLOOKUP(Main_S[[#This Row],[Industry]], Mean_PE_S, 3, FALSE))</f>
        <v>0.67540739130190575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t="s">
        <v>205</v>
      </c>
      <c r="B150" t="s">
        <v>558</v>
      </c>
      <c r="C150" s="2">
        <v>1359</v>
      </c>
      <c r="D150">
        <f>RTD("tos.rtd", , "LAST", Main_S[[#This Row],[Symbol]])</f>
        <v>16.68</v>
      </c>
      <c r="E150">
        <v>1.25</v>
      </c>
      <c r="F150">
        <v>5.48</v>
      </c>
      <c r="G150">
        <v>0.57999999999999996</v>
      </c>
      <c r="H150" s="1">
        <f>IF(ISNUMBER(Main_S[[#This Row],[Free CF]]),IF(Main_S[[#This Row],[Free CF]]&lt;&gt;0,Main_S[[#This Row],[Current Price]]/Main_S[[#This Row],[Free CF]],""),"")</f>
        <v>13.343999999999999</v>
      </c>
      <c r="I150" s="1">
        <f>IF(ISNUMBER(Main_S[[#This Row],[BVPS]]),IF(Main_S[[#This Row],[BVPS]]&lt;&gt;0,Main_S[[#This Row],[Current Price]]/Main_S[[#This Row],[BVPS]],""),"")</f>
        <v>3.0437956204379559</v>
      </c>
      <c r="J150">
        <v>11.6</v>
      </c>
      <c r="K150">
        <v>7.62</v>
      </c>
      <c r="L150">
        <v>1.92</v>
      </c>
      <c r="M150" s="1">
        <f>IF(ISNUMBER(Main_S[[#This Row],[EPS]]),IF(Main_S[[#This Row],[EPS]]&lt;&gt;0,Main_S[[#This Row],[Current Price]]/Main_S[[#This Row],[EPS]],""),"")</f>
        <v>28.758620689655174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0.34599434328823903</v>
      </c>
      <c r="P150" s="1">
        <f>(Main_S[[#This Row],[P/B]]-VLOOKUP(Main_S[[#This Row],[Industry]], Mean_PB_S, 2, FALSE))/(VLOOKUP(Main_S[[#This Row],[Industry]], Mean_PB_S, 3, FALSE))</f>
        <v>0.25643066465194153</v>
      </c>
      <c r="Q150" s="1">
        <f>(Main_S[[#This Row],[ROE]]-VLOOKUP(Main_S[[#This Row],[Industry]], Mean_ROE_S, 2, FALSE))/(VLOOKUP(Main_S[[#This Row],[Industry]], Mean_ROE_S, 3, FALSE))</f>
        <v>-3.1212964636164388E-2</v>
      </c>
      <c r="R150" s="1">
        <f>(Main_S[[#This Row],[ROA]]-VLOOKUP(Main_S[[#This Row],[Industry]], Mean_ROA_S, 2, FALSE))/(VLOOKUP(Main_S[[#This Row],[Industry]], Mean_ROA_S, 3, FALSE))</f>
        <v>0.74197925643438012</v>
      </c>
      <c r="S150" s="1">
        <f>(Main_S[[#This Row],[A/E]]-VLOOKUP(Main_S[[#This Row],[Industry]], Mean_AE_S, 2, FALSE))/(VLOOKUP(Main_S[[#This Row],[Industry]], Mean_AE_S, 3, FALSE))</f>
        <v>-0.68447131783585524</v>
      </c>
      <c r="T150" s="1">
        <f>(Main_S[[#This Row],[P/E]]-VLOOKUP(Main_S[[#This Row],[Industry]], Mean_PE_S, 2, FALSE))/(VLOOKUP(Main_S[[#This Row],[Industry]], Mean_PE_S, 3, FALSE))</f>
        <v>0.69143124526141775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t="s">
        <v>205</v>
      </c>
      <c r="B151" t="s">
        <v>559</v>
      </c>
      <c r="C151" s="2">
        <v>1089</v>
      </c>
      <c r="D151">
        <f>RTD("tos.rtd", , "LAST", Main_S[[#This Row],[Symbol]])</f>
        <v>2.84</v>
      </c>
      <c r="E151">
        <v>1.47</v>
      </c>
      <c r="F151">
        <v>7.45</v>
      </c>
      <c r="G151">
        <v>-0.05</v>
      </c>
      <c r="H151" s="1">
        <f>IF(ISNUMBER(Main_S[[#This Row],[Free CF]]),IF(Main_S[[#This Row],[Free CF]]&lt;&gt;0,Main_S[[#This Row],[Current Price]]/Main_S[[#This Row],[Free CF]],""),"")</f>
        <v>1.9319727891156462</v>
      </c>
      <c r="I151" s="1">
        <f>IF(ISNUMBER(Main_S[[#This Row],[BVPS]]),IF(Main_S[[#This Row],[BVPS]]&lt;&gt;0,Main_S[[#This Row],[Current Price]]/Main_S[[#This Row],[BVPS]],""),"")</f>
        <v>0.38120805369127514</v>
      </c>
      <c r="J151">
        <v>1.54</v>
      </c>
      <c r="K151">
        <v>2.09</v>
      </c>
      <c r="L151">
        <v>2.2799999999999998</v>
      </c>
      <c r="M151" s="1">
        <f>IF(ISNUMBER(Main_S[[#This Row],[EPS]]),IF(Main_S[[#This Row],[EPS]]&lt;&gt;0,Main_S[[#This Row],[Current Price]]/Main_S[[#This Row],[EPS]],""),"")</f>
        <v>-56.8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-0.70323938212736781</v>
      </c>
      <c r="P151" s="1">
        <f>(Main_S[[#This Row],[P/B]]-VLOOKUP(Main_S[[#This Row],[Industry]], Mean_PB_S, 2, FALSE))/(VLOOKUP(Main_S[[#This Row],[Industry]], Mean_PB_S, 3, FALSE))</f>
        <v>-1.1506575524633862</v>
      </c>
      <c r="Q151" s="1">
        <f>(Main_S[[#This Row],[ROE]]-VLOOKUP(Main_S[[#This Row],[Industry]], Mean_ROE_S, 2, FALSE))/(VLOOKUP(Main_S[[#This Row],[Industry]], Mean_ROE_S, 3, FALSE))</f>
        <v>-0.65724088284775606</v>
      </c>
      <c r="R151" s="1">
        <f>(Main_S[[#This Row],[ROA]]-VLOOKUP(Main_S[[#This Row],[Industry]], Mean_ROA_S, 2, FALSE))/(VLOOKUP(Main_S[[#This Row],[Industry]], Mean_ROA_S, 3, FALSE))</f>
        <v>-0.73174022321704446</v>
      </c>
      <c r="S151" s="1">
        <f>(Main_S[[#This Row],[A/E]]-VLOOKUP(Main_S[[#This Row],[Industry]], Mean_AE_S, 2, FALSE))/(VLOOKUP(Main_S[[#This Row],[Industry]], Mean_AE_S, 3, FALSE))</f>
        <v>-0.2352870155060757</v>
      </c>
      <c r="T151" s="1">
        <f>(Main_S[[#This Row],[P/E]]-VLOOKUP(Main_S[[#This Row],[Industry]], Mean_PE_S, 2, FALSE))/(VLOOKUP(Main_S[[#This Row],[Industry]], Mean_PE_S, 3, FALSE))</f>
        <v>-3.871336056490525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2" spans="1:26" x14ac:dyDescent="0.25">
      <c r="A152" t="s">
        <v>182</v>
      </c>
      <c r="B152" t="s">
        <v>500</v>
      </c>
      <c r="C152" s="2">
        <v>268</v>
      </c>
      <c r="D152">
        <f>RTD("tos.rtd", , "LAST", Main_S[[#This Row],[Symbol]])</f>
        <v>6.01</v>
      </c>
      <c r="E152">
        <v>1.1100000000000001</v>
      </c>
      <c r="F152">
        <v>2.89</v>
      </c>
      <c r="G152">
        <v>-1.7</v>
      </c>
      <c r="H152" s="1">
        <f>IF(ISNUMBER(Main_S[[#This Row],[Free CF]]),IF(Main_S[[#This Row],[Free CF]]&lt;&gt;0,Main_S[[#This Row],[Current Price]]/Main_S[[#This Row],[Free CF]],""),"")</f>
        <v>5.4144144144144137</v>
      </c>
      <c r="I152" s="1">
        <f>IF(ISNUMBER(Main_S[[#This Row],[BVPS]]),IF(Main_S[[#This Row],[BVPS]]&lt;&gt;0,Main_S[[#This Row],[Current Price]]/Main_S[[#This Row],[BVPS]],""),"")</f>
        <v>2.0795847750865049</v>
      </c>
      <c r="J152">
        <v>-43.91</v>
      </c>
      <c r="K152">
        <v>1.17</v>
      </c>
      <c r="L152">
        <v>16.190000000000001</v>
      </c>
      <c r="M152" s="1">
        <f>IF(ISNUMBER(Main_S[[#This Row],[EPS]]),IF(Main_S[[#This Row],[EPS]]&lt;&gt;0,Main_S[[#This Row],[Current Price]]/Main_S[[#This Row],[EPS]],""),"")</f>
        <v>-3.5352941176470587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-8.123255351631109E-2</v>
      </c>
      <c r="P152" s="1">
        <f>(Main_S[[#This Row],[P/B]]-VLOOKUP(Main_S[[#This Row],[Industry]], Mean_PB_S, 2, FALSE))/(VLOOKUP(Main_S[[#This Row],[Industry]], Mean_PB_S, 3, FALSE))</f>
        <v>-0.10250045295133509</v>
      </c>
      <c r="Q152" s="1">
        <f>(Main_S[[#This Row],[ROE]]-VLOOKUP(Main_S[[#This Row],[Industry]], Mean_ROE_S, 2, FALSE))/(VLOOKUP(Main_S[[#This Row],[Industry]], Mean_ROE_S, 3, FALSE))</f>
        <v>-4.741629153387521</v>
      </c>
      <c r="R152" s="1">
        <f>(Main_S[[#This Row],[ROA]]-VLOOKUP(Main_S[[#This Row],[Industry]], Mean_ROA_S, 2, FALSE))/(VLOOKUP(Main_S[[#This Row],[Industry]], Mean_ROA_S, 3, FALSE))</f>
        <v>-1.059565299247202</v>
      </c>
      <c r="S152" s="1">
        <f>(Main_S[[#This Row],[A/E]]-VLOOKUP(Main_S[[#This Row],[Industry]], Mean_AE_S, 2, FALSE))/(VLOOKUP(Main_S[[#This Row],[Industry]], Mean_AE_S, 3, FALSE))</f>
        <v>16.655598312882457</v>
      </c>
      <c r="T152" s="1">
        <f>(Main_S[[#This Row],[P/E]]-VLOOKUP(Main_S[[#This Row],[Industry]], Mean_PE_S, 2, FALSE))/(VLOOKUP(Main_S[[#This Row],[Industry]], Mean_PE_S, 3, FALSE))</f>
        <v>-1.5107742025177919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t="s">
        <v>182</v>
      </c>
      <c r="B153" t="s">
        <v>501</v>
      </c>
      <c r="C153" s="2">
        <v>1067</v>
      </c>
      <c r="D153">
        <f>RTD("tos.rtd", , "LAST", Main_S[[#This Row],[Symbol]])</f>
        <v>69.23</v>
      </c>
      <c r="E153">
        <v>13.06</v>
      </c>
      <c r="F153">
        <v>77.83</v>
      </c>
      <c r="G153">
        <v>3.41</v>
      </c>
      <c r="H153" s="1">
        <f>IF(ISNUMBER(Main_S[[#This Row],[Free CF]]),IF(Main_S[[#This Row],[Free CF]]&lt;&gt;0,Main_S[[#This Row],[Current Price]]/Main_S[[#This Row],[Free CF]],""),"")</f>
        <v>5.3009188361408883</v>
      </c>
      <c r="I153" s="1">
        <f>IF(ISNUMBER(Main_S[[#This Row],[BVPS]]),IF(Main_S[[#This Row],[BVPS]]&lt;&gt;0,Main_S[[#This Row],[Current Price]]/Main_S[[#This Row],[BVPS]],""),"")</f>
        <v>0.88950276243093929</v>
      </c>
      <c r="J153">
        <v>4.62</v>
      </c>
      <c r="K153">
        <v>3.93</v>
      </c>
      <c r="L153">
        <v>2.46</v>
      </c>
      <c r="M153" s="1">
        <f>IF(ISNUMBER(Main_S[[#This Row],[EPS]]),IF(Main_S[[#This Row],[EPS]]&lt;&gt;0,Main_S[[#This Row],[Current Price]]/Main_S[[#This Row],[EPS]],""),"")</f>
        <v>20.302052785923753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-9.0109708108579864E-2</v>
      </c>
      <c r="P153" s="1">
        <f>(Main_S[[#This Row],[P/B]]-VLOOKUP(Main_S[[#This Row],[Industry]], Mean_PB_S, 2, FALSE))/(VLOOKUP(Main_S[[#This Row],[Industry]], Mean_PB_S, 3, FALSE))</f>
        <v>-1.111169066267105</v>
      </c>
      <c r="Q153" s="1">
        <f>(Main_S[[#This Row],[ROE]]-VLOOKUP(Main_S[[#This Row],[Industry]], Mean_ROE_S, 2, FALSE))/(VLOOKUP(Main_S[[#This Row],[Industry]], Mean_ROE_S, 3, FALSE))</f>
        <v>-0.30629089144559468</v>
      </c>
      <c r="R153" s="1">
        <f>(Main_S[[#This Row],[ROA]]-VLOOKUP(Main_S[[#This Row],[Industry]], Mean_ROA_S, 2, FALSE))/(VLOOKUP(Main_S[[#This Row],[Industry]], Mean_ROA_S, 3, FALSE))</f>
        <v>-0.18312167509467125</v>
      </c>
      <c r="S153" s="1">
        <f>(Main_S[[#This Row],[A/E]]-VLOOKUP(Main_S[[#This Row],[Industry]], Mean_AE_S, 2, FALSE))/(VLOOKUP(Main_S[[#This Row],[Industry]], Mean_AE_S, 3, FALSE))</f>
        <v>0.15537098874564387</v>
      </c>
      <c r="T153" s="1">
        <f>(Main_S[[#This Row],[P/E]]-VLOOKUP(Main_S[[#This Row],[Industry]], Mean_PE_S, 2, FALSE))/(VLOOKUP(Main_S[[#This Row],[Industry]], Mean_PE_S, 3, FALSE))</f>
        <v>0.2947786666685826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t="s">
        <v>182</v>
      </c>
      <c r="B154" t="s">
        <v>502</v>
      </c>
      <c r="C154" s="2">
        <v>1328</v>
      </c>
      <c r="D154">
        <f>RTD("tos.rtd", , "LAST", Main_S[[#This Row],[Symbol]])</f>
        <v>4.6399999999999997</v>
      </c>
      <c r="E154">
        <v>-0.56000000000000005</v>
      </c>
      <c r="F154">
        <v>3.59</v>
      </c>
      <c r="G154">
        <v>-0.17</v>
      </c>
      <c r="H154" s="1">
        <f>IF(ISNUMBER(Main_S[[#This Row],[Free CF]]),IF(Main_S[[#This Row],[Free CF]]&lt;&gt;0,Main_S[[#This Row],[Current Price]]/Main_S[[#This Row],[Free CF]],""),"")</f>
        <v>-8.2857142857142847</v>
      </c>
      <c r="I154" s="1">
        <f>IF(ISNUMBER(Main_S[[#This Row],[BVPS]]),IF(Main_S[[#This Row],[BVPS]]&lt;&gt;0,Main_S[[#This Row],[Current Price]]/Main_S[[#This Row],[BVPS]],""),"")</f>
        <v>1.2924791086350975</v>
      </c>
      <c r="J154">
        <v>-4.58</v>
      </c>
      <c r="K154">
        <v>2.41</v>
      </c>
      <c r="L154">
        <v>4.2699999999999996</v>
      </c>
      <c r="M154" s="1">
        <f>IF(ISNUMBER(Main_S[[#This Row],[EPS]]),IF(Main_S[[#This Row],[EPS]]&lt;&gt;0,Main_S[[#This Row],[Current Price]]/Main_S[[#This Row],[EPS]],""),"")</f>
        <v>-27.294117647058819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-1.1527999419120047</v>
      </c>
      <c r="P154" s="1">
        <f>(Main_S[[#This Row],[P/B]]-VLOOKUP(Main_S[[#This Row],[Industry]], Mean_PB_S, 2, FALSE))/(VLOOKUP(Main_S[[#This Row],[Industry]], Mean_PB_S, 3, FALSE))</f>
        <v>-0.7696215191213398</v>
      </c>
      <c r="Q154" s="1">
        <f>(Main_S[[#This Row],[ROE]]-VLOOKUP(Main_S[[#This Row],[Industry]], Mean_ROE_S, 2, FALSE))/(VLOOKUP(Main_S[[#This Row],[Industry]], Mean_ROE_S, 3, FALSE))</f>
        <v>-1.1471133107710785</v>
      </c>
      <c r="R154" s="1">
        <f>(Main_S[[#This Row],[ROA]]-VLOOKUP(Main_S[[#This Row],[Industry]], Mean_ROA_S, 2, FALSE))/(VLOOKUP(Main_S[[#This Row],[Industry]], Mean_ROA_S, 3, FALSE))</f>
        <v>-0.66580077245403602</v>
      </c>
      <c r="S154" s="1">
        <f>(Main_S[[#This Row],[A/E]]-VLOOKUP(Main_S[[#This Row],[Industry]], Mean_AE_S, 2, FALSE))/(VLOOKUP(Main_S[[#This Row],[Industry]], Mean_AE_S, 3, FALSE))</f>
        <v>2.3305648311846547</v>
      </c>
      <c r="T154" s="1">
        <f>(Main_S[[#This Row],[P/E]]-VLOOKUP(Main_S[[#This Row],[Industry]], Mean_PE_S, 2, FALSE))/(VLOOKUP(Main_S[[#This Row],[Industry]], Mean_PE_S, 3, FALSE))</f>
        <v>-3.3103793416952603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5" spans="1:26" x14ac:dyDescent="0.25">
      <c r="A155" t="s">
        <v>182</v>
      </c>
      <c r="B155" t="s">
        <v>503</v>
      </c>
      <c r="C155" s="2">
        <v>1549</v>
      </c>
      <c r="D155">
        <f>RTD("tos.rtd", , "LAST", Main_S[[#This Row],[Symbol]])</f>
        <v>14.81</v>
      </c>
      <c r="E155">
        <v>2.56</v>
      </c>
      <c r="F155">
        <v>10.51</v>
      </c>
      <c r="G155">
        <v>1.88</v>
      </c>
      <c r="H155" s="1">
        <f>IF(ISNUMBER(Main_S[[#This Row],[Free CF]]),IF(Main_S[[#This Row],[Free CF]]&lt;&gt;0,Main_S[[#This Row],[Current Price]]/Main_S[[#This Row],[Free CF]],""),"")</f>
        <v>5.78515625</v>
      </c>
      <c r="I155" s="1">
        <f>IF(ISNUMBER(Main_S[[#This Row],[BVPS]]),IF(Main_S[[#This Row],[BVPS]]&lt;&gt;0,Main_S[[#This Row],[Current Price]]/Main_S[[#This Row],[BVPS]],""),"")</f>
        <v>1.4091341579448144</v>
      </c>
      <c r="J155">
        <v>20.350000000000001</v>
      </c>
      <c r="K155">
        <v>5.95</v>
      </c>
      <c r="L155">
        <v>1.42</v>
      </c>
      <c r="M155" s="1">
        <f>IF(ISNUMBER(Main_S[[#This Row],[EPS]]),IF(Main_S[[#This Row],[EPS]]&lt;&gt;0,Main_S[[#This Row],[Current Price]]/Main_S[[#This Row],[EPS]],""),"")</f>
        <v>7.877659574468086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55" s="1">
        <f>(Main_S[[#This Row],[P/FCF]]-VLOOKUP(Main_S[[#This Row],[Industry]], Mean_PFCF_S, 2, FALSE))/(VLOOKUP(Main_S[[#This Row],[Industry]], Mean_PFCF_S, 3, FALSE))</f>
        <v>-5.2234660925437819E-2</v>
      </c>
      <c r="P155" s="1">
        <f>(Main_S[[#This Row],[P/B]]-VLOOKUP(Main_S[[#This Row],[Industry]], Mean_PB_S, 2, FALSE))/(VLOOKUP(Main_S[[#This Row],[Industry]], Mean_PB_S, 3, FALSE))</f>
        <v>-0.67074910060544879</v>
      </c>
      <c r="Q155" s="1">
        <f>(Main_S[[#This Row],[ROE]]-VLOOKUP(Main_S[[#This Row],[Industry]], Mean_ROE_S, 2, FALSE))/(VLOOKUP(Main_S[[#This Row],[Industry]], Mean_ROE_S, 3, FALSE))</f>
        <v>1.1313326581185204</v>
      </c>
      <c r="R155" s="1">
        <f>(Main_S[[#This Row],[ROA]]-VLOOKUP(Main_S[[#This Row],[Industry]], Mean_ROA_S, 2, FALSE))/(VLOOKUP(Main_S[[#This Row],[Industry]], Mean_ROA_S, 3, FALSE))</f>
        <v>0.45833344113290553</v>
      </c>
      <c r="S155" s="1">
        <f>(Main_S[[#This Row],[A/E]]-VLOOKUP(Main_S[[#This Row],[Industry]], Mean_AE_S, 2, FALSE))/(VLOOKUP(Main_S[[#This Row],[Industry]], Mean_AE_S, 3, FALSE))</f>
        <v>-1.0944641472414125</v>
      </c>
      <c r="T155" s="1">
        <f>(Main_S[[#This Row],[P/E]]-VLOOKUP(Main_S[[#This Row],[Industry]], Mean_PE_S, 2, FALSE))/(VLOOKUP(Main_S[[#This Row],[Industry]], Mean_PE_S, 3, FALSE))</f>
        <v>-0.64630336320627169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t="s">
        <v>182</v>
      </c>
      <c r="B156" t="s">
        <v>504</v>
      </c>
      <c r="C156" s="2">
        <v>1851</v>
      </c>
      <c r="D156">
        <f>RTD("tos.rtd", , "LAST", Main_S[[#This Row],[Symbol]])</f>
        <v>27.57</v>
      </c>
      <c r="E156">
        <v>0.39</v>
      </c>
      <c r="F156">
        <v>14.53</v>
      </c>
      <c r="G156">
        <v>0.04</v>
      </c>
      <c r="H156" s="1">
        <f>IF(ISNUMBER(Main_S[[#This Row],[Free CF]]),IF(Main_S[[#This Row],[Free CF]]&lt;&gt;0,Main_S[[#This Row],[Current Price]]/Main_S[[#This Row],[Free CF]],""),"")</f>
        <v>70.692307692307693</v>
      </c>
      <c r="I156" s="1">
        <f>IF(ISNUMBER(Main_S[[#This Row],[BVPS]]),IF(Main_S[[#This Row],[BVPS]]&lt;&gt;0,Main_S[[#This Row],[Current Price]]/Main_S[[#This Row],[BVPS]],""),"")</f>
        <v>1.8974535443909155</v>
      </c>
      <c r="J156">
        <v>0.33</v>
      </c>
      <c r="K156">
        <v>1.81</v>
      </c>
      <c r="L156">
        <v>2.62</v>
      </c>
      <c r="M156" s="1">
        <f>IF(ISNUMBER(Main_S[[#This Row],[EPS]]),IF(Main_S[[#This Row],[EPS]]&lt;&gt;0,Main_S[[#This Row],[Current Price]]/Main_S[[#This Row],[EPS]],""),"")</f>
        <v>689.25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5.0245341988141101</v>
      </c>
      <c r="P156" s="1">
        <f>(Main_S[[#This Row],[P/B]]-VLOOKUP(Main_S[[#This Row],[Industry]], Mean_PB_S, 2, FALSE))/(VLOOKUP(Main_S[[#This Row],[Industry]], Mean_PB_S, 3, FALSE))</f>
        <v>-0.25686801245866814</v>
      </c>
      <c r="Q156" s="1">
        <f>(Main_S[[#This Row],[ROE]]-VLOOKUP(Main_S[[#This Row],[Industry]], Mean_ROE_S, 2, FALSE))/(VLOOKUP(Main_S[[#This Row],[Industry]], Mean_ROE_S, 3, FALSE))</f>
        <v>-0.69837004132671698</v>
      </c>
      <c r="R156" s="1">
        <f>(Main_S[[#This Row],[ROA]]-VLOOKUP(Main_S[[#This Row],[Industry]], Mean_ROA_S, 2, FALSE))/(VLOOKUP(Main_S[[#This Row],[Industry]], Mean_ROA_S, 3, FALSE))</f>
        <v>-0.85633199509589053</v>
      </c>
      <c r="S156" s="1">
        <f>(Main_S[[#This Row],[A/E]]-VLOOKUP(Main_S[[#This Row],[Industry]], Mean_AE_S, 2, FALSE))/(VLOOKUP(Main_S[[#This Row],[Industry]], Mean_AE_S, 3, FALSE))</f>
        <v>0.34765331735903732</v>
      </c>
      <c r="T156" s="1">
        <f>(Main_S[[#This Row],[P/E]]-VLOOKUP(Main_S[[#This Row],[Industry]], Mean_PE_S, 2, FALSE))/(VLOOKUP(Main_S[[#This Row],[Industry]], Mean_PE_S, 3, FALSE))</f>
        <v>50.96404527233183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7" spans="1:26" x14ac:dyDescent="0.25">
      <c r="A157" t="s">
        <v>182</v>
      </c>
      <c r="B157" t="s">
        <v>505</v>
      </c>
      <c r="C157" s="2">
        <v>1208</v>
      </c>
      <c r="D157">
        <f>RTD("tos.rtd", , "LAST", Main_S[[#This Row],[Symbol]])</f>
        <v>80.599999999999994</v>
      </c>
      <c r="E157">
        <v>5.73</v>
      </c>
      <c r="F157">
        <v>25.64</v>
      </c>
      <c r="G157">
        <v>3.87</v>
      </c>
      <c r="H157" s="1">
        <f>IF(ISNUMBER(Main_S[[#This Row],[Free CF]]),IF(Main_S[[#This Row],[Free CF]]&lt;&gt;0,Main_S[[#This Row],[Current Price]]/Main_S[[#This Row],[Free CF]],""),"")</f>
        <v>14.066317626527049</v>
      </c>
      <c r="I157" s="1">
        <f>IF(ISNUMBER(Main_S[[#This Row],[BVPS]]),IF(Main_S[[#This Row],[BVPS]]&lt;&gt;0,Main_S[[#This Row],[Current Price]]/Main_S[[#This Row],[BVPS]],""),"")</f>
        <v>3.1435257410296411</v>
      </c>
      <c r="J157">
        <v>17.010000000000002</v>
      </c>
      <c r="K157">
        <v>7.5</v>
      </c>
      <c r="L157">
        <v>3.06</v>
      </c>
      <c r="M157" s="1">
        <f>IF(ISNUMBER(Main_S[[#This Row],[EPS]]),IF(Main_S[[#This Row],[EPS]]&lt;&gt;0,Main_S[[#This Row],[Current Price]]/Main_S[[#This Row],[EPS]],""),"")</f>
        <v>20.826873385012917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0.59548352211944244</v>
      </c>
      <c r="P157" s="1">
        <f>(Main_S[[#This Row],[P/B]]-VLOOKUP(Main_S[[#This Row],[Industry]], Mean_PB_S, 2, FALSE))/(VLOOKUP(Main_S[[#This Row],[Industry]], Mean_PB_S, 3, FALSE))</f>
        <v>0.79925576834725531</v>
      </c>
      <c r="Q157" s="1">
        <f>(Main_S[[#This Row],[ROE]]-VLOOKUP(Main_S[[#This Row],[Industry]], Mean_ROE_S, 2, FALSE))/(VLOOKUP(Main_S[[#This Row],[Industry]], Mean_ROE_S, 3, FALSE))</f>
        <v>0.82607756240687746</v>
      </c>
      <c r="R157" s="1">
        <f>(Main_S[[#This Row],[ROA]]-VLOOKUP(Main_S[[#This Row],[Industry]], Mean_ROA_S, 2, FALSE))/(VLOOKUP(Main_S[[#This Row],[Industry]], Mean_ROA_S, 3, FALSE))</f>
        <v>0.95053909962436289</v>
      </c>
      <c r="S157" s="1">
        <f>(Main_S[[#This Row],[A/E]]-VLOOKUP(Main_S[[#This Row],[Industry]], Mean_AE_S, 2, FALSE))/(VLOOKUP(Main_S[[#This Row],[Industry]], Mean_AE_S, 3, FALSE))</f>
        <v>0.8764297210458688</v>
      </c>
      <c r="T157" s="1">
        <f>(Main_S[[#This Row],[P/E]]-VLOOKUP(Main_S[[#This Row],[Industry]], Mean_PE_S, 2, FALSE))/(VLOOKUP(Main_S[[#This Row],[Industry]], Mean_PE_S, 3, FALSE))</f>
        <v>0.334531049445359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t="s">
        <v>182</v>
      </c>
      <c r="B158" t="s">
        <v>506</v>
      </c>
      <c r="C158" s="2">
        <v>268</v>
      </c>
      <c r="D158">
        <f>RTD("tos.rtd", , "LAST", Main_S[[#This Row],[Symbol]])</f>
        <v>18.239999999999998</v>
      </c>
      <c r="E158">
        <v>2.2000000000000002</v>
      </c>
      <c r="F158">
        <v>10.77</v>
      </c>
      <c r="G158">
        <v>0.49</v>
      </c>
      <c r="H158" s="1">
        <f>IF(ISNUMBER(Main_S[[#This Row],[Free CF]]),IF(Main_S[[#This Row],[Free CF]]&lt;&gt;0,Main_S[[#This Row],[Current Price]]/Main_S[[#This Row],[Free CF]],""),"")</f>
        <v>8.2909090909090892</v>
      </c>
      <c r="I158" s="1">
        <f>IF(ISNUMBER(Main_S[[#This Row],[BVPS]]),IF(Main_S[[#This Row],[BVPS]]&lt;&gt;0,Main_S[[#This Row],[Current Price]]/Main_S[[#This Row],[BVPS]],""),"")</f>
        <v>1.6935933147632312</v>
      </c>
      <c r="J158">
        <v>5.62</v>
      </c>
      <c r="K158">
        <v>3.54</v>
      </c>
      <c r="L158">
        <v>1.69</v>
      </c>
      <c r="M158" s="1">
        <f>IF(ISNUMBER(Main_S[[#This Row],[EPS]]),IF(Main_S[[#This Row],[EPS]]&lt;&gt;0,Main_S[[#This Row],[Current Price]]/Main_S[[#This Row],[EPS]],""),"")</f>
        <v>37.224489795918366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0.1437549597905208</v>
      </c>
      <c r="P158" s="1">
        <f>(Main_S[[#This Row],[P/B]]-VLOOKUP(Main_S[[#This Row],[Industry]], Mean_PB_S, 2, FALSE))/(VLOOKUP(Main_S[[#This Row],[Industry]], Mean_PB_S, 3, FALSE))</f>
        <v>-0.42965225164731946</v>
      </c>
      <c r="Q158" s="1">
        <f>(Main_S[[#This Row],[ROE]]-VLOOKUP(Main_S[[#This Row],[Industry]], Mean_ROE_S, 2, FALSE))/(VLOOKUP(Main_S[[#This Row],[Industry]], Mean_ROE_S, 3, FALSE))</f>
        <v>-0.21489715021456388</v>
      </c>
      <c r="R158" s="1">
        <f>(Main_S[[#This Row],[ROA]]-VLOOKUP(Main_S[[#This Row],[Industry]], Mean_ROA_S, 2, FALSE))/(VLOOKUP(Main_S[[#This Row],[Industry]], Mean_ROA_S, 3, FALSE))</f>
        <v>-0.30696696981187671</v>
      </c>
      <c r="S158" s="1">
        <f>(Main_S[[#This Row],[A/E]]-VLOOKUP(Main_S[[#This Row],[Industry]], Mean_AE_S, 2, FALSE))/(VLOOKUP(Main_S[[#This Row],[Industry]], Mean_AE_S, 3, FALSE))</f>
        <v>-0.76998771770631136</v>
      </c>
      <c r="T158" s="1">
        <f>(Main_S[[#This Row],[P/E]]-VLOOKUP(Main_S[[#This Row],[Industry]], Mean_PE_S, 2, FALSE))/(VLOOKUP(Main_S[[#This Row],[Industry]], Mean_PE_S, 3, FALSE))</f>
        <v>1.5765637084613189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t="s">
        <v>182</v>
      </c>
      <c r="B159" t="s">
        <v>507</v>
      </c>
      <c r="C159" s="2">
        <v>1052</v>
      </c>
      <c r="D159">
        <f>RTD("tos.rtd", , "LAST", Main_S[[#This Row],[Symbol]])</f>
        <v>27.01</v>
      </c>
      <c r="E159">
        <v>1.03</v>
      </c>
      <c r="F159">
        <v>7.3</v>
      </c>
      <c r="G159">
        <v>1.7</v>
      </c>
      <c r="H159" s="1">
        <f>IF(ISNUMBER(Main_S[[#This Row],[Free CF]]),IF(Main_S[[#This Row],[Free CF]]&lt;&gt;0,Main_S[[#This Row],[Current Price]]/Main_S[[#This Row],[Free CF]],""),"")</f>
        <v>26.223300970873787</v>
      </c>
      <c r="I159" s="1">
        <f>IF(ISNUMBER(Main_S[[#This Row],[BVPS]]),IF(Main_S[[#This Row],[BVPS]]&lt;&gt;0,Main_S[[#This Row],[Current Price]]/Main_S[[#This Row],[BVPS]],""),"")</f>
        <v>3.7</v>
      </c>
      <c r="J159">
        <v>24.86</v>
      </c>
      <c r="K159">
        <v>10.43</v>
      </c>
      <c r="L159">
        <v>1.9</v>
      </c>
      <c r="M159" s="1">
        <f>IF(ISNUMBER(Main_S[[#This Row],[EPS]]),IF(Main_S[[#This Row],[EPS]]&lt;&gt;0,Main_S[[#This Row],[Current Price]]/Main_S[[#This Row],[EPS]],""),"")</f>
        <v>15.888235294117649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1.5463524649016518</v>
      </c>
      <c r="P159" s="1">
        <f>(Main_S[[#This Row],[P/B]]-VLOOKUP(Main_S[[#This Row],[Industry]], Mean_PB_S, 2, FALSE))/(VLOOKUP(Main_S[[#This Row],[Industry]], Mean_PB_S, 3, FALSE))</f>
        <v>1.2709023550300202</v>
      </c>
      <c r="Q159" s="1">
        <f>(Main_S[[#This Row],[ROE]]-VLOOKUP(Main_S[[#This Row],[Industry]], Mean_ROE_S, 2, FALSE))/(VLOOKUP(Main_S[[#This Row],[Industry]], Mean_ROE_S, 3, FALSE))</f>
        <v>1.5435184310704693</v>
      </c>
      <c r="R159" s="1">
        <f>(Main_S[[#This Row],[ROA]]-VLOOKUP(Main_S[[#This Row],[Industry]], Mean_ROA_S, 2, FALSE))/(VLOOKUP(Main_S[[#This Row],[Industry]], Mean_ROA_S, 3, FALSE))</f>
        <v>1.8809665701920857</v>
      </c>
      <c r="S159" s="1">
        <f>(Main_S[[#This Row],[A/E]]-VLOOKUP(Main_S[[#This Row],[Industry]], Mean_AE_S, 2, FALSE))/(VLOOKUP(Main_S[[#This Row],[Industry]], Mean_AE_S, 3, FALSE))</f>
        <v>-0.51761716140123271</v>
      </c>
      <c r="T159" s="1">
        <f>(Main_S[[#This Row],[P/E]]-VLOOKUP(Main_S[[#This Row],[Industry]], Mean_PE_S, 2, FALSE))/(VLOOKUP(Main_S[[#This Row],[Industry]], Mean_PE_S, 3, FALSE))</f>
        <v>-3.9544648280603771E-2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t="s">
        <v>182</v>
      </c>
      <c r="B160" t="s">
        <v>508</v>
      </c>
      <c r="C160" s="2">
        <v>264</v>
      </c>
      <c r="D160">
        <f>RTD("tos.rtd", , "LAST", Main_S[[#This Row],[Symbol]])</f>
        <v>7.31</v>
      </c>
      <c r="E160">
        <v>1.78</v>
      </c>
      <c r="F160">
        <v>5.62</v>
      </c>
      <c r="G160">
        <v>0.65</v>
      </c>
      <c r="H160" s="1">
        <f>IF(ISNUMBER(Main_S[[#This Row],[Free CF]]),IF(Main_S[[#This Row],[Free CF]]&lt;&gt;0,Main_S[[#This Row],[Current Price]]/Main_S[[#This Row],[Free CF]],""),"")</f>
        <v>4.106741573033708</v>
      </c>
      <c r="I160" s="1">
        <f>IF(ISNUMBER(Main_S[[#This Row],[BVPS]]),IF(Main_S[[#This Row],[BVPS]]&lt;&gt;0,Main_S[[#This Row],[Current Price]]/Main_S[[#This Row],[BVPS]],""),"")</f>
        <v>1.300711743772242</v>
      </c>
      <c r="J160">
        <v>12.92</v>
      </c>
      <c r="K160">
        <v>7.76</v>
      </c>
      <c r="L160">
        <v>1.22</v>
      </c>
      <c r="M160" s="1">
        <f>IF(ISNUMBER(Main_S[[#This Row],[EPS]]),IF(Main_S[[#This Row],[EPS]]&lt;&gt;0,Main_S[[#This Row],[Current Price]]/Main_S[[#This Row],[EPS]],""),"")</f>
        <v>11.246153846153845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60" s="1">
        <f>(Main_S[[#This Row],[P/FCF]]-VLOOKUP(Main_S[[#This Row],[Industry]], Mean_PFCF_S, 2, FALSE))/(VLOOKUP(Main_S[[#This Row],[Industry]], Mean_PFCF_S, 3, FALSE))</f>
        <v>-0.18351331322195791</v>
      </c>
      <c r="P160" s="1">
        <f>(Main_S[[#This Row],[P/B]]-VLOOKUP(Main_S[[#This Row],[Industry]], Mean_PB_S, 2, FALSE))/(VLOOKUP(Main_S[[#This Row],[Industry]], Mean_PB_S, 3, FALSE))</f>
        <v>-0.7626438481882345</v>
      </c>
      <c r="Q160" s="1">
        <f>(Main_S[[#This Row],[ROE]]-VLOOKUP(Main_S[[#This Row],[Industry]], Mean_ROE_S, 2, FALSE))/(VLOOKUP(Main_S[[#This Row],[Industry]], Mean_ROE_S, 3, FALSE))</f>
        <v>0.45227716077196117</v>
      </c>
      <c r="R160" s="1">
        <f>(Main_S[[#This Row],[ROA]]-VLOOKUP(Main_S[[#This Row],[Industry]], Mean_ROA_S, 2, FALSE))/(VLOOKUP(Main_S[[#This Row],[Industry]], Mean_ROA_S, 3, FALSE))</f>
        <v>1.0331026294358332</v>
      </c>
      <c r="S160" s="1">
        <f>(Main_S[[#This Row],[A/E]]-VLOOKUP(Main_S[[#This Row],[Industry]], Mean_AE_S, 2, FALSE))/(VLOOKUP(Main_S[[#This Row],[Industry]], Mean_AE_S, 3, FALSE))</f>
        <v>-1.334817058008154</v>
      </c>
      <c r="T160" s="1">
        <f>(Main_S[[#This Row],[P/E]]-VLOOKUP(Main_S[[#This Row],[Industry]], Mean_PE_S, 2, FALSE))/(VLOOKUP(Main_S[[#This Row],[Industry]], Mean_PE_S, 3, FALSE))</f>
        <v>-0.39115774982557233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t="s">
        <v>182</v>
      </c>
      <c r="B161" t="s">
        <v>509</v>
      </c>
      <c r="C161" s="2">
        <v>625</v>
      </c>
      <c r="D161">
        <f>RTD("tos.rtd", , "LAST", Main_S[[#This Row],[Symbol]])</f>
        <v>31.32</v>
      </c>
      <c r="E161">
        <v>2.29</v>
      </c>
      <c r="F161">
        <v>7.86</v>
      </c>
      <c r="G161">
        <v>1.41</v>
      </c>
      <c r="H161" s="1">
        <f>IF(ISNUMBER(Main_S[[#This Row],[Free CF]]),IF(Main_S[[#This Row],[Free CF]]&lt;&gt;0,Main_S[[#This Row],[Current Price]]/Main_S[[#This Row],[Free CF]],""),"")</f>
        <v>13.676855895196507</v>
      </c>
      <c r="I161" s="1">
        <f>IF(ISNUMBER(Main_S[[#This Row],[BVPS]]),IF(Main_S[[#This Row],[BVPS]]&lt;&gt;0,Main_S[[#This Row],[Current Price]]/Main_S[[#This Row],[BVPS]],""),"")</f>
        <v>3.9847328244274807</v>
      </c>
      <c r="J161">
        <v>17.75</v>
      </c>
      <c r="K161">
        <v>8.07</v>
      </c>
      <c r="L161">
        <v>1.95</v>
      </c>
      <c r="M161" s="1">
        <f>IF(ISNUMBER(Main_S[[#This Row],[EPS]]),IF(Main_S[[#This Row],[EPS]]&lt;&gt;0,Main_S[[#This Row],[Current Price]]/Main_S[[#This Row],[EPS]],""),"")</f>
        <v>22.212765957446809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0.56502143672910488</v>
      </c>
      <c r="P161" s="1">
        <f>(Main_S[[#This Row],[P/B]]-VLOOKUP(Main_S[[#This Row],[Industry]], Mean_PB_S, 2, FALSE))/(VLOOKUP(Main_S[[#This Row],[Industry]], Mean_PB_S, 3, FALSE))</f>
        <v>1.5122311543283855</v>
      </c>
      <c r="Q161" s="1">
        <f>(Main_S[[#This Row],[ROE]]-VLOOKUP(Main_S[[#This Row],[Industry]], Mean_ROE_S, 2, FALSE))/(VLOOKUP(Main_S[[#This Row],[Industry]], Mean_ROE_S, 3, FALSE))</f>
        <v>0.89370893091784009</v>
      </c>
      <c r="R161" s="1">
        <f>(Main_S[[#This Row],[ROA]]-VLOOKUP(Main_S[[#This Row],[Industry]], Mean_ROA_S, 2, FALSE))/(VLOOKUP(Main_S[[#This Row],[Industry]], Mean_ROA_S, 3, FALSE))</f>
        <v>1.1315437611341248</v>
      </c>
      <c r="S161" s="1">
        <f>(Main_S[[#This Row],[A/E]]-VLOOKUP(Main_S[[#This Row],[Industry]], Mean_AE_S, 2, FALSE))/(VLOOKUP(Main_S[[#This Row],[Industry]], Mean_AE_S, 3, FALSE))</f>
        <v>-0.45752893370954723</v>
      </c>
      <c r="T161" s="1">
        <f>(Main_S[[#This Row],[P/E]]-VLOOKUP(Main_S[[#This Row],[Industry]], Mean_PE_S, 2, FALSE))/(VLOOKUP(Main_S[[#This Row],[Industry]], Mean_PE_S, 3, FALSE))</f>
        <v>0.43950507699400609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t="s">
        <v>182</v>
      </c>
      <c r="B162" t="s">
        <v>510</v>
      </c>
      <c r="C162" s="2">
        <v>1157</v>
      </c>
      <c r="D162">
        <f>RTD("tos.rtd", , "LAST", Main_S[[#This Row],[Symbol]])</f>
        <v>12.85</v>
      </c>
      <c r="E162">
        <v>2.76</v>
      </c>
      <c r="F162">
        <v>6.53</v>
      </c>
      <c r="G162">
        <v>0.67</v>
      </c>
      <c r="H162" s="1">
        <f>IF(ISNUMBER(Main_S[[#This Row],[Free CF]]),IF(Main_S[[#This Row],[Free CF]]&lt;&gt;0,Main_S[[#This Row],[Current Price]]/Main_S[[#This Row],[Free CF]],""),"")</f>
        <v>4.6557971014492754</v>
      </c>
      <c r="I162" s="1">
        <f>IF(ISNUMBER(Main_S[[#This Row],[BVPS]]),IF(Main_S[[#This Row],[BVPS]]&lt;&gt;0,Main_S[[#This Row],[Current Price]]/Main_S[[#This Row],[BVPS]],""),"")</f>
        <v>1.9678407350689127</v>
      </c>
      <c r="J162">
        <v>11.44</v>
      </c>
      <c r="K162">
        <v>5.05</v>
      </c>
      <c r="L162">
        <v>3.15</v>
      </c>
      <c r="M162" s="1">
        <f>IF(ISNUMBER(Main_S[[#This Row],[EPS]]),IF(Main_S[[#This Row],[EPS]]&lt;&gt;0,Main_S[[#This Row],[Current Price]]/Main_S[[#This Row],[EPS]],""),"")</f>
        <v>19.17910447761194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-0.14056846127593495</v>
      </c>
      <c r="P162" s="1">
        <f>(Main_S[[#This Row],[P/B]]-VLOOKUP(Main_S[[#This Row],[Industry]], Mean_PB_S, 2, FALSE))/(VLOOKUP(Main_S[[#This Row],[Industry]], Mean_PB_S, 3, FALSE))</f>
        <v>-0.1972104852787189</v>
      </c>
      <c r="Q162" s="1">
        <f>(Main_S[[#This Row],[ROE]]-VLOOKUP(Main_S[[#This Row],[Industry]], Mean_ROE_S, 2, FALSE))/(VLOOKUP(Main_S[[#This Row],[Industry]], Mean_ROE_S, 3, FALSE))</f>
        <v>0.31701442375003552</v>
      </c>
      <c r="R162" s="1">
        <f>(Main_S[[#This Row],[ROA]]-VLOOKUP(Main_S[[#This Row],[Industry]], Mean_ROA_S, 2, FALSE))/(VLOOKUP(Main_S[[#This Row],[Industry]], Mean_ROA_S, 3, FALSE))</f>
        <v>0.1725366071701237</v>
      </c>
      <c r="S162" s="1">
        <f>(Main_S[[#This Row],[A/E]]-VLOOKUP(Main_S[[#This Row],[Industry]], Mean_AE_S, 2, FALSE))/(VLOOKUP(Main_S[[#This Row],[Industry]], Mean_AE_S, 3, FALSE))</f>
        <v>0.98458853089090237</v>
      </c>
      <c r="T162" s="1">
        <f>(Main_S[[#This Row],[P/E]]-VLOOKUP(Main_S[[#This Row],[Industry]], Mean_PE_S, 2, FALSE))/(VLOOKUP(Main_S[[#This Row],[Industry]], Mean_PE_S, 3, FALSE))</f>
        <v>0.20972127549907058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t="s">
        <v>182</v>
      </c>
      <c r="B163" t="s">
        <v>511</v>
      </c>
      <c r="C163" s="2">
        <v>346</v>
      </c>
      <c r="D163">
        <f>RTD("tos.rtd", , "LAST", Main_S[[#This Row],[Symbol]])</f>
        <v>19.61</v>
      </c>
      <c r="E163">
        <v>-2.5499999999999998</v>
      </c>
      <c r="F163">
        <v>29.53</v>
      </c>
      <c r="G163">
        <v>1.3</v>
      </c>
      <c r="H163" s="1">
        <f>IF(ISNUMBER(Main_S[[#This Row],[Free CF]]),IF(Main_S[[#This Row],[Free CF]]&lt;&gt;0,Main_S[[#This Row],[Current Price]]/Main_S[[#This Row],[Free CF]],""),"")</f>
        <v>-7.6901960784313728</v>
      </c>
      <c r="I163" s="1">
        <f>IF(ISNUMBER(Main_S[[#This Row],[BVPS]]),IF(Main_S[[#This Row],[BVPS]]&lt;&gt;0,Main_S[[#This Row],[Current Price]]/Main_S[[#This Row],[BVPS]],""),"")</f>
        <v>0.66407043684388756</v>
      </c>
      <c r="J163">
        <v>4.76</v>
      </c>
      <c r="K163">
        <v>3.07</v>
      </c>
      <c r="L163">
        <v>3.16</v>
      </c>
      <c r="M163" s="1">
        <f>IF(ISNUMBER(Main_S[[#This Row],[EPS]]),IF(Main_S[[#This Row],[EPS]]&lt;&gt;0,Main_S[[#This Row],[Current Price]]/Main_S[[#This Row],[EPS]],""),"")</f>
        <v>15.084615384615384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-1.1062209714447973</v>
      </c>
      <c r="P163" s="1">
        <f>(Main_S[[#This Row],[P/B]]-VLOOKUP(Main_S[[#This Row],[Industry]], Mean_PB_S, 2, FALSE))/(VLOOKUP(Main_S[[#This Row],[Industry]], Mean_PB_S, 3, FALSE))</f>
        <v>-1.3022370000971839</v>
      </c>
      <c r="Q163" s="1">
        <f>(Main_S[[#This Row],[ROE]]-VLOOKUP(Main_S[[#This Row],[Industry]], Mean_ROE_S, 2, FALSE))/(VLOOKUP(Main_S[[#This Row],[Industry]], Mean_ROE_S, 3, FALSE))</f>
        <v>-0.29349576767325042</v>
      </c>
      <c r="R163" s="1">
        <f>(Main_S[[#This Row],[ROA]]-VLOOKUP(Main_S[[#This Row],[Industry]], Mean_ROA_S, 2, FALSE))/(VLOOKUP(Main_S[[#This Row],[Industry]], Mean_ROA_S, 3, FALSE))</f>
        <v>-0.45621642754799613</v>
      </c>
      <c r="S163" s="1">
        <f>(Main_S[[#This Row],[A/E]]-VLOOKUP(Main_S[[#This Row],[Industry]], Mean_AE_S, 2, FALSE))/(VLOOKUP(Main_S[[#This Row],[Industry]], Mean_AE_S, 3, FALSE))</f>
        <v>0.99660617642923965</v>
      </c>
      <c r="T163" s="1">
        <f>(Main_S[[#This Row],[P/E]]-VLOOKUP(Main_S[[#This Row],[Industry]], Mean_PE_S, 2, FALSE))/(VLOOKUP(Main_S[[#This Row],[Industry]], Mean_PE_S, 3, FALSE))</f>
        <v>-0.1004146032804932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4" spans="1:26" x14ac:dyDescent="0.25">
      <c r="A164" t="s">
        <v>182</v>
      </c>
      <c r="B164" t="s">
        <v>512</v>
      </c>
      <c r="C164" s="2">
        <v>939</v>
      </c>
      <c r="D164">
        <f>RTD("tos.rtd", , "LAST", Main_S[[#This Row],[Symbol]])</f>
        <v>76.680000000000007</v>
      </c>
      <c r="E164">
        <v>2.35</v>
      </c>
      <c r="F164">
        <v>25.47</v>
      </c>
      <c r="G164">
        <v>1.98</v>
      </c>
      <c r="H164" s="1">
        <f>IF(ISNUMBER(Main_S[[#This Row],[Free CF]]),IF(Main_S[[#This Row],[Free CF]]&lt;&gt;0,Main_S[[#This Row],[Current Price]]/Main_S[[#This Row],[Free CF]],""),"")</f>
        <v>32.629787234042553</v>
      </c>
      <c r="I164" s="1">
        <f>IF(ISNUMBER(Main_S[[#This Row],[BVPS]]),IF(Main_S[[#This Row],[BVPS]]&lt;&gt;0,Main_S[[#This Row],[Current Price]]/Main_S[[#This Row],[BVPS]],""),"")</f>
        <v>3.0106007067137814</v>
      </c>
      <c r="J164">
        <v>8.81</v>
      </c>
      <c r="K164">
        <v>4.68</v>
      </c>
      <c r="L164">
        <v>1.28</v>
      </c>
      <c r="M164" s="1">
        <f>IF(ISNUMBER(Main_S[[#This Row],[EPS]]),IF(Main_S[[#This Row],[EPS]]&lt;&gt;0,Main_S[[#This Row],[Current Price]]/Main_S[[#This Row],[EPS]],""),"")</f>
        <v>38.727272727272734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2.0474413162605556</v>
      </c>
      <c r="P164" s="1">
        <f>(Main_S[[#This Row],[P/B]]-VLOOKUP(Main_S[[#This Row],[Industry]], Mean_PB_S, 2, FALSE))/(VLOOKUP(Main_S[[#This Row],[Industry]], Mean_PB_S, 3, FALSE))</f>
        <v>0.68659352439051546</v>
      </c>
      <c r="Q164" s="1">
        <f>(Main_S[[#This Row],[ROE]]-VLOOKUP(Main_S[[#This Row],[Industry]], Mean_ROE_S, 2, FALSE))/(VLOOKUP(Main_S[[#This Row],[Industry]], Mean_ROE_S, 3, FALSE))</f>
        <v>7.6648884312424531E-2</v>
      </c>
      <c r="R164" s="1">
        <f>(Main_S[[#This Row],[ROA]]-VLOOKUP(Main_S[[#This Row],[Industry]], Mean_ROA_S, 2, FALSE))/(VLOOKUP(Main_S[[#This Row],[Industry]], Mean_ROA_S, 3, FALSE))</f>
        <v>5.5042353207646715E-2</v>
      </c>
      <c r="S164" s="1">
        <f>(Main_S[[#This Row],[A/E]]-VLOOKUP(Main_S[[#This Row],[Industry]], Mean_AE_S, 2, FALSE))/(VLOOKUP(Main_S[[#This Row],[Industry]], Mean_AE_S, 3, FALSE))</f>
        <v>-1.2627111847781316</v>
      </c>
      <c r="T164" s="1">
        <f>(Main_S[[#This Row],[P/E]]-VLOOKUP(Main_S[[#This Row],[Industry]], Mean_PE_S, 2, FALSE))/(VLOOKUP(Main_S[[#This Row],[Industry]], Mean_PE_S, 3, FALSE))</f>
        <v>1.6903915620579257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t="s">
        <v>182</v>
      </c>
      <c r="B165" t="s">
        <v>513</v>
      </c>
      <c r="C165" s="2">
        <v>1352</v>
      </c>
      <c r="D165">
        <f>RTD("tos.rtd", , "LAST", Main_S[[#This Row],[Symbol]])</f>
        <v>144.5</v>
      </c>
      <c r="E165">
        <v>-9.6199999999999992</v>
      </c>
      <c r="F165">
        <v>72.209999999999994</v>
      </c>
      <c r="G165">
        <v>14.15</v>
      </c>
      <c r="H165" s="1">
        <f>IF(ISNUMBER(Main_S[[#This Row],[Free CF]]),IF(Main_S[[#This Row],[Free CF]]&lt;&gt;0,Main_S[[#This Row],[Current Price]]/Main_S[[#This Row],[Free CF]],""),"")</f>
        <v>-15.020790020790022</v>
      </c>
      <c r="I165" s="1">
        <f>IF(ISNUMBER(Main_S[[#This Row],[BVPS]]),IF(Main_S[[#This Row],[BVPS]]&lt;&gt;0,Main_S[[#This Row],[Current Price]]/Main_S[[#This Row],[BVPS]],""),"")</f>
        <v>2.0011078797950423</v>
      </c>
      <c r="J165">
        <v>18.54</v>
      </c>
      <c r="K165">
        <v>4.9800000000000004</v>
      </c>
      <c r="L165">
        <v>5.88</v>
      </c>
      <c r="M165" s="1">
        <f>IF(ISNUMBER(Main_S[[#This Row],[EPS]]),IF(Main_S[[#This Row],[EPS]]&lt;&gt;0,Main_S[[#This Row],[Current Price]]/Main_S[[#This Row],[EPS]],""),"")</f>
        <v>10.212014134275618</v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>
        <f>(Main_S[[#This Row],[P/FCF]]-VLOOKUP(Main_S[[#This Row],[Industry]], Mean_PFCF_S, 2, FALSE))/(VLOOKUP(Main_S[[#This Row],[Industry]], Mean_PFCF_S, 3, FALSE))</f>
        <v>-1.679589702362541</v>
      </c>
      <c r="P165" s="1">
        <f>(Main_S[[#This Row],[P/B]]-VLOOKUP(Main_S[[#This Row],[Industry]], Mean_PB_S, 2, FALSE))/(VLOOKUP(Main_S[[#This Row],[Industry]], Mean_PB_S, 3, FALSE))</f>
        <v>-0.16901450854514574</v>
      </c>
      <c r="Q165" s="1">
        <f>(Main_S[[#This Row],[ROE]]-VLOOKUP(Main_S[[#This Row],[Industry]], Mean_ROE_S, 2, FALSE))/(VLOOKUP(Main_S[[#This Row],[Industry]], Mean_ROE_S, 3, FALSE))</f>
        <v>0.96590998649035442</v>
      </c>
      <c r="R165" s="1">
        <f>(Main_S[[#This Row],[ROA]]-VLOOKUP(Main_S[[#This Row],[Industry]], Mean_ROA_S, 2, FALSE))/(VLOOKUP(Main_S[[#This Row],[Industry]], Mean_ROA_S, 3, FALSE))</f>
        <v>0.1503079645285742</v>
      </c>
      <c r="S165" s="1">
        <f>(Main_S[[#This Row],[A/E]]-VLOOKUP(Main_S[[#This Row],[Industry]], Mean_AE_S, 2, FALSE))/(VLOOKUP(Main_S[[#This Row],[Industry]], Mean_AE_S, 3, FALSE))</f>
        <v>4.2654057628569255</v>
      </c>
      <c r="T165" s="1">
        <f>(Main_S[[#This Row],[P/E]]-VLOOKUP(Main_S[[#This Row],[Industry]], Mean_PE_S, 2, FALSE))/(VLOOKUP(Main_S[[#This Row],[Industry]], Mean_PE_S, 3, FALSE))</f>
        <v>-0.46948835983324899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6" spans="1:26" x14ac:dyDescent="0.25">
      <c r="A166" t="s">
        <v>182</v>
      </c>
      <c r="B166" t="s">
        <v>514</v>
      </c>
      <c r="C166" s="2">
        <v>1587</v>
      </c>
      <c r="D166">
        <f>RTD("tos.rtd", , "LAST", Main_S[[#This Row],[Symbol]])</f>
        <v>36.200000000000003</v>
      </c>
      <c r="E166">
        <v>-0.94</v>
      </c>
      <c r="F166">
        <v>6.38</v>
      </c>
      <c r="G166">
        <v>-1.05</v>
      </c>
      <c r="H166" s="1">
        <f>IF(ISNUMBER(Main_S[[#This Row],[Free CF]]),IF(Main_S[[#This Row],[Free CF]]&lt;&gt;0,Main_S[[#This Row],[Current Price]]/Main_S[[#This Row],[Free CF]],""),"")</f>
        <v>-38.510638297872347</v>
      </c>
      <c r="I166" s="1">
        <f>IF(ISNUMBER(Main_S[[#This Row],[BVPS]]),IF(Main_S[[#This Row],[BVPS]]&lt;&gt;0,Main_S[[#This Row],[Current Price]]/Main_S[[#This Row],[BVPS]],""),"")</f>
        <v>5.6739811912225715</v>
      </c>
      <c r="J166">
        <v>-15.63</v>
      </c>
      <c r="K166">
        <v>-6.69</v>
      </c>
      <c r="L166">
        <v>2.15</v>
      </c>
      <c r="M166" s="1">
        <f>IF(ISNUMBER(Main_S[[#This Row],[EPS]]),IF(Main_S[[#This Row],[EPS]]&lt;&gt;0,Main_S[[#This Row],[Current Price]]/Main_S[[#This Row],[EPS]],""),"")</f>
        <v>-34.476190476190474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-3.5168684552145297</v>
      </c>
      <c r="P166" s="1">
        <f>(Main_S[[#This Row],[P/B]]-VLOOKUP(Main_S[[#This Row],[Industry]], Mean_PB_S, 2, FALSE))/(VLOOKUP(Main_S[[#This Row],[Industry]], Mean_PB_S, 3, FALSE))</f>
        <v>2.9439743363625759</v>
      </c>
      <c r="Q166" s="1">
        <f>(Main_S[[#This Row],[ROE]]-VLOOKUP(Main_S[[#This Row],[Industry]], Mean_ROE_S, 2, FALSE))/(VLOOKUP(Main_S[[#This Row],[Industry]], Mean_ROE_S, 3, FALSE))</f>
        <v>-2.1570141513739691</v>
      </c>
      <c r="R166" s="1">
        <f>(Main_S[[#This Row],[ROA]]-VLOOKUP(Main_S[[#This Row],[Industry]], Mean_ROA_S, 2, FALSE))/(VLOOKUP(Main_S[[#This Row],[Industry]], Mean_ROA_S, 3, FALSE))</f>
        <v>-3.5555243158554961</v>
      </c>
      <c r="S166" s="1">
        <f>(Main_S[[#This Row],[A/E]]-VLOOKUP(Main_S[[#This Row],[Industry]], Mean_AE_S, 2, FALSE))/(VLOOKUP(Main_S[[#This Row],[Industry]], Mean_AE_S, 3, FALSE))</f>
        <v>-0.21717602294280566</v>
      </c>
      <c r="T166" s="1">
        <f>(Main_S[[#This Row],[P/E]]-VLOOKUP(Main_S[[#This Row],[Industry]], Mean_PE_S, 2, FALSE))/(VLOOKUP(Main_S[[#This Row],[Industry]], Mean_PE_S, 3, FALSE))</f>
        <v>-3.8543833475018641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7" spans="1:26" x14ac:dyDescent="0.25">
      <c r="A167" t="s">
        <v>182</v>
      </c>
      <c r="B167" t="s">
        <v>515</v>
      </c>
      <c r="C167" s="2">
        <v>588</v>
      </c>
      <c r="D167">
        <f>RTD("tos.rtd", , "LAST", Main_S[[#This Row],[Symbol]])</f>
        <v>3.04</v>
      </c>
      <c r="E167">
        <v>-2.0099999999999998</v>
      </c>
      <c r="F167">
        <v>2.83</v>
      </c>
      <c r="G167">
        <v>-0.31</v>
      </c>
      <c r="H167" s="1">
        <f>IF(ISNUMBER(Main_S[[#This Row],[Free CF]]),IF(Main_S[[#This Row],[Free CF]]&lt;&gt;0,Main_S[[#This Row],[Current Price]]/Main_S[[#This Row],[Free CF]],""),"")</f>
        <v>-1.5124378109452739</v>
      </c>
      <c r="I167" s="1">
        <f>IF(ISNUMBER(Main_S[[#This Row],[BVPS]]),IF(Main_S[[#This Row],[BVPS]]&lt;&gt;0,Main_S[[#This Row],[Current Price]]/Main_S[[#This Row],[BVPS]],""),"")</f>
        <v>1.0742049469964665</v>
      </c>
      <c r="J167">
        <v>-7.23</v>
      </c>
      <c r="K167">
        <v>-2.75</v>
      </c>
      <c r="L167">
        <v>2.2999999999999998</v>
      </c>
      <c r="M167" s="1">
        <f>IF(ISNUMBER(Main_S[[#This Row],[EPS]]),IF(Main_S[[#This Row],[EPS]]&lt;&gt;0,Main_S[[#This Row],[Current Price]]/Main_S[[#This Row],[EPS]],""),"")</f>
        <v>-9.806451612903226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-0.62302227764217655</v>
      </c>
      <c r="P167" s="1">
        <f>(Main_S[[#This Row],[P/B]]-VLOOKUP(Main_S[[#This Row],[Industry]], Mean_PB_S, 2, FALSE))/(VLOOKUP(Main_S[[#This Row],[Industry]], Mean_PB_S, 3, FALSE))</f>
        <v>-0.9546224632591459</v>
      </c>
      <c r="Q167" s="1">
        <f>(Main_S[[#This Row],[ROE]]-VLOOKUP(Main_S[[#This Row],[Industry]], Mean_ROE_S, 2, FALSE))/(VLOOKUP(Main_S[[#This Row],[Industry]], Mean_ROE_S, 3, FALSE))</f>
        <v>-1.3893067250333102</v>
      </c>
      <c r="R167" s="1">
        <f>(Main_S[[#This Row],[ROA]]-VLOOKUP(Main_S[[#This Row],[Industry]], Mean_ROA_S, 2, FALSE))/(VLOOKUP(Main_S[[#This Row],[Industry]], Mean_ROA_S, 3, FALSE))</f>
        <v>-2.3043692871739849</v>
      </c>
      <c r="S167" s="1">
        <f>(Main_S[[#This Row],[A/E]]-VLOOKUP(Main_S[[#This Row],[Industry]], Mean_AE_S, 2, FALSE))/(VLOOKUP(Main_S[[#This Row],[Industry]], Mean_AE_S, 3, FALSE))</f>
        <v>-3.6911339867749582E-2</v>
      </c>
      <c r="T167" s="1">
        <f>(Main_S[[#This Row],[P/E]]-VLOOKUP(Main_S[[#This Row],[Industry]], Mean_PE_S, 2, FALSE))/(VLOOKUP(Main_S[[#This Row],[Industry]], Mean_PE_S, 3, FALSE))</f>
        <v>-1.9857811927874702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8" spans="1:26" x14ac:dyDescent="0.25">
      <c r="A168" t="s">
        <v>251</v>
      </c>
      <c r="B168" t="s">
        <v>585</v>
      </c>
      <c r="C168" s="2">
        <v>375</v>
      </c>
      <c r="D168">
        <f>RTD("tos.rtd", , "LAST", Main_S[[#This Row],[Symbol]])</f>
        <v>10.31</v>
      </c>
      <c r="E168">
        <v>-3.34</v>
      </c>
      <c r="F168">
        <v>1.68</v>
      </c>
      <c r="G168">
        <v>-1.79</v>
      </c>
      <c r="H168" s="1">
        <f>IF(ISNUMBER(Main_S[[#This Row],[Free CF]]),IF(Main_S[[#This Row],[Free CF]]&lt;&gt;0,Main_S[[#This Row],[Current Price]]/Main_S[[#This Row],[Free CF]],""),"")</f>
        <v>-3.0868263473053896</v>
      </c>
      <c r="I168" s="1">
        <f>IF(ISNUMBER(Main_S[[#This Row],[BVPS]]),IF(Main_S[[#This Row],[BVPS]]&lt;&gt;0,Main_S[[#This Row],[Current Price]]/Main_S[[#This Row],[BVPS]],""),"")</f>
        <v>6.1369047619047628</v>
      </c>
      <c r="J168">
        <v>-54.15</v>
      </c>
      <c r="K168">
        <v>-3.12</v>
      </c>
      <c r="L168">
        <v>10.73</v>
      </c>
      <c r="M168" s="1">
        <f>IF(ISNUMBER(Main_S[[#This Row],[EPS]]),IF(Main_S[[#This Row],[EPS]]&lt;&gt;0,Main_S[[#This Row],[Current Price]]/Main_S[[#This Row],[EPS]],""),"")</f>
        <v>-5.7597765363128497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 t="e">
        <f>(Main_S[[#This Row],[P/FCF]]-VLOOKUP(Main_S[[#This Row],[Industry]], Mean_PFCF_S, 2, FALSE))/(VLOOKUP(Main_S[[#This Row],[Industry]], Mean_PFCF_S, 3, FALSE))</f>
        <v>#DIV/0!</v>
      </c>
      <c r="P168" s="1" t="e">
        <f>(Main_S[[#This Row],[P/B]]-VLOOKUP(Main_S[[#This Row],[Industry]], Mean_PB_S, 2, FALSE))/(VLOOKUP(Main_S[[#This Row],[Industry]], Mean_PB_S, 3, FALSE))</f>
        <v>#DIV/0!</v>
      </c>
      <c r="Q168" s="1" t="e">
        <f>(Main_S[[#This Row],[ROE]]-VLOOKUP(Main_S[[#This Row],[Industry]], Mean_ROE_S, 2, FALSE))/(VLOOKUP(Main_S[[#This Row],[Industry]], Mean_ROE_S, 3, FALSE))</f>
        <v>#DIV/0!</v>
      </c>
      <c r="R168" s="1" t="e">
        <f>(Main_S[[#This Row],[ROA]]-VLOOKUP(Main_S[[#This Row],[Industry]], Mean_ROA_S, 2, FALSE))/(VLOOKUP(Main_S[[#This Row],[Industry]], Mean_ROA_S, 3, FALSE))</f>
        <v>#DIV/0!</v>
      </c>
      <c r="S168" s="1" t="e">
        <f>(Main_S[[#This Row],[A/E]]-VLOOKUP(Main_S[[#This Row],[Industry]], Mean_AE_S, 2, FALSE))/(VLOOKUP(Main_S[[#This Row],[Industry]], Mean_AE_S, 3, FALSE))</f>
        <v>#DIV/0!</v>
      </c>
      <c r="T168" s="1" t="e">
        <f>(Main_S[[#This Row],[P/E]]-VLOOKUP(Main_S[[#This Row],[Industry]], Mean_PE_S, 2, FALSE))/(VLOOKUP(Main_S[[#This Row],[Industry]], Mean_PE_S, 3, FALSE))</f>
        <v>#DIV/0!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52"/>
  <sheetViews>
    <sheetView topLeftCell="A5" workbookViewId="0">
      <selection activeCell="B24" sqref="B24"/>
    </sheetView>
  </sheetViews>
  <sheetFormatPr defaultRowHeight="15" x14ac:dyDescent="0.25"/>
  <cols>
    <col min="1" max="1" width="31.42578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24.387724500616581</v>
      </c>
      <c r="C3" s="1" cm="1">
        <f t="array" ref="C3">_xlfn.QUARTILE.INC(IF(Quartile_L[[#This Row],[Industry]]=Main_L[Industry],Main_L[P/FCF]),3)</f>
        <v>57.827257266542979</v>
      </c>
      <c r="D3" s="1">
        <f>Quartile_L[[#This Row],[P/FCF Q1]]-1.5*(Quartile_L[[#This Row],[P/FCF Q3]]-Quartile_L[[#This Row],[P/FCF Q1]])</f>
        <v>-25.77157464827302</v>
      </c>
      <c r="E3" s="1">
        <f>Quartile_L[[#This Row],[P/FCF Q3]]+1.5*(Quartile_L[[#This Row],[P/FCF Q3]]-Quartile_L[[#This Row],[P/FCF Q1]])</f>
        <v>107.98655641543257</v>
      </c>
      <c r="F3" s="1" cm="1">
        <f t="array" ref="F3">_xlfn.QUARTILE.INC(IF(Quartile_L[[#This Row],[Industry]]=Main_L[Industry],Main_L[P/B]),1)</f>
        <v>2.9147085940142547</v>
      </c>
      <c r="G3" s="1" cm="1">
        <f t="array" ref="G3">_xlfn.QUARTILE.INC(IF(Quartile_L[[#This Row],[Industry]]=Main_L[Industry],Main_L[P/B]),3)</f>
        <v>14.751720982216689</v>
      </c>
      <c r="H3" s="1">
        <f>Quartile_L[[#This Row],[P/B Q1]]-1.5*(Quartile_L[[#This Row],[P/B Q3]]-Quartile_L[[#This Row],[P/B Q1]])</f>
        <v>-14.840809988289397</v>
      </c>
      <c r="I3" s="1">
        <f>Quartile_L[[#This Row],[P/B Q3]]+1.5*(Quartile_L[[#This Row],[P/B Q3]]-Quartile_L[[#This Row],[P/B Q1]])</f>
        <v>32.50723956452034</v>
      </c>
      <c r="J3" s="1" cm="1">
        <f t="array" ref="J3">_xlfn.QUARTILE.INC(IF(Quartile_L[[#This Row],[Industry]]=Main_L[Industry],Main_L[ROE]),1)</f>
        <v>11.2875</v>
      </c>
      <c r="K3" s="1" cm="1">
        <f t="array" ref="K3">_xlfn.QUARTILE.INC(IF(Quartile_L[[#This Row],[Industry]]=Main_L[Industry],Main_L[ROE]),3)</f>
        <v>23.342500000000001</v>
      </c>
      <c r="L3" s="1">
        <f>Quartile_L[[#This Row],[ROE Q1]]-1.5*(Quartile_L[[#This Row],[ROE Q3]]-Quartile_L[[#This Row],[ROE Q1]])</f>
        <v>-6.7950000000000035</v>
      </c>
      <c r="M3" s="1">
        <f>Quartile_L[[#This Row],[ROE Q3]]+1.5*(Quartile_L[[#This Row],[ROE Q3]]-Quartile_L[[#This Row],[ROE Q1]])</f>
        <v>41.425000000000004</v>
      </c>
      <c r="N3" s="1" cm="1">
        <f t="array" ref="N3">_xlfn.QUARTILE.INC(IF(Quartile_L[[#This Row],[Industry]]=Main_L[Industry],Main_L[ROA]),1)</f>
        <v>3.1324999999999998</v>
      </c>
      <c r="O3" s="1" cm="1">
        <f t="array" ref="O3">_xlfn.QUARTILE.INC(IF(Quartile_L[[#This Row],[Industry]]=Main_L[Industry],Main_L[ROA]),3)</f>
        <v>7.74</v>
      </c>
      <c r="P3" s="1">
        <f>Quartile_L[[#This Row],[ROA Q1]]-1.5*(Quartile_L[[#This Row],[ROA Q3]]-Quartile_L[[#This Row],[ROA Q1]])</f>
        <v>-3.7787500000000001</v>
      </c>
      <c r="Q3" s="1">
        <f>Quartile_L[[#This Row],[ROA Q3]]+1.5*(Quartile_L[[#This Row],[ROA Q3]]-Quartile_L[[#This Row],[ROA Q1]])</f>
        <v>14.651250000000001</v>
      </c>
      <c r="R3" s="1" cm="1">
        <f t="array" ref="R3">_xlfn.QUARTILE.INC(IF(Quartile_L[[#This Row],[Industry]]=Main_L[Industry],Main_L[P/E]),1)</f>
        <v>20.196650679943055</v>
      </c>
      <c r="S3" s="1" cm="1">
        <f t="array" ref="S3">_xlfn.QUARTILE.INC(IF(Quartile_L[[#This Row],[Industry]]=Main_L[Industry],Main_L[P/E]),3)</f>
        <v>51.958767759562839</v>
      </c>
      <c r="T3" s="1">
        <f>Quartile_L[[#This Row],[P/E Q1]]-1.5*(Quartile_L[[#This Row],[P/E Q3]]-Quartile_L[[#This Row],[P/E Q1]])</f>
        <v>-27.446524939486622</v>
      </c>
      <c r="U3" s="1">
        <f>Quartile_L[[#This Row],[P/E Q3]]+1.5*(Quartile_L[[#This Row],[P/E Q3]]-Quartile_L[[#This Row],[P/E Q1]])</f>
        <v>99.601943378992516</v>
      </c>
      <c r="V3" s="1" cm="1">
        <f t="array" ref="V3">_xlfn.QUARTILE.INC(IF(Quartile_L[[#This Row],[Industry]]=Main_L[Industry],Main_L[A/E]),1)</f>
        <v>1.9974999999999998</v>
      </c>
      <c r="W3" s="1" cm="1">
        <f t="array" ref="W3">_xlfn.QUARTILE.INC(IF(Quartile_L[[#This Row],[Industry]]=Main_L[Industry],Main_L[A/E]),3)</f>
        <v>2.7574999999999998</v>
      </c>
      <c r="X3" s="1">
        <f>Quartile_L[[#This Row],[A/E Q1]]-1.5*(Quartile_L[[#This Row],[A/E Q3]]-Quartile_L[[#This Row],[A/E Q1]])</f>
        <v>0.85749999999999971</v>
      </c>
      <c r="Y3" s="1">
        <f>Quartile_L[[#This Row],[A/E Q3]]+1.5*(Quartile_L[[#This Row],[A/E Q3]]-Quartile_L[[#This Row],[A/E Q1]])</f>
        <v>3.8975</v>
      </c>
    </row>
    <row r="4" spans="1:25" x14ac:dyDescent="0.25">
      <c r="A4" t="s">
        <v>122</v>
      </c>
      <c r="B4" s="1" cm="1">
        <f t="array" ref="B4">_xlfn.QUARTILE.INC(IF(Quartile_L[[#This Row],[Industry]]=Main_L[Industry],Main_L[P/FCF]),1)</f>
        <v>16.408116022318069</v>
      </c>
      <c r="C4" s="1" cm="1">
        <f t="array" ref="C4">_xlfn.QUARTILE.INC(IF(Quartile_L[[#This Row],[Industry]]=Main_L[Industry],Main_L[P/FCF]),3)</f>
        <v>36.399320109905531</v>
      </c>
      <c r="D4" s="1">
        <f>Quartile_L[[#This Row],[P/FCF Q1]]-1.5*(Quartile_L[[#This Row],[P/FCF Q3]]-Quartile_L[[#This Row],[P/FCF Q1]])</f>
        <v>-13.578690109063125</v>
      </c>
      <c r="E4" s="1">
        <f>Quartile_L[[#This Row],[P/FCF Q3]]+1.5*(Quartile_L[[#This Row],[P/FCF Q3]]-Quartile_L[[#This Row],[P/FCF Q1]])</f>
        <v>66.386126241286718</v>
      </c>
      <c r="F4" s="1" cm="1">
        <f t="array" ref="F4">_xlfn.QUARTILE.INC(IF(Quartile_L[[#This Row],[Industry]]=Main_L[Industry],Main_L[P/B]),1)</f>
        <v>3.9308823818910277</v>
      </c>
      <c r="G4" s="1" cm="1">
        <f t="array" ref="G4">_xlfn.QUARTILE.INC(IF(Quartile_L[[#This Row],[Industry]]=Main_L[Industry],Main_L[P/B]),3)</f>
        <v>8.1886293364743619</v>
      </c>
      <c r="H4" s="1">
        <f>Quartile_L[[#This Row],[P/B Q1]]-1.5*(Quartile_L[[#This Row],[P/B Q3]]-Quartile_L[[#This Row],[P/B Q1]])</f>
        <v>-2.4557380499839736</v>
      </c>
      <c r="I4" s="1">
        <f>Quartile_L[[#This Row],[P/B Q3]]+1.5*(Quartile_L[[#This Row],[P/B Q3]]-Quartile_L[[#This Row],[P/B Q1]])</f>
        <v>14.575249768349362</v>
      </c>
      <c r="J4" s="1" cm="1">
        <f t="array" ref="J4">_xlfn.QUARTILE.INC(IF(Quartile_L[[#This Row],[Industry]]=Main_L[Industry],Main_L[ROE]),1)</f>
        <v>24.14</v>
      </c>
      <c r="K4" s="1" cm="1">
        <f t="array" ref="K4">_xlfn.QUARTILE.INC(IF(Quartile_L[[#This Row],[Industry]]=Main_L[Industry],Main_L[ROE]),3)</f>
        <v>40.655000000000001</v>
      </c>
      <c r="L4" s="1">
        <f>Quartile_L[[#This Row],[ROE Q1]]-1.5*(Quartile_L[[#This Row],[ROE Q3]]-Quartile_L[[#This Row],[ROE Q1]])</f>
        <v>-0.63250000000000028</v>
      </c>
      <c r="M4" s="1">
        <f>Quartile_L[[#This Row],[ROE Q3]]+1.5*(Quartile_L[[#This Row],[ROE Q3]]-Quartile_L[[#This Row],[ROE Q1]])</f>
        <v>65.427500000000009</v>
      </c>
      <c r="N4" s="1" cm="1">
        <f t="array" ref="N4">_xlfn.QUARTILE.INC(IF(Quartile_L[[#This Row],[Industry]]=Main_L[Industry],Main_L[ROA]),1)</f>
        <v>9.8925000000000001</v>
      </c>
      <c r="O4" s="1" cm="1">
        <f t="array" ref="O4">_xlfn.QUARTILE.INC(IF(Quartile_L[[#This Row],[Industry]]=Main_L[Industry],Main_L[ROA]),3)</f>
        <v>14.6775</v>
      </c>
      <c r="P4" s="1">
        <f>Quartile_L[[#This Row],[ROA Q1]]-1.5*(Quartile_L[[#This Row],[ROA Q3]]-Quartile_L[[#This Row],[ROA Q1]])</f>
        <v>2.7149999999999999</v>
      </c>
      <c r="Q4" s="1">
        <f>Quartile_L[[#This Row],[ROA Q3]]+1.5*(Quartile_L[[#This Row],[ROA Q3]]-Quartile_L[[#This Row],[ROA Q1]])</f>
        <v>21.855</v>
      </c>
      <c r="R4" s="1" cm="1">
        <f t="array" ref="R4">_xlfn.QUARTILE.INC(IF(Quartile_L[[#This Row],[Industry]]=Main_L[Industry],Main_L[P/E]),1)</f>
        <v>17.065857800482796</v>
      </c>
      <c r="S4" s="1" cm="1">
        <f t="array" ref="S4">_xlfn.QUARTILE.INC(IF(Quartile_L[[#This Row],[Industry]]=Main_L[Industry],Main_L[P/E]),3)</f>
        <v>39.709368517535822</v>
      </c>
      <c r="T4" s="1">
        <f>Quartile_L[[#This Row],[P/E Q1]]-1.5*(Quartile_L[[#This Row],[P/E Q3]]-Quartile_L[[#This Row],[P/E Q1]])</f>
        <v>-16.899408275096739</v>
      </c>
      <c r="U4" s="1">
        <f>Quartile_L[[#This Row],[P/E Q3]]+1.5*(Quartile_L[[#This Row],[P/E Q3]]-Quartile_L[[#This Row],[P/E Q1]])</f>
        <v>73.674634593115357</v>
      </c>
      <c r="V4" s="1" cm="1">
        <f t="array" ref="V4">_xlfn.QUARTILE.INC(IF(Quartile_L[[#This Row],[Industry]]=Main_L[Industry],Main_L[A/E]),1)</f>
        <v>2.1675</v>
      </c>
      <c r="W4" s="1" cm="1">
        <f t="array" ref="W4">_xlfn.QUARTILE.INC(IF(Quartile_L[[#This Row],[Industry]]=Main_L[Industry],Main_L[A/E]),3)</f>
        <v>2.77</v>
      </c>
      <c r="X4" s="1">
        <f>Quartile_L[[#This Row],[A/E Q1]]-1.5*(Quartile_L[[#This Row],[A/E Q3]]-Quartile_L[[#This Row],[A/E Q1]])</f>
        <v>1.2637499999999999</v>
      </c>
      <c r="Y4" s="1">
        <f>Quartile_L[[#This Row],[A/E Q3]]+1.5*(Quartile_L[[#This Row],[A/E Q3]]-Quartile_L[[#This Row],[A/E Q1]])</f>
        <v>3.6737500000000001</v>
      </c>
    </row>
    <row r="5" spans="1:25" x14ac:dyDescent="0.25">
      <c r="A5" t="s">
        <v>135</v>
      </c>
      <c r="B5" s="1" cm="1">
        <f t="array" ref="B5">_xlfn.QUARTILE.INC(IF(Quartile_L[[#This Row],[Industry]]=Main_L[Industry],Main_L[P/FCF]),1)</f>
        <v>18.305152626307198</v>
      </c>
      <c r="C5" s="1" cm="1">
        <f t="array" ref="C5">_xlfn.QUARTILE.INC(IF(Quartile_L[[#This Row],[Industry]]=Main_L[Industry],Main_L[P/FCF]),3)</f>
        <v>24.386171054118179</v>
      </c>
      <c r="D5" s="1">
        <f>Quartile_L[[#This Row],[P/FCF Q1]]-1.5*(Quartile_L[[#This Row],[P/FCF Q3]]-Quartile_L[[#This Row],[P/FCF Q1]])</f>
        <v>9.1836249845907254</v>
      </c>
      <c r="E5" s="1">
        <f>Quartile_L[[#This Row],[P/FCF Q3]]+1.5*(Quartile_L[[#This Row],[P/FCF Q3]]-Quartile_L[[#This Row],[P/FCF Q1]])</f>
        <v>33.507698695834648</v>
      </c>
      <c r="F5" s="1" cm="1">
        <f t="array" ref="F5">_xlfn.QUARTILE.INC(IF(Quartile_L[[#This Row],[Industry]]=Main_L[Industry],Main_L[P/B]),1)</f>
        <v>5.0588372635413466</v>
      </c>
      <c r="G5" s="1" cm="1">
        <f t="array" ref="G5">_xlfn.QUARTILE.INC(IF(Quartile_L[[#This Row],[Industry]]=Main_L[Industry],Main_L[P/B]),3)</f>
        <v>7.7825889319393173</v>
      </c>
      <c r="H5" s="1">
        <f>Quartile_L[[#This Row],[P/B Q1]]-1.5*(Quartile_L[[#This Row],[P/B Q3]]-Quartile_L[[#This Row],[P/B Q1]])</f>
        <v>0.97320976094438993</v>
      </c>
      <c r="I5" s="1">
        <f>Quartile_L[[#This Row],[P/B Q3]]+1.5*(Quartile_L[[#This Row],[P/B Q3]]-Quartile_L[[#This Row],[P/B Q1]])</f>
        <v>11.868216434536274</v>
      </c>
      <c r="J5" s="1" cm="1">
        <f t="array" ref="J5">_xlfn.QUARTILE.INC(IF(Quartile_L[[#This Row],[Industry]]=Main_L[Industry],Main_L[ROE]),1)</f>
        <v>8.3800000000000008</v>
      </c>
      <c r="K5" s="1" cm="1">
        <f t="array" ref="K5">_xlfn.QUARTILE.INC(IF(Quartile_L[[#This Row],[Industry]]=Main_L[Industry],Main_L[ROE]),3)</f>
        <v>31.07</v>
      </c>
      <c r="L5" s="1">
        <f>Quartile_L[[#This Row],[ROE Q1]]-1.5*(Quartile_L[[#This Row],[ROE Q3]]-Quartile_L[[#This Row],[ROE Q1]])</f>
        <v>-25.654999999999994</v>
      </c>
      <c r="M5" s="1">
        <f>Quartile_L[[#This Row],[ROE Q3]]+1.5*(Quartile_L[[#This Row],[ROE Q3]]-Quartile_L[[#This Row],[ROE Q1]])</f>
        <v>65.10499999999999</v>
      </c>
      <c r="N5" s="1" cm="1">
        <f t="array" ref="N5">_xlfn.QUARTILE.INC(IF(Quartile_L[[#This Row],[Industry]]=Main_L[Industry],Main_L[ROA]),1)</f>
        <v>3.625</v>
      </c>
      <c r="O5" s="1" cm="1">
        <f t="array" ref="O5">_xlfn.QUARTILE.INC(IF(Quartile_L[[#This Row],[Industry]]=Main_L[Industry],Main_L[ROA]),3)</f>
        <v>9.2825000000000006</v>
      </c>
      <c r="P5" s="1">
        <f>Quartile_L[[#This Row],[ROA Q1]]-1.5*(Quartile_L[[#This Row],[ROA Q3]]-Quartile_L[[#This Row],[ROA Q1]])</f>
        <v>-4.8612500000000018</v>
      </c>
      <c r="Q5" s="1">
        <f>Quartile_L[[#This Row],[ROA Q3]]+1.5*(Quartile_L[[#This Row],[ROA Q3]]-Quartile_L[[#This Row],[ROA Q1]])</f>
        <v>17.768750000000004</v>
      </c>
      <c r="R5" s="1" cm="1">
        <f t="array" ref="R5">_xlfn.QUARTILE.INC(IF(Quartile_L[[#This Row],[Industry]]=Main_L[Industry],Main_L[P/E]),1)</f>
        <v>25.540268198866197</v>
      </c>
      <c r="S5" s="1" cm="1">
        <f t="array" ref="S5">_xlfn.QUARTILE.INC(IF(Quartile_L[[#This Row],[Industry]]=Main_L[Industry],Main_L[P/E]),3)</f>
        <v>58.895241674645412</v>
      </c>
      <c r="T5" s="1">
        <f>Quartile_L[[#This Row],[P/E Q1]]-1.5*(Quartile_L[[#This Row],[P/E Q3]]-Quartile_L[[#This Row],[P/E Q1]])</f>
        <v>-24.49219201480263</v>
      </c>
      <c r="U5" s="1">
        <f>Quartile_L[[#This Row],[P/E Q3]]+1.5*(Quartile_L[[#This Row],[P/E Q3]]-Quartile_L[[#This Row],[P/E Q1]])</f>
        <v>108.92770188831423</v>
      </c>
      <c r="V5" s="1" cm="1">
        <f t="array" ref="V5">_xlfn.QUARTILE.INC(IF(Quartile_L[[#This Row],[Industry]]=Main_L[Industry],Main_L[A/E]),1)</f>
        <v>2.6974999999999998</v>
      </c>
      <c r="W5" s="1" cm="1">
        <f t="array" ref="W5">_xlfn.QUARTILE.INC(IF(Quartile_L[[#This Row],[Industry]]=Main_L[Industry],Main_L[A/E]),3)</f>
        <v>3.0350000000000001</v>
      </c>
      <c r="X5" s="1">
        <f>Quartile_L[[#This Row],[A/E Q1]]-1.5*(Quartile_L[[#This Row],[A/E Q3]]-Quartile_L[[#This Row],[A/E Q1]])</f>
        <v>2.1912499999999993</v>
      </c>
      <c r="Y5" s="1">
        <f>Quartile_L[[#This Row],[A/E Q3]]+1.5*(Quartile_L[[#This Row],[A/E Q3]]-Quartile_L[[#This Row],[A/E Q1]])</f>
        <v>3.5412500000000007</v>
      </c>
    </row>
    <row r="6" spans="1:25" x14ac:dyDescent="0.25">
      <c r="A6" t="s">
        <v>142</v>
      </c>
      <c r="B6" s="1" cm="1">
        <f t="array" ref="B6">_xlfn.QUARTILE.INC(IF(Quartile_L[[#This Row],[Industry]]=Main_L[Industry],Main_L[P/FCF]),1)</f>
        <v>19.411349045545229</v>
      </c>
      <c r="C6" s="1" cm="1">
        <f t="array" ref="C6">_xlfn.QUARTILE.INC(IF(Quartile_L[[#This Row],[Industry]]=Main_L[Industry],Main_L[P/FCF]),3)</f>
        <v>39.692147975481305</v>
      </c>
      <c r="D6" s="1">
        <f>Quartile_L[[#This Row],[P/FCF Q1]]-1.5*(Quartile_L[[#This Row],[P/FCF Q3]]-Quartile_L[[#This Row],[P/FCF Q1]])</f>
        <v>-11.009849349358884</v>
      </c>
      <c r="E6" s="1">
        <f>Quartile_L[[#This Row],[P/FCF Q3]]+1.5*(Quartile_L[[#This Row],[P/FCF Q3]]-Quartile_L[[#This Row],[P/FCF Q1]])</f>
        <v>70.113346370385415</v>
      </c>
      <c r="F6" s="1" cm="1">
        <f t="array" ref="F6">_xlfn.QUARTILE.INC(IF(Quartile_L[[#This Row],[Industry]]=Main_L[Industry],Main_L[P/B]),1)</f>
        <v>3.3701045616308143</v>
      </c>
      <c r="G6" s="1" cm="1">
        <f t="array" ref="G6">_xlfn.QUARTILE.INC(IF(Quartile_L[[#This Row],[Industry]]=Main_L[Industry],Main_L[P/B]),3)</f>
        <v>8.6111846252493436</v>
      </c>
      <c r="H6" s="1">
        <f>Quartile_L[[#This Row],[P/B Q1]]-1.5*(Quartile_L[[#This Row],[P/B Q3]]-Quartile_L[[#This Row],[P/B Q1]])</f>
        <v>-4.4915155337969797</v>
      </c>
      <c r="I6" s="1">
        <f>Quartile_L[[#This Row],[P/B Q3]]+1.5*(Quartile_L[[#This Row],[P/B Q3]]-Quartile_L[[#This Row],[P/B Q1]])</f>
        <v>16.472804720677139</v>
      </c>
      <c r="J6" s="1" cm="1">
        <f t="array" ref="J6">_xlfn.QUARTILE.INC(IF(Quartile_L[[#This Row],[Industry]]=Main_L[Industry],Main_L[ROE]),1)</f>
        <v>9.1550000000000011</v>
      </c>
      <c r="K6" s="1" cm="1">
        <f t="array" ref="K6">_xlfn.QUARTILE.INC(IF(Quartile_L[[#This Row],[Industry]]=Main_L[Industry],Main_L[ROE]),3)</f>
        <v>22.71</v>
      </c>
      <c r="L6" s="1">
        <f>Quartile_L[[#This Row],[ROE Q1]]-1.5*(Quartile_L[[#This Row],[ROE Q3]]-Quartile_L[[#This Row],[ROE Q1]])</f>
        <v>-11.177499999999998</v>
      </c>
      <c r="M6" s="1">
        <f>Quartile_L[[#This Row],[ROE Q3]]+1.5*(Quartile_L[[#This Row],[ROE Q3]]-Quartile_L[[#This Row],[ROE Q1]])</f>
        <v>43.042500000000004</v>
      </c>
      <c r="N6" s="1" cm="1">
        <f t="array" ref="N6">_xlfn.QUARTILE.INC(IF(Quartile_L[[#This Row],[Industry]]=Main_L[Industry],Main_L[ROA]),1)</f>
        <v>5.13</v>
      </c>
      <c r="O6" s="1" cm="1">
        <f t="array" ref="O6">_xlfn.QUARTILE.INC(IF(Quartile_L[[#This Row],[Industry]]=Main_L[Industry],Main_L[ROA]),3)</f>
        <v>8.6050000000000004</v>
      </c>
      <c r="P6" s="1">
        <f>Quartile_L[[#This Row],[ROA Q1]]-1.5*(Quartile_L[[#This Row],[ROA Q3]]-Quartile_L[[#This Row],[ROA Q1]])</f>
        <v>-8.2500000000000462E-2</v>
      </c>
      <c r="Q6" s="1">
        <f>Quartile_L[[#This Row],[ROA Q3]]+1.5*(Quartile_L[[#This Row],[ROA Q3]]-Quartile_L[[#This Row],[ROA Q1]])</f>
        <v>13.817500000000001</v>
      </c>
      <c r="R6" s="1" cm="1">
        <f t="array" ref="R6">_xlfn.QUARTILE.INC(IF(Quartile_L[[#This Row],[Industry]]=Main_L[Industry],Main_L[P/E]),1)</f>
        <v>27.448836292266741</v>
      </c>
      <c r="S6" s="1" cm="1">
        <f t="array" ref="S6">_xlfn.QUARTILE.INC(IF(Quartile_L[[#This Row],[Industry]]=Main_L[Industry],Main_L[P/E]),3)</f>
        <v>44.752098482808151</v>
      </c>
      <c r="T6" s="1">
        <f>Quartile_L[[#This Row],[P/E Q1]]-1.5*(Quartile_L[[#This Row],[P/E Q3]]-Quartile_L[[#This Row],[P/E Q1]])</f>
        <v>1.4939430064546251</v>
      </c>
      <c r="U6" s="1">
        <f>Quartile_L[[#This Row],[P/E Q3]]+1.5*(Quartile_L[[#This Row],[P/E Q3]]-Quartile_L[[#This Row],[P/E Q1]])</f>
        <v>70.70699176862027</v>
      </c>
      <c r="V6" s="1" cm="1">
        <f t="array" ref="V6">_xlfn.QUARTILE.INC(IF(Quartile_L[[#This Row],[Industry]]=Main_L[Industry],Main_L[A/E]),1)</f>
        <v>2.0449999999999999</v>
      </c>
      <c r="W6" s="1" cm="1">
        <f t="array" ref="W6">_xlfn.QUARTILE.INC(IF(Quartile_L[[#This Row],[Industry]]=Main_L[Industry],Main_L[A/E]),3)</f>
        <v>2.73</v>
      </c>
      <c r="X6" s="1">
        <f>Quartile_L[[#This Row],[A/E Q1]]-1.5*(Quartile_L[[#This Row],[A/E Q3]]-Quartile_L[[#This Row],[A/E Q1]])</f>
        <v>1.0174999999999998</v>
      </c>
      <c r="Y6" s="1">
        <f>Quartile_L[[#This Row],[A/E Q3]]+1.5*(Quartile_L[[#This Row],[A/E Q3]]-Quartile_L[[#This Row],[A/E Q1]])</f>
        <v>3.7575000000000003</v>
      </c>
    </row>
    <row r="7" spans="1:25" x14ac:dyDescent="0.25">
      <c r="A7" t="s">
        <v>154</v>
      </c>
      <c r="B7" s="1" cm="1">
        <f t="array" ref="B7">_xlfn.QUARTILE.INC(IF(Quartile_L[[#This Row],[Industry]]=Main_L[Industry],Main_L[P/FCF]),1)</f>
        <v>46.624727922885569</v>
      </c>
      <c r="C7" s="1" cm="1">
        <f t="array" ref="C7">_xlfn.QUARTILE.INC(IF(Quartile_L[[#This Row],[Industry]]=Main_L[Industry],Main_L[P/FCF]),3)</f>
        <v>87.297794879767821</v>
      </c>
      <c r="D7" s="1">
        <f>Quartile_L[[#This Row],[P/FCF Q1]]-1.5*(Quartile_L[[#This Row],[P/FCF Q3]]-Quartile_L[[#This Row],[P/FCF Q1]])</f>
        <v>-14.384872512437809</v>
      </c>
      <c r="E7" s="1">
        <f>Quartile_L[[#This Row],[P/FCF Q3]]+1.5*(Quartile_L[[#This Row],[P/FCF Q3]]-Quartile_L[[#This Row],[P/FCF Q1]])</f>
        <v>148.30739531509118</v>
      </c>
      <c r="F7" s="1" cm="1">
        <f t="array" ref="F7">_xlfn.QUARTILE.INC(IF(Quartile_L[[#This Row],[Industry]]=Main_L[Industry],Main_L[P/B]),1)</f>
        <v>10.595474117898776</v>
      </c>
      <c r="G7" s="1" cm="1">
        <f t="array" ref="G7">_xlfn.QUARTILE.INC(IF(Quartile_L[[#This Row],[Industry]]=Main_L[Industry],Main_L[P/B]),3)</f>
        <v>14.817427209878621</v>
      </c>
      <c r="H7" s="1">
        <f>Quartile_L[[#This Row],[P/B Q1]]-1.5*(Quartile_L[[#This Row],[P/B Q3]]-Quartile_L[[#This Row],[P/B Q1]])</f>
        <v>4.2625444799290086</v>
      </c>
      <c r="I7" s="1">
        <f>Quartile_L[[#This Row],[P/B Q3]]+1.5*(Quartile_L[[#This Row],[P/B Q3]]-Quartile_L[[#This Row],[P/B Q1]])</f>
        <v>21.150356847848389</v>
      </c>
      <c r="J7" s="1" cm="1">
        <f t="array" ref="J7">_xlfn.QUARTILE.INC(IF(Quartile_L[[#This Row],[Industry]]=Main_L[Industry],Main_L[ROE]),1)</f>
        <v>52.217500000000001</v>
      </c>
      <c r="K7" s="1" cm="1">
        <f t="array" ref="K7">_xlfn.QUARTILE.INC(IF(Quartile_L[[#This Row],[Industry]]=Main_L[Industry],Main_L[ROE]),3)</f>
        <v>92.932500000000005</v>
      </c>
      <c r="L7" s="1">
        <f>Quartile_L[[#This Row],[ROE Q1]]-1.5*(Quartile_L[[#This Row],[ROE Q3]]-Quartile_L[[#This Row],[ROE Q1]])</f>
        <v>-8.855000000000004</v>
      </c>
      <c r="M7" s="1">
        <f>Quartile_L[[#This Row],[ROE Q3]]+1.5*(Quartile_L[[#This Row],[ROE Q3]]-Quartile_L[[#This Row],[ROE Q1]])</f>
        <v>154.005</v>
      </c>
      <c r="N7" s="1" cm="1">
        <f t="array" ref="N7">_xlfn.QUARTILE.INC(IF(Quartile_L[[#This Row],[Industry]]=Main_L[Industry],Main_L[ROA]),1)</f>
        <v>7.7549999999999999</v>
      </c>
      <c r="O7" s="1" cm="1">
        <f t="array" ref="O7">_xlfn.QUARTILE.INC(IF(Quartile_L[[#This Row],[Industry]]=Main_L[Industry],Main_L[ROA]),3)</f>
        <v>8.6050000000000004</v>
      </c>
      <c r="P7" s="1">
        <f>Quartile_L[[#This Row],[ROA Q1]]-1.5*(Quartile_L[[#This Row],[ROA Q3]]-Quartile_L[[#This Row],[ROA Q1]])</f>
        <v>6.4799999999999986</v>
      </c>
      <c r="Q7" s="1">
        <f>Quartile_L[[#This Row],[ROA Q3]]+1.5*(Quartile_L[[#This Row],[ROA Q3]]-Quartile_L[[#This Row],[ROA Q1]])</f>
        <v>9.8800000000000008</v>
      </c>
      <c r="R7" s="1" cm="1">
        <f t="array" ref="R7">_xlfn.QUARTILE.INC(IF(Quartile_L[[#This Row],[Industry]]=Main_L[Industry],Main_L[P/E]),1)</f>
        <v>17.832419617052022</v>
      </c>
      <c r="S7" s="1" cm="1">
        <f t="array" ref="S7">_xlfn.QUARTILE.INC(IF(Quartile_L[[#This Row],[Industry]]=Main_L[Industry],Main_L[P/E]),3)</f>
        <v>23.449342184489403</v>
      </c>
      <c r="T7" s="1">
        <f>Quartile_L[[#This Row],[P/E Q1]]-1.5*(Quartile_L[[#This Row],[P/E Q3]]-Quartile_L[[#This Row],[P/E Q1]])</f>
        <v>9.4070357658959498</v>
      </c>
      <c r="U7" s="1">
        <f>Quartile_L[[#This Row],[P/E Q3]]+1.5*(Quartile_L[[#This Row],[P/E Q3]]-Quartile_L[[#This Row],[P/E Q1]])</f>
        <v>31.874726035645473</v>
      </c>
      <c r="V7" s="1" cm="1">
        <f t="array" ref="V7">_xlfn.QUARTILE.INC(IF(Quartile_L[[#This Row],[Industry]]=Main_L[Industry],Main_L[A/E]),1)</f>
        <v>5.3674999999999997</v>
      </c>
      <c r="W7" s="1" cm="1">
        <f t="array" ref="W7">_xlfn.QUARTILE.INC(IF(Quartile_L[[#This Row],[Industry]]=Main_L[Industry],Main_L[A/E]),3)</f>
        <v>7.6625000000000005</v>
      </c>
      <c r="X7" s="1">
        <f>Quartile_L[[#This Row],[A/E Q1]]-1.5*(Quartile_L[[#This Row],[A/E Q3]]-Quartile_L[[#This Row],[A/E Q1]])</f>
        <v>1.9249999999999985</v>
      </c>
      <c r="Y7" s="1">
        <f>Quartile_L[[#This Row],[A/E Q3]]+1.5*(Quartile_L[[#This Row],[A/E Q3]]-Quartile_L[[#This Row],[A/E Q1]])</f>
        <v>11.105000000000002</v>
      </c>
    </row>
    <row r="8" spans="1:25" x14ac:dyDescent="0.25">
      <c r="A8" t="s">
        <v>157</v>
      </c>
      <c r="B8" s="1" cm="1">
        <f t="array" ref="B8">_xlfn.QUARTILE.INC(IF(Quartile_L[[#This Row],[Industry]]=Main_L[Industry],Main_L[P/FCF]),1)</f>
        <v>21.25362850365191</v>
      </c>
      <c r="C8" s="1" cm="1">
        <f t="array" ref="C8">_xlfn.QUARTILE.INC(IF(Quartile_L[[#This Row],[Industry]]=Main_L[Industry],Main_L[P/FCF]),3)</f>
        <v>32.512473733714899</v>
      </c>
      <c r="D8" s="1">
        <f>Quartile_L[[#This Row],[P/FCF Q1]]-1.5*(Quartile_L[[#This Row],[P/FCF Q3]]-Quartile_L[[#This Row],[P/FCF Q1]])</f>
        <v>4.3653606585574281</v>
      </c>
      <c r="E8" s="1">
        <f>Quartile_L[[#This Row],[P/FCF Q3]]+1.5*(Quartile_L[[#This Row],[P/FCF Q3]]-Quartile_L[[#This Row],[P/FCF Q1]])</f>
        <v>49.400741578809381</v>
      </c>
      <c r="F8" s="1" cm="1">
        <f t="array" ref="F8">_xlfn.QUARTILE.INC(IF(Quartile_L[[#This Row],[Industry]]=Main_L[Industry],Main_L[P/B]),1)</f>
        <v>3.2276235423007114</v>
      </c>
      <c r="G8" s="1" cm="1">
        <f t="array" ref="G8">_xlfn.QUARTILE.INC(IF(Quartile_L[[#This Row],[Industry]]=Main_L[Industry],Main_L[P/B]),3)</f>
        <v>6.3428375283559078</v>
      </c>
      <c r="H8" s="1">
        <f>Quartile_L[[#This Row],[P/B Q1]]-1.5*(Quartile_L[[#This Row],[P/B Q3]]-Quartile_L[[#This Row],[P/B Q1]])</f>
        <v>-1.4451974367820837</v>
      </c>
      <c r="I8" s="1">
        <f>Quartile_L[[#This Row],[P/B Q3]]+1.5*(Quartile_L[[#This Row],[P/B Q3]]-Quartile_L[[#This Row],[P/B Q1]])</f>
        <v>11.015658507438703</v>
      </c>
      <c r="J8" s="1" cm="1">
        <f t="array" ref="J8">_xlfn.QUARTILE.INC(IF(Quartile_L[[#This Row],[Industry]]=Main_L[Industry],Main_L[ROE]),1)</f>
        <v>9.9324999999999992</v>
      </c>
      <c r="K8" s="1" cm="1">
        <f t="array" ref="K8">_xlfn.QUARTILE.INC(IF(Quartile_L[[#This Row],[Industry]]=Main_L[Industry],Main_L[ROE]),3)</f>
        <v>27.6325</v>
      </c>
      <c r="L8" s="1">
        <f>Quartile_L[[#This Row],[ROE Q1]]-1.5*(Quartile_L[[#This Row],[ROE Q3]]-Quartile_L[[#This Row],[ROE Q1]])</f>
        <v>-16.617500000000007</v>
      </c>
      <c r="M8" s="1">
        <f>Quartile_L[[#This Row],[ROE Q3]]+1.5*(Quartile_L[[#This Row],[ROE Q3]]-Quartile_L[[#This Row],[ROE Q1]])</f>
        <v>54.182500000000005</v>
      </c>
      <c r="N8" s="1" cm="1">
        <f t="array" ref="N8">_xlfn.QUARTILE.INC(IF(Quartile_L[[#This Row],[Industry]]=Main_L[Industry],Main_L[ROA]),1)</f>
        <v>5.415</v>
      </c>
      <c r="O8" s="1" cm="1">
        <f t="array" ref="O8">_xlfn.QUARTILE.INC(IF(Quartile_L[[#This Row],[Industry]]=Main_L[Industry],Main_L[ROA]),3)</f>
        <v>10.297499999999999</v>
      </c>
      <c r="P8" s="1">
        <f>Quartile_L[[#This Row],[ROA Q1]]-1.5*(Quartile_L[[#This Row],[ROA Q3]]-Quartile_L[[#This Row],[ROA Q1]])</f>
        <v>-1.9087499999999986</v>
      </c>
      <c r="Q8" s="1">
        <f>Quartile_L[[#This Row],[ROA Q3]]+1.5*(Quartile_L[[#This Row],[ROA Q3]]-Quartile_L[[#This Row],[ROA Q1]])</f>
        <v>17.621249999999996</v>
      </c>
      <c r="R8" s="1" cm="1">
        <f t="array" ref="R8">_xlfn.QUARTILE.INC(IF(Quartile_L[[#This Row],[Industry]]=Main_L[Industry],Main_L[P/E]),1)</f>
        <v>19.427535558266413</v>
      </c>
      <c r="S8" s="1" cm="1">
        <f t="array" ref="S8">_xlfn.QUARTILE.INC(IF(Quartile_L[[#This Row],[Industry]]=Main_L[Industry],Main_L[P/E]),3)</f>
        <v>31.575489827367957</v>
      </c>
      <c r="T8" s="1">
        <f>Quartile_L[[#This Row],[P/E Q1]]-1.5*(Quartile_L[[#This Row],[P/E Q3]]-Quartile_L[[#This Row],[P/E Q1]])</f>
        <v>1.2056041546141003</v>
      </c>
      <c r="U8" s="1">
        <f>Quartile_L[[#This Row],[P/E Q3]]+1.5*(Quartile_L[[#This Row],[P/E Q3]]-Quartile_L[[#This Row],[P/E Q1]])</f>
        <v>49.797421231020266</v>
      </c>
      <c r="V8" s="1" cm="1">
        <f t="array" ref="V8">_xlfn.QUARTILE.INC(IF(Quartile_L[[#This Row],[Industry]]=Main_L[Industry],Main_L[A/E]),1)</f>
        <v>1.6949999999999998</v>
      </c>
      <c r="W8" s="1" cm="1">
        <f t="array" ref="W8">_xlfn.QUARTILE.INC(IF(Quartile_L[[#This Row],[Industry]]=Main_L[Industry],Main_L[A/E]),3)</f>
        <v>2.7725</v>
      </c>
      <c r="X8" s="1">
        <f>Quartile_L[[#This Row],[A/E Q1]]-1.5*(Quartile_L[[#This Row],[A/E Q3]]-Quartile_L[[#This Row],[A/E Q1]])</f>
        <v>7.8749999999999654E-2</v>
      </c>
      <c r="Y8" s="1">
        <f>Quartile_L[[#This Row],[A/E Q3]]+1.5*(Quartile_L[[#This Row],[A/E Q3]]-Quartile_L[[#This Row],[A/E Q1]])</f>
        <v>4.3887499999999999</v>
      </c>
    </row>
    <row r="9" spans="1:25" x14ac:dyDescent="0.25">
      <c r="A9" t="s">
        <v>182</v>
      </c>
      <c r="B9" s="1" cm="1">
        <f t="array" ref="B9">_xlfn.QUARTILE.INC(IF(Quartile_L[[#This Row],[Industry]]=Main_L[Industry],Main_L[P/FCF]),1)</f>
        <v>17.247093023255815</v>
      </c>
      <c r="C9" s="1" cm="1">
        <f t="array" ref="C9">_xlfn.QUARTILE.INC(IF(Quartile_L[[#This Row],[Industry]]=Main_L[Industry],Main_L[P/FCF]),3)</f>
        <v>24.998875140607424</v>
      </c>
      <c r="D9" s="1">
        <f>Quartile_L[[#This Row],[P/FCF Q1]]-1.5*(Quartile_L[[#This Row],[P/FCF Q3]]-Quartile_L[[#This Row],[P/FCF Q1]])</f>
        <v>5.6194198472284</v>
      </c>
      <c r="E9" s="1">
        <f>Quartile_L[[#This Row],[P/FCF Q3]]+1.5*(Quartile_L[[#This Row],[P/FCF Q3]]-Quartile_L[[#This Row],[P/FCF Q1]])</f>
        <v>36.626548316634839</v>
      </c>
      <c r="F9" s="1" cm="1">
        <f t="array" ref="F9">_xlfn.QUARTILE.INC(IF(Quartile_L[[#This Row],[Industry]]=Main_L[Industry],Main_L[P/B]),1)</f>
        <v>5.3029338185126225</v>
      </c>
      <c r="G9" s="1" cm="1">
        <f t="array" ref="G9">_xlfn.QUARTILE.INC(IF(Quartile_L[[#This Row],[Industry]]=Main_L[Industry],Main_L[P/B]),3)</f>
        <v>6.7497155858930604</v>
      </c>
      <c r="H9" s="1">
        <f>Quartile_L[[#This Row],[P/B Q1]]-1.5*(Quartile_L[[#This Row],[P/B Q3]]-Quartile_L[[#This Row],[P/B Q1]])</f>
        <v>3.1327611674419655</v>
      </c>
      <c r="I9" s="1">
        <f>Quartile_L[[#This Row],[P/B Q3]]+1.5*(Quartile_L[[#This Row],[P/B Q3]]-Quartile_L[[#This Row],[P/B Q1]])</f>
        <v>8.9198882369637182</v>
      </c>
      <c r="J9" s="1" cm="1">
        <f t="array" ref="J9">_xlfn.QUARTILE.INC(IF(Quartile_L[[#This Row],[Industry]]=Main_L[Industry],Main_L[ROE]),1)</f>
        <v>21.22</v>
      </c>
      <c r="K9" s="1" cm="1">
        <f t="array" ref="K9">_xlfn.QUARTILE.INC(IF(Quartile_L[[#This Row],[Industry]]=Main_L[Industry],Main_L[ROE]),3)</f>
        <v>32.57</v>
      </c>
      <c r="L9" s="1">
        <f>Quartile_L[[#This Row],[ROE Q1]]-1.5*(Quartile_L[[#This Row],[ROE Q3]]-Quartile_L[[#This Row],[ROE Q1]])</f>
        <v>4.1949999999999967</v>
      </c>
      <c r="M9" s="1">
        <f>Quartile_L[[#This Row],[ROE Q3]]+1.5*(Quartile_L[[#This Row],[ROE Q3]]-Quartile_L[[#This Row],[ROE Q1]])</f>
        <v>49.594999999999999</v>
      </c>
      <c r="N9" s="1" cm="1">
        <f t="array" ref="N9">_xlfn.QUARTILE.INC(IF(Quartile_L[[#This Row],[Industry]]=Main_L[Industry],Main_L[ROA]),1)</f>
        <v>7.93</v>
      </c>
      <c r="O9" s="1" cm="1">
        <f t="array" ref="O9">_xlfn.QUARTILE.INC(IF(Quartile_L[[#This Row],[Industry]]=Main_L[Industry],Main_L[ROA]),3)</f>
        <v>10.61</v>
      </c>
      <c r="P9" s="1">
        <f>Quartile_L[[#This Row],[ROA Q1]]-1.5*(Quartile_L[[#This Row],[ROA Q3]]-Quartile_L[[#This Row],[ROA Q1]])</f>
        <v>3.91</v>
      </c>
      <c r="Q9" s="1">
        <f>Quartile_L[[#This Row],[ROA Q3]]+1.5*(Quartile_L[[#This Row],[ROA Q3]]-Quartile_L[[#This Row],[ROA Q1]])</f>
        <v>14.629999999999999</v>
      </c>
      <c r="R9" s="1" cm="1">
        <f t="array" ref="R9">_xlfn.QUARTILE.INC(IF(Quartile_L[[#This Row],[Industry]]=Main_L[Industry],Main_L[P/E]),1)</f>
        <v>18.489150326797386</v>
      </c>
      <c r="S9" s="1" cm="1">
        <f t="array" ref="S9">_xlfn.QUARTILE.INC(IF(Quartile_L[[#This Row],[Industry]]=Main_L[Industry],Main_L[P/E]),3)</f>
        <v>28.118483412322277</v>
      </c>
      <c r="T9" s="1">
        <f>Quartile_L[[#This Row],[P/E Q1]]-1.5*(Quartile_L[[#This Row],[P/E Q3]]-Quartile_L[[#This Row],[P/E Q1]])</f>
        <v>4.0451506985100494</v>
      </c>
      <c r="U9" s="1">
        <f>Quartile_L[[#This Row],[P/E Q3]]+1.5*(Quartile_L[[#This Row],[P/E Q3]]-Quartile_L[[#This Row],[P/E Q1]])</f>
        <v>42.562483040609614</v>
      </c>
      <c r="V9" s="1" cm="1">
        <f t="array" ref="V9">_xlfn.QUARTILE.INC(IF(Quartile_L[[#This Row],[Industry]]=Main_L[Industry],Main_L[A/E]),1)</f>
        <v>1.75</v>
      </c>
      <c r="W9" s="1" cm="1">
        <f t="array" ref="W9">_xlfn.QUARTILE.INC(IF(Quartile_L[[#This Row],[Industry]]=Main_L[Industry],Main_L[A/E]),3)</f>
        <v>3.31</v>
      </c>
      <c r="X9" s="1">
        <f>Quartile_L[[#This Row],[A/E Q1]]-1.5*(Quartile_L[[#This Row],[A/E Q3]]-Quartile_L[[#This Row],[A/E Q1]])</f>
        <v>-0.58999999999999986</v>
      </c>
      <c r="Y9" s="1">
        <f>Quartile_L[[#This Row],[A/E Q3]]+1.5*(Quartile_L[[#This Row],[A/E Q3]]-Quartile_L[[#This Row],[A/E Q1]])</f>
        <v>5.65</v>
      </c>
    </row>
    <row r="10" spans="1:25" x14ac:dyDescent="0.25">
      <c r="A10" t="s">
        <v>192</v>
      </c>
      <c r="B10" s="1" cm="1">
        <f t="array" ref="B10">_xlfn.QUARTILE.INC(IF(Quartile_L[[#This Row],[Industry]]=Main_L[Industry],Main_L[P/FCF]),1)</f>
        <v>37.247953753869972</v>
      </c>
      <c r="C10" s="1" cm="1">
        <f t="array" ref="C10">_xlfn.QUARTILE.INC(IF(Quartile_L[[#This Row],[Industry]]=Main_L[Industry],Main_L[P/FCF]),3)</f>
        <v>52.215854540672055</v>
      </c>
      <c r="D10" s="1">
        <f>Quartile_L[[#This Row],[P/FCF Q1]]-1.5*(Quartile_L[[#This Row],[P/FCF Q3]]-Quartile_L[[#This Row],[P/FCF Q1]])</f>
        <v>14.796102573666847</v>
      </c>
      <c r="E10" s="1">
        <f>Quartile_L[[#This Row],[P/FCF Q3]]+1.5*(Quartile_L[[#This Row],[P/FCF Q3]]-Quartile_L[[#This Row],[P/FCF Q1]])</f>
        <v>74.667705720875176</v>
      </c>
      <c r="F10" s="1" cm="1">
        <f t="array" ref="F10">_xlfn.QUARTILE.INC(IF(Quartile_L[[#This Row],[Industry]]=Main_L[Industry],Main_L[P/B]),1)</f>
        <v>5.068134623224017</v>
      </c>
      <c r="G10" s="1" cm="1">
        <f t="array" ref="G10">_xlfn.QUARTILE.INC(IF(Quartile_L[[#This Row],[Industry]]=Main_L[Industry],Main_L[P/B]),3)</f>
        <v>11.983286745791203</v>
      </c>
      <c r="H10" s="1">
        <f>Quartile_L[[#This Row],[P/B Q1]]-1.5*(Quartile_L[[#This Row],[P/B Q3]]-Quartile_L[[#This Row],[P/B Q1]])</f>
        <v>-5.3045935606267616</v>
      </c>
      <c r="I10" s="1">
        <f>Quartile_L[[#This Row],[P/B Q3]]+1.5*(Quartile_L[[#This Row],[P/B Q3]]-Quartile_L[[#This Row],[P/B Q1]])</f>
        <v>22.356014929641979</v>
      </c>
      <c r="J10" s="1" cm="1">
        <f t="array" ref="J10">_xlfn.QUARTILE.INC(IF(Quartile_L[[#This Row],[Industry]]=Main_L[Industry],Main_L[ROE]),1)</f>
        <v>11.3025</v>
      </c>
      <c r="K10" s="1" cm="1">
        <f t="array" ref="K10">_xlfn.QUARTILE.INC(IF(Quartile_L[[#This Row],[Industry]]=Main_L[Industry],Main_L[ROE]),3)</f>
        <v>35.962500000000006</v>
      </c>
      <c r="L10" s="1">
        <f>Quartile_L[[#This Row],[ROE Q1]]-1.5*(Quartile_L[[#This Row],[ROE Q3]]-Quartile_L[[#This Row],[ROE Q1]])</f>
        <v>-25.687500000000007</v>
      </c>
      <c r="M10" s="1">
        <f>Quartile_L[[#This Row],[ROE Q3]]+1.5*(Quartile_L[[#This Row],[ROE Q3]]-Quartile_L[[#This Row],[ROE Q1]])</f>
        <v>72.952500000000015</v>
      </c>
      <c r="N10" s="1" cm="1">
        <f t="array" ref="N10">_xlfn.QUARTILE.INC(IF(Quartile_L[[#This Row],[Industry]]=Main_L[Industry],Main_L[ROA]),1)</f>
        <v>4.83</v>
      </c>
      <c r="O10" s="1" cm="1">
        <f t="array" ref="O10">_xlfn.QUARTILE.INC(IF(Quartile_L[[#This Row],[Industry]]=Main_L[Industry],Main_L[ROA]),3)</f>
        <v>12.4</v>
      </c>
      <c r="P10" s="1">
        <f>Quartile_L[[#This Row],[ROA Q1]]-1.5*(Quartile_L[[#This Row],[ROA Q3]]-Quartile_L[[#This Row],[ROA Q1]])</f>
        <v>-6.5250000000000004</v>
      </c>
      <c r="Q10" s="1">
        <f>Quartile_L[[#This Row],[ROA Q3]]+1.5*(Quartile_L[[#This Row],[ROA Q3]]-Quartile_L[[#This Row],[ROA Q1]])</f>
        <v>23.755000000000003</v>
      </c>
      <c r="R10" s="1" cm="1">
        <f t="array" ref="R10">_xlfn.QUARTILE.INC(IF(Quartile_L[[#This Row],[Industry]]=Main_L[Industry],Main_L[P/E]),1)</f>
        <v>30.41796875</v>
      </c>
      <c r="S10" s="1" cm="1">
        <f t="array" ref="S10">_xlfn.QUARTILE.INC(IF(Quartile_L[[#This Row],[Industry]]=Main_L[Industry],Main_L[P/E]),3)</f>
        <v>56.961791831357047</v>
      </c>
      <c r="T10" s="1">
        <f>Quartile_L[[#This Row],[P/E Q1]]-1.5*(Quartile_L[[#This Row],[P/E Q3]]-Quartile_L[[#This Row],[P/E Q1]])</f>
        <v>-9.3977658720355706</v>
      </c>
      <c r="U10" s="1">
        <f>Quartile_L[[#This Row],[P/E Q3]]+1.5*(Quartile_L[[#This Row],[P/E Q3]]-Quartile_L[[#This Row],[P/E Q1]])</f>
        <v>96.777526453392625</v>
      </c>
      <c r="V10" s="1" cm="1">
        <f t="array" ref="V10">_xlfn.QUARTILE.INC(IF(Quartile_L[[#This Row],[Industry]]=Main_L[Industry],Main_L[A/E]),1)</f>
        <v>2.2824999999999998</v>
      </c>
      <c r="W10" s="1" cm="1">
        <f t="array" ref="W10">_xlfn.QUARTILE.INC(IF(Quartile_L[[#This Row],[Industry]]=Main_L[Industry],Main_L[A/E]),3)</f>
        <v>2.91</v>
      </c>
      <c r="X10" s="1">
        <f>Quartile_L[[#This Row],[A/E Q1]]-1.5*(Quartile_L[[#This Row],[A/E Q3]]-Quartile_L[[#This Row],[A/E Q1]])</f>
        <v>1.3412499999999992</v>
      </c>
      <c r="Y10" s="1">
        <f>Quartile_L[[#This Row],[A/E Q3]]+1.5*(Quartile_L[[#This Row],[A/E Q3]]-Quartile_L[[#This Row],[A/E Q1]])</f>
        <v>3.8512500000000007</v>
      </c>
    </row>
    <row r="11" spans="1:25" x14ac:dyDescent="0.25">
      <c r="A11" t="s">
        <v>205</v>
      </c>
      <c r="B11" s="1" cm="1">
        <f t="array" ref="B11">_xlfn.QUARTILE.INC(IF(Quartile_L[[#This Row],[Industry]]=Main_L[Industry],Main_L[P/FCF]),1)</f>
        <v>26.188699393079883</v>
      </c>
      <c r="C11" s="1" cm="1">
        <f t="array" ref="C11">_xlfn.QUARTILE.INC(IF(Quartile_L[[#This Row],[Industry]]=Main_L[Industry],Main_L[P/FCF]),3)</f>
        <v>46.695160687593422</v>
      </c>
      <c r="D11" s="1">
        <f>Quartile_L[[#This Row],[P/FCF Q1]]-1.5*(Quartile_L[[#This Row],[P/FCF Q3]]-Quartile_L[[#This Row],[P/FCF Q1]])</f>
        <v>-4.5709925486904233</v>
      </c>
      <c r="E11" s="1">
        <f>Quartile_L[[#This Row],[P/FCF Q3]]+1.5*(Quartile_L[[#This Row],[P/FCF Q3]]-Quartile_L[[#This Row],[P/FCF Q1]])</f>
        <v>77.454852629363728</v>
      </c>
      <c r="F11" s="1" cm="1">
        <f t="array" ref="F11">_xlfn.QUARTILE.INC(IF(Quartile_L[[#This Row],[Industry]]=Main_L[Industry],Main_L[P/B]),1)</f>
        <v>3.748131033066338</v>
      </c>
      <c r="G11" s="1" cm="1">
        <f t="array" ref="G11">_xlfn.QUARTILE.INC(IF(Quartile_L[[#This Row],[Industry]]=Main_L[Industry],Main_L[P/B]),3)</f>
        <v>14.231372425201453</v>
      </c>
      <c r="H11" s="1">
        <f>Quartile_L[[#This Row],[P/B Q1]]-1.5*(Quartile_L[[#This Row],[P/B Q3]]-Quartile_L[[#This Row],[P/B Q1]])</f>
        <v>-11.976731055136336</v>
      </c>
      <c r="I11" s="1">
        <f>Quartile_L[[#This Row],[P/B Q3]]+1.5*(Quartile_L[[#This Row],[P/B Q3]]-Quartile_L[[#This Row],[P/B Q1]])</f>
        <v>29.956234513404127</v>
      </c>
      <c r="J11" s="1" cm="1">
        <f t="array" ref="J11">_xlfn.QUARTILE.INC(IF(Quartile_L[[#This Row],[Industry]]=Main_L[Industry],Main_L[ROE]),1)</f>
        <v>11.0975</v>
      </c>
      <c r="K11" s="1" cm="1">
        <f t="array" ref="K11">_xlfn.QUARTILE.INC(IF(Quartile_L[[#This Row],[Industry]]=Main_L[Industry],Main_L[ROE]),3)</f>
        <v>42.397500000000001</v>
      </c>
      <c r="L11" s="1">
        <f>Quartile_L[[#This Row],[ROE Q1]]-1.5*(Quartile_L[[#This Row],[ROE Q3]]-Quartile_L[[#This Row],[ROE Q1]])</f>
        <v>-35.852500000000006</v>
      </c>
      <c r="M11" s="1">
        <f>Quartile_L[[#This Row],[ROE Q3]]+1.5*(Quartile_L[[#This Row],[ROE Q3]]-Quartile_L[[#This Row],[ROE Q1]])</f>
        <v>89.347499999999997</v>
      </c>
      <c r="N11" s="1" cm="1">
        <f t="array" ref="N11">_xlfn.QUARTILE.INC(IF(Quartile_L[[#This Row],[Industry]]=Main_L[Industry],Main_L[ROA]),1)</f>
        <v>4.9649999999999999</v>
      </c>
      <c r="O11" s="1" cm="1">
        <f t="array" ref="O11">_xlfn.QUARTILE.INC(IF(Quartile_L[[#This Row],[Industry]]=Main_L[Industry],Main_L[ROA]),3)</f>
        <v>9.8975000000000009</v>
      </c>
      <c r="P11" s="1">
        <f>Quartile_L[[#This Row],[ROA Q1]]-1.5*(Quartile_L[[#This Row],[ROA Q3]]-Quartile_L[[#This Row],[ROA Q1]])</f>
        <v>-2.4337500000000016</v>
      </c>
      <c r="Q11" s="1">
        <f>Quartile_L[[#This Row],[ROA Q3]]+1.5*(Quartile_L[[#This Row],[ROA Q3]]-Quartile_L[[#This Row],[ROA Q1]])</f>
        <v>17.296250000000001</v>
      </c>
      <c r="R11" s="1" cm="1">
        <f t="array" ref="R11">_xlfn.QUARTILE.INC(IF(Quartile_L[[#This Row],[Industry]]=Main_L[Industry],Main_L[P/E]),1)</f>
        <v>29.627362283876156</v>
      </c>
      <c r="S11" s="1" cm="1">
        <f t="array" ref="S11">_xlfn.QUARTILE.INC(IF(Quartile_L[[#This Row],[Industry]]=Main_L[Industry],Main_L[P/E]),3)</f>
        <v>48.239231363690408</v>
      </c>
      <c r="T11" s="1">
        <f>Quartile_L[[#This Row],[P/E Q1]]-1.5*(Quartile_L[[#This Row],[P/E Q3]]-Quartile_L[[#This Row],[P/E Q1]])</f>
        <v>1.7095586641547804</v>
      </c>
      <c r="U11" s="1">
        <f>Quartile_L[[#This Row],[P/E Q3]]+1.5*(Quartile_L[[#This Row],[P/E Q3]]-Quartile_L[[#This Row],[P/E Q1]])</f>
        <v>76.157034983411791</v>
      </c>
      <c r="V11" s="1" cm="1">
        <f t="array" ref="V11">_xlfn.QUARTILE.INC(IF(Quartile_L[[#This Row],[Industry]]=Main_L[Industry],Main_L[A/E]),1)</f>
        <v>2.5274999999999999</v>
      </c>
      <c r="W11" s="1" cm="1">
        <f t="array" ref="W11">_xlfn.QUARTILE.INC(IF(Quartile_L[[#This Row],[Industry]]=Main_L[Industry],Main_L[A/E]),3)</f>
        <v>3.6375000000000002</v>
      </c>
      <c r="X11" s="1">
        <f>Quartile_L[[#This Row],[A/E Q1]]-1.5*(Quartile_L[[#This Row],[A/E Q3]]-Quartile_L[[#This Row],[A/E Q1]])</f>
        <v>0.86249999999999938</v>
      </c>
      <c r="Y11" s="1">
        <f>Quartile_L[[#This Row],[A/E Q3]]+1.5*(Quartile_L[[#This Row],[A/E Q3]]-Quartile_L[[#This Row],[A/E Q1]])</f>
        <v>5.3025000000000002</v>
      </c>
    </row>
    <row r="12" spans="1:25" x14ac:dyDescent="0.25">
      <c r="A12" t="s">
        <v>224</v>
      </c>
      <c r="B12" s="1" cm="1">
        <f t="array" ref="B12">_xlfn.QUARTILE.INC(IF(Quartile_L[[#This Row],[Industry]]=Main_L[Industry],Main_L[P/FCF]),1)</f>
        <v>17.563636363636363</v>
      </c>
      <c r="C12" s="1" cm="1">
        <f t="array" ref="C12">_xlfn.QUARTILE.INC(IF(Quartile_L[[#This Row],[Industry]]=Main_L[Industry],Main_L[P/FCF]),3)</f>
        <v>27.2289156626506</v>
      </c>
      <c r="D12" s="1">
        <f>Quartile_L[[#This Row],[P/FCF Q1]]-1.5*(Quartile_L[[#This Row],[P/FCF Q3]]-Quartile_L[[#This Row],[P/FCF Q1]])</f>
        <v>3.0657174151150066</v>
      </c>
      <c r="E12" s="1">
        <f>Quartile_L[[#This Row],[P/FCF Q3]]+1.5*(Quartile_L[[#This Row],[P/FCF Q3]]-Quartile_L[[#This Row],[P/FCF Q1]])</f>
        <v>41.726834611171952</v>
      </c>
      <c r="F12" s="1" cm="1">
        <f t="array" ref="F12">_xlfn.QUARTILE.INC(IF(Quartile_L[[#This Row],[Industry]]=Main_L[Industry],Main_L[P/B]),1)</f>
        <v>1.9679362267493357</v>
      </c>
      <c r="G12" s="1" cm="1">
        <f t="array" ref="G12">_xlfn.QUARTILE.INC(IF(Quartile_L[[#This Row],[Industry]]=Main_L[Industry],Main_L[P/B]),3)</f>
        <v>6.7102137767220906</v>
      </c>
      <c r="H12" s="1">
        <f>Quartile_L[[#This Row],[P/B Q1]]-1.5*(Quartile_L[[#This Row],[P/B Q3]]-Quartile_L[[#This Row],[P/B Q1]])</f>
        <v>-5.1454800982097968</v>
      </c>
      <c r="I12" s="1">
        <f>Quartile_L[[#This Row],[P/B Q3]]+1.5*(Quartile_L[[#This Row],[P/B Q3]]-Quartile_L[[#This Row],[P/B Q1]])</f>
        <v>13.823630101681223</v>
      </c>
      <c r="J12" s="1" cm="1">
        <f t="array" ref="J12">_xlfn.QUARTILE.INC(IF(Quartile_L[[#This Row],[Industry]]=Main_L[Industry],Main_L[ROE]),1)</f>
        <v>15.07</v>
      </c>
      <c r="K12" s="1" cm="1">
        <f t="array" ref="K12">_xlfn.QUARTILE.INC(IF(Quartile_L[[#This Row],[Industry]]=Main_L[Industry],Main_L[ROE]),3)</f>
        <v>30.29</v>
      </c>
      <c r="L12" s="1">
        <f>Quartile_L[[#This Row],[ROE Q1]]-1.5*(Quartile_L[[#This Row],[ROE Q3]]-Quartile_L[[#This Row],[ROE Q1]])</f>
        <v>-7.759999999999998</v>
      </c>
      <c r="M12" s="1">
        <f>Quartile_L[[#This Row],[ROE Q3]]+1.5*(Quartile_L[[#This Row],[ROE Q3]]-Quartile_L[[#This Row],[ROE Q1]])</f>
        <v>53.12</v>
      </c>
      <c r="N12" s="1" cm="1">
        <f t="array" ref="N12">_xlfn.QUARTILE.INC(IF(Quartile_L[[#This Row],[Industry]]=Main_L[Industry],Main_L[ROA]),1)</f>
        <v>7.15</v>
      </c>
      <c r="O12" s="1" cm="1">
        <f t="array" ref="O12">_xlfn.QUARTILE.INC(IF(Quartile_L[[#This Row],[Industry]]=Main_L[Industry],Main_L[ROA]),3)</f>
        <v>7.71</v>
      </c>
      <c r="P12" s="1">
        <f>Quartile_L[[#This Row],[ROA Q1]]-1.5*(Quartile_L[[#This Row],[ROA Q3]]-Quartile_L[[#This Row],[ROA Q1]])</f>
        <v>6.3100000000000005</v>
      </c>
      <c r="Q12" s="1">
        <f>Quartile_L[[#This Row],[ROA Q3]]+1.5*(Quartile_L[[#This Row],[ROA Q3]]-Quartile_L[[#This Row],[ROA Q1]])</f>
        <v>8.5499999999999989</v>
      </c>
      <c r="R12" s="1" cm="1">
        <f t="array" ref="R12">_xlfn.QUARTILE.INC(IF(Quartile_L[[#This Row],[Industry]]=Main_L[Industry],Main_L[P/E]),1)</f>
        <v>13.714814814814815</v>
      </c>
      <c r="S12" s="1" cm="1">
        <f t="array" ref="S12">_xlfn.QUARTILE.INC(IF(Quartile_L[[#This Row],[Industry]]=Main_L[Industry],Main_L[P/E]),3)</f>
        <v>22.0703125</v>
      </c>
      <c r="T12" s="1">
        <f>Quartile_L[[#This Row],[P/E Q1]]-1.5*(Quartile_L[[#This Row],[P/E Q3]]-Quartile_L[[#This Row],[P/E Q1]])</f>
        <v>1.1815682870370381</v>
      </c>
      <c r="U12" s="1">
        <f>Quartile_L[[#This Row],[P/E Q3]]+1.5*(Quartile_L[[#This Row],[P/E Q3]]-Quartile_L[[#This Row],[P/E Q1]])</f>
        <v>34.603559027777777</v>
      </c>
      <c r="V12" s="1" cm="1">
        <f t="array" ref="V12">_xlfn.QUARTILE.INC(IF(Quartile_L[[#This Row],[Industry]]=Main_L[Industry],Main_L[A/E]),1)</f>
        <v>2.19</v>
      </c>
      <c r="W12" s="1" cm="1">
        <f t="array" ref="W12">_xlfn.QUARTILE.INC(IF(Quartile_L[[#This Row],[Industry]]=Main_L[Industry],Main_L[A/E]),3)</f>
        <v>3.42</v>
      </c>
      <c r="X12" s="1">
        <f>Quartile_L[[#This Row],[A/E Q1]]-1.5*(Quartile_L[[#This Row],[A/E Q3]]-Quartile_L[[#This Row],[A/E Q1]])</f>
        <v>0.34499999999999997</v>
      </c>
      <c r="Y12" s="1">
        <f>Quartile_L[[#This Row],[A/E Q3]]+1.5*(Quartile_L[[#This Row],[A/E Q3]]-Quartile_L[[#This Row],[A/E Q1]])</f>
        <v>5.2649999999999997</v>
      </c>
    </row>
    <row r="13" spans="1:25" x14ac:dyDescent="0.25">
      <c r="A13" t="s">
        <v>230</v>
      </c>
      <c r="B13" s="1" cm="1">
        <f t="array" ref="B13">_xlfn.QUARTILE.INC(IF(Quartile_L[[#This Row],[Industry]]=Main_L[Industry],Main_L[P/FCF]),1)</f>
        <v>-10.393188854489164</v>
      </c>
      <c r="C13" s="1" cm="1">
        <f t="array" ref="C13">_xlfn.QUARTILE.INC(IF(Quartile_L[[#This Row],[Industry]]=Main_L[Industry],Main_L[P/FCF]),3)</f>
        <v>58.181818181818187</v>
      </c>
      <c r="D13" s="1">
        <f>Quartile_L[[#This Row],[P/FCF Q1]]-1.5*(Quartile_L[[#This Row],[P/FCF Q3]]-Quartile_L[[#This Row],[P/FCF Q1]])</f>
        <v>-113.25569940895021</v>
      </c>
      <c r="E13" s="1">
        <f>Quartile_L[[#This Row],[P/FCF Q3]]+1.5*(Quartile_L[[#This Row],[P/FCF Q3]]-Quartile_L[[#This Row],[P/FCF Q1]])</f>
        <v>161.04432873627923</v>
      </c>
      <c r="F13" s="1" cm="1">
        <f t="array" ref="F13">_xlfn.QUARTILE.INC(IF(Quartile_L[[#This Row],[Industry]]=Main_L[Industry],Main_L[P/B]),1)</f>
        <v>1.9337557603686637</v>
      </c>
      <c r="G13" s="1" cm="1">
        <f t="array" ref="G13">_xlfn.QUARTILE.INC(IF(Quartile_L[[#This Row],[Industry]]=Main_L[Industry],Main_L[P/B]),3)</f>
        <v>2.4060150375939848</v>
      </c>
      <c r="H13" s="1">
        <f>Quartile_L[[#This Row],[P/B Q1]]-1.5*(Quartile_L[[#This Row],[P/B Q3]]-Quartile_L[[#This Row],[P/B Q1]])</f>
        <v>1.225366844530682</v>
      </c>
      <c r="I13" s="1">
        <f>Quartile_L[[#This Row],[P/B Q3]]+1.5*(Quartile_L[[#This Row],[P/B Q3]]-Quartile_L[[#This Row],[P/B Q1]])</f>
        <v>3.1144039534319665</v>
      </c>
      <c r="J13" s="1" cm="1">
        <f t="array" ref="J13">_xlfn.QUARTILE.INC(IF(Quartile_L[[#This Row],[Industry]]=Main_L[Industry],Main_L[ROE]),1)</f>
        <v>-0.45</v>
      </c>
      <c r="K13" s="1" cm="1">
        <f t="array" ref="K13">_xlfn.QUARTILE.INC(IF(Quartile_L[[#This Row],[Industry]]=Main_L[Industry],Main_L[ROE]),3)</f>
        <v>27.24</v>
      </c>
      <c r="L13" s="1">
        <f>Quartile_L[[#This Row],[ROE Q1]]-1.5*(Quartile_L[[#This Row],[ROE Q3]]-Quartile_L[[#This Row],[ROE Q1]])</f>
        <v>-41.984999999999999</v>
      </c>
      <c r="M13" s="1">
        <f>Quartile_L[[#This Row],[ROE Q3]]+1.5*(Quartile_L[[#This Row],[ROE Q3]]-Quartile_L[[#This Row],[ROE Q1]])</f>
        <v>68.774999999999991</v>
      </c>
      <c r="N13" s="1" cm="1">
        <f t="array" ref="N13">_xlfn.QUARTILE.INC(IF(Quartile_L[[#This Row],[Industry]]=Main_L[Industry],Main_L[ROA]),1)</f>
        <v>2.75</v>
      </c>
      <c r="O13" s="1" cm="1">
        <f t="array" ref="O13">_xlfn.QUARTILE.INC(IF(Quartile_L[[#This Row],[Industry]]=Main_L[Industry],Main_L[ROA]),3)</f>
        <v>5.27</v>
      </c>
      <c r="P13" s="1">
        <f>Quartile_L[[#This Row],[ROA Q1]]-1.5*(Quartile_L[[#This Row],[ROA Q3]]-Quartile_L[[#This Row],[ROA Q1]])</f>
        <v>-1.0299999999999994</v>
      </c>
      <c r="Q13" s="1">
        <f>Quartile_L[[#This Row],[ROA Q3]]+1.5*(Quartile_L[[#This Row],[ROA Q3]]-Quartile_L[[#This Row],[ROA Q1]])</f>
        <v>9.0499999999999989</v>
      </c>
      <c r="R13" s="1" cm="1">
        <f t="array" ref="R13">_xlfn.QUARTILE.INC(IF(Quartile_L[[#This Row],[Industry]]=Main_L[Industry],Main_L[P/E]),1)</f>
        <v>7.1111111111111116</v>
      </c>
      <c r="S13" s="1" cm="1">
        <f t="array" ref="S13">_xlfn.QUARTILE.INC(IF(Quartile_L[[#This Row],[Industry]]=Main_L[Industry],Main_L[P/E]),3)</f>
        <v>28</v>
      </c>
      <c r="T13" s="1">
        <f>Quartile_L[[#This Row],[P/E Q1]]-1.5*(Quartile_L[[#This Row],[P/E Q3]]-Quartile_L[[#This Row],[P/E Q1]])</f>
        <v>-24.222222222222225</v>
      </c>
      <c r="U13" s="1">
        <f>Quartile_L[[#This Row],[P/E Q3]]+1.5*(Quartile_L[[#This Row],[P/E Q3]]-Quartile_L[[#This Row],[P/E Q1]])</f>
        <v>59.333333333333336</v>
      </c>
      <c r="V13" s="1" cm="1">
        <f t="array" ref="V13">_xlfn.QUARTILE.INC(IF(Quartile_L[[#This Row],[Industry]]=Main_L[Industry],Main_L[A/E]),1)</f>
        <v>2.11</v>
      </c>
      <c r="W13" s="1" cm="1">
        <f t="array" ref="W13">_xlfn.QUARTILE.INC(IF(Quartile_L[[#This Row],[Industry]]=Main_L[Industry],Main_L[A/E]),3)</f>
        <v>5.52</v>
      </c>
      <c r="X13" s="1">
        <f>Quartile_L[[#This Row],[A/E Q1]]-1.5*(Quartile_L[[#This Row],[A/E Q3]]-Quartile_L[[#This Row],[A/E Q1]])</f>
        <v>-3.0049999999999994</v>
      </c>
      <c r="Y13" s="1">
        <f>Quartile_L[[#This Row],[A/E Q3]]+1.5*(Quartile_L[[#This Row],[A/E Q3]]-Quartile_L[[#This Row],[A/E Q1]])</f>
        <v>10.634999999999998</v>
      </c>
    </row>
    <row r="14" spans="1:25" x14ac:dyDescent="0.25">
      <c r="A14" t="s">
        <v>250</v>
      </c>
      <c r="B14" s="1" t="e" cm="1">
        <f t="array" ref="B14">_xlfn.QUARTILE.INC(IF(Quartile_L[[#This Row],[Industry]]=Main_L[Industry],Main_L[P/FCF]),1)</f>
        <v>#NUM!</v>
      </c>
      <c r="C14" s="1" t="e" cm="1">
        <f t="array" ref="C14">_xlfn.QUARTILE.INC(IF(Quartile_L[[#This Row],[Industry]]=Main_L[Industry],Main_L[P/FCF]),3)</f>
        <v>#NUM!</v>
      </c>
      <c r="D14" s="1" t="e">
        <f>Quartile_L[[#This Row],[P/FCF Q1]]-1.5*(Quartile_L[[#This Row],[P/FCF Q3]]-Quartile_L[[#This Row],[P/FCF Q1]])</f>
        <v>#NUM!</v>
      </c>
      <c r="E14" s="1" t="e">
        <f>Quartile_L[[#This Row],[P/FCF Q3]]+1.5*(Quartile_L[[#This Row],[P/FCF Q3]]-Quartile_L[[#This Row],[P/FCF Q1]])</f>
        <v>#NUM!</v>
      </c>
      <c r="F14" s="1" t="e" cm="1">
        <f t="array" ref="F14">_xlfn.QUARTILE.INC(IF(Quartile_L[[#This Row],[Industry]]=Main_L[Industry],Main_L[P/B]),1)</f>
        <v>#NUM!</v>
      </c>
      <c r="G14" s="1" t="e" cm="1">
        <f t="array" ref="G14">_xlfn.QUARTILE.INC(IF(Quartile_L[[#This Row],[Industry]]=Main_L[Industry],Main_L[P/B]),3)</f>
        <v>#NUM!</v>
      </c>
      <c r="H14" s="1" t="e">
        <f>Quartile_L[[#This Row],[P/B Q1]]-1.5*(Quartile_L[[#This Row],[P/B Q3]]-Quartile_L[[#This Row],[P/B Q1]])</f>
        <v>#NUM!</v>
      </c>
      <c r="I14" s="1" t="e">
        <f>Quartile_L[[#This Row],[P/B Q3]]+1.5*(Quartile_L[[#This Row],[P/B Q3]]-Quartile_L[[#This Row],[P/B Q1]])</f>
        <v>#NUM!</v>
      </c>
      <c r="J14" s="1" t="e" cm="1">
        <f t="array" ref="J14">_xlfn.QUARTILE.INC(IF(Quartile_L[[#This Row],[Industry]]=Main_L[Industry],Main_L[ROE]),1)</f>
        <v>#NUM!</v>
      </c>
      <c r="K14" s="1" t="e" cm="1">
        <f t="array" ref="K14">_xlfn.QUARTILE.INC(IF(Quartile_L[[#This Row],[Industry]]=Main_L[Industry],Main_L[ROE]),3)</f>
        <v>#NUM!</v>
      </c>
      <c r="L14" s="1" t="e">
        <f>Quartile_L[[#This Row],[ROE Q1]]-1.5*(Quartile_L[[#This Row],[ROE Q3]]-Quartile_L[[#This Row],[ROE Q1]])</f>
        <v>#NUM!</v>
      </c>
      <c r="M14" s="1" t="e">
        <f>Quartile_L[[#This Row],[ROE Q3]]+1.5*(Quartile_L[[#This Row],[ROE Q3]]-Quartile_L[[#This Row],[ROE Q1]])</f>
        <v>#NUM!</v>
      </c>
      <c r="N14" s="1" t="e" cm="1">
        <f t="array" ref="N14">_xlfn.QUARTILE.INC(IF(Quartile_L[[#This Row],[Industry]]=Main_L[Industry],Main_L[ROA]),1)</f>
        <v>#NUM!</v>
      </c>
      <c r="O14" s="1" t="e" cm="1">
        <f t="array" ref="O14">_xlfn.QUARTILE.INC(IF(Quartile_L[[#This Row],[Industry]]=Main_L[Industry],Main_L[ROA]),3)</f>
        <v>#NUM!</v>
      </c>
      <c r="P14" s="1" t="e">
        <f>Quartile_L[[#This Row],[ROA Q1]]-1.5*(Quartile_L[[#This Row],[ROA Q3]]-Quartile_L[[#This Row],[ROA Q1]])</f>
        <v>#NUM!</v>
      </c>
      <c r="Q14" s="1" t="e">
        <f>Quartile_L[[#This Row],[ROA Q3]]+1.5*(Quartile_L[[#This Row],[ROA Q3]]-Quartile_L[[#This Row],[ROA Q1]])</f>
        <v>#NUM!</v>
      </c>
      <c r="R14" s="1" t="e" cm="1">
        <f t="array" ref="R14">_xlfn.QUARTILE.INC(IF(Quartile_L[[#This Row],[Industry]]=Main_L[Industry],Main_L[P/E]),1)</f>
        <v>#NUM!</v>
      </c>
      <c r="S14" s="1" t="e" cm="1">
        <f t="array" ref="S14">_xlfn.QUARTILE.INC(IF(Quartile_L[[#This Row],[Industry]]=Main_L[Industry],Main_L[P/E]),3)</f>
        <v>#NUM!</v>
      </c>
      <c r="T14" s="1" t="e">
        <f>Quartile_L[[#This Row],[P/E Q1]]-1.5*(Quartile_L[[#This Row],[P/E Q3]]-Quartile_L[[#This Row],[P/E Q1]])</f>
        <v>#NUM!</v>
      </c>
      <c r="U14" s="1" t="e">
        <f>Quartile_L[[#This Row],[P/E Q3]]+1.5*(Quartile_L[[#This Row],[P/E Q3]]-Quartile_L[[#This Row],[P/E Q1]])</f>
        <v>#NUM!</v>
      </c>
      <c r="V14" s="1" t="e" cm="1">
        <f t="array" ref="V14">_xlfn.QUARTILE.INC(IF(Quartile_L[[#This Row],[Industry]]=Main_L[Industry],Main_L[A/E]),1)</f>
        <v>#NUM!</v>
      </c>
      <c r="W14" s="1" t="e" cm="1">
        <f t="array" ref="W14">_xlfn.QUARTILE.INC(IF(Quartile_L[[#This Row],[Industry]]=Main_L[Industry],Main_L[A/E]),3)</f>
        <v>#NUM!</v>
      </c>
      <c r="X14" s="1" t="e">
        <f>Quartile_L[[#This Row],[A/E Q1]]-1.5*(Quartile_L[[#This Row],[A/E Q3]]-Quartile_L[[#This Row],[A/E Q1]])</f>
        <v>#NUM!</v>
      </c>
      <c r="Y14" s="1" t="e">
        <f>Quartile_L[[#This Row],[A/E Q3]]+1.5*(Quartile_L[[#This Row],[A/E Q3]]-Quartile_L[[#This Row],[A/E Q1]])</f>
        <v>#NUM!</v>
      </c>
    </row>
    <row r="15" spans="1:25" x14ac:dyDescent="0.25">
      <c r="A15" t="s">
        <v>236</v>
      </c>
      <c r="B15" s="1" cm="1">
        <f t="array" ref="B15">_xlfn.QUARTILE.INC(IF(Quartile_L[[#This Row],[Industry]]=Main_L[Industry],Main_L[P/FCF]),1)</f>
        <v>-8.0917197452229299</v>
      </c>
      <c r="C15" s="1" cm="1">
        <f t="array" ref="C15">_xlfn.QUARTILE.INC(IF(Quartile_L[[#This Row],[Industry]]=Main_L[Industry],Main_L[P/FCF]),3)</f>
        <v>33.327058823529406</v>
      </c>
      <c r="D15" s="1">
        <f>Quartile_L[[#This Row],[P/FCF Q1]]-1.5*(Quartile_L[[#This Row],[P/FCF Q3]]-Quartile_L[[#This Row],[P/FCF Q1]])</f>
        <v>-70.219887598351434</v>
      </c>
      <c r="E15" s="1">
        <f>Quartile_L[[#This Row],[P/FCF Q3]]+1.5*(Quartile_L[[#This Row],[P/FCF Q3]]-Quartile_L[[#This Row],[P/FCF Q1]])</f>
        <v>95.455226676657901</v>
      </c>
      <c r="F15" s="1" cm="1">
        <f t="array" ref="F15">_xlfn.QUARTILE.INC(IF(Quartile_L[[#This Row],[Industry]]=Main_L[Industry],Main_L[P/B]),1)</f>
        <v>2.7034758535835128</v>
      </c>
      <c r="G15" s="1" cm="1">
        <f t="array" ref="G15">_xlfn.QUARTILE.INC(IF(Quartile_L[[#This Row],[Industry]]=Main_L[Industry],Main_L[P/B]),3)</f>
        <v>8.2012440541529461</v>
      </c>
      <c r="H15" s="1">
        <f>Quartile_L[[#This Row],[P/B Q1]]-1.5*(Quartile_L[[#This Row],[P/B Q3]]-Quartile_L[[#This Row],[P/B Q1]])</f>
        <v>-5.5431764472706391</v>
      </c>
      <c r="I15" s="1">
        <f>Quartile_L[[#This Row],[P/B Q3]]+1.5*(Quartile_L[[#This Row],[P/B Q3]]-Quartile_L[[#This Row],[P/B Q1]])</f>
        <v>16.447896355007096</v>
      </c>
      <c r="J15" s="1" cm="1">
        <f t="array" ref="J15">_xlfn.QUARTILE.INC(IF(Quartile_L[[#This Row],[Industry]]=Main_L[Industry],Main_L[ROE]),1)</f>
        <v>14.19</v>
      </c>
      <c r="K15" s="1" cm="1">
        <f t="array" ref="K15">_xlfn.QUARTILE.INC(IF(Quartile_L[[#This Row],[Industry]]=Main_L[Industry],Main_L[ROE]),3)</f>
        <v>29.46</v>
      </c>
      <c r="L15" s="1">
        <f>Quartile_L[[#This Row],[ROE Q1]]-1.5*(Quartile_L[[#This Row],[ROE Q3]]-Quartile_L[[#This Row],[ROE Q1]])</f>
        <v>-8.7150000000000016</v>
      </c>
      <c r="M15" s="1">
        <f>Quartile_L[[#This Row],[ROE Q3]]+1.5*(Quartile_L[[#This Row],[ROE Q3]]-Quartile_L[[#This Row],[ROE Q1]])</f>
        <v>52.365000000000002</v>
      </c>
      <c r="N15" s="1" cm="1">
        <f t="array" ref="N15">_xlfn.QUARTILE.INC(IF(Quartile_L[[#This Row],[Industry]]=Main_L[Industry],Main_L[ROA]),1)</f>
        <v>4.4000000000000004</v>
      </c>
      <c r="O15" s="1" cm="1">
        <f t="array" ref="O15">_xlfn.QUARTILE.INC(IF(Quartile_L[[#This Row],[Industry]]=Main_L[Industry],Main_L[ROA]),3)</f>
        <v>8.18</v>
      </c>
      <c r="P15" s="1">
        <f>Quartile_L[[#This Row],[ROA Q1]]-1.5*(Quartile_L[[#This Row],[ROA Q3]]-Quartile_L[[#This Row],[ROA Q1]])</f>
        <v>-1.2699999999999987</v>
      </c>
      <c r="Q15" s="1">
        <f>Quartile_L[[#This Row],[ROA Q3]]+1.5*(Quartile_L[[#This Row],[ROA Q3]]-Quartile_L[[#This Row],[ROA Q1]])</f>
        <v>13.849999999999998</v>
      </c>
      <c r="R15" s="1" cm="1">
        <f t="array" ref="R15">_xlfn.QUARTILE.INC(IF(Quartile_L[[#This Row],[Industry]]=Main_L[Industry],Main_L[P/E]),1)</f>
        <v>18.308351177730191</v>
      </c>
      <c r="S15" s="1" cm="1">
        <f t="array" ref="S15">_xlfn.QUARTILE.INC(IF(Quartile_L[[#This Row],[Industry]]=Main_L[Industry],Main_L[P/E]),3)</f>
        <v>29.164285714285715</v>
      </c>
      <c r="T15" s="1">
        <f>Quartile_L[[#This Row],[P/E Q1]]-1.5*(Quartile_L[[#This Row],[P/E Q3]]-Quartile_L[[#This Row],[P/E Q1]])</f>
        <v>2.0244493728969069</v>
      </c>
      <c r="U15" s="1">
        <f>Quartile_L[[#This Row],[P/E Q3]]+1.5*(Quartile_L[[#This Row],[P/E Q3]]-Quartile_L[[#This Row],[P/E Q1]])</f>
        <v>45.448187519119003</v>
      </c>
      <c r="V15" s="1" cm="1">
        <f t="array" ref="V15">_xlfn.QUARTILE.INC(IF(Quartile_L[[#This Row],[Industry]]=Main_L[Industry],Main_L[A/E]),1)</f>
        <v>1.86</v>
      </c>
      <c r="W15" s="1" cm="1">
        <f t="array" ref="W15">_xlfn.QUARTILE.INC(IF(Quartile_L[[#This Row],[Industry]]=Main_L[Industry],Main_L[A/E]),3)</f>
        <v>3.19</v>
      </c>
      <c r="X15" s="1">
        <f>Quartile_L[[#This Row],[A/E Q1]]-1.5*(Quartile_L[[#This Row],[A/E Q3]]-Quartile_L[[#This Row],[A/E Q1]])</f>
        <v>-0.13499999999999956</v>
      </c>
      <c r="Y15" s="1">
        <f>Quartile_L[[#This Row],[A/E Q3]]+1.5*(Quartile_L[[#This Row],[A/E Q3]]-Quartile_L[[#This Row],[A/E Q1]])</f>
        <v>5.1849999999999996</v>
      </c>
    </row>
    <row r="16" spans="1:25" x14ac:dyDescent="0.25">
      <c r="A16" t="s">
        <v>251</v>
      </c>
      <c r="B16" s="1" t="e" cm="1">
        <f t="array" ref="B16">_xlfn.QUARTILE.INC(IF(Quartile_L[[#This Row],[Industry]]=Main_L[Industry],Main_L[P/FCF]),1)</f>
        <v>#NUM!</v>
      </c>
      <c r="C16" s="1" t="e" cm="1">
        <f t="array" ref="C16">_xlfn.QUARTILE.INC(IF(Quartile_L[[#This Row],[Industry]]=Main_L[Industry],Main_L[P/FCF]),3)</f>
        <v>#NUM!</v>
      </c>
      <c r="D16" s="1" t="e">
        <f>Quartile_L[[#This Row],[P/FCF Q1]]-1.5*(Quartile_L[[#This Row],[P/FCF Q3]]-Quartile_L[[#This Row],[P/FCF Q1]])</f>
        <v>#NUM!</v>
      </c>
      <c r="E16" s="1" t="e">
        <f>Quartile_L[[#This Row],[P/FCF Q3]]+1.5*(Quartile_L[[#This Row],[P/FCF Q3]]-Quartile_L[[#This Row],[P/FCF Q1]])</f>
        <v>#NUM!</v>
      </c>
      <c r="F16" s="1" t="e" cm="1">
        <f t="array" ref="F16">_xlfn.QUARTILE.INC(IF(Quartile_L[[#This Row],[Industry]]=Main_L[Industry],Main_L[P/B]),1)</f>
        <v>#NUM!</v>
      </c>
      <c r="G16" s="1" t="e" cm="1">
        <f t="array" ref="G16">_xlfn.QUARTILE.INC(IF(Quartile_L[[#This Row],[Industry]]=Main_L[Industry],Main_L[P/B]),3)</f>
        <v>#NUM!</v>
      </c>
      <c r="H16" s="1" t="e">
        <f>Quartile_L[[#This Row],[P/B Q1]]-1.5*(Quartile_L[[#This Row],[P/B Q3]]-Quartile_L[[#This Row],[P/B Q1]])</f>
        <v>#NUM!</v>
      </c>
      <c r="I16" s="1" t="e">
        <f>Quartile_L[[#This Row],[P/B Q3]]+1.5*(Quartile_L[[#This Row],[P/B Q3]]-Quartile_L[[#This Row],[P/B Q1]])</f>
        <v>#NUM!</v>
      </c>
      <c r="J16" s="1" t="e" cm="1">
        <f t="array" ref="J16">_xlfn.QUARTILE.INC(IF(Quartile_L[[#This Row],[Industry]]=Main_L[Industry],Main_L[ROE]),1)</f>
        <v>#NUM!</v>
      </c>
      <c r="K16" s="1" t="e" cm="1">
        <f t="array" ref="K16">_xlfn.QUARTILE.INC(IF(Quartile_L[[#This Row],[Industry]]=Main_L[Industry],Main_L[ROE]),3)</f>
        <v>#NUM!</v>
      </c>
      <c r="L16" s="1" t="e">
        <f>Quartile_L[[#This Row],[ROE Q1]]-1.5*(Quartile_L[[#This Row],[ROE Q3]]-Quartile_L[[#This Row],[ROE Q1]])</f>
        <v>#NUM!</v>
      </c>
      <c r="M16" s="1" t="e">
        <f>Quartile_L[[#This Row],[ROE Q3]]+1.5*(Quartile_L[[#This Row],[ROE Q3]]-Quartile_L[[#This Row],[ROE Q1]])</f>
        <v>#NUM!</v>
      </c>
      <c r="N16" s="1" t="e" cm="1">
        <f t="array" ref="N16">_xlfn.QUARTILE.INC(IF(Quartile_L[[#This Row],[Industry]]=Main_L[Industry],Main_L[ROA]),1)</f>
        <v>#NUM!</v>
      </c>
      <c r="O16" s="1" t="e" cm="1">
        <f t="array" ref="O16">_xlfn.QUARTILE.INC(IF(Quartile_L[[#This Row],[Industry]]=Main_L[Industry],Main_L[ROA]),3)</f>
        <v>#NUM!</v>
      </c>
      <c r="P16" s="1" t="e">
        <f>Quartile_L[[#This Row],[ROA Q1]]-1.5*(Quartile_L[[#This Row],[ROA Q3]]-Quartile_L[[#This Row],[ROA Q1]])</f>
        <v>#NUM!</v>
      </c>
      <c r="Q16" s="1" t="e">
        <f>Quartile_L[[#This Row],[ROA Q3]]+1.5*(Quartile_L[[#This Row],[ROA Q3]]-Quartile_L[[#This Row],[ROA Q1]])</f>
        <v>#NUM!</v>
      </c>
      <c r="R16" s="1" t="e" cm="1">
        <f t="array" ref="R16">_xlfn.QUARTILE.INC(IF(Quartile_L[[#This Row],[Industry]]=Main_L[Industry],Main_L[P/E]),1)</f>
        <v>#NUM!</v>
      </c>
      <c r="S16" s="1" t="e" cm="1">
        <f t="array" ref="S16">_xlfn.QUARTILE.INC(IF(Quartile_L[[#This Row],[Industry]]=Main_L[Industry],Main_L[P/E]),3)</f>
        <v>#NUM!</v>
      </c>
      <c r="T16" s="1" t="e">
        <f>Quartile_L[[#This Row],[P/E Q1]]-1.5*(Quartile_L[[#This Row],[P/E Q3]]-Quartile_L[[#This Row],[P/E Q1]])</f>
        <v>#NUM!</v>
      </c>
      <c r="U16" s="1" t="e">
        <f>Quartile_L[[#This Row],[P/E Q3]]+1.5*(Quartile_L[[#This Row],[P/E Q3]]-Quartile_L[[#This Row],[P/E Q1]])</f>
        <v>#NUM!</v>
      </c>
      <c r="V16" s="1" t="e" cm="1">
        <f t="array" ref="V16">_xlfn.QUARTILE.INC(IF(Quartile_L[[#This Row],[Industry]]=Main_L[Industry],Main_L[A/E]),1)</f>
        <v>#NUM!</v>
      </c>
      <c r="W16" s="1" t="e" cm="1">
        <f t="array" ref="W16">_xlfn.QUARTILE.INC(IF(Quartile_L[[#This Row],[Industry]]=Main_L[Industry],Main_L[A/E]),3)</f>
        <v>#NUM!</v>
      </c>
      <c r="X16" s="1" t="e">
        <f>Quartile_L[[#This Row],[A/E Q1]]-1.5*(Quartile_L[[#This Row],[A/E Q3]]-Quartile_L[[#This Row],[A/E Q1]])</f>
        <v>#NUM!</v>
      </c>
      <c r="Y16" s="1" t="e">
        <f>Quartile_L[[#This Row],[A/E Q3]]+1.5*(Quartile_L[[#This Row],[A/E Q3]]-Quartile_L[[#This Row],[A/E Q1]])</f>
        <v>#NUM!</v>
      </c>
    </row>
    <row r="19" spans="1:25" x14ac:dyDescent="0.25">
      <c r="A19" t="s">
        <v>22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105</v>
      </c>
      <c r="B21" s="1" cm="1">
        <f t="array" ref="B21">_xlfn.QUARTILE.INC(IF(Quartile_M[[#This Row],[Industry]]=Main_M[Industry],Main_M[P/FCF]),1)</f>
        <v>43.666666666666664</v>
      </c>
      <c r="C21" s="1" cm="1">
        <f t="array" ref="C21">_xlfn.QUARTILE.INC(IF(Quartile_M[[#This Row],[Industry]]=Main_M[Industry],Main_M[P/FCF]),3)</f>
        <v>180.18604651162792</v>
      </c>
      <c r="D21" s="1">
        <f>Quartile_M[[#This Row],[P/FCF Q1]]-1.5*(Quartile_M[[#This Row],[P/FCF Q3]]-Quartile_M[[#This Row],[P/FCF Q1]])</f>
        <v>-161.11240310077525</v>
      </c>
      <c r="E21" s="1">
        <f>Quartile_M[[#This Row],[P/FCF Q3]]+1.5*(Quartile_M[[#This Row],[P/FCF Q3]]-Quartile_M[[#This Row],[P/FCF Q1]])</f>
        <v>384.96511627906983</v>
      </c>
      <c r="F21" s="1" cm="1">
        <f t="array" ref="F21">_xlfn.QUARTILE.INC(IF(Quartile_M[[#This Row],[Industry]]=Main_M[Industry],Main_M[P/B]),1)</f>
        <v>2.1233590913322784</v>
      </c>
      <c r="G21" s="1" cm="1">
        <f t="array" ref="G21">_xlfn.QUARTILE.INC(IF(Quartile_M[[#This Row],[Industry]]=Main_M[Industry],Main_M[P/B]),3)</f>
        <v>6.4829413713150048</v>
      </c>
      <c r="H21" s="1">
        <f>Quartile_M[[#This Row],[P/B Q1]]-1.5*(Quartile_M[[#This Row],[P/B Q3]]-Quartile_M[[#This Row],[P/B Q1]])</f>
        <v>-4.4160143286418112</v>
      </c>
      <c r="I21" s="1">
        <f>Quartile_M[[#This Row],[P/B Q3]]+1.5*(Quartile_M[[#This Row],[P/B Q3]]-Quartile_M[[#This Row],[P/B Q1]])</f>
        <v>13.022314791289094</v>
      </c>
      <c r="J21" s="1" cm="1">
        <f t="array" ref="J21">_xlfn.QUARTILE.INC(IF(Quartile_M[[#This Row],[Industry]]=Main_M[Industry],Main_M[ROE]),1)</f>
        <v>-6.2750000000000004</v>
      </c>
      <c r="K21" s="1" cm="1">
        <f t="array" ref="K21">_xlfn.QUARTILE.INC(IF(Quartile_M[[#This Row],[Industry]]=Main_M[Industry],Main_M[ROE]),3)</f>
        <v>8.375</v>
      </c>
      <c r="L21" s="1">
        <f>Quartile_M[[#This Row],[ROE Q1]]-1.5*(Quartile_M[[#This Row],[ROE Q3]]-Quartile_M[[#This Row],[ROE Q1]])</f>
        <v>-28.25</v>
      </c>
      <c r="M21" s="1">
        <f>Quartile_M[[#This Row],[ROE Q3]]+1.5*(Quartile_M[[#This Row],[ROE Q3]]-Quartile_M[[#This Row],[ROE Q1]])</f>
        <v>30.35</v>
      </c>
      <c r="N21" s="1" cm="1">
        <f t="array" ref="N21">_xlfn.QUARTILE.INC(IF(Quartile_M[[#This Row],[Industry]]=Main_M[Industry],Main_M[ROA]),1)</f>
        <v>1.6125</v>
      </c>
      <c r="O21" s="1" cm="1">
        <f t="array" ref="O21">_xlfn.QUARTILE.INC(IF(Quartile_M[[#This Row],[Industry]]=Main_M[Industry],Main_M[ROA]),3)</f>
        <v>4.5049999999999999</v>
      </c>
      <c r="P21" s="1">
        <f>Quartile_M[[#This Row],[ROA Q1]]-1.5*(Quartile_M[[#This Row],[ROA Q3]]-Quartile_M[[#This Row],[ROA Q1]])</f>
        <v>-2.7262500000000003</v>
      </c>
      <c r="Q21" s="1">
        <f>Quartile_M[[#This Row],[ROA Q3]]+1.5*(Quartile_M[[#This Row],[ROA Q3]]-Quartile_M[[#This Row],[ROA Q1]])</f>
        <v>8.84375</v>
      </c>
      <c r="R21" s="1" cm="1">
        <f t="array" ref="R21">_xlfn.QUARTILE.INC(IF(Quartile_M[[#This Row],[Industry]]=Main_M[Industry],Main_M[P/E]),1)</f>
        <v>-3.1150442477876106</v>
      </c>
      <c r="S21" s="1" cm="1">
        <f t="array" ref="S21">_xlfn.QUARTILE.INC(IF(Quartile_M[[#This Row],[Industry]]=Main_M[Industry],Main_M[P/E]),3)</f>
        <v>74.41538461538461</v>
      </c>
      <c r="T21" s="1">
        <f>Quartile_M[[#This Row],[P/E Q1]]-1.5*(Quartile_M[[#This Row],[P/E Q3]]-Quartile_M[[#This Row],[P/E Q1]])</f>
        <v>-119.41068754254593</v>
      </c>
      <c r="U21" s="1">
        <f>Quartile_M[[#This Row],[P/E Q3]]+1.5*(Quartile_M[[#This Row],[P/E Q3]]-Quartile_M[[#This Row],[P/E Q1]])</f>
        <v>190.71102791014295</v>
      </c>
      <c r="V21" s="1" cm="1">
        <f t="array" ref="V21">_xlfn.QUARTILE.INC(IF(Quartile_M[[#This Row],[Industry]]=Main_M[Industry],Main_M[A/E]),1)</f>
        <v>1.3975</v>
      </c>
      <c r="W21" s="1" cm="1">
        <f t="array" ref="W21">_xlfn.QUARTILE.INC(IF(Quartile_M[[#This Row],[Industry]]=Main_M[Industry],Main_M[A/E]),3)</f>
        <v>2.3075000000000001</v>
      </c>
      <c r="X21" s="1">
        <f>Quartile_M[[#This Row],[A/E Q1]]-1.5*(Quartile_M[[#This Row],[A/E Q3]]-Quartile_M[[#This Row],[A/E Q1]])</f>
        <v>3.2499999999999751E-2</v>
      </c>
      <c r="Y21" s="1">
        <f>Quartile_M[[#This Row],[A/E Q3]]+1.5*(Quartile_M[[#This Row],[A/E Q3]]-Quartile_M[[#This Row],[A/E Q1]])</f>
        <v>3.6725000000000003</v>
      </c>
    </row>
    <row r="22" spans="1:25" x14ac:dyDescent="0.25">
      <c r="A22" t="s">
        <v>122</v>
      </c>
      <c r="B22" s="1" cm="1">
        <f t="array" ref="B22">_xlfn.QUARTILE.INC(IF(Quartile_M[[#This Row],[Industry]]=Main_M[Industry],Main_M[P/FCF]),1)</f>
        <v>11.790745639962143</v>
      </c>
      <c r="C22" s="1" cm="1">
        <f t="array" ref="C22">_xlfn.QUARTILE.INC(IF(Quartile_M[[#This Row],[Industry]]=Main_M[Industry],Main_M[P/FCF]),3)</f>
        <v>45.852346675670695</v>
      </c>
      <c r="D22" s="1">
        <f>Quartile_M[[#This Row],[P/FCF Q1]]-1.5*(Quartile_M[[#This Row],[P/FCF Q3]]-Quartile_M[[#This Row],[P/FCF Q1]])</f>
        <v>-39.301655913600683</v>
      </c>
      <c r="E22" s="1">
        <f>Quartile_M[[#This Row],[P/FCF Q3]]+1.5*(Quartile_M[[#This Row],[P/FCF Q3]]-Quartile_M[[#This Row],[P/FCF Q1]])</f>
        <v>96.944748229233511</v>
      </c>
      <c r="F22" s="1" cm="1">
        <f t="array" ref="F22">_xlfn.QUARTILE.INC(IF(Quartile_M[[#This Row],[Industry]]=Main_M[Industry],Main_M[P/B]),1)</f>
        <v>2.0490112412453652</v>
      </c>
      <c r="G22" s="1" cm="1">
        <f t="array" ref="G22">_xlfn.QUARTILE.INC(IF(Quartile_M[[#This Row],[Industry]]=Main_M[Industry],Main_M[P/B]),3)</f>
        <v>6.2255122351012755</v>
      </c>
      <c r="H22" s="1">
        <f>Quartile_M[[#This Row],[P/B Q1]]-1.5*(Quartile_M[[#This Row],[P/B Q3]]-Quartile_M[[#This Row],[P/B Q1]])</f>
        <v>-4.2157402495385004</v>
      </c>
      <c r="I22" s="1">
        <f>Quartile_M[[#This Row],[P/B Q3]]+1.5*(Quartile_M[[#This Row],[P/B Q3]]-Quartile_M[[#This Row],[P/B Q1]])</f>
        <v>12.490263725885141</v>
      </c>
      <c r="J22" s="1" cm="1">
        <f t="array" ref="J22">_xlfn.QUARTILE.INC(IF(Quartile_M[[#This Row],[Industry]]=Main_M[Industry],Main_M[ROE]),1)</f>
        <v>11.39</v>
      </c>
      <c r="K22" s="1" cm="1">
        <f t="array" ref="K22">_xlfn.QUARTILE.INC(IF(Quartile_M[[#This Row],[Industry]]=Main_M[Industry],Main_M[ROE]),3)</f>
        <v>23.020000000000003</v>
      </c>
      <c r="L22" s="1">
        <f>Quartile_M[[#This Row],[ROE Q1]]-1.5*(Quartile_M[[#This Row],[ROE Q3]]-Quartile_M[[#This Row],[ROE Q1]])</f>
        <v>-6.0550000000000033</v>
      </c>
      <c r="M22" s="1">
        <f>Quartile_M[[#This Row],[ROE Q3]]+1.5*(Quartile_M[[#This Row],[ROE Q3]]-Quartile_M[[#This Row],[ROE Q1]])</f>
        <v>40.465000000000003</v>
      </c>
      <c r="N22" s="1" cm="1">
        <f t="array" ref="N22">_xlfn.QUARTILE.INC(IF(Quartile_M[[#This Row],[Industry]]=Main_M[Industry],Main_M[ROA]),1)</f>
        <v>6.2450000000000001</v>
      </c>
      <c r="O22" s="1" cm="1">
        <f t="array" ref="O22">_xlfn.QUARTILE.INC(IF(Quartile_M[[#This Row],[Industry]]=Main_M[Industry],Main_M[ROA]),3)</f>
        <v>9.6849999999999987</v>
      </c>
      <c r="P22" s="1">
        <f>Quartile_M[[#This Row],[ROA Q1]]-1.5*(Quartile_M[[#This Row],[ROA Q3]]-Quartile_M[[#This Row],[ROA Q1]])</f>
        <v>1.0850000000000017</v>
      </c>
      <c r="Q22" s="1">
        <f>Quartile_M[[#This Row],[ROA Q3]]+1.5*(Quartile_M[[#This Row],[ROA Q3]]-Quartile_M[[#This Row],[ROA Q1]])</f>
        <v>14.844999999999997</v>
      </c>
      <c r="R22" s="1" cm="1">
        <f t="array" ref="R22">_xlfn.QUARTILE.INC(IF(Quartile_M[[#This Row],[Industry]]=Main_M[Industry],Main_M[P/E]),1)</f>
        <v>16.787803657388203</v>
      </c>
      <c r="S22" s="1" cm="1">
        <f t="array" ref="S22">_xlfn.QUARTILE.INC(IF(Quartile_M[[#This Row],[Industry]]=Main_M[Industry],Main_M[P/E]),3)</f>
        <v>37.25015798786653</v>
      </c>
      <c r="T22" s="1">
        <f>Quartile_M[[#This Row],[P/E Q1]]-1.5*(Quartile_M[[#This Row],[P/E Q3]]-Quartile_M[[#This Row],[P/E Q1]])</f>
        <v>-13.905727838329287</v>
      </c>
      <c r="U22" s="1">
        <f>Quartile_M[[#This Row],[P/E Q3]]+1.5*(Quartile_M[[#This Row],[P/E Q3]]-Quartile_M[[#This Row],[P/E Q1]])</f>
        <v>67.943689483584023</v>
      </c>
      <c r="V22" s="1" cm="1">
        <f t="array" ref="V22">_xlfn.QUARTILE.INC(IF(Quartile_M[[#This Row],[Industry]]=Main_M[Industry],Main_M[A/E]),1)</f>
        <v>1.4950000000000001</v>
      </c>
      <c r="W22" s="1" cm="1">
        <f t="array" ref="W22">_xlfn.QUARTILE.INC(IF(Quartile_M[[#This Row],[Industry]]=Main_M[Industry],Main_M[A/E]),3)</f>
        <v>2.41</v>
      </c>
      <c r="X22" s="1">
        <f>Quartile_M[[#This Row],[A/E Q1]]-1.5*(Quartile_M[[#This Row],[A/E Q3]]-Quartile_M[[#This Row],[A/E Q1]])</f>
        <v>0.12250000000000005</v>
      </c>
      <c r="Y22" s="1">
        <f>Quartile_M[[#This Row],[A/E Q3]]+1.5*(Quartile_M[[#This Row],[A/E Q3]]-Quartile_M[[#This Row],[A/E Q1]])</f>
        <v>3.7825000000000002</v>
      </c>
    </row>
    <row r="23" spans="1:25" x14ac:dyDescent="0.25">
      <c r="A23" t="s">
        <v>135</v>
      </c>
      <c r="B23" s="1" cm="1">
        <f t="array" ref="B23">_xlfn.QUARTILE.INC(IF(Quartile_M[[#This Row],[Industry]]=Main_M[Industry],Main_M[P/FCF]),1)</f>
        <v>13.392865442400398</v>
      </c>
      <c r="C23" s="1" cm="1">
        <f t="array" ref="C23">_xlfn.QUARTILE.INC(IF(Quartile_M[[#This Row],[Industry]]=Main_M[Industry],Main_M[P/FCF]),3)</f>
        <v>35.78075879677651</v>
      </c>
      <c r="D23" s="1">
        <f>Quartile_M[[#This Row],[P/FCF Q1]]-1.5*(Quartile_M[[#This Row],[P/FCF Q3]]-Quartile_M[[#This Row],[P/FCF Q1]])</f>
        <v>-20.18897458916377</v>
      </c>
      <c r="E23" s="1">
        <f>Quartile_M[[#This Row],[P/FCF Q3]]+1.5*(Quartile_M[[#This Row],[P/FCF Q3]]-Quartile_M[[#This Row],[P/FCF Q1]])</f>
        <v>69.36259882834068</v>
      </c>
      <c r="F23" s="1" cm="1">
        <f t="array" ref="F23">_xlfn.QUARTILE.INC(IF(Quartile_M[[#This Row],[Industry]]=Main_M[Industry],Main_M[P/B]),1)</f>
        <v>3.5616185668759512</v>
      </c>
      <c r="G23" s="1" cm="1">
        <f t="array" ref="G23">_xlfn.QUARTILE.INC(IF(Quartile_M[[#This Row],[Industry]]=Main_M[Industry],Main_M[P/B]),3)</f>
        <v>6.0777996791865831</v>
      </c>
      <c r="H23" s="1">
        <f>Quartile_M[[#This Row],[P/B Q1]]-1.5*(Quartile_M[[#This Row],[P/B Q3]]-Quartile_M[[#This Row],[P/B Q1]])</f>
        <v>-0.21265310158999684</v>
      </c>
      <c r="I23" s="1">
        <f>Quartile_M[[#This Row],[P/B Q3]]+1.5*(Quartile_M[[#This Row],[P/B Q3]]-Quartile_M[[#This Row],[P/B Q1]])</f>
        <v>9.8520713476525312</v>
      </c>
      <c r="J23" s="1" cm="1">
        <f t="array" ref="J23">_xlfn.QUARTILE.INC(IF(Quartile_M[[#This Row],[Industry]]=Main_M[Industry],Main_M[ROE]),1)</f>
        <v>7.2</v>
      </c>
      <c r="K23" s="1" cm="1">
        <f t="array" ref="K23">_xlfn.QUARTILE.INC(IF(Quartile_M[[#This Row],[Industry]]=Main_M[Industry],Main_M[ROE]),3)</f>
        <v>19.535</v>
      </c>
      <c r="L23" s="1">
        <f>Quartile_M[[#This Row],[ROE Q1]]-1.5*(Quartile_M[[#This Row],[ROE Q3]]-Quartile_M[[#This Row],[ROE Q1]])</f>
        <v>-11.302500000000002</v>
      </c>
      <c r="M23" s="1">
        <f>Quartile_M[[#This Row],[ROE Q3]]+1.5*(Quartile_M[[#This Row],[ROE Q3]]-Quartile_M[[#This Row],[ROE Q1]])</f>
        <v>38.037500000000001</v>
      </c>
      <c r="N23" s="1" cm="1">
        <f t="array" ref="N23">_xlfn.QUARTILE.INC(IF(Quartile_M[[#This Row],[Industry]]=Main_M[Industry],Main_M[ROA]),1)</f>
        <v>2.4350000000000001</v>
      </c>
      <c r="O23" s="1" cm="1">
        <f t="array" ref="O23">_xlfn.QUARTILE.INC(IF(Quartile_M[[#This Row],[Industry]]=Main_M[Industry],Main_M[ROA]),3)</f>
        <v>7.9250000000000007</v>
      </c>
      <c r="P23" s="1">
        <f>Quartile_M[[#This Row],[ROA Q1]]-1.5*(Quartile_M[[#This Row],[ROA Q3]]-Quartile_M[[#This Row],[ROA Q1]])</f>
        <v>-5.7999999999999989</v>
      </c>
      <c r="Q23" s="1">
        <f>Quartile_M[[#This Row],[ROA Q3]]+1.5*(Quartile_M[[#This Row],[ROA Q3]]-Quartile_M[[#This Row],[ROA Q1]])</f>
        <v>16.16</v>
      </c>
      <c r="R23" s="1" cm="1">
        <f t="array" ref="R23">_xlfn.QUARTILE.INC(IF(Quartile_M[[#This Row],[Industry]]=Main_M[Industry],Main_M[P/E]),1)</f>
        <v>28.505891472868214</v>
      </c>
      <c r="S23" s="1" cm="1">
        <f t="array" ref="S23">_xlfn.QUARTILE.INC(IF(Quartile_M[[#This Row],[Industry]]=Main_M[Industry],Main_M[P/E]),3)</f>
        <v>65.993988419290915</v>
      </c>
      <c r="T23" s="1">
        <f>Quartile_M[[#This Row],[P/E Q1]]-1.5*(Quartile_M[[#This Row],[P/E Q3]]-Quartile_M[[#This Row],[P/E Q1]])</f>
        <v>-27.726253946765837</v>
      </c>
      <c r="U23" s="1">
        <f>Quartile_M[[#This Row],[P/E Q3]]+1.5*(Quartile_M[[#This Row],[P/E Q3]]-Quartile_M[[#This Row],[P/E Q1]])</f>
        <v>122.22613383892497</v>
      </c>
      <c r="V23" s="1" cm="1">
        <f t="array" ref="V23">_xlfn.QUARTILE.INC(IF(Quartile_M[[#This Row],[Industry]]=Main_M[Industry],Main_M[A/E]),1)</f>
        <v>2.395</v>
      </c>
      <c r="W23" s="1" cm="1">
        <f t="array" ref="W23">_xlfn.QUARTILE.INC(IF(Quartile_M[[#This Row],[Industry]]=Main_M[Industry],Main_M[A/E]),3)</f>
        <v>2.9649999999999999</v>
      </c>
      <c r="X23" s="1">
        <f>Quartile_M[[#This Row],[A/E Q1]]-1.5*(Quartile_M[[#This Row],[A/E Q3]]-Quartile_M[[#This Row],[A/E Q1]])</f>
        <v>1.5400000000000003</v>
      </c>
      <c r="Y23" s="1">
        <f>Quartile_M[[#This Row],[A/E Q3]]+1.5*(Quartile_M[[#This Row],[A/E Q3]]-Quartile_M[[#This Row],[A/E Q1]])</f>
        <v>3.8199999999999994</v>
      </c>
    </row>
    <row r="24" spans="1:25" x14ac:dyDescent="0.25">
      <c r="A24" t="s">
        <v>142</v>
      </c>
      <c r="B24" s="1" cm="1">
        <f t="array" ref="B24">_xlfn.QUARTILE.INC(IF(Quartile_M[[#This Row],[Industry]]=Main_M[Industry],Main_M[P/FCF]),1)</f>
        <v>-0.61471149687560578</v>
      </c>
      <c r="C24" s="1" cm="1">
        <f t="array" ref="C24">_xlfn.QUARTILE.INC(IF(Quartile_M[[#This Row],[Industry]]=Main_M[Industry],Main_M[P/FCF]),3)</f>
        <v>17.275074430321769</v>
      </c>
      <c r="D24" s="1">
        <f>Quartile_M[[#This Row],[P/FCF Q1]]-1.5*(Quartile_M[[#This Row],[P/FCF Q3]]-Quartile_M[[#This Row],[P/FCF Q1]])</f>
        <v>-27.44939038767167</v>
      </c>
      <c r="E24" s="1">
        <f>Quartile_M[[#This Row],[P/FCF Q3]]+1.5*(Quartile_M[[#This Row],[P/FCF Q3]]-Quartile_M[[#This Row],[P/FCF Q1]])</f>
        <v>44.109753321117836</v>
      </c>
      <c r="F24" s="1" cm="1">
        <f t="array" ref="F24">_xlfn.QUARTILE.INC(IF(Quartile_M[[#This Row],[Industry]]=Main_M[Industry],Main_M[P/B]),1)</f>
        <v>1.3565195332318618</v>
      </c>
      <c r="G24" s="1" cm="1">
        <f t="array" ref="G24">_xlfn.QUARTILE.INC(IF(Quartile_M[[#This Row],[Industry]]=Main_M[Industry],Main_M[P/B]),3)</f>
        <v>6.681527810634976</v>
      </c>
      <c r="H24" s="1">
        <f>Quartile_M[[#This Row],[P/B Q1]]-1.5*(Quartile_M[[#This Row],[P/B Q3]]-Quartile_M[[#This Row],[P/B Q1]])</f>
        <v>-6.6309928828728095</v>
      </c>
      <c r="I24" s="1">
        <f>Quartile_M[[#This Row],[P/B Q3]]+1.5*(Quartile_M[[#This Row],[P/B Q3]]-Quartile_M[[#This Row],[P/B Q1]])</f>
        <v>14.669040226739646</v>
      </c>
      <c r="J24" s="1" cm="1">
        <f t="array" ref="J24">_xlfn.QUARTILE.INC(IF(Quartile_M[[#This Row],[Industry]]=Main_M[Industry],Main_M[ROE]),1)</f>
        <v>-23.92</v>
      </c>
      <c r="K24" s="1" cm="1">
        <f t="array" ref="K24">_xlfn.QUARTILE.INC(IF(Quartile_M[[#This Row],[Industry]]=Main_M[Industry],Main_M[ROE]),3)</f>
        <v>23.98</v>
      </c>
      <c r="L24" s="1">
        <f>Quartile_M[[#This Row],[ROE Q1]]-1.5*(Quartile_M[[#This Row],[ROE Q3]]-Quartile_M[[#This Row],[ROE Q1]])</f>
        <v>-95.77000000000001</v>
      </c>
      <c r="M24" s="1">
        <f>Quartile_M[[#This Row],[ROE Q3]]+1.5*(Quartile_M[[#This Row],[ROE Q3]]-Quartile_M[[#This Row],[ROE Q1]])</f>
        <v>95.830000000000013</v>
      </c>
      <c r="N24" s="1" cm="1">
        <f t="array" ref="N24">_xlfn.QUARTILE.INC(IF(Quartile_M[[#This Row],[Industry]]=Main_M[Industry],Main_M[ROA]),1)</f>
        <v>-1.89</v>
      </c>
      <c r="O24" s="1" cm="1">
        <f t="array" ref="O24">_xlfn.QUARTILE.INC(IF(Quartile_M[[#This Row],[Industry]]=Main_M[Industry],Main_M[ROA]),3)</f>
        <v>10.055</v>
      </c>
      <c r="P24" s="1">
        <f>Quartile_M[[#This Row],[ROA Q1]]-1.5*(Quartile_M[[#This Row],[ROA Q3]]-Quartile_M[[#This Row],[ROA Q1]])</f>
        <v>-19.807500000000001</v>
      </c>
      <c r="Q24" s="1">
        <f>Quartile_M[[#This Row],[ROA Q3]]+1.5*(Quartile_M[[#This Row],[ROA Q3]]-Quartile_M[[#This Row],[ROA Q1]])</f>
        <v>27.9725</v>
      </c>
      <c r="R24" s="1" cm="1">
        <f t="array" ref="R24">_xlfn.QUARTILE.INC(IF(Quartile_M[[#This Row],[Industry]]=Main_M[Industry],Main_M[P/E]),1)</f>
        <v>-18.349943525347154</v>
      </c>
      <c r="S24" s="1" cm="1">
        <f t="array" ref="S24">_xlfn.QUARTILE.INC(IF(Quartile_M[[#This Row],[Industry]]=Main_M[Industry],Main_M[P/E]),3)</f>
        <v>15.154198576282553</v>
      </c>
      <c r="T24" s="1">
        <f>Quartile_M[[#This Row],[P/E Q1]]-1.5*(Quartile_M[[#This Row],[P/E Q3]]-Quartile_M[[#This Row],[P/E Q1]])</f>
        <v>-68.606156677791716</v>
      </c>
      <c r="U24" s="1">
        <f>Quartile_M[[#This Row],[P/E Q3]]+1.5*(Quartile_M[[#This Row],[P/E Q3]]-Quartile_M[[#This Row],[P/E Q1]])</f>
        <v>65.410411728727127</v>
      </c>
      <c r="V24" s="1" cm="1">
        <f t="array" ref="V24">_xlfn.QUARTILE.INC(IF(Quartile_M[[#This Row],[Industry]]=Main_M[Industry],Main_M[A/E]),1)</f>
        <v>1.75</v>
      </c>
      <c r="W24" s="1" cm="1">
        <f t="array" ref="W24">_xlfn.QUARTILE.INC(IF(Quartile_M[[#This Row],[Industry]]=Main_M[Industry],Main_M[A/E]),3)</f>
        <v>3.3250000000000002</v>
      </c>
      <c r="X24" s="1">
        <f>Quartile_M[[#This Row],[A/E Q1]]-1.5*(Quartile_M[[#This Row],[A/E Q3]]-Quartile_M[[#This Row],[A/E Q1]])</f>
        <v>-0.61250000000000027</v>
      </c>
      <c r="Y24" s="1">
        <f>Quartile_M[[#This Row],[A/E Q3]]+1.5*(Quartile_M[[#This Row],[A/E Q3]]-Quartile_M[[#This Row],[A/E Q1]])</f>
        <v>5.6875</v>
      </c>
    </row>
    <row r="25" spans="1:25" x14ac:dyDescent="0.25">
      <c r="A25" t="s">
        <v>154</v>
      </c>
      <c r="B25" s="1" cm="1">
        <f t="array" ref="B25">_xlfn.QUARTILE.INC(IF(Quartile_M[[#This Row],[Industry]]=Main_M[Industry],Main_M[P/FCF]),1)</f>
        <v>9.2197802197802208</v>
      </c>
      <c r="C25" s="1" cm="1">
        <f t="array" ref="C25">_xlfn.QUARTILE.INC(IF(Quartile_M[[#This Row],[Industry]]=Main_M[Industry],Main_M[P/FCF]),3)</f>
        <v>9.2197802197802208</v>
      </c>
      <c r="D25" s="1">
        <f>Quartile_M[[#This Row],[P/FCF Q1]]-1.5*(Quartile_M[[#This Row],[P/FCF Q3]]-Quartile_M[[#This Row],[P/FCF Q1]])</f>
        <v>9.2197802197802208</v>
      </c>
      <c r="E25" s="1">
        <f>Quartile_M[[#This Row],[P/FCF Q3]]+1.5*(Quartile_M[[#This Row],[P/FCF Q3]]-Quartile_M[[#This Row],[P/FCF Q1]])</f>
        <v>9.2197802197802208</v>
      </c>
      <c r="F25" s="1" cm="1">
        <f t="array" ref="F25">_xlfn.QUARTILE.INC(IF(Quartile_M[[#This Row],[Industry]]=Main_M[Industry],Main_M[P/B]),1)</f>
        <v>1.2374631268436578</v>
      </c>
      <c r="G25" s="1" cm="1">
        <f t="array" ref="G25">_xlfn.QUARTILE.INC(IF(Quartile_M[[#This Row],[Industry]]=Main_M[Industry],Main_M[P/B]),3)</f>
        <v>1.2374631268436578</v>
      </c>
      <c r="H25" s="1">
        <f>Quartile_M[[#This Row],[P/B Q1]]-1.5*(Quartile_M[[#This Row],[P/B Q3]]-Quartile_M[[#This Row],[P/B Q1]])</f>
        <v>1.2374631268436578</v>
      </c>
      <c r="I25" s="1">
        <f>Quartile_M[[#This Row],[P/B Q3]]+1.5*(Quartile_M[[#This Row],[P/B Q3]]-Quartile_M[[#This Row],[P/B Q1]])</f>
        <v>1.2374631268436578</v>
      </c>
      <c r="J25" s="1" cm="1">
        <f t="array" ref="J25">_xlfn.QUARTILE.INC(IF(Quartile_M[[#This Row],[Industry]]=Main_M[Industry],Main_M[ROE]),1)</f>
        <v>-11.12</v>
      </c>
      <c r="K25" s="1" cm="1">
        <f t="array" ref="K25">_xlfn.QUARTILE.INC(IF(Quartile_M[[#This Row],[Industry]]=Main_M[Industry],Main_M[ROE]),3)</f>
        <v>-11.12</v>
      </c>
      <c r="L25" s="1">
        <f>Quartile_M[[#This Row],[ROE Q1]]-1.5*(Quartile_M[[#This Row],[ROE Q3]]-Quartile_M[[#This Row],[ROE Q1]])</f>
        <v>-11.12</v>
      </c>
      <c r="M25" s="1">
        <f>Quartile_M[[#This Row],[ROE Q3]]+1.5*(Quartile_M[[#This Row],[ROE Q3]]-Quartile_M[[#This Row],[ROE Q1]])</f>
        <v>-11.12</v>
      </c>
      <c r="N25" s="1" cm="1">
        <f t="array" ref="N25">_xlfn.QUARTILE.INC(IF(Quartile_M[[#This Row],[Industry]]=Main_M[Industry],Main_M[ROA]),1)</f>
        <v>-0.44</v>
      </c>
      <c r="O25" s="1" cm="1">
        <f t="array" ref="O25">_xlfn.QUARTILE.INC(IF(Quartile_M[[#This Row],[Industry]]=Main_M[Industry],Main_M[ROA]),3)</f>
        <v>-0.44</v>
      </c>
      <c r="P25" s="1">
        <f>Quartile_M[[#This Row],[ROA Q1]]-1.5*(Quartile_M[[#This Row],[ROA Q3]]-Quartile_M[[#This Row],[ROA Q1]])</f>
        <v>-0.44</v>
      </c>
      <c r="Q25" s="1">
        <f>Quartile_M[[#This Row],[ROA Q3]]+1.5*(Quartile_M[[#This Row],[ROA Q3]]-Quartile_M[[#This Row],[ROA Q1]])</f>
        <v>-0.44</v>
      </c>
      <c r="R25" s="1" cm="1">
        <f t="array" ref="R25">_xlfn.QUARTILE.INC(IF(Quartile_M[[#This Row],[Industry]]=Main_M[Industry],Main_M[P/E]),1)</f>
        <v>-7.9150943396226419</v>
      </c>
      <c r="S25" s="1" cm="1">
        <f t="array" ref="S25">_xlfn.QUARTILE.INC(IF(Quartile_M[[#This Row],[Industry]]=Main_M[Industry],Main_M[P/E]),3)</f>
        <v>-7.9150943396226419</v>
      </c>
      <c r="T25" s="1">
        <f>Quartile_M[[#This Row],[P/E Q1]]-1.5*(Quartile_M[[#This Row],[P/E Q3]]-Quartile_M[[#This Row],[P/E Q1]])</f>
        <v>-7.9150943396226419</v>
      </c>
      <c r="U25" s="1">
        <f>Quartile_M[[#This Row],[P/E Q3]]+1.5*(Quartile_M[[#This Row],[P/E Q3]]-Quartile_M[[#This Row],[P/E Q1]])</f>
        <v>-7.9150943396226419</v>
      </c>
      <c r="V25" s="1" cm="1">
        <f t="array" ref="V25">_xlfn.QUARTILE.INC(IF(Quartile_M[[#This Row],[Industry]]=Main_M[Industry],Main_M[A/E]),1)</f>
        <v>5.0999999999999996</v>
      </c>
      <c r="W25" s="1" cm="1">
        <f t="array" ref="W25">_xlfn.QUARTILE.INC(IF(Quartile_M[[#This Row],[Industry]]=Main_M[Industry],Main_M[A/E]),3)</f>
        <v>5.0999999999999996</v>
      </c>
      <c r="X25" s="1">
        <f>Quartile_M[[#This Row],[A/E Q1]]-1.5*(Quartile_M[[#This Row],[A/E Q3]]-Quartile_M[[#This Row],[A/E Q1]])</f>
        <v>5.0999999999999996</v>
      </c>
      <c r="Y25" s="1">
        <f>Quartile_M[[#This Row],[A/E Q3]]+1.5*(Quartile_M[[#This Row],[A/E Q3]]-Quartile_M[[#This Row],[A/E Q1]])</f>
        <v>5.0999999999999996</v>
      </c>
    </row>
    <row r="26" spans="1:25" x14ac:dyDescent="0.25">
      <c r="A26" t="s">
        <v>157</v>
      </c>
      <c r="B26" s="1" cm="1">
        <f t="array" ref="B26">_xlfn.QUARTILE.INC(IF(Quartile_M[[#This Row],[Industry]]=Main_M[Industry],Main_M[P/FCF]),1)</f>
        <v>13.010107260726073</v>
      </c>
      <c r="C26" s="1" cm="1">
        <f t="array" ref="C26">_xlfn.QUARTILE.INC(IF(Quartile_M[[#This Row],[Industry]]=Main_M[Industry],Main_M[P/FCF]),3)</f>
        <v>30.342175508842175</v>
      </c>
      <c r="D26" s="1">
        <f>Quartile_M[[#This Row],[P/FCF Q1]]-1.5*(Quartile_M[[#This Row],[P/FCF Q3]]-Quartile_M[[#This Row],[P/FCF Q1]])</f>
        <v>-12.987995111448079</v>
      </c>
      <c r="E26" s="1">
        <f>Quartile_M[[#This Row],[P/FCF Q3]]+1.5*(Quartile_M[[#This Row],[P/FCF Q3]]-Quartile_M[[#This Row],[P/FCF Q1]])</f>
        <v>56.340277881016327</v>
      </c>
      <c r="F26" s="1" cm="1">
        <f t="array" ref="F26">_xlfn.QUARTILE.INC(IF(Quartile_M[[#This Row],[Industry]]=Main_M[Industry],Main_M[P/B]),1)</f>
        <v>1.7635598624000686</v>
      </c>
      <c r="G26" s="1" cm="1">
        <f t="array" ref="G26">_xlfn.QUARTILE.INC(IF(Quartile_M[[#This Row],[Industry]]=Main_M[Industry],Main_M[P/B]),3)</f>
        <v>4.2708071207799865</v>
      </c>
      <c r="H26" s="1">
        <f>Quartile_M[[#This Row],[P/B Q1]]-1.5*(Quartile_M[[#This Row],[P/B Q3]]-Quartile_M[[#This Row],[P/B Q1]])</f>
        <v>-1.9973110251698083</v>
      </c>
      <c r="I26" s="1">
        <f>Quartile_M[[#This Row],[P/B Q3]]+1.5*(Quartile_M[[#This Row],[P/B Q3]]-Quartile_M[[#This Row],[P/B Q1]])</f>
        <v>8.0316780083498642</v>
      </c>
      <c r="J26" s="1" cm="1">
        <f t="array" ref="J26">_xlfn.QUARTILE.INC(IF(Quartile_M[[#This Row],[Industry]]=Main_M[Industry],Main_M[ROE]),1)</f>
        <v>8.49</v>
      </c>
      <c r="K26" s="1" cm="1">
        <f t="array" ref="K26">_xlfn.QUARTILE.INC(IF(Quartile_M[[#This Row],[Industry]]=Main_M[Industry],Main_M[ROE]),3)</f>
        <v>17.047499999999999</v>
      </c>
      <c r="L26" s="1">
        <f>Quartile_M[[#This Row],[ROE Q1]]-1.5*(Quartile_M[[#This Row],[ROE Q3]]-Quartile_M[[#This Row],[ROE Q1]])</f>
        <v>-4.3462499999999995</v>
      </c>
      <c r="M26" s="1">
        <f>Quartile_M[[#This Row],[ROE Q3]]+1.5*(Quartile_M[[#This Row],[ROE Q3]]-Quartile_M[[#This Row],[ROE Q1]])</f>
        <v>29.883749999999999</v>
      </c>
      <c r="N26" s="1" cm="1">
        <f t="array" ref="N26">_xlfn.QUARTILE.INC(IF(Quartile_M[[#This Row],[Industry]]=Main_M[Industry],Main_M[ROA]),1)</f>
        <v>4.6725000000000003</v>
      </c>
      <c r="O26" s="1" cm="1">
        <f t="array" ref="O26">_xlfn.QUARTILE.INC(IF(Quartile_M[[#This Row],[Industry]]=Main_M[Industry],Main_M[ROA]),3)</f>
        <v>8.9749999999999996</v>
      </c>
      <c r="P26" s="1">
        <f>Quartile_M[[#This Row],[ROA Q1]]-1.5*(Quartile_M[[#This Row],[ROA Q3]]-Quartile_M[[#This Row],[ROA Q1]])</f>
        <v>-1.7812499999999991</v>
      </c>
      <c r="Q26" s="1">
        <f>Quartile_M[[#This Row],[ROA Q3]]+1.5*(Quartile_M[[#This Row],[ROA Q3]]-Quartile_M[[#This Row],[ROA Q1]])</f>
        <v>15.428749999999999</v>
      </c>
      <c r="R26" s="1" cm="1">
        <f t="array" ref="R26">_xlfn.QUARTILE.INC(IF(Quartile_M[[#This Row],[Industry]]=Main_M[Industry],Main_M[P/E]),1)</f>
        <v>15.09138103982462</v>
      </c>
      <c r="S26" s="1" cm="1">
        <f t="array" ref="S26">_xlfn.QUARTILE.INC(IF(Quartile_M[[#This Row],[Industry]]=Main_M[Industry],Main_M[P/E]),3)</f>
        <v>31.90537057676233</v>
      </c>
      <c r="T26" s="1">
        <f>Quartile_M[[#This Row],[P/E Q1]]-1.5*(Quartile_M[[#This Row],[P/E Q3]]-Quartile_M[[#This Row],[P/E Q1]])</f>
        <v>-10.129603265581947</v>
      </c>
      <c r="U26" s="1">
        <f>Quartile_M[[#This Row],[P/E Q3]]+1.5*(Quartile_M[[#This Row],[P/E Q3]]-Quartile_M[[#This Row],[P/E Q1]])</f>
        <v>57.126354882168897</v>
      </c>
      <c r="V26" s="1" cm="1">
        <f t="array" ref="V26">_xlfn.QUARTILE.INC(IF(Quartile_M[[#This Row],[Industry]]=Main_M[Industry],Main_M[A/E]),1)</f>
        <v>1.7149999999999999</v>
      </c>
      <c r="W26" s="1" cm="1">
        <f t="array" ref="W26">_xlfn.QUARTILE.INC(IF(Quartile_M[[#This Row],[Industry]]=Main_M[Industry],Main_M[A/E]),3)</f>
        <v>2.3725000000000001</v>
      </c>
      <c r="X26" s="1">
        <f>Quartile_M[[#This Row],[A/E Q1]]-1.5*(Quartile_M[[#This Row],[A/E Q3]]-Quartile_M[[#This Row],[A/E Q1]])</f>
        <v>0.72874999999999956</v>
      </c>
      <c r="Y26" s="1">
        <f>Quartile_M[[#This Row],[A/E Q3]]+1.5*(Quartile_M[[#This Row],[A/E Q3]]-Quartile_M[[#This Row],[A/E Q1]])</f>
        <v>3.3587500000000006</v>
      </c>
    </row>
    <row r="27" spans="1:25" x14ac:dyDescent="0.25">
      <c r="A27" t="s">
        <v>182</v>
      </c>
      <c r="B27" s="1" cm="1">
        <f t="array" ref="B27">_xlfn.QUARTILE.INC(IF(Quartile_M[[#This Row],[Industry]]=Main_M[Industry],Main_M[P/FCF]),1)</f>
        <v>-3.3544391104696314</v>
      </c>
      <c r="C27" s="1" cm="1">
        <f t="array" ref="C27">_xlfn.QUARTILE.INC(IF(Quartile_M[[#This Row],[Industry]]=Main_M[Industry],Main_M[P/FCF]),3)</f>
        <v>26.039973262032088</v>
      </c>
      <c r="D27" s="1">
        <f>Quartile_M[[#This Row],[P/FCF Q1]]-1.5*(Quartile_M[[#This Row],[P/FCF Q3]]-Quartile_M[[#This Row],[P/FCF Q1]])</f>
        <v>-47.446057669222213</v>
      </c>
      <c r="E27" s="1">
        <f>Quartile_M[[#This Row],[P/FCF Q3]]+1.5*(Quartile_M[[#This Row],[P/FCF Q3]]-Quartile_M[[#This Row],[P/FCF Q1]])</f>
        <v>70.131591820784664</v>
      </c>
      <c r="F27" s="1" cm="1">
        <f t="array" ref="F27">_xlfn.QUARTILE.INC(IF(Quartile_M[[#This Row],[Industry]]=Main_M[Industry],Main_M[P/B]),1)</f>
        <v>1.9520288206295031</v>
      </c>
      <c r="G27" s="1" cm="1">
        <f t="array" ref="G27">_xlfn.QUARTILE.INC(IF(Quartile_M[[#This Row],[Industry]]=Main_M[Industry],Main_M[P/B]),3)</f>
        <v>3.3238457442889962</v>
      </c>
      <c r="H27" s="1">
        <f>Quartile_M[[#This Row],[P/B Q1]]-1.5*(Quartile_M[[#This Row],[P/B Q3]]-Quartile_M[[#This Row],[P/B Q1]])</f>
        <v>-0.10569656485973655</v>
      </c>
      <c r="I27" s="1">
        <f>Quartile_M[[#This Row],[P/B Q3]]+1.5*(Quartile_M[[#This Row],[P/B Q3]]-Quartile_M[[#This Row],[P/B Q1]])</f>
        <v>5.3815711297782354</v>
      </c>
      <c r="J27" s="1" cm="1">
        <f t="array" ref="J27">_xlfn.QUARTILE.INC(IF(Quartile_M[[#This Row],[Industry]]=Main_M[Industry],Main_M[ROE]),1)</f>
        <v>14.45</v>
      </c>
      <c r="K27" s="1" cm="1">
        <f t="array" ref="K27">_xlfn.QUARTILE.INC(IF(Quartile_M[[#This Row],[Industry]]=Main_M[Industry],Main_M[ROE]),3)</f>
        <v>20.950000000000003</v>
      </c>
      <c r="L27" s="1">
        <f>Quartile_M[[#This Row],[ROE Q1]]-1.5*(Quartile_M[[#This Row],[ROE Q3]]-Quartile_M[[#This Row],[ROE Q1]])</f>
        <v>4.699999999999994</v>
      </c>
      <c r="M27" s="1">
        <f>Quartile_M[[#This Row],[ROE Q3]]+1.5*(Quartile_M[[#This Row],[ROE Q3]]-Quartile_M[[#This Row],[ROE Q1]])</f>
        <v>30.70000000000001</v>
      </c>
      <c r="N27" s="1" cm="1">
        <f t="array" ref="N27">_xlfn.QUARTILE.INC(IF(Quartile_M[[#This Row],[Industry]]=Main_M[Industry],Main_M[ROA]),1)</f>
        <v>5.4050000000000002</v>
      </c>
      <c r="O27" s="1" cm="1">
        <f t="array" ref="O27">_xlfn.QUARTILE.INC(IF(Quartile_M[[#This Row],[Industry]]=Main_M[Industry],Main_M[ROA]),3)</f>
        <v>6.8100000000000005</v>
      </c>
      <c r="P27" s="1">
        <f>Quartile_M[[#This Row],[ROA Q1]]-1.5*(Quartile_M[[#This Row],[ROA Q3]]-Quartile_M[[#This Row],[ROA Q1]])</f>
        <v>3.2974999999999999</v>
      </c>
      <c r="Q27" s="1">
        <f>Quartile_M[[#This Row],[ROA Q3]]+1.5*(Quartile_M[[#This Row],[ROA Q3]]-Quartile_M[[#This Row],[ROA Q1]])</f>
        <v>8.9175000000000004</v>
      </c>
      <c r="R27" s="1" cm="1">
        <f t="array" ref="R27">_xlfn.QUARTILE.INC(IF(Quartile_M[[#This Row],[Industry]]=Main_M[Industry],Main_M[P/E]),1)</f>
        <v>12.954802801559222</v>
      </c>
      <c r="S27" s="1" cm="1">
        <f t="array" ref="S27">_xlfn.QUARTILE.INC(IF(Quartile_M[[#This Row],[Industry]]=Main_M[Industry],Main_M[P/E]),3)</f>
        <v>21.033410256410257</v>
      </c>
      <c r="T27" s="1">
        <f>Quartile_M[[#This Row],[P/E Q1]]-1.5*(Quartile_M[[#This Row],[P/E Q3]]-Quartile_M[[#This Row],[P/E Q1]])</f>
        <v>0.8368916192826692</v>
      </c>
      <c r="U27" s="1">
        <f>Quartile_M[[#This Row],[P/E Q3]]+1.5*(Quartile_M[[#This Row],[P/E Q3]]-Quartile_M[[#This Row],[P/E Q1]])</f>
        <v>33.151321438686807</v>
      </c>
      <c r="V27" s="1" cm="1">
        <f t="array" ref="V27">_xlfn.QUARTILE.INC(IF(Quartile_M[[#This Row],[Industry]]=Main_M[Industry],Main_M[A/E]),1)</f>
        <v>2.0524999999999998</v>
      </c>
      <c r="W27" s="1" cm="1">
        <f t="array" ref="W27">_xlfn.QUARTILE.INC(IF(Quartile_M[[#This Row],[Industry]]=Main_M[Industry],Main_M[A/E]),3)</f>
        <v>4.3525</v>
      </c>
      <c r="X27" s="1">
        <f>Quartile_M[[#This Row],[A/E Q1]]-1.5*(Quartile_M[[#This Row],[A/E Q3]]-Quartile_M[[#This Row],[A/E Q1]])</f>
        <v>-1.3975000000000004</v>
      </c>
      <c r="Y27" s="1">
        <f>Quartile_M[[#This Row],[A/E Q3]]+1.5*(Quartile_M[[#This Row],[A/E Q3]]-Quartile_M[[#This Row],[A/E Q1]])</f>
        <v>7.8025000000000002</v>
      </c>
    </row>
    <row r="28" spans="1:25" x14ac:dyDescent="0.25">
      <c r="A28" t="s">
        <v>192</v>
      </c>
      <c r="B28" s="1" cm="1">
        <f t="array" ref="B28">_xlfn.QUARTILE.INC(IF(Quartile_M[[#This Row],[Industry]]=Main_M[Industry],Main_M[P/FCF]),1)</f>
        <v>10.484652422134985</v>
      </c>
      <c r="C28" s="1" cm="1">
        <f t="array" ref="C28">_xlfn.QUARTILE.INC(IF(Quartile_M[[#This Row],[Industry]]=Main_M[Industry],Main_M[P/FCF]),3)</f>
        <v>21.396636901713467</v>
      </c>
      <c r="D28" s="1">
        <f>Quartile_M[[#This Row],[P/FCF Q1]]-1.5*(Quartile_M[[#This Row],[P/FCF Q3]]-Quartile_M[[#This Row],[P/FCF Q1]])</f>
        <v>-5.8833242972327398</v>
      </c>
      <c r="E28" s="1">
        <f>Quartile_M[[#This Row],[P/FCF Q3]]+1.5*(Quartile_M[[#This Row],[P/FCF Q3]]-Quartile_M[[#This Row],[P/FCF Q1]])</f>
        <v>37.764613621081196</v>
      </c>
      <c r="F28" s="1" cm="1">
        <f t="array" ref="F28">_xlfn.QUARTILE.INC(IF(Quartile_M[[#This Row],[Industry]]=Main_M[Industry],Main_M[P/B]),1)</f>
        <v>1.7330776607033382</v>
      </c>
      <c r="G28" s="1" cm="1">
        <f t="array" ref="G28">_xlfn.QUARTILE.INC(IF(Quartile_M[[#This Row],[Industry]]=Main_M[Industry],Main_M[P/B]),3)</f>
        <v>4.4074895019690601</v>
      </c>
      <c r="H28" s="1">
        <f>Quartile_M[[#This Row],[P/B Q1]]-1.5*(Quartile_M[[#This Row],[P/B Q3]]-Quartile_M[[#This Row],[P/B Q1]])</f>
        <v>-2.2785401011952446</v>
      </c>
      <c r="I28" s="1">
        <f>Quartile_M[[#This Row],[P/B Q3]]+1.5*(Quartile_M[[#This Row],[P/B Q3]]-Quartile_M[[#This Row],[P/B Q1]])</f>
        <v>8.4191072638676427</v>
      </c>
      <c r="J28" s="1" cm="1">
        <f t="array" ref="J28">_xlfn.QUARTILE.INC(IF(Quartile_M[[#This Row],[Industry]]=Main_M[Industry],Main_M[ROE]),1)</f>
        <v>2.5774999999999997</v>
      </c>
      <c r="K28" s="1" cm="1">
        <f t="array" ref="K28">_xlfn.QUARTILE.INC(IF(Quartile_M[[#This Row],[Industry]]=Main_M[Industry],Main_M[ROE]),3)</f>
        <v>13.809999999999999</v>
      </c>
      <c r="L28" s="1">
        <f>Quartile_M[[#This Row],[ROE Q1]]-1.5*(Quartile_M[[#This Row],[ROE Q3]]-Quartile_M[[#This Row],[ROE Q1]])</f>
        <v>-14.271249999999995</v>
      </c>
      <c r="M28" s="1">
        <f>Quartile_M[[#This Row],[ROE Q3]]+1.5*(Quartile_M[[#This Row],[ROE Q3]]-Quartile_M[[#This Row],[ROE Q1]])</f>
        <v>30.658749999999994</v>
      </c>
      <c r="N28" s="1" cm="1">
        <f t="array" ref="N28">_xlfn.QUARTILE.INC(IF(Quartile_M[[#This Row],[Industry]]=Main_M[Industry],Main_M[ROA]),1)</f>
        <v>3.29</v>
      </c>
      <c r="O28" s="1" cm="1">
        <f t="array" ref="O28">_xlfn.QUARTILE.INC(IF(Quartile_M[[#This Row],[Industry]]=Main_M[Industry],Main_M[ROA]),3)</f>
        <v>5.3949999999999996</v>
      </c>
      <c r="P28" s="1">
        <f>Quartile_M[[#This Row],[ROA Q1]]-1.5*(Quartile_M[[#This Row],[ROA Q3]]-Quartile_M[[#This Row],[ROA Q1]])</f>
        <v>0.13250000000000073</v>
      </c>
      <c r="Q28" s="1">
        <f>Quartile_M[[#This Row],[ROA Q3]]+1.5*(Quartile_M[[#This Row],[ROA Q3]]-Quartile_M[[#This Row],[ROA Q1]])</f>
        <v>8.5524999999999984</v>
      </c>
      <c r="R28" s="1" cm="1">
        <f t="array" ref="R28">_xlfn.QUARTILE.INC(IF(Quartile_M[[#This Row],[Industry]]=Main_M[Industry],Main_M[P/E]),1)</f>
        <v>20.918462971922089</v>
      </c>
      <c r="S28" s="1" cm="1">
        <f t="array" ref="S28">_xlfn.QUARTILE.INC(IF(Quartile_M[[#This Row],[Industry]]=Main_M[Industry],Main_M[P/E]),3)</f>
        <v>91.470605306799342</v>
      </c>
      <c r="T28" s="1">
        <f>Quartile_M[[#This Row],[P/E Q1]]-1.5*(Quartile_M[[#This Row],[P/E Q3]]-Quartile_M[[#This Row],[P/E Q1]])</f>
        <v>-84.909750530393808</v>
      </c>
      <c r="U28" s="1">
        <f>Quartile_M[[#This Row],[P/E Q3]]+1.5*(Quartile_M[[#This Row],[P/E Q3]]-Quartile_M[[#This Row],[P/E Q1]])</f>
        <v>197.29881880911523</v>
      </c>
      <c r="V28" s="1" cm="1">
        <f t="array" ref="V28">_xlfn.QUARTILE.INC(IF(Quartile_M[[#This Row],[Industry]]=Main_M[Industry],Main_M[A/E]),1)</f>
        <v>1.9875</v>
      </c>
      <c r="W28" s="1" cm="1">
        <f t="array" ref="W28">_xlfn.QUARTILE.INC(IF(Quartile_M[[#This Row],[Industry]]=Main_M[Industry],Main_M[A/E]),3)</f>
        <v>3.1274999999999999</v>
      </c>
      <c r="X28" s="1">
        <f>Quartile_M[[#This Row],[A/E Q1]]-1.5*(Quartile_M[[#This Row],[A/E Q3]]-Quartile_M[[#This Row],[A/E Q1]])</f>
        <v>0.27750000000000008</v>
      </c>
      <c r="Y28" s="1">
        <f>Quartile_M[[#This Row],[A/E Q3]]+1.5*(Quartile_M[[#This Row],[A/E Q3]]-Quartile_M[[#This Row],[A/E Q1]])</f>
        <v>4.8375000000000004</v>
      </c>
    </row>
    <row r="29" spans="1:25" x14ac:dyDescent="0.25">
      <c r="A29" t="s">
        <v>205</v>
      </c>
      <c r="B29" s="1" cm="1">
        <f t="array" ref="B29">_xlfn.QUARTILE.INC(IF(Quartile_M[[#This Row],[Industry]]=Main_M[Industry],Main_M[P/FCF]),1)</f>
        <v>14.01275221953188</v>
      </c>
      <c r="C29" s="1" cm="1">
        <f t="array" ref="C29">_xlfn.QUARTILE.INC(IF(Quartile_M[[#This Row],[Industry]]=Main_M[Industry],Main_M[P/FCF]),3)</f>
        <v>22.890731292517007</v>
      </c>
      <c r="D29" s="1">
        <f>Quartile_M[[#This Row],[P/FCF Q1]]-1.5*(Quartile_M[[#This Row],[P/FCF Q3]]-Quartile_M[[#This Row],[P/FCF Q1]])</f>
        <v>0.69578361005418898</v>
      </c>
      <c r="E29" s="1">
        <f>Quartile_M[[#This Row],[P/FCF Q3]]+1.5*(Quartile_M[[#This Row],[P/FCF Q3]]-Quartile_M[[#This Row],[P/FCF Q1]])</f>
        <v>36.207699901994701</v>
      </c>
      <c r="F29" s="1" cm="1">
        <f t="array" ref="F29">_xlfn.QUARTILE.INC(IF(Quartile_M[[#This Row],[Industry]]=Main_M[Industry],Main_M[P/B]),1)</f>
        <v>1.9727094221747616</v>
      </c>
      <c r="G29" s="1" cm="1">
        <f t="array" ref="G29">_xlfn.QUARTILE.INC(IF(Quartile_M[[#This Row],[Industry]]=Main_M[Industry],Main_M[P/B]),3)</f>
        <v>4.7704562724509536</v>
      </c>
      <c r="H29" s="1">
        <f>Quartile_M[[#This Row],[P/B Q1]]-1.5*(Quartile_M[[#This Row],[P/B Q3]]-Quartile_M[[#This Row],[P/B Q1]])</f>
        <v>-2.2239108532395262</v>
      </c>
      <c r="I29" s="1">
        <f>Quartile_M[[#This Row],[P/B Q3]]+1.5*(Quartile_M[[#This Row],[P/B Q3]]-Quartile_M[[#This Row],[P/B Q1]])</f>
        <v>8.9670765478652417</v>
      </c>
      <c r="J29" s="1" cm="1">
        <f t="array" ref="J29">_xlfn.QUARTILE.INC(IF(Quartile_M[[#This Row],[Industry]]=Main_M[Industry],Main_M[ROE]),1)</f>
        <v>5.8</v>
      </c>
      <c r="K29" s="1" cm="1">
        <f t="array" ref="K29">_xlfn.QUARTILE.INC(IF(Quartile_M[[#This Row],[Industry]]=Main_M[Industry],Main_M[ROE]),3)</f>
        <v>21.31</v>
      </c>
      <c r="L29" s="1">
        <f>Quartile_M[[#This Row],[ROE Q1]]-1.5*(Quartile_M[[#This Row],[ROE Q3]]-Quartile_M[[#This Row],[ROE Q1]])</f>
        <v>-17.464999999999996</v>
      </c>
      <c r="M29" s="1">
        <f>Quartile_M[[#This Row],[ROE Q3]]+1.5*(Quartile_M[[#This Row],[ROE Q3]]-Quartile_M[[#This Row],[ROE Q1]])</f>
        <v>44.574999999999996</v>
      </c>
      <c r="N29" s="1" cm="1">
        <f t="array" ref="N29">_xlfn.QUARTILE.INC(IF(Quartile_M[[#This Row],[Industry]]=Main_M[Industry],Main_M[ROA]),1)</f>
        <v>3.71</v>
      </c>
      <c r="O29" s="1" cm="1">
        <f t="array" ref="O29">_xlfn.QUARTILE.INC(IF(Quartile_M[[#This Row],[Industry]]=Main_M[Industry],Main_M[ROA]),3)</f>
        <v>7.56</v>
      </c>
      <c r="P29" s="1">
        <f>Quartile_M[[#This Row],[ROA Q1]]-1.5*(Quartile_M[[#This Row],[ROA Q3]]-Quartile_M[[#This Row],[ROA Q1]])</f>
        <v>-2.0649999999999995</v>
      </c>
      <c r="Q29" s="1">
        <f>Quartile_M[[#This Row],[ROA Q3]]+1.5*(Quartile_M[[#This Row],[ROA Q3]]-Quartile_M[[#This Row],[ROA Q1]])</f>
        <v>13.334999999999999</v>
      </c>
      <c r="R29" s="1" cm="1">
        <f t="array" ref="R29">_xlfn.QUARTILE.INC(IF(Quartile_M[[#This Row],[Industry]]=Main_M[Industry],Main_M[P/E]),1)</f>
        <v>14.612458660730951</v>
      </c>
      <c r="S29" s="1" cm="1">
        <f t="array" ref="S29">_xlfn.QUARTILE.INC(IF(Quartile_M[[#This Row],[Industry]]=Main_M[Industry],Main_M[P/E]),3)</f>
        <v>30.712823456928419</v>
      </c>
      <c r="T29" s="1">
        <f>Quartile_M[[#This Row],[P/E Q1]]-1.5*(Quartile_M[[#This Row],[P/E Q3]]-Quartile_M[[#This Row],[P/E Q1]])</f>
        <v>-9.5380885335652508</v>
      </c>
      <c r="U29" s="1">
        <f>Quartile_M[[#This Row],[P/E Q3]]+1.5*(Quartile_M[[#This Row],[P/E Q3]]-Quartile_M[[#This Row],[P/E Q1]])</f>
        <v>54.863370651224621</v>
      </c>
      <c r="V29" s="1" cm="1">
        <f t="array" ref="V29">_xlfn.QUARTILE.INC(IF(Quartile_M[[#This Row],[Industry]]=Main_M[Industry],Main_M[A/E]),1)</f>
        <v>1.91</v>
      </c>
      <c r="W29" s="1" cm="1">
        <f t="array" ref="W29">_xlfn.QUARTILE.INC(IF(Quartile_M[[#This Row],[Industry]]=Main_M[Industry],Main_M[A/E]),3)</f>
        <v>2.93</v>
      </c>
      <c r="X29" s="1">
        <f>Quartile_M[[#This Row],[A/E Q1]]-1.5*(Quartile_M[[#This Row],[A/E Q3]]-Quartile_M[[#This Row],[A/E Q1]])</f>
        <v>0.37999999999999967</v>
      </c>
      <c r="Y29" s="1">
        <f>Quartile_M[[#This Row],[A/E Q3]]+1.5*(Quartile_M[[#This Row],[A/E Q3]]-Quartile_M[[#This Row],[A/E Q1]])</f>
        <v>4.4600000000000009</v>
      </c>
    </row>
    <row r="30" spans="1:25" x14ac:dyDescent="0.25">
      <c r="A30" t="s">
        <v>224</v>
      </c>
      <c r="B30" s="1" cm="1">
        <f t="array" ref="B30">_xlfn.QUARTILE.INC(IF(Quartile_M[[#This Row],[Industry]]=Main_M[Industry],Main_M[P/FCF]),1)</f>
        <v>12.207630105467555</v>
      </c>
      <c r="C30" s="1" cm="1">
        <f t="array" ref="C30">_xlfn.QUARTILE.INC(IF(Quartile_M[[#This Row],[Industry]]=Main_M[Industry],Main_M[P/FCF]),3)</f>
        <v>17.455751506204365</v>
      </c>
      <c r="D30" s="1">
        <f>Quartile_M[[#This Row],[P/FCF Q1]]-1.5*(Quartile_M[[#This Row],[P/FCF Q3]]-Quartile_M[[#This Row],[P/FCF Q1]])</f>
        <v>4.3354480043623393</v>
      </c>
      <c r="E30" s="1">
        <f>Quartile_M[[#This Row],[P/FCF Q3]]+1.5*(Quartile_M[[#This Row],[P/FCF Q3]]-Quartile_M[[#This Row],[P/FCF Q1]])</f>
        <v>25.327933607309582</v>
      </c>
      <c r="F30" s="1" cm="1">
        <f t="array" ref="F30">_xlfn.QUARTILE.INC(IF(Quartile_M[[#This Row],[Industry]]=Main_M[Industry],Main_M[P/B]),1)</f>
        <v>1.3690642695356738</v>
      </c>
      <c r="G30" s="1" cm="1">
        <f t="array" ref="G30">_xlfn.QUARTILE.INC(IF(Quartile_M[[#This Row],[Industry]]=Main_M[Industry],Main_M[P/B]),3)</f>
        <v>1.553021423178558</v>
      </c>
      <c r="H30" s="1">
        <f>Quartile_M[[#This Row],[P/B Q1]]-1.5*(Quartile_M[[#This Row],[P/B Q3]]-Quartile_M[[#This Row],[P/B Q1]])</f>
        <v>1.0931285390713477</v>
      </c>
      <c r="I30" s="1">
        <f>Quartile_M[[#This Row],[P/B Q3]]+1.5*(Quartile_M[[#This Row],[P/B Q3]]-Quartile_M[[#This Row],[P/B Q1]])</f>
        <v>1.8289571536428841</v>
      </c>
      <c r="J30" s="1" cm="1">
        <f t="array" ref="J30">_xlfn.QUARTILE.INC(IF(Quartile_M[[#This Row],[Industry]]=Main_M[Industry],Main_M[ROE]),1)</f>
        <v>4.4625000000000004</v>
      </c>
      <c r="K30" s="1" cm="1">
        <f t="array" ref="K30">_xlfn.QUARTILE.INC(IF(Quartile_M[[#This Row],[Industry]]=Main_M[Industry],Main_M[ROE]),3)</f>
        <v>5.9275000000000002</v>
      </c>
      <c r="L30" s="1">
        <f>Quartile_M[[#This Row],[ROE Q1]]-1.5*(Quartile_M[[#This Row],[ROE Q3]]-Quartile_M[[#This Row],[ROE Q1]])</f>
        <v>2.2650000000000006</v>
      </c>
      <c r="M30" s="1">
        <f>Quartile_M[[#This Row],[ROE Q3]]+1.5*(Quartile_M[[#This Row],[ROE Q3]]-Quartile_M[[#This Row],[ROE Q1]])</f>
        <v>8.125</v>
      </c>
      <c r="N30" s="1" cm="1">
        <f t="array" ref="N30">_xlfn.QUARTILE.INC(IF(Quartile_M[[#This Row],[Industry]]=Main_M[Industry],Main_M[ROA]),1)</f>
        <v>2.42</v>
      </c>
      <c r="O30" s="1" cm="1">
        <f t="array" ref="O30">_xlfn.QUARTILE.INC(IF(Quartile_M[[#This Row],[Industry]]=Main_M[Industry],Main_M[ROA]),3)</f>
        <v>2.8000000000000003</v>
      </c>
      <c r="P30" s="1">
        <f>Quartile_M[[#This Row],[ROA Q1]]-1.5*(Quartile_M[[#This Row],[ROA Q3]]-Quartile_M[[#This Row],[ROA Q1]])</f>
        <v>1.8499999999999994</v>
      </c>
      <c r="Q30" s="1">
        <f>Quartile_M[[#This Row],[ROA Q3]]+1.5*(Quartile_M[[#This Row],[ROA Q3]]-Quartile_M[[#This Row],[ROA Q1]])</f>
        <v>3.370000000000001</v>
      </c>
      <c r="R30" s="1" cm="1">
        <f t="array" ref="R30">_xlfn.QUARTILE.INC(IF(Quartile_M[[#This Row],[Industry]]=Main_M[Industry],Main_M[P/E]),1)</f>
        <v>26.348790706532089</v>
      </c>
      <c r="S30" s="1" cm="1">
        <f t="array" ref="S30">_xlfn.QUARTILE.INC(IF(Quartile_M[[#This Row],[Industry]]=Main_M[Industry],Main_M[P/E]),3)</f>
        <v>40.820383419031302</v>
      </c>
      <c r="T30" s="1">
        <f>Quartile_M[[#This Row],[P/E Q1]]-1.5*(Quartile_M[[#This Row],[P/E Q3]]-Quartile_M[[#This Row],[P/E Q1]])</f>
        <v>4.6414016377832716</v>
      </c>
      <c r="U30" s="1">
        <f>Quartile_M[[#This Row],[P/E Q3]]+1.5*(Quartile_M[[#This Row],[P/E Q3]]-Quartile_M[[#This Row],[P/E Q1]])</f>
        <v>62.527772487780119</v>
      </c>
      <c r="V30" s="1" cm="1">
        <f t="array" ref="V30">_xlfn.QUARTILE.INC(IF(Quartile_M[[#This Row],[Industry]]=Main_M[Industry],Main_M[A/E]),1)</f>
        <v>2.2625000000000002</v>
      </c>
      <c r="W30" s="1" cm="1">
        <f t="array" ref="W30">_xlfn.QUARTILE.INC(IF(Quartile_M[[#This Row],[Industry]]=Main_M[Industry],Main_M[A/E]),3)</f>
        <v>3.3075000000000001</v>
      </c>
      <c r="X30" s="1">
        <f>Quartile_M[[#This Row],[A/E Q1]]-1.5*(Quartile_M[[#This Row],[A/E Q3]]-Quartile_M[[#This Row],[A/E Q1]])</f>
        <v>0.69500000000000028</v>
      </c>
      <c r="Y30" s="1">
        <f>Quartile_M[[#This Row],[A/E Q3]]+1.5*(Quartile_M[[#This Row],[A/E Q3]]-Quartile_M[[#This Row],[A/E Q1]])</f>
        <v>4.875</v>
      </c>
    </row>
    <row r="31" spans="1:25" x14ac:dyDescent="0.25">
      <c r="A31" t="s">
        <v>230</v>
      </c>
      <c r="B31" s="1" cm="1">
        <f t="array" ref="B31">_xlfn.QUARTILE.INC(IF(Quartile_M[[#This Row],[Industry]]=Main_M[Industry],Main_M[P/FCF]),1)</f>
        <v>-14.650793650793652</v>
      </c>
      <c r="C31" s="1" cm="1">
        <f t="array" ref="C31">_xlfn.QUARTILE.INC(IF(Quartile_M[[#This Row],[Industry]]=Main_M[Industry],Main_M[P/FCF]),3)</f>
        <v>8.6150627615062767</v>
      </c>
      <c r="D31" s="1">
        <f>Quartile_M[[#This Row],[P/FCF Q1]]-1.5*(Quartile_M[[#This Row],[P/FCF Q3]]-Quartile_M[[#This Row],[P/FCF Q1]])</f>
        <v>-49.549578269243547</v>
      </c>
      <c r="E31" s="1">
        <f>Quartile_M[[#This Row],[P/FCF Q3]]+1.5*(Quartile_M[[#This Row],[P/FCF Q3]]-Quartile_M[[#This Row],[P/FCF Q1]])</f>
        <v>43.513847379956175</v>
      </c>
      <c r="F31" s="1" cm="1">
        <f t="array" ref="F31">_xlfn.QUARTILE.INC(IF(Quartile_M[[#This Row],[Industry]]=Main_M[Industry],Main_M[P/B]),1)</f>
        <v>1.4567727400732189</v>
      </c>
      <c r="G31" s="1" cm="1">
        <f t="array" ref="G31">_xlfn.QUARTILE.INC(IF(Quartile_M[[#This Row],[Industry]]=Main_M[Industry],Main_M[P/B]),3)</f>
        <v>1.9285458452722062</v>
      </c>
      <c r="H31" s="1">
        <f>Quartile_M[[#This Row],[P/B Q1]]-1.5*(Quartile_M[[#This Row],[P/B Q3]]-Quartile_M[[#This Row],[P/B Q1]])</f>
        <v>0.74911308227473794</v>
      </c>
      <c r="I31" s="1">
        <f>Quartile_M[[#This Row],[P/B Q3]]+1.5*(Quartile_M[[#This Row],[P/B Q3]]-Quartile_M[[#This Row],[P/B Q1]])</f>
        <v>2.6362055030706872</v>
      </c>
      <c r="J31" s="1" cm="1">
        <f t="array" ref="J31">_xlfn.QUARTILE.INC(IF(Quartile_M[[#This Row],[Industry]]=Main_M[Industry],Main_M[ROE]),1)</f>
        <v>-19.25</v>
      </c>
      <c r="K31" s="1" cm="1">
        <f t="array" ref="K31">_xlfn.QUARTILE.INC(IF(Quartile_M[[#This Row],[Industry]]=Main_M[Industry],Main_M[ROE]),3)</f>
        <v>24.594999999999999</v>
      </c>
      <c r="L31" s="1">
        <f>Quartile_M[[#This Row],[ROE Q1]]-1.5*(Quartile_M[[#This Row],[ROE Q3]]-Quartile_M[[#This Row],[ROE Q1]])</f>
        <v>-85.017499999999998</v>
      </c>
      <c r="M31" s="1">
        <f>Quartile_M[[#This Row],[ROE Q3]]+1.5*(Quartile_M[[#This Row],[ROE Q3]]-Quartile_M[[#This Row],[ROE Q1]])</f>
        <v>90.362499999999997</v>
      </c>
      <c r="N31" s="1" cm="1">
        <f t="array" ref="N31">_xlfn.QUARTILE.INC(IF(Quartile_M[[#This Row],[Industry]]=Main_M[Industry],Main_M[ROA]),1)</f>
        <v>0.24750000000000005</v>
      </c>
      <c r="O31" s="1" cm="1">
        <f t="array" ref="O31">_xlfn.QUARTILE.INC(IF(Quartile_M[[#This Row],[Industry]]=Main_M[Industry],Main_M[ROA]),3)</f>
        <v>5.3325000000000005</v>
      </c>
      <c r="P31" s="1">
        <f>Quartile_M[[#This Row],[ROA Q1]]-1.5*(Quartile_M[[#This Row],[ROA Q3]]-Quartile_M[[#This Row],[ROA Q1]])</f>
        <v>-7.3800000000000008</v>
      </c>
      <c r="Q31" s="1">
        <f>Quartile_M[[#This Row],[ROA Q3]]+1.5*(Quartile_M[[#This Row],[ROA Q3]]-Quartile_M[[#This Row],[ROA Q1]])</f>
        <v>12.96</v>
      </c>
      <c r="R31" s="1" cm="1">
        <f t="array" ref="R31">_xlfn.QUARTILE.INC(IF(Quartile_M[[#This Row],[Industry]]=Main_M[Industry],Main_M[P/E]),1)</f>
        <v>-1.9959839357429716</v>
      </c>
      <c r="S31" s="1" cm="1">
        <f t="array" ref="S31">_xlfn.QUARTILE.INC(IF(Quartile_M[[#This Row],[Industry]]=Main_M[Industry],Main_M[P/E]),3)</f>
        <v>17.5982905982906</v>
      </c>
      <c r="T31" s="1">
        <f>Quartile_M[[#This Row],[P/E Q1]]-1.5*(Quartile_M[[#This Row],[P/E Q3]]-Quartile_M[[#This Row],[P/E Q1]])</f>
        <v>-31.387395736793323</v>
      </c>
      <c r="U31" s="1">
        <f>Quartile_M[[#This Row],[P/E Q3]]+1.5*(Quartile_M[[#This Row],[P/E Q3]]-Quartile_M[[#This Row],[P/E Q1]])</f>
        <v>46.989702399340956</v>
      </c>
      <c r="V31" s="1" cm="1">
        <f t="array" ref="V31">_xlfn.QUARTILE.INC(IF(Quartile_M[[#This Row],[Industry]]=Main_M[Industry],Main_M[A/E]),1)</f>
        <v>2.5374999999999996</v>
      </c>
      <c r="W31" s="1" cm="1">
        <f t="array" ref="W31">_xlfn.QUARTILE.INC(IF(Quartile_M[[#This Row],[Industry]]=Main_M[Industry],Main_M[A/E]),3)</f>
        <v>5.8100000000000005</v>
      </c>
      <c r="X31" s="1">
        <f>Quartile_M[[#This Row],[A/E Q1]]-1.5*(Quartile_M[[#This Row],[A/E Q3]]-Quartile_M[[#This Row],[A/E Q1]])</f>
        <v>-2.3712500000000016</v>
      </c>
      <c r="Y31" s="1">
        <f>Quartile_M[[#This Row],[A/E Q3]]+1.5*(Quartile_M[[#This Row],[A/E Q3]]-Quartile_M[[#This Row],[A/E Q1]])</f>
        <v>10.718750000000002</v>
      </c>
    </row>
    <row r="32" spans="1:25" x14ac:dyDescent="0.25">
      <c r="A32" t="s">
        <v>250</v>
      </c>
      <c r="B32" s="1" cm="1">
        <f t="array" ref="B32">_xlfn.QUARTILE.INC(IF(Quartile_M[[#This Row],[Industry]]=Main_M[Industry],Main_M[P/FCF]),1)</f>
        <v>4.6549426075038545</v>
      </c>
      <c r="C32" s="1" cm="1">
        <f t="array" ref="C32">_xlfn.QUARTILE.INC(IF(Quartile_M[[#This Row],[Industry]]=Main_M[Industry],Main_M[P/FCF]),3)</f>
        <v>13.548655461978299</v>
      </c>
      <c r="D32" s="1">
        <f>Quartile_M[[#This Row],[P/FCF Q1]]-1.5*(Quartile_M[[#This Row],[P/FCF Q3]]-Quartile_M[[#This Row],[P/FCF Q1]])</f>
        <v>-8.6856266742078105</v>
      </c>
      <c r="E32" s="1">
        <f>Quartile_M[[#This Row],[P/FCF Q3]]+1.5*(Quartile_M[[#This Row],[P/FCF Q3]]-Quartile_M[[#This Row],[P/FCF Q1]])</f>
        <v>26.889224743689965</v>
      </c>
      <c r="F32" s="1" cm="1">
        <f t="array" ref="F32">_xlfn.QUARTILE.INC(IF(Quartile_M[[#This Row],[Industry]]=Main_M[Industry],Main_M[P/B]),1)</f>
        <v>1.0100207958603766</v>
      </c>
      <c r="G32" s="1" cm="1">
        <f t="array" ref="G32">_xlfn.QUARTILE.INC(IF(Quartile_M[[#This Row],[Industry]]=Main_M[Industry],Main_M[P/B]),3)</f>
        <v>1.7220224423914958</v>
      </c>
      <c r="H32" s="1">
        <f>Quartile_M[[#This Row],[P/B Q1]]-1.5*(Quartile_M[[#This Row],[P/B Q3]]-Quartile_M[[#This Row],[P/B Q1]])</f>
        <v>-5.7981673936302158E-2</v>
      </c>
      <c r="I32" s="1">
        <f>Quartile_M[[#This Row],[P/B Q3]]+1.5*(Quartile_M[[#This Row],[P/B Q3]]-Quartile_M[[#This Row],[P/B Q1]])</f>
        <v>2.7900249121881746</v>
      </c>
      <c r="J32" s="1" cm="1">
        <f t="array" ref="J32">_xlfn.QUARTILE.INC(IF(Quartile_M[[#This Row],[Industry]]=Main_M[Industry],Main_M[ROE]),1)</f>
        <v>13.04</v>
      </c>
      <c r="K32" s="1" cm="1">
        <f t="array" ref="K32">_xlfn.QUARTILE.INC(IF(Quartile_M[[#This Row],[Industry]]=Main_M[Industry],Main_M[ROE]),3)</f>
        <v>30.52</v>
      </c>
      <c r="L32" s="1">
        <f>Quartile_M[[#This Row],[ROE Q1]]-1.5*(Quartile_M[[#This Row],[ROE Q3]]-Quartile_M[[#This Row],[ROE Q1]])</f>
        <v>-13.18</v>
      </c>
      <c r="M32" s="1">
        <f>Quartile_M[[#This Row],[ROE Q3]]+1.5*(Quartile_M[[#This Row],[ROE Q3]]-Quartile_M[[#This Row],[ROE Q1]])</f>
        <v>56.739999999999995</v>
      </c>
      <c r="N32" s="1" cm="1">
        <f t="array" ref="N32">_xlfn.QUARTILE.INC(IF(Quartile_M[[#This Row],[Industry]]=Main_M[Industry],Main_M[ROA]),1)</f>
        <v>5.8149999999999995</v>
      </c>
      <c r="O32" s="1" cm="1">
        <f t="array" ref="O32">_xlfn.QUARTILE.INC(IF(Quartile_M[[#This Row],[Industry]]=Main_M[Industry],Main_M[ROA]),3)</f>
        <v>9.3849999999999998</v>
      </c>
      <c r="P32" s="1">
        <f>Quartile_M[[#This Row],[ROA Q1]]-1.5*(Quartile_M[[#This Row],[ROA Q3]]-Quartile_M[[#This Row],[ROA Q1]])</f>
        <v>0.45999999999999908</v>
      </c>
      <c r="Q32" s="1">
        <f>Quartile_M[[#This Row],[ROA Q3]]+1.5*(Quartile_M[[#This Row],[ROA Q3]]-Quartile_M[[#This Row],[ROA Q1]])</f>
        <v>14.74</v>
      </c>
      <c r="R32" s="1" cm="1">
        <f t="array" ref="R32">_xlfn.QUARTILE.INC(IF(Quartile_M[[#This Row],[Industry]]=Main_M[Industry],Main_M[P/E]),1)</f>
        <v>5.5586073829060911</v>
      </c>
      <c r="S32" s="1" cm="1">
        <f t="array" ref="S32">_xlfn.QUARTILE.INC(IF(Quartile_M[[#This Row],[Industry]]=Main_M[Industry],Main_M[P/E]),3)</f>
        <v>15.631763226225249</v>
      </c>
      <c r="T32" s="1">
        <f>Quartile_M[[#This Row],[P/E Q1]]-1.5*(Quartile_M[[#This Row],[P/E Q3]]-Quartile_M[[#This Row],[P/E Q1]])</f>
        <v>-9.5511263820726473</v>
      </c>
      <c r="U32" s="1">
        <f>Quartile_M[[#This Row],[P/E Q3]]+1.5*(Quartile_M[[#This Row],[P/E Q3]]-Quartile_M[[#This Row],[P/E Q1]])</f>
        <v>30.741496991203988</v>
      </c>
      <c r="V32" s="1" cm="1">
        <f t="array" ref="V32">_xlfn.QUARTILE.INC(IF(Quartile_M[[#This Row],[Industry]]=Main_M[Industry],Main_M[A/E]),1)</f>
        <v>1.76</v>
      </c>
      <c r="W32" s="1" cm="1">
        <f t="array" ref="W32">_xlfn.QUARTILE.INC(IF(Quartile_M[[#This Row],[Industry]]=Main_M[Industry],Main_M[A/E]),3)</f>
        <v>2.2949999999999999</v>
      </c>
      <c r="X32" s="1">
        <f>Quartile_M[[#This Row],[A/E Q1]]-1.5*(Quartile_M[[#This Row],[A/E Q3]]-Quartile_M[[#This Row],[A/E Q1]])</f>
        <v>0.95750000000000013</v>
      </c>
      <c r="Y32" s="1">
        <f>Quartile_M[[#This Row],[A/E Q3]]+1.5*(Quartile_M[[#This Row],[A/E Q3]]-Quartile_M[[#This Row],[A/E Q1]])</f>
        <v>3.0974999999999997</v>
      </c>
    </row>
    <row r="33" spans="1:25" x14ac:dyDescent="0.25">
      <c r="A33" t="s">
        <v>236</v>
      </c>
      <c r="B33" s="1" cm="1">
        <f t="array" ref="B33">_xlfn.QUARTILE.INC(IF(Quartile_M[[#This Row],[Industry]]=Main_M[Industry],Main_M[P/FCF]),1)</f>
        <v>8.4574111334674704</v>
      </c>
      <c r="C33" s="1" cm="1">
        <f t="array" ref="C33">_xlfn.QUARTILE.INC(IF(Quartile_M[[#This Row],[Industry]]=Main_M[Industry],Main_M[P/FCF]),3)</f>
        <v>42.350877192982459</v>
      </c>
      <c r="D33" s="1">
        <f>Quartile_M[[#This Row],[P/FCF Q1]]-1.5*(Quartile_M[[#This Row],[P/FCF Q3]]-Quartile_M[[#This Row],[P/FCF Q1]])</f>
        <v>-42.382787955805014</v>
      </c>
      <c r="E33" s="1">
        <f>Quartile_M[[#This Row],[P/FCF Q3]]+1.5*(Quartile_M[[#This Row],[P/FCF Q3]]-Quartile_M[[#This Row],[P/FCF Q1]])</f>
        <v>93.191076282254954</v>
      </c>
      <c r="F33" s="1" cm="1">
        <f t="array" ref="F33">_xlfn.QUARTILE.INC(IF(Quartile_M[[#This Row],[Industry]]=Main_M[Industry],Main_M[P/B]),1)</f>
        <v>1.1668088737201365</v>
      </c>
      <c r="G33" s="1" cm="1">
        <f t="array" ref="G33">_xlfn.QUARTILE.INC(IF(Quartile_M[[#This Row],[Industry]]=Main_M[Industry],Main_M[P/B]),3)</f>
        <v>2.1180459451978964</v>
      </c>
      <c r="H33" s="1">
        <f>Quartile_M[[#This Row],[P/B Q1]]-1.5*(Quartile_M[[#This Row],[P/B Q3]]-Quartile_M[[#This Row],[P/B Q1]])</f>
        <v>-0.26004673349650331</v>
      </c>
      <c r="I33" s="1">
        <f>Quartile_M[[#This Row],[P/B Q3]]+1.5*(Quartile_M[[#This Row],[P/B Q3]]-Quartile_M[[#This Row],[P/B Q1]])</f>
        <v>3.5449015524145362</v>
      </c>
      <c r="J33" s="1" cm="1">
        <f t="array" ref="J33">_xlfn.QUARTILE.INC(IF(Quartile_M[[#This Row],[Industry]]=Main_M[Industry],Main_M[ROE]),1)</f>
        <v>-11.61</v>
      </c>
      <c r="K33" s="1" cm="1">
        <f t="array" ref="K33">_xlfn.QUARTILE.INC(IF(Quartile_M[[#This Row],[Industry]]=Main_M[Industry],Main_M[ROE]),3)</f>
        <v>15.28</v>
      </c>
      <c r="L33" s="1">
        <f>Quartile_M[[#This Row],[ROE Q1]]-1.5*(Quartile_M[[#This Row],[ROE Q3]]-Quartile_M[[#This Row],[ROE Q1]])</f>
        <v>-51.945</v>
      </c>
      <c r="M33" s="1">
        <f>Quartile_M[[#This Row],[ROE Q3]]+1.5*(Quartile_M[[#This Row],[ROE Q3]]-Quartile_M[[#This Row],[ROE Q1]])</f>
        <v>55.615000000000002</v>
      </c>
      <c r="N33" s="1" cm="1">
        <f t="array" ref="N33">_xlfn.QUARTILE.INC(IF(Quartile_M[[#This Row],[Industry]]=Main_M[Industry],Main_M[ROA]),1)</f>
        <v>0.91</v>
      </c>
      <c r="O33" s="1" cm="1">
        <f t="array" ref="O33">_xlfn.QUARTILE.INC(IF(Quartile_M[[#This Row],[Industry]]=Main_M[Industry],Main_M[ROA]),3)</f>
        <v>3.29</v>
      </c>
      <c r="P33" s="1">
        <f>Quartile_M[[#This Row],[ROA Q1]]-1.5*(Quartile_M[[#This Row],[ROA Q3]]-Quartile_M[[#This Row],[ROA Q1]])</f>
        <v>-2.6599999999999997</v>
      </c>
      <c r="Q33" s="1">
        <f>Quartile_M[[#This Row],[ROA Q3]]+1.5*(Quartile_M[[#This Row],[ROA Q3]]-Quartile_M[[#This Row],[ROA Q1]])</f>
        <v>6.8599999999999994</v>
      </c>
      <c r="R33" s="1" cm="1">
        <f t="array" ref="R33">_xlfn.QUARTILE.INC(IF(Quartile_M[[#This Row],[Industry]]=Main_M[Industry],Main_M[P/E]),1)</f>
        <v>8.3669154228855724</v>
      </c>
      <c r="S33" s="1" cm="1">
        <f t="array" ref="S33">_xlfn.QUARTILE.INC(IF(Quartile_M[[#This Row],[Industry]]=Main_M[Industry],Main_M[P/E]),3)</f>
        <v>37.465753424657535</v>
      </c>
      <c r="T33" s="1">
        <f>Quartile_M[[#This Row],[P/E Q1]]-1.5*(Quartile_M[[#This Row],[P/E Q3]]-Quartile_M[[#This Row],[P/E Q1]])</f>
        <v>-35.281341579772374</v>
      </c>
      <c r="U33" s="1">
        <f>Quartile_M[[#This Row],[P/E Q3]]+1.5*(Quartile_M[[#This Row],[P/E Q3]]-Quartile_M[[#This Row],[P/E Q1]])</f>
        <v>81.114010427315478</v>
      </c>
      <c r="V33" s="1" cm="1">
        <f t="array" ref="V33">_xlfn.QUARTILE.INC(IF(Quartile_M[[#This Row],[Industry]]=Main_M[Industry],Main_M[A/E]),1)</f>
        <v>1.73</v>
      </c>
      <c r="W33" s="1" cm="1">
        <f t="array" ref="W33">_xlfn.QUARTILE.INC(IF(Quartile_M[[#This Row],[Industry]]=Main_M[Industry],Main_M[A/E]),3)</f>
        <v>2.16</v>
      </c>
      <c r="X33" s="1">
        <f>Quartile_M[[#This Row],[A/E Q1]]-1.5*(Quartile_M[[#This Row],[A/E Q3]]-Quartile_M[[#This Row],[A/E Q1]])</f>
        <v>1.0849999999999997</v>
      </c>
      <c r="Y33" s="1">
        <f>Quartile_M[[#This Row],[A/E Q3]]+1.5*(Quartile_M[[#This Row],[A/E Q3]]-Quartile_M[[#This Row],[A/E Q1]])</f>
        <v>2.8050000000000006</v>
      </c>
    </row>
    <row r="34" spans="1:25" x14ac:dyDescent="0.25">
      <c r="A34" t="s">
        <v>251</v>
      </c>
      <c r="B34" s="1" cm="1">
        <f t="array" ref="B34">_xlfn.QUARTILE.INC(IF(Quartile_M[[#This Row],[Industry]]=Main_M[Industry],Main_M[P/FCF]),1)</f>
        <v>125.35268083488253</v>
      </c>
      <c r="C34" s="1" cm="1">
        <f t="array" ref="C34">_xlfn.QUARTILE.INC(IF(Quartile_M[[#This Row],[Industry]]=Main_M[Industry],Main_M[P/FCF]),3)</f>
        <v>271.6875</v>
      </c>
      <c r="D34" s="1">
        <f>Quartile_M[[#This Row],[P/FCF Q1]]-1.5*(Quartile_M[[#This Row],[P/FCF Q3]]-Quartile_M[[#This Row],[P/FCF Q1]])</f>
        <v>-94.149547912793679</v>
      </c>
      <c r="E34" s="1">
        <f>Quartile_M[[#This Row],[P/FCF Q3]]+1.5*(Quartile_M[[#This Row],[P/FCF Q3]]-Quartile_M[[#This Row],[P/FCF Q1]])</f>
        <v>491.18972874767621</v>
      </c>
      <c r="F34" s="1" cm="1">
        <f t="array" ref="F34">_xlfn.QUARTILE.INC(IF(Quartile_M[[#This Row],[Industry]]=Main_M[Industry],Main_M[P/B]),1)</f>
        <v>28.697803445986089</v>
      </c>
      <c r="G34" s="1" cm="1">
        <f t="array" ref="G34">_xlfn.QUARTILE.INC(IF(Quartile_M[[#This Row],[Industry]]=Main_M[Industry],Main_M[P/B]),3)</f>
        <v>93.578583642063279</v>
      </c>
      <c r="H34" s="1">
        <f>Quartile_M[[#This Row],[P/B Q1]]-1.5*(Quartile_M[[#This Row],[P/B Q3]]-Quartile_M[[#This Row],[P/B Q1]])</f>
        <v>-68.623366848129677</v>
      </c>
      <c r="I34" s="1">
        <f>Quartile_M[[#This Row],[P/B Q3]]+1.5*(Quartile_M[[#This Row],[P/B Q3]]-Quartile_M[[#This Row],[P/B Q1]])</f>
        <v>190.89975393617905</v>
      </c>
      <c r="J34" s="1" cm="1">
        <f t="array" ref="J34">_xlfn.QUARTILE.INC(IF(Quartile_M[[#This Row],[Industry]]=Main_M[Industry],Main_M[ROE]),1)</f>
        <v>25.934999999999999</v>
      </c>
      <c r="K34" s="1" cm="1">
        <f t="array" ref="K34">_xlfn.QUARTILE.INC(IF(Quartile_M[[#This Row],[Industry]]=Main_M[Industry],Main_M[ROE]),3)</f>
        <v>47.0625</v>
      </c>
      <c r="L34" s="1">
        <f>Quartile_M[[#This Row],[ROE Q1]]-1.5*(Quartile_M[[#This Row],[ROE Q3]]-Quartile_M[[#This Row],[ROE Q1]])</f>
        <v>-5.756250000000005</v>
      </c>
      <c r="M34" s="1">
        <f>Quartile_M[[#This Row],[ROE Q3]]+1.5*(Quartile_M[[#This Row],[ROE Q3]]-Quartile_M[[#This Row],[ROE Q1]])</f>
        <v>78.753749999999997</v>
      </c>
      <c r="N34" s="1" cm="1">
        <f t="array" ref="N34">_xlfn.QUARTILE.INC(IF(Quartile_M[[#This Row],[Industry]]=Main_M[Industry],Main_M[ROA]),1)</f>
        <v>10.8325</v>
      </c>
      <c r="O34" s="1" cm="1">
        <f t="array" ref="O34">_xlfn.QUARTILE.INC(IF(Quartile_M[[#This Row],[Industry]]=Main_M[Industry],Main_M[ROA]),3)</f>
        <v>15.24</v>
      </c>
      <c r="P34" s="1">
        <f>Quartile_M[[#This Row],[ROA Q1]]-1.5*(Quartile_M[[#This Row],[ROA Q3]]-Quartile_M[[#This Row],[ROA Q1]])</f>
        <v>4.2212499999999986</v>
      </c>
      <c r="Q34" s="1">
        <f>Quartile_M[[#This Row],[ROA Q3]]+1.5*(Quartile_M[[#This Row],[ROA Q3]]-Quartile_M[[#This Row],[ROA Q1]])</f>
        <v>21.85125</v>
      </c>
      <c r="R34" s="1" cm="1">
        <f t="array" ref="R34">_xlfn.QUARTILE.INC(IF(Quartile_M[[#This Row],[Industry]]=Main_M[Industry],Main_M[P/E]),1)</f>
        <v>113.65686547234894</v>
      </c>
      <c r="S34" s="1" cm="1">
        <f t="array" ref="S34">_xlfn.QUARTILE.INC(IF(Quartile_M[[#This Row],[Industry]]=Main_M[Industry],Main_M[P/E]),3)</f>
        <v>185.43465909090909</v>
      </c>
      <c r="T34" s="1">
        <f>Quartile_M[[#This Row],[P/E Q1]]-1.5*(Quartile_M[[#This Row],[P/E Q3]]-Quartile_M[[#This Row],[P/E Q1]])</f>
        <v>5.9901750445087174</v>
      </c>
      <c r="U34" s="1">
        <f>Quartile_M[[#This Row],[P/E Q3]]+1.5*(Quartile_M[[#This Row],[P/E Q3]]-Quartile_M[[#This Row],[P/E Q1]])</f>
        <v>293.10134951874932</v>
      </c>
      <c r="V34" s="1" cm="1">
        <f t="array" ref="V34">_xlfn.QUARTILE.INC(IF(Quartile_M[[#This Row],[Industry]]=Main_M[Industry],Main_M[A/E]),1)</f>
        <v>2.6025</v>
      </c>
      <c r="W34" s="1" cm="1">
        <f t="array" ref="W34">_xlfn.QUARTILE.INC(IF(Quartile_M[[#This Row],[Industry]]=Main_M[Industry],Main_M[A/E]),3)</f>
        <v>3.44</v>
      </c>
      <c r="X34" s="1">
        <f>Quartile_M[[#This Row],[A/E Q1]]-1.5*(Quartile_M[[#This Row],[A/E Q3]]-Quartile_M[[#This Row],[A/E Q1]])</f>
        <v>1.3462500000000002</v>
      </c>
      <c r="Y34" s="1">
        <f>Quartile_M[[#This Row],[A/E Q3]]+1.5*(Quartile_M[[#This Row],[A/E Q3]]-Quartile_M[[#This Row],[A/E Q1]])</f>
        <v>4.69625</v>
      </c>
    </row>
    <row r="37" spans="1:25" x14ac:dyDescent="0.25">
      <c r="A37" t="s">
        <v>23</v>
      </c>
    </row>
    <row r="38" spans="1:25" x14ac:dyDescent="0.25">
      <c r="A38" t="s">
        <v>1</v>
      </c>
      <c r="B38" t="s">
        <v>2</v>
      </c>
      <c r="C38" t="s">
        <v>3</v>
      </c>
      <c r="D38" t="s">
        <v>4</v>
      </c>
      <c r="E38" t="s">
        <v>5</v>
      </c>
      <c r="F38" t="s">
        <v>72</v>
      </c>
      <c r="G38" t="s">
        <v>73</v>
      </c>
      <c r="H38" t="s">
        <v>74</v>
      </c>
      <c r="I38" t="s">
        <v>75</v>
      </c>
      <c r="J38" t="s">
        <v>6</v>
      </c>
      <c r="K38" t="s">
        <v>7</v>
      </c>
      <c r="L38" t="s">
        <v>8</v>
      </c>
      <c r="M38" t="s">
        <v>9</v>
      </c>
      <c r="N38" t="s">
        <v>10</v>
      </c>
      <c r="O38" t="s">
        <v>11</v>
      </c>
      <c r="P38" t="s">
        <v>12</v>
      </c>
      <c r="Q38" t="s">
        <v>13</v>
      </c>
      <c r="R38" t="s">
        <v>14</v>
      </c>
      <c r="S38" t="s">
        <v>15</v>
      </c>
      <c r="T38" t="s">
        <v>16</v>
      </c>
      <c r="U38" t="s">
        <v>17</v>
      </c>
      <c r="V38" t="s">
        <v>18</v>
      </c>
      <c r="W38" t="s">
        <v>19</v>
      </c>
      <c r="X38" t="s">
        <v>20</v>
      </c>
      <c r="Y38" t="s">
        <v>21</v>
      </c>
    </row>
    <row r="39" spans="1:25" x14ac:dyDescent="0.25">
      <c r="A39" t="s">
        <v>105</v>
      </c>
      <c r="B39" s="1" cm="1">
        <f t="array" ref="B39">_xlfn.QUARTILE.INC(IF(Quartile_S[[#This Row],[Industry]]=Main_S[Industry],Main_S[P/FCF]),1)</f>
        <v>-32.02469135802469</v>
      </c>
      <c r="C39" s="1" cm="1">
        <f t="array" ref="C39">_xlfn.QUARTILE.INC(IF(Quartile_S[[#This Row],[Industry]]=Main_S[Industry],Main_S[P/FCF]),3)</f>
        <v>37.131578947368418</v>
      </c>
      <c r="D39" s="1">
        <f>Quartile_S[[#This Row],[P/FCF Q1]]-1.5*(Quartile_S[[#This Row],[P/FCF Q3]]-Quartile_S[[#This Row],[P/FCF Q1]])</f>
        <v>-135.75909681611435</v>
      </c>
      <c r="E39" s="1">
        <f>Quartile_S[[#This Row],[P/FCF Q3]]+1.5*(Quartile_S[[#This Row],[P/FCF Q3]]-Quartile_S[[#This Row],[P/FCF Q1]])</f>
        <v>140.86598440545808</v>
      </c>
      <c r="F39" s="1" cm="1">
        <f t="array" ref="F39">_xlfn.QUARTILE.INC(IF(Quartile_S[[#This Row],[Industry]]=Main_S[Industry],Main_S[P/B]),1)</f>
        <v>0.69729093050647817</v>
      </c>
      <c r="G39" s="1" cm="1">
        <f t="array" ref="G39">_xlfn.QUARTILE.INC(IF(Quartile_S[[#This Row],[Industry]]=Main_S[Industry],Main_S[P/B]),3)</f>
        <v>4.7415426251691475</v>
      </c>
      <c r="H39" s="1">
        <f>Quartile_S[[#This Row],[P/B Q1]]-1.5*(Quartile_S[[#This Row],[P/B Q3]]-Quartile_S[[#This Row],[P/B Q1]])</f>
        <v>-5.3690866114875266</v>
      </c>
      <c r="I39" s="1">
        <f>Quartile_S[[#This Row],[P/B Q3]]+1.5*(Quartile_S[[#This Row],[P/B Q3]]-Quartile_S[[#This Row],[P/B Q1]])</f>
        <v>10.807920167163152</v>
      </c>
      <c r="J39" s="1" cm="1">
        <f t="array" ref="J39">_xlfn.QUARTILE.INC(IF(Quartile_S[[#This Row],[Industry]]=Main_S[Industry],Main_S[ROE]),1)</f>
        <v>-2.66</v>
      </c>
      <c r="K39" s="1" cm="1">
        <f t="array" ref="K39">_xlfn.QUARTILE.INC(IF(Quartile_S[[#This Row],[Industry]]=Main_S[Industry],Main_S[ROE]),3)</f>
        <v>6.22</v>
      </c>
      <c r="L39" s="1">
        <f>Quartile_S[[#This Row],[ROE Q1]]-1.5*(Quartile_S[[#This Row],[ROE Q3]]-Quartile_S[[#This Row],[ROE Q1]])</f>
        <v>-15.979999999999999</v>
      </c>
      <c r="M39" s="1">
        <f>Quartile_S[[#This Row],[ROE Q3]]+1.5*(Quartile_S[[#This Row],[ROE Q3]]-Quartile_S[[#This Row],[ROE Q1]])</f>
        <v>19.54</v>
      </c>
      <c r="N39" s="1" cm="1">
        <f t="array" ref="N39">_xlfn.QUARTILE.INC(IF(Quartile_S[[#This Row],[Industry]]=Main_S[Industry],Main_S[ROA]),1)</f>
        <v>-5.75</v>
      </c>
      <c r="O39" s="1" cm="1">
        <f t="array" ref="O39">_xlfn.QUARTILE.INC(IF(Quartile_S[[#This Row],[Industry]]=Main_S[Industry],Main_S[ROA]),3)</f>
        <v>4.53</v>
      </c>
      <c r="P39" s="1">
        <f>Quartile_S[[#This Row],[ROA Q1]]-1.5*(Quartile_S[[#This Row],[ROA Q3]]-Quartile_S[[#This Row],[ROA Q1]])</f>
        <v>-21.17</v>
      </c>
      <c r="Q39" s="1">
        <f>Quartile_S[[#This Row],[ROA Q3]]+1.5*(Quartile_S[[#This Row],[ROA Q3]]-Quartile_S[[#This Row],[ROA Q1]])</f>
        <v>19.950000000000003</v>
      </c>
      <c r="R39" s="1" cm="1">
        <f t="array" ref="R39">_xlfn.QUARTILE.INC(IF(Quartile_S[[#This Row],[Industry]]=Main_S[Industry],Main_S[P/E]),1)</f>
        <v>-30.410714285714285</v>
      </c>
      <c r="S39" s="1" cm="1">
        <f t="array" ref="S39">_xlfn.QUARTILE.INC(IF(Quartile_S[[#This Row],[Industry]]=Main_S[Industry],Main_S[P/E]),3)</f>
        <v>38.135135135135137</v>
      </c>
      <c r="T39" s="1">
        <f>Quartile_S[[#This Row],[P/E Q1]]-1.5*(Quartile_S[[#This Row],[P/E Q3]]-Quartile_S[[#This Row],[P/E Q1]])</f>
        <v>-133.2294884169884</v>
      </c>
      <c r="U39" s="1">
        <f>Quartile_S[[#This Row],[P/E Q3]]+1.5*(Quartile_S[[#This Row],[P/E Q3]]-Quartile_S[[#This Row],[P/E Q1]])</f>
        <v>140.95390926640925</v>
      </c>
      <c r="V39" s="1" cm="1">
        <f t="array" ref="V39">_xlfn.QUARTILE.INC(IF(Quartile_S[[#This Row],[Industry]]=Main_S[Industry],Main_S[A/E]),1)</f>
        <v>1.17</v>
      </c>
      <c r="W39" s="1" cm="1">
        <f t="array" ref="W39">_xlfn.QUARTILE.INC(IF(Quartile_S[[#This Row],[Industry]]=Main_S[Industry],Main_S[A/E]),3)</f>
        <v>1.86</v>
      </c>
      <c r="X39" s="1">
        <f>Quartile_S[[#This Row],[A/E Q1]]-1.5*(Quartile_S[[#This Row],[A/E Q3]]-Quartile_S[[#This Row],[A/E Q1]])</f>
        <v>0.13499999999999979</v>
      </c>
      <c r="Y39" s="1">
        <f>Quartile_S[[#This Row],[A/E Q3]]+1.5*(Quartile_S[[#This Row],[A/E Q3]]-Quartile_S[[#This Row],[A/E Q1]])</f>
        <v>2.8950000000000005</v>
      </c>
    </row>
    <row r="40" spans="1:25" x14ac:dyDescent="0.25">
      <c r="A40" t="s">
        <v>122</v>
      </c>
      <c r="B40" s="1" cm="1">
        <f t="array" ref="B40">_xlfn.QUARTILE.INC(IF(Quartile_S[[#This Row],[Industry]]=Main_S[Industry],Main_S[P/FCF]),1)</f>
        <v>7.2853506787330318</v>
      </c>
      <c r="C40" s="1" cm="1">
        <f t="array" ref="C40">_xlfn.QUARTILE.INC(IF(Quartile_S[[#This Row],[Industry]]=Main_S[Industry],Main_S[P/FCF]),3)</f>
        <v>17.268991514360316</v>
      </c>
      <c r="D40" s="1">
        <f>Quartile_S[[#This Row],[P/FCF Q1]]-1.5*(Quartile_S[[#This Row],[P/FCF Q3]]-Quartile_S[[#This Row],[P/FCF Q1]])</f>
        <v>-7.6901105747078944</v>
      </c>
      <c r="E40" s="1">
        <f>Quartile_S[[#This Row],[P/FCF Q3]]+1.5*(Quartile_S[[#This Row],[P/FCF Q3]]-Quartile_S[[#This Row],[P/FCF Q1]])</f>
        <v>32.244452767801242</v>
      </c>
      <c r="F40" s="1" cm="1">
        <f t="array" ref="F40">_xlfn.QUARTILE.INC(IF(Quartile_S[[#This Row],[Industry]]=Main_S[Industry],Main_S[P/B]),1)</f>
        <v>0.95847136329780036</v>
      </c>
      <c r="G40" s="1" cm="1">
        <f t="array" ref="G40">_xlfn.QUARTILE.INC(IF(Quartile_S[[#This Row],[Industry]]=Main_S[Industry],Main_S[P/B]),3)</f>
        <v>1.9769635851952927</v>
      </c>
      <c r="H40" s="1">
        <f>Quartile_S[[#This Row],[P/B Q1]]-1.5*(Quartile_S[[#This Row],[P/B Q3]]-Quartile_S[[#This Row],[P/B Q1]])</f>
        <v>-0.56926696954843803</v>
      </c>
      <c r="I40" s="1">
        <f>Quartile_S[[#This Row],[P/B Q3]]+1.5*(Quartile_S[[#This Row],[P/B Q3]]-Quartile_S[[#This Row],[P/B Q1]])</f>
        <v>3.5047019180415311</v>
      </c>
      <c r="J40" s="1" cm="1">
        <f t="array" ref="J40">_xlfn.QUARTILE.INC(IF(Quartile_S[[#This Row],[Industry]]=Main_S[Industry],Main_S[ROE]),1)</f>
        <v>6.8624999999999998</v>
      </c>
      <c r="K40" s="1" cm="1">
        <f t="array" ref="K40">_xlfn.QUARTILE.INC(IF(Quartile_S[[#This Row],[Industry]]=Main_S[Industry],Main_S[ROE]),3)</f>
        <v>19.085000000000001</v>
      </c>
      <c r="L40" s="1">
        <f>Quartile_S[[#This Row],[ROE Q1]]-1.5*(Quartile_S[[#This Row],[ROE Q3]]-Quartile_S[[#This Row],[ROE Q1]])</f>
        <v>-11.471250000000001</v>
      </c>
      <c r="M40" s="1">
        <f>Quartile_S[[#This Row],[ROE Q3]]+1.5*(Quartile_S[[#This Row],[ROE Q3]]-Quartile_S[[#This Row],[ROE Q1]])</f>
        <v>37.418750000000003</v>
      </c>
      <c r="N40" s="1" cm="1">
        <f t="array" ref="N40">_xlfn.QUARTILE.INC(IF(Quartile_S[[#This Row],[Industry]]=Main_S[Industry],Main_S[ROA]),1)</f>
        <v>3.7199999999999998</v>
      </c>
      <c r="O40" s="1" cm="1">
        <f t="array" ref="O40">_xlfn.QUARTILE.INC(IF(Quartile_S[[#This Row],[Industry]]=Main_S[Industry],Main_S[ROA]),3)</f>
        <v>8.91</v>
      </c>
      <c r="P40" s="1">
        <f>Quartile_S[[#This Row],[ROA Q1]]-1.5*(Quartile_S[[#This Row],[ROA Q3]]-Quartile_S[[#This Row],[ROA Q1]])</f>
        <v>-4.0650000000000004</v>
      </c>
      <c r="Q40" s="1">
        <f>Quartile_S[[#This Row],[ROA Q3]]+1.5*(Quartile_S[[#This Row],[ROA Q3]]-Quartile_S[[#This Row],[ROA Q1]])</f>
        <v>16.695</v>
      </c>
      <c r="R40" s="1" cm="1">
        <f t="array" ref="R40">_xlfn.QUARTILE.INC(IF(Quartile_S[[#This Row],[Industry]]=Main_S[Industry],Main_S[P/E]),1)</f>
        <v>8.3946744981939414</v>
      </c>
      <c r="S40" s="1" cm="1">
        <f t="array" ref="S40">_xlfn.QUARTILE.INC(IF(Quartile_S[[#This Row],[Industry]]=Main_S[Industry],Main_S[P/E]),3)</f>
        <v>10.957083333333333</v>
      </c>
      <c r="T40" s="1">
        <f>Quartile_S[[#This Row],[P/E Q1]]-1.5*(Quartile_S[[#This Row],[P/E Q3]]-Quartile_S[[#This Row],[P/E Q1]])</f>
        <v>4.5510612454848536</v>
      </c>
      <c r="U40" s="1">
        <f>Quartile_S[[#This Row],[P/E Q3]]+1.5*(Quartile_S[[#This Row],[P/E Q3]]-Quartile_S[[#This Row],[P/E Q1]])</f>
        <v>14.80069658604242</v>
      </c>
      <c r="V40" s="1" cm="1">
        <f t="array" ref="V40">_xlfn.QUARTILE.INC(IF(Quartile_S[[#This Row],[Industry]]=Main_S[Industry],Main_S[A/E]),1)</f>
        <v>1.54</v>
      </c>
      <c r="W40" s="1" cm="1">
        <f t="array" ref="W40">_xlfn.QUARTILE.INC(IF(Quartile_S[[#This Row],[Industry]]=Main_S[Industry],Main_S[A/E]),3)</f>
        <v>2.3149999999999999</v>
      </c>
      <c r="X40" s="1">
        <f>Quartile_S[[#This Row],[A/E Q1]]-1.5*(Quartile_S[[#This Row],[A/E Q3]]-Quartile_S[[#This Row],[A/E Q1]])</f>
        <v>0.37750000000000017</v>
      </c>
      <c r="Y40" s="1">
        <f>Quartile_S[[#This Row],[A/E Q3]]+1.5*(Quartile_S[[#This Row],[A/E Q3]]-Quartile_S[[#This Row],[A/E Q1]])</f>
        <v>3.4775</v>
      </c>
    </row>
    <row r="41" spans="1:25" x14ac:dyDescent="0.25">
      <c r="A41" t="s">
        <v>135</v>
      </c>
      <c r="B41" s="1" cm="1">
        <f t="array" ref="B41">_xlfn.QUARTILE.INC(IF(Quartile_S[[#This Row],[Industry]]=Main_S[Industry],Main_S[P/FCF]),1)</f>
        <v>5.980603448275863</v>
      </c>
      <c r="C41" s="1" cm="1">
        <f t="array" ref="C41">_xlfn.QUARTILE.INC(IF(Quartile_S[[#This Row],[Industry]]=Main_S[Industry],Main_S[P/FCF]),3)</f>
        <v>27.520924149956407</v>
      </c>
      <c r="D41" s="1">
        <f>Quartile_S[[#This Row],[P/FCF Q1]]-1.5*(Quartile_S[[#This Row],[P/FCF Q3]]-Quartile_S[[#This Row],[P/FCF Q1]])</f>
        <v>-26.329877604244949</v>
      </c>
      <c r="E41" s="1">
        <f>Quartile_S[[#This Row],[P/FCF Q3]]+1.5*(Quartile_S[[#This Row],[P/FCF Q3]]-Quartile_S[[#This Row],[P/FCF Q1]])</f>
        <v>59.831405202477221</v>
      </c>
      <c r="F41" s="1" cm="1">
        <f t="array" ref="F41">_xlfn.QUARTILE.INC(IF(Quartile_S[[#This Row],[Industry]]=Main_S[Industry],Main_S[P/B]),1)</f>
        <v>1.4170560136812287</v>
      </c>
      <c r="G41" s="1" cm="1">
        <f t="array" ref="G41">_xlfn.QUARTILE.INC(IF(Quartile_S[[#This Row],[Industry]]=Main_S[Industry],Main_S[P/B]),3)</f>
        <v>3.1151758535959218</v>
      </c>
      <c r="H41" s="1">
        <f>Quartile_S[[#This Row],[P/B Q1]]-1.5*(Quartile_S[[#This Row],[P/B Q3]]-Quartile_S[[#This Row],[P/B Q1]])</f>
        <v>-1.1301237461908111</v>
      </c>
      <c r="I41" s="1">
        <f>Quartile_S[[#This Row],[P/B Q3]]+1.5*(Quartile_S[[#This Row],[P/B Q3]]-Quartile_S[[#This Row],[P/B Q1]])</f>
        <v>5.6623556134679616</v>
      </c>
      <c r="J41" s="1" cm="1">
        <f t="array" ref="J41">_xlfn.QUARTILE.INC(IF(Quartile_S[[#This Row],[Industry]]=Main_S[Industry],Main_S[ROE]),1)</f>
        <v>-7.9649999999999999</v>
      </c>
      <c r="K41" s="1" cm="1">
        <f t="array" ref="K41">_xlfn.QUARTILE.INC(IF(Quartile_S[[#This Row],[Industry]]=Main_S[Industry],Main_S[ROE]),3)</f>
        <v>11.58</v>
      </c>
      <c r="L41" s="1">
        <f>Quartile_S[[#This Row],[ROE Q1]]-1.5*(Quartile_S[[#This Row],[ROE Q3]]-Quartile_S[[#This Row],[ROE Q1]])</f>
        <v>-37.282499999999999</v>
      </c>
      <c r="M41" s="1">
        <f>Quartile_S[[#This Row],[ROE Q3]]+1.5*(Quartile_S[[#This Row],[ROE Q3]]-Quartile_S[[#This Row],[ROE Q1]])</f>
        <v>40.897500000000001</v>
      </c>
      <c r="N41" s="1" cm="1">
        <f t="array" ref="N41">_xlfn.QUARTILE.INC(IF(Quartile_S[[#This Row],[Industry]]=Main_S[Industry],Main_S[ROA]),1)</f>
        <v>0.16500000000000004</v>
      </c>
      <c r="O41" s="1" cm="1">
        <f t="array" ref="O41">_xlfn.QUARTILE.INC(IF(Quartile_S[[#This Row],[Industry]]=Main_S[Industry],Main_S[ROA]),3)</f>
        <v>4.6749999999999998</v>
      </c>
      <c r="P41" s="1">
        <f>Quartile_S[[#This Row],[ROA Q1]]-1.5*(Quartile_S[[#This Row],[ROA Q3]]-Quartile_S[[#This Row],[ROA Q1]])</f>
        <v>-6.6</v>
      </c>
      <c r="Q41" s="1">
        <f>Quartile_S[[#This Row],[ROA Q3]]+1.5*(Quartile_S[[#This Row],[ROA Q3]]-Quartile_S[[#This Row],[ROA Q1]])</f>
        <v>11.44</v>
      </c>
      <c r="R41" s="1" cm="1">
        <f t="array" ref="R41">_xlfn.QUARTILE.INC(IF(Quartile_S[[#This Row],[Industry]]=Main_S[Industry],Main_S[P/E]),1)</f>
        <v>-14.915750915750916</v>
      </c>
      <c r="S41" s="1" cm="1">
        <f t="array" ref="S41">_xlfn.QUARTILE.INC(IF(Quartile_S[[#This Row],[Industry]]=Main_S[Industry],Main_S[P/E]),3)</f>
        <v>19.283076923076923</v>
      </c>
      <c r="T41" s="1">
        <f>Quartile_S[[#This Row],[P/E Q1]]-1.5*(Quartile_S[[#This Row],[P/E Q3]]-Quartile_S[[#This Row],[P/E Q1]])</f>
        <v>-66.213992673992678</v>
      </c>
      <c r="U41" s="1">
        <f>Quartile_S[[#This Row],[P/E Q3]]+1.5*(Quartile_S[[#This Row],[P/E Q3]]-Quartile_S[[#This Row],[P/E Q1]])</f>
        <v>70.581318681318677</v>
      </c>
      <c r="V41" s="1" cm="1">
        <f t="array" ref="V41">_xlfn.QUARTILE.INC(IF(Quartile_S[[#This Row],[Industry]]=Main_S[Industry],Main_S[A/E]),1)</f>
        <v>2.3199999999999998</v>
      </c>
      <c r="W41" s="1" cm="1">
        <f t="array" ref="W41">_xlfn.QUARTILE.INC(IF(Quartile_S[[#This Row],[Industry]]=Main_S[Industry],Main_S[A/E]),3)</f>
        <v>3.3149999999999999</v>
      </c>
      <c r="X41" s="1">
        <f>Quartile_S[[#This Row],[A/E Q1]]-1.5*(Quartile_S[[#This Row],[A/E Q3]]-Quartile_S[[#This Row],[A/E Q1]])</f>
        <v>0.82749999999999968</v>
      </c>
      <c r="Y41" s="1">
        <f>Quartile_S[[#This Row],[A/E Q3]]+1.5*(Quartile_S[[#This Row],[A/E Q3]]-Quartile_S[[#This Row],[A/E Q1]])</f>
        <v>4.8075000000000001</v>
      </c>
    </row>
    <row r="42" spans="1:25" x14ac:dyDescent="0.25">
      <c r="A42" t="s">
        <v>142</v>
      </c>
      <c r="B42" s="1" cm="1">
        <f t="array" ref="B42">_xlfn.QUARTILE.INC(IF(Quartile_S[[#This Row],[Industry]]=Main_S[Industry],Main_S[P/FCF]),1)</f>
        <v>-4.6966292134831455</v>
      </c>
      <c r="C42" s="1" cm="1">
        <f t="array" ref="C42">_xlfn.QUARTILE.INC(IF(Quartile_S[[#This Row],[Industry]]=Main_S[Industry],Main_S[P/FCF]),3)</f>
        <v>12.022058823529411</v>
      </c>
      <c r="D42" s="1">
        <f>Quartile_S[[#This Row],[P/FCF Q1]]-1.5*(Quartile_S[[#This Row],[P/FCF Q3]]-Quartile_S[[#This Row],[P/FCF Q1]])</f>
        <v>-29.774661269001978</v>
      </c>
      <c r="E42" s="1">
        <f>Quartile_S[[#This Row],[P/FCF Q3]]+1.5*(Quartile_S[[#This Row],[P/FCF Q3]]-Quartile_S[[#This Row],[P/FCF Q1]])</f>
        <v>37.100090879048246</v>
      </c>
      <c r="F42" s="1" cm="1">
        <f t="array" ref="F42">_xlfn.QUARTILE.INC(IF(Quartile_S[[#This Row],[Industry]]=Main_S[Industry],Main_S[P/B]),1)</f>
        <v>0.68333333333333335</v>
      </c>
      <c r="G42" s="1" cm="1">
        <f t="array" ref="G42">_xlfn.QUARTILE.INC(IF(Quartile_S[[#This Row],[Industry]]=Main_S[Industry],Main_S[P/B]),3)</f>
        <v>6.9810126582278489</v>
      </c>
      <c r="H42" s="1">
        <f>Quartile_S[[#This Row],[P/B Q1]]-1.5*(Quartile_S[[#This Row],[P/B Q3]]-Quartile_S[[#This Row],[P/B Q1]])</f>
        <v>-8.7631856540084385</v>
      </c>
      <c r="I42" s="1">
        <f>Quartile_S[[#This Row],[P/B Q3]]+1.5*(Quartile_S[[#This Row],[P/B Q3]]-Quartile_S[[#This Row],[P/B Q1]])</f>
        <v>16.427531645569623</v>
      </c>
      <c r="J42" s="1" cm="1">
        <f t="array" ref="J42">_xlfn.QUARTILE.INC(IF(Quartile_S[[#This Row],[Industry]]=Main_S[Industry],Main_S[ROE]),1)</f>
        <v>-99.077500000000001</v>
      </c>
      <c r="K42" s="1" cm="1">
        <f t="array" ref="K42">_xlfn.QUARTILE.INC(IF(Quartile_S[[#This Row],[Industry]]=Main_S[Industry],Main_S[ROE]),3)</f>
        <v>6.0200000000000005</v>
      </c>
      <c r="L42" s="1">
        <f>Quartile_S[[#This Row],[ROE Q1]]-1.5*(Quartile_S[[#This Row],[ROE Q3]]-Quartile_S[[#This Row],[ROE Q1]])</f>
        <v>-256.72375</v>
      </c>
      <c r="M42" s="1">
        <f>Quartile_S[[#This Row],[ROE Q3]]+1.5*(Quartile_S[[#This Row],[ROE Q3]]-Quartile_S[[#This Row],[ROE Q1]])</f>
        <v>163.66625000000002</v>
      </c>
      <c r="N42" s="1" cm="1">
        <f t="array" ref="N42">_xlfn.QUARTILE.INC(IF(Quartile_S[[#This Row],[Industry]]=Main_S[Industry],Main_S[ROA]),1)</f>
        <v>-22.352499999999999</v>
      </c>
      <c r="O42" s="1" cm="1">
        <f t="array" ref="O42">_xlfn.QUARTILE.INC(IF(Quartile_S[[#This Row],[Industry]]=Main_S[Industry],Main_S[ROA]),3)</f>
        <v>3.7800000000000002</v>
      </c>
      <c r="P42" s="1">
        <f>Quartile_S[[#This Row],[ROA Q1]]-1.5*(Quartile_S[[#This Row],[ROA Q3]]-Quartile_S[[#This Row],[ROA Q1]])</f>
        <v>-61.551250000000003</v>
      </c>
      <c r="Q42" s="1">
        <f>Quartile_S[[#This Row],[ROA Q3]]+1.5*(Quartile_S[[#This Row],[ROA Q3]]-Quartile_S[[#This Row],[ROA Q1]])</f>
        <v>42.978750000000005</v>
      </c>
      <c r="R42" s="1" cm="1">
        <f t="array" ref="R42">_xlfn.QUARTILE.INC(IF(Quartile_S[[#This Row],[Industry]]=Main_S[Industry],Main_S[P/E]),1)</f>
        <v>-5.9241379310344833</v>
      </c>
      <c r="S42" s="1" cm="1">
        <f t="array" ref="S42">_xlfn.QUARTILE.INC(IF(Quartile_S[[#This Row],[Industry]]=Main_S[Industry],Main_S[P/E]),3)</f>
        <v>21.596899224806201</v>
      </c>
      <c r="T42" s="1">
        <f>Quartile_S[[#This Row],[P/E Q1]]-1.5*(Quartile_S[[#This Row],[P/E Q3]]-Quartile_S[[#This Row],[P/E Q1]])</f>
        <v>-47.205693664795504</v>
      </c>
      <c r="U42" s="1">
        <f>Quartile_S[[#This Row],[P/E Q3]]+1.5*(Quartile_S[[#This Row],[P/E Q3]]-Quartile_S[[#This Row],[P/E Q1]])</f>
        <v>62.878454958567225</v>
      </c>
      <c r="V42" s="1" cm="1">
        <f t="array" ref="V42">_xlfn.QUARTILE.INC(IF(Quartile_S[[#This Row],[Industry]]=Main_S[Industry],Main_S[A/E]),1)</f>
        <v>1.1775</v>
      </c>
      <c r="W42" s="1" cm="1">
        <f t="array" ref="W42">_xlfn.QUARTILE.INC(IF(Quartile_S[[#This Row],[Industry]]=Main_S[Industry],Main_S[A/E]),3)</f>
        <v>2.34</v>
      </c>
      <c r="X42" s="1">
        <f>Quartile_S[[#This Row],[A/E Q1]]-1.5*(Quartile_S[[#This Row],[A/E Q3]]-Quartile_S[[#This Row],[A/E Q1]])</f>
        <v>-0.56624999999999992</v>
      </c>
      <c r="Y42" s="1">
        <f>Quartile_S[[#This Row],[A/E Q3]]+1.5*(Quartile_S[[#This Row],[A/E Q3]]-Quartile_S[[#This Row],[A/E Q1]])</f>
        <v>4.0837500000000002</v>
      </c>
    </row>
    <row r="43" spans="1:25" x14ac:dyDescent="0.25">
      <c r="A43" t="s">
        <v>154</v>
      </c>
      <c r="B43" s="1" cm="1">
        <f t="array" ref="B43">_xlfn.QUARTILE.INC(IF(Quartile_S[[#This Row],[Industry]]=Main_S[Industry],Main_S[P/FCF]),1)</f>
        <v>2.1922495361781076</v>
      </c>
      <c r="C43" s="1" cm="1">
        <f t="array" ref="C43">_xlfn.QUARTILE.INC(IF(Quartile_S[[#This Row],[Industry]]=Main_S[Industry],Main_S[P/FCF]),3)</f>
        <v>17.33741651205937</v>
      </c>
      <c r="D43" s="1">
        <f>Quartile_S[[#This Row],[P/FCF Q1]]-1.5*(Quartile_S[[#This Row],[P/FCF Q3]]-Quartile_S[[#This Row],[P/FCF Q1]])</f>
        <v>-20.525500927643787</v>
      </c>
      <c r="E43" s="1">
        <f>Quartile_S[[#This Row],[P/FCF Q3]]+1.5*(Quartile_S[[#This Row],[P/FCF Q3]]-Quartile_S[[#This Row],[P/FCF Q1]])</f>
        <v>40.055166975881264</v>
      </c>
      <c r="F43" s="1" cm="1">
        <f t="array" ref="F43">_xlfn.QUARTILE.INC(IF(Quartile_S[[#This Row],[Industry]]=Main_S[Industry],Main_S[P/B]),1)</f>
        <v>3.4458899127573823</v>
      </c>
      <c r="G43" s="1" cm="1">
        <f t="array" ref="G43">_xlfn.QUARTILE.INC(IF(Quartile_S[[#This Row],[Industry]]=Main_S[Industry],Main_S[P/B]),3)</f>
        <v>4.8809337032228601</v>
      </c>
      <c r="H43" s="1">
        <f>Quartile_S[[#This Row],[P/B Q1]]-1.5*(Quartile_S[[#This Row],[P/B Q3]]-Quartile_S[[#This Row],[P/B Q1]])</f>
        <v>1.2933242270591658</v>
      </c>
      <c r="I43" s="1">
        <f>Quartile_S[[#This Row],[P/B Q3]]+1.5*(Quartile_S[[#This Row],[P/B Q3]]-Quartile_S[[#This Row],[P/B Q1]])</f>
        <v>7.0334993889210766</v>
      </c>
      <c r="J43" s="1" cm="1">
        <f t="array" ref="J43">_xlfn.QUARTILE.INC(IF(Quartile_S[[#This Row],[Industry]]=Main_S[Industry],Main_S[ROE]),1)</f>
        <v>-25.4</v>
      </c>
      <c r="K43" s="1" cm="1">
        <f t="array" ref="K43">_xlfn.QUARTILE.INC(IF(Quartile_S[[#This Row],[Industry]]=Main_S[Industry],Main_S[ROE]),3)</f>
        <v>10.880000000000003</v>
      </c>
      <c r="L43" s="1">
        <f>Quartile_S[[#This Row],[ROE Q1]]-1.5*(Quartile_S[[#This Row],[ROE Q3]]-Quartile_S[[#This Row],[ROE Q1]])</f>
        <v>-79.819999999999993</v>
      </c>
      <c r="M43" s="1">
        <f>Quartile_S[[#This Row],[ROE Q3]]+1.5*(Quartile_S[[#This Row],[ROE Q3]]-Quartile_S[[#This Row],[ROE Q1]])</f>
        <v>65.300000000000011</v>
      </c>
      <c r="N43" s="1" cm="1">
        <f t="array" ref="N43">_xlfn.QUARTILE.INC(IF(Quartile_S[[#This Row],[Industry]]=Main_S[Industry],Main_S[ROA]),1)</f>
        <v>1.5275000000000001</v>
      </c>
      <c r="O43" s="1" cm="1">
        <f t="array" ref="O43">_xlfn.QUARTILE.INC(IF(Quartile_S[[#This Row],[Industry]]=Main_S[Industry],Main_S[ROA]),3)</f>
        <v>2.6025</v>
      </c>
      <c r="P43" s="1">
        <f>Quartile_S[[#This Row],[ROA Q1]]-1.5*(Quartile_S[[#This Row],[ROA Q3]]-Quartile_S[[#This Row],[ROA Q1]])</f>
        <v>-8.4999999999999742E-2</v>
      </c>
      <c r="Q43" s="1">
        <f>Quartile_S[[#This Row],[ROA Q3]]+1.5*(Quartile_S[[#This Row],[ROA Q3]]-Quartile_S[[#This Row],[ROA Q1]])</f>
        <v>4.2149999999999999</v>
      </c>
      <c r="R43" s="1" cm="1">
        <f t="array" ref="R43">_xlfn.QUARTILE.INC(IF(Quartile_S[[#This Row],[Industry]]=Main_S[Industry],Main_S[P/E]),1)</f>
        <v>1.8436942949277879</v>
      </c>
      <c r="S43" s="1" cm="1">
        <f t="array" ref="S43">_xlfn.QUARTILE.INC(IF(Quartile_S[[#This Row],[Industry]]=Main_S[Industry],Main_S[P/E]),3)</f>
        <v>6.6097512872382644</v>
      </c>
      <c r="T43" s="1">
        <f>Quartile_S[[#This Row],[P/E Q1]]-1.5*(Quartile_S[[#This Row],[P/E Q3]]-Quartile_S[[#This Row],[P/E Q1]])</f>
        <v>-5.3053911935379263</v>
      </c>
      <c r="U43" s="1">
        <f>Quartile_S[[#This Row],[P/E Q3]]+1.5*(Quartile_S[[#This Row],[P/E Q3]]-Quartile_S[[#This Row],[P/E Q1]])</f>
        <v>13.75883677570398</v>
      </c>
      <c r="V43" s="1" cm="1">
        <f t="array" ref="V43">_xlfn.QUARTILE.INC(IF(Quartile_S[[#This Row],[Industry]]=Main_S[Industry],Main_S[A/E]),1)</f>
        <v>44.037500000000001</v>
      </c>
      <c r="W43" s="1" cm="1">
        <f t="array" ref="W43">_xlfn.QUARTILE.INC(IF(Quartile_S[[#This Row],[Industry]]=Main_S[Industry],Main_S[A/E]),3)</f>
        <v>51.052500000000002</v>
      </c>
      <c r="X43" s="1">
        <f>Quartile_S[[#This Row],[A/E Q1]]-1.5*(Quartile_S[[#This Row],[A/E Q3]]-Quartile_S[[#This Row],[A/E Q1]])</f>
        <v>33.515000000000001</v>
      </c>
      <c r="Y43" s="1">
        <f>Quartile_S[[#This Row],[A/E Q3]]+1.5*(Quartile_S[[#This Row],[A/E Q3]]-Quartile_S[[#This Row],[A/E Q1]])</f>
        <v>61.575000000000003</v>
      </c>
    </row>
    <row r="44" spans="1:25" x14ac:dyDescent="0.25">
      <c r="A44" t="s">
        <v>157</v>
      </c>
      <c r="B44" s="1" cm="1">
        <f t="array" ref="B44">_xlfn.QUARTILE.INC(IF(Quartile_S[[#This Row],[Industry]]=Main_S[Industry],Main_S[P/FCF]),1)</f>
        <v>5.705349679576484</v>
      </c>
      <c r="C44" s="1" cm="1">
        <f t="array" ref="C44">_xlfn.QUARTILE.INC(IF(Quartile_S[[#This Row],[Industry]]=Main_S[Industry],Main_S[P/FCF]),3)</f>
        <v>19.684233471816178</v>
      </c>
      <c r="D44" s="1">
        <f>Quartile_S[[#This Row],[P/FCF Q1]]-1.5*(Quartile_S[[#This Row],[P/FCF Q3]]-Quartile_S[[#This Row],[P/FCF Q1]])</f>
        <v>-15.262976008783058</v>
      </c>
      <c r="E44" s="1">
        <f>Quartile_S[[#This Row],[P/FCF Q3]]+1.5*(Quartile_S[[#This Row],[P/FCF Q3]]-Quartile_S[[#This Row],[P/FCF Q1]])</f>
        <v>40.65255916017572</v>
      </c>
      <c r="F44" s="1" cm="1">
        <f t="array" ref="F44">_xlfn.QUARTILE.INC(IF(Quartile_S[[#This Row],[Industry]]=Main_S[Industry],Main_S[P/B]),1)</f>
        <v>1.0986808236808239</v>
      </c>
      <c r="G44" s="1" cm="1">
        <f t="array" ref="G44">_xlfn.QUARTILE.INC(IF(Quartile_S[[#This Row],[Industry]]=Main_S[Industry],Main_S[P/B]),3)</f>
        <v>2.5551541074772119</v>
      </c>
      <c r="H44" s="1">
        <f>Quartile_S[[#This Row],[P/B Q1]]-1.5*(Quartile_S[[#This Row],[P/B Q3]]-Quartile_S[[#This Row],[P/B Q1]])</f>
        <v>-1.0860291020137582</v>
      </c>
      <c r="I44" s="1">
        <f>Quartile_S[[#This Row],[P/B Q3]]+1.5*(Quartile_S[[#This Row],[P/B Q3]]-Quartile_S[[#This Row],[P/B Q1]])</f>
        <v>4.7398640331717941</v>
      </c>
      <c r="J44" s="1" cm="1">
        <f t="array" ref="J44">_xlfn.QUARTILE.INC(IF(Quartile_S[[#This Row],[Industry]]=Main_S[Industry],Main_S[ROE]),1)</f>
        <v>-0.75</v>
      </c>
      <c r="K44" s="1" cm="1">
        <f t="array" ref="K44">_xlfn.QUARTILE.INC(IF(Quartile_S[[#This Row],[Industry]]=Main_S[Industry],Main_S[ROE]),3)</f>
        <v>18.625</v>
      </c>
      <c r="L44" s="1">
        <f>Quartile_S[[#This Row],[ROE Q1]]-1.5*(Quartile_S[[#This Row],[ROE Q3]]-Quartile_S[[#This Row],[ROE Q1]])</f>
        <v>-29.8125</v>
      </c>
      <c r="M44" s="1">
        <f>Quartile_S[[#This Row],[ROE Q3]]+1.5*(Quartile_S[[#This Row],[ROE Q3]]-Quartile_S[[#This Row],[ROE Q1]])</f>
        <v>47.6875</v>
      </c>
      <c r="N44" s="1" cm="1">
        <f t="array" ref="N44">_xlfn.QUARTILE.INC(IF(Quartile_S[[#This Row],[Industry]]=Main_S[Industry],Main_S[ROA]),1)</f>
        <v>1.5950000000000002</v>
      </c>
      <c r="O44" s="1" cm="1">
        <f t="array" ref="O44">_xlfn.QUARTILE.INC(IF(Quartile_S[[#This Row],[Industry]]=Main_S[Industry],Main_S[ROA]),3)</f>
        <v>5.67</v>
      </c>
      <c r="P44" s="1">
        <f>Quartile_S[[#This Row],[ROA Q1]]-1.5*(Quartile_S[[#This Row],[ROA Q3]]-Quartile_S[[#This Row],[ROA Q1]])</f>
        <v>-4.5174999999999983</v>
      </c>
      <c r="Q44" s="1">
        <f>Quartile_S[[#This Row],[ROA Q3]]+1.5*(Quartile_S[[#This Row],[ROA Q3]]-Quartile_S[[#This Row],[ROA Q1]])</f>
        <v>11.782499999999999</v>
      </c>
      <c r="R44" s="1" cm="1">
        <f t="array" ref="R44">_xlfn.QUARTILE.INC(IF(Quartile_S[[#This Row],[Industry]]=Main_S[Industry],Main_S[P/E]),1)</f>
        <v>-1.1940749220384479</v>
      </c>
      <c r="S44" s="1" cm="1">
        <f t="array" ref="S44">_xlfn.QUARTILE.INC(IF(Quartile_S[[#This Row],[Industry]]=Main_S[Industry],Main_S[P/E]),3)</f>
        <v>25.449386323787259</v>
      </c>
      <c r="T44" s="1">
        <f>Quartile_S[[#This Row],[P/E Q1]]-1.5*(Quartile_S[[#This Row],[P/E Q3]]-Quartile_S[[#This Row],[P/E Q1]])</f>
        <v>-41.159266790777004</v>
      </c>
      <c r="U44" s="1">
        <f>Quartile_S[[#This Row],[P/E Q3]]+1.5*(Quartile_S[[#This Row],[P/E Q3]]-Quartile_S[[#This Row],[P/E Q1]])</f>
        <v>65.414578192525823</v>
      </c>
      <c r="V44" s="1" cm="1">
        <f t="array" ref="V44">_xlfn.QUARTILE.INC(IF(Quartile_S[[#This Row],[Industry]]=Main_S[Industry],Main_S[A/E]),1)</f>
        <v>1.635</v>
      </c>
      <c r="W44" s="1" cm="1">
        <f t="array" ref="W44">_xlfn.QUARTILE.INC(IF(Quartile_S[[#This Row],[Industry]]=Main_S[Industry],Main_S[A/E]),3)</f>
        <v>2.8049999999999997</v>
      </c>
      <c r="X44" s="1">
        <f>Quartile_S[[#This Row],[A/E Q1]]-1.5*(Quartile_S[[#This Row],[A/E Q3]]-Quartile_S[[#This Row],[A/E Q1]])</f>
        <v>-0.11999999999999944</v>
      </c>
      <c r="Y44" s="1">
        <f>Quartile_S[[#This Row],[A/E Q3]]+1.5*(Quartile_S[[#This Row],[A/E Q3]]-Quartile_S[[#This Row],[A/E Q1]])</f>
        <v>4.5599999999999987</v>
      </c>
    </row>
    <row r="45" spans="1:25" x14ac:dyDescent="0.25">
      <c r="A45" t="s">
        <v>182</v>
      </c>
      <c r="B45" s="1" cm="1">
        <f t="array" ref="B45">_xlfn.QUARTILE.INC(IF(Quartile_S[[#This Row],[Industry]]=Main_S[Industry],Main_S[P/FCF]),1)</f>
        <v>-3.0568773778167984</v>
      </c>
      <c r="C45" s="1" cm="1">
        <f t="array" ref="C45">_xlfn.QUARTILE.INC(IF(Quartile_S[[#This Row],[Industry]]=Main_S[Industry],Main_S[P/FCF]),3)</f>
        <v>13.774221328029142</v>
      </c>
      <c r="D45" s="1">
        <f>Quartile_S[[#This Row],[P/FCF Q1]]-1.5*(Quartile_S[[#This Row],[P/FCF Q3]]-Quartile_S[[#This Row],[P/FCF Q1]])</f>
        <v>-28.303525436585709</v>
      </c>
      <c r="E45" s="1">
        <f>Quartile_S[[#This Row],[P/FCF Q3]]+1.5*(Quartile_S[[#This Row],[P/FCF Q3]]-Quartile_S[[#This Row],[P/FCF Q1]])</f>
        <v>39.020869386798054</v>
      </c>
      <c r="F45" s="1" cm="1">
        <f t="array" ref="F45">_xlfn.QUARTILE.INC(IF(Quartile_S[[#This Row],[Industry]]=Main_S[Industry],Main_S[P/B]),1)</f>
        <v>1.2986535849879559</v>
      </c>
      <c r="G45" s="1" cm="1">
        <f t="array" ref="G45">_xlfn.QUARTILE.INC(IF(Quartile_S[[#This Row],[Industry]]=Main_S[Industry],Main_S[P/B]),3)</f>
        <v>3.0438319652927461</v>
      </c>
      <c r="H45" s="1">
        <f>Quartile_S[[#This Row],[P/B Q1]]-1.5*(Quartile_S[[#This Row],[P/B Q3]]-Quartile_S[[#This Row],[P/B Q1]])</f>
        <v>-1.3191139854692293</v>
      </c>
      <c r="I45" s="1">
        <f>Quartile_S[[#This Row],[P/B Q3]]+1.5*(Quartile_S[[#This Row],[P/B Q3]]-Quartile_S[[#This Row],[P/B Q1]])</f>
        <v>5.6615995357499314</v>
      </c>
      <c r="J45" s="1" cm="1">
        <f t="array" ref="J45">_xlfn.QUARTILE.INC(IF(Quartile_S[[#This Row],[Industry]]=Main_S[Industry],Main_S[ROE]),1)</f>
        <v>-0.89749999999999996</v>
      </c>
      <c r="K45" s="1" cm="1">
        <f t="array" ref="K45">_xlfn.QUARTILE.INC(IF(Quartile_S[[#This Row],[Industry]]=Main_S[Industry],Main_S[ROE]),3)</f>
        <v>17.195</v>
      </c>
      <c r="L45" s="1">
        <f>Quartile_S[[#This Row],[ROE Q1]]-1.5*(Quartile_S[[#This Row],[ROE Q3]]-Quartile_S[[#This Row],[ROE Q1]])</f>
        <v>-28.036250000000003</v>
      </c>
      <c r="M45" s="1">
        <f>Quartile_S[[#This Row],[ROE Q3]]+1.5*(Quartile_S[[#This Row],[ROE Q3]]-Quartile_S[[#This Row],[ROE Q1]])</f>
        <v>44.333750000000002</v>
      </c>
      <c r="N45" s="1" cm="1">
        <f t="array" ref="N45">_xlfn.QUARTILE.INC(IF(Quartile_S[[#This Row],[Industry]]=Main_S[Industry],Main_S[ROA]),1)</f>
        <v>2.2600000000000002</v>
      </c>
      <c r="O45" s="1" cm="1">
        <f t="array" ref="O45">_xlfn.QUARTILE.INC(IF(Quartile_S[[#This Row],[Industry]]=Main_S[Industry],Main_S[ROA]),3)</f>
        <v>6.3375000000000004</v>
      </c>
      <c r="P45" s="1">
        <f>Quartile_S[[#This Row],[ROA Q1]]-1.5*(Quartile_S[[#This Row],[ROA Q3]]-Quartile_S[[#This Row],[ROA Q1]])</f>
        <v>-3.8562500000000006</v>
      </c>
      <c r="Q45" s="1">
        <f>Quartile_S[[#This Row],[ROA Q3]]+1.5*(Quartile_S[[#This Row],[ROA Q3]]-Quartile_S[[#This Row],[ROA Q1]])</f>
        <v>12.453750000000001</v>
      </c>
      <c r="R45" s="1" cm="1">
        <f t="array" ref="R45">_xlfn.QUARTILE.INC(IF(Quartile_S[[#This Row],[Industry]]=Main_S[Industry],Main_S[P/E]),1)</f>
        <v>5.0244211514393005</v>
      </c>
      <c r="S45" s="1" cm="1">
        <f t="array" ref="S45">_xlfn.QUARTILE.INC(IF(Quartile_S[[#This Row],[Industry]]=Main_S[Industry],Main_S[P/E]),3)</f>
        <v>21.173346528121389</v>
      </c>
      <c r="T45" s="1">
        <f>Quartile_S[[#This Row],[P/E Q1]]-1.5*(Quartile_S[[#This Row],[P/E Q3]]-Quartile_S[[#This Row],[P/E Q1]])</f>
        <v>-19.198966913583831</v>
      </c>
      <c r="U45" s="1">
        <f>Quartile_S[[#This Row],[P/E Q3]]+1.5*(Quartile_S[[#This Row],[P/E Q3]]-Quartile_S[[#This Row],[P/E Q1]])</f>
        <v>45.396734593144515</v>
      </c>
      <c r="V45" s="1" cm="1">
        <f t="array" ref="V45">_xlfn.QUARTILE.INC(IF(Quartile_S[[#This Row],[Industry]]=Main_S[Industry],Main_S[A/E]),1)</f>
        <v>1.8474999999999999</v>
      </c>
      <c r="W45" s="1" cm="1">
        <f t="array" ref="W45">_xlfn.QUARTILE.INC(IF(Quartile_S[[#This Row],[Industry]]=Main_S[Industry],Main_S[A/E]),3)</f>
        <v>3.1524999999999999</v>
      </c>
      <c r="X45" s="1">
        <f>Quartile_S[[#This Row],[A/E Q1]]-1.5*(Quartile_S[[#This Row],[A/E Q3]]-Quartile_S[[#This Row],[A/E Q1]])</f>
        <v>-0.1100000000000001</v>
      </c>
      <c r="Y45" s="1">
        <f>Quartile_S[[#This Row],[A/E Q3]]+1.5*(Quartile_S[[#This Row],[A/E Q3]]-Quartile_S[[#This Row],[A/E Q1]])</f>
        <v>5.1099999999999994</v>
      </c>
    </row>
    <row r="46" spans="1:25" x14ac:dyDescent="0.25">
      <c r="A46" t="s">
        <v>192</v>
      </c>
      <c r="B46" s="1" cm="1">
        <f t="array" ref="B46">_xlfn.QUARTILE.INC(IF(Quartile_S[[#This Row],[Industry]]=Main_S[Industry],Main_S[P/FCF]),1)</f>
        <v>4.6157205240174672</v>
      </c>
      <c r="C46" s="1" cm="1">
        <f t="array" ref="C46">_xlfn.QUARTILE.INC(IF(Quartile_S[[#This Row],[Industry]]=Main_S[Industry],Main_S[P/FCF]),3)</f>
        <v>21.9375</v>
      </c>
      <c r="D46" s="1">
        <f>Quartile_S[[#This Row],[P/FCF Q1]]-1.5*(Quartile_S[[#This Row],[P/FCF Q3]]-Quartile_S[[#This Row],[P/FCF Q1]])</f>
        <v>-21.366948689956331</v>
      </c>
      <c r="E46" s="1">
        <f>Quartile_S[[#This Row],[P/FCF Q3]]+1.5*(Quartile_S[[#This Row],[P/FCF Q3]]-Quartile_S[[#This Row],[P/FCF Q1]])</f>
        <v>47.920169213973793</v>
      </c>
      <c r="F46" s="1" cm="1">
        <f t="array" ref="F46">_xlfn.QUARTILE.INC(IF(Quartile_S[[#This Row],[Industry]]=Main_S[Industry],Main_S[P/B]),1)</f>
        <v>1.1414538310412574</v>
      </c>
      <c r="G46" s="1" cm="1">
        <f t="array" ref="G46">_xlfn.QUARTILE.INC(IF(Quartile_S[[#This Row],[Industry]]=Main_S[Industry],Main_S[P/B]),3)</f>
        <v>2.1934032983508249</v>
      </c>
      <c r="H46" s="1">
        <f>Quartile_S[[#This Row],[P/B Q1]]-1.5*(Quartile_S[[#This Row],[P/B Q3]]-Quartile_S[[#This Row],[P/B Q1]])</f>
        <v>-0.43647036992309385</v>
      </c>
      <c r="I46" s="1">
        <f>Quartile_S[[#This Row],[P/B Q3]]+1.5*(Quartile_S[[#This Row],[P/B Q3]]-Quartile_S[[#This Row],[P/B Q1]])</f>
        <v>3.7713274993151762</v>
      </c>
      <c r="J46" s="1" cm="1">
        <f t="array" ref="J46">_xlfn.QUARTILE.INC(IF(Quartile_S[[#This Row],[Industry]]=Main_S[Industry],Main_S[ROE]),1)</f>
        <v>-4.3375000000000004</v>
      </c>
      <c r="K46" s="1" cm="1">
        <f t="array" ref="K46">_xlfn.QUARTILE.INC(IF(Quartile_S[[#This Row],[Industry]]=Main_S[Industry],Main_S[ROE]),3)</f>
        <v>13.625</v>
      </c>
      <c r="L46" s="1">
        <f>Quartile_S[[#This Row],[ROE Q1]]-1.5*(Quartile_S[[#This Row],[ROE Q3]]-Quartile_S[[#This Row],[ROE Q1]])</f>
        <v>-31.28125</v>
      </c>
      <c r="M46" s="1">
        <f>Quartile_S[[#This Row],[ROE Q3]]+1.5*(Quartile_S[[#This Row],[ROE Q3]]-Quartile_S[[#This Row],[ROE Q1]])</f>
        <v>40.568749999999994</v>
      </c>
      <c r="N46" s="1" cm="1">
        <f t="array" ref="N46">_xlfn.QUARTILE.INC(IF(Quartile_S[[#This Row],[Industry]]=Main_S[Industry],Main_S[ROA]),1)</f>
        <v>2.8149999999999999</v>
      </c>
      <c r="O46" s="1" cm="1">
        <f t="array" ref="O46">_xlfn.QUARTILE.INC(IF(Quartile_S[[#This Row],[Industry]]=Main_S[Industry],Main_S[ROA]),3)</f>
        <v>5.3149999999999995</v>
      </c>
      <c r="P46" s="1">
        <f>Quartile_S[[#This Row],[ROA Q1]]-1.5*(Quartile_S[[#This Row],[ROA Q3]]-Quartile_S[[#This Row],[ROA Q1]])</f>
        <v>-0.93499999999999917</v>
      </c>
      <c r="Q46" s="1">
        <f>Quartile_S[[#This Row],[ROA Q3]]+1.5*(Quartile_S[[#This Row],[ROA Q3]]-Quartile_S[[#This Row],[ROA Q1]])</f>
        <v>9.0649999999999977</v>
      </c>
      <c r="R46" s="1" cm="1">
        <f t="array" ref="R46">_xlfn.QUARTILE.INC(IF(Quartile_S[[#This Row],[Industry]]=Main_S[Industry],Main_S[P/E]),1)</f>
        <v>-2.0158730158730158</v>
      </c>
      <c r="S46" s="1" cm="1">
        <f t="array" ref="S46">_xlfn.QUARTILE.INC(IF(Quartile_S[[#This Row],[Industry]]=Main_S[Industry],Main_S[P/E]),3)</f>
        <v>21.20289855072464</v>
      </c>
      <c r="T46" s="1">
        <f>Quartile_S[[#This Row],[P/E Q1]]-1.5*(Quartile_S[[#This Row],[P/E Q3]]-Quartile_S[[#This Row],[P/E Q1]])</f>
        <v>-36.844030365769498</v>
      </c>
      <c r="U46" s="1">
        <f>Quartile_S[[#This Row],[P/E Q3]]+1.5*(Quartile_S[[#This Row],[P/E Q3]]-Quartile_S[[#This Row],[P/E Q1]])</f>
        <v>56.031055900621126</v>
      </c>
      <c r="V46" s="1" cm="1">
        <f t="array" ref="V46">_xlfn.QUARTILE.INC(IF(Quartile_S[[#This Row],[Industry]]=Main_S[Industry],Main_S[A/E]),1)</f>
        <v>1.74</v>
      </c>
      <c r="W46" s="1" cm="1">
        <f t="array" ref="W46">_xlfn.QUARTILE.INC(IF(Quartile_S[[#This Row],[Industry]]=Main_S[Industry],Main_S[A/E]),3)</f>
        <v>4.1749999999999998</v>
      </c>
      <c r="X46" s="1">
        <f>Quartile_S[[#This Row],[A/E Q1]]-1.5*(Quartile_S[[#This Row],[A/E Q3]]-Quartile_S[[#This Row],[A/E Q1]])</f>
        <v>-1.9124999999999994</v>
      </c>
      <c r="Y46" s="1">
        <f>Quartile_S[[#This Row],[A/E Q3]]+1.5*(Quartile_S[[#This Row],[A/E Q3]]-Quartile_S[[#This Row],[A/E Q1]])</f>
        <v>7.8274999999999988</v>
      </c>
    </row>
    <row r="47" spans="1:25" x14ac:dyDescent="0.25">
      <c r="A47" t="s">
        <v>205</v>
      </c>
      <c r="B47" s="1" cm="1">
        <f t="array" ref="B47">_xlfn.QUARTILE.INC(IF(Quartile_S[[#This Row],[Industry]]=Main_S[Industry],Main_S[P/FCF]),1)</f>
        <v>2.8051116673084326</v>
      </c>
      <c r="C47" s="1" cm="1">
        <f t="array" ref="C47">_xlfn.QUARTILE.INC(IF(Quartile_S[[#This Row],[Industry]]=Main_S[Industry],Main_S[P/FCF]),3)</f>
        <v>17.104016577581532</v>
      </c>
      <c r="D47" s="1">
        <f>Quartile_S[[#This Row],[P/FCF Q1]]-1.5*(Quartile_S[[#This Row],[P/FCF Q3]]-Quartile_S[[#This Row],[P/FCF Q1]])</f>
        <v>-18.643245698101218</v>
      </c>
      <c r="E47" s="1">
        <f>Quartile_S[[#This Row],[P/FCF Q3]]+1.5*(Quartile_S[[#This Row],[P/FCF Q3]]-Quartile_S[[#This Row],[P/FCF Q1]])</f>
        <v>38.552373942991181</v>
      </c>
      <c r="F47" s="1" cm="1">
        <f t="array" ref="F47">_xlfn.QUARTILE.INC(IF(Quartile_S[[#This Row],[Industry]]=Main_S[Industry],Main_S[P/B]),1)</f>
        <v>0.93913880143174011</v>
      </c>
      <c r="G47" s="1" cm="1">
        <f t="array" ref="G47">_xlfn.QUARTILE.INC(IF(Quartile_S[[#This Row],[Industry]]=Main_S[Industry],Main_S[P/B]),3)</f>
        <v>4.3385760852445099</v>
      </c>
      <c r="H47" s="1">
        <f>Quartile_S[[#This Row],[P/B Q1]]-1.5*(Quartile_S[[#This Row],[P/B Q3]]-Quartile_S[[#This Row],[P/B Q1]])</f>
        <v>-4.160017124287414</v>
      </c>
      <c r="I47" s="1">
        <f>Quartile_S[[#This Row],[P/B Q3]]+1.5*(Quartile_S[[#This Row],[P/B Q3]]-Quartile_S[[#This Row],[P/B Q1]])</f>
        <v>9.4377320109636642</v>
      </c>
      <c r="J47" s="1" cm="1">
        <f t="array" ref="J47">_xlfn.QUARTILE.INC(IF(Quartile_S[[#This Row],[Industry]]=Main_S[Industry],Main_S[ROE]),1)</f>
        <v>3</v>
      </c>
      <c r="K47" s="1" cm="1">
        <f t="array" ref="K47">_xlfn.QUARTILE.INC(IF(Quartile_S[[#This Row],[Industry]]=Main_S[Industry],Main_S[ROE]),3)</f>
        <v>23.677499999999998</v>
      </c>
      <c r="L47" s="1">
        <f>Quartile_S[[#This Row],[ROE Q1]]-1.5*(Quartile_S[[#This Row],[ROE Q3]]-Quartile_S[[#This Row],[ROE Q1]])</f>
        <v>-28.016249999999999</v>
      </c>
      <c r="M47" s="1">
        <f>Quartile_S[[#This Row],[ROE Q3]]+1.5*(Quartile_S[[#This Row],[ROE Q3]]-Quartile_S[[#This Row],[ROE Q1]])</f>
        <v>54.693749999999994</v>
      </c>
      <c r="N47" s="1" cm="1">
        <f t="array" ref="N47">_xlfn.QUARTILE.INC(IF(Quartile_S[[#This Row],[Industry]]=Main_S[Industry],Main_S[ROA]),1)</f>
        <v>0.89</v>
      </c>
      <c r="O47" s="1" cm="1">
        <f t="array" ref="O47">_xlfn.QUARTILE.INC(IF(Quartile_S[[#This Row],[Industry]]=Main_S[Industry],Main_S[ROA]),3)</f>
        <v>6.26</v>
      </c>
      <c r="P47" s="1">
        <f>Quartile_S[[#This Row],[ROA Q1]]-1.5*(Quartile_S[[#This Row],[ROA Q3]]-Quartile_S[[#This Row],[ROA Q1]])</f>
        <v>-7.165</v>
      </c>
      <c r="Q47" s="1">
        <f>Quartile_S[[#This Row],[ROA Q3]]+1.5*(Quartile_S[[#This Row],[ROA Q3]]-Quartile_S[[#This Row],[ROA Q1]])</f>
        <v>14.315</v>
      </c>
      <c r="R47" s="1" cm="1">
        <f t="array" ref="R47">_xlfn.QUARTILE.INC(IF(Quartile_S[[#This Row],[Industry]]=Main_S[Industry],Main_S[P/E]),1)</f>
        <v>3.3928115203761755</v>
      </c>
      <c r="S47" s="1" cm="1">
        <f t="array" ref="S47">_xlfn.QUARTILE.INC(IF(Quartile_S[[#This Row],[Industry]]=Main_S[Industry],Main_S[P/E]),3)</f>
        <v>30.098635754938066</v>
      </c>
      <c r="T47" s="1">
        <f>Quartile_S[[#This Row],[P/E Q1]]-1.5*(Quartile_S[[#This Row],[P/E Q3]]-Quartile_S[[#This Row],[P/E Q1]])</f>
        <v>-36.665924831466661</v>
      </c>
      <c r="U47" s="1">
        <f>Quartile_S[[#This Row],[P/E Q3]]+1.5*(Quartile_S[[#This Row],[P/E Q3]]-Quartile_S[[#This Row],[P/E Q1]])</f>
        <v>70.157372106780912</v>
      </c>
      <c r="V47" s="1" cm="1">
        <f t="array" ref="V47">_xlfn.QUARTILE.INC(IF(Quartile_S[[#This Row],[Industry]]=Main_S[Industry],Main_S[A/E]),1)</f>
        <v>2.0249999999999999</v>
      </c>
      <c r="W47" s="1" cm="1">
        <f t="array" ref="W47">_xlfn.QUARTILE.INC(IF(Quartile_S[[#This Row],[Industry]]=Main_S[Industry],Main_S[A/E]),3)</f>
        <v>3.1475</v>
      </c>
      <c r="X47" s="1">
        <f>Quartile_S[[#This Row],[A/E Q1]]-1.5*(Quartile_S[[#This Row],[A/E Q3]]-Quartile_S[[#This Row],[A/E Q1]])</f>
        <v>0.34124999999999983</v>
      </c>
      <c r="Y47" s="1">
        <f>Quartile_S[[#This Row],[A/E Q3]]+1.5*(Quartile_S[[#This Row],[A/E Q3]]-Quartile_S[[#This Row],[A/E Q1]])</f>
        <v>4.8312499999999998</v>
      </c>
    </row>
    <row r="48" spans="1:25" x14ac:dyDescent="0.25">
      <c r="A48" t="s">
        <v>224</v>
      </c>
      <c r="B48" s="1" cm="1">
        <f t="array" ref="B48">_xlfn.QUARTILE.INC(IF(Quartile_S[[#This Row],[Industry]]=Main_S[Industry],Main_S[P/FCF]),1)</f>
        <v>3.9372710129310349</v>
      </c>
      <c r="C48" s="1" cm="1">
        <f t="array" ref="C48">_xlfn.QUARTILE.INC(IF(Quartile_S[[#This Row],[Industry]]=Main_S[Industry],Main_S[P/FCF]),3)</f>
        <v>106.91839080459771</v>
      </c>
      <c r="D48" s="1">
        <f>Quartile_S[[#This Row],[P/FCF Q1]]-1.5*(Quartile_S[[#This Row],[P/FCF Q3]]-Quartile_S[[#This Row],[P/FCF Q1]])</f>
        <v>-150.53440867456897</v>
      </c>
      <c r="E48" s="1">
        <f>Quartile_S[[#This Row],[P/FCF Q3]]+1.5*(Quartile_S[[#This Row],[P/FCF Q3]]-Quartile_S[[#This Row],[P/FCF Q1]])</f>
        <v>261.39007049209772</v>
      </c>
      <c r="F48" s="1" cm="1">
        <f t="array" ref="F48">_xlfn.QUARTILE.INC(IF(Quartile_S[[#This Row],[Industry]]=Main_S[Industry],Main_S[P/B]),1)</f>
        <v>1.1411637931034484</v>
      </c>
      <c r="G48" s="1" cm="1">
        <f t="array" ref="G48">_xlfn.QUARTILE.INC(IF(Quartile_S[[#This Row],[Industry]]=Main_S[Industry],Main_S[P/B]),3)</f>
        <v>1.8803769910729917</v>
      </c>
      <c r="H48" s="1">
        <f>Quartile_S[[#This Row],[P/B Q1]]-1.5*(Quartile_S[[#This Row],[P/B Q3]]-Quartile_S[[#This Row],[P/B Q1]])</f>
        <v>3.2343996149133414E-2</v>
      </c>
      <c r="I48" s="1">
        <f>Quartile_S[[#This Row],[P/B Q3]]+1.5*(Quartile_S[[#This Row],[P/B Q3]]-Quartile_S[[#This Row],[P/B Q1]])</f>
        <v>2.9891967880273067</v>
      </c>
      <c r="J48" s="1" cm="1">
        <f t="array" ref="J48">_xlfn.QUARTILE.INC(IF(Quartile_S[[#This Row],[Industry]]=Main_S[Industry],Main_S[ROE]),1)</f>
        <v>-55.234999999999985</v>
      </c>
      <c r="K48" s="1" cm="1">
        <f t="array" ref="K48">_xlfn.QUARTILE.INC(IF(Quartile_S[[#This Row],[Industry]]=Main_S[Industry],Main_S[ROE]),3)</f>
        <v>5.4275000000000002</v>
      </c>
      <c r="L48" s="1">
        <f>Quartile_S[[#This Row],[ROE Q1]]-1.5*(Quartile_S[[#This Row],[ROE Q3]]-Quartile_S[[#This Row],[ROE Q1]])</f>
        <v>-146.22874999999996</v>
      </c>
      <c r="M48" s="1">
        <f>Quartile_S[[#This Row],[ROE Q3]]+1.5*(Quartile_S[[#This Row],[ROE Q3]]-Quartile_S[[#This Row],[ROE Q1]])</f>
        <v>96.421249999999972</v>
      </c>
      <c r="N48" s="1" cm="1">
        <f t="array" ref="N48">_xlfn.QUARTILE.INC(IF(Quartile_S[[#This Row],[Industry]]=Main_S[Industry],Main_S[ROA]),1)</f>
        <v>1.55</v>
      </c>
      <c r="O48" s="1" cm="1">
        <f t="array" ref="O48">_xlfn.QUARTILE.INC(IF(Quartile_S[[#This Row],[Industry]]=Main_S[Industry],Main_S[ROA]),3)</f>
        <v>4.51</v>
      </c>
      <c r="P48" s="1">
        <f>Quartile_S[[#This Row],[ROA Q1]]-1.5*(Quartile_S[[#This Row],[ROA Q3]]-Quartile_S[[#This Row],[ROA Q1]])</f>
        <v>-2.8899999999999997</v>
      </c>
      <c r="Q48" s="1">
        <f>Quartile_S[[#This Row],[ROA Q3]]+1.5*(Quartile_S[[#This Row],[ROA Q3]]-Quartile_S[[#This Row],[ROA Q1]])</f>
        <v>8.9499999999999993</v>
      </c>
      <c r="R48" s="1" cm="1">
        <f t="array" ref="R48">_xlfn.QUARTILE.INC(IF(Quartile_S[[#This Row],[Industry]]=Main_S[Industry],Main_S[P/E]),1)</f>
        <v>-281.32923128792987</v>
      </c>
      <c r="S48" s="1" cm="1">
        <f t="array" ref="S48">_xlfn.QUARTILE.INC(IF(Quartile_S[[#This Row],[Industry]]=Main_S[Industry],Main_S[P/E]),3)</f>
        <v>16.198546489847907</v>
      </c>
      <c r="T48" s="1">
        <f>Quartile_S[[#This Row],[P/E Q1]]-1.5*(Quartile_S[[#This Row],[P/E Q3]]-Quartile_S[[#This Row],[P/E Q1]])</f>
        <v>-727.62089795459656</v>
      </c>
      <c r="U48" s="1">
        <f>Quartile_S[[#This Row],[P/E Q3]]+1.5*(Quartile_S[[#This Row],[P/E Q3]]-Quartile_S[[#This Row],[P/E Q1]])</f>
        <v>462.49021315651453</v>
      </c>
      <c r="V48" s="1" cm="1">
        <f t="array" ref="V48">_xlfn.QUARTILE.INC(IF(Quartile_S[[#This Row],[Industry]]=Main_S[Industry],Main_S[A/E]),1)</f>
        <v>1.23</v>
      </c>
      <c r="W48" s="1" cm="1">
        <f t="array" ref="W48">_xlfn.QUARTILE.INC(IF(Quartile_S[[#This Row],[Industry]]=Main_S[Industry],Main_S[A/E]),3)</f>
        <v>5.3674999999999997</v>
      </c>
      <c r="X48" s="1">
        <f>Quartile_S[[#This Row],[A/E Q1]]-1.5*(Quartile_S[[#This Row],[A/E Q3]]-Quartile_S[[#This Row],[A/E Q1]])</f>
        <v>-4.9762499999999985</v>
      </c>
      <c r="Y48" s="1">
        <f>Quartile_S[[#This Row],[A/E Q3]]+1.5*(Quartile_S[[#This Row],[A/E Q3]]-Quartile_S[[#This Row],[A/E Q1]])</f>
        <v>11.573749999999999</v>
      </c>
    </row>
    <row r="49" spans="1:25" x14ac:dyDescent="0.25">
      <c r="A49" t="s">
        <v>230</v>
      </c>
      <c r="B49" s="1" cm="1">
        <f t="array" ref="B49">_xlfn.QUARTILE.INC(IF(Quartile_S[[#This Row],[Industry]]=Main_S[Industry],Main_S[P/FCF]),1)</f>
        <v>-6.1568367346938775</v>
      </c>
      <c r="C49" s="1" cm="1">
        <f t="array" ref="C49">_xlfn.QUARTILE.INC(IF(Quartile_S[[#This Row],[Industry]]=Main_S[Industry],Main_S[P/FCF]),3)</f>
        <v>3.5136752136752136</v>
      </c>
      <c r="D49" s="1">
        <f>Quartile_S[[#This Row],[P/FCF Q1]]-1.5*(Quartile_S[[#This Row],[P/FCF Q3]]-Quartile_S[[#This Row],[P/FCF Q1]])</f>
        <v>-20.662604657247513</v>
      </c>
      <c r="E49" s="1">
        <f>Quartile_S[[#This Row],[P/FCF Q3]]+1.5*(Quartile_S[[#This Row],[P/FCF Q3]]-Quartile_S[[#This Row],[P/FCF Q1]])</f>
        <v>18.019443136228851</v>
      </c>
      <c r="F49" s="1" cm="1">
        <f t="array" ref="F49">_xlfn.QUARTILE.INC(IF(Quartile_S[[#This Row],[Industry]]=Main_S[Industry],Main_S[P/B]),1)</f>
        <v>0.37225707308062966</v>
      </c>
      <c r="G49" s="1" cm="1">
        <f t="array" ref="G49">_xlfn.QUARTILE.INC(IF(Quartile_S[[#This Row],[Industry]]=Main_S[Industry],Main_S[P/B]),3)</f>
        <v>1.5256951102588687</v>
      </c>
      <c r="H49" s="1">
        <f>Quartile_S[[#This Row],[P/B Q1]]-1.5*(Quartile_S[[#This Row],[P/B Q3]]-Quartile_S[[#This Row],[P/B Q1]])</f>
        <v>-1.3578999826867291</v>
      </c>
      <c r="I49" s="1">
        <f>Quartile_S[[#This Row],[P/B Q3]]+1.5*(Quartile_S[[#This Row],[P/B Q3]]-Quartile_S[[#This Row],[P/B Q1]])</f>
        <v>3.2558521660262274</v>
      </c>
      <c r="J49" s="1" cm="1">
        <f t="array" ref="J49">_xlfn.QUARTILE.INC(IF(Quartile_S[[#This Row],[Industry]]=Main_S[Industry],Main_S[ROE]),1)</f>
        <v>-11.345000000000001</v>
      </c>
      <c r="K49" s="1" cm="1">
        <f t="array" ref="K49">_xlfn.QUARTILE.INC(IF(Quartile_S[[#This Row],[Industry]]=Main_S[Industry],Main_S[ROE]),3)</f>
        <v>14.335000000000001</v>
      </c>
      <c r="L49" s="1">
        <f>Quartile_S[[#This Row],[ROE Q1]]-1.5*(Quartile_S[[#This Row],[ROE Q3]]-Quartile_S[[#This Row],[ROE Q1]])</f>
        <v>-49.864999999999995</v>
      </c>
      <c r="M49" s="1">
        <f>Quartile_S[[#This Row],[ROE Q3]]+1.5*(Quartile_S[[#This Row],[ROE Q3]]-Quartile_S[[#This Row],[ROE Q1]])</f>
        <v>52.854999999999997</v>
      </c>
      <c r="N49" s="1" cm="1">
        <f t="array" ref="N49">_xlfn.QUARTILE.INC(IF(Quartile_S[[#This Row],[Industry]]=Main_S[Industry],Main_S[ROA]),1)</f>
        <v>-5.3</v>
      </c>
      <c r="O49" s="1" cm="1">
        <f t="array" ref="O49">_xlfn.QUARTILE.INC(IF(Quartile_S[[#This Row],[Industry]]=Main_S[Industry],Main_S[ROA]),3)</f>
        <v>4.5599999999999996</v>
      </c>
      <c r="P49" s="1">
        <f>Quartile_S[[#This Row],[ROA Q1]]-1.5*(Quartile_S[[#This Row],[ROA Q3]]-Quartile_S[[#This Row],[ROA Q1]])</f>
        <v>-20.09</v>
      </c>
      <c r="Q49" s="1">
        <f>Quartile_S[[#This Row],[ROA Q3]]+1.5*(Quartile_S[[#This Row],[ROA Q3]]-Quartile_S[[#This Row],[ROA Q1]])</f>
        <v>19.349999999999998</v>
      </c>
      <c r="R49" s="1" cm="1">
        <f t="array" ref="R49">_xlfn.QUARTILE.INC(IF(Quartile_S[[#This Row],[Industry]]=Main_S[Industry],Main_S[P/E]),1)</f>
        <v>-22.563225290116048</v>
      </c>
      <c r="S49" s="1" cm="1">
        <f t="array" ref="S49">_xlfn.QUARTILE.INC(IF(Quartile_S[[#This Row],[Industry]]=Main_S[Industry],Main_S[P/E]),3)</f>
        <v>7.1450882097753796</v>
      </c>
      <c r="T49" s="1">
        <f>Quartile_S[[#This Row],[P/E Q1]]-1.5*(Quartile_S[[#This Row],[P/E Q3]]-Quartile_S[[#This Row],[P/E Q1]])</f>
        <v>-67.125695539953185</v>
      </c>
      <c r="U49" s="1">
        <f>Quartile_S[[#This Row],[P/E Q3]]+1.5*(Quartile_S[[#This Row],[P/E Q3]]-Quartile_S[[#This Row],[P/E Q1]])</f>
        <v>51.707558459612521</v>
      </c>
      <c r="V49" s="1" cm="1">
        <f t="array" ref="V49">_xlfn.QUARTILE.INC(IF(Quartile_S[[#This Row],[Industry]]=Main_S[Industry],Main_S[A/E]),1)</f>
        <v>0.15499999999999992</v>
      </c>
      <c r="W49" s="1" cm="1">
        <f t="array" ref="W49">_xlfn.QUARTILE.INC(IF(Quartile_S[[#This Row],[Industry]]=Main_S[Industry],Main_S[A/E]),3)</f>
        <v>7.1449999999999996</v>
      </c>
      <c r="X49" s="1">
        <f>Quartile_S[[#This Row],[A/E Q1]]-1.5*(Quartile_S[[#This Row],[A/E Q3]]-Quartile_S[[#This Row],[A/E Q1]])</f>
        <v>-10.33</v>
      </c>
      <c r="Y49" s="1">
        <f>Quartile_S[[#This Row],[A/E Q3]]+1.5*(Quartile_S[[#This Row],[A/E Q3]]-Quartile_S[[#This Row],[A/E Q1]])</f>
        <v>17.63</v>
      </c>
    </row>
    <row r="50" spans="1:25" x14ac:dyDescent="0.25">
      <c r="A50" t="s">
        <v>250</v>
      </c>
      <c r="B50" s="1" cm="1">
        <f t="array" ref="B50">_xlfn.QUARTILE.INC(IF(Quartile_S[[#This Row],[Industry]]=Main_S[Industry],Main_S[P/FCF]),1)</f>
        <v>-4.9574224924877885</v>
      </c>
      <c r="C50" s="1" cm="1">
        <f t="array" ref="C50">_xlfn.QUARTILE.INC(IF(Quartile_S[[#This Row],[Industry]]=Main_S[Industry],Main_S[P/FCF]),3)</f>
        <v>3.1342838196286471</v>
      </c>
      <c r="D50" s="1">
        <f>Quartile_S[[#This Row],[P/FCF Q1]]-1.5*(Quartile_S[[#This Row],[P/FCF Q3]]-Quartile_S[[#This Row],[P/FCF Q1]])</f>
        <v>-17.094981960662444</v>
      </c>
      <c r="E50" s="1">
        <f>Quartile_S[[#This Row],[P/FCF Q3]]+1.5*(Quartile_S[[#This Row],[P/FCF Q3]]-Quartile_S[[#This Row],[P/FCF Q1]])</f>
        <v>15.271843287803302</v>
      </c>
      <c r="F50" s="1" cm="1">
        <f t="array" ref="F50">_xlfn.QUARTILE.INC(IF(Quartile_S[[#This Row],[Industry]]=Main_S[Industry],Main_S[P/B]),1)</f>
        <v>0.44267196078321563</v>
      </c>
      <c r="G50" s="1" cm="1">
        <f t="array" ref="G50">_xlfn.QUARTILE.INC(IF(Quartile_S[[#This Row],[Industry]]=Main_S[Industry],Main_S[P/B]),3)</f>
        <v>0.58826216031057321</v>
      </c>
      <c r="H50" s="1">
        <f>Quartile_S[[#This Row],[P/B Q1]]-1.5*(Quartile_S[[#This Row],[P/B Q3]]-Quartile_S[[#This Row],[P/B Q1]])</f>
        <v>0.22428666149217927</v>
      </c>
      <c r="I50" s="1">
        <f>Quartile_S[[#This Row],[P/B Q3]]+1.5*(Quartile_S[[#This Row],[P/B Q3]]-Quartile_S[[#This Row],[P/B Q1]])</f>
        <v>0.80664745960160955</v>
      </c>
      <c r="J50" s="1" cm="1">
        <f t="array" ref="J50">_xlfn.QUARTILE.INC(IF(Quartile_S[[#This Row],[Industry]]=Main_S[Industry],Main_S[ROE]),1)</f>
        <v>13.49</v>
      </c>
      <c r="K50" s="1" cm="1">
        <f t="array" ref="K50">_xlfn.QUARTILE.INC(IF(Quartile_S[[#This Row],[Industry]]=Main_S[Industry],Main_S[ROE]),3)</f>
        <v>17.442499999999999</v>
      </c>
      <c r="L50" s="1">
        <f>Quartile_S[[#This Row],[ROE Q1]]-1.5*(Quartile_S[[#This Row],[ROE Q3]]-Quartile_S[[#This Row],[ROE Q1]])</f>
        <v>7.561250000000002</v>
      </c>
      <c r="M50" s="1">
        <f>Quartile_S[[#This Row],[ROE Q3]]+1.5*(Quartile_S[[#This Row],[ROE Q3]]-Quartile_S[[#This Row],[ROE Q1]])</f>
        <v>23.371249999999996</v>
      </c>
      <c r="N50" s="1" cm="1">
        <f t="array" ref="N50">_xlfn.QUARTILE.INC(IF(Quartile_S[[#This Row],[Industry]]=Main_S[Industry],Main_S[ROA]),1)</f>
        <v>5.1524999999999999</v>
      </c>
      <c r="O50" s="1" cm="1">
        <f t="array" ref="O50">_xlfn.QUARTILE.INC(IF(Quartile_S[[#This Row],[Industry]]=Main_S[Industry],Main_S[ROA]),3)</f>
        <v>7.9074999999999998</v>
      </c>
      <c r="P50" s="1">
        <f>Quartile_S[[#This Row],[ROA Q1]]-1.5*(Quartile_S[[#This Row],[ROA Q3]]-Quartile_S[[#This Row],[ROA Q1]])</f>
        <v>1.0199999999999996</v>
      </c>
      <c r="Q50" s="1">
        <f>Quartile_S[[#This Row],[ROA Q3]]+1.5*(Quartile_S[[#This Row],[ROA Q3]]-Quartile_S[[#This Row],[ROA Q1]])</f>
        <v>12.04</v>
      </c>
      <c r="R50" s="1" cm="1">
        <f t="array" ref="R50">_xlfn.QUARTILE.INC(IF(Quartile_S[[#This Row],[Industry]]=Main_S[Industry],Main_S[P/E]),1)</f>
        <v>2.9428575183951011</v>
      </c>
      <c r="S50" s="1" cm="1">
        <f t="array" ref="S50">_xlfn.QUARTILE.INC(IF(Quartile_S[[#This Row],[Industry]]=Main_S[Industry],Main_S[P/E]),3)</f>
        <v>3.8772779700115336</v>
      </c>
      <c r="T50" s="1">
        <f>Quartile_S[[#This Row],[P/E Q1]]-1.5*(Quartile_S[[#This Row],[P/E Q3]]-Quartile_S[[#This Row],[P/E Q1]])</f>
        <v>1.5412268409704524</v>
      </c>
      <c r="U50" s="1">
        <f>Quartile_S[[#This Row],[P/E Q3]]+1.5*(Quartile_S[[#This Row],[P/E Q3]]-Quartile_S[[#This Row],[P/E Q1]])</f>
        <v>5.2789086474361824</v>
      </c>
      <c r="V50" s="1" cm="1">
        <f t="array" ref="V50">_xlfn.QUARTILE.INC(IF(Quartile_S[[#This Row],[Industry]]=Main_S[Industry],Main_S[A/E]),1)</f>
        <v>1.3475000000000001</v>
      </c>
      <c r="W50" s="1" cm="1">
        <f t="array" ref="W50">_xlfn.QUARTILE.INC(IF(Quartile_S[[#This Row],[Industry]]=Main_S[Industry],Main_S[A/E]),3)</f>
        <v>1.7875000000000001</v>
      </c>
      <c r="X50" s="1">
        <f>Quartile_S[[#This Row],[A/E Q1]]-1.5*(Quartile_S[[#This Row],[A/E Q3]]-Quartile_S[[#This Row],[A/E Q1]])</f>
        <v>0.68750000000000022</v>
      </c>
      <c r="Y50" s="1">
        <f>Quartile_S[[#This Row],[A/E Q3]]+1.5*(Quartile_S[[#This Row],[A/E Q3]]-Quartile_S[[#This Row],[A/E Q1]])</f>
        <v>2.4474999999999998</v>
      </c>
    </row>
    <row r="51" spans="1:25" x14ac:dyDescent="0.25">
      <c r="A51" t="s">
        <v>236</v>
      </c>
      <c r="B51" s="1" cm="1">
        <f t="array" ref="B51">_xlfn.QUARTILE.INC(IF(Quartile_S[[#This Row],[Industry]]=Main_S[Industry],Main_S[P/FCF]),1)</f>
        <v>-8.245633697581022</v>
      </c>
      <c r="C51" s="1" cm="1">
        <f t="array" ref="C51">_xlfn.QUARTILE.INC(IF(Quartile_S[[#This Row],[Industry]]=Main_S[Industry],Main_S[P/FCF]),3)</f>
        <v>0.1919124877089482</v>
      </c>
      <c r="D51" s="1">
        <f>Quartile_S[[#This Row],[P/FCF Q1]]-1.5*(Quartile_S[[#This Row],[P/FCF Q3]]-Quartile_S[[#This Row],[P/FCF Q1]])</f>
        <v>-20.901952975515979</v>
      </c>
      <c r="E51" s="1">
        <f>Quartile_S[[#This Row],[P/FCF Q3]]+1.5*(Quartile_S[[#This Row],[P/FCF Q3]]-Quartile_S[[#This Row],[P/FCF Q1]])</f>
        <v>12.848231765643906</v>
      </c>
      <c r="F51" s="1" cm="1">
        <f t="array" ref="F51">_xlfn.QUARTILE.INC(IF(Quartile_S[[#This Row],[Industry]]=Main_S[Industry],Main_S[P/B]),1)</f>
        <v>0.80144969235664787</v>
      </c>
      <c r="G51" s="1" cm="1">
        <f t="array" ref="G51">_xlfn.QUARTILE.INC(IF(Quartile_S[[#This Row],[Industry]]=Main_S[Industry],Main_S[P/B]),3)</f>
        <v>1.5427491964559308</v>
      </c>
      <c r="H51" s="1">
        <f>Quartile_S[[#This Row],[P/B Q1]]-1.5*(Quartile_S[[#This Row],[P/B Q3]]-Quartile_S[[#This Row],[P/B Q1]])</f>
        <v>-0.3104995637922765</v>
      </c>
      <c r="I51" s="1">
        <f>Quartile_S[[#This Row],[P/B Q3]]+1.5*(Quartile_S[[#This Row],[P/B Q3]]-Quartile_S[[#This Row],[P/B Q1]])</f>
        <v>2.6546984526048552</v>
      </c>
      <c r="J51" s="1" cm="1">
        <f t="array" ref="J51">_xlfn.QUARTILE.INC(IF(Quartile_S[[#This Row],[Industry]]=Main_S[Industry],Main_S[ROE]),1)</f>
        <v>-10.927500000000002</v>
      </c>
      <c r="K51" s="1" cm="1">
        <f t="array" ref="K51">_xlfn.QUARTILE.INC(IF(Quartile_S[[#This Row],[Industry]]=Main_S[Industry],Main_S[ROE]),3)</f>
        <v>5.8375000000000004</v>
      </c>
      <c r="L51" s="1">
        <f>Quartile_S[[#This Row],[ROE Q1]]-1.5*(Quartile_S[[#This Row],[ROE Q3]]-Quartile_S[[#This Row],[ROE Q1]])</f>
        <v>-36.075000000000003</v>
      </c>
      <c r="M51" s="1">
        <f>Quartile_S[[#This Row],[ROE Q3]]+1.5*(Quartile_S[[#This Row],[ROE Q3]]-Quartile_S[[#This Row],[ROE Q1]])</f>
        <v>30.984999999999999</v>
      </c>
      <c r="N51" s="1" cm="1">
        <f t="array" ref="N51">_xlfn.QUARTILE.INC(IF(Quartile_S[[#This Row],[Industry]]=Main_S[Industry],Main_S[ROA]),1)</f>
        <v>-0.80249999999999999</v>
      </c>
      <c r="O51" s="1" cm="1">
        <f t="array" ref="O51">_xlfn.QUARTILE.INC(IF(Quartile_S[[#This Row],[Industry]]=Main_S[Industry],Main_S[ROA]),3)</f>
        <v>2.6975000000000002</v>
      </c>
      <c r="P51" s="1">
        <f>Quartile_S[[#This Row],[ROA Q1]]-1.5*(Quartile_S[[#This Row],[ROA Q3]]-Quartile_S[[#This Row],[ROA Q1]])</f>
        <v>-6.0525000000000002</v>
      </c>
      <c r="Q51" s="1">
        <f>Quartile_S[[#This Row],[ROA Q3]]+1.5*(Quartile_S[[#This Row],[ROA Q3]]-Quartile_S[[#This Row],[ROA Q1]])</f>
        <v>7.9474999999999998</v>
      </c>
      <c r="R51" s="1" cm="1">
        <f t="array" ref="R51">_xlfn.QUARTILE.INC(IF(Quartile_S[[#This Row],[Industry]]=Main_S[Industry],Main_S[P/E]),1)</f>
        <v>-20.728748997594224</v>
      </c>
      <c r="S51" s="1" cm="1">
        <f t="array" ref="S51">_xlfn.QUARTILE.INC(IF(Quartile_S[[#This Row],[Industry]]=Main_S[Industry],Main_S[P/E]),3)</f>
        <v>5.6386755073987223</v>
      </c>
      <c r="T51" s="1">
        <f>Quartile_S[[#This Row],[P/E Q1]]-1.5*(Quartile_S[[#This Row],[P/E Q3]]-Quartile_S[[#This Row],[P/E Q1]])</f>
        <v>-60.27988575508364</v>
      </c>
      <c r="U51" s="1">
        <f>Quartile_S[[#This Row],[P/E Q3]]+1.5*(Quartile_S[[#This Row],[P/E Q3]]-Quartile_S[[#This Row],[P/E Q1]])</f>
        <v>45.18981226488814</v>
      </c>
      <c r="V51" s="1" cm="1">
        <f t="array" ref="V51">_xlfn.QUARTILE.INC(IF(Quartile_S[[#This Row],[Industry]]=Main_S[Industry],Main_S[A/E]),1)</f>
        <v>1.605</v>
      </c>
      <c r="W51" s="1" cm="1">
        <f t="array" ref="W51">_xlfn.QUARTILE.INC(IF(Quartile_S[[#This Row],[Industry]]=Main_S[Industry],Main_S[A/E]),3)</f>
        <v>3.4874999999999998</v>
      </c>
      <c r="X51" s="1">
        <f>Quartile_S[[#This Row],[A/E Q1]]-1.5*(Quartile_S[[#This Row],[A/E Q3]]-Quartile_S[[#This Row],[A/E Q1]])</f>
        <v>-1.2187499999999996</v>
      </c>
      <c r="Y51" s="1">
        <f>Quartile_S[[#This Row],[A/E Q3]]+1.5*(Quartile_S[[#This Row],[A/E Q3]]-Quartile_S[[#This Row],[A/E Q1]])</f>
        <v>6.3112499999999994</v>
      </c>
    </row>
    <row r="52" spans="1:25" x14ac:dyDescent="0.25">
      <c r="A52" t="s">
        <v>251</v>
      </c>
      <c r="B52" s="1" cm="1">
        <f t="array" ref="B52">_xlfn.QUARTILE.INC(IF(Quartile_S[[#This Row],[Industry]]=Main_S[Industry],Main_S[P/FCF]),1)</f>
        <v>-3.0868263473053896</v>
      </c>
      <c r="C52" s="1" cm="1">
        <f t="array" ref="C52">_xlfn.QUARTILE.INC(IF(Quartile_S[[#This Row],[Industry]]=Main_S[Industry],Main_S[P/FCF]),3)</f>
        <v>-3.0868263473053896</v>
      </c>
      <c r="D52" s="1">
        <f>Quartile_S[[#This Row],[P/FCF Q1]]-1.5*(Quartile_S[[#This Row],[P/FCF Q3]]-Quartile_S[[#This Row],[P/FCF Q1]])</f>
        <v>-3.0868263473053896</v>
      </c>
      <c r="E52" s="1">
        <f>Quartile_S[[#This Row],[P/FCF Q3]]+1.5*(Quartile_S[[#This Row],[P/FCF Q3]]-Quartile_S[[#This Row],[P/FCF Q1]])</f>
        <v>-3.0868263473053896</v>
      </c>
      <c r="F52" s="1" cm="1">
        <f t="array" ref="F52">_xlfn.QUARTILE.INC(IF(Quartile_S[[#This Row],[Industry]]=Main_S[Industry],Main_S[P/B]),1)</f>
        <v>6.1369047619047628</v>
      </c>
      <c r="G52" s="1" cm="1">
        <f t="array" ref="G52">_xlfn.QUARTILE.INC(IF(Quartile_S[[#This Row],[Industry]]=Main_S[Industry],Main_S[P/B]),3)</f>
        <v>6.1369047619047628</v>
      </c>
      <c r="H52" s="1">
        <f>Quartile_S[[#This Row],[P/B Q1]]-1.5*(Quartile_S[[#This Row],[P/B Q3]]-Quartile_S[[#This Row],[P/B Q1]])</f>
        <v>6.1369047619047628</v>
      </c>
      <c r="I52" s="1">
        <f>Quartile_S[[#This Row],[P/B Q3]]+1.5*(Quartile_S[[#This Row],[P/B Q3]]-Quartile_S[[#This Row],[P/B Q1]])</f>
        <v>6.1369047619047628</v>
      </c>
      <c r="J52" s="1" cm="1">
        <f t="array" ref="J52">_xlfn.QUARTILE.INC(IF(Quartile_S[[#This Row],[Industry]]=Main_S[Industry],Main_S[ROE]),1)</f>
        <v>-54.15</v>
      </c>
      <c r="K52" s="1" cm="1">
        <f t="array" ref="K52">_xlfn.QUARTILE.INC(IF(Quartile_S[[#This Row],[Industry]]=Main_S[Industry],Main_S[ROE]),3)</f>
        <v>-54.15</v>
      </c>
      <c r="L52" s="1">
        <f>Quartile_S[[#This Row],[ROE Q1]]-1.5*(Quartile_S[[#This Row],[ROE Q3]]-Quartile_S[[#This Row],[ROE Q1]])</f>
        <v>-54.15</v>
      </c>
      <c r="M52" s="1">
        <f>Quartile_S[[#This Row],[ROE Q3]]+1.5*(Quartile_S[[#This Row],[ROE Q3]]-Quartile_S[[#This Row],[ROE Q1]])</f>
        <v>-54.15</v>
      </c>
      <c r="N52" s="1" cm="1">
        <f t="array" ref="N52">_xlfn.QUARTILE.INC(IF(Quartile_S[[#This Row],[Industry]]=Main_S[Industry],Main_S[ROA]),1)</f>
        <v>-3.12</v>
      </c>
      <c r="O52" s="1" cm="1">
        <f t="array" ref="O52">_xlfn.QUARTILE.INC(IF(Quartile_S[[#This Row],[Industry]]=Main_S[Industry],Main_S[ROA]),3)</f>
        <v>-3.12</v>
      </c>
      <c r="P52" s="1">
        <f>Quartile_S[[#This Row],[ROA Q1]]-1.5*(Quartile_S[[#This Row],[ROA Q3]]-Quartile_S[[#This Row],[ROA Q1]])</f>
        <v>-3.12</v>
      </c>
      <c r="Q52" s="1">
        <f>Quartile_S[[#This Row],[ROA Q3]]+1.5*(Quartile_S[[#This Row],[ROA Q3]]-Quartile_S[[#This Row],[ROA Q1]])</f>
        <v>-3.12</v>
      </c>
      <c r="R52" s="1" cm="1">
        <f t="array" ref="R52">_xlfn.QUARTILE.INC(IF(Quartile_S[[#This Row],[Industry]]=Main_S[Industry],Main_S[P/E]),1)</f>
        <v>-5.7597765363128497</v>
      </c>
      <c r="S52" s="1" cm="1">
        <f t="array" ref="S52">_xlfn.QUARTILE.INC(IF(Quartile_S[[#This Row],[Industry]]=Main_S[Industry],Main_S[P/E]),3)</f>
        <v>-5.7597765363128497</v>
      </c>
      <c r="T52" s="1">
        <f>Quartile_S[[#This Row],[P/E Q1]]-1.5*(Quartile_S[[#This Row],[P/E Q3]]-Quartile_S[[#This Row],[P/E Q1]])</f>
        <v>-5.7597765363128497</v>
      </c>
      <c r="U52" s="1">
        <f>Quartile_S[[#This Row],[P/E Q3]]+1.5*(Quartile_S[[#This Row],[P/E Q3]]-Quartile_S[[#This Row],[P/E Q1]])</f>
        <v>-5.7597765363128497</v>
      </c>
      <c r="V52" s="1" cm="1">
        <f t="array" ref="V52">_xlfn.QUARTILE.INC(IF(Quartile_S[[#This Row],[Industry]]=Main_S[Industry],Main_S[A/E]),1)</f>
        <v>10.73</v>
      </c>
      <c r="W52" s="1" cm="1">
        <f t="array" ref="W52">_xlfn.QUARTILE.INC(IF(Quartile_S[[#This Row],[Industry]]=Main_S[Industry],Main_S[A/E]),3)</f>
        <v>10.73</v>
      </c>
      <c r="X52" s="1">
        <f>Quartile_S[[#This Row],[A/E Q1]]-1.5*(Quartile_S[[#This Row],[A/E Q3]]-Quartile_S[[#This Row],[A/E Q1]])</f>
        <v>10.73</v>
      </c>
      <c r="Y52" s="1">
        <f>Quartile_S[[#This Row],[A/E Q3]]+1.5*(Quartile_S[[#This Row],[A/E Q3]]-Quartile_S[[#This Row],[A/E Q1]])</f>
        <v>10.73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6"/>
  <sheetViews>
    <sheetView workbookViewId="0">
      <selection activeCell="I29" sqref="I29"/>
    </sheetView>
  </sheetViews>
  <sheetFormatPr defaultRowHeight="15" x14ac:dyDescent="0.25"/>
  <cols>
    <col min="1" max="1" width="31.42578125" bestFit="1" customWidth="1"/>
    <col min="2" max="2" width="14.85546875" bestFit="1" customWidth="1"/>
    <col min="3" max="3" width="15.4257812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33.52201800712384</v>
      </c>
      <c r="C5" s="1">
        <v>20.584288494261827</v>
      </c>
      <c r="E5" s="6" t="s">
        <v>105</v>
      </c>
      <c r="F5" s="1">
        <v>7.6760175109123159</v>
      </c>
      <c r="G5" s="1">
        <v>9.7512545984150041</v>
      </c>
      <c r="I5" s="6" t="s">
        <v>105</v>
      </c>
      <c r="J5" s="1">
        <v>18.553846153846152</v>
      </c>
      <c r="K5" s="1">
        <v>8.6236459703819826</v>
      </c>
    </row>
    <row r="6" spans="1:11" x14ac:dyDescent="0.25">
      <c r="A6" s="6" t="s">
        <v>224</v>
      </c>
      <c r="B6" s="1">
        <v>20.856730538527916</v>
      </c>
      <c r="C6" s="1">
        <v>4.0569189081026185</v>
      </c>
      <c r="E6" s="6" t="s">
        <v>224</v>
      </c>
      <c r="F6" s="1">
        <v>4.5194464731699551</v>
      </c>
      <c r="G6" s="1">
        <v>2.2569858934488138</v>
      </c>
      <c r="I6" s="6" t="s">
        <v>224</v>
      </c>
      <c r="J6" s="1">
        <v>22.816000000000003</v>
      </c>
      <c r="K6" s="1">
        <v>7.2024845713128629</v>
      </c>
    </row>
    <row r="7" spans="1:11" x14ac:dyDescent="0.25">
      <c r="A7" s="6" t="s">
        <v>122</v>
      </c>
      <c r="B7" s="1">
        <v>21.952476013598041</v>
      </c>
      <c r="C7" s="1">
        <v>9.7656984631165482</v>
      </c>
      <c r="E7" s="6" t="s">
        <v>122</v>
      </c>
      <c r="F7" s="1">
        <v>6.4586939076165262</v>
      </c>
      <c r="G7" s="1">
        <v>3.1459507922759187</v>
      </c>
      <c r="I7" s="6" t="s">
        <v>122</v>
      </c>
      <c r="J7" s="1">
        <v>27.193000000000001</v>
      </c>
      <c r="K7" s="1">
        <v>10.30446315923348</v>
      </c>
    </row>
    <row r="8" spans="1:11" x14ac:dyDescent="0.25">
      <c r="A8" s="6" t="s">
        <v>192</v>
      </c>
      <c r="B8" s="1">
        <v>41.491064148111782</v>
      </c>
      <c r="C8" s="1">
        <v>10.966878250953004</v>
      </c>
      <c r="E8" s="6" t="s">
        <v>192</v>
      </c>
      <c r="F8" s="1">
        <v>8.4630309771262588</v>
      </c>
      <c r="G8" s="1">
        <v>4.7541820254973111</v>
      </c>
      <c r="I8" s="6" t="s">
        <v>192</v>
      </c>
      <c r="J8" s="1">
        <v>21.997499999999999</v>
      </c>
      <c r="K8" s="1">
        <v>16.42937264221208</v>
      </c>
    </row>
    <row r="9" spans="1:11" x14ac:dyDescent="0.25">
      <c r="A9" s="6" t="s">
        <v>135</v>
      </c>
      <c r="B9" s="1">
        <v>20.424137398915189</v>
      </c>
      <c r="C9" s="1">
        <v>4.8699228396051328</v>
      </c>
      <c r="E9" s="6" t="s">
        <v>135</v>
      </c>
      <c r="F9" s="1">
        <v>6.7515338075394871</v>
      </c>
      <c r="G9" s="1">
        <v>2.116979586835384</v>
      </c>
      <c r="I9" s="6" t="s">
        <v>135</v>
      </c>
      <c r="J9" s="1">
        <v>19.645000000000003</v>
      </c>
      <c r="K9" s="1">
        <v>12.590612574454031</v>
      </c>
    </row>
    <row r="10" spans="1:11" x14ac:dyDescent="0.25">
      <c r="A10" s="6" t="s">
        <v>142</v>
      </c>
      <c r="B10" s="1">
        <v>29.113418967284677</v>
      </c>
      <c r="C10" s="1">
        <v>12.558232402958895</v>
      </c>
      <c r="E10" s="6" t="s">
        <v>142</v>
      </c>
      <c r="F10" s="1">
        <v>5.4993467734232393</v>
      </c>
      <c r="G10" s="1">
        <v>3.299861645497089</v>
      </c>
      <c r="I10" s="6" t="s">
        <v>142</v>
      </c>
      <c r="J10" s="1">
        <v>15.772727272727275</v>
      </c>
      <c r="K10" s="1">
        <v>10.464048487263504</v>
      </c>
    </row>
    <row r="11" spans="1:11" x14ac:dyDescent="0.25">
      <c r="A11" s="6" t="s">
        <v>236</v>
      </c>
      <c r="B11" s="1">
        <v>19.238987593927281</v>
      </c>
      <c r="C11" s="1">
        <v>22.260120129477588</v>
      </c>
      <c r="E11" s="6" t="s">
        <v>236</v>
      </c>
      <c r="F11" s="1">
        <v>5.2806392506662414</v>
      </c>
      <c r="G11" s="1">
        <v>3.2790663669226547</v>
      </c>
      <c r="I11" s="6" t="s">
        <v>236</v>
      </c>
      <c r="J11" s="1">
        <v>21.746153846153845</v>
      </c>
      <c r="K11" s="1">
        <v>10.737829273870627</v>
      </c>
    </row>
    <row r="12" spans="1:11" x14ac:dyDescent="0.25">
      <c r="A12" s="6" t="s">
        <v>154</v>
      </c>
      <c r="B12" s="1">
        <v>68.874740878938638</v>
      </c>
      <c r="C12" s="1">
        <v>43.617796434494188</v>
      </c>
      <c r="E12" s="6" t="s">
        <v>154</v>
      </c>
      <c r="F12" s="1">
        <v>12.922075285732575</v>
      </c>
      <c r="G12" s="1">
        <v>4.7704129771782284</v>
      </c>
      <c r="I12" s="6" t="s">
        <v>154</v>
      </c>
      <c r="J12" s="1">
        <v>72.575000000000003</v>
      </c>
      <c r="K12" s="1">
        <v>40.715000000000003</v>
      </c>
    </row>
    <row r="13" spans="1:11" x14ac:dyDescent="0.25">
      <c r="A13" s="6" t="s">
        <v>157</v>
      </c>
      <c r="B13" s="1">
        <v>23.646980484359577</v>
      </c>
      <c r="C13" s="1">
        <v>6.4826394204600799</v>
      </c>
      <c r="E13" s="6" t="s">
        <v>157</v>
      </c>
      <c r="F13" s="1">
        <v>4.7456503720050929</v>
      </c>
      <c r="G13" s="1">
        <v>1.930624530935426</v>
      </c>
      <c r="I13" s="6" t="s">
        <v>157</v>
      </c>
      <c r="J13" s="1">
        <v>20.816363636363636</v>
      </c>
      <c r="K13" s="1">
        <v>13.423901189315119</v>
      </c>
    </row>
    <row r="14" spans="1:11" x14ac:dyDescent="0.25">
      <c r="A14" s="6" t="s">
        <v>230</v>
      </c>
      <c r="B14" s="1">
        <v>28.433022001999444</v>
      </c>
      <c r="C14" s="1">
        <v>38.567196861856523</v>
      </c>
      <c r="E14" s="6" t="s">
        <v>230</v>
      </c>
      <c r="F14" s="1">
        <v>2.2224930177983495</v>
      </c>
      <c r="G14" s="1">
        <v>0.30073728401505873</v>
      </c>
      <c r="I14" s="6" t="s">
        <v>230</v>
      </c>
      <c r="J14" s="1">
        <v>16.172000000000001</v>
      </c>
      <c r="K14" s="1">
        <v>17.184581926831971</v>
      </c>
    </row>
    <row r="15" spans="1:11" x14ac:dyDescent="0.25">
      <c r="A15" s="6" t="s">
        <v>205</v>
      </c>
      <c r="B15" s="1">
        <v>34.066892345301568</v>
      </c>
      <c r="C15" s="1">
        <v>12.031005001124235</v>
      </c>
      <c r="E15" s="6" t="s">
        <v>205</v>
      </c>
      <c r="F15" s="1">
        <v>9.6496564542654095</v>
      </c>
      <c r="G15" s="1">
        <v>6.7969534295477931</v>
      </c>
      <c r="I15" s="6" t="s">
        <v>205</v>
      </c>
      <c r="J15" s="1">
        <v>28.744117647058825</v>
      </c>
      <c r="K15" s="1">
        <v>23.887615314173239</v>
      </c>
    </row>
    <row r="16" spans="1:11" x14ac:dyDescent="0.25">
      <c r="A16" s="6" t="s">
        <v>182</v>
      </c>
      <c r="B16" s="1">
        <v>24.230790620556665</v>
      </c>
      <c r="C16" s="1">
        <v>9.0024917571639396</v>
      </c>
      <c r="E16" s="6" t="s">
        <v>182</v>
      </c>
      <c r="F16" s="1">
        <v>6.0058749845065496</v>
      </c>
      <c r="G16" s="1">
        <v>0.53010646152870389</v>
      </c>
      <c r="I16" s="6" t="s">
        <v>182</v>
      </c>
      <c r="J16" s="1">
        <v>24.116250000000001</v>
      </c>
      <c r="K16" s="1">
        <v>6.9797760306115766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5.4586666666666677</v>
      </c>
      <c r="C25" s="1">
        <v>3.2871626400624323</v>
      </c>
      <c r="E25" s="6" t="s">
        <v>105</v>
      </c>
      <c r="F25" s="1">
        <v>2.4091666666666662</v>
      </c>
      <c r="G25" s="1">
        <v>0.39141747391869203</v>
      </c>
      <c r="I25" s="6" t="s">
        <v>105</v>
      </c>
      <c r="J25" s="1">
        <v>34.68282681376057</v>
      </c>
      <c r="K25" s="1">
        <v>21.640692966839239</v>
      </c>
    </row>
    <row r="26" spans="1:11" x14ac:dyDescent="0.25">
      <c r="A26" s="6" t="s">
        <v>224</v>
      </c>
      <c r="B26" s="1">
        <v>7.4933333333333332</v>
      </c>
      <c r="C26" s="1">
        <v>0.24553795814270371</v>
      </c>
      <c r="E26" s="6" t="s">
        <v>224</v>
      </c>
      <c r="F26" s="1">
        <v>2.8699999999999997</v>
      </c>
      <c r="G26" s="1">
        <v>0.89494133885970539</v>
      </c>
      <c r="I26" s="6" t="s">
        <v>224</v>
      </c>
      <c r="J26" s="1">
        <v>19.515578843107797</v>
      </c>
      <c r="K26" s="1">
        <v>7.7120322955455105</v>
      </c>
    </row>
    <row r="27" spans="1:11" x14ac:dyDescent="0.25">
      <c r="A27" s="6" t="s">
        <v>122</v>
      </c>
      <c r="B27" s="1">
        <v>11.467499999999999</v>
      </c>
      <c r="C27" s="1">
        <v>4.450588210188255</v>
      </c>
      <c r="E27" s="6" t="s">
        <v>122</v>
      </c>
      <c r="F27" s="1">
        <v>2.4549999999999996</v>
      </c>
      <c r="G27" s="1">
        <v>0.54104066390614436</v>
      </c>
      <c r="I27" s="6" t="s">
        <v>122</v>
      </c>
      <c r="J27" s="1">
        <v>27.322223953490081</v>
      </c>
      <c r="K27" s="1">
        <v>12.494179434341513</v>
      </c>
    </row>
    <row r="28" spans="1:11" x14ac:dyDescent="0.25">
      <c r="A28" s="6" t="s">
        <v>192</v>
      </c>
      <c r="B28" s="1">
        <v>8.1666666666666679</v>
      </c>
      <c r="C28" s="1">
        <v>4.3617491394571895</v>
      </c>
      <c r="E28" s="6" t="s">
        <v>192</v>
      </c>
      <c r="F28" s="1">
        <v>2.601</v>
      </c>
      <c r="G28" s="1">
        <v>0.34702881724721735</v>
      </c>
      <c r="I28" s="6" t="s">
        <v>192</v>
      </c>
      <c r="J28" s="1">
        <v>42.369032926474446</v>
      </c>
      <c r="K28" s="1">
        <v>10.975725787884199</v>
      </c>
    </row>
    <row r="29" spans="1:11" x14ac:dyDescent="0.25">
      <c r="A29" s="6" t="s">
        <v>135</v>
      </c>
      <c r="B29" s="1">
        <v>6.2166666666666659</v>
      </c>
      <c r="C29" s="1">
        <v>3.5573944897291847</v>
      </c>
      <c r="E29" s="6" t="s">
        <v>135</v>
      </c>
      <c r="F29" s="1">
        <v>2.8</v>
      </c>
      <c r="G29" s="1">
        <v>0.16887865466068241</v>
      </c>
      <c r="I29" s="6" t="s">
        <v>135</v>
      </c>
      <c r="J29" s="1">
        <v>37.968385718829836</v>
      </c>
      <c r="K29" s="1">
        <v>15.309323322793409</v>
      </c>
    </row>
    <row r="30" spans="1:11" x14ac:dyDescent="0.25">
      <c r="A30" s="6" t="s">
        <v>142</v>
      </c>
      <c r="B30" s="1">
        <v>7.1650000000000009</v>
      </c>
      <c r="C30" s="1">
        <v>2.2150902916134148</v>
      </c>
      <c r="E30" s="6" t="s">
        <v>142</v>
      </c>
      <c r="F30" s="1">
        <v>2.1244444444444444</v>
      </c>
      <c r="G30" s="1">
        <v>0.44895214075818557</v>
      </c>
      <c r="I30" s="6" t="s">
        <v>142</v>
      </c>
      <c r="J30" s="1">
        <v>31.945639363777406</v>
      </c>
      <c r="K30" s="1">
        <v>8.6593427483880863</v>
      </c>
    </row>
    <row r="31" spans="1:11" x14ac:dyDescent="0.25">
      <c r="A31" s="6" t="s">
        <v>236</v>
      </c>
      <c r="B31" s="1">
        <v>6.379999999999999</v>
      </c>
      <c r="C31" s="1">
        <v>2.4578140694527759</v>
      </c>
      <c r="E31" s="6" t="s">
        <v>236</v>
      </c>
      <c r="F31" s="1">
        <v>2.6484615384615391</v>
      </c>
      <c r="G31" s="1">
        <v>1.0568301381151095</v>
      </c>
      <c r="I31" s="6" t="s">
        <v>236</v>
      </c>
      <c r="J31" s="1">
        <v>24.264286584996942</v>
      </c>
      <c r="K31" s="1">
        <v>7.134460421202049</v>
      </c>
    </row>
    <row r="32" spans="1:11" x14ac:dyDescent="0.25">
      <c r="A32" s="6" t="s">
        <v>154</v>
      </c>
      <c r="B32" s="1">
        <v>8.18</v>
      </c>
      <c r="C32" s="1">
        <v>0.85000000000000631</v>
      </c>
      <c r="E32" s="6" t="s">
        <v>154</v>
      </c>
      <c r="F32" s="1">
        <v>6.5150000000000006</v>
      </c>
      <c r="G32" s="1">
        <v>2.2949999999999977</v>
      </c>
      <c r="I32" s="6" t="s">
        <v>154</v>
      </c>
      <c r="J32" s="1">
        <v>20.46491449903661</v>
      </c>
      <c r="K32" s="1">
        <v>4.7628311657032762</v>
      </c>
    </row>
    <row r="33" spans="1:11" x14ac:dyDescent="0.25">
      <c r="A33" s="6" t="s">
        <v>157</v>
      </c>
      <c r="B33" s="1">
        <v>8.3525000000000009</v>
      </c>
      <c r="C33" s="1">
        <v>3.5135229827055308</v>
      </c>
      <c r="E33" s="6" t="s">
        <v>157</v>
      </c>
      <c r="F33" s="1">
        <v>2.0665000000000004</v>
      </c>
      <c r="G33" s="1">
        <v>0.56563482035673773</v>
      </c>
      <c r="I33" s="6" t="s">
        <v>157</v>
      </c>
      <c r="J33" s="1">
        <v>25.289107932449731</v>
      </c>
      <c r="K33" s="1">
        <v>8.1652144372241668</v>
      </c>
    </row>
    <row r="34" spans="1:11" x14ac:dyDescent="0.25">
      <c r="A34" s="6" t="s">
        <v>230</v>
      </c>
      <c r="B34" s="1">
        <v>3.7840000000000003</v>
      </c>
      <c r="C34" s="1">
        <v>2.045224682033735</v>
      </c>
      <c r="E34" s="6" t="s">
        <v>230</v>
      </c>
      <c r="F34" s="1">
        <v>4.3324999999999996</v>
      </c>
      <c r="G34" s="1">
        <v>1.6871036571592171</v>
      </c>
      <c r="I34" s="6" t="s">
        <v>230</v>
      </c>
      <c r="J34" s="1">
        <v>19.95931093421304</v>
      </c>
      <c r="K34" s="1">
        <v>11.426485326423377</v>
      </c>
    </row>
    <row r="35" spans="1:11" x14ac:dyDescent="0.25">
      <c r="A35" s="6" t="s">
        <v>205</v>
      </c>
      <c r="B35" s="1">
        <v>7.5872222222222216</v>
      </c>
      <c r="C35" s="1">
        <v>3.7274712988768437</v>
      </c>
      <c r="E35" s="6" t="s">
        <v>205</v>
      </c>
      <c r="F35" s="1">
        <v>2.840666666666666</v>
      </c>
      <c r="G35" s="1">
        <v>0.71880889130715919</v>
      </c>
      <c r="I35" s="6" t="s">
        <v>205</v>
      </c>
      <c r="J35" s="1">
        <v>39.068195540341883</v>
      </c>
      <c r="K35" s="1">
        <v>15.248091546958936</v>
      </c>
    </row>
    <row r="36" spans="1:11" x14ac:dyDescent="0.25">
      <c r="A36" s="6" t="s">
        <v>182</v>
      </c>
      <c r="B36" s="1">
        <v>9.01</v>
      </c>
      <c r="C36" s="1">
        <v>1.8648771183825128</v>
      </c>
      <c r="E36" s="6" t="s">
        <v>182</v>
      </c>
      <c r="F36" s="1">
        <v>2.7522222222222221</v>
      </c>
      <c r="G36" s="1">
        <v>0.96267887547403508</v>
      </c>
      <c r="I36" s="6" t="s">
        <v>182</v>
      </c>
      <c r="J36" s="1">
        <v>24.128114687944951</v>
      </c>
      <c r="K36" s="1">
        <v>9.463560203017483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8"/>
  <sheetViews>
    <sheetView workbookViewId="0">
      <selection activeCell="G13" sqref="G13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86.294719451911973</v>
      </c>
      <c r="C5" s="1">
        <v>71.54502651152076</v>
      </c>
      <c r="E5" s="6" t="s">
        <v>105</v>
      </c>
      <c r="F5" s="1">
        <v>3.3924023799628422</v>
      </c>
      <c r="G5" s="1">
        <v>3.9147184875136753</v>
      </c>
      <c r="I5" s="6" t="s">
        <v>105</v>
      </c>
      <c r="J5" s="1">
        <v>2.0491666666666664</v>
      </c>
      <c r="K5" s="1">
        <v>10.416894497508469</v>
      </c>
    </row>
    <row r="6" spans="1:11" x14ac:dyDescent="0.25">
      <c r="A6" s="6" t="s">
        <v>224</v>
      </c>
      <c r="B6" s="1">
        <v>14.553704664246101</v>
      </c>
      <c r="C6" s="1">
        <v>4.4885488568806622</v>
      </c>
      <c r="E6" s="6" t="s">
        <v>224</v>
      </c>
      <c r="F6" s="1">
        <v>1.4506304265760666</v>
      </c>
      <c r="G6" s="1">
        <v>0.10936957342393452</v>
      </c>
      <c r="I6" s="6" t="s">
        <v>224</v>
      </c>
      <c r="J6" s="1">
        <v>5.1950000000000003</v>
      </c>
      <c r="K6" s="1">
        <v>1.4649999999999992</v>
      </c>
    </row>
    <row r="7" spans="1:11" x14ac:dyDescent="0.25">
      <c r="A7" s="6" t="s">
        <v>122</v>
      </c>
      <c r="B7" s="1">
        <v>26.628124715216156</v>
      </c>
      <c r="C7" s="1">
        <v>19.367491417088477</v>
      </c>
      <c r="E7" s="6" t="s">
        <v>122</v>
      </c>
      <c r="F7" s="1">
        <v>4.0481922107442241</v>
      </c>
      <c r="G7" s="1">
        <v>2.4772933059980922</v>
      </c>
      <c r="I7" s="6" t="s">
        <v>122</v>
      </c>
      <c r="J7" s="1">
        <v>19.86785714285714</v>
      </c>
      <c r="K7" s="1">
        <v>18.006273580763629</v>
      </c>
    </row>
    <row r="8" spans="1:11" x14ac:dyDescent="0.25">
      <c r="A8" s="6" t="s">
        <v>192</v>
      </c>
      <c r="B8" s="1">
        <v>15.322969406015883</v>
      </c>
      <c r="C8" s="1">
        <v>6.2740469166323409</v>
      </c>
      <c r="E8" s="6" t="s">
        <v>192</v>
      </c>
      <c r="F8" s="1">
        <v>3.0303200885249808</v>
      </c>
      <c r="G8" s="1">
        <v>1.5674196591892047</v>
      </c>
      <c r="I8" s="6" t="s">
        <v>192</v>
      </c>
      <c r="J8" s="1">
        <v>7.044545454545454</v>
      </c>
      <c r="K8" s="1">
        <v>7.1862866421037896</v>
      </c>
    </row>
    <row r="9" spans="1:11" x14ac:dyDescent="0.25">
      <c r="A9" s="6" t="s">
        <v>135</v>
      </c>
      <c r="B9" s="1">
        <v>20.12773206585171</v>
      </c>
      <c r="C9" s="1">
        <v>17.430349238940845</v>
      </c>
      <c r="E9" s="6" t="s">
        <v>135</v>
      </c>
      <c r="F9" s="1">
        <v>4.8724214049880841</v>
      </c>
      <c r="G9" s="1">
        <v>2.5000356174541931</v>
      </c>
      <c r="I9" s="6" t="s">
        <v>135</v>
      </c>
      <c r="J9" s="1">
        <v>12.855714285714287</v>
      </c>
      <c r="K9" s="1">
        <v>9.5145915866748823</v>
      </c>
    </row>
    <row r="10" spans="1:11" x14ac:dyDescent="0.25">
      <c r="A10" s="6" t="s">
        <v>142</v>
      </c>
      <c r="B10" s="1">
        <v>6.5200630718352386</v>
      </c>
      <c r="C10" s="1">
        <v>12.14297274837198</v>
      </c>
      <c r="E10" s="6" t="s">
        <v>142</v>
      </c>
      <c r="F10" s="1">
        <v>4.2941215167554354</v>
      </c>
      <c r="G10" s="1">
        <v>4.1058008082729698</v>
      </c>
      <c r="I10" s="6" t="s">
        <v>142</v>
      </c>
      <c r="J10" s="1">
        <v>5.5569999999999986</v>
      </c>
      <c r="K10" s="1">
        <v>30.010214944248563</v>
      </c>
    </row>
    <row r="11" spans="1:11" x14ac:dyDescent="0.25">
      <c r="A11" s="6" t="s">
        <v>236</v>
      </c>
      <c r="B11" s="1">
        <v>27.028402258468393</v>
      </c>
      <c r="C11" s="1">
        <v>19.845743292961352</v>
      </c>
      <c r="E11" s="6" t="s">
        <v>236</v>
      </c>
      <c r="F11" s="1">
        <v>1.4627790358450738</v>
      </c>
      <c r="G11" s="1">
        <v>0.37965364268094615</v>
      </c>
      <c r="I11" s="6" t="s">
        <v>236</v>
      </c>
      <c r="J11" s="1">
        <v>-38.533749999999998</v>
      </c>
      <c r="K11" s="1">
        <v>103.80265313775703</v>
      </c>
    </row>
    <row r="12" spans="1:11" x14ac:dyDescent="0.25">
      <c r="A12" s="6" t="s">
        <v>154</v>
      </c>
      <c r="B12" s="1">
        <v>10.098901098901099</v>
      </c>
      <c r="C12" s="1">
        <v>0</v>
      </c>
      <c r="E12" s="6" t="s">
        <v>154</v>
      </c>
      <c r="F12" s="1">
        <v>1.3554572271386429</v>
      </c>
      <c r="G12" s="1">
        <v>0</v>
      </c>
      <c r="I12" s="6" t="s">
        <v>154</v>
      </c>
      <c r="J12" s="1">
        <v>-11.12</v>
      </c>
      <c r="K12" s="1">
        <v>0</v>
      </c>
    </row>
    <row r="13" spans="1:11" x14ac:dyDescent="0.25">
      <c r="A13" s="6" t="s">
        <v>157</v>
      </c>
      <c r="B13" s="1">
        <v>22.904255710552313</v>
      </c>
      <c r="C13" s="1">
        <v>10.317252301882679</v>
      </c>
      <c r="E13" s="6" t="s">
        <v>157</v>
      </c>
      <c r="F13" s="1">
        <v>2.9025662960243728</v>
      </c>
      <c r="G13" s="1">
        <v>1.5093568657727614</v>
      </c>
      <c r="I13" s="6" t="s">
        <v>157</v>
      </c>
      <c r="J13" s="1">
        <v>15.820857142857143</v>
      </c>
      <c r="K13" s="1">
        <v>22.9528077798685</v>
      </c>
    </row>
    <row r="14" spans="1:11" x14ac:dyDescent="0.25">
      <c r="A14" s="6" t="s">
        <v>250</v>
      </c>
      <c r="B14" s="1">
        <v>9.1660696914882074</v>
      </c>
      <c r="C14" s="1">
        <v>7.0166964309084685</v>
      </c>
      <c r="E14" s="6" t="s">
        <v>250</v>
      </c>
      <c r="F14" s="1">
        <v>1.3143943679672145</v>
      </c>
      <c r="G14" s="1">
        <v>0.57774191779766237</v>
      </c>
      <c r="I14" s="6" t="s">
        <v>250</v>
      </c>
      <c r="J14" s="1">
        <v>23.50333333333333</v>
      </c>
      <c r="K14" s="1">
        <v>15.081753508424971</v>
      </c>
    </row>
    <row r="15" spans="1:11" x14ac:dyDescent="0.25">
      <c r="A15" s="6" t="s">
        <v>230</v>
      </c>
      <c r="B15" s="1">
        <v>-8.928412972861743</v>
      </c>
      <c r="C15" s="1">
        <v>15.050919624528577</v>
      </c>
      <c r="E15" s="6" t="s">
        <v>230</v>
      </c>
      <c r="F15" s="1">
        <v>1.7275177616161803</v>
      </c>
      <c r="G15" s="1">
        <v>0.12882343079305839</v>
      </c>
      <c r="I15" s="6" t="s">
        <v>230</v>
      </c>
      <c r="J15" s="1">
        <v>31.541999999999994</v>
      </c>
      <c r="K15" s="1">
        <v>56.51331113994295</v>
      </c>
    </row>
    <row r="16" spans="1:11" x14ac:dyDescent="0.25">
      <c r="A16" s="6" t="s">
        <v>205</v>
      </c>
      <c r="B16" s="1">
        <v>18.380884475399572</v>
      </c>
      <c r="C16" s="1">
        <v>6.9549721027240183</v>
      </c>
      <c r="E16" s="6" t="s">
        <v>205</v>
      </c>
      <c r="F16" s="1">
        <v>3.5360986022574705</v>
      </c>
      <c r="G16" s="1">
        <v>2.4747227299846908</v>
      </c>
      <c r="I16" s="6" t="s">
        <v>205</v>
      </c>
      <c r="J16" s="1">
        <v>30.277600000000003</v>
      </c>
      <c r="K16" s="1">
        <v>74.767256538139776</v>
      </c>
    </row>
    <row r="17" spans="1:11" x14ac:dyDescent="0.25">
      <c r="A17" s="6" t="s">
        <v>182</v>
      </c>
      <c r="B17" s="1">
        <v>17.310409438388326</v>
      </c>
      <c r="C17" s="1">
        <v>14.472336106982219</v>
      </c>
      <c r="E17" s="6" t="s">
        <v>182</v>
      </c>
      <c r="F17" s="1">
        <v>2.4397302858278547</v>
      </c>
      <c r="G17" s="1">
        <v>0.85591652333506119</v>
      </c>
      <c r="I17" s="6" t="s">
        <v>182</v>
      </c>
      <c r="J17" s="1">
        <v>19.06625</v>
      </c>
      <c r="K17" s="1">
        <v>5.5573620934306627</v>
      </c>
    </row>
    <row r="18" spans="1:11" x14ac:dyDescent="0.25">
      <c r="A18" s="6" t="s">
        <v>251</v>
      </c>
      <c r="B18" s="1">
        <v>177.39700776872272</v>
      </c>
      <c r="C18" s="1">
        <v>104.37670529549443</v>
      </c>
      <c r="E18" s="6" t="s">
        <v>251</v>
      </c>
      <c r="F18" s="1">
        <v>57.494879348672747</v>
      </c>
      <c r="G18" s="1">
        <v>39.503489661528512</v>
      </c>
      <c r="I18" s="6" t="s">
        <v>251</v>
      </c>
      <c r="J18" s="1">
        <v>37.672499999999999</v>
      </c>
      <c r="K18" s="1">
        <v>12.998279453450742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3.2874999999999996</v>
      </c>
      <c r="C25" s="1">
        <v>2.0841430093286148</v>
      </c>
      <c r="E25" s="6" t="s">
        <v>105</v>
      </c>
      <c r="F25" s="1">
        <v>1.8130000000000002</v>
      </c>
      <c r="G25" s="1">
        <v>0.44866579990010347</v>
      </c>
      <c r="I25" s="6" t="s">
        <v>105</v>
      </c>
      <c r="J25" s="1">
        <v>22.630178538986243</v>
      </c>
      <c r="K25" s="1">
        <v>35.857661713794073</v>
      </c>
    </row>
    <row r="26" spans="1:11" x14ac:dyDescent="0.25">
      <c r="A26" s="6" t="s">
        <v>224</v>
      </c>
      <c r="B26" s="1">
        <v>2.6100000000000003</v>
      </c>
      <c r="C26" s="1">
        <v>0.37999999999999778</v>
      </c>
      <c r="E26" s="6" t="s">
        <v>224</v>
      </c>
      <c r="F26" s="1">
        <v>2.7850000000000001</v>
      </c>
      <c r="G26" s="1">
        <v>1.0449999999999997</v>
      </c>
      <c r="I26" s="6" t="s">
        <v>224</v>
      </c>
      <c r="J26" s="1">
        <v>32.823240017774395</v>
      </c>
      <c r="K26" s="1">
        <v>12.74979369009078</v>
      </c>
    </row>
    <row r="27" spans="1:11" x14ac:dyDescent="0.25">
      <c r="A27" s="6" t="s">
        <v>122</v>
      </c>
      <c r="B27" s="1">
        <v>8.375</v>
      </c>
      <c r="C27" s="1">
        <v>3.4848872701587137</v>
      </c>
      <c r="E27" s="6" t="s">
        <v>122</v>
      </c>
      <c r="F27" s="1">
        <v>1.9085714285714281</v>
      </c>
      <c r="G27" s="1">
        <v>0.51568064789387413</v>
      </c>
      <c r="I27" s="6" t="s">
        <v>122</v>
      </c>
      <c r="J27" s="1">
        <v>26.994274566209729</v>
      </c>
      <c r="K27" s="1">
        <v>12.574059218143141</v>
      </c>
    </row>
    <row r="28" spans="1:11" x14ac:dyDescent="0.25">
      <c r="A28" s="6" t="s">
        <v>192</v>
      </c>
      <c r="B28" s="1">
        <v>5.2215384615384615</v>
      </c>
      <c r="C28" s="1">
        <v>2.7020045156081558</v>
      </c>
      <c r="E28" s="6" t="s">
        <v>192</v>
      </c>
      <c r="F28" s="1">
        <v>2.2833333333333332</v>
      </c>
      <c r="G28" s="1">
        <v>0.64415750316897591</v>
      </c>
      <c r="I28" s="6" t="s">
        <v>192</v>
      </c>
      <c r="J28" s="1">
        <v>38.798341164228354</v>
      </c>
      <c r="K28" s="1">
        <v>39.569063733240625</v>
      </c>
    </row>
    <row r="29" spans="1:11" x14ac:dyDescent="0.25">
      <c r="A29" s="6" t="s">
        <v>135</v>
      </c>
      <c r="B29" s="1">
        <v>4.9021428571428567</v>
      </c>
      <c r="C29" s="1">
        <v>3.1083922775319732</v>
      </c>
      <c r="E29" s="6" t="s">
        <v>135</v>
      </c>
      <c r="F29" s="1">
        <v>2.5550000000000002</v>
      </c>
      <c r="G29" s="1">
        <v>0.46219584593546359</v>
      </c>
      <c r="I29" s="6" t="s">
        <v>135</v>
      </c>
      <c r="J29" s="1">
        <v>36.148159688857611</v>
      </c>
      <c r="K29" s="1">
        <v>19.296770521757225</v>
      </c>
    </row>
    <row r="30" spans="1:11" x14ac:dyDescent="0.25">
      <c r="A30" s="6" t="s">
        <v>142</v>
      </c>
      <c r="B30" s="1">
        <v>4.1790000000000003</v>
      </c>
      <c r="C30" s="1">
        <v>8.7813102097579936</v>
      </c>
      <c r="E30" s="6" t="s">
        <v>142</v>
      </c>
      <c r="F30" s="1">
        <v>2.3620000000000005</v>
      </c>
      <c r="G30" s="1">
        <v>0.96705532416713291</v>
      </c>
      <c r="I30" s="6" t="s">
        <v>142</v>
      </c>
      <c r="J30" s="1">
        <v>-0.26914072879770323</v>
      </c>
      <c r="K30" s="1">
        <v>23.250536143161785</v>
      </c>
    </row>
    <row r="31" spans="1:11" x14ac:dyDescent="0.25">
      <c r="A31" s="6" t="s">
        <v>236</v>
      </c>
      <c r="B31" s="1">
        <v>2.5487500000000001</v>
      </c>
      <c r="C31" s="1">
        <v>3.1086911936536898</v>
      </c>
      <c r="E31" s="6" t="s">
        <v>236</v>
      </c>
      <c r="F31" s="1">
        <v>1.8583333333333334</v>
      </c>
      <c r="G31" s="1">
        <v>0.20292992769809878</v>
      </c>
      <c r="I31" s="6" t="s">
        <v>236</v>
      </c>
      <c r="J31" s="1">
        <v>18.018633958464811</v>
      </c>
      <c r="K31" s="1">
        <v>15.496778100432275</v>
      </c>
    </row>
    <row r="32" spans="1:11" x14ac:dyDescent="0.25">
      <c r="A32" s="6" t="s">
        <v>154</v>
      </c>
      <c r="B32" s="1">
        <v>-0.44</v>
      </c>
      <c r="C32" s="1">
        <v>0</v>
      </c>
      <c r="E32" s="6" t="s">
        <v>154</v>
      </c>
      <c r="F32" s="1">
        <v>5.0999999999999996</v>
      </c>
      <c r="G32" s="1">
        <v>0</v>
      </c>
      <c r="I32" s="6" t="s">
        <v>154</v>
      </c>
      <c r="J32" s="1">
        <v>-8.6698113207547163</v>
      </c>
      <c r="K32" s="1">
        <v>0</v>
      </c>
    </row>
    <row r="33" spans="1:11" x14ac:dyDescent="0.25">
      <c r="A33" s="6" t="s">
        <v>157</v>
      </c>
      <c r="B33" s="1">
        <v>7.0794117647058812</v>
      </c>
      <c r="C33" s="1">
        <v>2.8096231076285711</v>
      </c>
      <c r="E33" s="6" t="s">
        <v>157</v>
      </c>
      <c r="F33" s="1">
        <v>2.0090909090909093</v>
      </c>
      <c r="G33" s="1">
        <v>0.51906888452983935</v>
      </c>
      <c r="I33" s="6" t="s">
        <v>157</v>
      </c>
      <c r="J33" s="1">
        <v>24.057406569894923</v>
      </c>
      <c r="K33" s="1">
        <v>12.859761973106988</v>
      </c>
    </row>
    <row r="34" spans="1:11" x14ac:dyDescent="0.25">
      <c r="A34" s="6" t="s">
        <v>250</v>
      </c>
      <c r="B34" s="1">
        <v>7.87</v>
      </c>
      <c r="C34" s="1">
        <v>3.01327064831555</v>
      </c>
      <c r="E34" s="6" t="s">
        <v>250</v>
      </c>
      <c r="F34" s="1">
        <v>2.11</v>
      </c>
      <c r="G34" s="1">
        <v>0.4952440475832765</v>
      </c>
      <c r="I34" s="6" t="s">
        <v>250</v>
      </c>
      <c r="J34" s="1">
        <v>10.743296855912149</v>
      </c>
      <c r="K34" s="1">
        <v>7.9566229809851921</v>
      </c>
    </row>
    <row r="35" spans="1:11" x14ac:dyDescent="0.25">
      <c r="A35" s="6" t="s">
        <v>230</v>
      </c>
      <c r="B35" s="1">
        <v>-3.278</v>
      </c>
      <c r="C35" s="1">
        <v>14.238687299045512</v>
      </c>
      <c r="E35" s="6" t="s">
        <v>230</v>
      </c>
      <c r="F35" s="1">
        <v>3.4560000000000004</v>
      </c>
      <c r="G35" s="1">
        <v>1.7423386582406997</v>
      </c>
      <c r="I35" s="6" t="s">
        <v>230</v>
      </c>
      <c r="J35" s="1">
        <v>6.8250798601142053</v>
      </c>
      <c r="K35" s="1">
        <v>11.961364961538202</v>
      </c>
    </row>
    <row r="36" spans="1:11" x14ac:dyDescent="0.25">
      <c r="A36" s="6" t="s">
        <v>205</v>
      </c>
      <c r="B36" s="1">
        <v>5.3827272727272719</v>
      </c>
      <c r="C36" s="1">
        <v>2.9133800766591351</v>
      </c>
      <c r="E36" s="6" t="s">
        <v>205</v>
      </c>
      <c r="F36" s="1">
        <v>2.31</v>
      </c>
      <c r="G36" s="1">
        <v>0.65317406840471326</v>
      </c>
      <c r="I36" s="6" t="s">
        <v>205</v>
      </c>
      <c r="J36" s="1">
        <v>22.630601637910026</v>
      </c>
      <c r="K36" s="1">
        <v>14.171990841942684</v>
      </c>
    </row>
    <row r="37" spans="1:11" x14ac:dyDescent="0.25">
      <c r="A37" s="6" t="s">
        <v>182</v>
      </c>
      <c r="B37" s="1">
        <v>6.1908333333333339</v>
      </c>
      <c r="C37" s="1">
        <v>2.1585969916179852</v>
      </c>
      <c r="E37" s="6" t="s">
        <v>182</v>
      </c>
      <c r="F37" s="1">
        <v>3.1733333333333325</v>
      </c>
      <c r="G37" s="1">
        <v>1.3745868066036764</v>
      </c>
      <c r="I37" s="6" t="s">
        <v>182</v>
      </c>
      <c r="J37" s="1">
        <v>15.445517504292319</v>
      </c>
      <c r="K37" s="1">
        <v>4.4141657839571309</v>
      </c>
    </row>
    <row r="38" spans="1:11" x14ac:dyDescent="0.25">
      <c r="A38" s="6" t="s">
        <v>251</v>
      </c>
      <c r="B38" s="1">
        <v>12.907500000000001</v>
      </c>
      <c r="C38" s="1">
        <v>4.6693220867701957</v>
      </c>
      <c r="E38" s="6" t="s">
        <v>251</v>
      </c>
      <c r="F38" s="1">
        <v>2.9275000000000002</v>
      </c>
      <c r="G38" s="1">
        <v>0.86311572225281374</v>
      </c>
      <c r="I38" s="6" t="s">
        <v>251</v>
      </c>
      <c r="J38" s="1">
        <v>183.79541343669248</v>
      </c>
      <c r="K38" s="1">
        <v>42.8722147625381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8"/>
  <sheetViews>
    <sheetView workbookViewId="0">
      <selection activeCell="F12" sqref="F12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0.37696113350090127</v>
      </c>
      <c r="C5" s="1">
        <v>39.51686585128531</v>
      </c>
      <c r="E5" s="6" t="s">
        <v>105</v>
      </c>
      <c r="F5" s="1">
        <v>2.4827448287816014</v>
      </c>
      <c r="G5" s="1">
        <v>2.4665007922167077</v>
      </c>
      <c r="I5" s="6" t="s">
        <v>105</v>
      </c>
      <c r="J5" s="1">
        <v>4.57</v>
      </c>
      <c r="K5" s="1">
        <v>4.6543814483416233</v>
      </c>
    </row>
    <row r="6" spans="1:11" x14ac:dyDescent="0.25">
      <c r="A6" s="6" t="s">
        <v>224</v>
      </c>
      <c r="B6" s="1">
        <v>75.373545258620695</v>
      </c>
      <c r="C6" s="1">
        <v>101.28400474950369</v>
      </c>
      <c r="E6" s="6" t="s">
        <v>224</v>
      </c>
      <c r="F6" s="1">
        <v>1.602653305327032</v>
      </c>
      <c r="G6" s="1">
        <v>0.58703817877024589</v>
      </c>
      <c r="I6" s="6" t="s">
        <v>224</v>
      </c>
      <c r="J6" s="1">
        <v>4.3833333333333337</v>
      </c>
      <c r="K6" s="1">
        <v>3.8279875768984528</v>
      </c>
    </row>
    <row r="7" spans="1:11" x14ac:dyDescent="0.25">
      <c r="A7" s="6" t="s">
        <v>122</v>
      </c>
      <c r="B7" s="1">
        <v>11.120337697357034</v>
      </c>
      <c r="C7" s="1">
        <v>5.2437517540008534</v>
      </c>
      <c r="E7" s="6" t="s">
        <v>122</v>
      </c>
      <c r="F7" s="1">
        <v>1.4854962548833546</v>
      </c>
      <c r="G7" s="1">
        <v>0.65309685218749713</v>
      </c>
      <c r="I7" s="6" t="s">
        <v>122</v>
      </c>
      <c r="J7" s="1">
        <v>14.685999999999998</v>
      </c>
      <c r="K7" s="1">
        <v>6.2737025750349416</v>
      </c>
    </row>
    <row r="8" spans="1:11" x14ac:dyDescent="0.25">
      <c r="A8" s="6" t="s">
        <v>192</v>
      </c>
      <c r="B8" s="1">
        <v>11.51231856858408</v>
      </c>
      <c r="C8" s="1">
        <v>14.408387583385307</v>
      </c>
      <c r="E8" s="6" t="s">
        <v>192</v>
      </c>
      <c r="F8" s="1">
        <v>1.4496704762168007</v>
      </c>
      <c r="G8" s="1">
        <v>0.51246264747976211</v>
      </c>
      <c r="I8" s="6" t="s">
        <v>192</v>
      </c>
      <c r="J8" s="1">
        <v>5.4530000000000003</v>
      </c>
      <c r="K8" s="1">
        <v>12.52187969116458</v>
      </c>
    </row>
    <row r="9" spans="1:11" x14ac:dyDescent="0.25">
      <c r="A9" s="6" t="s">
        <v>135</v>
      </c>
      <c r="B9" s="1">
        <v>9.0806532447103194</v>
      </c>
      <c r="C9" s="1">
        <v>11.800082014283808</v>
      </c>
      <c r="E9" s="6" t="s">
        <v>135</v>
      </c>
      <c r="F9" s="1">
        <v>1.8020568538879376</v>
      </c>
      <c r="G9" s="1">
        <v>0.72574499686760141</v>
      </c>
      <c r="I9" s="6" t="s">
        <v>135</v>
      </c>
      <c r="J9" s="1">
        <v>2.8730000000000016</v>
      </c>
      <c r="K9" s="1">
        <v>11.829566391039021</v>
      </c>
    </row>
    <row r="10" spans="1:11" x14ac:dyDescent="0.25">
      <c r="A10" s="6" t="s">
        <v>142</v>
      </c>
      <c r="B10" s="1">
        <v>1.8322776214149874</v>
      </c>
      <c r="C10" s="1">
        <v>9.794262018892832</v>
      </c>
      <c r="E10" s="6" t="s">
        <v>142</v>
      </c>
      <c r="F10" s="1">
        <v>1.6099086200691499</v>
      </c>
      <c r="G10" s="1">
        <v>2.748240017873079</v>
      </c>
      <c r="I10" s="6" t="s">
        <v>142</v>
      </c>
      <c r="J10" s="1">
        <v>-42.440714285714293</v>
      </c>
      <c r="K10" s="1">
        <v>67.938130726659324</v>
      </c>
    </row>
    <row r="11" spans="1:11" x14ac:dyDescent="0.25">
      <c r="A11" s="6" t="s">
        <v>236</v>
      </c>
      <c r="B11" s="1">
        <v>-4.5217374265713515</v>
      </c>
      <c r="C11" s="1">
        <v>6.2923178652449794</v>
      </c>
      <c r="E11" s="6" t="s">
        <v>236</v>
      </c>
      <c r="F11" s="1">
        <v>1.0537671992938564</v>
      </c>
      <c r="G11" s="1">
        <v>0.33307170262526653</v>
      </c>
      <c r="I11" s="6" t="s">
        <v>236</v>
      </c>
      <c r="J11" s="1">
        <v>-0.27333333333333282</v>
      </c>
      <c r="K11" s="1">
        <v>17.906782389797325</v>
      </c>
    </row>
    <row r="12" spans="1:11" x14ac:dyDescent="0.25">
      <c r="A12" s="6" t="s">
        <v>154</v>
      </c>
      <c r="B12" s="1">
        <v>9.6641094619666053</v>
      </c>
      <c r="C12" s="1">
        <v>15.025890538033396</v>
      </c>
      <c r="E12" s="6" t="s">
        <v>154</v>
      </c>
      <c r="F12" s="1">
        <v>4.141711105566527</v>
      </c>
      <c r="G12" s="1">
        <v>1.4374394735840539</v>
      </c>
      <c r="I12" s="6" t="s">
        <v>154</v>
      </c>
      <c r="J12" s="1">
        <v>-7.26</v>
      </c>
      <c r="K12" s="1">
        <v>36.28</v>
      </c>
    </row>
    <row r="13" spans="1:11" x14ac:dyDescent="0.25">
      <c r="A13" s="6" t="s">
        <v>157</v>
      </c>
      <c r="B13" s="1">
        <v>10.222654767749507</v>
      </c>
      <c r="C13" s="1">
        <v>11.36802642709606</v>
      </c>
      <c r="E13" s="6" t="s">
        <v>157</v>
      </c>
      <c r="F13" s="1">
        <v>1.6766466987471709</v>
      </c>
      <c r="G13" s="1">
        <v>0.95024415090454994</v>
      </c>
      <c r="I13" s="6" t="s">
        <v>157</v>
      </c>
      <c r="J13" s="1">
        <v>6.7569230769230764</v>
      </c>
      <c r="K13" s="1">
        <v>13.280893670472274</v>
      </c>
    </row>
    <row r="14" spans="1:11" x14ac:dyDescent="0.25">
      <c r="A14" s="6" t="s">
        <v>250</v>
      </c>
      <c r="B14" s="1">
        <v>-3.8530013635559235</v>
      </c>
      <c r="C14" s="1">
        <v>6.764109178844631</v>
      </c>
      <c r="E14" s="6" t="s">
        <v>250</v>
      </c>
      <c r="F14" s="1">
        <v>0.51399601099313885</v>
      </c>
      <c r="G14" s="1">
        <v>0.10056457730558353</v>
      </c>
      <c r="I14" s="6" t="s">
        <v>250</v>
      </c>
      <c r="J14" s="1">
        <v>15.3325</v>
      </c>
      <c r="K14" s="1">
        <v>1.7878391286690292</v>
      </c>
    </row>
    <row r="15" spans="1:11" x14ac:dyDescent="0.25">
      <c r="A15" s="6" t="s">
        <v>230</v>
      </c>
      <c r="B15" s="1">
        <v>-0.79617866305316076</v>
      </c>
      <c r="C15" s="1">
        <v>6.3300587681053644</v>
      </c>
      <c r="E15" s="6" t="s">
        <v>230</v>
      </c>
      <c r="F15" s="1">
        <v>0.98379457193405773</v>
      </c>
      <c r="G15" s="1">
        <v>0.60753482192085195</v>
      </c>
      <c r="I15" s="6" t="s">
        <v>230</v>
      </c>
      <c r="J15" s="1">
        <v>0.97599999999999976</v>
      </c>
      <c r="K15" s="1">
        <v>13.498003704251973</v>
      </c>
    </row>
    <row r="16" spans="1:11" x14ac:dyDescent="0.25">
      <c r="A16" s="6" t="s">
        <v>205</v>
      </c>
      <c r="B16" s="1">
        <v>9.58078045722994</v>
      </c>
      <c r="C16" s="1">
        <v>10.876534879170027</v>
      </c>
      <c r="E16" s="6" t="s">
        <v>205</v>
      </c>
      <c r="F16" s="1">
        <v>2.5585601596261296</v>
      </c>
      <c r="G16" s="1">
        <v>1.8922676875265527</v>
      </c>
      <c r="I16" s="6" t="s">
        <v>205</v>
      </c>
      <c r="J16" s="1">
        <v>12.10157894736842</v>
      </c>
      <c r="K16" s="1">
        <v>16.069570872715957</v>
      </c>
    </row>
    <row r="17" spans="1:11" x14ac:dyDescent="0.25">
      <c r="A17" s="6" t="s">
        <v>182</v>
      </c>
      <c r="B17" s="1">
        <v>6.4529831968031131</v>
      </c>
      <c r="C17" s="1">
        <v>12.78513031330672</v>
      </c>
      <c r="E17" s="6" t="s">
        <v>182</v>
      </c>
      <c r="F17" s="1">
        <v>2.2005203764684467</v>
      </c>
      <c r="G17" s="1">
        <v>1.1798543118571323</v>
      </c>
      <c r="I17" s="6" t="s">
        <v>182</v>
      </c>
      <c r="J17" s="1">
        <v>7.9713333333333338</v>
      </c>
      <c r="K17" s="1">
        <v>10.941668286366976</v>
      </c>
    </row>
    <row r="18" spans="1:11" x14ac:dyDescent="0.25">
      <c r="A18" s="6" t="s">
        <v>251</v>
      </c>
      <c r="B18" s="1">
        <v>-3.5748502994011977</v>
      </c>
      <c r="C18" s="1">
        <v>0</v>
      </c>
      <c r="E18" s="6" t="s">
        <v>251</v>
      </c>
      <c r="F18" s="1">
        <v>7.1071428571428568</v>
      </c>
      <c r="G18" s="1">
        <v>0</v>
      </c>
      <c r="I18" s="6" t="s">
        <v>251</v>
      </c>
      <c r="J18" s="1">
        <v>-54.15</v>
      </c>
      <c r="K18" s="1">
        <v>0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-0.4816666666666663</v>
      </c>
      <c r="C25" s="1">
        <v>7.7810548056731275</v>
      </c>
      <c r="E25" s="6" t="s">
        <v>105</v>
      </c>
      <c r="F25" s="1">
        <v>1.6722222222222221</v>
      </c>
      <c r="G25" s="1">
        <v>0.44070090078262586</v>
      </c>
      <c r="I25" s="6" t="s">
        <v>105</v>
      </c>
      <c r="J25" s="1">
        <v>9.4005828277276109</v>
      </c>
      <c r="K25" s="1">
        <v>25.719156909446287</v>
      </c>
    </row>
    <row r="26" spans="1:11" x14ac:dyDescent="0.25">
      <c r="A26" s="6" t="s">
        <v>224</v>
      </c>
      <c r="B26" s="1">
        <v>2.0066666666666668</v>
      </c>
      <c r="C26" s="1">
        <v>0.67489916942376482</v>
      </c>
      <c r="E26" s="6" t="s">
        <v>224</v>
      </c>
      <c r="F26" s="1">
        <v>1.343333333333333</v>
      </c>
      <c r="G26" s="1">
        <v>1.2772192015816586</v>
      </c>
      <c r="I26" s="6" t="s">
        <v>224</v>
      </c>
      <c r="J26" s="1">
        <v>-175.43462950475759</v>
      </c>
      <c r="K26" s="1">
        <v>273.75937699275221</v>
      </c>
    </row>
    <row r="27" spans="1:11" x14ac:dyDescent="0.25">
      <c r="A27" s="6" t="s">
        <v>122</v>
      </c>
      <c r="B27" s="1">
        <v>6.1916666666666664</v>
      </c>
      <c r="C27" s="1">
        <v>3.4201628453757702</v>
      </c>
      <c r="E27" s="6" t="s">
        <v>122</v>
      </c>
      <c r="F27" s="1">
        <v>1.752</v>
      </c>
      <c r="G27" s="1">
        <v>0.42470695779560819</v>
      </c>
      <c r="I27" s="6" t="s">
        <v>122</v>
      </c>
      <c r="J27" s="1">
        <v>9.5763743286584546</v>
      </c>
      <c r="K27" s="1">
        <v>1.3260130876255138</v>
      </c>
    </row>
    <row r="28" spans="1:11" x14ac:dyDescent="0.25">
      <c r="A28" s="6" t="s">
        <v>192</v>
      </c>
      <c r="B28" s="1">
        <v>4.4184210526315786</v>
      </c>
      <c r="C28" s="1">
        <v>1.758543844859614</v>
      </c>
      <c r="E28" s="6" t="s">
        <v>192</v>
      </c>
      <c r="F28" s="1">
        <v>2.7952631578947367</v>
      </c>
      <c r="G28" s="1">
        <v>1.2697424870340839</v>
      </c>
      <c r="I28" s="6" t="s">
        <v>192</v>
      </c>
      <c r="J28" s="1">
        <v>10.309055894940295</v>
      </c>
      <c r="K28" s="1">
        <v>15.543306843650797</v>
      </c>
    </row>
    <row r="29" spans="1:11" x14ac:dyDescent="0.25">
      <c r="A29" s="6" t="s">
        <v>135</v>
      </c>
      <c r="B29" s="1">
        <v>2.2818181818181817</v>
      </c>
      <c r="C29" s="1">
        <v>3.4160977689378482</v>
      </c>
      <c r="E29" s="6" t="s">
        <v>135</v>
      </c>
      <c r="F29" s="1">
        <v>2.89</v>
      </c>
      <c r="G29" s="1">
        <v>0.76791334738426675</v>
      </c>
      <c r="I29" s="6" t="s">
        <v>135</v>
      </c>
      <c r="J29" s="1">
        <v>7.6742348656152553</v>
      </c>
      <c r="K29" s="1">
        <v>28.835165685710429</v>
      </c>
    </row>
    <row r="30" spans="1:11" x14ac:dyDescent="0.25">
      <c r="A30" s="6" t="s">
        <v>142</v>
      </c>
      <c r="B30" s="1">
        <v>-8.3053333333333335</v>
      </c>
      <c r="C30" s="1">
        <v>16.377033458135475</v>
      </c>
      <c r="E30" s="6" t="s">
        <v>142</v>
      </c>
      <c r="F30" s="1">
        <v>1.5028571428571429</v>
      </c>
      <c r="G30" s="1">
        <v>0.94162040100660349</v>
      </c>
      <c r="I30" s="6" t="s">
        <v>142</v>
      </c>
      <c r="J30" s="1">
        <v>7.7402060285190961</v>
      </c>
      <c r="K30" s="1">
        <v>15.284369792016943</v>
      </c>
    </row>
    <row r="31" spans="1:11" x14ac:dyDescent="0.25">
      <c r="A31" s="6" t="s">
        <v>236</v>
      </c>
      <c r="B31" s="1">
        <v>0.16333333333333341</v>
      </c>
      <c r="C31" s="1">
        <v>2.3995254160400599</v>
      </c>
      <c r="E31" s="6" t="s">
        <v>236</v>
      </c>
      <c r="F31" s="1">
        <v>1.9450000000000003</v>
      </c>
      <c r="G31" s="1">
        <v>0.48389909416461163</v>
      </c>
      <c r="I31" s="6" t="s">
        <v>236</v>
      </c>
      <c r="J31" s="1">
        <v>-0.87769125236035894</v>
      </c>
      <c r="K31" s="1">
        <v>18.945566524749893</v>
      </c>
    </row>
    <row r="32" spans="1:11" x14ac:dyDescent="0.25">
      <c r="A32" s="6" t="s">
        <v>154</v>
      </c>
      <c r="B32" s="1">
        <v>2.0649999999999999</v>
      </c>
      <c r="C32" s="1">
        <v>1.0750000000000002</v>
      </c>
      <c r="E32" s="6" t="s">
        <v>154</v>
      </c>
      <c r="F32" s="1">
        <v>47.545000000000002</v>
      </c>
      <c r="G32" s="1">
        <v>7.0149999999999864</v>
      </c>
      <c r="I32" s="6" t="s">
        <v>154</v>
      </c>
      <c r="J32" s="1">
        <v>4.1879414863011268</v>
      </c>
      <c r="K32" s="1">
        <v>4.7254159144208954</v>
      </c>
    </row>
    <row r="33" spans="1:11" x14ac:dyDescent="0.25">
      <c r="A33" s="6" t="s">
        <v>157</v>
      </c>
      <c r="B33" s="1">
        <v>3.6351999999999998</v>
      </c>
      <c r="C33" s="1">
        <v>2.8994842575878903</v>
      </c>
      <c r="E33" s="6" t="s">
        <v>157</v>
      </c>
      <c r="F33" s="1">
        <v>2.1499999999999995</v>
      </c>
      <c r="G33" s="1">
        <v>0.84572257074449031</v>
      </c>
      <c r="I33" s="6" t="s">
        <v>157</v>
      </c>
      <c r="J33" s="1">
        <v>16.33020987328538</v>
      </c>
      <c r="K33" s="1">
        <v>15.929986344880584</v>
      </c>
    </row>
    <row r="34" spans="1:11" x14ac:dyDescent="0.25">
      <c r="A34" s="6" t="s">
        <v>250</v>
      </c>
      <c r="B34" s="1">
        <v>6.7266666666666666</v>
      </c>
      <c r="C34" s="1">
        <v>2.1936473939284067</v>
      </c>
      <c r="E34" s="6" t="s">
        <v>250</v>
      </c>
      <c r="F34" s="1">
        <v>1.595</v>
      </c>
      <c r="G34" s="1">
        <v>0.33280374597250773</v>
      </c>
      <c r="I34" s="6" t="s">
        <v>250</v>
      </c>
      <c r="J34" s="1">
        <v>3.1353676629492813</v>
      </c>
      <c r="K34" s="1">
        <v>0.45321736103948485</v>
      </c>
    </row>
    <row r="35" spans="1:11" x14ac:dyDescent="0.25">
      <c r="A35" s="6" t="s">
        <v>230</v>
      </c>
      <c r="B35" s="1">
        <v>-1.2999999999999996</v>
      </c>
      <c r="C35" s="1">
        <v>7.6169341413908596</v>
      </c>
      <c r="E35" s="6" t="s">
        <v>230</v>
      </c>
      <c r="F35" s="1">
        <v>3.6857142857142855</v>
      </c>
      <c r="G35" s="1">
        <v>7.6988660707606931</v>
      </c>
      <c r="I35" s="6" t="s">
        <v>230</v>
      </c>
      <c r="J35" s="1">
        <v>-1.2394942677530043</v>
      </c>
      <c r="K35" s="1">
        <v>20.322274121545888</v>
      </c>
    </row>
    <row r="36" spans="1:11" x14ac:dyDescent="0.25">
      <c r="A36" s="6" t="s">
        <v>205</v>
      </c>
      <c r="B36" s="1">
        <v>4.835789473684212</v>
      </c>
      <c r="C36" s="1">
        <v>3.752410194990432</v>
      </c>
      <c r="E36" s="6" t="s">
        <v>205</v>
      </c>
      <c r="F36" s="1">
        <v>2.4685714285714289</v>
      </c>
      <c r="G36" s="1">
        <v>0.80145276255824527</v>
      </c>
      <c r="I36" s="6" t="s">
        <v>205</v>
      </c>
      <c r="J36" s="1">
        <v>15.793264419221876</v>
      </c>
      <c r="K36" s="1">
        <v>18.75147581091932</v>
      </c>
    </row>
    <row r="37" spans="1:11" x14ac:dyDescent="0.25">
      <c r="A37" s="6" t="s">
        <v>182</v>
      </c>
      <c r="B37" s="1">
        <v>4.5066666666666668</v>
      </c>
      <c r="C37" s="1">
        <v>3.1490901684278407</v>
      </c>
      <c r="E37" s="6" t="s">
        <v>182</v>
      </c>
      <c r="F37" s="1">
        <v>2.3307142857142855</v>
      </c>
      <c r="G37" s="1">
        <v>0.83210974796180681</v>
      </c>
      <c r="I37" s="6" t="s">
        <v>182</v>
      </c>
      <c r="J37" s="1">
        <v>16.410313332003753</v>
      </c>
      <c r="K37" s="1">
        <v>13.202242543200905</v>
      </c>
    </row>
    <row r="38" spans="1:11" x14ac:dyDescent="0.25">
      <c r="A38" s="6" t="s">
        <v>251</v>
      </c>
      <c r="B38" s="1">
        <v>-3.12</v>
      </c>
      <c r="C38" s="1">
        <v>0</v>
      </c>
      <c r="E38" s="6" t="s">
        <v>251</v>
      </c>
      <c r="F38" s="1">
        <v>10.73</v>
      </c>
      <c r="G38" s="1">
        <v>0</v>
      </c>
      <c r="I38" s="6" t="s">
        <v>251</v>
      </c>
      <c r="J38" s="1">
        <v>-6.6703910614525137</v>
      </c>
      <c r="K38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25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N32" sqref="N3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Builder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65" t="s">
        <v>586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6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17</v>
      </c>
      <c r="C6" s="37"/>
      <c r="D6" s="38"/>
      <c r="E6" s="38"/>
      <c r="F6" s="38"/>
      <c r="G6" s="38"/>
      <c r="H6" s="39"/>
      <c r="I6" s="51"/>
      <c r="J6" s="49"/>
      <c r="K6" s="49"/>
      <c r="L6" s="6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25">_xlfn._xlws.FILTER(_xlfn._xlws.FILTER(Main_L[], Main_L[Preliminary Criteria]="YES"), COUNTIF($A$8:$S$8,Main_L[#Headers]))</f>
        <v>Air Freight &amp; Logistics</v>
      </c>
      <c r="B9" t="str">
        <v>ZTO</v>
      </c>
      <c r="C9" s="9">
        <v>14869</v>
      </c>
      <c r="D9" s="1">
        <v>17.8</v>
      </c>
      <c r="E9" s="1">
        <v>1.04</v>
      </c>
      <c r="F9" s="1">
        <v>10.74</v>
      </c>
      <c r="G9" s="1">
        <v>1.49</v>
      </c>
      <c r="H9" s="1">
        <v>17.115384615384617</v>
      </c>
      <c r="I9" s="1">
        <v>1.6573556797020486</v>
      </c>
      <c r="J9" s="1">
        <v>14.48</v>
      </c>
      <c r="K9" s="1">
        <v>7.71</v>
      </c>
      <c r="L9" s="1">
        <v>1.54</v>
      </c>
      <c r="M9" s="1">
        <v>11.946308724832216</v>
      </c>
      <c r="N9" s="1">
        <v>-0.92221363253550726</v>
      </c>
      <c r="O9" s="1">
        <v>-1.2681030934998248</v>
      </c>
      <c r="P9" s="1">
        <v>-1.1573783903962633</v>
      </c>
      <c r="Q9" s="1">
        <v>0.88241617836026287</v>
      </c>
      <c r="R9" s="1">
        <v>-1.4861309252901722</v>
      </c>
      <c r="S9" s="1">
        <v>-0.98148838441037267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4</v>
      </c>
    </row>
    <row r="10" spans="1:20" x14ac:dyDescent="0.25">
      <c r="A10" t="str">
        <v>Building Products</v>
      </c>
      <c r="B10" t="str">
        <v>AOS</v>
      </c>
      <c r="C10" s="2">
        <v>10528</v>
      </c>
      <c r="D10" s="1">
        <v>64.83</v>
      </c>
      <c r="E10" s="1">
        <v>3.29</v>
      </c>
      <c r="F10" s="1">
        <v>13.22</v>
      </c>
      <c r="G10" s="1">
        <v>3.79</v>
      </c>
      <c r="H10" s="1">
        <v>19.705167173252278</v>
      </c>
      <c r="I10" s="1">
        <v>4.9039334341906198</v>
      </c>
      <c r="J10" s="1">
        <v>29.54</v>
      </c>
      <c r="K10" s="1">
        <v>14.34</v>
      </c>
      <c r="L10" s="1">
        <v>1.65</v>
      </c>
      <c r="M10" s="1">
        <v>17.105540897097626</v>
      </c>
      <c r="N10" s="1">
        <v>-0.23012269412510353</v>
      </c>
      <c r="O10" s="1">
        <v>-0.49421004207797048</v>
      </c>
      <c r="P10" s="1">
        <v>0.22776538318708342</v>
      </c>
      <c r="Q10" s="1">
        <v>0.64542030498896619</v>
      </c>
      <c r="R10" s="1">
        <v>-1.4878733775538266</v>
      </c>
      <c r="S10" s="1">
        <v>-0.81771540981001689</v>
      </c>
      <c r="T10">
        <f t="shared" si="0"/>
        <v>4</v>
      </c>
    </row>
    <row r="11" spans="1:20" x14ac:dyDescent="0.25">
      <c r="A11" t="str">
        <v>Building Products</v>
      </c>
      <c r="B11" t="str">
        <v>BLDR</v>
      </c>
      <c r="C11" s="2">
        <v>20234</v>
      </c>
      <c r="D11" s="1">
        <v>112.96</v>
      </c>
      <c r="E11" s="1">
        <v>14.42</v>
      </c>
      <c r="F11" s="1">
        <v>38.479999999999997</v>
      </c>
      <c r="G11" s="1">
        <v>10.23</v>
      </c>
      <c r="H11" s="1">
        <v>7.8335644937586677</v>
      </c>
      <c r="I11" s="1">
        <v>2.9355509355509355</v>
      </c>
      <c r="J11" s="1">
        <v>27.44</v>
      </c>
      <c r="K11" s="1">
        <v>10.3</v>
      </c>
      <c r="L11" s="1">
        <v>2.4500000000000002</v>
      </c>
      <c r="M11" s="1">
        <v>11.042033235581622</v>
      </c>
      <c r="N11" s="1">
        <v>-1.445765663681323</v>
      </c>
      <c r="O11" s="1">
        <v>-1.1198976731345485</v>
      </c>
      <c r="P11" s="1">
        <v>2.3970195844571638E-2</v>
      </c>
      <c r="Q11" s="1">
        <v>-0.26232487591805637</v>
      </c>
      <c r="R11" s="1">
        <v>-9.2414495500227536E-3</v>
      </c>
      <c r="S11" s="1">
        <v>-1.3030220034427162</v>
      </c>
      <c r="T11">
        <f t="shared" si="0"/>
        <v>4</v>
      </c>
    </row>
    <row r="12" spans="1:20" x14ac:dyDescent="0.25">
      <c r="A12" t="str">
        <v>Building Products</v>
      </c>
      <c r="B12" t="str">
        <v>CSL</v>
      </c>
      <c r="C12" s="2">
        <v>19945</v>
      </c>
      <c r="D12" s="1">
        <v>379.19</v>
      </c>
      <c r="E12" s="1">
        <v>19.55</v>
      </c>
      <c r="F12" s="1">
        <v>61.03</v>
      </c>
      <c r="G12" s="1">
        <v>18.64</v>
      </c>
      <c r="H12" s="1">
        <v>19.395907928388745</v>
      </c>
      <c r="I12" s="1">
        <v>6.2131738489267576</v>
      </c>
      <c r="J12" s="1">
        <v>31.46</v>
      </c>
      <c r="K12" s="1">
        <v>10.96</v>
      </c>
      <c r="L12" s="1">
        <v>2.34</v>
      </c>
      <c r="M12" s="1">
        <v>20.342811158798284</v>
      </c>
      <c r="N12" s="1">
        <v>-0.2617906025733886</v>
      </c>
      <c r="O12" s="1">
        <v>-7.8043197399202985E-2</v>
      </c>
      <c r="P12" s="1">
        <v>0.41409241161452315</v>
      </c>
      <c r="Q12" s="1">
        <v>-0.11402987111641402</v>
      </c>
      <c r="R12" s="1">
        <v>-0.21255333965054629</v>
      </c>
      <c r="S12" s="1">
        <v>-0.55861313913166455</v>
      </c>
      <c r="T12">
        <f t="shared" si="0"/>
        <v>3</v>
      </c>
    </row>
    <row r="13" spans="1:20" x14ac:dyDescent="0.25">
      <c r="A13" t="str">
        <v>Commercial Services &amp; Supplies</v>
      </c>
      <c r="B13" t="str">
        <v>TTEK</v>
      </c>
      <c r="C13" s="2">
        <v>11430</v>
      </c>
      <c r="D13" s="1">
        <v>35.270000000000003</v>
      </c>
      <c r="E13" s="1">
        <v>1.27</v>
      </c>
      <c r="F13" s="1">
        <v>6.84</v>
      </c>
      <c r="G13" s="1">
        <v>1.23</v>
      </c>
      <c r="H13" s="1">
        <v>27.771653543307089</v>
      </c>
      <c r="I13" s="1">
        <v>5.1564327485380126</v>
      </c>
      <c r="J13" s="1">
        <v>20.62</v>
      </c>
      <c r="K13" s="1">
        <v>7.99</v>
      </c>
      <c r="L13" s="1">
        <v>2.29</v>
      </c>
      <c r="M13" s="1">
        <v>28.674796747967484</v>
      </c>
      <c r="N13" s="1">
        <v>-1.2509859497722151</v>
      </c>
      <c r="O13" s="1">
        <v>-0.69551359431643967</v>
      </c>
      <c r="P13" s="1">
        <v>-8.3843737067645488E-2</v>
      </c>
      <c r="Q13" s="1">
        <v>-4.0503628479801441E-2</v>
      </c>
      <c r="R13" s="1">
        <v>-0.89617917747288667</v>
      </c>
      <c r="S13" s="1">
        <v>-1.2476838837959721</v>
      </c>
      <c r="T13">
        <f t="shared" si="0"/>
        <v>2</v>
      </c>
    </row>
    <row r="14" spans="1:20" x14ac:dyDescent="0.25">
      <c r="A14" t="str">
        <v>Commercial Services &amp; Supplies</v>
      </c>
      <c r="B14" t="str">
        <v>WCN</v>
      </c>
      <c r="C14" s="2">
        <v>49112</v>
      </c>
      <c r="D14" s="1">
        <v>188.99</v>
      </c>
      <c r="E14" s="1">
        <v>4.8</v>
      </c>
      <c r="F14" s="1">
        <v>32.020000000000003</v>
      </c>
      <c r="G14" s="1">
        <v>3.64</v>
      </c>
      <c r="H14" s="1">
        <v>39.372916666666669</v>
      </c>
      <c r="I14" s="1">
        <v>5.9022485946283574</v>
      </c>
      <c r="J14" s="1">
        <v>11.85</v>
      </c>
      <c r="K14" s="1">
        <v>5.07</v>
      </c>
      <c r="L14" s="1">
        <v>2.4300000000000002</v>
      </c>
      <c r="M14" s="1">
        <v>51.920329670329672</v>
      </c>
      <c r="N14" s="1">
        <v>-0.19314042090884431</v>
      </c>
      <c r="O14" s="1">
        <v>-0.53863784953207194</v>
      </c>
      <c r="P14" s="1">
        <v>-0.61764379084859089</v>
      </c>
      <c r="Q14" s="1">
        <v>-0.70995982750444042</v>
      </c>
      <c r="R14" s="1">
        <v>-0.49275446735647421</v>
      </c>
      <c r="S14" s="1">
        <v>0.87022005910521538</v>
      </c>
      <c r="T14">
        <f t="shared" si="0"/>
        <v>1</v>
      </c>
    </row>
    <row r="15" spans="1:20" x14ac:dyDescent="0.25">
      <c r="A15" t="str">
        <v>Electrical Equipment</v>
      </c>
      <c r="B15" t="str">
        <v>AME</v>
      </c>
      <c r="C15" s="2">
        <v>44305</v>
      </c>
      <c r="D15" s="1">
        <v>178.64</v>
      </c>
      <c r="E15" s="1">
        <v>7.29</v>
      </c>
      <c r="F15" s="1">
        <v>41.29</v>
      </c>
      <c r="G15" s="1">
        <v>5.74</v>
      </c>
      <c r="H15" s="1">
        <v>24.504801097393688</v>
      </c>
      <c r="I15" s="1">
        <v>4.326471300557035</v>
      </c>
      <c r="J15" s="1">
        <v>14.89</v>
      </c>
      <c r="K15" s="1">
        <v>7.89</v>
      </c>
      <c r="L15" s="1">
        <v>1.55</v>
      </c>
      <c r="M15" s="1">
        <v>31.121951219512191</v>
      </c>
      <c r="N15" s="1">
        <v>-0.36697982024963433</v>
      </c>
      <c r="O15" s="1">
        <v>-0.35543171164969345</v>
      </c>
      <c r="P15" s="1">
        <v>-8.4358102296802351E-2</v>
      </c>
      <c r="Q15" s="1">
        <v>0.32730042777259766</v>
      </c>
      <c r="R15" s="1">
        <v>-1.2795226757897371</v>
      </c>
      <c r="S15" s="1">
        <v>-9.5121323661491855E-2</v>
      </c>
      <c r="T15">
        <f t="shared" si="0"/>
        <v>2</v>
      </c>
    </row>
    <row r="16" spans="1:20" x14ac:dyDescent="0.25">
      <c r="A16" t="str">
        <v>Electrical Equipment</v>
      </c>
      <c r="B16" t="str">
        <v>AYI</v>
      </c>
      <c r="C16" s="2">
        <v>10022</v>
      </c>
      <c r="D16" s="1">
        <v>269.72000000000003</v>
      </c>
      <c r="E16" s="1">
        <v>17.98</v>
      </c>
      <c r="F16" s="1">
        <v>77.989999999999995</v>
      </c>
      <c r="G16" s="1">
        <v>13.44</v>
      </c>
      <c r="H16" s="1">
        <v>15.001112347052281</v>
      </c>
      <c r="I16" s="1">
        <v>3.4583921015514814</v>
      </c>
      <c r="J16" s="1">
        <v>19.23</v>
      </c>
      <c r="K16" s="1">
        <v>9.5500000000000007</v>
      </c>
      <c r="L16" s="1">
        <v>1.6</v>
      </c>
      <c r="M16" s="1">
        <v>20.068452380952383</v>
      </c>
      <c r="N16" s="1">
        <v>-1.1237494392051017</v>
      </c>
      <c r="O16" s="1">
        <v>-0.61849704355235469</v>
      </c>
      <c r="P16" s="1">
        <v>0.33039532753320133</v>
      </c>
      <c r="Q16" s="1">
        <v>1.0767055451553749</v>
      </c>
      <c r="R16" s="1">
        <v>-1.1681522301213847</v>
      </c>
      <c r="S16" s="1">
        <v>-1.3716037496074318</v>
      </c>
      <c r="T16">
        <f t="shared" si="0"/>
        <v>5</v>
      </c>
    </row>
    <row r="17" spans="1:20" x14ac:dyDescent="0.25">
      <c r="A17" t="str">
        <v>Electrical Equipment</v>
      </c>
      <c r="B17" t="str">
        <v>NVT</v>
      </c>
      <c r="C17" s="2">
        <v>12673</v>
      </c>
      <c r="D17" s="1">
        <v>68.319999999999993</v>
      </c>
      <c r="E17" s="1">
        <v>3.51</v>
      </c>
      <c r="F17" s="1">
        <v>19.920000000000002</v>
      </c>
      <c r="G17" s="1">
        <v>3.43</v>
      </c>
      <c r="H17" s="1">
        <v>19.464387464387464</v>
      </c>
      <c r="I17" s="1">
        <v>3.4297188755020076</v>
      </c>
      <c r="J17" s="1">
        <v>18.53</v>
      </c>
      <c r="K17" s="1">
        <v>6.32</v>
      </c>
      <c r="L17" s="1">
        <v>2.11</v>
      </c>
      <c r="M17" s="1">
        <v>19.918367346938773</v>
      </c>
      <c r="N17" s="1">
        <v>-0.7683431229241916</v>
      </c>
      <c r="O17" s="1">
        <v>-0.62718626423183399</v>
      </c>
      <c r="P17" s="1">
        <v>0.2634996130444911</v>
      </c>
      <c r="Q17" s="1">
        <v>-0.38147429167978719</v>
      </c>
      <c r="R17" s="1">
        <v>-3.2173684304190771E-2</v>
      </c>
      <c r="S17" s="1">
        <v>-1.3889359003692836</v>
      </c>
      <c r="T17">
        <f t="shared" si="0"/>
        <v>4</v>
      </c>
    </row>
    <row r="18" spans="1:20" x14ac:dyDescent="0.25">
      <c r="A18" t="str">
        <v>Industrial Conglomerates</v>
      </c>
      <c r="B18" t="str">
        <v>HON</v>
      </c>
      <c r="C18" s="2">
        <v>147203</v>
      </c>
      <c r="D18" s="1">
        <v>227.13</v>
      </c>
      <c r="E18" s="1">
        <v>8.64</v>
      </c>
      <c r="F18" s="1">
        <v>26.77</v>
      </c>
      <c r="G18" s="1">
        <v>8.65</v>
      </c>
      <c r="H18" s="1">
        <v>26.288194444444443</v>
      </c>
      <c r="I18" s="1">
        <v>8.4844975719088538</v>
      </c>
      <c r="J18" s="1">
        <v>31.86</v>
      </c>
      <c r="K18" s="1">
        <v>7.33</v>
      </c>
      <c r="L18" s="1">
        <v>4.22</v>
      </c>
      <c r="M18" s="1">
        <v>26.257803468208092</v>
      </c>
      <c r="N18" s="1">
        <v>-0.97635712749614167</v>
      </c>
      <c r="O18" s="1">
        <v>-0.93022925584287997</v>
      </c>
      <c r="P18" s="1">
        <v>-1</v>
      </c>
      <c r="Q18" s="1">
        <v>-0.99999999999999212</v>
      </c>
      <c r="R18" s="1">
        <v>-1.0000000000000013</v>
      </c>
      <c r="S18" s="1">
        <v>1.2162700645123767</v>
      </c>
      <c r="T18">
        <f t="shared" si="0"/>
        <v>1</v>
      </c>
    </row>
    <row r="19" spans="1:20" x14ac:dyDescent="0.25">
      <c r="A19" t="str">
        <v>Machinery</v>
      </c>
      <c r="B19" t="str">
        <v>WAB</v>
      </c>
      <c r="C19" s="2">
        <v>35308</v>
      </c>
      <c r="D19" s="1">
        <v>205.37</v>
      </c>
      <c r="E19" s="1">
        <v>9.16</v>
      </c>
      <c r="F19" s="1">
        <v>59.11</v>
      </c>
      <c r="G19" s="1">
        <v>5.99</v>
      </c>
      <c r="H19" s="1">
        <v>22.420305676855897</v>
      </c>
      <c r="I19" s="1">
        <v>3.4743698189815597</v>
      </c>
      <c r="J19" s="1">
        <v>10.37</v>
      </c>
      <c r="K19" s="1">
        <v>5.44</v>
      </c>
      <c r="L19" s="1">
        <v>1.82</v>
      </c>
      <c r="M19" s="1">
        <v>34.285475792988315</v>
      </c>
      <c r="N19" s="1">
        <v>-0.18922459324702381</v>
      </c>
      <c r="O19" s="1">
        <v>-0.65848150826487861</v>
      </c>
      <c r="P19" s="1">
        <v>-0.77819133864591605</v>
      </c>
      <c r="Q19" s="1">
        <v>-0.82894007363437761</v>
      </c>
      <c r="R19" s="1">
        <v>-0.43579353874384252</v>
      </c>
      <c r="S19" s="1">
        <v>1.1017919896292367</v>
      </c>
      <c r="T19">
        <f t="shared" si="0"/>
        <v>0</v>
      </c>
    </row>
    <row r="20" spans="1:20" x14ac:dyDescent="0.25">
      <c r="A20" t="str">
        <v>Machinery</v>
      </c>
      <c r="B20" t="str">
        <v>IEX</v>
      </c>
      <c r="C20" s="2">
        <v>17394</v>
      </c>
      <c r="D20" s="1">
        <v>183.23</v>
      </c>
      <c r="E20" s="1">
        <v>8.26</v>
      </c>
      <c r="F20" s="1">
        <v>50.31</v>
      </c>
      <c r="G20" s="1">
        <v>6.45</v>
      </c>
      <c r="H20" s="1">
        <v>22.182808716707022</v>
      </c>
      <c r="I20" s="1">
        <v>3.642019479228781</v>
      </c>
      <c r="J20" s="1">
        <v>13.59</v>
      </c>
      <c r="K20" s="1">
        <v>6.91</v>
      </c>
      <c r="L20" s="1">
        <v>1.82</v>
      </c>
      <c r="M20" s="1">
        <v>28.407751937984493</v>
      </c>
      <c r="N20" s="1">
        <v>-0.22586043626480792</v>
      </c>
      <c r="O20" s="1">
        <v>-0.57164449901689629</v>
      </c>
      <c r="P20" s="1">
        <v>-0.53832068148084466</v>
      </c>
      <c r="Q20" s="1">
        <v>-0.41055658582578197</v>
      </c>
      <c r="R20" s="1">
        <v>-0.43579353874384252</v>
      </c>
      <c r="S20" s="1">
        <v>0.38194269477079046</v>
      </c>
      <c r="T20">
        <f t="shared" si="0"/>
        <v>0</v>
      </c>
    </row>
    <row r="21" spans="1:20" x14ac:dyDescent="0.25">
      <c r="A21" t="str">
        <v>Machinery</v>
      </c>
      <c r="B21" t="str">
        <v>NDSN</v>
      </c>
      <c r="C21" s="2">
        <v>14547</v>
      </c>
      <c r="D21" s="1">
        <v>219.28</v>
      </c>
      <c r="E21" s="1">
        <v>9.9600000000000009</v>
      </c>
      <c r="F21" s="1">
        <v>49.91</v>
      </c>
      <c r="G21" s="1">
        <v>8.2100000000000009</v>
      </c>
      <c r="H21" s="1">
        <v>22.016064257028109</v>
      </c>
      <c r="I21" s="1">
        <v>4.3935083149669412</v>
      </c>
      <c r="J21" s="1">
        <v>17.41</v>
      </c>
      <c r="K21" s="1">
        <v>9.15</v>
      </c>
      <c r="L21" s="1">
        <v>1.82</v>
      </c>
      <c r="M21" s="1">
        <v>26.7088915956151</v>
      </c>
      <c r="N21" s="1">
        <v>-0.25158212906059185</v>
      </c>
      <c r="O21" s="1">
        <v>-0.18239800199137213</v>
      </c>
      <c r="P21" s="1">
        <v>-0.25375362857072903</v>
      </c>
      <c r="Q21" s="1">
        <v>0.22698015750160189</v>
      </c>
      <c r="R21" s="1">
        <v>-0.43579353874384252</v>
      </c>
      <c r="S21" s="1">
        <v>0.17388198118750645</v>
      </c>
      <c r="T21">
        <f t="shared" si="0"/>
        <v>1</v>
      </c>
    </row>
    <row r="22" spans="1:20" x14ac:dyDescent="0.25">
      <c r="A22" t="str">
        <v>Machinery</v>
      </c>
      <c r="B22" t="str">
        <v>PNR</v>
      </c>
      <c r="C22" s="2">
        <v>17863</v>
      </c>
      <c r="D22" s="1">
        <v>99.67</v>
      </c>
      <c r="E22" s="1">
        <v>4.38</v>
      </c>
      <c r="F22" s="1">
        <v>21.18</v>
      </c>
      <c r="G22" s="1">
        <v>4</v>
      </c>
      <c r="H22" s="1">
        <v>22.75570776255708</v>
      </c>
      <c r="I22" s="1">
        <v>4.7058545797922573</v>
      </c>
      <c r="J22" s="1">
        <v>20.41</v>
      </c>
      <c r="K22" s="1">
        <v>8.3800000000000008</v>
      </c>
      <c r="L22" s="1">
        <v>1.85</v>
      </c>
      <c r="M22" s="1">
        <v>24.9175</v>
      </c>
      <c r="N22" s="1">
        <v>-0.13748608614409763</v>
      </c>
      <c r="O22" s="1">
        <v>-2.0612911301584741E-2</v>
      </c>
      <c r="P22" s="1">
        <v>-3.0271649845507297E-2</v>
      </c>
      <c r="Q22" s="1">
        <v>7.8269019828138241E-3</v>
      </c>
      <c r="R22" s="1">
        <v>-0.38275578554986578</v>
      </c>
      <c r="S22" s="1">
        <v>-4.5511105104064115E-2</v>
      </c>
      <c r="T22">
        <f t="shared" si="0"/>
        <v>3</v>
      </c>
    </row>
    <row r="23" spans="1:20" x14ac:dyDescent="0.25">
      <c r="A23" t="str">
        <v>Machinery</v>
      </c>
      <c r="B23" t="str">
        <v>SNA</v>
      </c>
      <c r="C23" s="2">
        <v>18786</v>
      </c>
      <c r="D23" s="1">
        <v>320.76</v>
      </c>
      <c r="E23" s="1">
        <v>21.53</v>
      </c>
      <c r="F23" s="1">
        <v>104.27</v>
      </c>
      <c r="G23" s="1">
        <v>19.45</v>
      </c>
      <c r="H23" s="1">
        <v>14.89828146771946</v>
      </c>
      <c r="I23" s="1">
        <v>3.0762443655893352</v>
      </c>
      <c r="J23" s="1">
        <v>20.6</v>
      </c>
      <c r="K23" s="1">
        <v>11.4</v>
      </c>
      <c r="L23" s="1">
        <v>1.45</v>
      </c>
      <c r="M23" s="1">
        <v>16.491516709511568</v>
      </c>
      <c r="N23" s="1">
        <v>-1.3495581736395903</v>
      </c>
      <c r="O23" s="1">
        <v>-0.86469739696454451</v>
      </c>
      <c r="P23" s="1">
        <v>-1.6117791192909826E-2</v>
      </c>
      <c r="Q23" s="1">
        <v>0.86736304700455436</v>
      </c>
      <c r="R23" s="1">
        <v>-1.0899258281362219</v>
      </c>
      <c r="S23" s="1">
        <v>-1.0774476641827153</v>
      </c>
      <c r="T23">
        <f t="shared" si="0"/>
        <v>4</v>
      </c>
    </row>
    <row r="24" spans="1:20" x14ac:dyDescent="0.25">
      <c r="A24" t="str">
        <v>Professional Services</v>
      </c>
      <c r="B24" t="str">
        <v>CACI</v>
      </c>
      <c r="C24" s="2">
        <v>10185</v>
      </c>
      <c r="D24" s="1">
        <v>441.05</v>
      </c>
      <c r="E24" s="1">
        <v>17.97</v>
      </c>
      <c r="F24" s="1">
        <v>163.71</v>
      </c>
      <c r="G24" s="1">
        <v>20.190000000000001</v>
      </c>
      <c r="H24" s="1">
        <v>24.543683917640514</v>
      </c>
      <c r="I24" s="1">
        <v>2.6940932136094311</v>
      </c>
      <c r="J24" s="1">
        <v>13.32</v>
      </c>
      <c r="K24" s="1">
        <v>6.22</v>
      </c>
      <c r="L24" s="1">
        <v>1.97</v>
      </c>
      <c r="M24" s="1">
        <v>21.844972758791481</v>
      </c>
      <c r="N24" s="1">
        <v>-0.79155552065443902</v>
      </c>
      <c r="O24" s="1">
        <v>-1.0233354270780604</v>
      </c>
      <c r="P24" s="1">
        <v>-0.64569516229220392</v>
      </c>
      <c r="Q24" s="1">
        <v>-0.36679617697772515</v>
      </c>
      <c r="R24" s="1">
        <v>-1.2112630731144023</v>
      </c>
      <c r="S24" s="1">
        <v>-1.1295330126074292</v>
      </c>
      <c r="T24">
        <f t="shared" si="0"/>
        <v>3</v>
      </c>
    </row>
    <row r="25" spans="1:20" x14ac:dyDescent="0.25">
      <c r="A25" t="str">
        <v>Trading Companies &amp; Distributors</v>
      </c>
      <c r="B25" t="str">
        <v>AIT</v>
      </c>
      <c r="C25" s="2">
        <v>10527</v>
      </c>
      <c r="D25" s="1">
        <v>233.17</v>
      </c>
      <c r="E25" s="1">
        <v>10.54</v>
      </c>
      <c r="F25" s="1">
        <v>43.97</v>
      </c>
      <c r="G25" s="1">
        <v>9.8000000000000007</v>
      </c>
      <c r="H25" s="1">
        <v>22.12239089184061</v>
      </c>
      <c r="I25" s="1">
        <v>5.3029338185126225</v>
      </c>
      <c r="J25" s="1">
        <v>23.36</v>
      </c>
      <c r="K25" s="1">
        <v>10.61</v>
      </c>
      <c r="L25" s="1">
        <v>1.75</v>
      </c>
      <c r="M25" s="1">
        <v>23.792857142857141</v>
      </c>
      <c r="N25" s="1">
        <v>-0.23420179496840388</v>
      </c>
      <c r="O25" s="1">
        <v>-1.3260377245106729</v>
      </c>
      <c r="P25" s="1">
        <v>-0.10834874882564646</v>
      </c>
      <c r="Q25" s="1">
        <v>0.85796537703661013</v>
      </c>
      <c r="R25" s="1">
        <v>-1.0410763627992932</v>
      </c>
      <c r="S25" s="1">
        <v>-3.5426154417120111E-2</v>
      </c>
      <c r="T25">
        <f t="shared" si="0"/>
        <v>3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35" priority="1">
      <formula>$I9 &lt; (0.7*VLOOKUP($A9, Mean_PB_L, 2, FALSE))</formula>
    </cfRule>
  </conditionalFormatting>
  <conditionalFormatting sqref="J9:J1048576">
    <cfRule type="expression" dxfId="34" priority="3">
      <formula>$J9 &gt; VLOOKUP($A9, Mean_ROE_L, 2, FALSE)</formula>
    </cfRule>
  </conditionalFormatting>
  <conditionalFormatting sqref="K9:K1048576">
    <cfRule type="expression" dxfId="33" priority="4">
      <formula>$K9 &gt; VLOOKUP($A9, Mean_ROA_L, 2, FALSE)</formula>
    </cfRule>
  </conditionalFormatting>
  <conditionalFormatting sqref="M9:M1048576">
    <cfRule type="expression" dxfId="32" priority="5">
      <formula>AND($M9&gt;1, $M9&lt;25, $M9 &lt; VLOOKUP($A9, Mean_PE_L, 2, FALSE))</formula>
    </cfRule>
    <cfRule type="expression" dxfId="31" priority="6">
      <formula>AND($M9&gt;1, $M9&lt;25)</formula>
    </cfRule>
    <cfRule type="expression" dxfId="30" priority="9">
      <formula xml:space="preserve"> $M9 &lt; VLOOKUP($A9, Mean_PE_L, 2, FALSE)</formula>
    </cfRule>
  </conditionalFormatting>
  <conditionalFormatting sqref="N9:N1048576">
    <cfRule type="expression" dxfId="29" priority="10">
      <formula>$N9&lt;0</formula>
    </cfRule>
  </conditionalFormatting>
  <conditionalFormatting sqref="O9:O1048576">
    <cfRule type="expression" dxfId="28" priority="11">
      <formula>$O9&lt;0</formula>
    </cfRule>
  </conditionalFormatting>
  <conditionalFormatting sqref="P9:P1048576">
    <cfRule type="expression" dxfId="27" priority="12">
      <formula>$P9&gt;0</formula>
    </cfRule>
  </conditionalFormatting>
  <conditionalFormatting sqref="Q9:Q1048576">
    <cfRule type="expression" dxfId="26" priority="14">
      <formula>$Q9&gt;0</formula>
    </cfRule>
  </conditionalFormatting>
  <conditionalFormatting sqref="R9:R1048576">
    <cfRule type="expression" dxfId="25" priority="15">
      <formula>$R9&lt;0</formula>
    </cfRule>
  </conditionalFormatting>
  <conditionalFormatting sqref="S9:S1048576">
    <cfRule type="expression" dxfId="24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28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H35" sqref="H35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Builder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5" t="s">
        <v>88</v>
      </c>
      <c r="D2" s="56"/>
      <c r="E2" s="56"/>
      <c r="F2" s="56"/>
      <c r="G2" s="56"/>
      <c r="H2" s="57"/>
      <c r="I2" s="58" t="s">
        <v>69</v>
      </c>
      <c r="J2" s="59"/>
      <c r="K2" s="59"/>
      <c r="L2" s="59"/>
      <c r="M2" s="60"/>
      <c r="N2" s="62" t="s">
        <v>86</v>
      </c>
      <c r="O2" s="63"/>
      <c r="P2" s="63"/>
      <c r="Q2" s="63"/>
      <c r="R2" s="63"/>
      <c r="S2" s="64"/>
      <c r="T2" s="61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65" t="s">
        <v>586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6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19</v>
      </c>
      <c r="C6" s="37"/>
      <c r="D6" s="38"/>
      <c r="E6" s="38"/>
      <c r="F6" s="38"/>
      <c r="G6" s="38"/>
      <c r="H6" s="39"/>
      <c r="I6" s="51"/>
      <c r="J6" s="49"/>
      <c r="K6" s="49"/>
      <c r="L6" s="6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27">_xlfn._xlws.FILTER(_xlfn._xlws.FILTER(Main_M[], Main_M[Preliminary Criteria]="YES"), COUNTIF($A$8:$S$8,Main_M[#Headers]))</f>
        <v>Building Products</v>
      </c>
      <c r="B9" t="str">
        <v>ROCK</v>
      </c>
      <c r="C9" s="2">
        <v>2143</v>
      </c>
      <c r="D9" s="1">
        <v>60.44</v>
      </c>
      <c r="E9" s="1">
        <v>4.7699999999999996</v>
      </c>
      <c r="F9" s="1">
        <v>33.049999999999997</v>
      </c>
      <c r="G9" s="1">
        <v>3.59</v>
      </c>
      <c r="H9" s="1">
        <v>12.670859538784068</v>
      </c>
      <c r="I9" s="1">
        <v>1.8287443267776098</v>
      </c>
      <c r="J9" s="1">
        <v>11.69</v>
      </c>
      <c r="K9" s="1">
        <v>7.49</v>
      </c>
      <c r="L9" s="1">
        <v>1.42</v>
      </c>
      <c r="M9" s="1">
        <v>16.83565459610028</v>
      </c>
      <c r="N9" s="1">
        <v>-0.72065425902898317</v>
      </c>
      <c r="O9" s="1">
        <v>-0.89591647407790787</v>
      </c>
      <c r="P9" s="1">
        <v>-0.45416710493578566</v>
      </c>
      <c r="Q9" s="1">
        <v>-0.25395369531126721</v>
      </c>
      <c r="R9" s="1">
        <v>-0.94743021784283643</v>
      </c>
      <c r="S9" s="1">
        <v>-0.80790298453911769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3</v>
      </c>
    </row>
    <row r="10" spans="1:20" x14ac:dyDescent="0.25">
      <c r="A10" t="str">
        <v>Building Products</v>
      </c>
      <c r="B10" t="str">
        <v>UFPI</v>
      </c>
      <c r="C10" s="2">
        <v>8079</v>
      </c>
      <c r="D10" s="1">
        <v>97.62</v>
      </c>
      <c r="E10" s="1">
        <v>9</v>
      </c>
      <c r="F10" s="1">
        <v>52.28</v>
      </c>
      <c r="G10" s="1">
        <v>7.26</v>
      </c>
      <c r="H10" s="1">
        <v>10.846666666666668</v>
      </c>
      <c r="I10" s="1">
        <v>1.8672532517214997</v>
      </c>
      <c r="J10" s="1">
        <v>14.72</v>
      </c>
      <c r="K10" s="1">
        <v>8.16</v>
      </c>
      <c r="L10" s="1">
        <v>1.33</v>
      </c>
      <c r="M10" s="1">
        <v>13.446280991735538</v>
      </c>
      <c r="N10" s="1">
        <v>-0.8148426509498834</v>
      </c>
      <c r="O10" s="1">
        <v>-0.88037171607502995</v>
      </c>
      <c r="P10" s="1">
        <v>-0.28589242075921095</v>
      </c>
      <c r="Q10" s="1">
        <v>-6.1694965527595971E-2</v>
      </c>
      <c r="R10" s="1">
        <v>-1.1219568369191484</v>
      </c>
      <c r="S10" s="1">
        <v>-1.0774558429727894</v>
      </c>
      <c r="T10">
        <f t="shared" si="0"/>
        <v>3</v>
      </c>
    </row>
    <row r="11" spans="1:20" x14ac:dyDescent="0.25">
      <c r="A11" t="str">
        <v>Commercial Services &amp; Supplies</v>
      </c>
      <c r="B11" t="str">
        <v>HNI</v>
      </c>
      <c r="C11" s="2">
        <v>2680</v>
      </c>
      <c r="D11" s="1">
        <v>47.94</v>
      </c>
      <c r="E11" s="1">
        <v>4.6900000000000004</v>
      </c>
      <c r="F11" s="1">
        <v>17.71</v>
      </c>
      <c r="G11" s="1">
        <v>2.56</v>
      </c>
      <c r="H11" s="1">
        <v>10.221748400852878</v>
      </c>
      <c r="I11" s="1">
        <v>2.7069452286843587</v>
      </c>
      <c r="J11" s="1">
        <v>15.6</v>
      </c>
      <c r="K11" s="1">
        <v>7.08</v>
      </c>
      <c r="L11" s="1">
        <v>2.2599999999999998</v>
      </c>
      <c r="M11" s="1">
        <v>18.7265625</v>
      </c>
      <c r="N11" s="1">
        <v>-0.81306707982048976</v>
      </c>
      <c r="O11" s="1">
        <v>-0.20631032534573257</v>
      </c>
      <c r="P11" s="1">
        <v>1.190525089178732</v>
      </c>
      <c r="Q11" s="1">
        <v>0.68780845025465986</v>
      </c>
      <c r="R11" s="1">
        <v>-3.6223024987745288E-2</v>
      </c>
      <c r="S11" s="1">
        <v>-0.50725937817342737</v>
      </c>
      <c r="T11">
        <f t="shared" si="0"/>
        <v>4</v>
      </c>
    </row>
    <row r="12" spans="1:20" x14ac:dyDescent="0.25">
      <c r="A12" t="str">
        <v>Construction &amp; Engineering</v>
      </c>
      <c r="B12" t="str">
        <v>VMI</v>
      </c>
      <c r="C12" s="2">
        <v>6781</v>
      </c>
      <c r="D12" s="1">
        <v>324.7</v>
      </c>
      <c r="E12" s="1">
        <v>20.53</v>
      </c>
      <c r="F12" s="1">
        <v>76.95</v>
      </c>
      <c r="G12" s="1">
        <v>14.66</v>
      </c>
      <c r="H12" s="1">
        <v>15.81587920116902</v>
      </c>
      <c r="I12" s="1">
        <v>4.2196231319038331</v>
      </c>
      <c r="J12" s="1">
        <v>19.47</v>
      </c>
      <c r="K12" s="1">
        <v>9.01</v>
      </c>
      <c r="L12" s="1">
        <v>2.27</v>
      </c>
      <c r="M12" s="1">
        <v>22.148703956343791</v>
      </c>
      <c r="N12" s="1">
        <v>-0.24737616014311711</v>
      </c>
      <c r="O12" s="1">
        <v>-0.26111558912468646</v>
      </c>
      <c r="P12" s="1">
        <v>0.69517284625742337</v>
      </c>
      <c r="Q12" s="1">
        <v>1.3215375589977765</v>
      </c>
      <c r="R12" s="1">
        <v>-0.61662172541419746</v>
      </c>
      <c r="S12" s="1">
        <v>-0.72548179586471995</v>
      </c>
      <c r="T12">
        <f t="shared" si="0"/>
        <v>4</v>
      </c>
    </row>
    <row r="13" spans="1:20" x14ac:dyDescent="0.25">
      <c r="A13" t="str">
        <v>Electrical Equipment</v>
      </c>
      <c r="B13" t="str">
        <v>ATKR</v>
      </c>
      <c r="C13" s="2">
        <v>3106</v>
      </c>
      <c r="D13" s="1">
        <v>69.540000000000006</v>
      </c>
      <c r="E13" s="1">
        <v>10.97</v>
      </c>
      <c r="F13" s="1">
        <v>44.18</v>
      </c>
      <c r="G13" s="1">
        <v>12.69</v>
      </c>
      <c r="H13" s="1">
        <v>6.3391066545123067</v>
      </c>
      <c r="I13" s="1">
        <v>1.5740153915799007</v>
      </c>
      <c r="J13" s="1">
        <v>31.44</v>
      </c>
      <c r="K13" s="1">
        <v>13.09</v>
      </c>
      <c r="L13" s="1">
        <v>1.96</v>
      </c>
      <c r="M13" s="1">
        <v>5.4799054373522464</v>
      </c>
      <c r="N13" s="1">
        <v>-1.4902151316051737E-2</v>
      </c>
      <c r="O13" s="1">
        <v>-0.66250318809784092</v>
      </c>
      <c r="P13" s="1">
        <v>0.86247299621425944</v>
      </c>
      <c r="Q13" s="1">
        <v>1.0147688428200488</v>
      </c>
      <c r="R13" s="1">
        <v>-0.41569493487481618</v>
      </c>
      <c r="S13" s="1">
        <v>0.24726510093148116</v>
      </c>
      <c r="T13">
        <f t="shared" si="0"/>
        <v>4</v>
      </c>
    </row>
    <row r="14" spans="1:20" x14ac:dyDescent="0.25">
      <c r="A14" t="str">
        <v>Machinery</v>
      </c>
      <c r="B14" t="str">
        <v>TEX</v>
      </c>
      <c r="C14" s="2">
        <v>3536</v>
      </c>
      <c r="D14" s="1">
        <v>47.63</v>
      </c>
      <c r="E14" s="1">
        <v>2.92</v>
      </c>
      <c r="F14" s="1">
        <v>29.65</v>
      </c>
      <c r="G14" s="1">
        <v>6.85</v>
      </c>
      <c r="H14" s="1">
        <v>16.31164383561644</v>
      </c>
      <c r="I14" s="1">
        <v>1.606408094435076</v>
      </c>
      <c r="J14" s="1">
        <v>26.91</v>
      </c>
      <c r="K14" s="1">
        <v>10.039999999999999</v>
      </c>
      <c r="L14" s="1">
        <v>1.93</v>
      </c>
      <c r="M14" s="1">
        <v>6.9532846715328471</v>
      </c>
      <c r="N14" s="1">
        <v>-0.63898911086364163</v>
      </c>
      <c r="O14" s="1">
        <v>-0.85874867036543334</v>
      </c>
      <c r="P14" s="1">
        <v>0.48312794510782892</v>
      </c>
      <c r="Q14" s="1">
        <v>1.0537314514732075</v>
      </c>
      <c r="R14" s="1">
        <v>-0.15237073815847785</v>
      </c>
      <c r="S14" s="1">
        <v>-1.3300496489850369</v>
      </c>
      <c r="T14">
        <f t="shared" si="0"/>
        <v>5</v>
      </c>
    </row>
    <row r="15" spans="1:20" x14ac:dyDescent="0.25">
      <c r="A15" t="str">
        <v>Machinery</v>
      </c>
      <c r="B15" t="str">
        <v>ALG</v>
      </c>
      <c r="C15" s="2">
        <v>2365</v>
      </c>
      <c r="D15" s="1">
        <v>209.28</v>
      </c>
      <c r="E15" s="1">
        <v>12.97</v>
      </c>
      <c r="F15" s="1">
        <v>85.3</v>
      </c>
      <c r="G15" s="1">
        <v>9.93</v>
      </c>
      <c r="H15" s="1">
        <v>16.135697764070933</v>
      </c>
      <c r="I15" s="1">
        <v>2.4534583821805396</v>
      </c>
      <c r="J15" s="1">
        <v>12.53</v>
      </c>
      <c r="K15" s="1">
        <v>7.46</v>
      </c>
      <c r="L15" s="1">
        <v>1.46</v>
      </c>
      <c r="M15" s="1">
        <v>21.075528700906347</v>
      </c>
      <c r="N15" s="1">
        <v>-0.65604268931624965</v>
      </c>
      <c r="O15" s="1">
        <v>-0.29754919067062291</v>
      </c>
      <c r="P15" s="1">
        <v>-0.14337492712954691</v>
      </c>
      <c r="Q15" s="1">
        <v>0.13545882159808606</v>
      </c>
      <c r="R15" s="1">
        <v>-1.057838228134717</v>
      </c>
      <c r="S15" s="1">
        <v>-0.23187659890007578</v>
      </c>
      <c r="T15">
        <f t="shared" si="0"/>
        <v>3</v>
      </c>
    </row>
    <row r="16" spans="1:20" x14ac:dyDescent="0.25">
      <c r="A16" t="str">
        <v>Machinery</v>
      </c>
      <c r="B16" t="str">
        <v>AIN</v>
      </c>
      <c r="C16" s="2">
        <v>2507</v>
      </c>
      <c r="D16" s="1">
        <v>68.16</v>
      </c>
      <c r="E16" s="1">
        <v>3.74</v>
      </c>
      <c r="F16" s="1">
        <v>31.71</v>
      </c>
      <c r="G16" s="1">
        <v>3.2</v>
      </c>
      <c r="H16" s="1">
        <v>18.224598930481282</v>
      </c>
      <c r="I16" s="1">
        <v>2.149479659413434</v>
      </c>
      <c r="J16" s="1">
        <v>10.52</v>
      </c>
      <c r="K16" s="1">
        <v>5.98</v>
      </c>
      <c r="L16" s="1">
        <v>1.77</v>
      </c>
      <c r="M16" s="1">
        <v>21.299999999999997</v>
      </c>
      <c r="N16" s="1">
        <v>-0.45357587884296419</v>
      </c>
      <c r="O16" s="1">
        <v>-0.49894538110135606</v>
      </c>
      <c r="P16" s="1">
        <v>-0.23094591274826215</v>
      </c>
      <c r="Q16" s="1">
        <v>-0.39130222189616959</v>
      </c>
      <c r="R16" s="1">
        <v>-0.46061499006528256</v>
      </c>
      <c r="S16" s="1">
        <v>-0.21442127588841531</v>
      </c>
      <c r="T16">
        <f t="shared" si="0"/>
        <v>2</v>
      </c>
    </row>
    <row r="17" spans="1:20" x14ac:dyDescent="0.25">
      <c r="A17" t="str">
        <v>Machinery</v>
      </c>
      <c r="B17" t="str">
        <v>DFKCY</v>
      </c>
      <c r="C17" s="2">
        <v>8341</v>
      </c>
      <c r="D17" s="1">
        <v>13.07</v>
      </c>
      <c r="E17" s="1">
        <v>1.6</v>
      </c>
      <c r="F17" s="1">
        <v>7.4</v>
      </c>
      <c r="G17" s="1">
        <v>1.0900000000000001</v>
      </c>
      <c r="H17" s="1">
        <v>8.1687499999999993</v>
      </c>
      <c r="I17" s="1">
        <v>1.7662162162162163</v>
      </c>
      <c r="J17" s="1">
        <v>16.809999999999999</v>
      </c>
      <c r="K17" s="1">
        <v>7.74</v>
      </c>
      <c r="L17" s="1">
        <v>1.75</v>
      </c>
      <c r="M17" s="1">
        <v>11.990825688073393</v>
      </c>
      <c r="N17" s="1">
        <v>-1.4282393489459784</v>
      </c>
      <c r="O17" s="1">
        <v>-0.75287038180090515</v>
      </c>
      <c r="P17" s="1">
        <v>4.3094634287418866E-2</v>
      </c>
      <c r="Q17" s="1">
        <v>0.23511631631321564</v>
      </c>
      <c r="R17" s="1">
        <v>-0.49914552155363318</v>
      </c>
      <c r="S17" s="1">
        <v>-0.93832070197378459</v>
      </c>
      <c r="T17">
        <f t="shared" si="0"/>
        <v>5</v>
      </c>
    </row>
    <row r="18" spans="1:20" x14ac:dyDescent="0.25">
      <c r="A18" t="str">
        <v>Machinery</v>
      </c>
      <c r="B18" t="str">
        <v>MIDD</v>
      </c>
      <c r="C18" s="2">
        <v>7639</v>
      </c>
      <c r="D18" s="1">
        <v>149.97</v>
      </c>
      <c r="E18" s="1">
        <v>12.12</v>
      </c>
      <c r="F18" s="1">
        <v>66.819999999999993</v>
      </c>
      <c r="G18" s="1">
        <v>7.26</v>
      </c>
      <c r="H18" s="1">
        <v>12.373762376237625</v>
      </c>
      <c r="I18" s="1">
        <v>2.2443879078120323</v>
      </c>
      <c r="J18" s="1">
        <v>11.74</v>
      </c>
      <c r="K18" s="1">
        <v>6.23</v>
      </c>
      <c r="L18" s="1">
        <v>2</v>
      </c>
      <c r="M18" s="1">
        <v>20.65702479338843</v>
      </c>
      <c r="N18" s="1">
        <v>-1.0206683936955867</v>
      </c>
      <c r="O18" s="1">
        <v>-0.43606545485541343</v>
      </c>
      <c r="P18" s="1">
        <v>-0.17779337421351954</v>
      </c>
      <c r="Q18" s="1">
        <v>-0.30232231590051828</v>
      </c>
      <c r="R18" s="1">
        <v>-1.7513877949250602E-2</v>
      </c>
      <c r="S18" s="1">
        <v>-0.2644202733781193</v>
      </c>
      <c r="T18">
        <f t="shared" si="0"/>
        <v>2</v>
      </c>
    </row>
    <row r="19" spans="1:20" x14ac:dyDescent="0.25">
      <c r="A19" t="str">
        <v>Professional Services</v>
      </c>
      <c r="B19" t="str">
        <v>KFY</v>
      </c>
      <c r="C19" s="2">
        <v>3703</v>
      </c>
      <c r="D19" s="1">
        <v>69.790000000000006</v>
      </c>
      <c r="E19" s="1">
        <v>4.4800000000000004</v>
      </c>
      <c r="F19" s="1">
        <v>33.340000000000003</v>
      </c>
      <c r="G19" s="1">
        <v>3.23</v>
      </c>
      <c r="H19" s="1">
        <v>15.578125</v>
      </c>
      <c r="I19" s="1">
        <v>2.0932813437312539</v>
      </c>
      <c r="J19" s="1">
        <v>10.99</v>
      </c>
      <c r="K19" s="1">
        <v>5.32</v>
      </c>
      <c r="L19" s="1">
        <v>2.12</v>
      </c>
      <c r="M19" s="1">
        <v>21.606811145510839</v>
      </c>
      <c r="N19" s="1">
        <v>-0.40298644394300731</v>
      </c>
      <c r="O19" s="1">
        <v>-0.5830217830242107</v>
      </c>
      <c r="P19" s="1">
        <v>-0.25796853988030366</v>
      </c>
      <c r="Q19" s="1">
        <v>-2.1530755025689258E-2</v>
      </c>
      <c r="R19" s="1">
        <v>-0.29088723694136925</v>
      </c>
      <c r="S19" s="1">
        <v>-7.2240414477917209E-2</v>
      </c>
      <c r="T19">
        <f t="shared" si="0"/>
        <v>3</v>
      </c>
    </row>
    <row r="20" spans="1:20" x14ac:dyDescent="0.25">
      <c r="A20" t="str">
        <v>Professional Services</v>
      </c>
      <c r="B20" t="str">
        <v>RHI</v>
      </c>
      <c r="C20" s="2">
        <v>7675</v>
      </c>
      <c r="D20" s="1">
        <v>44.5</v>
      </c>
      <c r="E20" s="1">
        <v>3.06</v>
      </c>
      <c r="F20" s="1">
        <v>14.52</v>
      </c>
      <c r="G20" s="1">
        <v>2.75</v>
      </c>
      <c r="H20" s="1">
        <v>14.542483660130719</v>
      </c>
      <c r="I20" s="1">
        <v>3.0647382920110195</v>
      </c>
      <c r="J20" s="1">
        <v>18.64</v>
      </c>
      <c r="K20" s="1">
        <v>5.08</v>
      </c>
      <c r="L20" s="1">
        <v>2.02</v>
      </c>
      <c r="M20" s="1">
        <v>16.181818181818183</v>
      </c>
      <c r="N20" s="1">
        <v>-0.55189305702110392</v>
      </c>
      <c r="O20" s="1">
        <v>-0.19046994822299423</v>
      </c>
      <c r="P20" s="1">
        <v>-0.15565102344050175</v>
      </c>
      <c r="Q20" s="1">
        <v>-0.10390929599354533</v>
      </c>
      <c r="R20" s="1">
        <v>-0.44398578269998479</v>
      </c>
      <c r="S20" s="1">
        <v>-0.45503722998510271</v>
      </c>
      <c r="T20">
        <f t="shared" si="0"/>
        <v>2</v>
      </c>
    </row>
    <row r="21" spans="1:20" x14ac:dyDescent="0.25">
      <c r="A21" t="str">
        <v>Professional Services</v>
      </c>
      <c r="B21" t="str">
        <v>FCN</v>
      </c>
      <c r="C21" s="2">
        <v>7117</v>
      </c>
      <c r="D21" s="1">
        <v>160.05000000000001</v>
      </c>
      <c r="E21" s="1">
        <v>12.39</v>
      </c>
      <c r="F21" s="1">
        <v>63.75</v>
      </c>
      <c r="G21" s="1">
        <v>8.7100000000000009</v>
      </c>
      <c r="H21" s="1">
        <v>12.917675544794189</v>
      </c>
      <c r="I21" s="1">
        <v>2.5105882352941178</v>
      </c>
      <c r="J21" s="1">
        <v>15.16</v>
      </c>
      <c r="K21" s="1">
        <v>7.56</v>
      </c>
      <c r="L21" s="1">
        <v>1.56</v>
      </c>
      <c r="M21" s="1">
        <v>18.375430539609642</v>
      </c>
      <c r="N21" s="1">
        <v>-0.78551126444714792</v>
      </c>
      <c r="O21" s="1">
        <v>-0.41439404687154457</v>
      </c>
      <c r="P21" s="1">
        <v>-0.20219546229154889</v>
      </c>
      <c r="Q21" s="1">
        <v>0.74733562734096648</v>
      </c>
      <c r="R21" s="1">
        <v>-1.1482390931896158</v>
      </c>
      <c r="S21" s="1">
        <v>-0.30025217668833104</v>
      </c>
      <c r="T21">
        <f t="shared" si="0"/>
        <v>3</v>
      </c>
    </row>
    <row r="22" spans="1:20" x14ac:dyDescent="0.25">
      <c r="A22" t="str">
        <v>Professional Services</v>
      </c>
      <c r="B22" t="str">
        <v>ICFI</v>
      </c>
      <c r="C22" s="2">
        <v>2486</v>
      </c>
      <c r="D22" s="1">
        <v>83.82</v>
      </c>
      <c r="E22" s="1">
        <v>8.68</v>
      </c>
      <c r="F22" s="1">
        <v>52.03</v>
      </c>
      <c r="G22" s="1">
        <v>5.69</v>
      </c>
      <c r="H22" s="1">
        <v>9.6566820276497687</v>
      </c>
      <c r="I22" s="1">
        <v>1.6109936575052852</v>
      </c>
      <c r="J22" s="1">
        <v>11.53</v>
      </c>
      <c r="K22" s="1">
        <v>5.33</v>
      </c>
      <c r="L22" s="1">
        <v>2.08</v>
      </c>
      <c r="M22" s="1">
        <v>14.7311072056239</v>
      </c>
      <c r="N22" s="1">
        <v>-1.2543835286316734</v>
      </c>
      <c r="O22" s="1">
        <v>-0.7779073273247441</v>
      </c>
      <c r="P22" s="1">
        <v>-0.2507461269551412</v>
      </c>
      <c r="Q22" s="1">
        <v>-1.8098315818695334E-2</v>
      </c>
      <c r="R22" s="1">
        <v>-0.35212665524481546</v>
      </c>
      <c r="S22" s="1">
        <v>-0.55740188660771606</v>
      </c>
      <c r="T22">
        <f t="shared" si="0"/>
        <v>3</v>
      </c>
    </row>
    <row r="23" spans="1:20" x14ac:dyDescent="0.25">
      <c r="A23" t="str">
        <v>Professional Services</v>
      </c>
      <c r="B23" t="str">
        <v>G</v>
      </c>
      <c r="C23" s="2">
        <v>7964</v>
      </c>
      <c r="D23" s="1">
        <v>43.2</v>
      </c>
      <c r="E23" s="1">
        <v>2.9</v>
      </c>
      <c r="F23" s="1">
        <v>13.58</v>
      </c>
      <c r="G23" s="1">
        <v>3.66</v>
      </c>
      <c r="H23" s="1">
        <v>14.896551724137932</v>
      </c>
      <c r="I23" s="1">
        <v>3.1811487481590577</v>
      </c>
      <c r="J23" s="1">
        <v>30.11</v>
      </c>
      <c r="K23" s="1">
        <v>8.44</v>
      </c>
      <c r="L23" s="1">
        <v>2.2200000000000002</v>
      </c>
      <c r="M23" s="1">
        <v>11.803278688524591</v>
      </c>
      <c r="N23" s="1">
        <v>-0.50098443240296375</v>
      </c>
      <c r="O23" s="1">
        <v>-0.14343015069838091</v>
      </c>
      <c r="P23" s="1">
        <v>-2.2416229745504807E-3</v>
      </c>
      <c r="Q23" s="1">
        <v>1.0493902775564383</v>
      </c>
      <c r="R23" s="1">
        <v>-0.13778869118275366</v>
      </c>
      <c r="S23" s="1">
        <v>-0.76399449238574557</v>
      </c>
      <c r="T23">
        <f t="shared" si="0"/>
        <v>3</v>
      </c>
    </row>
    <row r="24" spans="1:20" x14ac:dyDescent="0.25">
      <c r="A24" t="str">
        <v>Professional Services</v>
      </c>
      <c r="B24" t="str">
        <v>MMS</v>
      </c>
      <c r="C24" s="2">
        <v>4351</v>
      </c>
      <c r="D24" s="1">
        <v>71.14</v>
      </c>
      <c r="E24" s="1">
        <v>6.27</v>
      </c>
      <c r="F24" s="1">
        <v>30.53</v>
      </c>
      <c r="G24" s="1">
        <v>4.99</v>
      </c>
      <c r="H24" s="1">
        <v>11.346092503987242</v>
      </c>
      <c r="I24" s="1">
        <v>2.3301670488044546</v>
      </c>
      <c r="J24" s="1">
        <v>17.48</v>
      </c>
      <c r="K24" s="1">
        <v>7.62</v>
      </c>
      <c r="L24" s="1">
        <v>2.2400000000000002</v>
      </c>
      <c r="M24" s="1">
        <v>14.256513026052104</v>
      </c>
      <c r="N24" s="1">
        <v>-1.0114766626679996</v>
      </c>
      <c r="O24" s="1">
        <v>-0.48729966344976194</v>
      </c>
      <c r="P24" s="1">
        <v>-0.17116583639085081</v>
      </c>
      <c r="Q24" s="1">
        <v>0.76793026258293062</v>
      </c>
      <c r="R24" s="1">
        <v>-0.10716898203103056</v>
      </c>
      <c r="S24" s="1">
        <v>-0.59089006655821463</v>
      </c>
      <c r="T24">
        <f t="shared" si="0"/>
        <v>4</v>
      </c>
    </row>
    <row r="25" spans="1:20" x14ac:dyDescent="0.25">
      <c r="A25" t="str">
        <v>Trading Companies &amp; Distributors</v>
      </c>
      <c r="B25" t="str">
        <v>BCC</v>
      </c>
      <c r="C25" s="2">
        <v>5602</v>
      </c>
      <c r="D25" s="1">
        <v>88.65</v>
      </c>
      <c r="E25" s="1">
        <v>6.56</v>
      </c>
      <c r="F25" s="1">
        <v>55.22</v>
      </c>
      <c r="G25" s="1">
        <v>10.210000000000001</v>
      </c>
      <c r="H25" s="1">
        <v>13.513719512195124</v>
      </c>
      <c r="I25" s="1">
        <v>1.6053965954364362</v>
      </c>
      <c r="J25" s="1">
        <v>18.28</v>
      </c>
      <c r="K25" s="1">
        <v>9.3800000000000008</v>
      </c>
      <c r="L25" s="1">
        <v>1.62</v>
      </c>
      <c r="M25" s="1">
        <v>8.6826640548481873</v>
      </c>
      <c r="N25" s="1">
        <v>-0.26234119344156742</v>
      </c>
      <c r="O25" s="1">
        <v>-0.97478395105687921</v>
      </c>
      <c r="P25" s="1">
        <v>-0.14147899431088398</v>
      </c>
      <c r="Q25" s="1">
        <v>1.4774256978261671</v>
      </c>
      <c r="R25" s="1">
        <v>-1.1300365505262648</v>
      </c>
      <c r="S25" s="1">
        <v>-1.5320796228413269</v>
      </c>
      <c r="T25">
        <f t="shared" si="0"/>
        <v>4</v>
      </c>
    </row>
    <row r="26" spans="1:20" x14ac:dyDescent="0.25">
      <c r="A26" t="str">
        <v>Trading Companies &amp; Distributors</v>
      </c>
      <c r="B26" t="str">
        <v>GMS</v>
      </c>
      <c r="C26" s="2">
        <v>3772</v>
      </c>
      <c r="D26" s="1">
        <v>79.17</v>
      </c>
      <c r="E26" s="1">
        <v>8.7899999999999991</v>
      </c>
      <c r="F26" s="1">
        <v>37.43</v>
      </c>
      <c r="G26" s="1">
        <v>6.07</v>
      </c>
      <c r="H26" s="1">
        <v>9.0068259385665534</v>
      </c>
      <c r="I26" s="1">
        <v>2.1151482767833287</v>
      </c>
      <c r="J26" s="1">
        <v>17.45</v>
      </c>
      <c r="K26" s="1">
        <v>7.14</v>
      </c>
      <c r="L26" s="1">
        <v>2.65</v>
      </c>
      <c r="M26" s="1">
        <v>13.042833607907742</v>
      </c>
      <c r="N26" s="1">
        <v>-0.57375557328410065</v>
      </c>
      <c r="O26" s="1">
        <v>-0.37922157149133984</v>
      </c>
      <c r="P26" s="1">
        <v>-0.29083042868676201</v>
      </c>
      <c r="Q26" s="1">
        <v>0.43971462498667435</v>
      </c>
      <c r="R26" s="1">
        <v>-0.38072046873953524</v>
      </c>
      <c r="S26" s="1">
        <v>-0.54431211104868438</v>
      </c>
      <c r="T26">
        <f t="shared" si="0"/>
        <v>3</v>
      </c>
    </row>
    <row r="27" spans="1:20" x14ac:dyDescent="0.25">
      <c r="A27" t="str">
        <v>Transportation Infrastructure</v>
      </c>
      <c r="B27" t="str">
        <v>ASR</v>
      </c>
      <c r="C27" s="2">
        <v>7938</v>
      </c>
      <c r="D27" s="1">
        <v>318.89999999999998</v>
      </c>
      <c r="E27" s="1">
        <v>1.94</v>
      </c>
      <c r="F27" s="1">
        <v>8.52</v>
      </c>
      <c r="G27" s="1">
        <v>2.15</v>
      </c>
      <c r="H27" s="1">
        <v>164.38144329896906</v>
      </c>
      <c r="I27" s="1">
        <v>37.429577464788728</v>
      </c>
      <c r="J27" s="1">
        <v>24.24</v>
      </c>
      <c r="K27" s="1">
        <v>13.92</v>
      </c>
      <c r="L27" s="1">
        <v>1.56</v>
      </c>
      <c r="M27" s="1">
        <v>148.32558139534882</v>
      </c>
      <c r="N27" s="1">
        <v>-0.12469798153626421</v>
      </c>
      <c r="O27" s="1">
        <v>-0.50793745200250318</v>
      </c>
      <c r="P27" s="1">
        <v>-1.0334060017792572</v>
      </c>
      <c r="Q27" s="1">
        <v>0.21684089921077879</v>
      </c>
      <c r="R27" s="1">
        <v>-1.584376190519037</v>
      </c>
      <c r="S27" s="1">
        <v>-0.82733845773550596</v>
      </c>
      <c r="T27">
        <f t="shared" si="0"/>
        <v>3</v>
      </c>
    </row>
    <row r="28" spans="1:20" x14ac:dyDescent="0.25">
      <c r="T28" t="e">
        <f t="shared" si="0"/>
        <v>#N/A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23" priority="1">
      <formula>$I9 &lt; (0.7*VLOOKUP($A9, Mean_PB_M, 2, FALSE))</formula>
    </cfRule>
  </conditionalFormatting>
  <conditionalFormatting sqref="J9:J1048576">
    <cfRule type="expression" dxfId="22" priority="3">
      <formula>$J9 &gt; VLOOKUP($A9, Mean_ROE_M, 2, FALSE)</formula>
    </cfRule>
  </conditionalFormatting>
  <conditionalFormatting sqref="K9:K1048576">
    <cfRule type="expression" dxfId="21" priority="4">
      <formula>$K9 &gt; VLOOKUP($A9, Mean_ROA_M, 2, FALSE)</formula>
    </cfRule>
  </conditionalFormatting>
  <conditionalFormatting sqref="M9:M1048576">
    <cfRule type="expression" dxfId="20" priority="5">
      <formula>AND($M9&gt;1, $M9&lt;25, $M9 &lt; VLOOKUP($A9, Mean_PE_M, 2, FALSE))</formula>
    </cfRule>
    <cfRule type="expression" dxfId="19" priority="6">
      <formula>AND($M9&gt;1, $M9&lt;25)</formula>
    </cfRule>
    <cfRule type="expression" dxfId="18" priority="7">
      <formula xml:space="preserve"> $M9 &lt; VLOOKUP($A9, Mean_PE_M, 2, FALSE)</formula>
    </cfRule>
  </conditionalFormatting>
  <conditionalFormatting sqref="N9:N1048576">
    <cfRule type="expression" dxfId="17" priority="8">
      <formula>$N9&lt;0</formula>
    </cfRule>
  </conditionalFormatting>
  <conditionalFormatting sqref="O9:O1048576">
    <cfRule type="expression" dxfId="16" priority="9">
      <formula>$O9&lt;0</formula>
    </cfRule>
  </conditionalFormatting>
  <conditionalFormatting sqref="P9:P1048576">
    <cfRule type="expression" dxfId="15" priority="10">
      <formula>$P9&gt;0</formula>
    </cfRule>
  </conditionalFormatting>
  <conditionalFormatting sqref="Q9:Q1048576">
    <cfRule type="expression" dxfId="14" priority="11">
      <formula>$Q9&gt;0</formula>
    </cfRule>
  </conditionalFormatting>
  <conditionalFormatting sqref="R9:R1048576">
    <cfRule type="expression" dxfId="13" priority="12">
      <formula>$R9&lt;0</formula>
    </cfRule>
  </conditionalFormatting>
  <conditionalFormatting sqref="S9:S1048576">
    <cfRule type="expression" dxfId="12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3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1" sqref="J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Builder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5" t="s">
        <v>89</v>
      </c>
      <c r="D2" s="56"/>
      <c r="E2" s="56"/>
      <c r="F2" s="56"/>
      <c r="G2" s="56"/>
      <c r="H2" s="57"/>
      <c r="I2" s="58" t="s">
        <v>69</v>
      </c>
      <c r="J2" s="59"/>
      <c r="K2" s="59"/>
      <c r="L2" s="59"/>
      <c r="M2" s="60"/>
      <c r="N2" s="62" t="s">
        <v>86</v>
      </c>
      <c r="O2" s="63"/>
      <c r="P2" s="63"/>
      <c r="Q2" s="63"/>
      <c r="R2" s="63"/>
      <c r="S2" s="64"/>
      <c r="T2" s="61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65" t="s">
        <v>586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6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5</v>
      </c>
      <c r="C6" s="37"/>
      <c r="D6" s="38"/>
      <c r="E6" s="38"/>
      <c r="F6" s="38"/>
      <c r="G6" s="38"/>
      <c r="H6" s="39"/>
      <c r="I6" s="51"/>
      <c r="J6" s="49"/>
      <c r="K6" s="49"/>
      <c r="L6" s="6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3">_xlfn._xlws.FILTER(_xlfn._xlws.FILTER(Main_S[], Main_S[Preliminary Criteria]="YES"), COUNTIF($A$8:$S$8,Main_S[#Headers]))</f>
        <v>Building Products</v>
      </c>
      <c r="B9" t="str">
        <v>NX</v>
      </c>
      <c r="C9">
        <v>1379</v>
      </c>
      <c r="D9">
        <v>19.02</v>
      </c>
      <c r="E9">
        <v>2.72</v>
      </c>
      <c r="F9">
        <v>18.07</v>
      </c>
      <c r="G9">
        <v>2.25</v>
      </c>
      <c r="H9" s="1">
        <v>6.992647058823529</v>
      </c>
      <c r="I9" s="1">
        <v>1.0525733259546208</v>
      </c>
      <c r="J9" s="1">
        <v>13.28</v>
      </c>
      <c r="K9" s="1">
        <v>6.27</v>
      </c>
      <c r="L9" s="1">
        <v>1.47</v>
      </c>
      <c r="M9" s="1">
        <v>8.4533333333333331</v>
      </c>
      <c r="N9" s="1">
        <v>-0.7871636248577516</v>
      </c>
      <c r="O9" s="1">
        <v>-0.66287707172173937</v>
      </c>
      <c r="P9" s="1">
        <v>-0.22411008223356332</v>
      </c>
      <c r="Q9" s="1">
        <v>2.290339287184635E-2</v>
      </c>
      <c r="R9" s="1">
        <v>-0.66398723831530349</v>
      </c>
      <c r="S9" s="1">
        <v>-0.84693055129353689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3</v>
      </c>
    </row>
    <row r="10" spans="1:20" x14ac:dyDescent="0.25">
      <c r="A10" t="str">
        <v>Commercial Services &amp; Supplies</v>
      </c>
      <c r="B10" t="str">
        <v>EBF</v>
      </c>
      <c r="C10">
        <v>550</v>
      </c>
      <c r="D10">
        <v>18.649999999999999</v>
      </c>
      <c r="E10">
        <v>2.42</v>
      </c>
      <c r="F10">
        <v>13.8</v>
      </c>
      <c r="G10">
        <v>1.57</v>
      </c>
      <c r="H10" s="1">
        <v>7.7066115702479339</v>
      </c>
      <c r="I10" s="1">
        <v>1.3514492753623186</v>
      </c>
      <c r="J10" s="1">
        <v>11.7</v>
      </c>
      <c r="K10" s="1">
        <v>8.0299999999999994</v>
      </c>
      <c r="L10" s="1">
        <v>1.1399999999999999</v>
      </c>
      <c r="M10" s="1">
        <v>11.878980891719744</v>
      </c>
      <c r="N10" s="1">
        <v>-0.26413135934270726</v>
      </c>
      <c r="O10" s="1">
        <v>-0.19166509273899995</v>
      </c>
      <c r="P10" s="1">
        <v>0.49888676093956352</v>
      </c>
      <c r="Q10" s="1">
        <v>2.0537326708830146</v>
      </c>
      <c r="R10" s="1">
        <v>-1.3036211474353101</v>
      </c>
      <c r="S10" s="1">
        <v>0.1010032815134663</v>
      </c>
      <c r="T10">
        <f>SUM(IF($I10 &lt; (0.7*VLOOKUP($A10, Mean_PB_S, 2, FALSE)),1,0), IF($J10&gt;VLOOKUP($A10, Mean_ROE_S, 2, FALSE),1,0), IF($K10&gt;VLOOKUP($A10, Mean_ROA_S, 2,FALSE),1,0), IF($M10&lt;VLOOKUP($A10, Mean_PE_S, 2, FALSE),1,0), IF(AND($M10&gt;1,$M10&lt;25),1,0))</f>
        <v>3</v>
      </c>
    </row>
    <row r="11" spans="1:20" x14ac:dyDescent="0.25">
      <c r="A11" t="str">
        <v>Commercial Services &amp; Supplies</v>
      </c>
      <c r="B11" t="str">
        <v>VIRC</v>
      </c>
      <c r="C11">
        <v>266</v>
      </c>
      <c r="D11">
        <v>8.44</v>
      </c>
      <c r="E11">
        <v>3.11</v>
      </c>
      <c r="F11">
        <v>6.62</v>
      </c>
      <c r="G11">
        <v>1.63</v>
      </c>
      <c r="H11" s="1">
        <v>2.7138263665594855</v>
      </c>
      <c r="I11" s="1">
        <v>1.2749244712990935</v>
      </c>
      <c r="J11" s="1">
        <v>28.18</v>
      </c>
      <c r="K11" s="1">
        <v>10.67</v>
      </c>
      <c r="L11" s="1">
        <v>2.0099999999999998</v>
      </c>
      <c r="M11" s="1">
        <v>5.1779141104294482</v>
      </c>
      <c r="N11" s="1">
        <v>-0.61065071654307579</v>
      </c>
      <c r="O11" s="1">
        <v>-0.34099266703064085</v>
      </c>
      <c r="P11" s="1">
        <v>1.8149830984269988</v>
      </c>
      <c r="Q11" s="1">
        <v>3.554974739835099</v>
      </c>
      <c r="R11" s="1">
        <v>-0.6184428464144619</v>
      </c>
      <c r="S11" s="1">
        <v>-0.33011905613938514</v>
      </c>
      <c r="T11">
        <f>SUM(IF($I11 &lt; (0.7*VLOOKUP($A11, Mean_PB_S, 2, FALSE)),1,0), IF($J11&gt;VLOOKUP($A11, Mean_ROE_S, 2, FALSE),1,0), IF($K11&gt;VLOOKUP($A11, Mean_ROA_S, 2,FALSE),1,0), IF($M11&lt;VLOOKUP($A11, Mean_PE_S, 2, FALSE),1,0), IF(AND($M11&gt;1,$M11&lt;25),1,0))</f>
        <v>4</v>
      </c>
    </row>
    <row r="12" spans="1:20" x14ac:dyDescent="0.25">
      <c r="A12" t="str">
        <v>Trading Companies &amp; Distributors</v>
      </c>
      <c r="B12" t="str">
        <v>DNOW</v>
      </c>
      <c r="C12">
        <v>1549</v>
      </c>
      <c r="D12">
        <v>14.81</v>
      </c>
      <c r="E12">
        <v>2.56</v>
      </c>
      <c r="F12">
        <v>10.51</v>
      </c>
      <c r="G12">
        <v>1.88</v>
      </c>
      <c r="H12" s="1">
        <v>5.78515625</v>
      </c>
      <c r="I12" s="1">
        <v>1.4091341579448144</v>
      </c>
      <c r="J12" s="1">
        <v>20.350000000000001</v>
      </c>
      <c r="K12" s="1">
        <v>5.95</v>
      </c>
      <c r="L12" s="1">
        <v>1.42</v>
      </c>
      <c r="M12" s="1">
        <v>7.877659574468086</v>
      </c>
      <c r="N12" s="1">
        <v>-5.2234660925437819E-2</v>
      </c>
      <c r="O12" s="1">
        <v>-0.67074910060544879</v>
      </c>
      <c r="P12" s="1">
        <v>1.1313326581185204</v>
      </c>
      <c r="Q12" s="1">
        <v>0.45833344113290553</v>
      </c>
      <c r="R12" s="1">
        <v>-1.0944641472414125</v>
      </c>
      <c r="S12" s="1">
        <v>-0.64630336320627169</v>
      </c>
      <c r="T12">
        <f>SUM(IF($I12 &lt; (0.7*VLOOKUP($A12, Mean_PB_S, 2, FALSE)),1,0), IF($J12&gt;VLOOKUP($A12, Mean_ROE_S, 2, FALSE),1,0), IF($K12&gt;VLOOKUP($A12, Mean_ROA_S, 2,FALSE),1,0), IF($M12&lt;VLOOKUP($A12, Mean_PE_S, 2, FALSE),1,0), IF(AND($M12&gt;1,$M12&lt;25),1,0))</f>
        <v>5</v>
      </c>
    </row>
    <row r="13" spans="1:20" x14ac:dyDescent="0.25">
      <c r="A13" t="str">
        <v>Trading Companies &amp; Distributors</v>
      </c>
      <c r="B13" t="str">
        <v>HDSN</v>
      </c>
      <c r="C13">
        <v>264</v>
      </c>
      <c r="D13">
        <v>7.31</v>
      </c>
      <c r="E13">
        <v>1.78</v>
      </c>
      <c r="F13">
        <v>5.62</v>
      </c>
      <c r="G13">
        <v>0.65</v>
      </c>
      <c r="H13" s="1">
        <v>4.106741573033708</v>
      </c>
      <c r="I13" s="1">
        <v>1.300711743772242</v>
      </c>
      <c r="J13" s="1">
        <v>12.92</v>
      </c>
      <c r="K13" s="1">
        <v>7.76</v>
      </c>
      <c r="L13" s="1">
        <v>1.22</v>
      </c>
      <c r="M13" s="1">
        <v>11.246153846153845</v>
      </c>
      <c r="N13" s="1">
        <v>-0.18351331322195791</v>
      </c>
      <c r="O13" s="1">
        <v>-0.7626438481882345</v>
      </c>
      <c r="P13" s="1">
        <v>0.45227716077196117</v>
      </c>
      <c r="Q13" s="1">
        <v>1.0331026294358332</v>
      </c>
      <c r="R13" s="1">
        <v>-1.334817058008154</v>
      </c>
      <c r="S13" s="1">
        <v>-0.39115774982557233</v>
      </c>
      <c r="T13">
        <f>SUM(IF($I13 &lt; (0.7*VLOOKUP($A13, Mean_PB_S, 2, FALSE)),1,0), IF($J13&gt;VLOOKUP($A13, Mean_ROE_S, 2, FALSE),1,0), IF($K13&gt;VLOOKUP($A13, Mean_ROA_S, 2,FALSE),1,0), IF($M13&lt;VLOOKUP($A13, Mean_PE_S, 2, FALSE),1,0), IF(AND($M13&gt;1,$M13&lt;25),1,0))</f>
        <v>5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1" priority="1">
      <formula>$I9 &lt; (0.7*VLOOKUP($A9, Mean_PB_S, 2, FALSE))</formula>
    </cfRule>
  </conditionalFormatting>
  <conditionalFormatting sqref="J9:J1048576">
    <cfRule type="expression" dxfId="10" priority="3">
      <formula>$J9 &gt; VLOOKUP($A9, Mean_ROE_S, 2, FALSE)</formula>
    </cfRule>
  </conditionalFormatting>
  <conditionalFormatting sqref="K9:K1048576">
    <cfRule type="expression" dxfId="9" priority="4">
      <formula>$K9 &gt; VLOOKUP($A9, Mean_ROA_S, 2, FALSE)</formula>
    </cfRule>
  </conditionalFormatting>
  <conditionalFormatting sqref="M9:M1048576">
    <cfRule type="expression" dxfId="8" priority="5">
      <formula>AND($M9&gt;1, $M9&lt;25, $M9 &lt; VLOOKUP($A9, Mean_PE_S, 2, FALSE))</formula>
    </cfRule>
    <cfRule type="expression" dxfId="7" priority="6">
      <formula>AND($M9&gt;1, $M9&lt;25)</formula>
    </cfRule>
    <cfRule type="expression" dxfId="6" priority="7">
      <formula xml:space="preserve"> $M9 &lt; VLOOKUP($A9, Mean_PE_S, 2, FALSE)</formula>
    </cfRule>
  </conditionalFormatting>
  <conditionalFormatting sqref="N9:N1048576">
    <cfRule type="expression" dxfId="5" priority="8">
      <formula>$N9&lt;0</formula>
    </cfRule>
  </conditionalFormatting>
  <conditionalFormatting sqref="O9:O1048576">
    <cfRule type="expression" dxfId="4" priority="9">
      <formula>$O9&lt;0</formula>
    </cfRule>
  </conditionalFormatting>
  <conditionalFormatting sqref="P9:P1048576">
    <cfRule type="expression" dxfId="3" priority="10">
      <formula>$P9&gt;0</formula>
    </cfRule>
  </conditionalFormatting>
  <conditionalFormatting sqref="Q9:Q1048576">
    <cfRule type="expression" dxfId="2" priority="11">
      <formula>$Q9&gt;0</formula>
    </cfRule>
  </conditionalFormatting>
  <conditionalFormatting sqref="R9:R1048576">
    <cfRule type="expression" dxfId="1" priority="12">
      <formula>$R9&lt;0</formula>
    </cfRule>
  </conditionalFormatting>
  <conditionalFormatting sqref="S9:S1048576">
    <cfRule type="expression" dxfId="0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2025-06-09T20:14:26Z</dcterms:modified>
</cp:coreProperties>
</file>
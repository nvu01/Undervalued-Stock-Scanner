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PROJECTS\Undervalued Stock Scanner\Main\Results\"/>
    </mc:Choice>
  </mc:AlternateContent>
  <xr:revisionPtr revIDLastSave="0" documentId="13_ncr:1_{4D4582AC-223A-48B3-A19A-C249FE88E136}" xr6:coauthVersionLast="47" xr6:coauthVersionMax="47" xr10:uidLastSave="{00000000-0000-0000-0000-000000000000}"/>
  <bookViews>
    <workbookView xWindow="-120" yWindow="-120" windowWidth="29040" windowHeight="15720" firstSheet="5" activeTab="8" xr2:uid="{4DD57E3E-5037-436A-BD0D-C524F435A914}"/>
  </bookViews>
  <sheets>
    <sheet name="Dynamic Path" sheetId="15" state="hidden" r:id="rId1"/>
    <sheet name="Main_L" sheetId="2" state="hidden" r:id="rId2"/>
    <sheet name="Main_M" sheetId="3" state="hidden" r:id="rId3"/>
    <sheet name="Main_S" sheetId="4" state="hidden" r:id="rId4"/>
    <sheet name="Quartile Tables" sheetId="1" state="hidden" r:id="rId5"/>
    <sheet name="Mean_L" sheetId="7" r:id="rId6"/>
    <sheet name="Mean_M" sheetId="14" r:id="rId7"/>
    <sheet name="Mean_S" sheetId="13" r:id="rId8"/>
    <sheet name="Result_L" sheetId="9" r:id="rId9"/>
    <sheet name="Result_M" sheetId="11" r:id="rId10"/>
    <sheet name="Result_S" sheetId="12" r:id="rId11"/>
  </sheets>
  <definedNames>
    <definedName name="_xlnm._FilterDatabase" localSheetId="8" hidden="1">Result_L!$A$8:$T$8</definedName>
    <definedName name="_xlnm._FilterDatabase" localSheetId="9" hidden="1">Result_M!$A$8:$T$8</definedName>
    <definedName name="_xlnm._FilterDatabase" localSheetId="10" hidden="1">Result_S!$A$8:$T$8</definedName>
    <definedName name="_xleta.LARGE" hidden="1" xlm="1">#NAME?</definedName>
    <definedName name="_xleta.LEFT" hidden="1" xlm="1">#NAME?</definedName>
    <definedName name="_xleta.MID" hidden="1" xlm="1">#NAME?</definedName>
    <definedName name="ExternalData_1" localSheetId="1" hidden="1">Main_L!$A$1:$M$39</definedName>
    <definedName name="ExternalData_1" localSheetId="2" hidden="1">Main_M!$A$1:$M$36</definedName>
    <definedName name="ExternalData_1" localSheetId="3" hidden="1">Main_S!$A$1:$M$19</definedName>
    <definedName name="ExternalData_5" localSheetId="4" hidden="1">'Quartile Tables'!$A$2:$Y$7</definedName>
    <definedName name="ExternalData_6" localSheetId="4" hidden="1">'Quartile Tables'!$A$11:$Y$16</definedName>
    <definedName name="ExternalData_7" localSheetId="4" hidden="1">'Quartile Tables'!$A$20:$Y$25</definedName>
    <definedName name="Mean_AE_L">Mean_L!$E$24:$G$38</definedName>
    <definedName name="Mean_AE_M">Mean_M!$E$24:$G$38</definedName>
    <definedName name="Mean_AE_S">Mean_S!$E$24:$G$38</definedName>
    <definedName name="Mean_PB_L">Mean_L!$E$4:$G$18</definedName>
    <definedName name="Mean_PB_M">Mean_M!$E$4:$G$18</definedName>
    <definedName name="Mean_PB_S">Mean_S!$E$4:$G$18</definedName>
    <definedName name="Mean_PE_L">Mean_L!$I$24:$K$38</definedName>
    <definedName name="Mean_PE_M">Mean_M!$I$24:$K$38</definedName>
    <definedName name="Mean_PE_S">Mean_S!$I$24:$K$38</definedName>
    <definedName name="Mean_PFCF_L">Mean_L!$A$4:$C$18</definedName>
    <definedName name="Mean_PFCF_M">Mean_M!$A$4:$C$18</definedName>
    <definedName name="Mean_PFCF_S">Mean_S!$A$4:$C$18</definedName>
    <definedName name="Mean_ROA_L">Mean_L!$A$24:$C$38</definedName>
    <definedName name="Mean_ROA_M">Mean_M!$A$24:$C$38</definedName>
    <definedName name="Mean_ROA_S">Mean_S!$A$24:$C$38</definedName>
    <definedName name="Mean_ROE_L">Mean_L!$I$4:$K$18</definedName>
    <definedName name="Mean_ROE_M">Mean_M!$I$4:$K$18</definedName>
    <definedName name="Mean_ROE_S">Mean_S!$I$4:$K$18</definedName>
  </definedNames>
  <calcPr calcId="191029"/>
  <pivotCaches>
    <pivotCache cacheId="92" r:id="rId12"/>
    <pivotCache cacheId="152" r:id="rId13"/>
    <pivotCache cacheId="212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5" i="1" l="1"/>
  <c r="Y24" i="1"/>
  <c r="Y23" i="1"/>
  <c r="Y22" i="1"/>
  <c r="Y21" i="1"/>
  <c r="X25" i="1"/>
  <c r="Y9" i="4" s="1"/>
  <c r="X24" i="1"/>
  <c r="X23" i="1"/>
  <c r="X22" i="1"/>
  <c r="X21" i="1"/>
  <c r="Y2" i="4" s="1"/>
  <c r="W25" i="1" a="1"/>
  <c r="W25" i="1" s="1"/>
  <c r="W24" i="1" a="1"/>
  <c r="W24" i="1"/>
  <c r="W23" i="1" a="1"/>
  <c r="W23" i="1"/>
  <c r="W22" i="1" a="1"/>
  <c r="W22" i="1" s="1"/>
  <c r="W21" i="1" a="1"/>
  <c r="W21" i="1" s="1"/>
  <c r="V25" i="1" a="1"/>
  <c r="V25" i="1" s="1"/>
  <c r="V24" i="1" a="1"/>
  <c r="V24" i="1" s="1"/>
  <c r="V23" i="1" a="1"/>
  <c r="V23" i="1"/>
  <c r="V22" i="1" a="1"/>
  <c r="V22" i="1" s="1"/>
  <c r="V21" i="1" a="1"/>
  <c r="V21" i="1" s="1"/>
  <c r="Q25" i="1"/>
  <c r="Q24" i="1"/>
  <c r="X14" i="4" s="1"/>
  <c r="Q23" i="1"/>
  <c r="X13" i="4" s="1"/>
  <c r="Q22" i="1"/>
  <c r="Q21" i="1"/>
  <c r="P25" i="1"/>
  <c r="P24" i="1"/>
  <c r="P23" i="1"/>
  <c r="P22" i="1"/>
  <c r="P21" i="1"/>
  <c r="O25" i="1" a="1"/>
  <c r="O25" i="1"/>
  <c r="O24" i="1" a="1"/>
  <c r="O24" i="1" s="1"/>
  <c r="O23" i="1" a="1"/>
  <c r="O23" i="1"/>
  <c r="O22" i="1" a="1"/>
  <c r="O22" i="1"/>
  <c r="O21" i="1" a="1"/>
  <c r="O21" i="1" s="1"/>
  <c r="N25" i="1" a="1"/>
  <c r="N25" i="1"/>
  <c r="N24" i="1" a="1"/>
  <c r="N24" i="1" s="1"/>
  <c r="N23" i="1" a="1"/>
  <c r="N23" i="1"/>
  <c r="N22" i="1" a="1"/>
  <c r="N22" i="1"/>
  <c r="N21" i="1" a="1"/>
  <c r="N21" i="1" s="1"/>
  <c r="M25" i="1"/>
  <c r="M24" i="1"/>
  <c r="W17" i="4" s="1"/>
  <c r="M23" i="1"/>
  <c r="M22" i="1"/>
  <c r="M21" i="1"/>
  <c r="L25" i="1"/>
  <c r="L24" i="1"/>
  <c r="L23" i="1"/>
  <c r="L22" i="1"/>
  <c r="L21" i="1"/>
  <c r="W2" i="4" s="1"/>
  <c r="K25" i="1" a="1"/>
  <c r="K25" i="1"/>
  <c r="K24" i="1" a="1"/>
  <c r="K24" i="1" s="1"/>
  <c r="K23" i="1" a="1"/>
  <c r="K23" i="1" s="1"/>
  <c r="K22" i="1" a="1"/>
  <c r="K22" i="1"/>
  <c r="K21" i="1" a="1"/>
  <c r="K21" i="1"/>
  <c r="J25" i="1" a="1"/>
  <c r="J25" i="1"/>
  <c r="J24" i="1" a="1"/>
  <c r="J24" i="1"/>
  <c r="J23" i="1" a="1"/>
  <c r="J23" i="1"/>
  <c r="J22" i="1" a="1"/>
  <c r="J22" i="1"/>
  <c r="J21" i="1" a="1"/>
  <c r="J21" i="1" s="1"/>
  <c r="Y16" i="1"/>
  <c r="Y15" i="1"/>
  <c r="Y14" i="1"/>
  <c r="Y13" i="1"/>
  <c r="Y12" i="1"/>
  <c r="X16" i="1"/>
  <c r="X15" i="1"/>
  <c r="X14" i="1"/>
  <c r="X13" i="1"/>
  <c r="X12" i="1"/>
  <c r="W16" i="1" a="1"/>
  <c r="W16" i="1" s="1"/>
  <c r="W15" i="1" a="1"/>
  <c r="W15" i="1"/>
  <c r="W14" i="1" a="1"/>
  <c r="W14" i="1" s="1"/>
  <c r="W13" i="1" a="1"/>
  <c r="W13" i="1" s="1"/>
  <c r="W12" i="1" a="1"/>
  <c r="W12" i="1"/>
  <c r="V16" i="1" a="1"/>
  <c r="V16" i="1"/>
  <c r="V15" i="1" a="1"/>
  <c r="V15" i="1" s="1"/>
  <c r="V14" i="1" a="1"/>
  <c r="V14" i="1"/>
  <c r="V13" i="1" a="1"/>
  <c r="V13" i="1"/>
  <c r="V12" i="1" a="1"/>
  <c r="V12" i="1" s="1"/>
  <c r="Q16" i="1"/>
  <c r="Q15" i="1"/>
  <c r="Q14" i="1"/>
  <c r="Q13" i="1"/>
  <c r="W15" i="3" s="1"/>
  <c r="Q12" i="1"/>
  <c r="P16" i="1"/>
  <c r="P15" i="1"/>
  <c r="P14" i="1"/>
  <c r="P13" i="1"/>
  <c r="P12" i="1"/>
  <c r="O16" i="1" a="1"/>
  <c r="O16" i="1" s="1"/>
  <c r="O15" i="1" a="1"/>
  <c r="O15" i="1" s="1"/>
  <c r="O14" i="1" a="1"/>
  <c r="O14" i="1" s="1"/>
  <c r="O13" i="1" a="1"/>
  <c r="O13" i="1" s="1"/>
  <c r="O12" i="1" a="1"/>
  <c r="O12" i="1" s="1"/>
  <c r="N16" i="1" a="1"/>
  <c r="N16" i="1"/>
  <c r="N15" i="1" a="1"/>
  <c r="N15" i="1" s="1"/>
  <c r="N14" i="1" a="1"/>
  <c r="N14" i="1" s="1"/>
  <c r="N13" i="1" a="1"/>
  <c r="N13" i="1"/>
  <c r="N12" i="1" a="1"/>
  <c r="N12" i="1" s="1"/>
  <c r="M16" i="1"/>
  <c r="M15" i="1"/>
  <c r="M14" i="1"/>
  <c r="M13" i="1"/>
  <c r="M12" i="1"/>
  <c r="L16" i="1"/>
  <c r="L15" i="1"/>
  <c r="L14" i="1"/>
  <c r="X33" i="3" s="1"/>
  <c r="L13" i="1"/>
  <c r="L12" i="1"/>
  <c r="X6" i="3" s="1"/>
  <c r="K16" i="1" a="1"/>
  <c r="K16" i="1" s="1"/>
  <c r="K15" i="1" a="1"/>
  <c r="K15" i="1"/>
  <c r="K14" i="1" a="1"/>
  <c r="K14" i="1" s="1"/>
  <c r="K13" i="1" a="1"/>
  <c r="K13" i="1"/>
  <c r="K12" i="1" a="1"/>
  <c r="K12" i="1" s="1"/>
  <c r="J16" i="1" a="1"/>
  <c r="J16" i="1"/>
  <c r="J15" i="1" a="1"/>
  <c r="J15" i="1"/>
  <c r="J14" i="1" a="1"/>
  <c r="J14" i="1"/>
  <c r="J13" i="1" a="1"/>
  <c r="J13" i="1" s="1"/>
  <c r="J12" i="1" a="1"/>
  <c r="J12" i="1" s="1"/>
  <c r="Y7" i="1"/>
  <c r="Y6" i="1"/>
  <c r="Y38" i="2" s="1"/>
  <c r="Y5" i="1"/>
  <c r="Y4" i="1"/>
  <c r="Y3" i="1"/>
  <c r="Y10" i="2" s="1"/>
  <c r="X7" i="1"/>
  <c r="X6" i="1"/>
  <c r="X5" i="1"/>
  <c r="X4" i="1"/>
  <c r="X3" i="1"/>
  <c r="W7" i="1" a="1"/>
  <c r="W7" i="1" s="1"/>
  <c r="W6" i="1" a="1"/>
  <c r="W6" i="1"/>
  <c r="W5" i="1" a="1"/>
  <c r="W5" i="1" s="1"/>
  <c r="W4" i="1" a="1"/>
  <c r="W4" i="1" s="1"/>
  <c r="W3" i="1" a="1"/>
  <c r="W3" i="1" s="1"/>
  <c r="V7" i="1" a="1"/>
  <c r="V7" i="1" s="1"/>
  <c r="V6" i="1" a="1"/>
  <c r="V6" i="1" s="1"/>
  <c r="V5" i="1" a="1"/>
  <c r="V5" i="1" s="1"/>
  <c r="V4" i="1" a="1"/>
  <c r="V4" i="1" s="1"/>
  <c r="V3" i="1" a="1"/>
  <c r="V3" i="1" s="1"/>
  <c r="Q7" i="1"/>
  <c r="Q6" i="1"/>
  <c r="Q5" i="1"/>
  <c r="Q4" i="1"/>
  <c r="Q3" i="1"/>
  <c r="P7" i="1"/>
  <c r="P6" i="1"/>
  <c r="P5" i="1"/>
  <c r="P4" i="1"/>
  <c r="P3" i="1"/>
  <c r="O7" i="1" a="1"/>
  <c r="O7" i="1"/>
  <c r="O6" i="1" a="1"/>
  <c r="O6" i="1"/>
  <c r="O5" i="1" a="1"/>
  <c r="O5" i="1"/>
  <c r="O4" i="1" a="1"/>
  <c r="O4" i="1"/>
  <c r="O3" i="1" a="1"/>
  <c r="O3" i="1"/>
  <c r="N7" i="1" a="1"/>
  <c r="N7" i="1"/>
  <c r="N6" i="1" a="1"/>
  <c r="N6" i="1" s="1"/>
  <c r="N5" i="1" a="1"/>
  <c r="N5" i="1" s="1"/>
  <c r="N4" i="1" a="1"/>
  <c r="N4" i="1" s="1"/>
  <c r="N3" i="1" a="1"/>
  <c r="N3" i="1"/>
  <c r="M7" i="1"/>
  <c r="M6" i="1"/>
  <c r="M5" i="1"/>
  <c r="W33" i="2" s="1"/>
  <c r="M4" i="1"/>
  <c r="M3" i="1"/>
  <c r="W2" i="2" s="1"/>
  <c r="L7" i="1"/>
  <c r="L6" i="1"/>
  <c r="L5" i="1"/>
  <c r="L4" i="1"/>
  <c r="L3" i="1"/>
  <c r="K7" i="1" a="1"/>
  <c r="K7" i="1"/>
  <c r="K6" i="1" a="1"/>
  <c r="K6" i="1" s="1"/>
  <c r="K5" i="1" a="1"/>
  <c r="K5" i="1" s="1"/>
  <c r="K4" i="1" a="1"/>
  <c r="K4" i="1" s="1"/>
  <c r="K3" i="1" a="1"/>
  <c r="K3" i="1" s="1"/>
  <c r="J7" i="1" a="1"/>
  <c r="J7" i="1" s="1"/>
  <c r="J6" i="1" a="1"/>
  <c r="J6" i="1"/>
  <c r="J5" i="1" a="1"/>
  <c r="J5" i="1" s="1"/>
  <c r="J4" i="1" a="1"/>
  <c r="J4" i="1"/>
  <c r="J3" i="1" a="1"/>
  <c r="J3" i="1"/>
  <c r="M18" i="4"/>
  <c r="M10" i="4"/>
  <c r="M6" i="4"/>
  <c r="M3" i="4"/>
  <c r="M2" i="4"/>
  <c r="I11" i="4"/>
  <c r="I10" i="4"/>
  <c r="I3" i="4"/>
  <c r="P3" i="4" s="1"/>
  <c r="I2" i="4"/>
  <c r="H18" i="4"/>
  <c r="H12" i="4"/>
  <c r="H2" i="4"/>
  <c r="D19" i="4"/>
  <c r="I19" i="4" s="1"/>
  <c r="D18" i="4"/>
  <c r="I18" i="4" s="1"/>
  <c r="D17" i="4"/>
  <c r="M17" i="4" s="1"/>
  <c r="T17" i="4" s="1"/>
  <c r="D16" i="4"/>
  <c r="H16" i="4" s="1"/>
  <c r="D15" i="4"/>
  <c r="H15" i="4" s="1"/>
  <c r="D14" i="4"/>
  <c r="D13" i="4"/>
  <c r="D12" i="4"/>
  <c r="M12" i="4" s="1"/>
  <c r="T12" i="4" s="1"/>
  <c r="D11" i="4"/>
  <c r="H11" i="4" s="1"/>
  <c r="O11" i="4" s="1"/>
  <c r="D10" i="4"/>
  <c r="H10" i="4" s="1"/>
  <c r="O10" i="4" s="1"/>
  <c r="D9" i="4"/>
  <c r="M9" i="4" s="1"/>
  <c r="T9" i="4" s="1"/>
  <c r="D8" i="4"/>
  <c r="M8" i="4" s="1"/>
  <c r="D7" i="4"/>
  <c r="D6" i="4"/>
  <c r="D5" i="4"/>
  <c r="M5" i="4" s="1"/>
  <c r="D4" i="4"/>
  <c r="M4" i="4" s="1"/>
  <c r="D3" i="4"/>
  <c r="H3" i="4" s="1"/>
  <c r="D2" i="4"/>
  <c r="M32" i="3"/>
  <c r="T32" i="3" s="1"/>
  <c r="M31" i="3"/>
  <c r="M30" i="3"/>
  <c r="T30" i="3" s="1"/>
  <c r="M29" i="3"/>
  <c r="T29" i="3" s="1"/>
  <c r="M28" i="3"/>
  <c r="T28" i="3" s="1"/>
  <c r="M23" i="3"/>
  <c r="T23" i="3" s="1"/>
  <c r="M22" i="3"/>
  <c r="T22" i="3" s="1"/>
  <c r="M15" i="3"/>
  <c r="M12" i="3"/>
  <c r="T12" i="3" s="1"/>
  <c r="M8" i="3"/>
  <c r="T8" i="3" s="1"/>
  <c r="M6" i="3"/>
  <c r="T6" i="3" s="1"/>
  <c r="I32" i="3"/>
  <c r="I31" i="3"/>
  <c r="I29" i="3"/>
  <c r="I28" i="3"/>
  <c r="I27" i="3"/>
  <c r="I26" i="3"/>
  <c r="I12" i="3"/>
  <c r="P12" i="3" s="1"/>
  <c r="I11" i="3"/>
  <c r="P11" i="3" s="1"/>
  <c r="I8" i="3"/>
  <c r="P8" i="3" s="1"/>
  <c r="I7" i="3"/>
  <c r="I5" i="3"/>
  <c r="I3" i="3"/>
  <c r="H32" i="3"/>
  <c r="H31" i="3"/>
  <c r="H30" i="3"/>
  <c r="O30" i="3" s="1"/>
  <c r="H23" i="3"/>
  <c r="H22" i="3"/>
  <c r="N22" i="3" s="1"/>
  <c r="H12" i="3"/>
  <c r="N12" i="3" s="1"/>
  <c r="H11" i="3"/>
  <c r="N11" i="3" s="1"/>
  <c r="H9" i="3"/>
  <c r="H6" i="3"/>
  <c r="O6" i="3" s="1"/>
  <c r="H5" i="3"/>
  <c r="O5" i="3" s="1"/>
  <c r="H4" i="3"/>
  <c r="O4" i="3" s="1"/>
  <c r="H3" i="3"/>
  <c r="H2" i="3"/>
  <c r="D36" i="3"/>
  <c r="D35" i="3"/>
  <c r="D34" i="3"/>
  <c r="D33" i="3"/>
  <c r="D32" i="3"/>
  <c r="D31" i="3"/>
  <c r="D30" i="3"/>
  <c r="I30" i="3" s="1"/>
  <c r="D29" i="3"/>
  <c r="H29" i="3" s="1"/>
  <c r="O29" i="3" s="1"/>
  <c r="D28" i="3"/>
  <c r="H28" i="3" s="1"/>
  <c r="D27" i="3"/>
  <c r="D26" i="3"/>
  <c r="M26" i="3" s="1"/>
  <c r="D25" i="3"/>
  <c r="M25" i="3" s="1"/>
  <c r="T25" i="3" s="1"/>
  <c r="D24" i="3"/>
  <c r="M24" i="3" s="1"/>
  <c r="T24" i="3" s="1"/>
  <c r="D23" i="3"/>
  <c r="I23" i="3" s="1"/>
  <c r="P23" i="3" s="1"/>
  <c r="D22" i="3"/>
  <c r="I22" i="3" s="1"/>
  <c r="D21" i="3"/>
  <c r="M21" i="3" s="1"/>
  <c r="T21" i="3" s="1"/>
  <c r="D20" i="3"/>
  <c r="M20" i="3" s="1"/>
  <c r="T20" i="3" s="1"/>
  <c r="D19" i="3"/>
  <c r="M19" i="3" s="1"/>
  <c r="D18" i="3"/>
  <c r="D17" i="3"/>
  <c r="I17" i="3" s="1"/>
  <c r="D16" i="3"/>
  <c r="D15" i="3"/>
  <c r="D14" i="3"/>
  <c r="M14" i="3" s="1"/>
  <c r="D13" i="3"/>
  <c r="D12" i="3"/>
  <c r="D11" i="3"/>
  <c r="M11" i="3" s="1"/>
  <c r="T11" i="3" s="1"/>
  <c r="D10" i="3"/>
  <c r="H10" i="3" s="1"/>
  <c r="O10" i="3" s="1"/>
  <c r="D9" i="3"/>
  <c r="I9" i="3" s="1"/>
  <c r="D8" i="3"/>
  <c r="H8" i="3" s="1"/>
  <c r="D7" i="3"/>
  <c r="D6" i="3"/>
  <c r="I6" i="3" s="1"/>
  <c r="D5" i="3"/>
  <c r="M5" i="3" s="1"/>
  <c r="D4" i="3"/>
  <c r="M4" i="3" s="1"/>
  <c r="T4" i="3" s="1"/>
  <c r="D3" i="3"/>
  <c r="M3" i="3" s="1"/>
  <c r="T3" i="3" s="1"/>
  <c r="D2" i="3"/>
  <c r="I2" i="3" s="1"/>
  <c r="P2" i="3" s="1"/>
  <c r="M37" i="2"/>
  <c r="T37" i="2" s="1"/>
  <c r="M35" i="2"/>
  <c r="M34" i="2"/>
  <c r="T34" i="2" s="1"/>
  <c r="M25" i="2"/>
  <c r="T25" i="2" s="1"/>
  <c r="M22" i="2"/>
  <c r="T22" i="2" s="1"/>
  <c r="M2" i="2"/>
  <c r="I35" i="2"/>
  <c r="I22" i="2"/>
  <c r="I21" i="2"/>
  <c r="I20" i="2"/>
  <c r="I2" i="2"/>
  <c r="H34" i="2"/>
  <c r="O34" i="2" s="1"/>
  <c r="H29" i="2"/>
  <c r="O29" i="2" s="1"/>
  <c r="H28" i="2"/>
  <c r="O28" i="2" s="1"/>
  <c r="H22" i="2"/>
  <c r="N22" i="2" s="1"/>
  <c r="H21" i="2"/>
  <c r="H20" i="2"/>
  <c r="H18" i="2"/>
  <c r="H2" i="2"/>
  <c r="N2" i="2" s="1"/>
  <c r="D39" i="2"/>
  <c r="M39" i="2" s="1"/>
  <c r="D38" i="2"/>
  <c r="D37" i="2"/>
  <c r="H37" i="2" s="1"/>
  <c r="D36" i="2"/>
  <c r="H36" i="2" s="1"/>
  <c r="D35" i="2"/>
  <c r="H35" i="2" s="1"/>
  <c r="O35" i="2" s="1"/>
  <c r="D34" i="2"/>
  <c r="I34" i="2" s="1"/>
  <c r="P34" i="2" s="1"/>
  <c r="D33" i="2"/>
  <c r="D32" i="2"/>
  <c r="I32" i="2" s="1"/>
  <c r="P32" i="2" s="1"/>
  <c r="D31" i="2"/>
  <c r="I31" i="2" s="1"/>
  <c r="P31" i="2" s="1"/>
  <c r="D30" i="2"/>
  <c r="D29" i="2"/>
  <c r="M29" i="2" s="1"/>
  <c r="T29" i="2" s="1"/>
  <c r="D28" i="2"/>
  <c r="D27" i="2"/>
  <c r="H27" i="2" s="1"/>
  <c r="D26" i="2"/>
  <c r="D25" i="2"/>
  <c r="D24" i="2"/>
  <c r="H24" i="2" s="1"/>
  <c r="O24" i="2" s="1"/>
  <c r="D23" i="2"/>
  <c r="H23" i="2" s="1"/>
  <c r="D22" i="2"/>
  <c r="D21" i="2"/>
  <c r="M21" i="2" s="1"/>
  <c r="T21" i="2" s="1"/>
  <c r="D20" i="2"/>
  <c r="M20" i="2" s="1"/>
  <c r="T20" i="2" s="1"/>
  <c r="D19" i="2"/>
  <c r="H19" i="2" s="1"/>
  <c r="D18" i="2"/>
  <c r="D17" i="2"/>
  <c r="I17" i="2" s="1"/>
  <c r="D16" i="2"/>
  <c r="I16" i="2" s="1"/>
  <c r="D15" i="2"/>
  <c r="M15" i="2" s="1"/>
  <c r="D14" i="2"/>
  <c r="M14" i="2" s="1"/>
  <c r="D13" i="2"/>
  <c r="I13" i="2" s="1"/>
  <c r="D12" i="2"/>
  <c r="H12" i="2" s="1"/>
  <c r="O12" i="2" s="1"/>
  <c r="D11" i="2"/>
  <c r="H11" i="2" s="1"/>
  <c r="O11" i="2" s="1"/>
  <c r="D10" i="2"/>
  <c r="D9" i="2"/>
  <c r="M9" i="2" s="1"/>
  <c r="T9" i="2" s="1"/>
  <c r="D8" i="2"/>
  <c r="H8" i="2" s="1"/>
  <c r="O8" i="2" s="1"/>
  <c r="D7" i="2"/>
  <c r="H7" i="2" s="1"/>
  <c r="D6" i="2"/>
  <c r="D5" i="2"/>
  <c r="M5" i="2" s="1"/>
  <c r="T5" i="2" s="1"/>
  <c r="D4" i="2"/>
  <c r="M4" i="2" s="1"/>
  <c r="T4" i="2" s="1"/>
  <c r="D3" i="2"/>
  <c r="H3" i="2" s="1"/>
  <c r="O3" i="2" s="1"/>
  <c r="D2" i="2"/>
  <c r="O2" i="4"/>
  <c r="Q2" i="4"/>
  <c r="Q3" i="4"/>
  <c r="Q4" i="4"/>
  <c r="Q5" i="4"/>
  <c r="Q6" i="4"/>
  <c r="Q7" i="4"/>
  <c r="Q13" i="4"/>
  <c r="Q14" i="4"/>
  <c r="Q15" i="4"/>
  <c r="Q16" i="4"/>
  <c r="Q17" i="4"/>
  <c r="Q18" i="4"/>
  <c r="Q19" i="4"/>
  <c r="Q8" i="4"/>
  <c r="Q9" i="4"/>
  <c r="Q10" i="4"/>
  <c r="Q11" i="4"/>
  <c r="Q12" i="4"/>
  <c r="R2" i="4"/>
  <c r="R3" i="4"/>
  <c r="R4" i="4"/>
  <c r="R5" i="4"/>
  <c r="R6" i="4"/>
  <c r="R7" i="4"/>
  <c r="R13" i="4"/>
  <c r="R14" i="4"/>
  <c r="R15" i="4"/>
  <c r="R16" i="4"/>
  <c r="R17" i="4"/>
  <c r="R18" i="4"/>
  <c r="R19" i="4"/>
  <c r="R8" i="4"/>
  <c r="R9" i="4"/>
  <c r="R10" i="4"/>
  <c r="R11" i="4"/>
  <c r="R12" i="4"/>
  <c r="S2" i="4"/>
  <c r="S3" i="4"/>
  <c r="S4" i="4"/>
  <c r="S5" i="4"/>
  <c r="S6" i="4"/>
  <c r="S7" i="4"/>
  <c r="S13" i="4"/>
  <c r="S14" i="4"/>
  <c r="S15" i="4"/>
  <c r="S16" i="4"/>
  <c r="S17" i="4"/>
  <c r="S18" i="4"/>
  <c r="S19" i="4"/>
  <c r="S8" i="4"/>
  <c r="S9" i="4"/>
  <c r="S10" i="4"/>
  <c r="S11" i="4"/>
  <c r="S12" i="4"/>
  <c r="T18" i="4"/>
  <c r="W3" i="4"/>
  <c r="W4" i="4"/>
  <c r="W5" i="4"/>
  <c r="W6" i="4"/>
  <c r="W7" i="4"/>
  <c r="W13" i="4"/>
  <c r="W18" i="4"/>
  <c r="W19" i="4"/>
  <c r="W8" i="4"/>
  <c r="W9" i="4"/>
  <c r="W10" i="4"/>
  <c r="W11" i="4"/>
  <c r="W12" i="4"/>
  <c r="X2" i="4"/>
  <c r="X3" i="4"/>
  <c r="X4" i="4"/>
  <c r="X5" i="4"/>
  <c r="X6" i="4"/>
  <c r="X7" i="4"/>
  <c r="X15" i="4"/>
  <c r="X19" i="4"/>
  <c r="X8" i="4"/>
  <c r="X9" i="4"/>
  <c r="X10" i="4"/>
  <c r="X11" i="4"/>
  <c r="X12" i="4"/>
  <c r="Y3" i="4"/>
  <c r="Y4" i="4"/>
  <c r="Y5" i="4"/>
  <c r="Y6" i="4"/>
  <c r="Y7" i="4"/>
  <c r="Y13" i="4"/>
  <c r="Y14" i="4"/>
  <c r="Y15" i="4"/>
  <c r="Y16" i="4"/>
  <c r="Y17" i="4"/>
  <c r="Y18" i="4"/>
  <c r="Y19" i="4"/>
  <c r="Y8" i="4"/>
  <c r="O8" i="3"/>
  <c r="O11" i="3"/>
  <c r="O23" i="3"/>
  <c r="O28" i="3"/>
  <c r="P22" i="3"/>
  <c r="P31" i="3"/>
  <c r="P32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31" i="3"/>
  <c r="Q32" i="3"/>
  <c r="Q33" i="3"/>
  <c r="Q34" i="3"/>
  <c r="Q35" i="3"/>
  <c r="Q36" i="3"/>
  <c r="Q24" i="3"/>
  <c r="Q25" i="3"/>
  <c r="Q26" i="3"/>
  <c r="Q27" i="3"/>
  <c r="Q28" i="3"/>
  <c r="Q29" i="3"/>
  <c r="Q30" i="3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31" i="3"/>
  <c r="R32" i="3"/>
  <c r="R33" i="3"/>
  <c r="R34" i="3"/>
  <c r="R35" i="3"/>
  <c r="R36" i="3"/>
  <c r="R24" i="3"/>
  <c r="R25" i="3"/>
  <c r="R26" i="3"/>
  <c r="R27" i="3"/>
  <c r="R28" i="3"/>
  <c r="R29" i="3"/>
  <c r="R30" i="3"/>
  <c r="S2" i="3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31" i="3"/>
  <c r="S32" i="3"/>
  <c r="S33" i="3"/>
  <c r="S34" i="3"/>
  <c r="S35" i="3"/>
  <c r="S36" i="3"/>
  <c r="S24" i="3"/>
  <c r="S25" i="3"/>
  <c r="S26" i="3"/>
  <c r="S27" i="3"/>
  <c r="S28" i="3"/>
  <c r="S29" i="3"/>
  <c r="S30" i="3"/>
  <c r="T5" i="3"/>
  <c r="T26" i="3"/>
  <c r="W2" i="3"/>
  <c r="W3" i="3"/>
  <c r="W4" i="3"/>
  <c r="W5" i="3"/>
  <c r="W6" i="3"/>
  <c r="W7" i="3"/>
  <c r="W8" i="3"/>
  <c r="W9" i="3"/>
  <c r="W10" i="3"/>
  <c r="W11" i="3"/>
  <c r="W12" i="3"/>
  <c r="W13" i="3"/>
  <c r="W14" i="3"/>
  <c r="W17" i="3"/>
  <c r="W22" i="3"/>
  <c r="W23" i="3"/>
  <c r="W31" i="3"/>
  <c r="W32" i="3"/>
  <c r="W33" i="3"/>
  <c r="W34" i="3"/>
  <c r="W35" i="3"/>
  <c r="W36" i="3"/>
  <c r="W24" i="3"/>
  <c r="W25" i="3"/>
  <c r="W26" i="3"/>
  <c r="W27" i="3"/>
  <c r="W28" i="3"/>
  <c r="W29" i="3"/>
  <c r="W30" i="3"/>
  <c r="X2" i="3"/>
  <c r="X3" i="3"/>
  <c r="X4" i="3"/>
  <c r="X5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31" i="3"/>
  <c r="X32" i="3"/>
  <c r="X35" i="3"/>
  <c r="X36" i="3"/>
  <c r="X24" i="3"/>
  <c r="X25" i="3"/>
  <c r="X26" i="3"/>
  <c r="X27" i="3"/>
  <c r="X28" i="3"/>
  <c r="X29" i="3"/>
  <c r="X30" i="3"/>
  <c r="Y2" i="3"/>
  <c r="Y3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31" i="3"/>
  <c r="Y32" i="3"/>
  <c r="Y33" i="3"/>
  <c r="Y34" i="3"/>
  <c r="Y35" i="3"/>
  <c r="Y36" i="3"/>
  <c r="Y24" i="3"/>
  <c r="Y25" i="3"/>
  <c r="Y26" i="3"/>
  <c r="Y27" i="3"/>
  <c r="Y28" i="3"/>
  <c r="Y29" i="3"/>
  <c r="Y30" i="3"/>
  <c r="Q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23" i="2"/>
  <c r="Q24" i="2"/>
  <c r="R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23" i="2"/>
  <c r="R24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23" i="2"/>
  <c r="S24" i="2"/>
  <c r="W21" i="2"/>
  <c r="W22" i="2"/>
  <c r="W37" i="2"/>
  <c r="W38" i="2"/>
  <c r="W39" i="2"/>
  <c r="W23" i="2"/>
  <c r="W24" i="2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23" i="2"/>
  <c r="X24" i="2"/>
  <c r="Y2" i="2"/>
  <c r="Y3" i="2"/>
  <c r="Y4" i="2"/>
  <c r="Y5" i="2"/>
  <c r="Y6" i="2"/>
  <c r="Y7" i="2"/>
  <c r="Y8" i="2"/>
  <c r="Y9" i="2"/>
  <c r="Y13" i="2"/>
  <c r="Y14" i="2"/>
  <c r="Y15" i="2"/>
  <c r="Y16" i="2"/>
  <c r="Y17" i="2"/>
  <c r="Y18" i="2"/>
  <c r="Y19" i="2"/>
  <c r="Y20" i="2"/>
  <c r="Y21" i="2"/>
  <c r="Y22" i="2"/>
  <c r="Y25" i="2"/>
  <c r="Y26" i="2"/>
  <c r="Y27" i="2"/>
  <c r="Y28" i="2"/>
  <c r="Y29" i="2"/>
  <c r="Y30" i="2"/>
  <c r="Y31" i="2"/>
  <c r="Y32" i="2"/>
  <c r="Y33" i="2"/>
  <c r="Y34" i="2"/>
  <c r="Y35" i="2"/>
  <c r="Y36" i="2"/>
  <c r="Y23" i="2"/>
  <c r="Y24" i="2"/>
  <c r="C1" i="12" a="1"/>
  <c r="C1" i="12" s="1"/>
  <c r="C1" i="11" a="1"/>
  <c r="C1" i="11" s="1"/>
  <c r="C1" i="9" a="1"/>
  <c r="C1" i="9" s="1"/>
  <c r="M10" i="3" l="1"/>
  <c r="T10" i="3" s="1"/>
  <c r="I10" i="3"/>
  <c r="N10" i="3" s="1"/>
  <c r="N9" i="3"/>
  <c r="I9" i="2"/>
  <c r="I15" i="2"/>
  <c r="H19" i="4"/>
  <c r="N19" i="4" s="1"/>
  <c r="O12" i="3"/>
  <c r="M2" i="3"/>
  <c r="T2" i="3" s="1"/>
  <c r="M9" i="3"/>
  <c r="T9" i="3" s="1"/>
  <c r="O2" i="2"/>
  <c r="H9" i="2"/>
  <c r="O9" i="2" s="1"/>
  <c r="H15" i="2"/>
  <c r="I37" i="2"/>
  <c r="P37" i="2" s="1"/>
  <c r="I4" i="3"/>
  <c r="N4" i="3" s="1"/>
  <c r="O22" i="2"/>
  <c r="O9" i="3"/>
  <c r="M11" i="4"/>
  <c r="T11" i="4" s="1"/>
  <c r="M12" i="2"/>
  <c r="T12" i="2" s="1"/>
  <c r="M19" i="4"/>
  <c r="T19" i="4" s="1"/>
  <c r="I14" i="2"/>
  <c r="M23" i="2"/>
  <c r="T23" i="2" s="1"/>
  <c r="H17" i="4"/>
  <c r="H14" i="2"/>
  <c r="O14" i="2" s="1"/>
  <c r="M24" i="2"/>
  <c r="T24" i="2" s="1"/>
  <c r="M36" i="2"/>
  <c r="T36" i="2" s="1"/>
  <c r="I23" i="2"/>
  <c r="P23" i="2" s="1"/>
  <c r="I9" i="4"/>
  <c r="I24" i="2"/>
  <c r="P24" i="2" s="1"/>
  <c r="I29" i="2"/>
  <c r="P29" i="2" s="1"/>
  <c r="I8" i="4"/>
  <c r="O22" i="3"/>
  <c r="I25" i="3"/>
  <c r="N25" i="3" s="1"/>
  <c r="I12" i="4"/>
  <c r="P12" i="4" s="1"/>
  <c r="I4" i="2"/>
  <c r="P4" i="2" s="1"/>
  <c r="H26" i="3"/>
  <c r="N26" i="3" s="1"/>
  <c r="H4" i="2"/>
  <c r="H8" i="4"/>
  <c r="O8" i="4" s="1"/>
  <c r="O12" i="4"/>
  <c r="M3" i="2"/>
  <c r="T3" i="2" s="1"/>
  <c r="H25" i="3"/>
  <c r="I3" i="2"/>
  <c r="P3" i="2" s="1"/>
  <c r="H9" i="4"/>
  <c r="I24" i="3"/>
  <c r="P24" i="3" s="1"/>
  <c r="H24" i="3"/>
  <c r="T5" i="4"/>
  <c r="P17" i="3"/>
  <c r="O16" i="4"/>
  <c r="O15" i="4"/>
  <c r="T39" i="2"/>
  <c r="O19" i="2"/>
  <c r="T15" i="3"/>
  <c r="O20" i="2"/>
  <c r="N20" i="2"/>
  <c r="P15" i="2"/>
  <c r="P26" i="3"/>
  <c r="T19" i="3"/>
  <c r="O18" i="2"/>
  <c r="P17" i="2"/>
  <c r="N30" i="3"/>
  <c r="P13" i="2"/>
  <c r="P14" i="2"/>
  <c r="M10" i="2"/>
  <c r="H10" i="2"/>
  <c r="P28" i="3"/>
  <c r="N28" i="3"/>
  <c r="N11" i="4"/>
  <c r="I33" i="2"/>
  <c r="H33" i="2"/>
  <c r="M32" i="2"/>
  <c r="H14" i="3"/>
  <c r="I14" i="3"/>
  <c r="H34" i="3"/>
  <c r="M34" i="3"/>
  <c r="O32" i="3"/>
  <c r="N32" i="3"/>
  <c r="P22" i="2"/>
  <c r="H16" i="2"/>
  <c r="M16" i="2"/>
  <c r="H31" i="2"/>
  <c r="M33" i="2"/>
  <c r="H15" i="3"/>
  <c r="I15" i="3"/>
  <c r="H35" i="3"/>
  <c r="M35" i="3"/>
  <c r="P3" i="3"/>
  <c r="I34" i="3"/>
  <c r="N18" i="4"/>
  <c r="H17" i="2"/>
  <c r="M17" i="2"/>
  <c r="H32" i="2"/>
  <c r="H16" i="3"/>
  <c r="O16" i="3" s="1"/>
  <c r="M16" i="3"/>
  <c r="I16" i="3"/>
  <c r="H36" i="3"/>
  <c r="M36" i="3"/>
  <c r="I36" i="3"/>
  <c r="I35" i="3"/>
  <c r="P27" i="3"/>
  <c r="H13" i="3"/>
  <c r="I13" i="3"/>
  <c r="N3" i="3"/>
  <c r="O3" i="3"/>
  <c r="T14" i="3"/>
  <c r="P2" i="4"/>
  <c r="N10" i="4"/>
  <c r="P35" i="2"/>
  <c r="N35" i="2"/>
  <c r="T4" i="4"/>
  <c r="P18" i="4"/>
  <c r="P9" i="2"/>
  <c r="I6" i="4"/>
  <c r="H6" i="4"/>
  <c r="P25" i="3"/>
  <c r="H13" i="4"/>
  <c r="I13" i="4"/>
  <c r="O27" i="2"/>
  <c r="I38" i="2"/>
  <c r="H38" i="2"/>
  <c r="N2" i="3"/>
  <c r="O2" i="3"/>
  <c r="I19" i="2"/>
  <c r="N19" i="2" s="1"/>
  <c r="M19" i="2"/>
  <c r="I36" i="2"/>
  <c r="P8" i="4"/>
  <c r="M38" i="2"/>
  <c r="P19" i="4"/>
  <c r="I21" i="3"/>
  <c r="H21" i="3"/>
  <c r="M13" i="4"/>
  <c r="T13" i="4" s="1"/>
  <c r="T3" i="4"/>
  <c r="I10" i="2"/>
  <c r="I7" i="4"/>
  <c r="M7" i="4"/>
  <c r="H7" i="4"/>
  <c r="O17" i="4"/>
  <c r="O21" i="2"/>
  <c r="N21" i="2"/>
  <c r="O25" i="3"/>
  <c r="N29" i="3"/>
  <c r="P29" i="3"/>
  <c r="H13" i="2"/>
  <c r="M13" i="2"/>
  <c r="P21" i="2"/>
  <c r="P30" i="3"/>
  <c r="I16" i="4"/>
  <c r="M16" i="4"/>
  <c r="H33" i="3"/>
  <c r="I33" i="3"/>
  <c r="M33" i="3"/>
  <c r="I18" i="3"/>
  <c r="M18" i="3"/>
  <c r="H18" i="3"/>
  <c r="T10" i="4"/>
  <c r="I19" i="3"/>
  <c r="H19" i="3"/>
  <c r="O7" i="2"/>
  <c r="N7" i="2"/>
  <c r="I11" i="2"/>
  <c r="N11" i="2" s="1"/>
  <c r="T8" i="4"/>
  <c r="O18" i="4"/>
  <c r="M30" i="2"/>
  <c r="I30" i="2"/>
  <c r="H30" i="2"/>
  <c r="P16" i="2"/>
  <c r="I15" i="4"/>
  <c r="M15" i="4"/>
  <c r="M31" i="2"/>
  <c r="O31" i="3"/>
  <c r="N31" i="3"/>
  <c r="I18" i="2"/>
  <c r="M18" i="2"/>
  <c r="H17" i="3"/>
  <c r="O17" i="3" s="1"/>
  <c r="M17" i="3"/>
  <c r="T6" i="4"/>
  <c r="I39" i="2"/>
  <c r="H39" i="2"/>
  <c r="P9" i="4"/>
  <c r="I20" i="3"/>
  <c r="H20" i="3"/>
  <c r="H4" i="4"/>
  <c r="I4" i="4"/>
  <c r="T2" i="2"/>
  <c r="H5" i="4"/>
  <c r="I5" i="4"/>
  <c r="T15" i="2"/>
  <c r="O37" i="2"/>
  <c r="T14" i="2"/>
  <c r="O36" i="2"/>
  <c r="N15" i="2"/>
  <c r="O15" i="2"/>
  <c r="I12" i="2"/>
  <c r="N12" i="2" s="1"/>
  <c r="M11" i="2"/>
  <c r="N23" i="3"/>
  <c r="M13" i="3"/>
  <c r="O19" i="4"/>
  <c r="P20" i="2"/>
  <c r="H14" i="4"/>
  <c r="I14" i="4"/>
  <c r="M14" i="4"/>
  <c r="N34" i="2"/>
  <c r="H5" i="2"/>
  <c r="I5" i="2"/>
  <c r="M27" i="3"/>
  <c r="T27" i="3" s="1"/>
  <c r="H27" i="3"/>
  <c r="H26" i="2"/>
  <c r="I26" i="2"/>
  <c r="P26" i="2" s="1"/>
  <c r="M26" i="2"/>
  <c r="T26" i="2" s="1"/>
  <c r="N8" i="3"/>
  <c r="N2" i="4"/>
  <c r="I17" i="4"/>
  <c r="T31" i="3"/>
  <c r="P10" i="4"/>
  <c r="P11" i="4"/>
  <c r="H25" i="2"/>
  <c r="I25" i="2"/>
  <c r="M7" i="3"/>
  <c r="H7" i="3"/>
  <c r="N7" i="3" s="1"/>
  <c r="H6" i="2"/>
  <c r="I6" i="2"/>
  <c r="M6" i="2"/>
  <c r="I7" i="2"/>
  <c r="M7" i="2"/>
  <c r="I27" i="2"/>
  <c r="N27" i="2" s="1"/>
  <c r="M27" i="2"/>
  <c r="O23" i="2"/>
  <c r="P9" i="3"/>
  <c r="I8" i="2"/>
  <c r="M8" i="2"/>
  <c r="I28" i="2"/>
  <c r="P28" i="2" s="1"/>
  <c r="M28" i="2"/>
  <c r="P2" i="2"/>
  <c r="N9" i="2"/>
  <c r="N14" i="2"/>
  <c r="N3" i="2"/>
  <c r="T2" i="4"/>
  <c r="N3" i="4"/>
  <c r="Y12" i="4"/>
  <c r="Y11" i="4"/>
  <c r="Y10" i="4"/>
  <c r="X18" i="4"/>
  <c r="X17" i="4"/>
  <c r="X16" i="4"/>
  <c r="W15" i="4"/>
  <c r="W14" i="4"/>
  <c r="W16" i="4"/>
  <c r="W18" i="3"/>
  <c r="W16" i="3"/>
  <c r="W21" i="3"/>
  <c r="W19" i="3"/>
  <c r="W20" i="3"/>
  <c r="X34" i="3"/>
  <c r="X7" i="3"/>
  <c r="Y39" i="2"/>
  <c r="Y37" i="2"/>
  <c r="Y11" i="2"/>
  <c r="Y12" i="2"/>
  <c r="W36" i="2"/>
  <c r="W34" i="2"/>
  <c r="W31" i="2"/>
  <c r="W30" i="2"/>
  <c r="W29" i="2"/>
  <c r="W28" i="2"/>
  <c r="W27" i="2"/>
  <c r="W35" i="2"/>
  <c r="W26" i="2"/>
  <c r="W25" i="2"/>
  <c r="W32" i="2"/>
  <c r="W16" i="2"/>
  <c r="W11" i="2"/>
  <c r="W9" i="2"/>
  <c r="W8" i="2"/>
  <c r="W19" i="2"/>
  <c r="W17" i="2"/>
  <c r="W15" i="2"/>
  <c r="W14" i="2"/>
  <c r="W13" i="2"/>
  <c r="W10" i="2"/>
  <c r="W7" i="2"/>
  <c r="W6" i="2"/>
  <c r="W5" i="2"/>
  <c r="W4" i="2"/>
  <c r="W20" i="2"/>
  <c r="W3" i="2"/>
  <c r="W18" i="2"/>
  <c r="W12" i="2"/>
  <c r="T14" i="4"/>
  <c r="O3" i="4"/>
  <c r="P7" i="3"/>
  <c r="P6" i="3"/>
  <c r="N6" i="3"/>
  <c r="P5" i="3"/>
  <c r="P4" i="3"/>
  <c r="N17" i="3"/>
  <c r="N5" i="3"/>
  <c r="T35" i="2"/>
  <c r="N28" i="2"/>
  <c r="N24" i="2"/>
  <c r="N23" i="2"/>
  <c r="A2" i="15" a="1"/>
  <c r="A2" i="15" s="1"/>
  <c r="N24" i="3" l="1"/>
  <c r="P10" i="3"/>
  <c r="O24" i="3"/>
  <c r="R24" i="1" a="1"/>
  <c r="R24" i="1" s="1"/>
  <c r="G6" i="1" a="1"/>
  <c r="G6" i="1" s="1"/>
  <c r="G23" i="1" a="1"/>
  <c r="G23" i="1" s="1"/>
  <c r="S6" i="1" a="1"/>
  <c r="S6" i="1" s="1"/>
  <c r="S7" i="1" a="1"/>
  <c r="S7" i="1" s="1"/>
  <c r="N37" i="2"/>
  <c r="R14" i="1" a="1"/>
  <c r="R14" i="1" s="1"/>
  <c r="O4" i="2"/>
  <c r="N4" i="2"/>
  <c r="B5" i="1" a="1"/>
  <c r="B5" i="1" s="1"/>
  <c r="R23" i="1" a="1"/>
  <c r="R23" i="1" s="1"/>
  <c r="O26" i="3"/>
  <c r="S3" i="1" a="1"/>
  <c r="S3" i="1" s="1"/>
  <c r="U3" i="1" s="1"/>
  <c r="F15" i="1" a="1"/>
  <c r="F15" i="1" s="1"/>
  <c r="O9" i="4"/>
  <c r="N9" i="4"/>
  <c r="R22" i="1" a="1"/>
  <c r="R22" i="1" s="1"/>
  <c r="N8" i="4"/>
  <c r="F14" i="1" a="1"/>
  <c r="F14" i="1" s="1"/>
  <c r="N29" i="2"/>
  <c r="B3" i="1" a="1"/>
  <c r="B3" i="1" s="1"/>
  <c r="R21" i="1" a="1"/>
  <c r="R21" i="1" s="1"/>
  <c r="F23" i="1" a="1"/>
  <c r="F23" i="1" s="1"/>
  <c r="H23" i="1" s="1"/>
  <c r="S23" i="1" a="1"/>
  <c r="S23" i="1" s="1"/>
  <c r="N12" i="4"/>
  <c r="O27" i="3"/>
  <c r="N27" i="3"/>
  <c r="F21" i="1" a="1"/>
  <c r="F21" i="1" s="1"/>
  <c r="P8" i="2"/>
  <c r="F24" i="1" a="1"/>
  <c r="F24" i="1" s="1"/>
  <c r="O16" i="2"/>
  <c r="S24" i="1" a="1"/>
  <c r="S24" i="1" s="1"/>
  <c r="U24" i="1" s="1"/>
  <c r="R7" i="1" a="1"/>
  <c r="R7" i="1" s="1"/>
  <c r="T7" i="1" s="1"/>
  <c r="G21" i="1" a="1"/>
  <c r="G21" i="1" s="1"/>
  <c r="P36" i="3"/>
  <c r="P15" i="3"/>
  <c r="N33" i="2"/>
  <c r="O33" i="2"/>
  <c r="S25" i="1" a="1"/>
  <c r="S25" i="1" s="1"/>
  <c r="U25" i="1" s="1"/>
  <c r="T7" i="3"/>
  <c r="P18" i="2"/>
  <c r="P36" i="2"/>
  <c r="O15" i="3"/>
  <c r="N15" i="3"/>
  <c r="P33" i="2"/>
  <c r="F22" i="1" a="1"/>
  <c r="F22" i="1" s="1"/>
  <c r="O26" i="2"/>
  <c r="T28" i="2"/>
  <c r="O7" i="3"/>
  <c r="T13" i="3"/>
  <c r="T18" i="2"/>
  <c r="P16" i="4"/>
  <c r="S12" i="1" a="1"/>
  <c r="S12" i="1" s="1"/>
  <c r="T36" i="3"/>
  <c r="T8" i="2"/>
  <c r="P25" i="2"/>
  <c r="N36" i="2"/>
  <c r="N36" i="3"/>
  <c r="A9" i="11" s="1" a="1"/>
  <c r="A6" i="11" s="1"/>
  <c r="O36" i="3"/>
  <c r="T33" i="2"/>
  <c r="N18" i="2"/>
  <c r="P14" i="4"/>
  <c r="T16" i="3"/>
  <c r="T31" i="2"/>
  <c r="O4" i="4"/>
  <c r="N4" i="4"/>
  <c r="C25" i="1" a="1"/>
  <c r="C25" i="1" s="1"/>
  <c r="C22" i="1" a="1"/>
  <c r="C22" i="1" s="1"/>
  <c r="C24" i="1" a="1"/>
  <c r="C24" i="1" s="1"/>
  <c r="C23" i="1" a="1"/>
  <c r="C23" i="1" s="1"/>
  <c r="C21" i="1" a="1"/>
  <c r="C21" i="1" s="1"/>
  <c r="B23" i="1" a="1"/>
  <c r="B23" i="1" s="1"/>
  <c r="B22" i="1" a="1"/>
  <c r="B22" i="1" s="1"/>
  <c r="D22" i="1" s="1"/>
  <c r="B21" i="1" a="1"/>
  <c r="B21" i="1" s="1"/>
  <c r="D21" i="1" s="1"/>
  <c r="B15" i="1" a="1"/>
  <c r="B15" i="1" s="1"/>
  <c r="T7" i="4"/>
  <c r="O13" i="4"/>
  <c r="N32" i="2"/>
  <c r="O32" i="2"/>
  <c r="P15" i="4"/>
  <c r="P7" i="4"/>
  <c r="N10" i="2"/>
  <c r="O10" i="2"/>
  <c r="N15" i="4"/>
  <c r="O5" i="2"/>
  <c r="B4" i="1" a="1"/>
  <c r="B4" i="1" s="1"/>
  <c r="P20" i="3"/>
  <c r="N16" i="2"/>
  <c r="P19" i="3"/>
  <c r="B16" i="1" a="1"/>
  <c r="B16" i="1" s="1"/>
  <c r="T17" i="2"/>
  <c r="T10" i="2"/>
  <c r="O19" i="3"/>
  <c r="N19" i="3"/>
  <c r="N26" i="2"/>
  <c r="P10" i="2"/>
  <c r="C16" i="1" a="1"/>
  <c r="C16" i="1" s="1"/>
  <c r="N17" i="2"/>
  <c r="O17" i="2"/>
  <c r="S22" i="1" a="1"/>
  <c r="S22" i="1" s="1"/>
  <c r="S13" i="1" a="1"/>
  <c r="S13" i="1" s="1"/>
  <c r="O7" i="4"/>
  <c r="N7" i="4"/>
  <c r="C15" i="1" a="1"/>
  <c r="C15" i="1" s="1"/>
  <c r="F16" i="1" a="1"/>
  <c r="F16" i="1" s="1"/>
  <c r="O30" i="2"/>
  <c r="N30" i="2"/>
  <c r="C5" i="1" a="1"/>
  <c r="C5" i="1" s="1"/>
  <c r="E5" i="1" s="1"/>
  <c r="T27" i="2"/>
  <c r="G12" i="1" a="1"/>
  <c r="G12" i="1" s="1"/>
  <c r="P30" i="2"/>
  <c r="B12" i="1" a="1"/>
  <c r="B12" i="1" s="1"/>
  <c r="N25" i="2"/>
  <c r="O25" i="2"/>
  <c r="N31" i="2"/>
  <c r="O31" i="2"/>
  <c r="P12" i="2"/>
  <c r="T15" i="4"/>
  <c r="T13" i="2"/>
  <c r="T19" i="2"/>
  <c r="T16" i="2"/>
  <c r="P27" i="2"/>
  <c r="B13" i="1" a="1"/>
  <c r="B13" i="1" s="1"/>
  <c r="O39" i="2"/>
  <c r="N39" i="2"/>
  <c r="T18" i="3"/>
  <c r="O21" i="3"/>
  <c r="N21" i="3"/>
  <c r="G22" i="1" a="1"/>
  <c r="G22" i="1" s="1"/>
  <c r="I22" i="1" s="1"/>
  <c r="P13" i="3"/>
  <c r="F12" i="1" a="1"/>
  <c r="F12" i="1" s="1"/>
  <c r="H12" i="1" s="1"/>
  <c r="F13" i="1" a="1"/>
  <c r="F13" i="1" s="1"/>
  <c r="T34" i="3"/>
  <c r="N16" i="4"/>
  <c r="B7" i="1" a="1"/>
  <c r="B7" i="1" s="1"/>
  <c r="R25" i="1" a="1"/>
  <c r="R25" i="1" s="1"/>
  <c r="C12" i="1" a="1"/>
  <c r="C12" i="1" s="1"/>
  <c r="O6" i="4"/>
  <c r="N6" i="4"/>
  <c r="A9" i="12" s="1" a="1"/>
  <c r="A6" i="12" s="1"/>
  <c r="O13" i="3"/>
  <c r="N13" i="3"/>
  <c r="P34" i="3"/>
  <c r="N34" i="3"/>
  <c r="O34" i="3"/>
  <c r="G16" i="1" a="1"/>
  <c r="G16" i="1" s="1"/>
  <c r="P16" i="3"/>
  <c r="N8" i="2"/>
  <c r="T11" i="2"/>
  <c r="N13" i="4"/>
  <c r="P13" i="4"/>
  <c r="G13" i="1" a="1"/>
  <c r="G13" i="1" s="1"/>
  <c r="T30" i="2"/>
  <c r="P18" i="3"/>
  <c r="G15" i="1" a="1"/>
  <c r="G15" i="1" s="1"/>
  <c r="T6" i="2"/>
  <c r="S5" i="1" a="1"/>
  <c r="S5" i="1" s="1"/>
  <c r="O14" i="4"/>
  <c r="N14" i="4"/>
  <c r="P5" i="4"/>
  <c r="G3" i="1" a="1"/>
  <c r="G3" i="1" s="1"/>
  <c r="P39" i="2"/>
  <c r="C4" i="1" a="1"/>
  <c r="C4" i="1" s="1"/>
  <c r="P17" i="4"/>
  <c r="N17" i="4"/>
  <c r="P6" i="4"/>
  <c r="C14" i="1" a="1"/>
  <c r="C14" i="1" s="1"/>
  <c r="O14" i="3"/>
  <c r="N14" i="3"/>
  <c r="B24" i="1" a="1"/>
  <c r="B24" i="1" s="1"/>
  <c r="S14" i="1" a="1"/>
  <c r="S14" i="1" s="1"/>
  <c r="R16" i="1" a="1"/>
  <c r="R16" i="1" s="1"/>
  <c r="R5" i="1" a="1"/>
  <c r="R5" i="1" s="1"/>
  <c r="P33" i="3"/>
  <c r="T38" i="2"/>
  <c r="T32" i="2"/>
  <c r="P4" i="4"/>
  <c r="N13" i="2"/>
  <c r="O13" i="2"/>
  <c r="N5" i="2"/>
  <c r="F6" i="1" a="1"/>
  <c r="F6" i="1" s="1"/>
  <c r="H6" i="1" s="1"/>
  <c r="P5" i="2"/>
  <c r="F7" i="1" a="1"/>
  <c r="F7" i="1" s="1"/>
  <c r="F3" i="1" a="1"/>
  <c r="F3" i="1" s="1"/>
  <c r="O20" i="3"/>
  <c r="N20" i="3"/>
  <c r="F4" i="1" a="1"/>
  <c r="F4" i="1" s="1"/>
  <c r="O18" i="3"/>
  <c r="N18" i="3"/>
  <c r="R13" i="1" a="1"/>
  <c r="R13" i="1" s="1"/>
  <c r="G4" i="1" a="1"/>
  <c r="G4" i="1" s="1"/>
  <c r="C7" i="1" a="1"/>
  <c r="C7" i="1" s="1"/>
  <c r="G24" i="1" a="1"/>
  <c r="G24" i="1" s="1"/>
  <c r="R15" i="1" a="1"/>
  <c r="R15" i="1" s="1"/>
  <c r="R4" i="1" a="1"/>
  <c r="R4" i="1" s="1"/>
  <c r="R12" i="1" a="1"/>
  <c r="R12" i="1" s="1"/>
  <c r="T33" i="3"/>
  <c r="F25" i="1" a="1"/>
  <c r="F25" i="1" s="1"/>
  <c r="C3" i="1" a="1"/>
  <c r="C3" i="1" s="1"/>
  <c r="O6" i="2"/>
  <c r="N6" i="2"/>
  <c r="G7" i="1" a="1"/>
  <c r="G7" i="1" s="1"/>
  <c r="B6" i="1" a="1"/>
  <c r="B6" i="1" s="1"/>
  <c r="B25" i="1" a="1"/>
  <c r="B25" i="1" s="1"/>
  <c r="S15" i="1" a="1"/>
  <c r="S15" i="1" s="1"/>
  <c r="R6" i="1" a="1"/>
  <c r="R6" i="1" s="1"/>
  <c r="T6" i="1" s="1"/>
  <c r="T17" i="3"/>
  <c r="O33" i="3"/>
  <c r="N33" i="3"/>
  <c r="N38" i="2"/>
  <c r="O38" i="2"/>
  <c r="N35" i="3"/>
  <c r="P35" i="3"/>
  <c r="T35" i="3"/>
  <c r="P11" i="2"/>
  <c r="G14" i="1" a="1"/>
  <c r="G14" i="1" s="1"/>
  <c r="P19" i="2"/>
  <c r="F5" i="1" a="1"/>
  <c r="F5" i="1" s="1"/>
  <c r="T7" i="2"/>
  <c r="P7" i="2"/>
  <c r="O5" i="4"/>
  <c r="N5" i="4"/>
  <c r="P21" i="3"/>
  <c r="R3" i="1" a="1"/>
  <c r="R3" i="1" s="1"/>
  <c r="C13" i="1" a="1"/>
  <c r="C13" i="1" s="1"/>
  <c r="P14" i="3"/>
  <c r="G5" i="1" a="1"/>
  <c r="G5" i="1" s="1"/>
  <c r="P6" i="2"/>
  <c r="S21" i="1" a="1"/>
  <c r="S21" i="1" s="1"/>
  <c r="U21" i="1" s="1"/>
  <c r="N16" i="3"/>
  <c r="C6" i="1" a="1"/>
  <c r="C6" i="1" s="1"/>
  <c r="E6" i="1" s="1"/>
  <c r="S16" i="1" a="1"/>
  <c r="S16" i="1" s="1"/>
  <c r="S4" i="1" a="1"/>
  <c r="S4" i="1" s="1"/>
  <c r="T16" i="4"/>
  <c r="P38" i="2"/>
  <c r="O35" i="3"/>
  <c r="G25" i="1" a="1"/>
  <c r="G25" i="1" s="1"/>
  <c r="B14" i="1" a="1"/>
  <c r="B14" i="1" s="1"/>
  <c r="E13" i="1" l="1"/>
  <c r="A9" i="9" a="1"/>
  <c r="A9" i="9" s="1"/>
  <c r="T9" i="9" s="1"/>
  <c r="T22" i="1"/>
  <c r="U12" i="1"/>
  <c r="D12" i="1"/>
  <c r="U14" i="1"/>
  <c r="D24" i="1"/>
  <c r="H24" i="1"/>
  <c r="D5" i="1"/>
  <c r="U33" i="2" s="1"/>
  <c r="U4" i="1"/>
  <c r="E14" i="1"/>
  <c r="U7" i="1"/>
  <c r="U15" i="1"/>
  <c r="U23" i="1"/>
  <c r="I7" i="1"/>
  <c r="E7" i="1"/>
  <c r="T3" i="1"/>
  <c r="Z10" i="2" s="1"/>
  <c r="D25" i="1"/>
  <c r="U26" i="2"/>
  <c r="U25" i="2"/>
  <c r="U31" i="2"/>
  <c r="H4" i="1"/>
  <c r="D23" i="1"/>
  <c r="I23" i="1"/>
  <c r="V13" i="4" s="1"/>
  <c r="H21" i="1"/>
  <c r="T23" i="1"/>
  <c r="E3" i="1"/>
  <c r="I14" i="1"/>
  <c r="I3" i="1"/>
  <c r="H25" i="1"/>
  <c r="U22" i="1"/>
  <c r="Z5" i="4" s="1"/>
  <c r="H5" i="1"/>
  <c r="I15" i="1"/>
  <c r="Z16" i="2"/>
  <c r="D4" i="1"/>
  <c r="T5" i="1"/>
  <c r="Z28" i="2" s="1"/>
  <c r="D16" i="1"/>
  <c r="H13" i="1"/>
  <c r="H16" i="1"/>
  <c r="E15" i="1"/>
  <c r="U13" i="1"/>
  <c r="T16" i="1"/>
  <c r="U16" i="1"/>
  <c r="D6" i="1"/>
  <c r="H3" i="1"/>
  <c r="H7" i="1"/>
  <c r="U16" i="4"/>
  <c r="U17" i="4"/>
  <c r="V14" i="4"/>
  <c r="I5" i="1"/>
  <c r="T14" i="1"/>
  <c r="U5" i="1"/>
  <c r="U6" i="1"/>
  <c r="Z37" i="2" s="1"/>
  <c r="D15" i="1"/>
  <c r="H14" i="1"/>
  <c r="D14" i="1"/>
  <c r="I25" i="1"/>
  <c r="E12" i="1"/>
  <c r="I24" i="1"/>
  <c r="V16" i="4" s="1"/>
  <c r="T25" i="1"/>
  <c r="Z11" i="4" s="1"/>
  <c r="I12" i="1"/>
  <c r="V8" i="3" s="1"/>
  <c r="E23" i="1"/>
  <c r="U13" i="4" s="1"/>
  <c r="I16" i="1"/>
  <c r="T12" i="1"/>
  <c r="T4" i="1"/>
  <c r="D13" i="1"/>
  <c r="I6" i="1"/>
  <c r="V37" i="2" s="1"/>
  <c r="T15" i="1"/>
  <c r="E16" i="1"/>
  <c r="E4" i="1"/>
  <c r="D7" i="1"/>
  <c r="E24" i="1"/>
  <c r="U14" i="4" s="1"/>
  <c r="T21" i="1"/>
  <c r="U28" i="2"/>
  <c r="U29" i="2"/>
  <c r="U34" i="2"/>
  <c r="U36" i="2"/>
  <c r="U27" i="2"/>
  <c r="U35" i="2"/>
  <c r="I4" i="1"/>
  <c r="V22" i="2" s="1"/>
  <c r="E22" i="1"/>
  <c r="H22" i="1"/>
  <c r="I21" i="1"/>
  <c r="V4" i="4" s="1"/>
  <c r="T24" i="1"/>
  <c r="D3" i="1"/>
  <c r="I13" i="1"/>
  <c r="E21" i="1"/>
  <c r="U4" i="4" s="1"/>
  <c r="T13" i="1"/>
  <c r="Z19" i="2"/>
  <c r="E25" i="1"/>
  <c r="U12" i="4" s="1"/>
  <c r="Z8" i="2"/>
  <c r="Z23" i="2"/>
  <c r="Z24" i="2"/>
  <c r="H15" i="1"/>
  <c r="A9" i="11"/>
  <c r="T9" i="11" s="1"/>
  <c r="A9" i="12"/>
  <c r="T9" i="12" s="1"/>
  <c r="A6" i="9"/>
  <c r="U7" i="3" l="1"/>
  <c r="U24" i="3"/>
  <c r="V16" i="3"/>
  <c r="Z27" i="3"/>
  <c r="Z11" i="2"/>
  <c r="V15" i="4"/>
  <c r="V27" i="2"/>
  <c r="Z7" i="4"/>
  <c r="U22" i="2"/>
  <c r="Z20" i="2"/>
  <c r="V18" i="4"/>
  <c r="V3" i="4"/>
  <c r="Z9" i="2"/>
  <c r="Z7" i="2"/>
  <c r="Z18" i="2"/>
  <c r="Z14" i="2"/>
  <c r="Z6" i="4"/>
  <c r="U23" i="2"/>
  <c r="Z13" i="2"/>
  <c r="Z15" i="2"/>
  <c r="Z17" i="2"/>
  <c r="Z21" i="2"/>
  <c r="Z5" i="2"/>
  <c r="Z29" i="2"/>
  <c r="V19" i="3"/>
  <c r="U32" i="2"/>
  <c r="V19" i="4"/>
  <c r="Z6" i="2"/>
  <c r="Z2" i="2"/>
  <c r="Z13" i="4"/>
  <c r="Z12" i="2"/>
  <c r="V2" i="3"/>
  <c r="U30" i="2"/>
  <c r="Z4" i="2"/>
  <c r="Z3" i="2"/>
  <c r="Z22" i="2"/>
  <c r="V38" i="2"/>
  <c r="V2" i="4"/>
  <c r="V36" i="2"/>
  <c r="V32" i="2"/>
  <c r="U2" i="4"/>
  <c r="V12" i="4"/>
  <c r="V34" i="2"/>
  <c r="V30" i="2"/>
  <c r="V39" i="2"/>
  <c r="V31" i="2"/>
  <c r="V17" i="4"/>
  <c r="V29" i="2"/>
  <c r="Z35" i="2"/>
  <c r="U3" i="4"/>
  <c r="V15" i="3"/>
  <c r="U27" i="3"/>
  <c r="U30" i="3"/>
  <c r="V22" i="3"/>
  <c r="V18" i="3"/>
  <c r="U28" i="3"/>
  <c r="V13" i="3"/>
  <c r="U29" i="3"/>
  <c r="U26" i="3"/>
  <c r="V5" i="3"/>
  <c r="V12" i="3"/>
  <c r="U25" i="3"/>
  <c r="U10" i="3"/>
  <c r="V10" i="3"/>
  <c r="U3" i="3"/>
  <c r="V9" i="3"/>
  <c r="V27" i="3"/>
  <c r="V11" i="3"/>
  <c r="Z32" i="3"/>
  <c r="Z31" i="3"/>
  <c r="Z33" i="3"/>
  <c r="Z34" i="3"/>
  <c r="V28" i="2"/>
  <c r="U37" i="2"/>
  <c r="U38" i="2"/>
  <c r="U39" i="2"/>
  <c r="V36" i="3"/>
  <c r="V35" i="3"/>
  <c r="U9" i="3"/>
  <c r="V35" i="2"/>
  <c r="U22" i="3"/>
  <c r="U23" i="3"/>
  <c r="U17" i="3"/>
  <c r="U16" i="3"/>
  <c r="U21" i="3"/>
  <c r="U20" i="3"/>
  <c r="U18" i="3"/>
  <c r="U15" i="3"/>
  <c r="U19" i="3"/>
  <c r="V32" i="3"/>
  <c r="V31" i="3"/>
  <c r="V34" i="3"/>
  <c r="V33" i="3"/>
  <c r="U32" i="3"/>
  <c r="U34" i="3"/>
  <c r="U33" i="3"/>
  <c r="U31" i="3"/>
  <c r="U4" i="3"/>
  <c r="V8" i="4"/>
  <c r="U14" i="3"/>
  <c r="V9" i="4"/>
  <c r="V23" i="2"/>
  <c r="V24" i="2"/>
  <c r="V23" i="3"/>
  <c r="Z30" i="3"/>
  <c r="U11" i="3"/>
  <c r="V10" i="4"/>
  <c r="V4" i="2"/>
  <c r="V3" i="2"/>
  <c r="V20" i="2"/>
  <c r="V17" i="2"/>
  <c r="V9" i="2"/>
  <c r="V15" i="2"/>
  <c r="V13" i="2"/>
  <c r="V14" i="2"/>
  <c r="V16" i="2"/>
  <c r="V2" i="2"/>
  <c r="V21" i="2"/>
  <c r="V7" i="2"/>
  <c r="V19" i="2"/>
  <c r="V10" i="2"/>
  <c r="V6" i="2"/>
  <c r="V5" i="2"/>
  <c r="V11" i="2"/>
  <c r="V18" i="2"/>
  <c r="V8" i="2"/>
  <c r="V12" i="2"/>
  <c r="V17" i="3"/>
  <c r="U12" i="3"/>
  <c r="U6" i="3"/>
  <c r="Z24" i="3"/>
  <c r="Z4" i="4"/>
  <c r="Z3" i="4"/>
  <c r="Z2" i="4"/>
  <c r="U8" i="3"/>
  <c r="Z33" i="2"/>
  <c r="V11" i="4"/>
  <c r="U15" i="4"/>
  <c r="Z38" i="2"/>
  <c r="Z21" i="3"/>
  <c r="Z22" i="3"/>
  <c r="Z20" i="3"/>
  <c r="Z23" i="3"/>
  <c r="Z19" i="3"/>
  <c r="Z15" i="3"/>
  <c r="Z17" i="3"/>
  <c r="Z18" i="3"/>
  <c r="Z16" i="3"/>
  <c r="Z26" i="3"/>
  <c r="Z29" i="3"/>
  <c r="Z39" i="2"/>
  <c r="U19" i="4"/>
  <c r="V33" i="2"/>
  <c r="Z30" i="2"/>
  <c r="V6" i="4"/>
  <c r="V7" i="4"/>
  <c r="V5" i="4"/>
  <c r="V7" i="3"/>
  <c r="U10" i="4"/>
  <c r="Z34" i="2"/>
  <c r="V25" i="3"/>
  <c r="V26" i="2"/>
  <c r="V21" i="3"/>
  <c r="V30" i="3"/>
  <c r="U7" i="2"/>
  <c r="U4" i="2"/>
  <c r="U2" i="2"/>
  <c r="U3" i="2"/>
  <c r="U8" i="2"/>
  <c r="U9" i="2"/>
  <c r="U21" i="2"/>
  <c r="U20" i="2"/>
  <c r="U14" i="2"/>
  <c r="U12" i="2"/>
  <c r="U15" i="2"/>
  <c r="U19" i="2"/>
  <c r="U18" i="2"/>
  <c r="U11" i="2"/>
  <c r="U10" i="2"/>
  <c r="U13" i="2"/>
  <c r="U17" i="2"/>
  <c r="U5" i="2"/>
  <c r="U6" i="2"/>
  <c r="U16" i="2"/>
  <c r="V28" i="3"/>
  <c r="U6" i="4"/>
  <c r="U7" i="4"/>
  <c r="V6" i="3"/>
  <c r="Z26" i="2"/>
  <c r="Z27" i="2"/>
  <c r="V3" i="3"/>
  <c r="U8" i="4"/>
  <c r="Z36" i="2"/>
  <c r="V24" i="3"/>
  <c r="V14" i="3"/>
  <c r="Z28" i="3"/>
  <c r="V25" i="2"/>
  <c r="Z18" i="4"/>
  <c r="Z17" i="4"/>
  <c r="Z19" i="4"/>
  <c r="Z14" i="4"/>
  <c r="Z15" i="4"/>
  <c r="Z16" i="4"/>
  <c r="U11" i="4"/>
  <c r="U18" i="4"/>
  <c r="U24" i="2"/>
  <c r="U9" i="4"/>
  <c r="U5" i="4"/>
  <c r="Z32" i="2"/>
  <c r="Z35" i="3"/>
  <c r="Z36" i="3"/>
  <c r="V4" i="3"/>
  <c r="Z25" i="2"/>
  <c r="V29" i="3"/>
  <c r="U2" i="3"/>
  <c r="U35" i="3"/>
  <c r="U36" i="3"/>
  <c r="U5" i="3"/>
  <c r="Z25" i="3"/>
  <c r="Z9" i="3"/>
  <c r="Z6" i="3"/>
  <c r="Z8" i="3"/>
  <c r="Z10" i="3"/>
  <c r="Z12" i="3"/>
  <c r="Z11" i="3"/>
  <c r="Z3" i="3"/>
  <c r="Z5" i="3"/>
  <c r="Z2" i="3"/>
  <c r="Z14" i="3"/>
  <c r="Z4" i="3"/>
  <c r="Z7" i="3"/>
  <c r="Z13" i="3"/>
  <c r="V20" i="3"/>
  <c r="V26" i="3"/>
  <c r="Z9" i="4"/>
  <c r="Z12" i="4"/>
  <c r="Z10" i="4"/>
  <c r="Z8" i="4"/>
  <c r="Z31" i="2"/>
  <c r="U13" i="3"/>
  <c r="T2" i="12"/>
  <c r="T2" i="11"/>
  <c r="T2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2F7248-1599-41F5-872F-43DE63CC1D80}" keepAlive="1" name="Query - A/E LB" description="Connection to the 'A/E LB' query in the workbook." type="5" refreshedVersion="0" background="1">
    <dbPr connection="Provider=Microsoft.Mashup.OleDb.1;Data Source=$Workbook$;Location=&quot;A/E LB&quot;;Extended Properties=&quot;&quot;" command="SELECT * FROM [A/E LB]"/>
  </connection>
  <connection id="2" xr16:uid="{7352744C-3CD2-4A55-B1D1-F2A3A752D6CA}" keepAlive="1" name="Query - A/E UB" description="Connection to the 'A/E UB' query in the workbook." type="5" refreshedVersion="0" background="1">
    <dbPr connection="Provider=Microsoft.Mashup.OleDb.1;Data Source=$Workbook$;Location=&quot;A/E UB&quot;;Extended Properties=&quot;&quot;" command="SELECT * FROM [A/E UB]"/>
  </connection>
  <connection id="3" xr16:uid="{89E07994-A6AF-4E49-BF23-AB2D4F2C2578}" keepAlive="1" name="Query - Current Price" description="Connection to the 'Current Price' query in the workbook." type="5" refreshedVersion="0" background="1">
    <dbPr connection="Provider=Microsoft.Mashup.OleDb.1;Data Source=$Workbook$;Location=&quot;Current Price&quot;;Extended Properties=&quot;&quot;" command="SELECT * FROM [Current Price]"/>
  </connection>
  <connection id="4" xr16:uid="{A5FD463A-200B-46E1-B0FD-2D544A6B5774}" keepAlive="1" name="Query - FileName" description="Connection to the 'FileName' query in the workbook." type="5" refreshedVersion="0" background="1">
    <dbPr connection="Provider=Microsoft.Mashup.OleDb.1;Data Source=$Workbook$;Location=FileName;Extended Properties=&quot;&quot;" command="SELECT * FROM [FileName]"/>
  </connection>
  <connection id="5" xr16:uid="{8F6414D8-7688-4127-BBA8-BDE875D0FCCC}" keepAlive="1" name="Query - L_A/E Q1" description="Connection to the 'L_A/E Q1' query in the workbook." type="5" refreshedVersion="0" background="1">
    <dbPr connection="Provider=Microsoft.Mashup.OleDb.1;Data Source=$Workbook$;Location=&quot;L_A/E Q1&quot;;Extended Properties=&quot;&quot;" command="SELECT * FROM [L_A/E Q1]"/>
  </connection>
  <connection id="6" xr16:uid="{8F5D3B78-38BC-4BAE-80C9-222CAF869EC0}" keepAlive="1" name="Query - L_A/E Q3" description="Connection to the 'L_A/E Q3' query in the workbook." type="5" refreshedVersion="0" background="1">
    <dbPr connection="Provider=Microsoft.Mashup.OleDb.1;Data Source=$Workbook$;Location=&quot;L_A/E Q3&quot;;Extended Properties=&quot;&quot;" command="SELECT * FROM [L_A/E Q3]"/>
  </connection>
  <connection id="7" xr16:uid="{7976D156-18D1-4D9E-AF90-F491B65081EB}" keepAlive="1" name="Query - L_P/B Q1" description="Connection to the 'L_P/B Q1' query in the workbook." type="5" refreshedVersion="0" background="1">
    <dbPr connection="Provider=Microsoft.Mashup.OleDb.1;Data Source=$Workbook$;Location=&quot;L_P/B Q1&quot;;Extended Properties=&quot;&quot;" command="SELECT * FROM [L_P/B Q1]"/>
  </connection>
  <connection id="8" xr16:uid="{AF37842F-8AC7-44A6-9E85-DA45C4E89B77}" keepAlive="1" name="Query - L_P/B Q3" description="Connection to the 'L_P/B Q3' query in the workbook." type="5" refreshedVersion="0" background="1">
    <dbPr connection="Provider=Microsoft.Mashup.OleDb.1;Data Source=$Workbook$;Location=&quot;L_P/B Q3&quot;;Extended Properties=&quot;&quot;" command="SELECT * FROM [L_P/B Q3]"/>
  </connection>
  <connection id="9" xr16:uid="{DC2C7C9A-B063-413D-88A4-5569D5BA1EC0}" keepAlive="1" name="Query - L_P/E Q1" description="Connection to the 'L_P/E Q1' query in the workbook." type="5" refreshedVersion="0" background="1">
    <dbPr connection="Provider=Microsoft.Mashup.OleDb.1;Data Source=$Workbook$;Location=&quot;L_P/E Q1&quot;;Extended Properties=&quot;&quot;" command="SELECT * FROM [L_P/E Q1]"/>
  </connection>
  <connection id="10" xr16:uid="{AC603448-C045-49E0-A887-F24B829281E0}" keepAlive="1" name="Query - L_P/E Q3" description="Connection to the 'L_P/E Q3' query in the workbook." type="5" refreshedVersion="0" background="1">
    <dbPr connection="Provider=Microsoft.Mashup.OleDb.1;Data Source=$Workbook$;Location=&quot;L_P/E Q3&quot;;Extended Properties=&quot;&quot;" command="SELECT * FROM [L_P/E Q3]"/>
  </connection>
  <connection id="11" xr16:uid="{7EF7D169-7C60-4FA6-8C8C-4FC0B5A7D8EF}" keepAlive="1" name="Query - L_P/FCF Q1" description="Connection to the 'L_P/FCF Q1' query in the workbook." type="5" refreshedVersion="0" background="1">
    <dbPr connection="Provider=Microsoft.Mashup.OleDb.1;Data Source=$Workbook$;Location=&quot;L_P/FCF Q1&quot;;Extended Properties=&quot;&quot;" command="SELECT * FROM [L_P/FCF Q1]"/>
  </connection>
  <connection id="12" xr16:uid="{53300647-8231-438B-A2B5-452EF55DC44C}" keepAlive="1" name="Query - L_P/FCF Q3" description="Connection to the 'L_P/FCF Q3' query in the workbook." type="5" refreshedVersion="0" background="1">
    <dbPr connection="Provider=Microsoft.Mashup.OleDb.1;Data Source=$Workbook$;Location=&quot;L_P/FCF Q3&quot;;Extended Properties=&quot;&quot;" command="SELECT * FROM [L_P/FCF Q3]"/>
  </connection>
  <connection id="13" xr16:uid="{C0006842-4341-4B5D-A500-4292508822B7}" keepAlive="1" name="Query - L_ROA Q1" description="Connection to the 'L_ROA Q1' query in the workbook." type="5" refreshedVersion="0" background="1">
    <dbPr connection="Provider=Microsoft.Mashup.OleDb.1;Data Source=$Workbook$;Location=&quot;L_ROA Q1&quot;;Extended Properties=&quot;&quot;" command="SELECT * FROM [L_ROA Q1]"/>
  </connection>
  <connection id="14" xr16:uid="{9185592E-90EB-462B-B18D-4A6073DF275B}" keepAlive="1" name="Query - L_ROA Q3" description="Connection to the 'L_ROA Q3' query in the workbook." type="5" refreshedVersion="0" background="1">
    <dbPr connection="Provider=Microsoft.Mashup.OleDb.1;Data Source=$Workbook$;Location=&quot;L_ROA Q3&quot;;Extended Properties=&quot;&quot;" command="SELECT * FROM [L_ROA Q3]"/>
  </connection>
  <connection id="15" xr16:uid="{BD9F7199-0EF4-4E9D-A19E-B37DF6C44251}" keepAlive="1" name="Query - L_ROE Q1" description="Connection to the 'L_ROE Q1' query in the workbook." type="5" refreshedVersion="0" background="1">
    <dbPr connection="Provider=Microsoft.Mashup.OleDb.1;Data Source=$Workbook$;Location=&quot;L_ROE Q1&quot;;Extended Properties=&quot;&quot;" command="SELECT * FROM [L_ROE Q1]"/>
  </connection>
  <connection id="16" xr16:uid="{64EE08C2-B107-4DC0-AFA5-46467F57F013}" keepAlive="1" name="Query - L_ROE Q3" description="Connection to the 'L_ROE Q3' query in the workbook." type="5" refreshedVersion="0" background="1">
    <dbPr connection="Provider=Microsoft.Mashup.OleDb.1;Data Source=$Workbook$;Location=&quot;L_ROE Q3&quot;;Extended Properties=&quot;&quot;" command="SELECT * FROM [L_ROE Q3]"/>
  </connection>
  <connection id="17" xr16:uid="{5AA9ED2A-89CA-4A05-92A9-127940BE4365}" keepAlive="1" name="Query - M_A/E Q1" description="Connection to the 'M_A/E Q1' query in the workbook." type="5" refreshedVersion="0" background="1">
    <dbPr connection="Provider=Microsoft.Mashup.OleDb.1;Data Source=$Workbook$;Location=&quot;M_A/E Q1&quot;;Extended Properties=&quot;&quot;" command="SELECT * FROM [M_A/E Q1]"/>
  </connection>
  <connection id="18" xr16:uid="{7500DFAD-DAEA-419D-B8B3-E17191EFB922}" keepAlive="1" name="Query - M_A/E Q3" description="Connection to the 'M_A/E Q3' query in the workbook." type="5" refreshedVersion="0" background="1">
    <dbPr connection="Provider=Microsoft.Mashup.OleDb.1;Data Source=$Workbook$;Location=&quot;M_A/E Q3&quot;;Extended Properties=&quot;&quot;" command="SELECT * FROM [M_A/E Q3]"/>
  </connection>
  <connection id="19" xr16:uid="{12B254E2-FDD0-4672-A591-AD373AE577AA}" keepAlive="1" name="Query - M_P/B Q1" description="Connection to the 'M_P/B Q1' query in the workbook." type="5" refreshedVersion="0" background="1">
    <dbPr connection="Provider=Microsoft.Mashup.OleDb.1;Data Source=$Workbook$;Location=&quot;M_P/B Q1&quot;;Extended Properties=&quot;&quot;" command="SELECT * FROM [M_P/B Q1]"/>
  </connection>
  <connection id="20" xr16:uid="{A8F557FB-E157-4CAC-8226-2A3BE2290F29}" keepAlive="1" name="Query - M_P/B Q3" description="Connection to the 'M_P/B Q3' query in the workbook." type="5" refreshedVersion="0" background="1">
    <dbPr connection="Provider=Microsoft.Mashup.OleDb.1;Data Source=$Workbook$;Location=&quot;M_P/B Q3&quot;;Extended Properties=&quot;&quot;" command="SELECT * FROM [M_P/B Q3]"/>
  </connection>
  <connection id="21" xr16:uid="{D1FDE65E-6399-471C-AC76-D64BD746D229}" keepAlive="1" name="Query - M_P/E Q1" description="Connection to the 'M_P/E Q1' query in the workbook." type="5" refreshedVersion="0" background="1">
    <dbPr connection="Provider=Microsoft.Mashup.OleDb.1;Data Source=$Workbook$;Location=&quot;M_P/E Q1&quot;;Extended Properties=&quot;&quot;" command="SELECT * FROM [M_P/E Q1]"/>
  </connection>
  <connection id="22" xr16:uid="{310C80E6-69BE-4890-AA29-B2C576B782E2}" keepAlive="1" name="Query - M_P/E Q3" description="Connection to the 'M_P/E Q3' query in the workbook." type="5" refreshedVersion="0" background="1">
    <dbPr connection="Provider=Microsoft.Mashup.OleDb.1;Data Source=$Workbook$;Location=&quot;M_P/E Q3&quot;;Extended Properties=&quot;&quot;" command="SELECT * FROM [M_P/E Q3]"/>
  </connection>
  <connection id="23" xr16:uid="{12F6CADF-8BF7-4296-BE2F-FC551CF42082}" keepAlive="1" name="Query - M_P/FCF Q1" description="Connection to the 'M_P/FCF Q1' query in the workbook." type="5" refreshedVersion="0" background="1">
    <dbPr connection="Provider=Microsoft.Mashup.OleDb.1;Data Source=$Workbook$;Location=&quot;M_P/FCF Q1&quot;;Extended Properties=&quot;&quot;" command="SELECT * FROM [M_P/FCF Q1]"/>
  </connection>
  <connection id="24" xr16:uid="{A273217E-82A6-4C1C-9E5B-9758866AFC05}" keepAlive="1" name="Query - M_P/FCF Q3" description="Connection to the 'M_P/FCF Q3' query in the workbook." type="5" refreshedVersion="0" background="1">
    <dbPr connection="Provider=Microsoft.Mashup.OleDb.1;Data Source=$Workbook$;Location=&quot;M_P/FCF Q3&quot;;Extended Properties=&quot;&quot;" command="SELECT * FROM [M_P/FCF Q3]"/>
  </connection>
  <connection id="25" xr16:uid="{A961C549-E9F2-4582-AD90-542B8A2DF8D6}" keepAlive="1" name="Query - M_ROA Q1" description="Connection to the 'M_ROA Q1' query in the workbook." type="5" refreshedVersion="0" background="1">
    <dbPr connection="Provider=Microsoft.Mashup.OleDb.1;Data Source=$Workbook$;Location=&quot;M_ROA Q1&quot;;Extended Properties=&quot;&quot;" command="SELECT * FROM [M_ROA Q1]"/>
  </connection>
  <connection id="26" xr16:uid="{F84929B3-3245-40ED-A522-C32C272E21C2}" keepAlive="1" name="Query - M_ROA Q3" description="Connection to the 'M_ROA Q3' query in the workbook." type="5" refreshedVersion="0" background="1">
    <dbPr connection="Provider=Microsoft.Mashup.OleDb.1;Data Source=$Workbook$;Location=&quot;M_ROA Q3&quot;;Extended Properties=&quot;&quot;" command="SELECT * FROM [M_ROA Q3]"/>
  </connection>
  <connection id="27" xr16:uid="{C8B04757-CC02-449A-A17B-92B2333219DD}" keepAlive="1" name="Query - M_ROE Q1" description="Connection to the 'M_ROE Q1' query in the workbook." type="5" refreshedVersion="0" background="1">
    <dbPr connection="Provider=Microsoft.Mashup.OleDb.1;Data Source=$Workbook$;Location=&quot;M_ROE Q1&quot;;Extended Properties=&quot;&quot;" command="SELECT * FROM [M_ROE Q1]"/>
  </connection>
  <connection id="28" xr16:uid="{E914265A-F3A6-4877-BFFE-EAB75F4385E6}" keepAlive="1" name="Query - M_ROE Q3" description="Connection to the 'M_ROE Q3' query in the workbook." type="5" refreshedVersion="0" background="1">
    <dbPr connection="Provider=Microsoft.Mashup.OleDb.1;Data Source=$Workbook$;Location=&quot;M_ROE Q3&quot;;Extended Properties=&quot;&quot;" command="SELECT * FROM [M_ROE Q3]"/>
  </connection>
  <connection id="29" xr16:uid="{CDE2AB40-03BB-4E85-A364-BE7158498E57}" keepAlive="1" name="Query - Main_L" description="Connection to the 'Main_L' query in the workbook." type="5" refreshedVersion="8" background="1" saveData="1">
    <dbPr connection="Provider=Microsoft.Mashup.OleDb.1;Data Source=$Workbook$;Location=Main_L;Extended Properties=&quot;&quot;" command="SELECT * FROM [Main_L]"/>
  </connection>
  <connection id="30" xr16:uid="{92827891-F650-4461-969A-5281B14CC67C}" keepAlive="1" name="Query - Main_M" description="Connection to the 'Main_M' query in the workbook." type="5" refreshedVersion="8" background="1" saveData="1">
    <dbPr connection="Provider=Microsoft.Mashup.OleDb.1;Data Source=$Workbook$;Location=Main_M;Extended Properties=&quot;&quot;" command="SELECT * FROM [Main_M]"/>
  </connection>
  <connection id="31" xr16:uid="{AE4AC620-A60D-4667-B234-1492FA4F9C44}" keepAlive="1" name="Query - Main_S" description="Connection to the 'Main_S' query in the workbook." type="5" refreshedVersion="8" background="1" saveData="1">
    <dbPr connection="Provider=Microsoft.Mashup.OleDb.1;Data Source=$Workbook$;Location=Main_S;Extended Properties=&quot;&quot;" command="SELECT * FROM [Main_S]"/>
  </connection>
  <connection id="32" xr16:uid="{627BF07A-2AE9-4599-9B72-75AB04F6D252}" keepAlive="1" name="Query - P/B" description="Connection to the 'P/B' query in the workbook." type="5" refreshedVersion="0" background="1">
    <dbPr connection="Provider=Microsoft.Mashup.OleDb.1;Data Source=$Workbook$;Location=P/B;Extended Properties=&quot;&quot;" command="SELECT * FROM [P/B]"/>
  </connection>
  <connection id="33" xr16:uid="{E4BA60D9-BFC8-401B-B0A1-EF441CB7E867}" keepAlive="1" name="Query - P/B LB" description="Connection to the 'P/B LB' query in the workbook." type="5" refreshedVersion="0" background="1">
    <dbPr connection="Provider=Microsoft.Mashup.OleDb.1;Data Source=$Workbook$;Location=&quot;P/B LB&quot;;Extended Properties=&quot;&quot;" command="SELECT * FROM [P/B LB]"/>
  </connection>
  <connection id="34" xr16:uid="{D446C18C-F5FB-4931-9D08-9460AB87F88D}" keepAlive="1" name="Query - P/B UB" description="Connection to the 'P/B UB' query in the workbook." type="5" refreshedVersion="0" background="1">
    <dbPr connection="Provider=Microsoft.Mashup.OleDb.1;Data Source=$Workbook$;Location=&quot;P/B UB&quot;;Extended Properties=&quot;&quot;" command="SELECT * FROM [P/B UB]"/>
  </connection>
  <connection id="35" xr16:uid="{54E51695-4AC3-42F6-A71C-6D5C0B94366D}" keepAlive="1" name="Query - P/E" description="Connection to the 'P/E' query in the workbook." type="5" refreshedVersion="0" background="1">
    <dbPr connection="Provider=Microsoft.Mashup.OleDb.1;Data Source=$Workbook$;Location=P/E;Extended Properties=&quot;&quot;" command="SELECT * FROM [P/E]"/>
  </connection>
  <connection id="36" xr16:uid="{E1D25C74-8E63-475D-AEB0-3EF1CBA274F2}" keepAlive="1" name="Query - P/E LB" description="Connection to the 'P/E LB' query in the workbook." type="5" refreshedVersion="0" background="1">
    <dbPr connection="Provider=Microsoft.Mashup.OleDb.1;Data Source=$Workbook$;Location=&quot;P/E LB&quot;;Extended Properties=&quot;&quot;" command="SELECT * FROM [P/E LB]"/>
  </connection>
  <connection id="37" xr16:uid="{FF5E838B-CEA1-42F7-AE46-37297C47D203}" keepAlive="1" name="Query - P/E UB" description="Connection to the 'P/E UB' query in the workbook." type="5" refreshedVersion="0" background="1">
    <dbPr connection="Provider=Microsoft.Mashup.OleDb.1;Data Source=$Workbook$;Location=&quot;P/E UB&quot;;Extended Properties=&quot;&quot;" command="SELECT * FROM [P/E UB]"/>
  </connection>
  <connection id="38" xr16:uid="{6DD17A4C-9203-4DAC-B3F1-5BE914B61962}" keepAlive="1" name="Query - P/FCF" description="Connection to the 'P/FCF' query in the workbook." type="5" refreshedVersion="0" background="1">
    <dbPr connection="Provider=Microsoft.Mashup.OleDb.1;Data Source=$Workbook$;Location=P/FCF;Extended Properties=&quot;&quot;" command="SELECT * FROM [P/FCF]"/>
  </connection>
  <connection id="39" xr16:uid="{ED1BC823-1B10-4015-8C9B-4026B498C8E4}" keepAlive="1" name="Query - P/FCF LB" description="Connection to the 'P/FCF LB' query in the workbook." type="5" refreshedVersion="0" background="1">
    <dbPr connection="Provider=Microsoft.Mashup.OleDb.1;Data Source=$Workbook$;Location=&quot;P/FCF LB&quot;;Extended Properties=&quot;&quot;" command="SELECT * FROM [P/FCF LB]"/>
  </connection>
  <connection id="40" xr16:uid="{77F87E7C-4F98-4E55-8BC1-D73052D39933}" keepAlive="1" name="Query - P/FCF UB" description="Connection to the 'P/FCF UB' query in the workbook." type="5" refreshedVersion="0" background="1">
    <dbPr connection="Provider=Microsoft.Mashup.OleDb.1;Data Source=$Workbook$;Location=&quot;P/FCF UB&quot;;Extended Properties=&quot;&quot;" command="SELECT * FROM [P/FCF UB]"/>
  </connection>
  <connection id="41" xr16:uid="{825B6038-9066-46FB-97C2-7511C1C36627}" keepAlive="1" name="Query - Quartile_L" description="Connection to the 'Quartile_L' query in the workbook." type="5" refreshedVersion="8" background="1" saveData="1">
    <dbPr connection="Provider=Microsoft.Mashup.OleDb.1;Data Source=$Workbook$;Location=Quartile_L;Extended Properties=&quot;&quot;" command="SELECT * FROM [Quartile_L]"/>
  </connection>
  <connection id="42" xr16:uid="{BC12B107-1C9F-443C-9878-4391CA921439}" keepAlive="1" name="Query - Quartile_M" description="Connection to the 'Quartile_M' query in the workbook." type="5" refreshedVersion="8" background="1" saveData="1">
    <dbPr connection="Provider=Microsoft.Mashup.OleDb.1;Data Source=$Workbook$;Location=Quartile_M;Extended Properties=&quot;&quot;" command="SELECT * FROM [Quartile_M]"/>
  </connection>
  <connection id="43" xr16:uid="{0BAC9000-D3DC-468C-84BE-9876AD7DC20E}" keepAlive="1" name="Query - Quartile_S" description="Connection to the 'Quartile_S' query in the workbook." type="5" refreshedVersion="8" background="1" saveData="1">
    <dbPr connection="Provider=Microsoft.Mashup.OleDb.1;Data Source=$Workbook$;Location=Quartile_S;Extended Properties=&quot;&quot;" command="SELECT * FROM [Quartile_S]"/>
  </connection>
  <connection id="44" xr16:uid="{32A4EE5B-8ECE-47ED-A25E-516D8F1963E0}" keepAlive="1" name="Query - ROA LB" description="Connection to the 'ROA LB' query in the workbook." type="5" refreshedVersion="0" background="1">
    <dbPr connection="Provider=Microsoft.Mashup.OleDb.1;Data Source=$Workbook$;Location=&quot;ROA LB&quot;;Extended Properties=&quot;&quot;" command="SELECT * FROM [ROA LB]"/>
  </connection>
  <connection id="45" xr16:uid="{3CB1A2E7-29EF-463B-9B8F-50B9BB799DF9}" keepAlive="1" name="Query - ROA UB" description="Connection to the 'ROA UB' query in the workbook." type="5" refreshedVersion="0" background="1">
    <dbPr connection="Provider=Microsoft.Mashup.OleDb.1;Data Source=$Workbook$;Location=&quot;ROA UB&quot;;Extended Properties=&quot;&quot;" command="SELECT * FROM [ROA UB]"/>
  </connection>
  <connection id="46" xr16:uid="{259AC3C8-A1E8-4A93-8DC7-A79DC2446E18}" keepAlive="1" name="Query - ROE LB" description="Connection to the 'ROE LB' query in the workbook." type="5" refreshedVersion="0" background="1">
    <dbPr connection="Provider=Microsoft.Mashup.OleDb.1;Data Source=$Workbook$;Location=&quot;ROE LB&quot;;Extended Properties=&quot;&quot;" command="SELECT * FROM [ROE LB]"/>
  </connection>
  <connection id="47" xr16:uid="{3354C7C5-E00D-4F96-8A48-30E7BB6E3B52}" keepAlive="1" name="Query - ROE UB" description="Connection to the 'ROE UB' query in the workbook." type="5" refreshedVersion="0" background="1">
    <dbPr connection="Provider=Microsoft.Mashup.OleDb.1;Data Source=$Workbook$;Location=&quot;ROE UB&quot;;Extended Properties=&quot;&quot;" command="SELECT * FROM [ROE UB]"/>
  </connection>
  <connection id="48" xr16:uid="{6AA428F4-DCB2-4249-8244-34CC930F360F}" keepAlive="1" name="Query - S_A/E Q1" description="Connection to the 'S_A/E Q1' query in the workbook." type="5" refreshedVersion="0" background="1">
    <dbPr connection="Provider=Microsoft.Mashup.OleDb.1;Data Source=$Workbook$;Location=&quot;S_A/E Q1&quot;;Extended Properties=&quot;&quot;" command="SELECT * FROM [S_A/E Q1]"/>
  </connection>
  <connection id="49" xr16:uid="{F329DF8A-065D-44EF-A2F0-DCA45E926EEF}" keepAlive="1" name="Query - S_A/E Q3" description="Connection to the 'S_A/E Q3' query in the workbook." type="5" refreshedVersion="0" background="1">
    <dbPr connection="Provider=Microsoft.Mashup.OleDb.1;Data Source=$Workbook$;Location=&quot;S_A/E Q3&quot;;Extended Properties=&quot;&quot;" command="SELECT * FROM [S_A/E Q3]"/>
  </connection>
  <connection id="50" xr16:uid="{DF16565B-3E7C-4861-8F2C-973CEF0B4115}" keepAlive="1" name="Query - S_P/B Q1" description="Connection to the 'S_P/B Q1' query in the workbook." type="5" refreshedVersion="0" background="1">
    <dbPr connection="Provider=Microsoft.Mashup.OleDb.1;Data Source=$Workbook$;Location=&quot;S_P/B Q1&quot;;Extended Properties=&quot;&quot;" command="SELECT * FROM [S_P/B Q1]"/>
  </connection>
  <connection id="51" xr16:uid="{278FB231-D87C-4E37-A358-3EBAC32E8893}" keepAlive="1" name="Query - S_P/B Q3" description="Connection to the 'S_P/B Q3' query in the workbook." type="5" refreshedVersion="0" background="1">
    <dbPr connection="Provider=Microsoft.Mashup.OleDb.1;Data Source=$Workbook$;Location=&quot;S_P/B Q3&quot;;Extended Properties=&quot;&quot;" command="SELECT * FROM [S_P/B Q3]"/>
  </connection>
  <connection id="52" xr16:uid="{D7EDA865-E03C-45AF-800C-ABF1A6910F71}" keepAlive="1" name="Query - S_P/E Q1" description="Connection to the 'S_P/E Q1' query in the workbook." type="5" refreshedVersion="0" background="1">
    <dbPr connection="Provider=Microsoft.Mashup.OleDb.1;Data Source=$Workbook$;Location=&quot;S_P/E Q1&quot;;Extended Properties=&quot;&quot;" command="SELECT * FROM [S_P/E Q1]"/>
  </connection>
  <connection id="53" xr16:uid="{8FD3B37C-F51A-4D18-B833-FCD1ABE6B024}" keepAlive="1" name="Query - S_P/E Q3" description="Connection to the 'S_P/E Q3' query in the workbook." type="5" refreshedVersion="0" background="1">
    <dbPr connection="Provider=Microsoft.Mashup.OleDb.1;Data Source=$Workbook$;Location=&quot;S_P/E Q3&quot;;Extended Properties=&quot;&quot;" command="SELECT * FROM [S_P/E Q3]"/>
  </connection>
  <connection id="54" xr16:uid="{952CB9AB-E981-4AF7-AEA1-CA6F2A1AFC42}" keepAlive="1" name="Query - S_P/FCF Q1" description="Connection to the 'S_P/FCF Q1' query in the workbook." type="5" refreshedVersion="0" background="1">
    <dbPr connection="Provider=Microsoft.Mashup.OleDb.1;Data Source=$Workbook$;Location=&quot;S_P/FCF Q1&quot;;Extended Properties=&quot;&quot;" command="SELECT * FROM [S_P/FCF Q1]"/>
  </connection>
  <connection id="55" xr16:uid="{D8F6EC2D-76DE-48E3-B762-4DC4E07D15FD}" keepAlive="1" name="Query - S_P/FCF Q3" description="Connection to the 'S_P/FCF Q3' query in the workbook." type="5" refreshedVersion="0" background="1">
    <dbPr connection="Provider=Microsoft.Mashup.OleDb.1;Data Source=$Workbook$;Location=&quot;S_P/FCF Q3&quot;;Extended Properties=&quot;&quot;" command="SELECT * FROM [S_P/FCF Q3]"/>
  </connection>
  <connection id="56" xr16:uid="{811EE5D1-4D19-40D7-A8CD-93B62064D851}" keepAlive="1" name="Query - S_ROA Q1" description="Connection to the 'S_ROA Q1' query in the workbook." type="5" refreshedVersion="0" background="1">
    <dbPr connection="Provider=Microsoft.Mashup.OleDb.1;Data Source=$Workbook$;Location=&quot;S_ROA Q1&quot;;Extended Properties=&quot;&quot;" command="SELECT * FROM [S_ROA Q1]"/>
  </connection>
  <connection id="57" xr16:uid="{34B3F74D-F492-4853-8143-8CCE93981422}" keepAlive="1" name="Query - S_ROA Q3" description="Connection to the 'S_ROA Q3' query in the workbook." type="5" refreshedVersion="0" background="1">
    <dbPr connection="Provider=Microsoft.Mashup.OleDb.1;Data Source=$Workbook$;Location=&quot;S_ROA Q3&quot;;Extended Properties=&quot;&quot;" command="SELECT * FROM [S_ROA Q3]"/>
  </connection>
  <connection id="58" xr16:uid="{81F95821-726F-43C8-808F-F69920F82EC8}" keepAlive="1" name="Query - S_ROE Q1" description="Connection to the 'S_ROE Q1' query in the workbook." type="5" refreshedVersion="0" background="1">
    <dbPr connection="Provider=Microsoft.Mashup.OleDb.1;Data Source=$Workbook$;Location=&quot;S_ROE Q1&quot;;Extended Properties=&quot;&quot;" command="SELECT * FROM [S_ROE Q1]"/>
  </connection>
  <connection id="59" xr16:uid="{974A7E5D-22A4-44DE-B56F-011601E78962}" keepAlive="1" name="Query - S_ROE Q3" description="Connection to the 'S_ROE Q3' query in the workbook." type="5" refreshedVersion="0" background="1">
    <dbPr connection="Provider=Microsoft.Mashup.OleDb.1;Data Source=$Workbook$;Location=&quot;S_ROE Q3&quot;;Extended Properties=&quot;&quot;" command="SELECT * FROM [S_ROE Q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<sst xmlns="http://schemas.openxmlformats.org/spreadsheetml/2006/main" count="687" uniqueCount="201">
  <si>
    <t>Quartile_L</t>
  </si>
  <si>
    <t>Industry</t>
  </si>
  <si>
    <t>P/FCF Q1</t>
  </si>
  <si>
    <t>P/FCF Q3</t>
  </si>
  <si>
    <t>P/FCF LB</t>
  </si>
  <si>
    <t>P/FCF UB</t>
  </si>
  <si>
    <t>ROE Q1</t>
  </si>
  <si>
    <t>ROE Q3</t>
  </si>
  <si>
    <t>ROE LB</t>
  </si>
  <si>
    <t>ROE UB</t>
  </si>
  <si>
    <t>ROA Q1</t>
  </si>
  <si>
    <t>ROA Q3</t>
  </si>
  <si>
    <t>ROA LB</t>
  </si>
  <si>
    <t>ROA UB</t>
  </si>
  <si>
    <t>P/E Q1</t>
  </si>
  <si>
    <t>P/E Q3</t>
  </si>
  <si>
    <t>P/E LB</t>
  </si>
  <si>
    <t>P/E UB</t>
  </si>
  <si>
    <t>A/E Q1</t>
  </si>
  <si>
    <t>A/E Q3</t>
  </si>
  <si>
    <t>A/E LB</t>
  </si>
  <si>
    <t>A/E UB</t>
  </si>
  <si>
    <t>Quartile_M</t>
  </si>
  <si>
    <t>Quartile_S</t>
  </si>
  <si>
    <t>Symbol</t>
  </si>
  <si>
    <t>Current Price</t>
  </si>
  <si>
    <t>Free CF</t>
  </si>
  <si>
    <t>BVPS</t>
  </si>
  <si>
    <t>EPS</t>
  </si>
  <si>
    <t>P/FCF</t>
  </si>
  <si>
    <t>ROE</t>
  </si>
  <si>
    <t>ROA</t>
  </si>
  <si>
    <t>P/E</t>
  </si>
  <si>
    <t>A/E</t>
  </si>
  <si>
    <t>Preliminary Criteria</t>
  </si>
  <si>
    <t>P/FCF Outlier</t>
  </si>
  <si>
    <t>ROE Outlier</t>
  </si>
  <si>
    <t>ROA Outlier</t>
  </si>
  <si>
    <t>P/E Outlier</t>
  </si>
  <si>
    <t>A/E Outlier</t>
  </si>
  <si>
    <t>Row Labels</t>
  </si>
  <si>
    <t>No</t>
  </si>
  <si>
    <t>Average of P/FCF</t>
  </si>
  <si>
    <t>StdDevp of P/FCF</t>
  </si>
  <si>
    <t>Average of ROE</t>
  </si>
  <si>
    <t>StdDevp of ROE</t>
  </si>
  <si>
    <t>Average of ROA</t>
  </si>
  <si>
    <t>StdDevp of ROA</t>
  </si>
  <si>
    <t>Average of A/E</t>
  </si>
  <si>
    <t>StdDevp of A/E</t>
  </si>
  <si>
    <t>Average of P/E</t>
  </si>
  <si>
    <t>StdDevp of P/E</t>
  </si>
  <si>
    <t>SCORE</t>
  </si>
  <si>
    <t>1 &lt; P/E &lt; 25</t>
  </si>
  <si>
    <t>Market Cap (M)</t>
  </si>
  <si>
    <t>Mean_PFCF_L</t>
  </si>
  <si>
    <t>Mean_ROE_L</t>
  </si>
  <si>
    <t>Mean_ROA_L</t>
  </si>
  <si>
    <t>Mean_AE_L</t>
  </si>
  <si>
    <t>Mean_PE_L</t>
  </si>
  <si>
    <t>Mean_PFCF_M</t>
  </si>
  <si>
    <t>Mean_PFCF_S</t>
  </si>
  <si>
    <t>Mean_ROE_M</t>
  </si>
  <si>
    <t>Mean_ROE_S</t>
  </si>
  <si>
    <t>Mean_ROA_M</t>
  </si>
  <si>
    <t>Mean_ROA_S</t>
  </si>
  <si>
    <t>Mean_AE_M</t>
  </si>
  <si>
    <t>Mean_AE_S</t>
  </si>
  <si>
    <t>Mean_PE_S</t>
  </si>
  <si>
    <t>Additional Criteria</t>
  </si>
  <si>
    <t>Path</t>
  </si>
  <si>
    <t>P/B</t>
  </si>
  <si>
    <t>P/B Q1</t>
  </si>
  <si>
    <t>P/B Q3</t>
  </si>
  <si>
    <t>P/B LB</t>
  </si>
  <si>
    <t>P/B UB</t>
  </si>
  <si>
    <t>P/B Outlier</t>
  </si>
  <si>
    <t>Average of P/B</t>
  </si>
  <si>
    <t>StdDevp of P/B</t>
  </si>
  <si>
    <t>Mean_PB_M</t>
  </si>
  <si>
    <t>Mean_PB_L</t>
  </si>
  <si>
    <t>Mean_PB_S</t>
  </si>
  <si>
    <t>&lt; 0.7 x Mean</t>
  </si>
  <si>
    <t xml:space="preserve">ROA </t>
  </si>
  <si>
    <t>&lt; Mean</t>
  </si>
  <si>
    <t>&lt; Mean &amp;
1 &lt; P/E &lt; 25</t>
  </si>
  <si>
    <t>Z Score Criteria</t>
  </si>
  <si>
    <t>&gt; Mean</t>
  </si>
  <si>
    <t>All the stocks below are mid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</si>
  <si>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All the stocks below are small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</si>
  <si>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P/FCF Z-Score</t>
  </si>
  <si>
    <t>P/B Z-Score</t>
  </si>
  <si>
    <t>ROE Z-Score</t>
  </si>
  <si>
    <t>ROA Z-Score</t>
  </si>
  <si>
    <t>A/E Z-Score</t>
  </si>
  <si>
    <t>P/E Z-Score</t>
  </si>
  <si>
    <t>P/FCF z-score</t>
  </si>
  <si>
    <t>P/BV z-score</t>
  </si>
  <si>
    <t>ROE z-score</t>
  </si>
  <si>
    <t>ROA z-score</t>
  </si>
  <si>
    <t>A/E z-score</t>
  </si>
  <si>
    <t>P/E z-score</t>
  </si>
  <si>
    <t>&lt; 0</t>
  </si>
  <si>
    <t>&gt; 0</t>
  </si>
  <si>
    <t>All the stocks below are large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</si>
  <si>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Electric Utilities</t>
  </si>
  <si>
    <t>AEP</t>
  </si>
  <si>
    <t>CEG</t>
  </si>
  <si>
    <t>DUK</t>
  </si>
  <si>
    <t>EBR</t>
  </si>
  <si>
    <t>EIX</t>
  </si>
  <si>
    <t>ES</t>
  </si>
  <si>
    <t>ETR</t>
  </si>
  <si>
    <t>EVRG</t>
  </si>
  <si>
    <t>EXC</t>
  </si>
  <si>
    <t>FE</t>
  </si>
  <si>
    <t>FTS</t>
  </si>
  <si>
    <t>KEP</t>
  </si>
  <si>
    <t>LNT</t>
  </si>
  <si>
    <t>NEE</t>
  </si>
  <si>
    <t>NRG</t>
  </si>
  <si>
    <t>PCG</t>
  </si>
  <si>
    <t>PNW</t>
  </si>
  <si>
    <t>PPL</t>
  </si>
  <si>
    <t>SO</t>
  </si>
  <si>
    <t>XEL</t>
  </si>
  <si>
    <t>Gas Utilities</t>
  </si>
  <si>
    <t>ATO</t>
  </si>
  <si>
    <t>Multi-Utilities</t>
  </si>
  <si>
    <t>AEE</t>
  </si>
  <si>
    <t>BIP</t>
  </si>
  <si>
    <t>CMS</t>
  </si>
  <si>
    <t>CNP</t>
  </si>
  <si>
    <t>D</t>
  </si>
  <si>
    <t>DTE</t>
  </si>
  <si>
    <t>ED</t>
  </si>
  <si>
    <t>NGG</t>
  </si>
  <si>
    <t>NI</t>
  </si>
  <si>
    <t>PEG</t>
  </si>
  <si>
    <t>SRE</t>
  </si>
  <si>
    <t>WEC</t>
  </si>
  <si>
    <t>Water Utilities</t>
  </si>
  <si>
    <t>AWK</t>
  </si>
  <si>
    <t>SBS</t>
  </si>
  <si>
    <t>WTRG</t>
  </si>
  <si>
    <t>Independent Power &amp; Renewable Electricity Producers</t>
  </si>
  <si>
    <t>TLN</t>
  </si>
  <si>
    <t>VST</t>
  </si>
  <si>
    <t>ALE</t>
  </si>
  <si>
    <t>CIG</t>
  </si>
  <si>
    <t>ELP</t>
  </si>
  <si>
    <t>ELPC</t>
  </si>
  <si>
    <t>ENIC</t>
  </si>
  <si>
    <t>IDA</t>
  </si>
  <si>
    <t>MGEE</t>
  </si>
  <si>
    <t>OGE</t>
  </si>
  <si>
    <t>OKLO</t>
  </si>
  <si>
    <t>OTTR</t>
  </si>
  <si>
    <t>PAM</t>
  </si>
  <si>
    <t>POR</t>
  </si>
  <si>
    <t>TXNM</t>
  </si>
  <si>
    <t>BIPC</t>
  </si>
  <si>
    <t>CPK</t>
  </si>
  <si>
    <t>MDU</t>
  </si>
  <si>
    <t>NFG</t>
  </si>
  <si>
    <t>NJR</t>
  </si>
  <si>
    <t>OGS</t>
  </si>
  <si>
    <t>SR</t>
  </si>
  <si>
    <t>SWX</t>
  </si>
  <si>
    <t>UGI</t>
  </si>
  <si>
    <t>AQN</t>
  </si>
  <si>
    <t>AVA</t>
  </si>
  <si>
    <t>BKH</t>
  </si>
  <si>
    <t>NWE</t>
  </si>
  <si>
    <t>AWR</t>
  </si>
  <si>
    <t>CWT</t>
  </si>
  <si>
    <t>AES</t>
  </si>
  <si>
    <t>TAC</t>
  </si>
  <si>
    <t>BEP</t>
  </si>
  <si>
    <t>BEPC</t>
  </si>
  <si>
    <t>CWEN</t>
  </si>
  <si>
    <t>ORA</t>
  </si>
  <si>
    <t>RNW</t>
  </si>
  <si>
    <t>EDN</t>
  </si>
  <si>
    <t>GNE</t>
  </si>
  <si>
    <t>HE</t>
  </si>
  <si>
    <t>NWN</t>
  </si>
  <si>
    <t>SGU</t>
  </si>
  <si>
    <t>SPH</t>
  </si>
  <si>
    <t>UTL</t>
  </si>
  <si>
    <t>ARTNA</t>
  </si>
  <si>
    <t>CWCO</t>
  </si>
  <si>
    <t>GWRS</t>
  </si>
  <si>
    <t>MSEX</t>
  </si>
  <si>
    <t>SJW</t>
  </si>
  <si>
    <t>YORW</t>
  </si>
  <si>
    <t>CEPU</t>
  </si>
  <si>
    <t>KEN</t>
  </si>
  <si>
    <t>ANNA</t>
  </si>
  <si>
    <t>MNTK</t>
  </si>
  <si>
    <t>XIFR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</si>
</sst>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00B0F0"/>
      <name val="Aptos Narrow"/>
      <family val="2"/>
      <scheme val="minor"/>
    </font>
    <font>
      <b/>
      <sz val="11"/>
      <color theme="5" tint="-0.249977111117893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8"/>
      <color theme="9" tint="-0.249977111117893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499984740745262"/>
        <bgColor theme="9"/>
      </patternFill>
    </fill>
  </fills>
  <borders count="41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8">
    <xf numFmtId="0" fontId="0" fillId="0" borderId="0" xfId="0"/>
    <xf numFmtId="2" fontId="0" fillId="0" borderId="0" xfId="0" applyNumberFormat="1"/>
    <xf numFmtId="3" fontId="0" fillId="0" borderId="0" xfId="0" applyNumberFormat="1"/>
    <xf numFmtId="0" fontId="0" fillId="0" borderId="0" xfId="0" pivotButton="1"/>
    <xf numFmtId="0" fontId="3" fillId="2" borderId="1" xfId="0" applyFont="1" applyFill="1" applyBorder="1"/>
    <xf numFmtId="0" fontId="3" fillId="2" borderId="2" xfId="0" applyFont="1" applyFill="1" applyBorder="1"/>
    <xf numFmtId="0" fontId="0" fillId="0" borderId="0" xfId="0" applyAlignment="1">
      <alignment horizontal="left"/>
    </xf>
    <xf numFmtId="2" fontId="3" fillId="2" borderId="2" xfId="0" applyNumberFormat="1" applyFont="1" applyFill="1" applyBorder="1"/>
    <xf numFmtId="3" fontId="3" fillId="2" borderId="2" xfId="0" applyNumberFormat="1" applyFont="1" applyFill="1" applyBorder="1"/>
    <xf numFmtId="3" fontId="0" fillId="0" borderId="0" xfId="1" applyNumberFormat="1" applyFont="1"/>
    <xf numFmtId="0" fontId="0" fillId="0" borderId="0" xfId="0" applyAlignment="1">
      <alignment vertical="center"/>
    </xf>
    <xf numFmtId="2" fontId="3" fillId="4" borderId="2" xfId="0" applyNumberFormat="1" applyFont="1" applyFill="1" applyBorder="1"/>
    <xf numFmtId="0" fontId="3" fillId="4" borderId="0" xfId="0" applyFont="1" applyFill="1"/>
    <xf numFmtId="2" fontId="0" fillId="0" borderId="0" xfId="0" applyNumberFormat="1" applyAlignment="1">
      <alignment horizontal="center" vertical="center"/>
    </xf>
    <xf numFmtId="2" fontId="9" fillId="0" borderId="3" xfId="0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 wrapText="1"/>
    </xf>
    <xf numFmtId="2" fontId="9" fillId="0" borderId="10" xfId="0" applyNumberFormat="1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2" fontId="7" fillId="0" borderId="11" xfId="0" applyNumberFormat="1" applyFont="1" applyBorder="1" applyAlignment="1">
      <alignment horizontal="center" vertical="center"/>
    </xf>
    <xf numFmtId="2" fontId="8" fillId="0" borderId="11" xfId="0" applyNumberFormat="1" applyFon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2" fontId="5" fillId="0" borderId="15" xfId="0" applyNumberFormat="1" applyFont="1" applyBorder="1" applyAlignment="1">
      <alignment horizontal="center" vertical="center" wrapText="1"/>
    </xf>
    <xf numFmtId="2" fontId="9" fillId="0" borderId="27" xfId="0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/>
    </xf>
    <xf numFmtId="2" fontId="9" fillId="0" borderId="28" xfId="0" applyNumberFormat="1" applyFont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1" fillId="3" borderId="0" xfId="0" applyFont="1" applyFill="1" applyAlignment="1">
      <alignment horizontal="center"/>
    </xf>
    <xf numFmtId="0" fontId="11" fillId="0" borderId="35" xfId="0" applyFont="1" applyBorder="1" applyAlignment="1">
      <alignment horizontal="center" vertical="center" wrapText="1"/>
    </xf>
    <xf numFmtId="0" fontId="11" fillId="0" borderId="36" xfId="0" applyFont="1" applyBorder="1" applyAlignment="1">
      <alignment horizontal="center" vertical="center" wrapText="1"/>
    </xf>
    <xf numFmtId="0" fontId="11" fillId="0" borderId="37" xfId="0" applyFont="1" applyBorder="1" applyAlignment="1">
      <alignment horizontal="center" vertical="center" wrapText="1"/>
    </xf>
    <xf numFmtId="2" fontId="4" fillId="0" borderId="4" xfId="0" applyNumberFormat="1" applyFont="1" applyBorder="1" applyAlignment="1">
      <alignment horizontal="center" vertical="center"/>
    </xf>
    <xf numFmtId="2" fontId="4" fillId="0" borderId="5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2" fontId="4" fillId="0" borderId="30" xfId="0" applyNumberFormat="1" applyFont="1" applyBorder="1" applyAlignment="1">
      <alignment horizontal="center" vertical="center"/>
    </xf>
    <xf numFmtId="2" fontId="4" fillId="0" borderId="32" xfId="0" applyNumberFormat="1" applyFont="1" applyBorder="1" applyAlignment="1">
      <alignment horizontal="center" vertical="center"/>
    </xf>
    <xf numFmtId="2" fontId="4" fillId="0" borderId="34" xfId="0" applyNumberFormat="1" applyFont="1" applyBorder="1" applyAlignment="1">
      <alignment horizontal="center" vertical="center"/>
    </xf>
    <xf numFmtId="3" fontId="10" fillId="0" borderId="19" xfId="0" applyNumberFormat="1" applyFont="1" applyBorder="1" applyAlignment="1">
      <alignment horizontal="left" vertical="center" wrapText="1"/>
    </xf>
    <xf numFmtId="3" fontId="10" fillId="0" borderId="0" xfId="0" applyNumberFormat="1" applyFont="1" applyAlignment="1">
      <alignment horizontal="left" vertical="center" wrapText="1"/>
    </xf>
    <xf numFmtId="3" fontId="10" fillId="0" borderId="20" xfId="0" applyNumberFormat="1" applyFont="1" applyBorder="1" applyAlignment="1">
      <alignment horizontal="left" vertical="center" wrapText="1"/>
    </xf>
    <xf numFmtId="3" fontId="10" fillId="0" borderId="21" xfId="0" applyNumberFormat="1" applyFont="1" applyBorder="1" applyAlignment="1">
      <alignment horizontal="left" vertical="center" wrapText="1"/>
    </xf>
    <xf numFmtId="3" fontId="10" fillId="0" borderId="14" xfId="0" applyNumberFormat="1" applyFont="1" applyBorder="1" applyAlignment="1">
      <alignment horizontal="left" vertical="center" wrapText="1"/>
    </xf>
    <xf numFmtId="3" fontId="10" fillId="0" borderId="22" xfId="0" applyNumberFormat="1" applyFont="1" applyBorder="1" applyAlignment="1">
      <alignment horizontal="left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 vertical="center" wrapText="1"/>
    </xf>
    <xf numFmtId="2" fontId="1" fillId="0" borderId="39" xfId="0" applyNumberFormat="1" applyFont="1" applyBorder="1" applyAlignment="1">
      <alignment horizontal="center" vertical="center" wrapText="1"/>
    </xf>
    <xf numFmtId="2" fontId="1" fillId="0" borderId="40" xfId="0" applyNumberFormat="1" applyFont="1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/>
    </xf>
    <xf numFmtId="2" fontId="1" fillId="0" borderId="39" xfId="0" applyNumberFormat="1" applyFont="1" applyBorder="1" applyAlignment="1">
      <alignment horizontal="center"/>
    </xf>
    <xf numFmtId="2" fontId="1" fillId="0" borderId="40" xfId="0" applyNumberFormat="1" applyFont="1" applyBorder="1" applyAlignment="1">
      <alignment horizontal="center"/>
    </xf>
    <xf numFmtId="2" fontId="5" fillId="0" borderId="6" xfId="0" applyNumberFormat="1" applyFont="1" applyBorder="1" applyAlignment="1">
      <alignment horizontal="center" vertical="center" wrapText="1"/>
    </xf>
    <xf numFmtId="2" fontId="5" fillId="0" borderId="13" xfId="0" applyNumberFormat="1" applyFont="1" applyBorder="1" applyAlignment="1">
      <alignment horizontal="center" vertical="center" wrapText="1"/>
    </xf>
    <xf numFmtId="2" fontId="5" fillId="0" borderId="10" xfId="0" applyNumberFormat="1" applyFont="1" applyBorder="1" applyAlignment="1">
      <alignment horizontal="center" vertical="center" wrapText="1"/>
    </xf>
    <xf numFmtId="2" fontId="5" fillId="0" borderId="12" xfId="0" applyNumberFormat="1" applyFont="1" applyBorder="1" applyAlignment="1">
      <alignment horizontal="center" vertical="center" wrapText="1"/>
    </xf>
    <xf numFmtId="2" fontId="4" fillId="0" borderId="29" xfId="0" applyNumberFormat="1" applyFont="1" applyBorder="1" applyAlignment="1">
      <alignment horizontal="center" vertical="center"/>
    </xf>
    <xf numFmtId="2" fontId="4" fillId="0" borderId="31" xfId="0" applyNumberFormat="1" applyFont="1" applyBorder="1" applyAlignment="1">
      <alignment horizontal="center" vertical="center"/>
    </xf>
    <xf numFmtId="2" fontId="4" fillId="0" borderId="33" xfId="0" applyNumberFormat="1" applyFont="1" applyBorder="1" applyAlignment="1">
      <alignment horizontal="center" vertical="center"/>
    </xf>
    <xf numFmtId="3" fontId="10" fillId="0" borderId="16" xfId="0" applyNumberFormat="1" applyFont="1" applyBorder="1" applyAlignment="1">
      <alignment horizontal="left" vertical="center" wrapText="1"/>
    </xf>
    <xf numFmtId="3" fontId="10" fillId="0" borderId="17" xfId="0" applyNumberFormat="1" applyFont="1" applyBorder="1" applyAlignment="1">
      <alignment horizontal="left" vertical="center" wrapText="1"/>
    </xf>
    <xf numFmtId="3" fontId="10" fillId="0" borderId="18" xfId="0" applyNumberFormat="1" applyFont="1" applyBorder="1" applyAlignment="1">
      <alignment horizontal="left" vertical="center" wrapText="1"/>
    </xf>
    <xf numFmtId="2" fontId="1" fillId="0" borderId="7" xfId="0" applyNumberFormat="1" applyFont="1" applyBorder="1" applyAlignment="1">
      <alignment horizontal="center" vertical="center" wrapText="1"/>
    </xf>
    <xf numFmtId="2" fontId="1" fillId="0" borderId="8" xfId="0" applyNumberFormat="1" applyFont="1" applyBorder="1" applyAlignment="1">
      <alignment horizontal="center" vertical="center" wrapText="1"/>
    </xf>
    <xf numFmtId="2" fontId="1" fillId="0" borderId="9" xfId="0" applyNumberFormat="1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2" fontId="1" fillId="0" borderId="7" xfId="0" applyNumberFormat="1" applyFont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1" fillId="0" borderId="9" xfId="0" applyNumberFormat="1" applyFont="1" applyBorder="1" applyAlignment="1">
      <alignment horizontal="center"/>
    </xf>
  </cellXfs>
  <cellStyles count="2">
    <cellStyle name="Comma" xfId="1" builtinId="3"/>
    <cellStyle name="Normal" xfId="0" builtinId="0"/>
  </cellStyles>
  <dxfs count="14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155</v>
        <stp/>
        <stp>LAST</stp>
        <stp>VST</stp>
        <tr r="D24" s="2"/>
      </tp>
      <tp>
        <v>103.56</v>
        <stp/>
        <stp>LAST</stp>
        <stp>WEC</stp>
        <tr r="D36" s="2"/>
      </tp>
      <tp>
        <v>32.909999999999997</v>
        <stp/>
        <stp>LAST</stp>
        <stp>ARTNA</stp>
        <tr r="D14" s="4"/>
      </tp>
      <tp>
        <v>241.08</v>
        <stp/>
        <stp>LAST</stp>
        <stp>TLN</stp>
        <tr r="D23" s="2"/>
      </tp>
      <tp>
        <v>9.15</v>
        <stp/>
        <stp>LAST</stp>
        <stp>TAC</stp>
        <tr r="D25" s="3"/>
      </tp>
      <tp>
        <v>54.05</v>
        <stp/>
        <stp>LAST</stp>
        <stp>UTL</stp>
        <tr r="D13" s="4"/>
      </tp>
      <tp>
        <v>34.65</v>
        <stp/>
        <stp>LAST</stp>
        <stp>UGI</stp>
        <tr r="D23" s="3"/>
      </tp>
      <tp>
        <v>6.66</v>
        <stp/>
        <stp>LAST</stp>
        <stp>RNW</stp>
        <tr r="D30" s="3"/>
      </tp>
      <tp>
        <v>75.13</v>
        <stp/>
        <stp>LAST</stp>
        <stp>SRE</stp>
        <tr r="D35" s="2"/>
      </tp>
      <tp>
        <v>19.46</v>
        <stp/>
        <stp>LAST</stp>
        <stp>SPH</stp>
        <tr r="D7" s="4"/>
      </tp>
      <tp>
        <v>68.099999999999994</v>
        <stp/>
        <stp>LAST</stp>
        <stp>SWX</stp>
        <tr r="D22" s="3"/>
      </tp>
      <tp>
        <v>54.86</v>
        <stp/>
        <stp>LAST</stp>
        <stp>SJW</stp>
        <tr r="D18" s="4"/>
      </tp>
      <tp>
        <v>20.32</v>
        <stp/>
        <stp>LAST</stp>
        <stp>SBS</stp>
        <tr r="D38" s="2"/>
      </tp>
      <tp>
        <v>12.2</v>
        <stp/>
        <stp>LAST</stp>
        <stp>SGU</stp>
        <tr r="D6" s="4"/>
      </tp>
      <tp>
        <v>33.79</v>
        <stp/>
        <stp>LAST</stp>
        <stp>PPL</stp>
        <tr r="D19" s="2"/>
      </tp>
      <tp>
        <v>89.08</v>
        <stp/>
        <stp>LAST</stp>
        <stp>PNW</stp>
        <tr r="D18" s="2"/>
      </tp>
      <tp>
        <v>41.5</v>
        <stp/>
        <stp>LAST</stp>
        <stp>POR</stp>
        <tr r="D13" s="3"/>
      </tp>
      <tp>
        <v>16.96</v>
        <stp/>
        <stp>LAST</stp>
        <stp>PCG</stp>
        <tr r="D17" s="2"/>
      </tp>
      <tp>
        <v>83.73</v>
        <stp/>
        <stp>LAST</stp>
        <stp>PAM</stp>
        <tr r="D12" s="3"/>
      </tp>
      <tp>
        <v>77.59</v>
        <stp/>
        <stp>LAST</stp>
        <stp>PEG</stp>
        <tr r="D34" s="2"/>
      </tp>
      <tp>
        <v>68.31</v>
        <stp/>
        <stp>LAST</stp>
        <stp>XEL</stp>
        <tr r="D21" s="2"/>
      </tp>
      <tp>
        <v>46.55</v>
        <stp/>
        <stp>LAST</stp>
        <stp>FTS</stp>
        <tr r="D12" s="2"/>
      </tp>
      <tp>
        <v>17.04</v>
        <stp/>
        <stp>LAST</stp>
        <stp>GNE</stp>
        <tr r="D3" s="4"/>
      </tp>
      <tp>
        <v>132.84</v>
        <stp/>
        <stp>LAST</stp>
        <stp>DTE</stp>
        <tr r="D30" s="2"/>
      </tp>
      <tp>
        <v>113.07</v>
        <stp/>
        <stp>LAST</stp>
        <stp>DUK</stp>
        <tr r="D4" s="2"/>
      </tp>
      <tp>
        <v>42.97</v>
        <stp/>
        <stp>LAST</stp>
        <stp>EXC</stp>
        <tr r="D10" s="2"/>
      </tp>
      <tp>
        <v>80.89</v>
        <stp/>
        <stp>LAST</stp>
        <stp>ETR</stp>
        <tr r="D8" s="2"/>
      </tp>
      <tp>
        <v>56.18</v>
        <stp/>
        <stp>LAST</stp>
        <stp>EIX</stp>
        <tr r="D6" s="2"/>
      </tp>
      <tp>
        <v>8.6999999999999993</v>
        <stp/>
        <stp>LAST</stp>
        <stp>ELP</stp>
        <tr r="D4" s="3"/>
      </tp>
      <tp>
        <v>7.71</v>
        <stp/>
        <stp>LAST</stp>
        <stp>EBR</stp>
        <tr r="D5" s="2"/>
      </tp>
      <tp>
        <v>35.81</v>
        <stp/>
        <stp>LAST</stp>
        <stp>EDN</stp>
        <tr r="D2" s="4"/>
      </tp>
      <tp>
        <v>57.76</v>
        <stp/>
        <stp>LAST</stp>
        <stp>BKH</stp>
        <tr r="D33" s="3"/>
      </tp>
      <tp>
        <v>32.340000000000003</v>
        <stp/>
        <stp>LAST</stp>
        <stp>BIP</stp>
        <tr r="D26" s="2"/>
      </tp>
      <tp>
        <v>23.98</v>
        <stp/>
        <stp>LAST</stp>
        <stp>BEP</stp>
        <tr r="D26" s="3"/>
      </tp>
      <tp>
        <v>119.03</v>
        <stp/>
        <stp>LAST</stp>
        <stp>CPK</stp>
        <tr r="D16" s="3"/>
      </tp>
      <tp>
        <v>45.63</v>
        <stp/>
        <stp>LAST</stp>
        <stp>CWT</stp>
        <tr r="D36" s="3"/>
      </tp>
      <tp>
        <v>1.81</v>
        <stp/>
        <stp>LAST</stp>
        <stp>CIG</stp>
        <tr r="D3" s="3"/>
      </tp>
      <tp>
        <v>36.659999999999997</v>
        <stp/>
        <stp>LAST</stp>
        <stp>CNP</stp>
        <tr r="D28" s="2"/>
      </tp>
      <tp>
        <v>69.239999999999995</v>
        <stp/>
        <stp>LAST</stp>
        <stp>CMS</stp>
        <tr r="D27" s="2"/>
      </tp>
      <tp>
        <v>291.52</v>
        <stp/>
        <stp>LAST</stp>
        <stp>CEG</stp>
        <tr r="D3" s="2"/>
      </tp>
      <tp>
        <v>5.61</v>
        <stp/>
        <stp>LAST</stp>
        <stp>AQN</stp>
        <tr r="D31" s="3"/>
      </tp>
      <tp>
        <v>37.93</v>
        <stp/>
        <stp>LAST</stp>
        <stp>AVA</stp>
        <tr r="D32" s="3"/>
      </tp>
      <tp>
        <v>76.150000000000006</v>
        <stp/>
        <stp>LAST</stp>
        <stp>AWR</stp>
        <tr r="D35" s="3"/>
      </tp>
      <tp>
        <v>133.84</v>
        <stp/>
        <stp>LAST</stp>
        <stp>AWK</stp>
        <tr r="D37" s="2"/>
      </tp>
      <tp>
        <v>153.66</v>
        <stp/>
        <stp>LAST</stp>
        <stp>ATO</stp>
        <tr r="D22" s="2"/>
      </tp>
      <tp>
        <v>65.7</v>
        <stp/>
        <stp>LAST</stp>
        <stp>ALE</stp>
        <tr r="D2" s="3"/>
      </tp>
      <tp>
        <v>12.55</v>
        <stp/>
        <stp>LAST</stp>
        <stp>AES</stp>
        <tr r="D24" s="3"/>
      </tp>
      <tp>
        <v>99.56</v>
        <stp/>
        <stp>LAST</stp>
        <stp>AEP</stp>
        <tr r="D2" s="2"/>
      </tp>
      <tp>
        <v>94.32</v>
        <stp/>
        <stp>LAST</stp>
        <stp>AEE</stp>
        <tr r="D25" s="2"/>
      </tp>
      <tp>
        <v>156.71</v>
        <stp/>
        <stp>LAST</stp>
        <stp>NRG</stp>
        <tr r="D16" s="2"/>
      </tp>
      <tp>
        <v>54.69</v>
        <stp/>
        <stp>LAST</stp>
        <stp>NWE</stp>
        <tr r="D34" s="3"/>
      </tp>
      <tp>
        <v>40.53</v>
        <stp/>
        <stp>LAST</stp>
        <stp>NWN</stp>
        <tr r="D5" s="4"/>
      </tp>
      <tp>
        <v>46.18</v>
        <stp/>
        <stp>LAST</stp>
        <stp>NJR</stp>
        <tr r="D19" s="3"/>
      </tp>
      <tp>
        <v>79.680000000000007</v>
        <stp/>
        <stp>LAST</stp>
        <stp>NFG</stp>
        <tr r="D18" s="3"/>
      </tp>
      <tp>
        <v>67.53</v>
        <stp/>
        <stp>LAST</stp>
        <stp>NGG</stp>
        <tr r="D32" s="2"/>
      </tp>
      <tp>
        <v>72.11</v>
        <stp/>
        <stp>LAST</stp>
        <stp>NEE</stp>
        <tr r="D15" s="2"/>
      </tp>
      <tp>
        <v>73.38</v>
        <stp/>
        <stp>LAST</stp>
        <stp>ORA</stp>
        <tr r="D29" s="3"/>
      </tp>
      <tp>
        <v>73.290000000000006</v>
        <stp/>
        <stp>LAST</stp>
        <stp>OGS</stp>
        <tr r="D20" s="3"/>
      </tp>
      <tp>
        <v>43.06</v>
        <stp/>
        <stp>LAST</stp>
        <stp>OGE</stp>
        <tr r="D9" s="3"/>
      </tp>
      <tp>
        <v>60.46</v>
        <stp/>
        <stp>LAST</stp>
        <stp>LNT</stp>
        <tr r="D14" s="2"/>
      </tp>
      <tp>
        <v>17.010000000000002</v>
        <stp/>
        <stp>LAST</stp>
        <stp>MDU</stp>
        <tr r="D17" s="3"/>
      </tp>
      <tp>
        <v>9.16</v>
        <stp/>
        <stp>LAST</stp>
        <stp>KEP</stp>
        <tr r="D13" s="2"/>
      </tp>
      <tp>
        <v>32.659999999999997</v>
        <stp/>
        <stp>LAST</stp>
        <stp>KEN</stp>
        <tr r="D9" s="4"/>
      </tp>
      <tp>
        <v>111.01</v>
        <stp/>
        <stp>LAST</stp>
        <stp>IDA</stp>
        <tr r="D7" s="3"/>
      </tp>
      <tp>
        <v>53.2</v>
        <stp/>
        <stp>LAST</stp>
        <stp>TXNM</stp>
        <tr r="D14" s="3"/>
      </tp>
      <tp>
        <v>56.25</v>
        <stp/>
        <stp>LAST</stp>
        <stp>MSEX</stp>
        <tr r="D17" s="4"/>
      </tp>
      <tp>
        <v>64.760000000000005</v>
        <stp/>
        <stp>LAST</stp>
        <stp>EVRG</stp>
        <tr r="D9" s="2"/>
      </tp>
      <tp>
        <v>10.24</v>
        <stp/>
        <stp>LAST</stp>
        <stp>GWRS</stp>
        <tr r="D16" s="4"/>
      </tp>
      <tp>
        <v>29.08</v>
        <stp/>
        <stp>LAST</stp>
        <stp>CWEN</stp>
        <tr r="D28" s="3"/>
      </tp>
      <tp>
        <v>24.86</v>
        <stp/>
        <stp>LAST</stp>
        <stp>CWCO</stp>
        <tr r="D15" s="4"/>
      </tp>
      <tp>
        <v>78.59</v>
        <stp/>
        <stp>LAST</stp>
        <stp>OTTR</stp>
        <tr r="D11" s="3"/>
      </tp>
      <tp>
        <v>37.42</v>
        <stp/>
        <stp>LAST</stp>
        <stp>WTRG</stp>
        <tr r="D39" s="2"/>
      </tp>
      <tp>
        <v>32.03</v>
        <stp/>
        <stp>LAST</stp>
        <stp>OKLO</stp>
        <tr r="D10" s="3"/>
      </tp>
      <tp>
        <v>39.36</v>
        <stp/>
        <stp>LAST</stp>
        <stp>BIPC</stp>
        <tr r="D15" s="3"/>
      </tp>
      <tp>
        <v>9.8000000000000007</v>
        <stp/>
        <stp>LAST</stp>
        <stp>XIFR</stp>
        <tr r="D12" s="4"/>
      </tp>
      <tp>
        <v>2.31</v>
        <stp/>
        <stp>LAST</stp>
        <stp>MNTK</stp>
        <tr r="D11" s="4"/>
      </tp>
      <tp>
        <v>9.84</v>
        <stp/>
        <stp>LAST</stp>
        <stp>ANNA</stp>
        <tr r="D10" s="4"/>
      </tp>
      <tp>
        <v>3.95</v>
        <stp/>
        <stp>LAST</stp>
        <stp>ENIC</stp>
        <tr r="D6" s="3"/>
      </tp>
      <tp>
        <v>32.28</v>
        <stp/>
        <stp>LAST</stp>
        <stp>YORW</stp>
        <tr r="D19" s="4"/>
      </tp>
      <tp>
        <v>8.1199999999999992</v>
        <stp/>
        <stp>LAST</stp>
        <stp>ELPC</stp>
        <tr r="D5" s="3"/>
      </tp>
      <tp>
        <v>90.15</v>
        <stp/>
        <stp>LAST</stp>
        <stp>MGEE</stp>
        <tr r="D8" s="3"/>
      </tp>
      <tp>
        <v>12.83</v>
        <stp/>
        <stp>LAST</stp>
        <stp>CEPU</stp>
        <tr r="D8" s="4"/>
      </tp>
      <tp>
        <v>29.41</v>
        <stp/>
        <stp>LAST</stp>
        <stp>BEPC</stp>
        <tr r="D27" s="3"/>
      </tp>
      <tp>
        <v>71.790000000000006</v>
        <stp/>
        <stp>LAST</stp>
        <stp>SR</stp>
        <tr r="D21" s="3"/>
      </tp>
      <tp>
        <v>85.57</v>
        <stp/>
        <stp>LAST</stp>
        <stp>SO</stp>
        <tr r="D20" s="2"/>
      </tp>
      <tp>
        <v>41.23</v>
        <stp/>
        <stp>LAST</stp>
        <stp>FE</stp>
        <tr r="D11" s="2"/>
      </tp>
      <tp>
        <v>62.91</v>
        <stp/>
        <stp>LAST</stp>
        <stp>ES</stp>
        <tr r="D7" s="2"/>
      </tp>
      <tp>
        <v>100.58</v>
        <stp/>
        <stp>LAST</stp>
        <stp>ED</stp>
        <tr r="D31" s="2"/>
      </tp>
      <tp>
        <v>37.82</v>
        <stp/>
        <stp>LAST</stp>
        <stp>NI</stp>
        <tr r="D33" s="2"/>
      </tp>
      <tp>
        <v>10.93</v>
        <stp/>
        <stp>LAST</stp>
        <stp>HE</stp>
        <tr r="D4" s="4"/>
      </tp>
      <tp>
        <v>53.81</v>
        <stp/>
        <stp>LAST</stp>
        <stp>D</stp>
        <tr r="D29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5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17/06/relationships/rdRichValueTypes" Target="richData/rdRichValueTyp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11269" name="CommandButton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968115856478" createdVersion="8" refreshedVersion="8" minRefreshableVersion="3" recordCount="38" xr:uid="{3432845B-C090-4238-AA0B-FA56B072311B}">
  <cacheSource type="worksheet">
    <worksheetSource name="Main_L"/>
  </cacheSource>
  <cacheFields count="26">
    <cacheField name="Industry" numFmtId="0">
      <sharedItems count="58">
        <s v="Electric Utilities"/>
        <s v="Gas Utilities"/>
        <s v="Independent Power &amp; Renewable Electricity Producers"/>
        <s v="Multi-Utilities"/>
        <s v="Water Utilitie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Passenger Airlines" u="1"/>
        <s v="Professional Services" u="1"/>
        <s v="Trading Companies &amp; Distributors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Transportation Infrastructure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10527" maxValue="138669"/>
    </cacheField>
    <cacheField name="Current Price" numFmtId="0">
      <sharedItems containsSemiMixedTypes="0" containsString="0" containsNumber="1" minValue="7.71" maxValue="291.52"/>
    </cacheField>
    <cacheField name="Free CF" numFmtId="0">
      <sharedItems containsSemiMixedTypes="0" containsString="0" containsNumber="1" minValue="-16.07" maxValue="8.82"/>
    </cacheField>
    <cacheField name="BVPS" numFmtId="0">
      <sharedItems containsSemiMixedTypes="0" containsString="0" containsNumber="1" minValue="8.74" maxValue="80.52"/>
    </cacheField>
    <cacheField name="EPS" numFmtId="0">
      <sharedItems containsSemiMixedTypes="0" containsString="0" containsNumber="1" minValue="0.01" maxValue="17.670000000000002"/>
    </cacheField>
    <cacheField name="P/FCF" numFmtId="2">
      <sharedItems containsMixedTypes="1" containsNumber="1" minValue="-137.81632653061226" maxValue="1884.5"/>
    </cacheField>
    <cacheField name="P/B" numFmtId="2">
      <sharedItems containsSemiMixedTypes="0" containsString="0" containsNumber="1" minValue="0.21752552837805747" maxValue="17.033695652173915"/>
    </cacheField>
    <cacheField name="ROE" numFmtId="0">
      <sharedItems containsSemiMixedTypes="0" containsString="0" containsNumber="1" minValue="4.47" maxValue="51.67"/>
    </cacheField>
    <cacheField name="ROA" numFmtId="0">
      <sharedItems containsSemiMixedTypes="0" containsString="0" containsNumber="1" minValue="1.95" maxValue="13.52"/>
    </cacheField>
    <cacheField name="A/E" numFmtId="0">
      <sharedItems containsSemiMixedTypes="0" containsString="0" containsNumber="1" minValue="2.0699999999999998" maxValue="22.61"/>
    </cacheField>
    <cacheField name="P/E" numFmtId="2">
      <sharedItems containsSemiMixedTypes="0" containsString="0" containsNumber="1" minValue="2.4891304347826084" maxValue="3234.0000000000005"/>
    </cacheField>
    <cacheField name="Preliminary Criteria" numFmtId="0">
      <sharedItems/>
    </cacheField>
    <cacheField name="P/FCF Z-Score" numFmtId="2">
      <sharedItems containsMixedTypes="1" containsNumber="1" minValue="-5.9048612191847898" maxValue="134.99331142164849"/>
    </cacheField>
    <cacheField name="P/B Z-Score" numFmtId="2">
      <sharedItems containsMixedTypes="1" containsNumber="1" minValue="-2.992553106439551" maxValue="28.622127458447071"/>
    </cacheField>
    <cacheField name="ROE Z-Score" numFmtId="2">
      <sharedItems containsMixedTypes="1" containsNumber="1" minValue="-2.6541223349082235" maxValue="23.689018621496846"/>
    </cacheField>
    <cacheField name="ROA Z-Score" numFmtId="2">
      <sharedItems containsMixedTypes="1" containsNumber="1" minValue="-7.6142953957406458" maxValue="9.2311597081606447"/>
    </cacheField>
    <cacheField name="A/E Z-Score" numFmtId="2">
      <sharedItems containsMixedTypes="1" containsNumber="1" minValue="-2.4490715359821165" maxValue="38.615356306723349"/>
    </cacheField>
    <cacheField name="P/E Z-Score" numFmtId="2">
      <sharedItems containsMixedTypes="1" containsNumber="1" minValue="-3.1777065134960547" maxValue="1434.8437087532238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968117476848" createdVersion="8" refreshedVersion="8" minRefreshableVersion="3" recordCount="35" xr:uid="{A2646FF5-8A5C-4026-A340-9C8CC354FDFF}">
  <cacheSource type="worksheet">
    <worksheetSource name="Main_M"/>
  </cacheSource>
  <cacheFields count="26">
    <cacheField name="Industry" numFmtId="0">
      <sharedItems count="59">
        <s v="Electric Utilities"/>
        <s v="Gas Utilities"/>
        <s v="Independent Power &amp; Renewable Electricity Producers"/>
        <s v="Multi-Utilities"/>
        <s v="Water Utilitie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379" maxValue="9100"/>
    </cacheField>
    <cacheField name="Current Price" numFmtId="0">
      <sharedItems containsSemiMixedTypes="0" containsString="0" containsNumber="1" minValue="1.81" maxValue="119.03"/>
    </cacheField>
    <cacheField name="Free CF" numFmtId="0">
      <sharedItems containsSemiMixedTypes="0" containsString="0" containsNumber="1" minValue="-8.16" maxValue="5.71"/>
    </cacheField>
    <cacheField name="BVPS" numFmtId="0">
      <sharedItems containsSemiMixedTypes="0" containsString="0" containsNumber="1" minValue="-7.06" maxValue="61.95"/>
    </cacheField>
    <cacheField name="EPS" numFmtId="0">
      <sharedItems containsSemiMixedTypes="0" containsString="0" containsNumber="1" minValue="-2.0699999999999998" maxValue="7.02"/>
    </cacheField>
    <cacheField name="P/FCF" numFmtId="2">
      <sharedItems containsSemiMixedTypes="0" containsString="0" containsNumber="1" minValue="-8373" maxValue="3793"/>
    </cacheField>
    <cacheField name="P/B" numFmtId="2">
      <sharedItems containsSemiMixedTypes="0" containsString="0" containsNumber="1" minValue="-5.5750708215297449" maxValue="49.375"/>
    </cacheField>
    <cacheField name="ROE" numFmtId="0">
      <sharedItems containsSemiMixedTypes="0" containsString="0" containsNumber="1" minValue="-68.010000000000005" maxValue="27.36"/>
    </cacheField>
    <cacheField name="ROA" numFmtId="0">
      <sharedItems containsSemiMixedTypes="0" containsString="0" containsNumber="1" minValue="-22.25" maxValue="8.83"/>
    </cacheField>
    <cacheField name="A/E" numFmtId="0">
      <sharedItems containsSemiMixedTypes="0" containsString="0" containsNumber="1" minValue="-26.87" maxValue="31.31"/>
    </cacheField>
    <cacheField name="P/E" numFmtId="2">
      <sharedItems containsMixedTypes="1" containsNumber="1" minValue="-43.283783783783782" maxValue="185.30232558139537"/>
    </cacheField>
    <cacheField name="Preliminary Criteria" numFmtId="0">
      <sharedItems/>
    </cacheField>
    <cacheField name="P/FCF Z-Score" numFmtId="2">
      <sharedItems containsSemiMixedTypes="0" containsString="0" containsNumber="1" minValue="-118.85875980532963" maxValue="57.062670706858313"/>
    </cacheField>
    <cacheField name="P/B Z-Score" numFmtId="2">
      <sharedItems containsSemiMixedTypes="0" containsString="0" containsNumber="1" minValue="-23.861173664146811" maxValue="26.297601404205881"/>
    </cacheField>
    <cacheField name="ROE Z-Score" numFmtId="2">
      <sharedItems containsSemiMixedTypes="0" containsString="0" containsNumber="1" minValue="-15.424083791380689" maxValue="3.3142703672071137"/>
    </cacheField>
    <cacheField name="ROA Z-Score" numFmtId="2">
      <sharedItems containsSemiMixedTypes="0" containsString="0" containsNumber="1" minValue="-35.577232243308174" maxValue="7.6688435576423606"/>
    </cacheField>
    <cacheField name="A/E Z-Score" numFmtId="2">
      <sharedItems containsSemiMixedTypes="0" containsString="0" containsNumber="1" minValue="-83.200081124642779" maxValue="5.9315047744542007"/>
    </cacheField>
    <cacheField name="P/E Z-Score" numFmtId="2">
      <sharedItems containsMixedTypes="1" containsNumber="1" minValue="-9.7449770329138126" maxValue="43.412226184932386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Yes"/>
        <s v="No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96811898148" createdVersion="8" refreshedVersion="8" minRefreshableVersion="3" recordCount="18" xr:uid="{FEEDC4AE-CB7E-4F82-B64E-6462C5DE2153}">
  <cacheSource type="worksheet">
    <worksheetSource name="Main_S"/>
  </cacheSource>
  <cacheFields count="26">
    <cacheField name="Industry" numFmtId="0">
      <sharedItems count="60">
        <s v="Electric Utilities"/>
        <s v="Gas Utilities"/>
        <s v="Independent Power &amp; Renewable Electricity Producers"/>
        <s v="Multi-Utilities"/>
        <s v="Water Utilitie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82" maxValue="1875"/>
    </cacheField>
    <cacheField name="Current Price" numFmtId="0">
      <sharedItems containsSemiMixedTypes="0" containsString="0" containsNumber="1" minValue="2.31" maxValue="56.25"/>
    </cacheField>
    <cacheField name="Free CF" numFmtId="0">
      <sharedItems containsString="0" containsBlank="1" containsNumber="1" minValue="-5" maxValue="5.98"/>
    </cacheField>
    <cacheField name="BVPS" numFmtId="0">
      <sharedItems containsSemiMixedTypes="0" containsString="0" containsNumber="1" minValue="0.74" maxValue="40.880000000000003"/>
    </cacheField>
    <cacheField name="EPS" numFmtId="0">
      <sharedItems containsString="0" containsBlank="1" containsNumber="1" minValue="-10.42" maxValue="11.34"/>
    </cacheField>
    <cacheField name="P/FCF" numFmtId="2">
      <sharedItems containsMixedTypes="1" containsNumber="1" minValue="-275.46153846153845" maxValue="183.28571428571428"/>
    </cacheField>
    <cacheField name="P/B" numFmtId="2">
      <sharedItems containsSemiMixedTypes="0" containsString="0" containsNumber="1" minValue="0.28496656004652515" maxValue="21.443113772455092"/>
    </cacheField>
    <cacheField name="ROE" numFmtId="0">
      <sharedItems containsString="0" containsBlank="1" containsNumber="1" minValue="-67.95" maxValue="26.81"/>
    </cacheField>
    <cacheField name="ROA" numFmtId="0">
      <sharedItems containsString="0" containsBlank="1" containsNumber="1" minValue="-6.44" maxValue="8.0299999999999994"/>
    </cacheField>
    <cacheField name="A/E" numFmtId="0">
      <sharedItems containsString="0" containsBlank="1" containsNumber="1" minValue="1.1599999999999999" maxValue="8.51"/>
    </cacheField>
    <cacheField name="P/E" numFmtId="2">
      <sharedItems containsMixedTypes="1" containsNumber="1" minValue="-39.200000000000003" maxValue="427.66666666666669"/>
    </cacheField>
    <cacheField name="Preliminary Criteria" numFmtId="0">
      <sharedItems/>
    </cacheField>
    <cacheField name="P/FCF Z-Score" numFmtId="2">
      <sharedItems containsMixedTypes="1" containsNumber="1" minValue="-7.6478917631816605" maxValue="21.476454445232822"/>
    </cacheField>
    <cacheField name="P/B Z-Score" numFmtId="2">
      <sharedItems containsMixedTypes="1" containsNumber="1" minValue="-1.2582398986262515" maxValue="9.9653772217978034"/>
    </cacheField>
    <cacheField name="ROE Z-Score" numFmtId="2">
      <sharedItems containsMixedTypes="1" containsNumber="1" minValue="-22.402243485133123" maxValue="8.1482669203605465"/>
    </cacheField>
    <cacheField name="ROA Z-Score" numFmtId="2">
      <sharedItems containsMixedTypes="1" containsNumber="1" minValue="-5.3427859536480122" maxValue="4.0873806319714081"/>
    </cacheField>
    <cacheField name="A/E Z-Score" numFmtId="2">
      <sharedItems containsMixedTypes="1" containsNumber="1" minValue="-3.0821411561793606" maxValue="7.3158851031214756"/>
    </cacheField>
    <cacheField name="P/E Z-Score" numFmtId="2">
      <sharedItems containsMixedTypes="1" containsNumber="1" minValue="-12.135344816043585" maxValue="39.111900366827008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3">
        <s v="No"/>
        <s v="Yes"/>
        <e v="#VALUE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x v="0"/>
    <s v="AEP"/>
    <n v="57415"/>
    <n v="99.56"/>
    <n v="-2.58"/>
    <n v="50.56"/>
    <n v="5.58"/>
    <n v="-38.589147286821706"/>
    <n v="1.9691455696202531"/>
    <n v="11.39"/>
    <n v="2.86"/>
    <n v="3.83"/>
    <n v="17.842293906810035"/>
    <s v="NO"/>
    <n v="-1.3919481770125328"/>
    <n v="0.30052181295389668"/>
    <n v="1.5910195852188636"/>
    <n v="0.28524720993937275"/>
    <n v="0.1275231444258712"/>
    <n v="-0.47075513024711713"/>
    <x v="0"/>
    <x v="0"/>
    <x v="0"/>
    <x v="0"/>
    <x v="0"/>
    <x v="0"/>
  </r>
  <r>
    <x v="0"/>
    <s v="CEG"/>
    <n v="84005"/>
    <n v="291.52"/>
    <n v="-16.07"/>
    <n v="42.06"/>
    <n v="11.89"/>
    <n v="-18.140634723086496"/>
    <n v="6.9310508796956718"/>
    <n v="30.12"/>
    <n v="5.15"/>
    <n v="4.0199999999999996"/>
    <n v="24.518082422203531"/>
    <s v="NO"/>
    <n v="5.8257965716823158E-2"/>
    <n v="9.6289866308300098"/>
    <n v="15.20600385987303"/>
    <n v="7.498676653927653"/>
    <n v="0.46514589565174452"/>
    <n v="0.70626841860951894"/>
    <x v="0"/>
    <x v="1"/>
    <x v="1"/>
    <x v="1"/>
    <x v="0"/>
    <x v="0"/>
  </r>
  <r>
    <x v="0"/>
    <s v="DUK"/>
    <n v="95263"/>
    <n v="113.07"/>
    <n v="0.06"/>
    <n v="63.34"/>
    <n v="5.69"/>
    <n v="1884.5"/>
    <n v="1.785127881275655"/>
    <n v="9.08"/>
    <n v="2.73"/>
    <n v="3.79"/>
    <n v="19.871704745166959"/>
    <s v="NO"/>
    <n v="134.99331142164849"/>
    <n v="-4.5434513158135265E-2"/>
    <n v="-8.8137578393049421E-2"/>
    <n v="-0.1242487846975161"/>
    <n v="5.6444670483581851E-2"/>
    <n v="-0.11294506158735659"/>
    <x v="1"/>
    <x v="0"/>
    <x v="0"/>
    <x v="0"/>
    <x v="0"/>
    <x v="0"/>
  </r>
  <r>
    <x v="0"/>
    <s v="EBR"/>
    <n v="16768"/>
    <n v="7.71"/>
    <n v="0.64"/>
    <n v="11.08"/>
    <n v="0.74"/>
    <n v="12.046875"/>
    <n v="0.69584837545126355"/>
    <n v="8.85"/>
    <n v="2.85"/>
    <n v="2.38"/>
    <n v="10.418918918918919"/>
    <s v="NO"/>
    <n v="2.1991526590433828"/>
    <n v="-2.0932981687348011"/>
    <n v="-0.25532638689120551"/>
    <n v="0.25374751804422813"/>
    <n v="-2.4490715359821165"/>
    <n v="-1.7795873607160251"/>
    <x v="0"/>
    <x v="0"/>
    <x v="0"/>
    <x v="0"/>
    <x v="0"/>
    <x v="0"/>
  </r>
  <r>
    <x v="0"/>
    <s v="EIX"/>
    <n v="21451"/>
    <n v="56.18"/>
    <n v="-1.89"/>
    <n v="38.93"/>
    <n v="7.04"/>
    <n v="-29.724867724867725"/>
    <n v="1.4431030053942975"/>
    <n v="15"/>
    <n v="2.8"/>
    <n v="5.9"/>
    <n v="7.9801136363636367"/>
    <s v="NO"/>
    <n v="-0.76329449711534836"/>
    <n v="-0.68844698963951201"/>
    <n v="4.2151569707768735"/>
    <n v="9.6249058568500662E-2"/>
    <n v="3.8058341709393431"/>
    <n v="-2.2095787006190881"/>
    <x v="0"/>
    <x v="0"/>
    <x v="1"/>
    <x v="0"/>
    <x v="1"/>
    <x v="0"/>
  </r>
  <r>
    <x v="0"/>
    <s v="ES"/>
    <n v="22866"/>
    <n v="62.91"/>
    <n v="-6.49"/>
    <n v="41.02"/>
    <n v="2.3199999999999998"/>
    <n v="-9.693374422187981"/>
    <n v="1.5336421257922963"/>
    <n v="5.55"/>
    <n v="3.06"/>
    <n v="3.96"/>
    <n v="27.116379310344829"/>
    <s v="NO"/>
    <n v="0.65733668791798305"/>
    <n v="-0.51823193181501181"/>
    <n v="-2.6541223349082235"/>
    <n v="0.91524104784227978"/>
    <n v="0.35852818473831127"/>
    <n v="1.1643800884461661"/>
    <x v="0"/>
    <x v="0"/>
    <x v="1"/>
    <x v="0"/>
    <x v="0"/>
    <x v="0"/>
  </r>
  <r>
    <x v="0"/>
    <s v="ETR"/>
    <n v="36288"/>
    <n v="80.89"/>
    <n v="-4.2"/>
    <n v="35.25"/>
    <n v="3.09"/>
    <n v="-19.259523809523809"/>
    <n v="2.2947517730496454"/>
    <n v="8.85"/>
    <n v="3.07"/>
    <n v="4.3899999999999997"/>
    <n v="26.177993527508093"/>
    <s v="NO"/>
    <n v="-2.1093518706640207E-2"/>
    <n v="0.91266691112932552"/>
    <n v="-0.25532638689120551"/>
    <n v="0.94674073973742445"/>
    <n v="1.1226217796179208"/>
    <n v="0.99893114383621173"/>
    <x v="0"/>
    <x v="0"/>
    <x v="0"/>
    <x v="0"/>
    <x v="0"/>
    <x v="0"/>
  </r>
  <r>
    <x v="0"/>
    <s v="EVRG"/>
    <n v="16018"/>
    <n v="64.760000000000005"/>
    <n v="-1.53"/>
    <n v="43.29"/>
    <n v="3.79"/>
    <n v="-42.326797385620921"/>
    <n v="1.4959574959574962"/>
    <n v="9"/>
    <n v="2.87"/>
    <n v="3.24"/>
    <n v="17.087071240105541"/>
    <s v="NO"/>
    <n v="-1.6570218891349708"/>
    <n v="-0.58907966501838371"/>
    <n v="-0.14629020743588628"/>
    <n v="0.31674690183451881"/>
    <n v="-0.92088434622289572"/>
    <n v="-0.6039101667333352"/>
    <x v="0"/>
    <x v="0"/>
    <x v="0"/>
    <x v="0"/>
    <x v="0"/>
    <x v="0"/>
  </r>
  <r>
    <x v="0"/>
    <s v="EXC"/>
    <n v="46782"/>
    <n v="42.97"/>
    <n v="-1.49"/>
    <n v="27.35"/>
    <n v="2.69"/>
    <n v="-28.838926174496645"/>
    <n v="1.5711151736745885"/>
    <n v="10.1"/>
    <n v="2.76"/>
    <n v="3.97"/>
    <n v="15.973977695167287"/>
    <s v="NO"/>
    <n v="-0.70046362497035641"/>
    <n v="-0.44778197621454174"/>
    <n v="0.65330844190311943"/>
    <n v="-2.9749709012080749E-2"/>
    <n v="0.37629780322388401"/>
    <n v="-0.80016223665011454"/>
    <x v="0"/>
    <x v="0"/>
    <x v="0"/>
    <x v="0"/>
    <x v="0"/>
    <x v="0"/>
  </r>
  <r>
    <x v="0"/>
    <s v="FE"/>
    <n v="24789"/>
    <n v="41.23"/>
    <n v="-1.18"/>
    <n v="21.77"/>
    <n v="1.88"/>
    <n v="-34.940677966101696"/>
    <n v="1.8938906752411575"/>
    <n v="9.27"/>
    <n v="2.96"/>
    <n v="4.2"/>
    <n v="21.930851063829788"/>
    <s v="NO"/>
    <n v="-1.1331991553427982"/>
    <n v="0.15904135520253626"/>
    <n v="4.9974915583687614E-2"/>
    <n v="0.60024412889082623"/>
    <n v="0.78499902839204749"/>
    <n v="0.25010773764661398"/>
    <x v="0"/>
    <x v="0"/>
    <x v="0"/>
    <x v="0"/>
    <x v="0"/>
    <x v="0"/>
  </r>
  <r>
    <x v="0"/>
    <s v="FTS"/>
    <n v="24959"/>
    <n v="46.55"/>
    <n v="-1.98"/>
    <n v="30.91"/>
    <n v="2.25"/>
    <n v="-23.51010101010101"/>
    <n v="1.5059851180847621"/>
    <n v="7.43"/>
    <n v="3.02"/>
    <n v="3.31"/>
    <n v="20.688888888888886"/>
    <s v="NO"/>
    <n v="-0.32254396148136033"/>
    <n v="-0.57022756801620733"/>
    <n v="-1.2875355524015586"/>
    <n v="0.7892422802616984"/>
    <n v="-0.79649701682388974"/>
    <n v="3.1134544693619211E-2"/>
    <x v="0"/>
    <x v="0"/>
    <x v="0"/>
    <x v="0"/>
    <x v="0"/>
    <x v="0"/>
  </r>
  <r>
    <x v="0"/>
    <s v="KEP"/>
    <n v="12249"/>
    <n v="9.16"/>
    <n v="1.66"/>
    <n v="42.11"/>
    <n v="3.68"/>
    <n v="5.5180722891566267"/>
    <n v="0.21752552837805747"/>
    <n v="9.2100000000000009"/>
    <n v="2.15"/>
    <n v="6.18"/>
    <n v="2.4891304347826084"/>
    <s v="NO"/>
    <n v="1.7361307269384276"/>
    <n v="-2.992553106439551"/>
    <n v="6.3604438015609464E-3"/>
    <n v="-1.951230914615945"/>
    <n v="4.303383488535367"/>
    <n v="-3.1777065134960547"/>
    <x v="0"/>
    <x v="1"/>
    <x v="0"/>
    <x v="0"/>
    <x v="1"/>
    <x v="1"/>
  </r>
  <r>
    <x v="0"/>
    <s v="LNT"/>
    <n v="15875"/>
    <n v="60.46"/>
    <n v="-4.22"/>
    <n v="27.29"/>
    <n v="2.69"/>
    <n v="-14.327014218009479"/>
    <n v="2.2154635397581535"/>
    <n v="10.01"/>
    <n v="2.64"/>
    <n v="3.24"/>
    <n v="22.475836431226767"/>
    <s v="NO"/>
    <n v="0.32871949025379849"/>
    <n v="0.76360370888937912"/>
    <n v="0.58788673422992821"/>
    <n v="-0.40774601175382358"/>
    <n v="-0.92088434622289572"/>
    <n v="0.34619535482163472"/>
    <x v="0"/>
    <x v="0"/>
    <x v="0"/>
    <x v="0"/>
    <x v="0"/>
    <x v="0"/>
  </r>
  <r>
    <x v="0"/>
    <s v="NEE"/>
    <n v="138669"/>
    <n v="72.11"/>
    <n v="-4.87"/>
    <n v="24.2"/>
    <n v="2.67"/>
    <n v="-14.806981519507186"/>
    <n v="2.9797520661157026"/>
    <n v="7.06"/>
    <n v="2.5499999999999998"/>
    <n v="3.9"/>
    <n v="27.007490636704119"/>
    <s v="NO"/>
    <n v="0.29468026482007997"/>
    <n v="2.2004788976108687"/>
    <n v="-1.556491461724679"/>
    <n v="-0.69124323881013239"/>
    <n v="0.25191047382487719"/>
    <n v="1.1451816772347638"/>
    <x v="0"/>
    <x v="0"/>
    <x v="0"/>
    <x v="0"/>
    <x v="0"/>
    <x v="0"/>
  </r>
  <r>
    <x v="0"/>
    <s v="NRG"/>
    <n v="24169"/>
    <n v="156.71"/>
    <n v="8.82"/>
    <n v="9.1999999999999993"/>
    <n v="4.99"/>
    <n v="17.767573696145124"/>
    <n v="17.033695652173915"/>
    <n v="41.79"/>
    <n v="5.7"/>
    <n v="13.14"/>
    <n v="31.404809619238478"/>
    <s v="NO"/>
    <n v="2.6048639480183331"/>
    <n v="28.622127458447071"/>
    <n v="23.689018621496846"/>
    <n v="9.2311597081606447"/>
    <n v="16.671037954493709"/>
    <n v="1.9204830491015694"/>
    <x v="1"/>
    <x v="1"/>
    <x v="1"/>
    <x v="1"/>
    <x v="1"/>
    <x v="0"/>
  </r>
  <r>
    <x v="0"/>
    <s v="PCG"/>
    <n v="37800"/>
    <n v="16.96"/>
    <n v="-0.82"/>
    <n v="13.24"/>
    <n v="1.0900000000000001"/>
    <n v="-20.682926829268293"/>
    <n v="1.2809667673716012"/>
    <n v="8.26"/>
    <n v="2.4300000000000002"/>
    <n v="4.6500000000000004"/>
    <n v="15.559633027522935"/>
    <s v="NO"/>
    <n v="-0.12204109601227797"/>
    <n v="-0.99326582385352491"/>
    <n v="-0.68420202608212688"/>
    <n v="-1.0692395415518752"/>
    <n v="1.5846318602428024"/>
    <n v="-0.87321629311640636"/>
    <x v="0"/>
    <x v="0"/>
    <x v="0"/>
    <x v="0"/>
    <x v="0"/>
    <x v="0"/>
  </r>
  <r>
    <x v="0"/>
    <s v="PNW"/>
    <n v="11201"/>
    <n v="89.08"/>
    <n v="-6.37"/>
    <n v="56.44"/>
    <n v="4.99"/>
    <n v="-13.98430141287284"/>
    <n v="1.5783132530120483"/>
    <n v="9.19"/>
    <n v="2.5"/>
    <n v="4.04"/>
    <n v="17.851703406813627"/>
    <s v="NO"/>
    <n v="0.35302464270203004"/>
    <n v="-0.4342494668940941"/>
    <n v="-8.1777134591492356E-3"/>
    <n v="-0.84874169828585844"/>
    <n v="0.50068513262288994"/>
    <n v="-0.46909611977042864"/>
    <x v="0"/>
    <x v="0"/>
    <x v="0"/>
    <x v="0"/>
    <x v="0"/>
    <x v="0"/>
  </r>
  <r>
    <x v="0"/>
    <s v="PPL"/>
    <n v="26857"/>
    <n v="33.79"/>
    <n v="-0.57999999999999996"/>
    <n v="19.34"/>
    <n v="1.34"/>
    <n v="-58.258620689655174"/>
    <n v="1.7471561530506721"/>
    <n v="7.02"/>
    <n v="2.97"/>
    <n v="2.92"/>
    <n v="25.21641791044776"/>
    <s v="NO"/>
    <n v="-2.7869049526769203"/>
    <n v="-0.11682199612792273"/>
    <n v="-1.5855677762460973"/>
    <n v="0.63174382078597235"/>
    <n v="-1.4895121377612106"/>
    <n v="0.82939354649073149"/>
    <x v="1"/>
    <x v="0"/>
    <x v="0"/>
    <x v="0"/>
    <x v="0"/>
    <x v="0"/>
  </r>
  <r>
    <x v="0"/>
    <s v="SO"/>
    <n v="101339"/>
    <n v="85.57"/>
    <n v="0"/>
    <n v="30.79"/>
    <n v="4.17"/>
    <s v=""/>
    <n v="2.7791490743747969"/>
    <n v="12.24"/>
    <n v="3.46"/>
    <n v="4.38"/>
    <n v="20.520383693045563"/>
    <s v="NO"/>
    <e v="#VALUE!"/>
    <n v="1.8233419242357582"/>
    <n v="2.2088912687990043"/>
    <n v="2.1752287236480923"/>
    <n v="1.1048521611323487"/>
    <n v="1.4250080366449143E-3"/>
    <x v="1"/>
    <x v="0"/>
    <x v="0"/>
    <x v="0"/>
    <x v="0"/>
    <x v="0"/>
  </r>
  <r>
    <x v="0"/>
    <s v="XEL"/>
    <n v="41158"/>
    <n v="68.31"/>
    <n v="-5.63"/>
    <n v="34.35"/>
    <n v="3.4"/>
    <n v="-12.133214920071049"/>
    <n v="1.988646288209607"/>
    <n v="10.26"/>
    <n v="2.17"/>
    <n v="3.67"/>
    <n v="20.091176470588238"/>
    <s v="NO"/>
    <n v="0.48430348238376297"/>
    <n v="0.33718348945036442"/>
    <n v="0.76961369998879314"/>
    <n v="-1.8882315308256543"/>
    <n v="-0.15679075134328624"/>
    <n v="-7.4249499477594877E-2"/>
    <x v="0"/>
    <x v="0"/>
    <x v="0"/>
    <x v="0"/>
    <x v="0"/>
    <x v="0"/>
  </r>
  <r>
    <x v="1"/>
    <s v="ATO"/>
    <n v="25819"/>
    <n v="153.66"/>
    <n v="-8.36"/>
    <n v="80.52"/>
    <n v="7"/>
    <n v="-18.380382775119617"/>
    <n v="1.9083457526080478"/>
    <n v="9.01"/>
    <n v="3.5"/>
    <n v="2.0699999999999998"/>
    <n v="21.951428571428572"/>
    <s v="NO"/>
    <e v="#DIV/0!"/>
    <e v="#DIV/0!"/>
    <e v="#DIV/0!"/>
    <e v="#DIV/0!"/>
    <e v="#DIV/0!"/>
    <e v="#DIV/0!"/>
    <x v="0"/>
    <x v="0"/>
    <x v="0"/>
    <x v="0"/>
    <x v="0"/>
    <x v="0"/>
  </r>
  <r>
    <x v="2"/>
    <s v="TLN"/>
    <n v="10527"/>
    <n v="241.08"/>
    <n v="1.23"/>
    <n v="30.18"/>
    <n v="17.670000000000002"/>
    <n v="196"/>
    <n v="7.9880715705765413"/>
    <n v="51.67"/>
    <n v="2.15"/>
    <n v="4.4000000000000004"/>
    <n v="13.643463497453309"/>
    <s v="NO"/>
    <n v="1"/>
    <n v="-1.0000000000000002"/>
    <n v="1.0000000000799787"/>
    <n v="-0.99999999999999967"/>
    <n v="-0.99999999999999878"/>
    <n v="-0.99999999999999956"/>
    <x v="0"/>
    <x v="0"/>
    <x v="0"/>
    <x v="0"/>
    <x v="0"/>
    <x v="0"/>
  </r>
  <r>
    <x v="2"/>
    <s v="VST"/>
    <n v="47452"/>
    <n v="155"/>
    <n v="5.39"/>
    <n v="9.11"/>
    <n v="7"/>
    <n v="28.756957328385901"/>
    <n v="17.014270032930845"/>
    <n v="51.57"/>
    <n v="7.21"/>
    <n v="12.21"/>
    <n v="22.142857142857142"/>
    <s v="NO"/>
    <n v="-1"/>
    <n v="1.0000000000000004"/>
    <n v="-1.0000000000801208"/>
    <n v="0.99999999999999978"/>
    <n v="0.99999999999999922"/>
    <n v="1"/>
    <x v="0"/>
    <x v="0"/>
    <x v="0"/>
    <x v="0"/>
    <x v="0"/>
    <x v="0"/>
  </r>
  <r>
    <x v="3"/>
    <s v="AEE"/>
    <n v="26904"/>
    <n v="94.32"/>
    <n v="-7.05"/>
    <n v="45.21"/>
    <n v="4.51"/>
    <n v="-13.378723404255318"/>
    <n v="2.0862641008626408"/>
    <n v="10.16"/>
    <n v="2.7"/>
    <n v="3.74"/>
    <n v="20.913525498891353"/>
    <s v="NO"/>
    <n v="0.37965535939547757"/>
    <n v="-0.2618898342027754"/>
    <n v="0.34745899286027682"/>
    <n v="-1.9652003404474496"/>
    <n v="0.16670897815537533"/>
    <n v="0.11937800171090686"/>
    <x v="0"/>
    <x v="0"/>
    <x v="0"/>
    <x v="0"/>
    <x v="0"/>
    <x v="0"/>
  </r>
  <r>
    <x v="3"/>
    <s v="BIP"/>
    <n v="14689"/>
    <n v="32.340000000000003"/>
    <n v="2.1800000000000002"/>
    <n v="9.93"/>
    <n v="0.01"/>
    <n v="14.834862385321101"/>
    <n v="3.2567975830815716"/>
    <n v="4.47"/>
    <n v="3.09"/>
    <n v="22.61"/>
    <n v="3234.0000000000005"/>
    <s v="NO"/>
    <n v="1.8045361284002137"/>
    <n v="2.1744804806582274"/>
    <n v="-1.8822872507957102"/>
    <n v="0.97232908830500919"/>
    <n v="38.615356306723349"/>
    <n v="1434.8437087532238"/>
    <x v="0"/>
    <x v="0"/>
    <x v="0"/>
    <x v="0"/>
    <x v="1"/>
    <x v="1"/>
  </r>
  <r>
    <x v="3"/>
    <s v="CMS"/>
    <n v="22120"/>
    <n v="69.239999999999995"/>
    <n v="-2.98"/>
    <n v="27.12"/>
    <n v="3.38"/>
    <n v="-23.234899328859058"/>
    <n v="2.553097345132743"/>
    <n v="11.23"/>
    <n v="3.09"/>
    <n v="4.47"/>
    <n v="20.485207100591715"/>
    <s v="NO"/>
    <n v="-0.1181146027652305"/>
    <n v="0.70978562455800409"/>
    <n v="0.76676101056008472"/>
    <n v="0.97232908830500919"/>
    <n v="1.6541235276972195"/>
    <n v="-7.1876990093950474E-2"/>
    <x v="0"/>
    <x v="0"/>
    <x v="0"/>
    <x v="0"/>
    <x v="0"/>
    <x v="0"/>
  </r>
  <r>
    <x v="3"/>
    <s v="CNP"/>
    <n v="25489"/>
    <n v="36.659999999999997"/>
    <n v="-4.71"/>
    <n v="16.78"/>
    <n v="1.48"/>
    <n v="-7.7834394904458595"/>
    <n v="2.1847437425506553"/>
    <n v="9.2200000000000006"/>
    <n v="2.97"/>
    <n v="4.0599999999999996"/>
    <n v="24.770270270270267"/>
    <s v="NO"/>
    <n v="0.66223597518002464"/>
    <n v="-5.6912463395751609E-2"/>
    <n v="-2.0899789044226964E-2"/>
    <n v="6.8473879458100601E-2"/>
    <n v="0.81872631494084047"/>
    <n v="1.8415120323099945"/>
    <x v="0"/>
    <x v="0"/>
    <x v="0"/>
    <x v="0"/>
    <x v="0"/>
    <x v="0"/>
  </r>
  <r>
    <x v="3"/>
    <s v="D"/>
    <n v="47031"/>
    <n v="53.81"/>
    <n v="-10.08"/>
    <n v="30.92"/>
    <n v="2.59"/>
    <n v="-5.3382936507936511"/>
    <n v="1.7402975420439843"/>
    <n v="7.72"/>
    <n v="2.86"/>
    <n v="3.96"/>
    <n v="20.776061776061777"/>
    <s v="NO"/>
    <n v="0.78572404615112246"/>
    <n v="-0.98199110994119576"/>
    <n v="-0.60870635591311673"/>
    <n v="-0.76006006198490372"/>
    <n v="0.614970897195383"/>
    <n v="5.7996974681468624E-2"/>
    <x v="0"/>
    <x v="0"/>
    <x v="0"/>
    <x v="0"/>
    <x v="0"/>
    <x v="0"/>
  </r>
  <r>
    <x v="3"/>
    <s v="DTE"/>
    <n v="28764"/>
    <n v="132.84"/>
    <n v="-3.22"/>
    <n v="57.45"/>
    <n v="7.39"/>
    <n v="-41.254658385093165"/>
    <n v="2.3122715404699736"/>
    <n v="13.3"/>
    <n v="2.91"/>
    <n v="4.16"/>
    <n v="17.975642760487148"/>
    <s v="NO"/>
    <n v="-1.0281729105898596"/>
    <n v="0.20852628388487274"/>
    <n v="1.5779340728391522"/>
    <n v="-0.38345372496535535"/>
    <n v="1.0224817326862998"/>
    <n v="-1.1924609043172478"/>
    <x v="0"/>
    <x v="0"/>
    <x v="0"/>
    <x v="0"/>
    <x v="0"/>
    <x v="0"/>
  </r>
  <r>
    <x v="3"/>
    <s v="ED"/>
    <n v="40007"/>
    <n v="100.58"/>
    <n v="-2.34"/>
    <n v="66.06"/>
    <n v="5.42"/>
    <n v="-42.982905982905983"/>
    <n v="1.5225552528004844"/>
    <n v="8.33"/>
    <n v="3.11"/>
    <n v="2.97"/>
    <n v="18.55719557195572"/>
    <s v="NO"/>
    <n v="-1.1154552143908856"/>
    <n v="-1.4352039892490935"/>
    <n v="-0.3696650187197682"/>
    <n v="1.1229716231128279"/>
    <n v="-1.4022077384846532"/>
    <n v="-0.93278287359743672"/>
    <x v="0"/>
    <x v="0"/>
    <x v="0"/>
    <x v="0"/>
    <x v="0"/>
    <x v="0"/>
  </r>
  <r>
    <x v="3"/>
    <s v="NGG"/>
    <n v="71137"/>
    <n v="67.53"/>
    <n v="-0.49"/>
    <n v="10.59"/>
    <n v="0.56000000000000005"/>
    <n v="-137.81632653061226"/>
    <n v="6.3767705382436262"/>
    <n v="5.28"/>
    <n v="3.16"/>
    <n v="2.84"/>
    <n v="120.58928571428571"/>
    <s v="NO"/>
    <n v="-5.9048612191847898"/>
    <n v="8.6684506289672854"/>
    <n v="-1.5648717046865099"/>
    <n v="1.4995779601323762"/>
    <n v="-1.6670897815537495"/>
    <n v="44.627124525832841"/>
    <x v="1"/>
    <x v="1"/>
    <x v="0"/>
    <x v="0"/>
    <x v="0"/>
    <x v="1"/>
  </r>
  <r>
    <x v="3"/>
    <s v="NI"/>
    <n v="19050"/>
    <n v="37.82"/>
    <n v="-1.91"/>
    <n v="18.48"/>
    <n v="1.62"/>
    <n v="-19.801047120418851"/>
    <n v="2.0465367965367967"/>
    <n v="8.1199999999999992"/>
    <n v="2.89"/>
    <n v="3.66"/>
    <n v="23.345679012345677"/>
    <s v="NO"/>
    <n v="5.53064579926177E-2"/>
    <n v="-0.34457898954880983"/>
    <n v="-0.45195793808141305"/>
    <n v="-0.53409625977317399"/>
    <n v="3.7046439590085818E-3"/>
    <n v="1.2053960250563569"/>
    <x v="0"/>
    <x v="0"/>
    <x v="0"/>
    <x v="0"/>
    <x v="0"/>
    <x v="0"/>
  </r>
  <r>
    <x v="3"/>
    <s v="PEG"/>
    <n v="39815"/>
    <n v="77.59"/>
    <n v="-1.39"/>
    <n v="32.81"/>
    <n v="3.66"/>
    <n v="-55.82014388489209"/>
    <n v="2.3648277964035356"/>
    <n v="11.4"/>
    <n v="2.94"/>
    <n v="3.39"/>
    <n v="21.199453551912569"/>
    <s v="NO"/>
    <n v="-1.7637788110475203"/>
    <n v="0.3179178594031018"/>
    <n v="0.83337908813855877"/>
    <n v="-0.15748992275362905"/>
    <n v="-0.54643498395372869"/>
    <n v="0.24705210502854094"/>
    <x v="0"/>
    <x v="0"/>
    <x v="0"/>
    <x v="0"/>
    <x v="0"/>
    <x v="0"/>
  </r>
  <r>
    <x v="3"/>
    <s v="SRE"/>
    <n v="49454"/>
    <n v="75.13"/>
    <n v="-5.29"/>
    <n v="46.62"/>
    <n v="4.42"/>
    <n v="-14.20226843100189"/>
    <n v="1.6115401115401116"/>
    <n v="9.8000000000000007"/>
    <n v="1.95"/>
    <n v="3.17"/>
    <n v="16.997737556561084"/>
    <s v="NO"/>
    <n v="0.33806357167403817"/>
    <n v="-1.2499892375152528"/>
    <n v="0.2063854168117436"/>
    <n v="-7.6142953957406458"/>
    <n v="-0.99469690299373725"/>
    <n v="-1.6291202972018071"/>
    <x v="0"/>
    <x v="0"/>
    <x v="0"/>
    <x v="1"/>
    <x v="0"/>
    <x v="0"/>
  </r>
  <r>
    <x v="3"/>
    <s v="WEC"/>
    <n v="34979"/>
    <n v="103.56"/>
    <n v="1.36"/>
    <n v="39.020000000000003"/>
    <n v="4.83"/>
    <n v="76.147058823529406"/>
    <n v="2.6540235776524859"/>
    <n v="12.25"/>
    <n v="2.85"/>
    <n v="3.82"/>
    <n v="21.440993788819878"/>
    <s v="NO"/>
    <n v="4.9010078162535189"/>
    <n v="0.91985537534866957"/>
    <n v="1.1664694760309293"/>
    <n v="-0.83538132938881138"/>
    <n v="0.32971331235174117"/>
    <n v="0.35490592642318841"/>
    <x v="1"/>
    <x v="0"/>
    <x v="0"/>
    <x v="0"/>
    <x v="0"/>
    <x v="0"/>
  </r>
  <r>
    <x v="4"/>
    <s v="AWK"/>
    <n v="28877"/>
    <n v="133.84"/>
    <n v="-4.1100000000000003"/>
    <n v="54.02"/>
    <n v="5.49"/>
    <n v="-32.564476885644766"/>
    <n v="2.4776008885597927"/>
    <n v="10.43"/>
    <n v="3.48"/>
    <n v="3.15"/>
    <n v="24.37887067395264"/>
    <s v="NO"/>
    <n v="0.566456808569335"/>
    <n v="0.91083158047761537"/>
    <n v="-0.67312542021496136"/>
    <n v="-0.62849323209532315"/>
    <n v="0.98058067569091811"/>
    <n v="1.1929794752937182"/>
    <x v="0"/>
    <x v="0"/>
    <x v="0"/>
    <x v="0"/>
    <x v="0"/>
    <x v="0"/>
  </r>
  <r>
    <x v="4"/>
    <s v="SBS"/>
    <n v="13759"/>
    <n v="20.32"/>
    <n v="-0.15"/>
    <n v="8.74"/>
    <n v="2.27"/>
    <n v="-135.46666666666667"/>
    <n v="2.3249427917620138"/>
    <n v="28.69"/>
    <n v="13.52"/>
    <n v="2.19"/>
    <n v="8.9515418502202646"/>
    <s v="NO"/>
    <n v="-1.405433828001325"/>
    <n v="0.48148835320569683"/>
    <n v="1.4136776652052754"/>
    <n v="1.411400749662342"/>
    <n v="-1.3728129459672858"/>
    <n v="-1.2542130675097614"/>
    <x v="0"/>
    <x v="0"/>
    <x v="0"/>
    <x v="0"/>
    <x v="0"/>
    <x v="0"/>
  </r>
  <r>
    <x v="4"/>
    <s v="WTRG"/>
    <n v="11296"/>
    <n v="37.42"/>
    <n v="-2.04"/>
    <n v="22.56"/>
    <n v="2.17"/>
    <n v="-18.343137254901961"/>
    <n v="1.6586879432624115"/>
    <n v="9.84"/>
    <n v="2.72"/>
    <n v="2.91"/>
    <n v="17.244239631336406"/>
    <s v="NO"/>
    <n v="0.83897701943198955"/>
    <n v="-1.3923199336833116"/>
    <n v="-0.74055224499031402"/>
    <n v="-0.78290751756701882"/>
    <n v="0.39223227027636764"/>
    <n v="6.1233592216043402E-2"/>
    <x v="0"/>
    <x v="0"/>
    <x v="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s v="ALE"/>
    <n v="3806"/>
    <n v="65.7"/>
    <n v="1.77"/>
    <n v="49.2"/>
    <n v="3.1"/>
    <n v="37.118644067796609"/>
    <n v="1.3353658536585367"/>
    <n v="3.58"/>
    <n v="1.62"/>
    <n v="2.37"/>
    <n v="21.193548387096776"/>
    <s v="NO"/>
    <n v="0.40222090168654906"/>
    <n v="-0.71030467921057172"/>
    <n v="-1.3580381353745992"/>
    <n v="-2.3634668196051742"/>
    <n v="-0.22641941480826774"/>
    <n v="-0.26793471765512356"/>
    <x v="0"/>
    <x v="0"/>
    <x v="0"/>
    <x v="0"/>
    <x v="0"/>
    <x v="0"/>
  </r>
  <r>
    <x v="0"/>
    <s v="CIG"/>
    <n v="5292"/>
    <n v="1.81"/>
    <n v="0.01"/>
    <n v="1.55"/>
    <n v="0.4"/>
    <n v="181"/>
    <n v="1.167741935483871"/>
    <n v="27.36"/>
    <n v="8.83"/>
    <n v="2.1800000000000002"/>
    <n v="4.5249999999999995"/>
    <s v="NO"/>
    <n v="2.4425525949895324"/>
    <n v="-0.80454292893588586"/>
    <n v="3.3142703672071137"/>
    <n v="7.6688435576423606"/>
    <n v="-0.69963599175754765"/>
    <n v="-1.1034146666651501"/>
    <x v="0"/>
    <x v="0"/>
    <x v="1"/>
    <x v="0"/>
    <x v="0"/>
    <x v="0"/>
  </r>
  <r>
    <x v="0"/>
    <s v="ELP"/>
    <n v="6020"/>
    <n v="8.6999999999999993"/>
    <n v="-0.16"/>
    <n v="1.39"/>
    <n v="0.13"/>
    <n v="-54.374999999999993"/>
    <n v="6.2589928057553958"/>
    <n v="9.26"/>
    <n v="4.18"/>
    <n v="2.2400000000000002"/>
    <n v="66.92307692307692"/>
    <s v="NO"/>
    <n v="-0.89521878754789141"/>
    <n v="2.0577608290929934"/>
    <n v="-0.24202836688577964"/>
    <n v="1.1986295140638528"/>
    <n v="-0.55019917798409068"/>
    <n v="2.0241727461879075"/>
    <x v="0"/>
    <x v="0"/>
    <x v="0"/>
    <x v="1"/>
    <x v="0"/>
    <x v="0"/>
  </r>
  <r>
    <x v="0"/>
    <s v="ELPC"/>
    <n v="5505"/>
    <n v="8.1199999999999992"/>
    <n v="-0.16"/>
    <n v="1.39"/>
    <n v="0.13"/>
    <n v="-50.749999999999993"/>
    <n v="5.8417266187050361"/>
    <n v="9.26"/>
    <n v="4.18"/>
    <n v="2.2400000000000002"/>
    <n v="62.461538461538453"/>
    <s v="NO"/>
    <n v="-0.84381391760971547"/>
    <n v="1.8231735723018287"/>
    <n v="-0.24202836688577964"/>
    <n v="1.1986295140638528"/>
    <n v="-0.55019917798409068"/>
    <n v="1.8005464387382482"/>
    <x v="0"/>
    <x v="0"/>
    <x v="0"/>
    <x v="1"/>
    <x v="0"/>
    <x v="0"/>
  </r>
  <r>
    <x v="0"/>
    <s v="ENIC"/>
    <n v="5326"/>
    <n v="3.95"/>
    <n v="0.01"/>
    <n v="0.08"/>
    <n v="0"/>
    <n v="395"/>
    <n v="49.375"/>
    <n v="4.0999999999999996"/>
    <n v="2.15"/>
    <n v="2.4700000000000002"/>
    <s v=""/>
    <s v="NO"/>
    <n v="5.4772125030639183"/>
    <n v="26.297601404205881"/>
    <n v="-1.25586822699182"/>
    <n v="-1.6260015630252584"/>
    <n v="2.2641941480827217E-2"/>
    <e v="#VALUE!"/>
    <x v="1"/>
    <x v="1"/>
    <x v="0"/>
    <x v="0"/>
    <x v="0"/>
    <x v="1"/>
  </r>
  <r>
    <x v="0"/>
    <s v="IDA"/>
    <n v="6284"/>
    <n v="111.01"/>
    <n v="-6.47"/>
    <n v="61.95"/>
    <n v="5.63"/>
    <n v="-17.157650695517777"/>
    <n v="1.7919289749798224"/>
    <n v="9.6"/>
    <n v="2.27"/>
    <n v="2.87"/>
    <n v="19.71758436944938"/>
    <s v="NO"/>
    <n v="-0.36745244259876836"/>
    <n v="-0.45362466653116978"/>
    <n v="-0.17522496525088554"/>
    <n v="-1.4590282973845228"/>
    <n v="1.018887366637206"/>
    <n v="-0.34191466561263495"/>
    <x v="0"/>
    <x v="0"/>
    <x v="0"/>
    <x v="1"/>
    <x v="0"/>
    <x v="0"/>
  </r>
  <r>
    <x v="0"/>
    <s v="MGEE"/>
    <n v="3366"/>
    <n v="90.15"/>
    <n v="1.1299999999999999"/>
    <n v="33.71"/>
    <n v="3.33"/>
    <n v="79.778761061946909"/>
    <n v="2.6742806288935035"/>
    <n v="10.17"/>
    <n v="3.54"/>
    <n v="2.2999999999999998"/>
    <n v="27.072072072072075"/>
    <s v="NO"/>
    <n v="1.0071692508263188"/>
    <n v="4.2433869819335022E-2"/>
    <n v="-6.3231027215915919E-2"/>
    <n v="0.30810543064659629"/>
    <n v="-0.40076236421063477"/>
    <n v="2.6715335518032863E-2"/>
    <x v="0"/>
    <x v="0"/>
    <x v="0"/>
    <x v="1"/>
    <x v="0"/>
    <x v="0"/>
  </r>
  <r>
    <x v="0"/>
    <s v="OGE"/>
    <n v="9100"/>
    <n v="43.06"/>
    <n v="-1.83"/>
    <n v="22.93"/>
    <n v="2.41"/>
    <n v="-23.530054644808743"/>
    <n v="1.8778892280854778"/>
    <n v="10.72"/>
    <n v="3.71"/>
    <n v="3.02"/>
    <n v="17.867219917012449"/>
    <s v="NO"/>
    <n v="-0.45781729672478788"/>
    <n v="-0.40529776970859993"/>
    <n v="4.483329895817767E-2"/>
    <n v="0.54465089030430502"/>
    <n v="1.3924794010708479"/>
    <n v="-0.43466073818417911"/>
    <x v="0"/>
    <x v="0"/>
    <x v="0"/>
    <x v="1"/>
    <x v="0"/>
    <x v="0"/>
  </r>
  <r>
    <x v="0"/>
    <s v="OKLO"/>
    <n v="3775"/>
    <n v="32.03"/>
    <n v="-0.39"/>
    <n v="1.82"/>
    <n v="-0.74"/>
    <n v="-82.128205128205124"/>
    <n v="17.598901098901099"/>
    <n v="-68.010000000000005"/>
    <n v="-22.25"/>
    <n v="1.1200000000000001"/>
    <n v="-43.283783783783782"/>
    <s v="NO"/>
    <n v="-1.2887773806466232"/>
    <n v="8.4330628816203621"/>
    <n v="-15.424083791380689"/>
    <n v="-35.577232243308174"/>
    <n v="-3.339686368421952"/>
    <n v="-3.4997409279745866"/>
    <x v="0"/>
    <x v="1"/>
    <x v="1"/>
    <x v="0"/>
    <x v="1"/>
    <x v="1"/>
  </r>
  <r>
    <x v="0"/>
    <s v="OTTR"/>
    <n v="3197"/>
    <n v="78.59"/>
    <n v="1.86"/>
    <n v="41.06"/>
    <n v="7.02"/>
    <n v="42.252688172043008"/>
    <n v="1.9140282513395031"/>
    <n v="18.38"/>
    <n v="6.72"/>
    <n v="2.15"/>
    <n v="11.195156695156696"/>
    <s v="NO"/>
    <n v="0.47502500359983046"/>
    <n v="-0.38498039295635728"/>
    <n v="1.5498746416737332"/>
    <n v="4.7328969701260908"/>
    <n v="-0.77435439864427669"/>
    <n v="-0.76908548297496571"/>
    <x v="0"/>
    <x v="0"/>
    <x v="0"/>
    <x v="0"/>
    <x v="0"/>
    <x v="0"/>
  </r>
  <r>
    <x v="0"/>
    <s v="PAM"/>
    <n v="3897"/>
    <n v="83.73"/>
    <n v="-0.01"/>
    <n v="2.42"/>
    <n v="0.46"/>
    <n v="-8373"/>
    <n v="34.599173553719012"/>
    <n v="21.69"/>
    <n v="2.62"/>
    <n v="1.93"/>
    <n v="182.02173913043478"/>
    <s v="NO"/>
    <n v="-118.85875980532963"/>
    <n v="17.990624466155879"/>
    <n v="2.2002254046487324"/>
    <n v="-0.97202293926571026"/>
    <n v="-1.322289382480285"/>
    <n v="7.793278861425013"/>
    <x v="1"/>
    <x v="1"/>
    <x v="0"/>
    <x v="0"/>
    <x v="0"/>
    <x v="1"/>
  </r>
  <r>
    <x v="0"/>
    <s v="POR"/>
    <n v="4663"/>
    <n v="41.5"/>
    <n v="-4.42"/>
    <n v="35.1"/>
    <n v="2.86"/>
    <n v="-9.3891402714932131"/>
    <n v="1.1823361823361822"/>
    <n v="8.33"/>
    <n v="2.7"/>
    <n v="3.3"/>
    <n v="14.510489510489512"/>
    <s v="NO"/>
    <n v="-0.25728988592005203"/>
    <n v="-0.79633803613539744"/>
    <n v="-0.42475531841651942"/>
    <n v="-0.86070742883855311"/>
    <n v="2.0898511986803125"/>
    <n v="-0.60291059916506418"/>
    <x v="0"/>
    <x v="0"/>
    <x v="0"/>
    <x v="1"/>
    <x v="0"/>
    <x v="0"/>
  </r>
  <r>
    <x v="0"/>
    <s v="TXNM"/>
    <n v="4904"/>
    <n v="53.2"/>
    <n v="-8.16"/>
    <n v="27.37"/>
    <n v="2.67"/>
    <n v="-6.5196078431372548"/>
    <n v="1.9437340153452687"/>
    <n v="10.32"/>
    <n v="2.65"/>
    <n v="4.42"/>
    <n v="19.925093632958802"/>
    <s v="NO"/>
    <n v="-0.2165980400543924"/>
    <n v="-0.36827979773617181"/>
    <n v="-3.3758938259344902E-2"/>
    <n v="-0.93027962285552668"/>
    <n v="4.8793383891181739"/>
    <n v="-0.33151365018707057"/>
    <x v="0"/>
    <x v="0"/>
    <x v="0"/>
    <x v="1"/>
    <x v="1"/>
    <x v="0"/>
  </r>
  <r>
    <x v="1"/>
    <s v="BIPC"/>
    <n v="4599"/>
    <n v="39.36"/>
    <n v="2.76"/>
    <n v="-7.06"/>
    <n v="-2.0699999999999998"/>
    <n v="14.260869565217392"/>
    <n v="-5.5750708215297449"/>
    <n v="22.2"/>
    <n v="5.98"/>
    <n v="-26.87"/>
    <n v="-19.014492753623191"/>
    <s v="NO"/>
    <n v="1.0951834987770646"/>
    <n v="-16.738573310154191"/>
    <n v="2.1707970226945164"/>
    <n v="1.6927818335341513"/>
    <n v="-83.200081124642779"/>
    <n v="-9.7449770329138126"/>
    <x v="0"/>
    <x v="1"/>
    <x v="0"/>
    <x v="0"/>
    <x v="1"/>
    <x v="1"/>
  </r>
  <r>
    <x v="1"/>
    <s v="CPK"/>
    <n v="3085"/>
    <n v="119.03"/>
    <n v="-5.16"/>
    <n v="60.71"/>
    <n v="5.26"/>
    <n v="-23.06782945736434"/>
    <n v="1.9606325152363697"/>
    <n v="9"/>
    <n v="4.22"/>
    <n v="2.57"/>
    <n v="22.629277566539926"/>
    <s v="NO"/>
    <n v="-0.72734876560200057"/>
    <n v="0.6135555797074882"/>
    <n v="-0.12523828977083729"/>
    <n v="0.28246418760747311"/>
    <n v="-1.2834258574053423"/>
    <n v="1.0895023785483959"/>
    <x v="0"/>
    <x v="0"/>
    <x v="0"/>
    <x v="1"/>
    <x v="0"/>
    <x v="0"/>
  </r>
  <r>
    <x v="1"/>
    <s v="MDU"/>
    <n v="3598"/>
    <n v="17.010000000000002"/>
    <n v="-0.1"/>
    <n v="13.21"/>
    <n v="0.88"/>
    <n v="-170.1"/>
    <n v="1.287660862982589"/>
    <n v="6.47"/>
    <n v="2.27"/>
    <n v="2.62"/>
    <n v="19.329545454545457"/>
    <s v="NO"/>
    <n v="-7.9060311663342517"/>
    <n v="-0.93606631054888656"/>
    <n v="-0.5653117246600301"/>
    <n v="-1.2801036587317434"/>
    <n v="-1.1443011032150605"/>
    <n v="0.23100951500873468"/>
    <x v="1"/>
    <x v="0"/>
    <x v="0"/>
    <x v="1"/>
    <x v="0"/>
    <x v="0"/>
  </r>
  <r>
    <x v="1"/>
    <s v="NFG"/>
    <n v="7452"/>
    <n v="79.680000000000007"/>
    <n v="0.77"/>
    <n v="30.59"/>
    <n v="0.43"/>
    <n v="103.48051948051949"/>
    <n v="2.6047728015691405"/>
    <n v="1.3"/>
    <n v="6.15"/>
    <n v="3.07"/>
    <n v="185.30232558139537"/>
    <s v="NO"/>
    <n v="5.4512337990802129"/>
    <n v="2.096788766059972"/>
    <n v="-1.4645922220422936"/>
    <n v="1.8290056970611599"/>
    <n v="0.1078216844974673"/>
    <n v="43.412226184932386"/>
    <x v="1"/>
    <x v="0"/>
    <x v="0"/>
    <x v="1"/>
    <x v="0"/>
    <x v="1"/>
  </r>
  <r>
    <x v="1"/>
    <s v="NJR"/>
    <n v="4895"/>
    <n v="46.18"/>
    <n v="-1.88"/>
    <n v="23.08"/>
    <n v="3.33"/>
    <n v="-24.563829787234045"/>
    <n v="2.0008665511265167"/>
    <n v="15.15"/>
    <n v="4.0999999999999996"/>
    <n v="3.11"/>
    <n v="13.867867867867867"/>
    <s v="NO"/>
    <n v="-0.80038931992348616"/>
    <n v="0.7062007045651707"/>
    <n v="0.94450543535506626"/>
    <n v="0.18630616629429048"/>
    <n v="0.21912148784969218"/>
    <n v="-1.189957724747936"/>
    <x v="0"/>
    <x v="0"/>
    <x v="0"/>
    <x v="1"/>
    <x v="0"/>
    <x v="0"/>
  </r>
  <r>
    <x v="1"/>
    <s v="OGS"/>
    <n v="4877"/>
    <n v="73.290000000000006"/>
    <n v="-2.87"/>
    <n v="53.02"/>
    <n v="4.2"/>
    <n v="-25.536585365853661"/>
    <n v="1.3823085628064882"/>
    <n v="8.08"/>
    <n v="3.4"/>
    <n v="2.61"/>
    <n v="17.45"/>
    <s v="NO"/>
    <n v="-0.84788303049498182"/>
    <n v="-0.7181252620391354"/>
    <n v="-0.28526499336690742"/>
    <n v="-0.37461562469927434"/>
    <n v="-1.1721260540531175"/>
    <n v="-0.25799271446327665"/>
    <x v="0"/>
    <x v="0"/>
    <x v="0"/>
    <x v="1"/>
    <x v="0"/>
    <x v="0"/>
  </r>
  <r>
    <x v="1"/>
    <s v="SR"/>
    <n v="4492"/>
    <n v="71.790000000000006"/>
    <n v="-2.41"/>
    <n v="55.35"/>
    <n v="4.09"/>
    <n v="-29.78838174273859"/>
    <n v="1.2970189701897019"/>
    <n v="7.31"/>
    <n v="2.94"/>
    <n v="3.47"/>
    <n v="17.552567237163817"/>
    <s v="NO"/>
    <n v="-1.0554722656235642"/>
    <n v="-0.91451781332624349"/>
    <n v="-0.41920038659405312"/>
    <n v="-0.74322137306647418"/>
    <n v="1.220819718019716"/>
    <n v="-0.23130774788127878"/>
    <x v="0"/>
    <x v="0"/>
    <x v="0"/>
    <x v="1"/>
    <x v="0"/>
    <x v="0"/>
  </r>
  <r>
    <x v="1"/>
    <s v="SWX"/>
    <n v="5492"/>
    <n v="68.099999999999994"/>
    <n v="5.71"/>
    <n v="48.82"/>
    <n v="2.76"/>
    <n v="11.926444833625219"/>
    <n v="1.3949201147070871"/>
    <n v="5.77"/>
    <n v="2.62"/>
    <n v="3.43"/>
    <n v="24.673913043478262"/>
    <s v="NO"/>
    <n v="0.98120780437856969"/>
    <n v="-0.68908520243213334"/>
    <n v="-0.68707117304834442"/>
    <n v="-0.99964276323496093"/>
    <n v="1.1095199146674912"/>
    <n v="1.6214561571933561"/>
    <x v="0"/>
    <x v="0"/>
    <x v="0"/>
    <x v="1"/>
    <x v="0"/>
    <x v="0"/>
  </r>
  <r>
    <x v="1"/>
    <s v="UGI"/>
    <n v="7211"/>
    <n v="34.65"/>
    <n v="1.77"/>
    <n v="21.32"/>
    <n v="2.5499999999999998"/>
    <n v="19.576271186440678"/>
    <n v="1.6252345215759849"/>
    <n v="12.2"/>
    <n v="5.24"/>
    <n v="3.37"/>
    <n v="13.588235294117647"/>
    <s v="NO"/>
    <n v="1.3547020784883976"/>
    <n v="-0.15875046198623341"/>
    <n v="0.43137633143288473"/>
    <n v="1.0998073687695253"/>
    <n v="0.94257020963915383"/>
    <n v="-1.2627098636579914"/>
    <x v="0"/>
    <x v="0"/>
    <x v="0"/>
    <x v="1"/>
    <x v="0"/>
    <x v="0"/>
  </r>
  <r>
    <x v="2"/>
    <s v="AES"/>
    <n v="7333"/>
    <n v="12.55"/>
    <n v="-4.9000000000000004"/>
    <n v="4.87"/>
    <n v="1.84"/>
    <n v="-2.5612244897959182"/>
    <n v="2.5770020533880906"/>
    <n v="5.58"/>
    <n v="2.4"/>
    <n v="14.02"/>
    <n v="6.8206521739130439"/>
    <s v="NO"/>
    <n v="5.8157895629890079E-3"/>
    <n v="7.8514672900943869E-2"/>
    <n v="0.45144155236896932"/>
    <n v="0.16906107084576558"/>
    <n v="1.2811548250748266"/>
    <n v="6.7252616513026386E-2"/>
    <x v="0"/>
    <x v="0"/>
    <x v="0"/>
    <x v="1"/>
    <x v="0"/>
    <x v="0"/>
  </r>
  <r>
    <x v="2"/>
    <s v="TAC"/>
    <n v="2538"/>
    <n v="9.15"/>
    <n v="0.97"/>
    <n v="1.88"/>
    <n v="0.41"/>
    <n v="9.4329896907216497"/>
    <n v="4.8670212765957448"/>
    <n v="13.63"/>
    <n v="4.18"/>
    <n v="11.82"/>
    <n v="22.31707317073171"/>
    <s v="NO"/>
    <n v="1.3042770640258257"/>
    <n v="2.1693841926914734"/>
    <n v="2.058436591913595"/>
    <n v="1.7648951183747341"/>
    <n v="0.68943881069457102"/>
    <n v="0.56656327663875927"/>
    <x v="0"/>
    <x v="0"/>
    <x v="0"/>
    <x v="1"/>
    <x v="0"/>
    <x v="0"/>
  </r>
  <r>
    <x v="2"/>
    <s v="BEP"/>
    <n v="6370"/>
    <n v="23.98"/>
    <n v="-4.74"/>
    <n v="12.06"/>
    <n v="-0.71"/>
    <n v="-5.0590717299578056"/>
    <n v="1.9883913764510779"/>
    <n v="-0.15"/>
    <n v="0.77"/>
    <n v="10.92"/>
    <n v="-33.774647887323944"/>
    <s v="NO"/>
    <n v="-0.26459441506236542"/>
    <n v="-0.45890794388696438"/>
    <n v="-0.69241951304602511"/>
    <n v="-1.2922925794195259"/>
    <n v="0.44737316844810265"/>
    <n v="-1.2407698020660574"/>
    <x v="0"/>
    <x v="0"/>
    <x v="0"/>
    <x v="1"/>
    <x v="0"/>
    <x v="0"/>
  </r>
  <r>
    <x v="2"/>
    <s v="BEPC"/>
    <n v="4998"/>
    <n v="29.41"/>
    <n v="-1.53"/>
    <n v="4.2300000000000004"/>
    <n v="-0.74"/>
    <n v="-19.222222222222221"/>
    <n v="6.9527186761229309"/>
    <n v="-0.44"/>
    <n v="1.92"/>
    <n v="31.31"/>
    <n v="-39.743243243243242"/>
    <s v="NO"/>
    <n v="-1.7978588842317027"/>
    <n v="4.073700573961573"/>
    <n v="-0.75031125981222901"/>
    <n v="-0.26127620039800126"/>
    <n v="5.9315047744542007"/>
    <n v="-1.4330840975926995"/>
    <x v="0"/>
    <x v="1"/>
    <x v="0"/>
    <x v="1"/>
    <x v="1"/>
    <x v="0"/>
  </r>
  <r>
    <x v="2"/>
    <s v="CWEN"/>
    <n v="3372"/>
    <n v="29.08"/>
    <n v="4.5599999999999996"/>
    <n v="16.489999999999998"/>
    <n v="0.79"/>
    <n v="6.3771929824561404"/>
    <n v="1.7634930260764101"/>
    <n v="-2.31"/>
    <n v="1"/>
    <n v="7.54"/>
    <n v="36.810126582278478"/>
    <s v="NO"/>
    <n v="0.97346475497444962"/>
    <n v="-0.66424818779587946"/>
    <n v="-1.1236132130977508"/>
    <n v="-1.086089303615221"/>
    <n v="-0.46171779909974486"/>
    <n v="1.0335443987728665"/>
    <x v="0"/>
    <x v="0"/>
    <x v="0"/>
    <x v="1"/>
    <x v="0"/>
    <x v="0"/>
  </r>
  <r>
    <x v="2"/>
    <s v="ORA"/>
    <n v="4383"/>
    <n v="73.38"/>
    <n v="-1.27"/>
    <n v="40.08"/>
    <n v="2.04"/>
    <n v="-57.779527559055111"/>
    <n v="1.8308383233532934"/>
    <n v="5.24"/>
    <n v="1.95"/>
    <n v="2.34"/>
    <n v="35.970588235294116"/>
    <s v="NO"/>
    <n v="-5.9719687570434266"/>
    <n v="-0.60275952082293016"/>
    <n v="0.38356846995341998"/>
    <n v="-0.23438012094526578"/>
    <n v="-1.8603192876348948"/>
    <n v="1.0064936077341045"/>
    <x v="1"/>
    <x v="0"/>
    <x v="0"/>
    <x v="1"/>
    <x v="0"/>
    <x v="0"/>
  </r>
  <r>
    <x v="2"/>
    <s v="RNW"/>
    <n v="2379"/>
    <n v="6.66"/>
    <n v="-1.43"/>
    <n v="3.47"/>
    <n v="0.04"/>
    <n v="-4.6573426573426575"/>
    <n v="1.9193083573487031"/>
    <n v="1.68"/>
    <n v="3.26"/>
    <n v="8.9"/>
    <n v="166.5"/>
    <s v="NO"/>
    <n v="-0.22110430926919628"/>
    <n v="-0.52198321308664331"/>
    <n v="-0.32710262827997982"/>
    <n v="0.94008201515751444"/>
    <n v="-9.5929717482859361E-2"/>
    <n v="5.2122858204933564"/>
    <x v="0"/>
    <x v="0"/>
    <x v="0"/>
    <x v="1"/>
    <x v="0"/>
    <x v="1"/>
  </r>
  <r>
    <x v="3"/>
    <s v="AQN"/>
    <n v="4192"/>
    <n v="5.61"/>
    <n v="-0.55000000000000004"/>
    <n v="5.9"/>
    <n v="0.15"/>
    <n v="-10.199999999999999"/>
    <n v="0.95084745762711864"/>
    <n v="-0.15"/>
    <n v="1.54"/>
    <n v="3.75"/>
    <n v="37.400000000000006"/>
    <s v="NO"/>
    <n v="0.81353131478152763"/>
    <n v="-23.861173664146811"/>
    <n v="-1.7161274902295789"/>
    <n v="-4.2841955738267572"/>
    <n v="1.6748357287914688"/>
    <n v="22.361678011971481"/>
    <x v="0"/>
    <x v="1"/>
    <x v="0"/>
    <x v="0"/>
    <x v="0"/>
    <x v="1"/>
  </r>
  <r>
    <x v="3"/>
    <s v="AVA"/>
    <n v="3292"/>
    <n v="37.93"/>
    <n v="0.01"/>
    <n v="32.369999999999997"/>
    <n v="2.29"/>
    <n v="3793"/>
    <n v="1.1717639789928946"/>
    <n v="7.09"/>
    <n v="2.46"/>
    <n v="3.06"/>
    <n v="16.563318777292576"/>
    <s v="NO"/>
    <n v="57.062670706858313"/>
    <n v="0.11461669107053599"/>
    <n v="0.35122076755114523"/>
    <n v="-1.1643064488236305"/>
    <n v="-0.15225779352649749"/>
    <n v="1.3802146540925566"/>
    <x v="1"/>
    <x v="0"/>
    <x v="0"/>
    <x v="1"/>
    <x v="0"/>
    <x v="0"/>
  </r>
  <r>
    <x v="3"/>
    <s v="BKH"/>
    <n v="4451"/>
    <n v="57.76"/>
    <n v="-0.36"/>
    <n v="48.89"/>
    <n v="3.91"/>
    <n v="-160.44444444444446"/>
    <n v="1.1814276948251174"/>
    <n v="8.23"/>
    <n v="3.18"/>
    <n v="2.86"/>
    <n v="14.772378516624039"/>
    <s v="NO"/>
    <n v="-1.4085765676439805"/>
    <n v="1.1634075348397364"/>
    <n v="0.67674245454976767"/>
    <n v="1.2773459098744695"/>
    <n v="-0.6818501188360534"/>
    <n v="-0.42316982224222544"/>
    <x v="0"/>
    <x v="0"/>
    <x v="0"/>
    <x v="1"/>
    <x v="0"/>
    <x v="0"/>
  </r>
  <r>
    <x v="3"/>
    <s v="NWE"/>
    <n v="3539"/>
    <n v="54.69"/>
    <n v="-2.19"/>
    <n v="47.19"/>
    <n v="3.84"/>
    <n v="-24.972602739726028"/>
    <n v="1.1589319771137954"/>
    <n v="8.27"/>
    <n v="2.77"/>
    <n v="2.8"/>
    <n v="14.2421875"/>
    <s v="NO"/>
    <n v="0.59504525286245302"/>
    <n v="-1.2780242259102481"/>
    <n v="0.68816426812866649"/>
    <n v="-0.11303946105083752"/>
    <n v="-0.84072781642892025"/>
    <n v="-0.95704483185032585"/>
    <x v="0"/>
    <x v="0"/>
    <x v="0"/>
    <x v="1"/>
    <x v="0"/>
    <x v="0"/>
  </r>
  <r>
    <x v="4"/>
    <s v="AWR"/>
    <n v="3065"/>
    <n v="76.150000000000006"/>
    <n v="-0.89"/>
    <n v="24.12"/>
    <n v="3.17"/>
    <n v="-85.561797752808999"/>
    <n v="3.1571310116086235"/>
    <n v="14.06"/>
    <n v="4.9400000000000004"/>
    <n v="2.72"/>
    <n v="24.022082018927446"/>
    <s v="NO"/>
    <n v="-1"/>
    <n v="1.0000000000000007"/>
    <n v="1.000000000000002"/>
    <n v="1.0000000000000002"/>
    <n v="-0.999999999999997"/>
    <n v="0.99999999999999634"/>
    <x v="0"/>
    <x v="0"/>
    <x v="0"/>
    <x v="1"/>
    <x v="0"/>
    <x v="0"/>
  </r>
  <r>
    <x v="4"/>
    <s v="CWT"/>
    <n v="2923"/>
    <n v="45.63"/>
    <n v="-3.07"/>
    <n v="27.35"/>
    <n v="2.2599999999999998"/>
    <n v="-14.863192182410424"/>
    <n v="1.6683729433272394"/>
    <n v="8.61"/>
    <n v="2.59"/>
    <n v="3.23"/>
    <n v="20.190265486725668"/>
    <s v="NO"/>
    <n v="1.0000000000000002"/>
    <n v="-1.0000000000000009"/>
    <n v="-1.0000000000000027"/>
    <n v="-1.0000000000000002"/>
    <n v="0.999999999999997"/>
    <n v="-0.99999999999999634"/>
    <x v="0"/>
    <x v="0"/>
    <x v="0"/>
    <x v="1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s v="EDN"/>
    <n v="1320"/>
    <n v="35.81"/>
    <n v="-0.13"/>
    <n v="1.67"/>
    <n v="0.3"/>
    <n v="-275.46153846153845"/>
    <n v="21.443113772455092"/>
    <n v="19.87"/>
    <n v="0.78"/>
    <n v="2.64"/>
    <n v="119.36666666666667"/>
    <s v="NO"/>
    <n v="-1.4141759732409072"/>
    <n v="1.4124014979167843"/>
    <n v="0.84975061213154046"/>
    <n v="-0.73804179502473244"/>
    <n v="-0.50529283610945974"/>
    <n v="1.3702444863454044"/>
    <x v="0"/>
    <x v="0"/>
    <x v="0"/>
    <x v="0"/>
    <x v="0"/>
    <x v="0"/>
  </r>
  <r>
    <x v="0"/>
    <s v="GNE"/>
    <n v="432"/>
    <n v="17.04"/>
    <n v="2.34"/>
    <n v="7.04"/>
    <n v="0.56999999999999995"/>
    <n v="7.2820512820512819"/>
    <n v="2.4204545454545454"/>
    <n v="8.35"/>
    <n v="8.0299999999999994"/>
    <n v="1.95"/>
    <n v="29.894736842105264"/>
    <s v="NO"/>
    <n v="0.69815839922238532"/>
    <n v="-0.64422086099610032"/>
    <n v="0.55412567600041462"/>
    <n v="1.4137556636599771"/>
    <n v="-0.89125452273181494"/>
    <n v="-0.38209990780777436"/>
    <x v="0"/>
    <x v="0"/>
    <x v="0"/>
    <x v="0"/>
    <x v="0"/>
    <x v="0"/>
  </r>
  <r>
    <x v="0"/>
    <s v="HE"/>
    <n v="1792"/>
    <n v="10.93"/>
    <n v="1.1299999999999999"/>
    <n v="8.58"/>
    <n v="-10.42"/>
    <n v="9.6725663716814161"/>
    <n v="1.2738927738927739"/>
    <n v="-67.95"/>
    <n v="0.99"/>
    <n v="6.04"/>
    <n v="-1.0489443378119001"/>
    <s v="NO"/>
    <n v="0.71601757401852184"/>
    <n v="-0.76818063692068417"/>
    <n v="-1.4038762881319551"/>
    <n v="-0.6757138686352443"/>
    <n v="1.3965473588412753"/>
    <n v="-0.98814457853762994"/>
    <x v="0"/>
    <x v="0"/>
    <x v="0"/>
    <x v="0"/>
    <x v="0"/>
    <x v="0"/>
  </r>
  <r>
    <x v="1"/>
    <s v="NWN"/>
    <n v="1772"/>
    <n v="40.53"/>
    <n v="-5"/>
    <n v="34.44"/>
    <n v="2.0299999999999998"/>
    <n v="-8.1059999999999999"/>
    <n v="1.1768292682926831"/>
    <n v="5.91"/>
    <n v="2.31"/>
    <n v="3.78"/>
    <n v="19.965517241379313"/>
    <s v="NO"/>
    <n v="-1.3253453708453569"/>
    <n v="-0.94521887857868392"/>
    <n v="-1.216328844456444"/>
    <n v="-1.3902822794544483"/>
    <n v="-0.10083277356714555"/>
    <n v="0.86631594985183968"/>
    <x v="0"/>
    <x v="0"/>
    <x v="0"/>
    <x v="0"/>
    <x v="0"/>
    <x v="0"/>
  </r>
  <r>
    <x v="1"/>
    <s v="SGU"/>
    <n v="436"/>
    <n v="12.2"/>
    <n v="2.72"/>
    <n v="8.58"/>
    <n v="1.36"/>
    <n v="4.485294117647058"/>
    <n v="1.4219114219114217"/>
    <n v="19.63"/>
    <n v="5.45"/>
    <n v="3.32"/>
    <n v="8.970588235294116"/>
    <s v="NO"/>
    <n v="0.23536163245998168"/>
    <n v="-0.43839053529015726"/>
    <n v="1.2329908834216001"/>
    <n v="0.91949886207304776"/>
    <n v="-1.171211446818391"/>
    <n v="-1.401208854928736"/>
    <x v="0"/>
    <x v="0"/>
    <x v="0"/>
    <x v="0"/>
    <x v="0"/>
    <x v="0"/>
  </r>
  <r>
    <x v="1"/>
    <s v="SPH"/>
    <n v="1294"/>
    <n v="19.46"/>
    <n v="1.71"/>
    <n v="8.4499999999999993"/>
    <n v="1.06"/>
    <n v="11.380116959064328"/>
    <n v="2.3029585798816572"/>
    <n v="12.63"/>
    <n v="4.84"/>
    <n v="4.37"/>
    <n v="18.358490566037737"/>
    <s v="NO"/>
    <n v="1.089983738385375"/>
    <n v="1.3836094138688397"/>
    <n v="-1.666203896515683E-2"/>
    <n v="0.47078341738140023"/>
    <n v="1.2720442203855398"/>
    <n v="0.53489290507689757"/>
    <x v="0"/>
    <x v="0"/>
    <x v="0"/>
    <x v="0"/>
    <x v="0"/>
    <x v="0"/>
  </r>
  <r>
    <x v="2"/>
    <s v="CEPU"/>
    <n v="1636"/>
    <n v="12.83"/>
    <n v="7.0000000000000007E-2"/>
    <n v="1.1599999999999999"/>
    <n v="0.03"/>
    <n v="183.28571428571428"/>
    <n v="11.060344827586208"/>
    <n v="3.29"/>
    <n v="4.16"/>
    <n v="1.48"/>
    <n v="427.66666666666669"/>
    <s v="NO"/>
    <n v="21.476454445232822"/>
    <n v="1.0127277948178059"/>
    <n v="0.61890974512953334"/>
    <n v="1.2752135916244305"/>
    <n v="-0.90076881992889701"/>
    <n v="16.728841595268513"/>
    <x v="1"/>
    <x v="0"/>
    <x v="0"/>
    <x v="0"/>
    <x v="0"/>
    <x v="1"/>
  </r>
  <r>
    <x v="2"/>
    <s v="KEN"/>
    <n v="1605"/>
    <n v="32.659999999999997"/>
    <n v="-1.43"/>
    <n v="30.83"/>
    <n v="11.34"/>
    <n v="-22.839160839160837"/>
    <n v="1.0593577684073954"/>
    <n v="26.81"/>
    <n v="0.83"/>
    <n v="2.62"/>
    <n v="2.8800705467372132"/>
    <s v="NO"/>
    <n v="-1.2163789961851224"/>
    <n v="-0.77568260700483693"/>
    <n v="8.1482669203605465"/>
    <n v="-0.80383720891870469"/>
    <n v="0.86970782613824671"/>
    <n v="0.16650266412364509"/>
    <x v="0"/>
    <x v="0"/>
    <x v="1"/>
    <x v="0"/>
    <x v="0"/>
    <x v="0"/>
  </r>
  <r>
    <x v="2"/>
    <s v="ANNA"/>
    <n v="437"/>
    <n v="9.84"/>
    <n v="-1.04"/>
    <n v="0.74"/>
    <n v="-4.3899999999999997"/>
    <n v="-9.4615384615384617"/>
    <n v="13.297297297297296"/>
    <n v="-48.76"/>
    <n v="-6.44"/>
    <n v="2.78"/>
    <n v="-2.2414578587699316"/>
    <s v="NO"/>
    <n v="0.25639888311574693"/>
    <n v="1.4127472170549797"/>
    <n v="-16.043634513831954"/>
    <n v="-5.3427859536480122"/>
    <n v="1.1181957764634594"/>
    <n v="-3.3184637858799985E-2"/>
    <x v="0"/>
    <x v="0"/>
    <x v="1"/>
    <x v="1"/>
    <x v="0"/>
    <x v="0"/>
  </r>
  <r>
    <x v="2"/>
    <s v="MNTK"/>
    <n v="321"/>
    <n v="2.31"/>
    <n v="-0.14000000000000001"/>
    <n v="1.8"/>
    <n v="7.0000000000000007E-2"/>
    <n v="-16.5"/>
    <n v="1.2833333333333334"/>
    <n v="3.83"/>
    <n v="3.18"/>
    <n v="1.36"/>
    <n v="33"/>
    <s v="NO"/>
    <n v="-0.51848398960580311"/>
    <n v="-0.73563053737436768"/>
    <n v="0.79177763945881685"/>
    <n v="0.66336080347660098"/>
    <n v="-1.0871347826728066"/>
    <n v="1.3408722999448979"/>
    <x v="0"/>
    <x v="0"/>
    <x v="0"/>
    <x v="0"/>
    <x v="0"/>
    <x v="0"/>
  </r>
  <r>
    <x v="2"/>
    <s v="XIFR"/>
    <n v="799"/>
    <n v="9.8000000000000007"/>
    <n v="5.98"/>
    <n v="34.39"/>
    <n v="-0.25"/>
    <n v="1.6387959866220736"/>
    <n v="0.28496656004652515"/>
    <n v="-3.05"/>
    <n v="0.3"/>
    <n v="6.31"/>
    <n v="-39.200000000000003"/>
    <s v="NO"/>
    <n v="1.4784641026751788"/>
    <n v="-0.9141618674935813"/>
    <n v="-1.4106873845883501"/>
    <n v="-1.1347371861823268"/>
    <n v="6.6004611805134736"/>
    <n v="-1.4741903262097431"/>
    <x v="0"/>
    <x v="0"/>
    <x v="0"/>
    <x v="0"/>
    <x v="1"/>
    <x v="0"/>
  </r>
  <r>
    <x v="3"/>
    <s v="UTL"/>
    <n v="938"/>
    <n v="54.05"/>
    <n v="-2.73"/>
    <n v="31.64"/>
    <n v="2.93"/>
    <n v="-19.798534798534799"/>
    <n v="1.7082806573957015"/>
    <n v="9.4"/>
    <n v="3.34"/>
    <n v="3.5"/>
    <n v="18.447098976109213"/>
    <s v="NO"/>
    <e v="#DIV/0!"/>
    <e v="#DIV/0!"/>
    <e v="#DIV/0!"/>
    <e v="#DIV/0!"/>
    <e v="#DIV/0!"/>
    <e v="#DIV/0!"/>
    <x v="0"/>
    <x v="0"/>
    <x v="0"/>
    <x v="0"/>
    <x v="0"/>
    <x v="0"/>
  </r>
  <r>
    <x v="4"/>
    <s v="ARTNA"/>
    <n v="353"/>
    <n v="32.909999999999997"/>
    <n v="-0.89"/>
    <n v="23.22"/>
    <n v="1.98"/>
    <n v="-36.977528089887635"/>
    <n v="1.4173126614987079"/>
    <n v="8.69"/>
    <n v="2.67"/>
    <n v="3.34"/>
    <n v="16.621212121212121"/>
    <s v="NO"/>
    <n v="-1.4044424604953307"/>
    <n v="-1.0404572448485476"/>
    <n v="-1.0971276563170527"/>
    <n v="0.25760802302340791"/>
    <n v="0.9988703251443517"/>
    <n v="-12.135344816043585"/>
    <x v="0"/>
    <x v="0"/>
    <x v="0"/>
    <x v="0"/>
    <x v="0"/>
    <x v="1"/>
  </r>
  <r>
    <x v="4"/>
    <s v="CWCO"/>
    <n v="363"/>
    <n v="24.86"/>
    <n v="1.88"/>
    <n v="13.25"/>
    <n v="1.1200000000000001"/>
    <n v="13.223404255319149"/>
    <n v="1.8762264150943395"/>
    <n v="9.07"/>
    <n v="4.9000000000000004"/>
    <n v="1.1599999999999999"/>
    <n v="22.196428571428569"/>
    <s v="NO"/>
    <n v="6.838761105696971"/>
    <n v="0.28617627605558327"/>
    <n v="-0.16548852916513965"/>
    <n v="4.0873806319714081"/>
    <n v="-1.6647838752405864"/>
    <n v="-1.1655042293421096"/>
    <x v="1"/>
    <x v="0"/>
    <x v="0"/>
    <x v="1"/>
    <x v="0"/>
    <x v="0"/>
  </r>
  <r>
    <x v="4"/>
    <s v="GWRS"/>
    <n v="282"/>
    <n v="10.24"/>
    <n v="-0.44"/>
    <n v="1.96"/>
    <n v="0.24"/>
    <n v="-23.272727272727273"/>
    <n v="5.2244897959183678"/>
    <n v="12.03"/>
    <n v="1.53"/>
    <n v="8.51"/>
    <n v="42.666666666666671"/>
    <s v="NO"/>
    <n v="0.8459432931620523"/>
    <n v="9.9653772217978034"/>
    <n v="7.0914899349655336"/>
    <n v="-1.7002129519544933"/>
    <n v="7.3158851031214756"/>
    <n v="39.111900366827008"/>
    <x v="0"/>
    <x v="1"/>
    <x v="1"/>
    <x v="0"/>
    <x v="1"/>
    <x v="1"/>
  </r>
  <r>
    <x v="4"/>
    <s v="MSEX"/>
    <n v="1085"/>
    <n v="56.25"/>
    <n v="-0.75"/>
    <n v="25.09"/>
    <n v="2.4"/>
    <n v="-75"/>
    <n v="2.2419290554005582"/>
    <n v="9.8000000000000007"/>
    <n v="2.96"/>
    <n v="2.85"/>
    <n v="23.4375"/>
    <s v="NO"/>
    <n v="-7.6478917631816605"/>
    <n v="1.3433539647000277"/>
    <n v="1.6242392677319537"/>
    <n v="0.75565020086866352"/>
    <n v="0.4001590599202145"/>
    <n v="1.2764378637958"/>
    <x v="1"/>
    <x v="0"/>
    <x v="0"/>
    <x v="0"/>
    <x v="0"/>
    <x v="0"/>
  </r>
  <r>
    <x v="4"/>
    <s v="SJW"/>
    <n v="1875"/>
    <n v="54.86"/>
    <m/>
    <n v="40.880000000000003"/>
    <m/>
    <s v=""/>
    <n v="1.3419765166340507"/>
    <m/>
    <m/>
    <m/>
    <s v=""/>
    <s v="NO"/>
    <e v="#VALUE!"/>
    <n v="-1.2582398986262515"/>
    <n v="-22.402243485133123"/>
    <n v="-4.3278147867932555"/>
    <n v="-3.0821411561793606"/>
    <e v="#VALUE!"/>
    <x v="1"/>
    <x v="0"/>
    <x v="1"/>
    <x v="1"/>
    <x v="0"/>
    <x v="1"/>
  </r>
  <r>
    <x v="4"/>
    <s v="YORW"/>
    <n v="477"/>
    <n v="32.28"/>
    <n v="-1.29"/>
    <n v="16.07"/>
    <n v="1.42"/>
    <n v="-25.02325581395349"/>
    <n v="2.0087118855009334"/>
    <n v="8.99"/>
    <n v="2.92"/>
    <n v="2.74"/>
    <n v="22.732394366197184"/>
    <s v="NO"/>
    <n v="0.55849916733327898"/>
    <n v="0.66916690271919155"/>
    <n v="-0.3616230822497527"/>
    <n v="0.6869547280624213"/>
    <n v="0.26575449017602049"/>
    <n v="-0.11093363445369044"/>
    <x v="0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C84801-102E-4C37-8560-F938FC21BCC4}" name="PivotTable1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9" firstHeaderRow="0" firstDataRow="1" firstDataCol="1" rowPageCount="1" colPageCount="1"/>
  <pivotFields count="26">
    <pivotField axis="axisRow" showAll="0">
      <items count="59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x="0"/>
        <item x="1"/>
        <item x="2"/>
        <item x="3"/>
        <item x="4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53"/>
        <item m="1" x="54"/>
        <item m="1" x="55"/>
        <item m="1" x="56"/>
        <item m="1" x="57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B0E771-8D8C-40A3-A257-A5C33EA82892}" name="PivotTable2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9" firstHeaderRow="0" firstDataRow="1" firstDataCol="1" rowPageCount="1" colPageCount="1"/>
  <pivotFields count="26">
    <pivotField axis="axisRow" showAll="0">
      <items count="59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x="0"/>
        <item x="1"/>
        <item x="2"/>
        <item x="3"/>
        <item x="4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53"/>
        <item m="1" x="54"/>
        <item m="1" x="55"/>
        <item m="1" x="56"/>
        <item m="1" x="57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dataField="1"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7" numFmtId="2"/>
    <dataField name="StdDevp of P/B" fld="8" subtotal="stdDevp" baseField="0" baseItem="7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5A8AE6-DC6C-4B19-8032-04D5D0183A50}" name="PivotTable3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9" firstHeaderRow="0" firstDataRow="1" firstDataCol="1" rowPageCount="1" colPageCount="1"/>
  <pivotFields count="26">
    <pivotField axis="axisRow" showAll="0">
      <items count="59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x="0"/>
        <item x="1"/>
        <item x="2"/>
        <item x="3"/>
        <item x="4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53"/>
        <item m="1" x="54"/>
        <item m="1" x="55"/>
        <item m="1" x="56"/>
        <item m="1" x="57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4D68E-4AF6-49FE-80B9-8288F8934083}" name="PivotTable4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29" firstHeaderRow="0" firstDataRow="1" firstDataCol="1" rowPageCount="1" colPageCount="1"/>
  <pivotFields count="26">
    <pivotField axis="axisRow" showAll="0">
      <items count="59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x="0"/>
        <item x="1"/>
        <item x="2"/>
        <item x="3"/>
        <item x="4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53"/>
        <item m="1" x="54"/>
        <item m="1" x="55"/>
        <item m="1" x="56"/>
        <item m="1" x="57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dataField="1"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C96544-0E1B-4AD0-9EEF-13BE1677F031}" name="PivotTable5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29" firstHeaderRow="0" firstDataRow="1" firstDataCol="1" rowPageCount="1" colPageCount="1"/>
  <pivotFields count="26">
    <pivotField axis="axisRow" showAll="0">
      <items count="59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x="0"/>
        <item x="1"/>
        <item x="2"/>
        <item x="3"/>
        <item x="4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53"/>
        <item m="1" x="54"/>
        <item m="1" x="55"/>
        <item m="1" x="56"/>
        <item m="1" x="57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dataField="1"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4AD83-0107-4E11-9496-253AE5F4ECE5}" name="PivotTable6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29" firstHeaderRow="0" firstDataRow="1" firstDataCol="1" rowPageCount="1" colPageCount="1"/>
  <pivotFields count="26">
    <pivotField axis="axisRow" showAll="0">
      <items count="59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x="0"/>
        <item x="1"/>
        <item x="2"/>
        <item x="3"/>
        <item x="4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53"/>
        <item m="1" x="54"/>
        <item m="1" x="55"/>
        <item m="1" x="56"/>
        <item m="1" x="57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showAll="0"/>
    <pivotField dataField="1"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3" numFmtId="2"/>
    <dataField name="StdDevp of P/E" fld="12" subtotal="stdDevp" baseField="0" baseItem="3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7B78ED-8281-409F-B6A4-5ECFEBADC554}" name="PivotTable12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29" firstHeaderRow="0" firstDataRow="1" firstDataCol="1" rowPageCount="1" colPageCount="1"/>
  <pivotFields count="26">
    <pivotField axis="axisRow" showAll="0">
      <items count="60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x="0"/>
        <item x="1"/>
        <item x="2"/>
        <item x="3"/>
        <item x="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4"/>
        <item m="1" x="55"/>
        <item m="1" x="56"/>
        <item m="1" x="57"/>
        <item m="1" x="58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223830-A9B5-4DB6-9D33-8B43732388BE}" name="PivotTable11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29" firstHeaderRow="0" firstDataRow="1" firstDataCol="1" rowPageCount="1" colPageCount="1"/>
  <pivotFields count="26">
    <pivotField axis="axisRow" showAll="0">
      <items count="60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x="0"/>
        <item x="1"/>
        <item x="2"/>
        <item x="3"/>
        <item x="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4"/>
        <item m="1" x="55"/>
        <item m="1" x="56"/>
        <item m="1" x="57"/>
        <item m="1" x="58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FB9E3F-AA64-4A67-B90F-619AA980102E}" name="PivotTable10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29" firstHeaderRow="0" firstDataRow="1" firstDataCol="1" rowPageCount="1" colPageCount="1"/>
  <pivotFields count="26">
    <pivotField axis="axisRow" showAll="0">
      <items count="60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x="0"/>
        <item x="1"/>
        <item x="2"/>
        <item x="3"/>
        <item x="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4"/>
        <item m="1" x="55"/>
        <item m="1" x="56"/>
        <item m="1" x="57"/>
        <item m="1" x="58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4F5758-9BD1-4847-AE9E-D0276B5B9C8C}" name="PivotTable9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9" firstHeaderRow="0" firstDataRow="1" firstDataCol="1" rowPageCount="1" colPageCount="1"/>
  <pivotFields count="26">
    <pivotField axis="axisRow" showAll="0">
      <items count="60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x="0"/>
        <item x="1"/>
        <item x="2"/>
        <item x="3"/>
        <item x="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4"/>
        <item m="1" x="55"/>
        <item m="1" x="56"/>
        <item m="1" x="57"/>
        <item m="1" x="58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27776E-7C7E-402C-B296-4D93FD39F0DF}" name="PivotTable7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9" firstHeaderRow="0" firstDataRow="1" firstDataCol="1" rowPageCount="1" colPageCount="1"/>
  <pivotFields count="26">
    <pivotField axis="axisRow" showAll="0">
      <items count="60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x="0"/>
        <item x="1"/>
        <item x="2"/>
        <item x="3"/>
        <item x="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4"/>
        <item m="1" x="55"/>
        <item m="1" x="56"/>
        <item m="1" x="57"/>
        <item m="1" x="58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7D752-2C3F-43DB-BC07-248E77950594}" name="PivotTable8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9" firstHeaderRow="0" firstDataRow="1" firstDataCol="1" rowPageCount="1" colPageCount="1"/>
  <pivotFields count="26">
    <pivotField axis="axisRow" showAll="0">
      <items count="60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x="0"/>
        <item x="1"/>
        <item x="2"/>
        <item x="3"/>
        <item x="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4"/>
        <item m="1" x="55"/>
        <item m="1" x="56"/>
        <item m="1" x="57"/>
        <item m="1" x="58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8" numFmtId="2"/>
    <dataField name="StdDevp of P/B" fld="8" subtotal="stdDevp" baseField="0" baseItem="8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6196AD-A949-492C-A608-C48A1F76FC08}" name="PivotTable14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9" firstHeaderRow="0" firstDataRow="1" firstDataCol="1" rowPageCount="1" colPageCount="1"/>
  <pivotFields count="26">
    <pivotField axis="axisRow" showAll="0">
      <items count="61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x="0"/>
        <item x="1"/>
        <item x="2"/>
        <item x="3"/>
        <item x="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5"/>
        <item m="1" x="56"/>
        <item m="1" x="57"/>
        <item m="1" x="58"/>
        <item m="1" x="59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1" item="0" hier="-1"/>
  </pageFields>
  <dataFields count="2">
    <dataField name="Average of P/B" fld="8" subtotal="average" baseField="0" baseItem="9" numFmtId="2"/>
    <dataField name="StdDevp of P/B" fld="8" subtotal="stdDevp" baseField="0" baseItem="9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C9DE58-9145-4A38-9D87-BB993A306C05}" name="PivotTable18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29" firstHeaderRow="0" firstDataRow="1" firstDataCol="1" rowPageCount="1" colPageCount="1"/>
  <pivotFields count="26">
    <pivotField axis="axisRow" showAll="0">
      <items count="61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x="0"/>
        <item x="1"/>
        <item x="2"/>
        <item x="3"/>
        <item x="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5"/>
        <item m="1" x="56"/>
        <item m="1" x="57"/>
        <item m="1" x="58"/>
        <item m="1" x="59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225C56-22CE-417F-B876-CBEEB96F76CA}" name="PivotTable17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29" firstHeaderRow="0" firstDataRow="1" firstDataCol="1" rowPageCount="1" colPageCount="1"/>
  <pivotFields count="26">
    <pivotField axis="axisRow" showAll="0">
      <items count="61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x="0"/>
        <item x="1"/>
        <item x="2"/>
        <item x="3"/>
        <item x="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5"/>
        <item m="1" x="56"/>
        <item m="1" x="57"/>
        <item m="1" x="58"/>
        <item m="1" x="59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94F80-7952-4D43-A79C-D494CF193FB3}" name="PivotTable16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29" firstHeaderRow="0" firstDataRow="1" firstDataCol="1" rowPageCount="1" colPageCount="1"/>
  <pivotFields count="26">
    <pivotField axis="axisRow" showAll="0">
      <items count="61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x="0"/>
        <item x="1"/>
        <item x="2"/>
        <item x="3"/>
        <item x="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5"/>
        <item m="1" x="56"/>
        <item m="1" x="57"/>
        <item m="1" x="58"/>
        <item m="1" x="59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D0308A-0527-477A-9E60-ED92EDA45CE6}" name="PivotTable15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9" firstHeaderRow="0" firstDataRow="1" firstDataCol="1" rowPageCount="1" colPageCount="1"/>
  <pivotFields count="26">
    <pivotField axis="axisRow" showAll="0">
      <items count="61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x="0"/>
        <item x="1"/>
        <item x="2"/>
        <item x="3"/>
        <item x="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5"/>
        <item m="1" x="56"/>
        <item m="1" x="57"/>
        <item m="1" x="58"/>
        <item m="1" x="59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4021F3-AE23-44CA-B4F3-CC1FD8F04DE9}" name="PivotTable13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9" firstHeaderRow="0" firstDataRow="1" firstDataCol="1" rowPageCount="1" colPageCount="1"/>
  <pivotFields count="26">
    <pivotField axis="axisRow" showAll="0">
      <items count="61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x="0"/>
        <item x="1"/>
        <item x="2"/>
        <item x="3"/>
        <item x="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5"/>
        <item m="1" x="56"/>
        <item m="1" x="57"/>
        <item m="1" x="58"/>
        <item m="1" x="59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5"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9" xr16:uid="{D32EA3CB-BE38-416D-9CDC-630CA7437C5A}" autoFormatId="16" applyNumberFormats="0" applyBorderFormats="0" applyFontFormats="0" applyPatternFormats="0" applyAlignmentFormats="0" applyWidthHeightFormats="0">
  <queryTableRefresh nextId="48" unboundColumnsRight="13">
    <queryTableFields count="26">
      <queryTableField id="1" name="Industry" tableColumnId="1"/>
      <queryTableField id="2" name="Symbol" tableColumnId="2"/>
      <queryTableField id="44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6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8" dataBound="0" tableColumnId="14"/>
      <queryTableField id="29" dataBound="0" tableColumnId="15"/>
      <queryTableField id="30" dataBound="0" tableColumnId="16"/>
      <queryTableField id="31" dataBound="0" tableColumnId="17"/>
      <queryTableField id="32" dataBound="0" tableColumnId="18"/>
      <queryTableField id="34" dataBound="0" tableColumnId="20"/>
      <queryTableField id="33" dataBound="0" tableColumnId="19"/>
      <queryTableField id="35" dataBound="0" tableColumnId="21"/>
      <queryTableField id="36" dataBound="0" tableColumnId="22"/>
      <queryTableField id="37" dataBound="0" tableColumnId="23"/>
      <queryTableField id="38" dataBound="0" tableColumnId="24"/>
      <queryTableField id="40" dataBound="0" tableColumnId="26"/>
      <queryTableField id="39" dataBound="0" tableColumnId="2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0" xr16:uid="{8D69D8E8-A8D7-45B1-9C88-2D4B75DE819C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1" xr16:uid="{1D322613-0263-476D-865E-3ED9D756CED7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1" xr16:uid="{2A3DD76B-3B32-4587-BDD7-433C5119B98E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2" xr16:uid="{1104BD5D-D315-4F66-94E6-5B0693021F92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43" xr16:uid="{14E5BAAC-5265-4112-9064-4EF86CDFE054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3099FB-6B0A-4C40-9407-89EC83C9DBE4}" name="DynamicPath" displayName="DynamicPath" ref="A1:A2" totalsRowShown="0">
  <autoFilter ref="A1:A2" xr:uid="{EB3099FB-6B0A-4C40-9407-89EC83C9DBE4}"/>
  <tableColumns count="1">
    <tableColumn id="1" xr3:uid="{72CF0EC1-9118-4F51-B3B2-06BCDC74DB25}" name="Path">
      <calculatedColumnFormula array="1">LEFT(CELL("filename"),SEARCH("\M",CELL("filename")))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3BB95A-07C7-4768-8185-A2A759A39458}" name="Main_L" displayName="Main_L" ref="A1:Z39" tableType="queryTable" totalsRowShown="0">
  <autoFilter ref="A1:Z39" xr:uid="{1B3BB95A-07C7-4768-8185-A2A759A39458}"/>
  <sortState xmlns:xlrd2="http://schemas.microsoft.com/office/spreadsheetml/2017/richdata2" ref="A2:Z39">
    <sortCondition ref="A1:A39"/>
  </sortState>
  <tableColumns count="26">
    <tableColumn id="1" xr3:uid="{FDA9EBBF-F574-44F1-B885-6A5ED1C1C8A3}" uniqueName="1" name="Industry" queryTableFieldId="1" dataDxfId="146"/>
    <tableColumn id="2" xr3:uid="{8F96E341-8F97-4BC1-90E1-73E9D5DAC8C9}" uniqueName="2" name="Symbol" queryTableFieldId="2" dataDxfId="145"/>
    <tableColumn id="3" xr3:uid="{F543FE77-4EA4-4170-A3F2-7D6D401D6817}" uniqueName="3" name="Market Cap (M)" queryTableFieldId="44" dataDxfId="137"/>
    <tableColumn id="4" xr3:uid="{D2480B0A-A335-4942-BCC8-5B641403DC2B}" uniqueName="4" name="Current Price" queryTableFieldId="4"/>
    <tableColumn id="5" xr3:uid="{720C3F4D-C635-4D4E-9155-738C72CE1044}" uniqueName="5" name="Free CF" queryTableFieldId="5"/>
    <tableColumn id="6" xr3:uid="{1BF86AC4-6154-48CF-AE5D-28B545E17514}" uniqueName="6" name="BVPS" queryTableFieldId="6"/>
    <tableColumn id="7" xr3:uid="{AE4742F3-E34E-4DC7-86A0-26BD37855B44}" uniqueName="7" name="EPS" queryTableFieldId="7"/>
    <tableColumn id="8" xr3:uid="{EDCA5355-465F-4050-92F2-EF8C3D568FEB}" uniqueName="8" name="P/FCF" queryTableFieldId="8" dataDxfId="136"/>
    <tableColumn id="9" xr3:uid="{92CA53A2-ADA4-45CE-B0FD-3AD68E123166}" uniqueName="9" name="P/B" queryTableFieldId="46" dataDxfId="135"/>
    <tableColumn id="10" xr3:uid="{0F3AADEE-F89A-40C7-BCB2-1F6E4395C5A8}" uniqueName="10" name="ROE" queryTableFieldId="10"/>
    <tableColumn id="11" xr3:uid="{8EB3611A-D40B-43FC-B57A-5DE27BFFEC7B}" uniqueName="11" name="ROA" queryTableFieldId="11"/>
    <tableColumn id="13" xr3:uid="{7CCDC820-7CD2-44AF-837F-E7A822FFB771}" uniqueName="13" name="A/E" queryTableFieldId="13"/>
    <tableColumn id="12" xr3:uid="{0DC01881-794E-4375-9285-108B89105E86}" uniqueName="12" name="P/E" queryTableFieldId="12" dataDxfId="134"/>
    <tableColumn id="14" xr3:uid="{ADA8B331-0D92-4BD4-AA99-F51061DC5068}" uniqueName="14" name="Preliminary Criteria" queryTableFieldId="28">
      <calculatedColumnFormula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calculatedColumnFormula>
    </tableColumn>
    <tableColumn id="15" xr3:uid="{B45ED73C-689C-4C77-89EB-99104D4657D6}" uniqueName="15" name="P/FCF Z-Score" queryTableFieldId="29" dataDxfId="133">
      <calculatedColumnFormula>(Main_L[[#This Row],[P/FCF]]-VLOOKUP(Main_L[[#This Row],[Industry]], Mean_PFCF_L, 2, FALSE))/(VLOOKUP(Main_L[[#This Row],[Industry]], Mean_PFCF_L, 3, FALSE))</calculatedColumnFormula>
    </tableColumn>
    <tableColumn id="16" xr3:uid="{080B9365-919D-47BA-8A56-96DFF3796262}" uniqueName="16" name="P/B Z-Score" queryTableFieldId="30" dataDxfId="132">
      <calculatedColumnFormula>(Main_L[[#This Row],[P/B]]-VLOOKUP(Main_L[[#This Row],[Industry]], Mean_PB_L, 2, FALSE))/(VLOOKUP(Main_L[[#This Row],[Industry]], Mean_PB_L, 3, FALSE))</calculatedColumnFormula>
    </tableColumn>
    <tableColumn id="17" xr3:uid="{45C38654-5156-4CDD-B790-6B274E590EC6}" uniqueName="17" name="ROE Z-Score" queryTableFieldId="31" dataDxfId="131">
      <calculatedColumnFormula>(Main_L[[#This Row],[ROE]]-VLOOKUP(Main_L[[#This Row],[Industry]], Mean_ROE_L, 2, FALSE))/(VLOOKUP(Main_L[[#This Row],[Industry]], Mean_ROE_L, 3, FALSE))</calculatedColumnFormula>
    </tableColumn>
    <tableColumn id="18" xr3:uid="{3C7295D9-1028-4428-B7DA-9EE1A954EF49}" uniqueName="18" name="ROA Z-Score" queryTableFieldId="32" dataDxfId="130">
      <calculatedColumnFormula>(Main_L[[#This Row],[ROA]]-VLOOKUP(Main_L[[#This Row],[Industry]], Mean_ROA_L, 2, FALSE))/(VLOOKUP(Main_L[[#This Row],[Industry]], Mean_ROA_L, 3, FALSE))</calculatedColumnFormula>
    </tableColumn>
    <tableColumn id="20" xr3:uid="{E4637726-26C6-4C24-BF10-0827D14B65BD}" uniqueName="20" name="A/E Z-Score" queryTableFieldId="34" dataDxfId="129">
      <calculatedColumnFormula>(Main_L[[#This Row],[A/E]]-VLOOKUP(Main_L[[#This Row],[Industry]], Mean_AE_L, 2, FALSE))/(VLOOKUP(Main_L[[#This Row],[Industry]], Mean_AE_L, 3, FALSE))</calculatedColumnFormula>
    </tableColumn>
    <tableColumn id="19" xr3:uid="{CD34899F-DB8F-4F0C-A283-548D3119A76B}" uniqueName="19" name="P/E Z-Score" queryTableFieldId="33" dataDxfId="128">
      <calculatedColumnFormula>(Main_L[[#This Row],[P/E]]-VLOOKUP(Main_L[[#This Row],[Industry]], Mean_PE_L, 2, FALSE))/(VLOOKUP(Main_L[[#This Row],[Industry]], Mean_PE_L, 3, FALSE))</calculatedColumnFormula>
    </tableColumn>
    <tableColumn id="21" xr3:uid="{B8EED667-9033-483B-905E-1DA4798C856D}" uniqueName="21" name="P/FCF Outlier" queryTableFieldId="35">
      <calculatedColumnFormula>IF(OR(Main_L[[#This Row],[P/FCF]]&lt;_xlfn.XLOOKUP(Main_L[[#This Row],[Industry]], Quartile_L[Industry], Quartile_L[P/FCF LB]), Main_L[[#This Row],[P/FCF]]&gt;_xlfn.XLOOKUP(Main_L[[#This Row],[Industry]], Quartile_L[Industry], Quartile_L[P/FCF UB])), "Yes", "No")</calculatedColumnFormula>
    </tableColumn>
    <tableColumn id="22" xr3:uid="{2111912A-D4BE-498A-BE98-FC4140F1FE20}" uniqueName="22" name="P/B Outlier" queryTableFieldId="36">
      <calculatedColumnFormula>IF(OR(Main_L[[#This Row],[P/B]]&lt;_xlfn.XLOOKUP(Main_L[[#This Row],[Industry]],Quartile_L[Industry],Quartile_L[P/B LB]),Main_L[[#This Row],[P/B]]&gt;_xlfn.XLOOKUP(Main_L[[#This Row],[Industry]],Quartile_L[Industry],Quartile_L[P/B UB])),"Yes","No")</calculatedColumnFormula>
    </tableColumn>
    <tableColumn id="23" xr3:uid="{E09174D4-F8A8-44DF-BAED-F71867CB52D9}" uniqueName="23" name="ROE Outlier" queryTableFieldId="37">
      <calculatedColumnFormula>IF(OR(Main_L[[#This Row],[ROE]]&lt;_xlfn.XLOOKUP(Main_L[[#This Row],[Industry]],Quartile_L[Industry],Quartile_L[ROE LB]),Main_L[[#This Row],[ROE]]&gt;_xlfn.XLOOKUP(Main_L[[#This Row],[Industry]],Quartile_L[Industry],Quartile_L[ROE UB])),"Yes","No")</calculatedColumnFormula>
    </tableColumn>
    <tableColumn id="24" xr3:uid="{EAC875A6-B1C3-4281-B62E-B64F07AA66FC}" uniqueName="24" name="ROA Outlier" queryTableFieldId="38">
      <calculatedColumnFormula>IF(OR(Main_L[[#This Row],[ROA]]&lt;_xlfn.XLOOKUP(Main_L[[#This Row],[Industry]],Quartile_L[Industry],Quartile_L[ROA LB]),Main_L[[#This Row],[ROA]]&gt;_xlfn.XLOOKUP(Main_L[[#This Row],[Industry]],Quartile_L[Industry],Quartile_L[ROA UB])),"Yes","No")</calculatedColumnFormula>
    </tableColumn>
    <tableColumn id="26" xr3:uid="{3295BE9F-81DF-457D-A9E7-B30BEC3A883D}" uniqueName="26" name="A/E Outlier" queryTableFieldId="40">
      <calculatedColumnFormula>IF(OR(Main_L[[#This Row],[A/E]]&lt;_xlfn.XLOOKUP(Main_L[[#This Row],[Industry]],Quartile_L[Industry],Quartile_L[A/E LB]),Main_L[[#This Row],[A/E]]&gt;_xlfn.XLOOKUP(Main_L[[#This Row],[Industry]],Quartile_L[Industry],Quartile_L[A/E UB])),"Yes","No")</calculatedColumnFormula>
    </tableColumn>
    <tableColumn id="25" xr3:uid="{DC78815E-40EE-4655-B536-DCB9E645779C}" uniqueName="25" name="P/E Outlier" queryTableFieldId="39">
      <calculatedColumnFormula>IF(OR(Main_L[[#This Row],[P/E]]&lt;_xlfn.XLOOKUP(Main_L[[#This Row],[Industry]],Quartile_L[Industry],Quartile_L[P/E LB]),Main_L[[#This Row],[P/E]]&gt;_xlfn.XLOOKUP(Main_L[[#This Row],[Industry]],Quartile_L[Industry],Quartile_L[P/E UB])),"Yes","No")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05384F-F989-4428-B033-1A9B3ACA4EBB}" name="Main_M" displayName="Main_M" ref="A1:Z36" tableType="queryTable" totalsRowShown="0">
  <autoFilter ref="A1:Z36" xr:uid="{8A05384F-F989-4428-B033-1A9B3ACA4EBB}"/>
  <sortState xmlns:xlrd2="http://schemas.microsoft.com/office/spreadsheetml/2017/richdata2" ref="A2:Z36">
    <sortCondition ref="A1:A36"/>
  </sortState>
  <tableColumns count="26">
    <tableColumn id="1" xr3:uid="{3547F496-7B67-42E8-9760-1F3941836443}" uniqueName="1" name="Industry" queryTableFieldId="1" dataDxfId="144"/>
    <tableColumn id="2" xr3:uid="{0A09E186-076D-4A57-B743-EBD7817F4082}" uniqueName="2" name="Symbol" queryTableFieldId="2" dataDxfId="143"/>
    <tableColumn id="3" xr3:uid="{C567BD69-49B3-415C-87A5-73BCB80F1796}" uniqueName="3" name="Market Cap (M)" queryTableFieldId="43" dataDxfId="127"/>
    <tableColumn id="4" xr3:uid="{4087682F-874F-4DAE-BAEC-138B7CABA861}" uniqueName="4" name="Current Price" queryTableFieldId="4"/>
    <tableColumn id="5" xr3:uid="{F7C5403B-3B7F-48E6-B20A-A8985D69DCA6}" uniqueName="5" name="Free CF" queryTableFieldId="5"/>
    <tableColumn id="6" xr3:uid="{0920E6C9-A031-45AE-AC78-DF5C9ACB89C8}" uniqueName="6" name="BVPS" queryTableFieldId="6"/>
    <tableColumn id="7" xr3:uid="{7F4BE925-C945-4781-8167-81541AF47A3C}" uniqueName="7" name="EPS" queryTableFieldId="7"/>
    <tableColumn id="8" xr3:uid="{22055AE5-DCAA-431A-BB58-FDE6663E7511}" uniqueName="8" name="P/FCF" queryTableFieldId="8" dataDxfId="126"/>
    <tableColumn id="9" xr3:uid="{F1DC44A8-3710-4CCA-B495-699F6ACADE85}" uniqueName="9" name="P/B" queryTableFieldId="45" dataDxfId="125"/>
    <tableColumn id="10" xr3:uid="{0316F646-5D0C-4D89-BBE5-559FC2836E25}" uniqueName="10" name="ROE" queryTableFieldId="10"/>
    <tableColumn id="11" xr3:uid="{4F083877-E4AF-420C-949F-710C1B627C04}" uniqueName="11" name="ROA" queryTableFieldId="11"/>
    <tableColumn id="13" xr3:uid="{57B80CA9-D107-4FD7-B08F-B230D181D163}" uniqueName="13" name="A/E" queryTableFieldId="13"/>
    <tableColumn id="12" xr3:uid="{CC835683-DCE2-4109-80DD-DE5E7A99A2F4}" uniqueName="12" name="P/E" queryTableFieldId="12" dataDxfId="124"/>
    <tableColumn id="14" xr3:uid="{748A606C-A5FD-438C-807A-2C5137C87528}" uniqueName="14" name="Preliminary Criteria" queryTableFieldId="27">
      <calculatedColumnFormula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calculatedColumnFormula>
    </tableColumn>
    <tableColumn id="15" xr3:uid="{8DBD4B33-6A20-4DEB-9596-BEAEA7FCD5C6}" uniqueName="15" name="P/FCF Z-Score" queryTableFieldId="28" dataDxfId="123">
      <calculatedColumnFormula>(Main_M[[#This Row],[P/FCF]]-VLOOKUP(Main_M[[#This Row],[Industry]], Mean_PFCF_M, 2, FALSE))/(VLOOKUP(Main_M[[#This Row],[Industry]], Mean_PFCF_M, 3, FALSE))</calculatedColumnFormula>
    </tableColumn>
    <tableColumn id="16" xr3:uid="{9E97918F-BB4B-4F88-A428-5A1A279239B2}" uniqueName="16" name="P/B Z-Score" queryTableFieldId="29" dataDxfId="122">
      <calculatedColumnFormula>(Main_M[[#This Row],[P/B]]-VLOOKUP(Main_M[[#This Row],[Industry]], Mean_PB_M, 2, FALSE))/(VLOOKUP(Main_M[[#This Row],[Industry]], Mean_PB_M, 3, FALSE))</calculatedColumnFormula>
    </tableColumn>
    <tableColumn id="17" xr3:uid="{11EE28ED-72CA-481E-B33F-2CF1EB757823}" uniqueName="17" name="ROE Z-Score" queryTableFieldId="30" dataDxfId="121">
      <calculatedColumnFormula>(Main_M[[#This Row],[ROE]]-VLOOKUP(Main_M[[#This Row],[Industry]], Mean_ROE_M, 2, FALSE))/(VLOOKUP(Main_M[[#This Row],[Industry]], Mean_ROE_M, 3, FALSE))</calculatedColumnFormula>
    </tableColumn>
    <tableColumn id="18" xr3:uid="{635EB97C-188F-4205-9857-00D3D350B32D}" uniqueName="18" name="ROA Z-Score" queryTableFieldId="31" dataDxfId="120">
      <calculatedColumnFormula>(Main_M[[#This Row],[ROA]]-VLOOKUP(Main_M[[#This Row],[Industry]], Mean_ROA_M, 2, FALSE))/(VLOOKUP(Main_M[[#This Row],[Industry]], Mean_ROA_M, 3, FALSE))</calculatedColumnFormula>
    </tableColumn>
    <tableColumn id="20" xr3:uid="{118AB99B-E87A-4721-99E0-5041A9ACACB5}" uniqueName="20" name="A/E Z-Score" queryTableFieldId="33" dataDxfId="119">
      <calculatedColumnFormula>(Main_M[[#This Row],[A/E]]-VLOOKUP(Main_M[[#This Row],[Industry]], Mean_AE_M, 2, FALSE))/(VLOOKUP(Main_M[[#This Row],[Industry]], Mean_AE_M, 3, FALSE))</calculatedColumnFormula>
    </tableColumn>
    <tableColumn id="19" xr3:uid="{27A37C9A-3957-4ABD-BA38-E258FE504892}" uniqueName="19" name="P/E Z-Score" queryTableFieldId="32" dataDxfId="118">
      <calculatedColumnFormula>(Main_M[[#This Row],[P/E]]-VLOOKUP(Main_M[[#This Row],[Industry]], Mean_PE_M, 2, FALSE))/(VLOOKUP(Main_M[[#This Row],[Industry]], Mean_PE_M, 3, FALSE))</calculatedColumnFormula>
    </tableColumn>
    <tableColumn id="21" xr3:uid="{1219C7A9-AB23-4567-8019-077342A2D565}" uniqueName="21" name="P/FCF Outlier" queryTableFieldId="34">
      <calculatedColumnFormula>IF(OR(Main_M[[#This Row],[P/FCF]]&lt;_xlfn.XLOOKUP(Main_M[[#This Row],[Industry]], Quartile_M[Industry], Quartile_M[P/FCF LB]), Main_M[[#This Row],[P/FCF]]&gt;_xlfn.XLOOKUP(Main_M[[#This Row],[Industry]], Quartile_M[Industry], Quartile_M[P/FCF UB])), "Yes", "No")</calculatedColumnFormula>
    </tableColumn>
    <tableColumn id="22" xr3:uid="{81369071-E61A-45A3-8DA9-A692581BA198}" uniqueName="22" name="P/B Outlier" queryTableFieldId="35">
      <calculatedColumnFormula>IF(OR(Main_M[[#This Row],[P/B]]&lt;_xlfn.XLOOKUP(Main_M[[#This Row],[Industry]],Quartile_M[Industry],Quartile_M[P/B LB]),Main_M[[#This Row],[P/B]]&gt;_xlfn.XLOOKUP(Main_M[[#This Row],[Industry]],Quartile_M[Industry],Quartile_M[P/B UB])),"Yes","No")</calculatedColumnFormula>
    </tableColumn>
    <tableColumn id="23" xr3:uid="{CDA4E768-55A6-4FC5-8A2D-99FE07B7A7F3}" uniqueName="23" name="ROE Outlier" queryTableFieldId="36">
      <calculatedColumnFormula>IF(OR(Main_M[[#This Row],[ROA]]&lt;_xlfn.XLOOKUP(Main_M[[#This Row],[Industry]],Quartile_M[Industry],Quartile_M[ROA LB]),Main_M[[#This Row],[ROA]]&gt;_xlfn.XLOOKUP(Main_M[[#This Row],[Industry]],Quartile_M[Industry],Quartile_M[ROA UB])),"Yes","No")</calculatedColumnFormula>
    </tableColumn>
    <tableColumn id="24" xr3:uid="{7828AE38-C299-4609-816E-49E350A922CB}" uniqueName="24" name="ROA Outlier" queryTableFieldId="37">
      <calculatedColumnFormula>IF(OR(Main_M[[#This Row],[ROE]]&lt;_xlfn.XLOOKUP(Main_M[[#This Row],[Industry]],Quartile_M[Industry],Quartile_M[ROE LB]),Main_M[[#This Row],[ROE]]&gt;_xlfn.XLOOKUP(Main_M[[#This Row],[Industry]],Quartile_M[Industry],Quartile_M[ROE UB])),"Yes","No")</calculatedColumnFormula>
    </tableColumn>
    <tableColumn id="26" xr3:uid="{A06F209E-A224-4F74-8C3C-CAB1CB61E937}" uniqueName="26" name="A/E Outlier" queryTableFieldId="39">
      <calculatedColumnFormula>IF(OR(Main_M[[#This Row],[A/E]]&lt;_xlfn.XLOOKUP(Main_M[[#This Row],[Industry]],Quartile_M[Industry],Quartile_M[A/E LB]),Main_M[[#This Row],[A/E]]&gt;_xlfn.XLOOKUP(Main_M[[#This Row],[Industry]],Quartile_M[Industry],Quartile_M[A/E UB])),"Yes","No")</calculatedColumnFormula>
    </tableColumn>
    <tableColumn id="25" xr3:uid="{956CA899-4888-4E58-AFBD-20889570CED8}" uniqueName="25" name="P/E Outlier" queryTableFieldId="38">
      <calculatedColumnFormula>IF(OR(Main_M[[#This Row],[P/E]]&lt;_xlfn.XLOOKUP(Main_M[[#This Row],[Industry]],Quartile_M[Industry],Quartile_M[P/E LB]),Main_M[[#This Row],[P/E]]&gt;_xlfn.XLOOKUP(Main_M[[#This Row],[Industry]],Quartile_M[Industry],Quartile_M[P/E UB])),"Yes","No")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E7CBD96-9DC7-4F09-9B11-F8C87451A82B}" name="Main_S" displayName="Main_S" ref="A1:Z19" tableType="queryTable" totalsRowShown="0">
  <autoFilter ref="A1:Z19" xr:uid="{DE7CBD96-9DC7-4F09-9B11-F8C87451A82B}"/>
  <sortState xmlns:xlrd2="http://schemas.microsoft.com/office/spreadsheetml/2017/richdata2" ref="A2:Z19">
    <sortCondition ref="A1:A19"/>
  </sortState>
  <tableColumns count="26">
    <tableColumn id="1" xr3:uid="{261FC5A1-AB9E-4068-9D87-D85D75FE0DD5}" uniqueName="1" name="Industry" queryTableFieldId="1" dataDxfId="142"/>
    <tableColumn id="2" xr3:uid="{4D1C6415-A4DE-450C-A6A0-32BD8F91DEB2}" uniqueName="2" name="Symbol" queryTableFieldId="2" dataDxfId="141"/>
    <tableColumn id="3" xr3:uid="{1913483F-1018-45E5-BBAD-415B97CDE58A}" uniqueName="3" name="Market Cap (M)" queryTableFieldId="43" dataDxfId="117"/>
    <tableColumn id="4" xr3:uid="{7E1635D0-4161-41FC-8D5D-5E03248D8D6C}" uniqueName="4" name="Current Price" queryTableFieldId="4"/>
    <tableColumn id="5" xr3:uid="{BFCEC97F-F42F-47E0-AE26-1709930A540B}" uniqueName="5" name="Free CF" queryTableFieldId="5"/>
    <tableColumn id="6" xr3:uid="{BCF39D81-8D8C-4AD8-9282-1C38028E3882}" uniqueName="6" name="BVPS" queryTableFieldId="6"/>
    <tableColumn id="7" xr3:uid="{EA83C4F8-920B-446E-81C2-B27D7026DC52}" uniqueName="7" name="EPS" queryTableFieldId="7"/>
    <tableColumn id="8" xr3:uid="{8E353476-C9B7-45A7-9139-76A9351BCA3B}" uniqueName="8" name="P/FCF" queryTableFieldId="8" dataDxfId="116"/>
    <tableColumn id="9" xr3:uid="{A85952D4-A3AB-4C1A-90DC-2E32ECE72481}" uniqueName="9" name="P/B" queryTableFieldId="45" dataDxfId="115"/>
    <tableColumn id="10" xr3:uid="{01C97A02-D515-4709-AAB2-49B06E62230D}" uniqueName="10" name="ROE" queryTableFieldId="10"/>
    <tableColumn id="11" xr3:uid="{94550A35-0E2A-4175-B54D-9D47C831DD48}" uniqueName="11" name="ROA" queryTableFieldId="11"/>
    <tableColumn id="13" xr3:uid="{94B8BA82-09F9-47C7-85B4-949FB0DF2A91}" uniqueName="13" name="A/E" queryTableFieldId="13"/>
    <tableColumn id="12" xr3:uid="{09F2AC5A-FBF9-4E80-AA6A-45689E659B60}" uniqueName="12" name="P/E" queryTableFieldId="12" dataDxfId="114"/>
    <tableColumn id="14" xr3:uid="{75658179-B2A8-47DA-8E22-05CB7BD8FE28}" uniqueName="14" name="Preliminary Criteria" queryTableFieldId="27">
      <calculatedColumnFormula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calculatedColumnFormula>
    </tableColumn>
    <tableColumn id="15" xr3:uid="{AE789B69-7955-4C5D-B0D8-BE506B154C66}" uniqueName="15" name="P/FCF Z-Score" queryTableFieldId="28" dataDxfId="113">
      <calculatedColumnFormula>(Main_S[[#This Row],[P/FCF]]-VLOOKUP(Main_S[[#This Row],[Industry]], Mean_PFCF_S, 2, FALSE))/(VLOOKUP(Main_S[[#This Row],[Industry]], Mean_PFCF_S, 3, FALSE))</calculatedColumnFormula>
    </tableColumn>
    <tableColumn id="16" xr3:uid="{6292DB1C-BF6D-4741-96E6-E3A145286F0A}" uniqueName="16" name="P/B Z-Score" queryTableFieldId="29" dataDxfId="112">
      <calculatedColumnFormula>(Main_S[[#This Row],[P/B]]-VLOOKUP(Main_S[[#This Row],[Industry]], Mean_PB_S, 2, FALSE))/(VLOOKUP(Main_S[[#This Row],[Industry]], Mean_PB_S, 3, FALSE))</calculatedColumnFormula>
    </tableColumn>
    <tableColumn id="17" xr3:uid="{DC5AB4EF-1E9A-4D34-B743-84444CD7A0DD}" uniqueName="17" name="ROE Z-Score" queryTableFieldId="30" dataDxfId="111">
      <calculatedColumnFormula>(Main_S[[#This Row],[ROE]]-VLOOKUP(Main_S[[#This Row],[Industry]], Mean_ROE_S, 2, FALSE))/(VLOOKUP(Main_S[[#This Row],[Industry]], Mean_ROE_S, 3, FALSE))</calculatedColumnFormula>
    </tableColumn>
    <tableColumn id="18" xr3:uid="{F8312DD8-C161-4C81-B590-85BC95BC6C2A}" uniqueName="18" name="ROA Z-Score" queryTableFieldId="31" dataDxfId="110">
      <calculatedColumnFormula>(Main_S[[#This Row],[ROA]]-VLOOKUP(Main_S[[#This Row],[Industry]], Mean_ROA_S, 2, FALSE))/(VLOOKUP(Main_S[[#This Row],[Industry]], Mean_ROA_S, 3, FALSE))</calculatedColumnFormula>
    </tableColumn>
    <tableColumn id="20" xr3:uid="{B2499DBE-D709-4AF4-AD2E-3CBB0EB50568}" uniqueName="20" name="A/E Z-Score" queryTableFieldId="33" dataDxfId="109">
      <calculatedColumnFormula>(Main_S[[#This Row],[A/E]]-VLOOKUP(Main_S[[#This Row],[Industry]], Mean_AE_S, 2, FALSE))/(VLOOKUP(Main_S[[#This Row],[Industry]], Mean_AE_S, 3, FALSE))</calculatedColumnFormula>
    </tableColumn>
    <tableColumn id="19" xr3:uid="{9CD668E1-B037-4423-81E4-CD131B72FC22}" uniqueName="19" name="P/E Z-Score" queryTableFieldId="32" dataDxfId="108">
      <calculatedColumnFormula>(Main_S[[#This Row],[P/E]]-VLOOKUP(Main_S[[#This Row],[Industry]], Mean_PE_S, 2, FALSE))/(VLOOKUP(Main_S[[#This Row],[Industry]], Mean_PE_S, 3, FALSE))</calculatedColumnFormula>
    </tableColumn>
    <tableColumn id="21" xr3:uid="{4B9DCA2A-2DD7-47E5-BE49-5397A59B85D5}" uniqueName="21" name="P/FCF Outlier" queryTableFieldId="34">
      <calculatedColumnFormula>IF(OR(Main_S[[#This Row],[P/FCF]]&lt;_xlfn.XLOOKUP(Main_S[[#This Row],[Industry]], Quartile_S[Industry], Quartile_S[P/FCF LB]), Main_S[[#This Row],[P/FCF]]&gt;_xlfn.XLOOKUP(Main_S[[#This Row],[Industry]], Quartile_S[Industry], Quartile_S[P/FCF UB])), "Yes", "No")</calculatedColumnFormula>
    </tableColumn>
    <tableColumn id="22" xr3:uid="{D6112E0B-D69F-47CE-948E-32CCD6C1EB14}" uniqueName="22" name="P/B Outlier" queryTableFieldId="35">
      <calculatedColumnFormula>IF(OR(Main_S[[#This Row],[P/B]]&lt;_xlfn.XLOOKUP(Main_S[[#This Row],[Industry]],Quartile_S[Industry],Quartile_S[P/B LB]),Main_S[[#This Row],[P/B]]&gt;_xlfn.XLOOKUP(Main_S[[#This Row],[Industry]],Quartile_S[Industry],Quartile_S[P/B UB])),"Yes","No")</calculatedColumnFormula>
    </tableColumn>
    <tableColumn id="23" xr3:uid="{70FBC285-BF41-49BB-887F-AFB1C19C5B62}" uniqueName="23" name="ROE Outlier" queryTableFieldId="36">
      <calculatedColumnFormula>IF(OR(Main_S[[#This Row],[ROE]]&lt;_xlfn.XLOOKUP(Main_S[[#This Row],[Industry]],Quartile_S[Industry],Quartile_S[ROE LB]),Main_S[[#This Row],[ROE]]&gt;_xlfn.XLOOKUP(Main_S[[#This Row],[Industry]],Quartile_S[Industry],Quartile_S[ROE UB])),"Yes","No")</calculatedColumnFormula>
    </tableColumn>
    <tableColumn id="24" xr3:uid="{C8DF68EE-BC04-4A1D-8CE7-C9115FA2FA9C}" uniqueName="24" name="ROA Outlier" queryTableFieldId="37">
      <calculatedColumnFormula>IF(OR(Main_S[[#This Row],[ROA]]&lt;_xlfn.XLOOKUP(Main_S[[#This Row],[Industry]],Quartile_S[Industry],Quartile_S[ROA LB]),Main_S[[#This Row],[ROA]]&gt;_xlfn.XLOOKUP(Main_S[[#This Row],[Industry]],Quartile_S[Industry],Quartile_S[ROA UB])),"Yes","No")</calculatedColumnFormula>
    </tableColumn>
    <tableColumn id="26" xr3:uid="{CAEB1F13-C76E-4164-AE70-884EC5A28B82}" uniqueName="26" name="A/E Outlier" queryTableFieldId="39">
      <calculatedColumnFormula>IF(OR(Main_S[[#This Row],[A/E]]&lt;_xlfn.XLOOKUP(Main_S[[#This Row],[Industry]],Quartile_S[Industry],Quartile_S[A/E LB]),Main_S[[#This Row],[A/E]]&gt;_xlfn.XLOOKUP(Main_S[[#This Row],[Industry]],Quartile_S[Industry],Quartile_S[A/E UB])),"Yes","No")</calculatedColumnFormula>
    </tableColumn>
    <tableColumn id="25" xr3:uid="{0C4DC875-A443-4C26-8D18-71F5BA699597}" uniqueName="25" name="P/E Outlier" queryTableFieldId="38">
      <calculatedColumnFormula>IF(OR(Main_S[[#This Row],[P/E]]&lt;_xlfn.XLOOKUP(Main_S[[#This Row],[Industry]],Quartile_S[Industry],Quartile_S[P/E LB]),Main_S[[#This Row],[P/E]]&gt;_xlfn.XLOOKUP(Main_S[[#This Row],[Industry]],Quartile_S[Industry],Quartile_S[P/E UB])),"Yes","No")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08F30B-5B6A-425F-B235-3500A3319B88}" name="Quartile_L" displayName="Quartile_L" ref="A2:Y7" tableType="queryTable" totalsRowShown="0">
  <autoFilter ref="A2:Y7" xr:uid="{CF08F30B-5B6A-425F-B235-3500A3319B88}"/>
  <tableColumns count="25">
    <tableColumn id="1" xr3:uid="{FD842081-B64F-4301-AA21-FB7B05A836D4}" uniqueName="1" name="Industry" queryTableFieldId="1" dataDxfId="140"/>
    <tableColumn id="2" xr3:uid="{E59C1D9B-F213-4C25-84A0-0FA886F9704F}" uniqueName="2" name="P/FCF Q1" queryTableFieldId="2" dataDxfId="23"/>
    <tableColumn id="3" xr3:uid="{04B713EC-FD8B-48E2-A2D2-C366A9A339B7}" uniqueName="3" name="P/FCF Q3" queryTableFieldId="3" dataDxfId="22"/>
    <tableColumn id="4" xr3:uid="{9DCEA951-E29F-4D9E-B9F0-5DC32A557DF0}" uniqueName="4" name="P/FCF LB" queryTableFieldId="4" dataDxfId="21"/>
    <tableColumn id="5" xr3:uid="{C2B6F391-AB27-4C2B-B68A-D2B47E1AA772}" uniqueName="5" name="P/FCF UB" queryTableFieldId="5" dataDxfId="20"/>
    <tableColumn id="6" xr3:uid="{1FD6B89C-F582-4857-A32F-326E69C5DFFD}" uniqueName="6" name="P/B Q1" queryTableFieldId="6" dataDxfId="19"/>
    <tableColumn id="7" xr3:uid="{A3697E12-D8D4-4284-AE2B-01C3BA154C99}" uniqueName="7" name="P/B Q3" queryTableFieldId="7" dataDxfId="18"/>
    <tableColumn id="8" xr3:uid="{A270BB2A-00C0-4246-AFBA-EDE9D5F40C76}" uniqueName="8" name="P/B LB" queryTableFieldId="8" dataDxfId="17"/>
    <tableColumn id="9" xr3:uid="{F99BB669-75E9-428A-88A3-E037E705383F}" uniqueName="9" name="P/B UB" queryTableFieldId="9" dataDxfId="16"/>
    <tableColumn id="10" xr3:uid="{D3A49932-F6DE-43A8-B449-B1C4E41499CF}" uniqueName="10" name="ROE Q1" queryTableFieldId="10" dataDxfId="15"/>
    <tableColumn id="11" xr3:uid="{BD8F2597-7442-49AD-BA3A-A3F29A6E60DD}" uniqueName="11" name="ROE Q3" queryTableFieldId="11" dataDxfId="14"/>
    <tableColumn id="12" xr3:uid="{3B29ED46-D0C8-4AF8-BFC0-41462C6C29EB}" uniqueName="12" name="ROE LB" queryTableFieldId="12" dataDxfId="13"/>
    <tableColumn id="13" xr3:uid="{F62F045D-EA3F-4608-85C5-21D743180D21}" uniqueName="13" name="ROE UB" queryTableFieldId="13" dataDxfId="12"/>
    <tableColumn id="14" xr3:uid="{9D898AB4-6F4D-4D03-BA61-39B91E78C9C6}" uniqueName="14" name="ROA Q1" queryTableFieldId="14" dataDxfId="11"/>
    <tableColumn id="15" xr3:uid="{2D1DFB04-09CE-4BEC-AD50-26246811DCDA}" uniqueName="15" name="ROA Q3" queryTableFieldId="15" dataDxfId="10"/>
    <tableColumn id="16" xr3:uid="{753F114C-61F5-4444-9EB0-76DCEA7F1F1B}" uniqueName="16" name="ROA LB" queryTableFieldId="16" dataDxfId="9"/>
    <tableColumn id="17" xr3:uid="{AA60DB6D-6DE2-4BF0-A375-18A578568BBF}" uniqueName="17" name="ROA UB" queryTableFieldId="17" dataDxfId="8"/>
    <tableColumn id="18" xr3:uid="{5357CEC7-DB8C-48BE-BDAD-FCBB1FB43389}" uniqueName="18" name="P/E Q1" queryTableFieldId="18" dataDxfId="7"/>
    <tableColumn id="19" xr3:uid="{C18FE8DB-95D8-42EC-BC42-C15678D7CE64}" uniqueName="19" name="P/E Q3" queryTableFieldId="19" dataDxfId="6"/>
    <tableColumn id="20" xr3:uid="{B7040099-49E4-464B-9BD8-1326A00D0599}" uniqueName="20" name="P/E LB" queryTableFieldId="20" dataDxfId="5"/>
    <tableColumn id="21" xr3:uid="{E8713F96-91B8-41CB-AA45-CCA61FACA752}" uniqueName="21" name="P/E UB" queryTableFieldId="21" dataDxfId="4"/>
    <tableColumn id="22" xr3:uid="{91693169-B783-4EDC-94CF-D23F08159B62}" uniqueName="22" name="A/E Q1" queryTableFieldId="22" dataDxfId="3"/>
    <tableColumn id="23" xr3:uid="{F98A9AC1-1CAF-483B-A342-F3A466AEB043}" uniqueName="23" name="A/E Q3" queryTableFieldId="23" dataDxfId="2"/>
    <tableColumn id="24" xr3:uid="{04D140EC-A8E6-4894-B430-208F20D411DB}" uniqueName="24" name="A/E LB" queryTableFieldId="24" dataDxfId="1"/>
    <tableColumn id="25" xr3:uid="{3E6CFD0C-10B0-4D91-A289-A353306CC102}" uniqueName="25" name="A/E UB" queryTableFieldId="25" dataDxfId="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F54F15-11E6-4F5B-BF51-37096268E20C}" name="Quartile_M" displayName="Quartile_M" ref="A11:Y16" tableType="queryTable" totalsRowShown="0">
  <autoFilter ref="A11:Y16" xr:uid="{89F54F15-11E6-4F5B-BF51-37096268E20C}"/>
  <tableColumns count="25">
    <tableColumn id="1" xr3:uid="{1DD86F6C-5649-4964-82C3-51A7F8B44C8D}" uniqueName="1" name="Industry" queryTableFieldId="1" dataDxfId="139"/>
    <tableColumn id="2" xr3:uid="{E9710093-0C0E-47F6-BA82-6DF1689DE3FF}" uniqueName="2" name="P/FCF Q1" queryTableFieldId="2" dataDxfId="83"/>
    <tableColumn id="3" xr3:uid="{BB549C0D-7552-41A2-B049-C1E0C569FC5B}" uniqueName="3" name="P/FCF Q3" queryTableFieldId="3" dataDxfId="82"/>
    <tableColumn id="4" xr3:uid="{F8874757-4F98-4408-A256-B3DBB97E40A5}" uniqueName="4" name="P/FCF LB" queryTableFieldId="4" dataDxfId="81"/>
    <tableColumn id="5" xr3:uid="{7F92E8F9-91DF-48EA-A8F2-F3E13D8104D3}" uniqueName="5" name="P/FCF UB" queryTableFieldId="5" dataDxfId="80"/>
    <tableColumn id="6" xr3:uid="{837AC52A-2B15-4BFB-A555-2456F010C7C9}" uniqueName="6" name="P/B Q1" queryTableFieldId="6" dataDxfId="79"/>
    <tableColumn id="7" xr3:uid="{C672A3A3-8D6C-4E08-B6E3-1D85CD510A41}" uniqueName="7" name="P/B Q3" queryTableFieldId="7" dataDxfId="78"/>
    <tableColumn id="8" xr3:uid="{47FBFC34-1D36-49FE-8583-28072989EA1C}" uniqueName="8" name="P/B LB" queryTableFieldId="8" dataDxfId="77"/>
    <tableColumn id="9" xr3:uid="{98DADD72-A76B-4DE4-AB34-515EBE2E4A04}" uniqueName="9" name="P/B UB" queryTableFieldId="9" dataDxfId="76"/>
    <tableColumn id="10" xr3:uid="{C06AFB5F-1921-4B19-AFA7-04514BD3BC35}" uniqueName="10" name="ROE Q1" queryTableFieldId="10" dataDxfId="75"/>
    <tableColumn id="11" xr3:uid="{38FF7E38-2AC1-4486-B824-BCBE4156ADA7}" uniqueName="11" name="ROE Q3" queryTableFieldId="11" dataDxfId="74"/>
    <tableColumn id="12" xr3:uid="{1BBD6DC1-3C0C-48AF-9986-81D1F4A26368}" uniqueName="12" name="ROE LB" queryTableFieldId="12" dataDxfId="73"/>
    <tableColumn id="13" xr3:uid="{5775303C-3550-4762-86D0-7A82C106A3F0}" uniqueName="13" name="ROE UB" queryTableFieldId="13" dataDxfId="72"/>
    <tableColumn id="14" xr3:uid="{9FE06177-2E94-4066-A65B-77414C97B4DC}" uniqueName="14" name="ROA Q1" queryTableFieldId="14" dataDxfId="71"/>
    <tableColumn id="15" xr3:uid="{386179E5-15F0-4AED-9E0C-1EB211C80CEE}" uniqueName="15" name="ROA Q3" queryTableFieldId="15" dataDxfId="70"/>
    <tableColumn id="16" xr3:uid="{C7DC1506-2223-42A0-AC4B-68B0E14D2B9D}" uniqueName="16" name="ROA LB" queryTableFieldId="16" dataDxfId="69"/>
    <tableColumn id="17" xr3:uid="{C45AE1E6-1326-44B3-972F-838B081A78FC}" uniqueName="17" name="ROA UB" queryTableFieldId="17" dataDxfId="68"/>
    <tableColumn id="18" xr3:uid="{17D85B47-F40C-47C3-996F-C47242CFB7D2}" uniqueName="18" name="P/E Q1" queryTableFieldId="18" dataDxfId="67"/>
    <tableColumn id="19" xr3:uid="{44248722-1EBA-4DF8-B99D-B6B2F31E253B}" uniqueName="19" name="P/E Q3" queryTableFieldId="19" dataDxfId="66"/>
    <tableColumn id="20" xr3:uid="{93299C7A-5544-43AE-ACC5-72F0CB129F08}" uniqueName="20" name="P/E LB" queryTableFieldId="20" dataDxfId="65"/>
    <tableColumn id="21" xr3:uid="{3E027012-2DA9-4754-8880-25FEEDEFA94A}" uniqueName="21" name="P/E UB" queryTableFieldId="21" dataDxfId="64"/>
    <tableColumn id="22" xr3:uid="{FF2638EF-6EA0-401C-B7D8-A2BC49ECD2B0}" uniqueName="22" name="A/E Q1" queryTableFieldId="22" dataDxfId="63"/>
    <tableColumn id="23" xr3:uid="{546FB46A-BFEC-4020-A8E1-97073EBE991F}" uniqueName="23" name="A/E Q3" queryTableFieldId="23" dataDxfId="62"/>
    <tableColumn id="24" xr3:uid="{41F03CE5-975A-469D-B609-D8C5D8D172FA}" uniqueName="24" name="A/E LB" queryTableFieldId="24" dataDxfId="61"/>
    <tableColumn id="25" xr3:uid="{1863137D-3C8C-4A15-9A63-5E253392AFAD}" uniqueName="25" name="A/E UB" queryTableFieldId="25" dataDxfId="6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F689D08-98E7-4B08-8D8B-630159DED978}" name="Quartile_S" displayName="Quartile_S" ref="A20:Y25" tableType="queryTable" totalsRowShown="0">
  <autoFilter ref="A20:Y25" xr:uid="{CF689D08-98E7-4B08-8D8B-630159DED978}"/>
  <tableColumns count="25">
    <tableColumn id="1" xr3:uid="{1B5FE8EC-4B8C-444E-96DC-3618818E7D45}" uniqueName="1" name="Industry" queryTableFieldId="1" dataDxfId="138"/>
    <tableColumn id="2" xr3:uid="{0E20A80F-BE74-42F8-83EF-419A13269CF8}" uniqueName="2" name="P/FCF Q1" queryTableFieldId="2" dataDxfId="107"/>
    <tableColumn id="3" xr3:uid="{6D66145B-6613-41BC-8233-7356853CCFEF}" uniqueName="3" name="P/FCF Q3" queryTableFieldId="3" dataDxfId="106"/>
    <tableColumn id="4" xr3:uid="{90A69125-3CA2-4D0A-8F1A-65993DFA9D46}" uniqueName="4" name="P/FCF LB" queryTableFieldId="4" dataDxfId="105"/>
    <tableColumn id="5" xr3:uid="{BED6E3D4-DC60-428F-B5E8-4C3C64096FD7}" uniqueName="5" name="P/FCF UB" queryTableFieldId="5" dataDxfId="104"/>
    <tableColumn id="6" xr3:uid="{FC33B186-B76E-4D86-8EBD-E25B773D256E}" uniqueName="6" name="P/B Q1" queryTableFieldId="6" dataDxfId="103"/>
    <tableColumn id="7" xr3:uid="{D82D1432-7C03-4449-BD2D-F895D50A5F32}" uniqueName="7" name="P/B Q3" queryTableFieldId="7" dataDxfId="102"/>
    <tableColumn id="8" xr3:uid="{D3389429-24FB-4947-AACF-CAA92D678F94}" uniqueName="8" name="P/B LB" queryTableFieldId="8" dataDxfId="101"/>
    <tableColumn id="9" xr3:uid="{452E932D-DD5B-4C62-A8B3-25C90C8C7751}" uniqueName="9" name="P/B UB" queryTableFieldId="9" dataDxfId="100"/>
    <tableColumn id="10" xr3:uid="{99E11285-9679-47B1-9540-1BD10239596C}" uniqueName="10" name="ROE Q1" queryTableFieldId="10" dataDxfId="99"/>
    <tableColumn id="11" xr3:uid="{B4F1825A-C678-4C01-BB96-B04FAB1938BD}" uniqueName="11" name="ROE Q3" queryTableFieldId="11" dataDxfId="98"/>
    <tableColumn id="12" xr3:uid="{9F07026D-928C-42B1-8DD2-9BD3176C8B6A}" uniqueName="12" name="ROE LB" queryTableFieldId="12" dataDxfId="97"/>
    <tableColumn id="13" xr3:uid="{47360B1B-7AC4-49FA-9F18-2F1F1B72CA28}" uniqueName="13" name="ROE UB" queryTableFieldId="13" dataDxfId="96"/>
    <tableColumn id="14" xr3:uid="{58B0248D-BCFF-4737-ADF5-EE087C03D561}" uniqueName="14" name="ROA Q1" queryTableFieldId="14" dataDxfId="95"/>
    <tableColumn id="15" xr3:uid="{CCD6E6AE-6BBB-4675-8C50-0F87AF280A3C}" uniqueName="15" name="ROA Q3" queryTableFieldId="15" dataDxfId="94"/>
    <tableColumn id="16" xr3:uid="{BB86731C-A605-4988-A848-B35835CAF73E}" uniqueName="16" name="ROA LB" queryTableFieldId="16" dataDxfId="93"/>
    <tableColumn id="17" xr3:uid="{9760AC7A-70E9-4457-8DC8-4BDA6646C74E}" uniqueName="17" name="ROA UB" queryTableFieldId="17" dataDxfId="92"/>
    <tableColumn id="18" xr3:uid="{931D5CA9-41B9-424B-87E6-FA364034B249}" uniqueName="18" name="P/E Q1" queryTableFieldId="18" dataDxfId="91"/>
    <tableColumn id="19" xr3:uid="{23E1DD3D-5F02-4A6D-9773-5EA3466661AF}" uniqueName="19" name="P/E Q3" queryTableFieldId="19" dataDxfId="90"/>
    <tableColumn id="20" xr3:uid="{478DC28A-5ACD-47E8-8720-6EEE2D43205B}" uniqueName="20" name="P/E LB" queryTableFieldId="20" dataDxfId="89"/>
    <tableColumn id="21" xr3:uid="{AC7D613F-0AC5-4542-BBED-886B4C332840}" uniqueName="21" name="P/E UB" queryTableFieldId="21" dataDxfId="88"/>
    <tableColumn id="22" xr3:uid="{1E3F527B-4B19-4D38-9A78-D4BBA95224B9}" uniqueName="22" name="A/E Q1" queryTableFieldId="22" dataDxfId="87"/>
    <tableColumn id="23" xr3:uid="{1256121C-1427-4F44-988A-E08E26F80A67}" uniqueName="23" name="A/E Q3" queryTableFieldId="23" dataDxfId="86"/>
    <tableColumn id="24" xr3:uid="{3F6A6F05-B80E-47C0-9039-80E1A481FF30}" uniqueName="24" name="A/E LB" queryTableFieldId="24" dataDxfId="85"/>
    <tableColumn id="25" xr3:uid="{08969B40-89DA-4EAE-925B-3C841EB86C63}" uniqueName="25" name="A/E UB" queryTableFieldId="25" dataDxfId="8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5" Type="http://schemas.openxmlformats.org/officeDocument/2006/relationships/pivotTable" Target="../pivotTables/pivotTable17.xml"/><Relationship Id="rId4" Type="http://schemas.openxmlformats.org/officeDocument/2006/relationships/pivotTable" Target="../pivotTables/pivotTable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16758-3ABF-45AA-95BE-571D40518C86}">
  <sheetPr codeName="Sheet1"/>
  <dimension ref="A1:A2"/>
  <sheetViews>
    <sheetView workbookViewId="0">
      <selection activeCell="A2" sqref="A2"/>
    </sheetView>
  </sheetViews>
  <sheetFormatPr defaultRowHeight="15" x14ac:dyDescent="0.25"/>
  <cols>
    <col min="1" max="1" width="38.42578125" bestFit="1" customWidth="1"/>
  </cols>
  <sheetData>
    <row r="1" spans="1:1" x14ac:dyDescent="0.25">
      <c r="A1" t="s">
        <v>70</v>
      </c>
    </row>
    <row r="2" spans="1:1" x14ac:dyDescent="0.25">
      <c r="A2" t="str" cm="1">
        <f t="array" aca="1" ref="A2" ca="1">LEFT(CELL("filename"),SEARCH("\M",CELL("filename")))</f>
        <v>D:\PROJECTS\Undervalued Stock Scanner\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EAB8-3883-4B73-9311-1CC6D851AC56}">
  <sheetPr codeName="Sheet2"/>
  <dimension ref="A1:Z39"/>
  <sheetViews>
    <sheetView workbookViewId="0">
      <selection activeCell="B24" sqref="B24"/>
    </sheetView>
  </sheetViews>
  <sheetFormatPr defaultRowHeight="15" x14ac:dyDescent="0.25"/>
  <cols>
    <col min="1" max="1" width="49.1406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1" width="7.140625" bestFit="1" customWidth="1"/>
    <col min="12" max="12" width="6.2851562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105</v>
      </c>
      <c r="B2" t="s">
        <v>106</v>
      </c>
      <c r="C2" s="2">
        <v>57415</v>
      </c>
      <c r="D2">
        <f>RTD("tos.rtd", , "LAST", Main_L[[#This Row],[Symbol]])</f>
        <v>99.56</v>
      </c>
      <c r="E2">
        <v>-2.58</v>
      </c>
      <c r="F2">
        <v>50.56</v>
      </c>
      <c r="G2">
        <v>5.58</v>
      </c>
      <c r="H2" s="1">
        <f>IF(ISNUMBER(Main_L[[#This Row],[Free CF]]),IF(Main_L[[#This Row],[Free CF]]&lt;&gt;0,Main_L[[#This Row],[Current Price]]/Main_L[[#This Row],[Free CF]],""),"")</f>
        <v>-38.589147286821706</v>
      </c>
      <c r="I2" s="1">
        <f>IF(ISNUMBER(Main_L[[#This Row],[BVPS]]),IF(Main_L[[#This Row],[BVPS]]&lt;&gt;0,Main_L[[#This Row],[Current Price]]/Main_L[[#This Row],[BVPS]],""),"")</f>
        <v>1.9691455696202531</v>
      </c>
      <c r="J2">
        <v>11.39</v>
      </c>
      <c r="K2">
        <v>2.86</v>
      </c>
      <c r="L2">
        <v>3.83</v>
      </c>
      <c r="M2" s="1">
        <f>IF(ISNUMBER(Main_L[[#This Row],[EPS]]),IF(Main_L[[#This Row],[EPS]]&lt;&gt;0,Main_L[[#This Row],[Current Price]]/Main_L[[#This Row],[EPS]],""),"")</f>
        <v>17.842293906810035</v>
      </c>
      <c r="N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" s="1">
        <f>(Main_L[[#This Row],[P/FCF]]-VLOOKUP(Main_L[[#This Row],[Industry]], Mean_PFCF_L, 2, FALSE))/(VLOOKUP(Main_L[[#This Row],[Industry]], Mean_PFCF_L, 3, FALSE))</f>
        <v>-1.3919481770125328</v>
      </c>
      <c r="P2" s="1">
        <f>(Main_L[[#This Row],[P/B]]-VLOOKUP(Main_L[[#This Row],[Industry]], Mean_PB_L, 2, FALSE))/(VLOOKUP(Main_L[[#This Row],[Industry]], Mean_PB_L, 3, FALSE))</f>
        <v>0.30052181295389668</v>
      </c>
      <c r="Q2" s="1">
        <f>(Main_L[[#This Row],[ROE]]-VLOOKUP(Main_L[[#This Row],[Industry]], Mean_ROE_L, 2, FALSE))/(VLOOKUP(Main_L[[#This Row],[Industry]], Mean_ROE_L, 3, FALSE))</f>
        <v>1.5910195852188636</v>
      </c>
      <c r="R2" s="1">
        <f>(Main_L[[#This Row],[ROA]]-VLOOKUP(Main_L[[#This Row],[Industry]], Mean_ROA_L, 2, FALSE))/(VLOOKUP(Main_L[[#This Row],[Industry]], Mean_ROA_L, 3, FALSE))</f>
        <v>0.28524720993937275</v>
      </c>
      <c r="S2" s="1">
        <f>(Main_L[[#This Row],[A/E]]-VLOOKUP(Main_L[[#This Row],[Industry]], Mean_AE_L, 2, FALSE))/(VLOOKUP(Main_L[[#This Row],[Industry]], Mean_AE_L, 3, FALSE))</f>
        <v>0.1275231444258712</v>
      </c>
      <c r="T2" s="1">
        <f>(Main_L[[#This Row],[P/E]]-VLOOKUP(Main_L[[#This Row],[Industry]], Mean_PE_L, 2, FALSE))/(VLOOKUP(Main_L[[#This Row],[Industry]], Mean_PE_L, 3, FALSE))</f>
        <v>-0.47075513024711713</v>
      </c>
      <c r="U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" spans="1:26" x14ac:dyDescent="0.25">
      <c r="A3" t="s">
        <v>105</v>
      </c>
      <c r="B3" t="s">
        <v>107</v>
      </c>
      <c r="C3" s="2">
        <v>84005</v>
      </c>
      <c r="D3">
        <f>RTD("tos.rtd", , "LAST", Main_L[[#This Row],[Symbol]])</f>
        <v>291.52</v>
      </c>
      <c r="E3">
        <v>-16.07</v>
      </c>
      <c r="F3">
        <v>42.06</v>
      </c>
      <c r="G3">
        <v>11.89</v>
      </c>
      <c r="H3" s="1">
        <f>IF(ISNUMBER(Main_L[[#This Row],[Free CF]]),IF(Main_L[[#This Row],[Free CF]]&lt;&gt;0,Main_L[[#This Row],[Current Price]]/Main_L[[#This Row],[Free CF]],""),"")</f>
        <v>-18.140634723086496</v>
      </c>
      <c r="I3" s="1">
        <f>IF(ISNUMBER(Main_L[[#This Row],[BVPS]]),IF(Main_L[[#This Row],[BVPS]]&lt;&gt;0,Main_L[[#This Row],[Current Price]]/Main_L[[#This Row],[BVPS]],""),"")</f>
        <v>6.9310508796956718</v>
      </c>
      <c r="J3">
        <v>30.12</v>
      </c>
      <c r="K3">
        <v>5.15</v>
      </c>
      <c r="L3">
        <v>4.0199999999999996</v>
      </c>
      <c r="M3" s="1">
        <f>IF(ISNUMBER(Main_L[[#This Row],[EPS]]),IF(Main_L[[#This Row],[EPS]]&lt;&gt;0,Main_L[[#This Row],[Current Price]]/Main_L[[#This Row],[EPS]],""),"")</f>
        <v>24.518082422203531</v>
      </c>
      <c r="N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" s="1">
        <f>(Main_L[[#This Row],[P/FCF]]-VLOOKUP(Main_L[[#This Row],[Industry]], Mean_PFCF_L, 2, FALSE))/(VLOOKUP(Main_L[[#This Row],[Industry]], Mean_PFCF_L, 3, FALSE))</f>
        <v>5.8257965716823158E-2</v>
      </c>
      <c r="P3" s="1">
        <f>(Main_L[[#This Row],[P/B]]-VLOOKUP(Main_L[[#This Row],[Industry]], Mean_PB_L, 2, FALSE))/(VLOOKUP(Main_L[[#This Row],[Industry]], Mean_PB_L, 3, FALSE))</f>
        <v>9.6289866308300098</v>
      </c>
      <c r="Q3" s="1">
        <f>(Main_L[[#This Row],[ROE]]-VLOOKUP(Main_L[[#This Row],[Industry]], Mean_ROE_L, 2, FALSE))/(VLOOKUP(Main_L[[#This Row],[Industry]], Mean_ROE_L, 3, FALSE))</f>
        <v>15.20600385987303</v>
      </c>
      <c r="R3" s="1">
        <f>(Main_L[[#This Row],[ROA]]-VLOOKUP(Main_L[[#This Row],[Industry]], Mean_ROA_L, 2, FALSE))/(VLOOKUP(Main_L[[#This Row],[Industry]], Mean_ROA_L, 3, FALSE))</f>
        <v>7.498676653927653</v>
      </c>
      <c r="S3" s="1">
        <f>(Main_L[[#This Row],[A/E]]-VLOOKUP(Main_L[[#This Row],[Industry]], Mean_AE_L, 2, FALSE))/(VLOOKUP(Main_L[[#This Row],[Industry]], Mean_AE_L, 3, FALSE))</f>
        <v>0.46514589565174452</v>
      </c>
      <c r="T3" s="1">
        <f>(Main_L[[#This Row],[P/E]]-VLOOKUP(Main_L[[#This Row],[Industry]], Mean_PE_L, 2, FALSE))/(VLOOKUP(Main_L[[#This Row],[Industry]], Mean_PE_L, 3, FALSE))</f>
        <v>0.70626841860951894</v>
      </c>
      <c r="U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" spans="1:26" x14ac:dyDescent="0.25">
      <c r="A4" t="s">
        <v>105</v>
      </c>
      <c r="B4" t="s">
        <v>108</v>
      </c>
      <c r="C4" s="2">
        <v>95263</v>
      </c>
      <c r="D4">
        <f>RTD("tos.rtd", , "LAST", Main_L[[#This Row],[Symbol]])</f>
        <v>113.07</v>
      </c>
      <c r="E4">
        <v>0.06</v>
      </c>
      <c r="F4">
        <v>63.34</v>
      </c>
      <c r="G4">
        <v>5.69</v>
      </c>
      <c r="H4" s="1">
        <f>IF(ISNUMBER(Main_L[[#This Row],[Free CF]]),IF(Main_L[[#This Row],[Free CF]]&lt;&gt;0,Main_L[[#This Row],[Current Price]]/Main_L[[#This Row],[Free CF]],""),"")</f>
        <v>1884.5</v>
      </c>
      <c r="I4" s="1">
        <f>IF(ISNUMBER(Main_L[[#This Row],[BVPS]]),IF(Main_L[[#This Row],[BVPS]]&lt;&gt;0,Main_L[[#This Row],[Current Price]]/Main_L[[#This Row],[BVPS]],""),"")</f>
        <v>1.785127881275655</v>
      </c>
      <c r="J4">
        <v>9.08</v>
      </c>
      <c r="K4">
        <v>2.73</v>
      </c>
      <c r="L4">
        <v>3.79</v>
      </c>
      <c r="M4" s="1">
        <f>IF(ISNUMBER(Main_L[[#This Row],[EPS]]),IF(Main_L[[#This Row],[EPS]]&lt;&gt;0,Main_L[[#This Row],[Current Price]]/Main_L[[#This Row],[EPS]],""),"")</f>
        <v>19.871704745166959</v>
      </c>
      <c r="N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" s="1">
        <f>(Main_L[[#This Row],[P/FCF]]-VLOOKUP(Main_L[[#This Row],[Industry]], Mean_PFCF_L, 2, FALSE))/(VLOOKUP(Main_L[[#This Row],[Industry]], Mean_PFCF_L, 3, FALSE))</f>
        <v>134.99331142164849</v>
      </c>
      <c r="P4" s="1">
        <f>(Main_L[[#This Row],[P/B]]-VLOOKUP(Main_L[[#This Row],[Industry]], Mean_PB_L, 2, FALSE))/(VLOOKUP(Main_L[[#This Row],[Industry]], Mean_PB_L, 3, FALSE))</f>
        <v>-4.5434513158135265E-2</v>
      </c>
      <c r="Q4" s="1">
        <f>(Main_L[[#This Row],[ROE]]-VLOOKUP(Main_L[[#This Row],[Industry]], Mean_ROE_L, 2, FALSE))/(VLOOKUP(Main_L[[#This Row],[Industry]], Mean_ROE_L, 3, FALSE))</f>
        <v>-8.8137578393049421E-2</v>
      </c>
      <c r="R4" s="1">
        <f>(Main_L[[#This Row],[ROA]]-VLOOKUP(Main_L[[#This Row],[Industry]], Mean_ROA_L, 2, FALSE))/(VLOOKUP(Main_L[[#This Row],[Industry]], Mean_ROA_L, 3, FALSE))</f>
        <v>-0.1242487846975161</v>
      </c>
      <c r="S4" s="1">
        <f>(Main_L[[#This Row],[A/E]]-VLOOKUP(Main_L[[#This Row],[Industry]], Mean_AE_L, 2, FALSE))/(VLOOKUP(Main_L[[#This Row],[Industry]], Mean_AE_L, 3, FALSE))</f>
        <v>5.6444670483581851E-2</v>
      </c>
      <c r="T4" s="1">
        <f>(Main_L[[#This Row],[P/E]]-VLOOKUP(Main_L[[#This Row],[Industry]], Mean_PE_L, 2, FALSE))/(VLOOKUP(Main_L[[#This Row],[Industry]], Mean_PE_L, 3, FALSE))</f>
        <v>-0.11294506158735659</v>
      </c>
      <c r="U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" spans="1:26" x14ac:dyDescent="0.25">
      <c r="A5" t="s">
        <v>105</v>
      </c>
      <c r="B5" t="s">
        <v>109</v>
      </c>
      <c r="C5" s="2">
        <v>16768</v>
      </c>
      <c r="D5">
        <f>RTD("tos.rtd", , "LAST", Main_L[[#This Row],[Symbol]])</f>
        <v>7.71</v>
      </c>
      <c r="E5">
        <v>0.64</v>
      </c>
      <c r="F5">
        <v>11.08</v>
      </c>
      <c r="G5">
        <v>0.74</v>
      </c>
      <c r="H5" s="1">
        <f>IF(ISNUMBER(Main_L[[#This Row],[Free CF]]),IF(Main_L[[#This Row],[Free CF]]&lt;&gt;0,Main_L[[#This Row],[Current Price]]/Main_L[[#This Row],[Free CF]],""),"")</f>
        <v>12.046875</v>
      </c>
      <c r="I5" s="1">
        <f>IF(ISNUMBER(Main_L[[#This Row],[BVPS]]),IF(Main_L[[#This Row],[BVPS]]&lt;&gt;0,Main_L[[#This Row],[Current Price]]/Main_L[[#This Row],[BVPS]],""),"")</f>
        <v>0.69584837545126355</v>
      </c>
      <c r="J5">
        <v>8.85</v>
      </c>
      <c r="K5">
        <v>2.85</v>
      </c>
      <c r="L5">
        <v>2.38</v>
      </c>
      <c r="M5" s="1">
        <f>IF(ISNUMBER(Main_L[[#This Row],[EPS]]),IF(Main_L[[#This Row],[EPS]]&lt;&gt;0,Main_L[[#This Row],[Current Price]]/Main_L[[#This Row],[EPS]],""),"")</f>
        <v>10.418918918918919</v>
      </c>
      <c r="N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" s="1">
        <f>(Main_L[[#This Row],[P/FCF]]-VLOOKUP(Main_L[[#This Row],[Industry]], Mean_PFCF_L, 2, FALSE))/(VLOOKUP(Main_L[[#This Row],[Industry]], Mean_PFCF_L, 3, FALSE))</f>
        <v>2.1991526590433828</v>
      </c>
      <c r="P5" s="1">
        <f>(Main_L[[#This Row],[P/B]]-VLOOKUP(Main_L[[#This Row],[Industry]], Mean_PB_L, 2, FALSE))/(VLOOKUP(Main_L[[#This Row],[Industry]], Mean_PB_L, 3, FALSE))</f>
        <v>-2.0932981687348011</v>
      </c>
      <c r="Q5" s="1">
        <f>(Main_L[[#This Row],[ROE]]-VLOOKUP(Main_L[[#This Row],[Industry]], Mean_ROE_L, 2, FALSE))/(VLOOKUP(Main_L[[#This Row],[Industry]], Mean_ROE_L, 3, FALSE))</f>
        <v>-0.25532638689120551</v>
      </c>
      <c r="R5" s="1">
        <f>(Main_L[[#This Row],[ROA]]-VLOOKUP(Main_L[[#This Row],[Industry]], Mean_ROA_L, 2, FALSE))/(VLOOKUP(Main_L[[#This Row],[Industry]], Mean_ROA_L, 3, FALSE))</f>
        <v>0.25374751804422813</v>
      </c>
      <c r="S5" s="1">
        <f>(Main_L[[#This Row],[A/E]]-VLOOKUP(Main_L[[#This Row],[Industry]], Mean_AE_L, 2, FALSE))/(VLOOKUP(Main_L[[#This Row],[Industry]], Mean_AE_L, 3, FALSE))</f>
        <v>-2.4490715359821165</v>
      </c>
      <c r="T5" s="1">
        <f>(Main_L[[#This Row],[P/E]]-VLOOKUP(Main_L[[#This Row],[Industry]], Mean_PE_L, 2, FALSE))/(VLOOKUP(Main_L[[#This Row],[Industry]], Mean_PE_L, 3, FALSE))</f>
        <v>-1.7795873607160251</v>
      </c>
      <c r="U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" spans="1:26" x14ac:dyDescent="0.25">
      <c r="A6" t="s">
        <v>105</v>
      </c>
      <c r="B6" t="s">
        <v>110</v>
      </c>
      <c r="C6" s="2">
        <v>21451</v>
      </c>
      <c r="D6">
        <f>RTD("tos.rtd", , "LAST", Main_L[[#This Row],[Symbol]])</f>
        <v>56.18</v>
      </c>
      <c r="E6">
        <v>-1.89</v>
      </c>
      <c r="F6">
        <v>38.93</v>
      </c>
      <c r="G6">
        <v>7.04</v>
      </c>
      <c r="H6" s="1">
        <f>IF(ISNUMBER(Main_L[[#This Row],[Free CF]]),IF(Main_L[[#This Row],[Free CF]]&lt;&gt;0,Main_L[[#This Row],[Current Price]]/Main_L[[#This Row],[Free CF]],""),"")</f>
        <v>-29.724867724867725</v>
      </c>
      <c r="I6" s="1">
        <f>IF(ISNUMBER(Main_L[[#This Row],[BVPS]]),IF(Main_L[[#This Row],[BVPS]]&lt;&gt;0,Main_L[[#This Row],[Current Price]]/Main_L[[#This Row],[BVPS]],""),"")</f>
        <v>1.4431030053942975</v>
      </c>
      <c r="J6">
        <v>15</v>
      </c>
      <c r="K6">
        <v>2.8</v>
      </c>
      <c r="L6">
        <v>5.9</v>
      </c>
      <c r="M6" s="1">
        <f>IF(ISNUMBER(Main_L[[#This Row],[EPS]]),IF(Main_L[[#This Row],[EPS]]&lt;&gt;0,Main_L[[#This Row],[Current Price]]/Main_L[[#This Row],[EPS]],""),"")</f>
        <v>7.9801136363636367</v>
      </c>
      <c r="N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" s="1">
        <f>(Main_L[[#This Row],[P/FCF]]-VLOOKUP(Main_L[[#This Row],[Industry]], Mean_PFCF_L, 2, FALSE))/(VLOOKUP(Main_L[[#This Row],[Industry]], Mean_PFCF_L, 3, FALSE))</f>
        <v>-0.76329449711534836</v>
      </c>
      <c r="P6" s="1">
        <f>(Main_L[[#This Row],[P/B]]-VLOOKUP(Main_L[[#This Row],[Industry]], Mean_PB_L, 2, FALSE))/(VLOOKUP(Main_L[[#This Row],[Industry]], Mean_PB_L, 3, FALSE))</f>
        <v>-0.68844698963951201</v>
      </c>
      <c r="Q6" s="1">
        <f>(Main_L[[#This Row],[ROE]]-VLOOKUP(Main_L[[#This Row],[Industry]], Mean_ROE_L, 2, FALSE))/(VLOOKUP(Main_L[[#This Row],[Industry]], Mean_ROE_L, 3, FALSE))</f>
        <v>4.2151569707768735</v>
      </c>
      <c r="R6" s="1">
        <f>(Main_L[[#This Row],[ROA]]-VLOOKUP(Main_L[[#This Row],[Industry]], Mean_ROA_L, 2, FALSE))/(VLOOKUP(Main_L[[#This Row],[Industry]], Mean_ROA_L, 3, FALSE))</f>
        <v>9.6249058568500662E-2</v>
      </c>
      <c r="S6" s="1">
        <f>(Main_L[[#This Row],[A/E]]-VLOOKUP(Main_L[[#This Row],[Industry]], Mean_AE_L, 2, FALSE))/(VLOOKUP(Main_L[[#This Row],[Industry]], Mean_AE_L, 3, FALSE))</f>
        <v>3.8058341709393431</v>
      </c>
      <c r="T6" s="1">
        <f>(Main_L[[#This Row],[P/E]]-VLOOKUP(Main_L[[#This Row],[Industry]], Mean_PE_L, 2, FALSE))/(VLOOKUP(Main_L[[#This Row],[Industry]], Mean_PE_L, 3, FALSE))</f>
        <v>-2.2095787006190881</v>
      </c>
      <c r="U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" spans="1:26" x14ac:dyDescent="0.25">
      <c r="A7" t="s">
        <v>105</v>
      </c>
      <c r="B7" t="s">
        <v>111</v>
      </c>
      <c r="C7" s="2">
        <v>22866</v>
      </c>
      <c r="D7">
        <f>RTD("tos.rtd", , "LAST", Main_L[[#This Row],[Symbol]])</f>
        <v>62.91</v>
      </c>
      <c r="E7">
        <v>-6.49</v>
      </c>
      <c r="F7">
        <v>41.02</v>
      </c>
      <c r="G7">
        <v>2.3199999999999998</v>
      </c>
      <c r="H7" s="1">
        <f>IF(ISNUMBER(Main_L[[#This Row],[Free CF]]),IF(Main_L[[#This Row],[Free CF]]&lt;&gt;0,Main_L[[#This Row],[Current Price]]/Main_L[[#This Row],[Free CF]],""),"")</f>
        <v>-9.693374422187981</v>
      </c>
      <c r="I7" s="1">
        <f>IF(ISNUMBER(Main_L[[#This Row],[BVPS]]),IF(Main_L[[#This Row],[BVPS]]&lt;&gt;0,Main_L[[#This Row],[Current Price]]/Main_L[[#This Row],[BVPS]],""),"")</f>
        <v>1.5336421257922963</v>
      </c>
      <c r="J7">
        <v>5.55</v>
      </c>
      <c r="K7">
        <v>3.06</v>
      </c>
      <c r="L7">
        <v>3.96</v>
      </c>
      <c r="M7" s="1">
        <f>IF(ISNUMBER(Main_L[[#This Row],[EPS]]),IF(Main_L[[#This Row],[EPS]]&lt;&gt;0,Main_L[[#This Row],[Current Price]]/Main_L[[#This Row],[EPS]],""),"")</f>
        <v>27.116379310344829</v>
      </c>
      <c r="N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" s="1">
        <f>(Main_L[[#This Row],[P/FCF]]-VLOOKUP(Main_L[[#This Row],[Industry]], Mean_PFCF_L, 2, FALSE))/(VLOOKUP(Main_L[[#This Row],[Industry]], Mean_PFCF_L, 3, FALSE))</f>
        <v>0.65733668791798305</v>
      </c>
      <c r="P7" s="1">
        <f>(Main_L[[#This Row],[P/B]]-VLOOKUP(Main_L[[#This Row],[Industry]], Mean_PB_L, 2, FALSE))/(VLOOKUP(Main_L[[#This Row],[Industry]], Mean_PB_L, 3, FALSE))</f>
        <v>-0.51823193181501181</v>
      </c>
      <c r="Q7" s="1">
        <f>(Main_L[[#This Row],[ROE]]-VLOOKUP(Main_L[[#This Row],[Industry]], Mean_ROE_L, 2, FALSE))/(VLOOKUP(Main_L[[#This Row],[Industry]], Mean_ROE_L, 3, FALSE))</f>
        <v>-2.6541223349082235</v>
      </c>
      <c r="R7" s="1">
        <f>(Main_L[[#This Row],[ROA]]-VLOOKUP(Main_L[[#This Row],[Industry]], Mean_ROA_L, 2, FALSE))/(VLOOKUP(Main_L[[#This Row],[Industry]], Mean_ROA_L, 3, FALSE))</f>
        <v>0.91524104784227978</v>
      </c>
      <c r="S7" s="1">
        <f>(Main_L[[#This Row],[A/E]]-VLOOKUP(Main_L[[#This Row],[Industry]], Mean_AE_L, 2, FALSE))/(VLOOKUP(Main_L[[#This Row],[Industry]], Mean_AE_L, 3, FALSE))</f>
        <v>0.35852818473831127</v>
      </c>
      <c r="T7" s="1">
        <f>(Main_L[[#This Row],[P/E]]-VLOOKUP(Main_L[[#This Row],[Industry]], Mean_PE_L, 2, FALSE))/(VLOOKUP(Main_L[[#This Row],[Industry]], Mean_PE_L, 3, FALSE))</f>
        <v>1.1643800884461661</v>
      </c>
      <c r="U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" spans="1:26" x14ac:dyDescent="0.25">
      <c r="A8" t="s">
        <v>105</v>
      </c>
      <c r="B8" t="s">
        <v>112</v>
      </c>
      <c r="C8" s="2">
        <v>36288</v>
      </c>
      <c r="D8">
        <f>RTD("tos.rtd", , "LAST", Main_L[[#This Row],[Symbol]])</f>
        <v>80.89</v>
      </c>
      <c r="E8">
        <v>-4.2</v>
      </c>
      <c r="F8">
        <v>35.25</v>
      </c>
      <c r="G8">
        <v>3.09</v>
      </c>
      <c r="H8" s="1">
        <f>IF(ISNUMBER(Main_L[[#This Row],[Free CF]]),IF(Main_L[[#This Row],[Free CF]]&lt;&gt;0,Main_L[[#This Row],[Current Price]]/Main_L[[#This Row],[Free CF]],""),"")</f>
        <v>-19.259523809523809</v>
      </c>
      <c r="I8" s="1">
        <f>IF(ISNUMBER(Main_L[[#This Row],[BVPS]]),IF(Main_L[[#This Row],[BVPS]]&lt;&gt;0,Main_L[[#This Row],[Current Price]]/Main_L[[#This Row],[BVPS]],""),"")</f>
        <v>2.2947517730496454</v>
      </c>
      <c r="J8">
        <v>8.85</v>
      </c>
      <c r="K8">
        <v>3.07</v>
      </c>
      <c r="L8">
        <v>4.3899999999999997</v>
      </c>
      <c r="M8" s="1">
        <f>IF(ISNUMBER(Main_L[[#This Row],[EPS]]),IF(Main_L[[#This Row],[EPS]]&lt;&gt;0,Main_L[[#This Row],[Current Price]]/Main_L[[#This Row],[EPS]],""),"")</f>
        <v>26.177993527508093</v>
      </c>
      <c r="N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" s="1">
        <f>(Main_L[[#This Row],[P/FCF]]-VLOOKUP(Main_L[[#This Row],[Industry]], Mean_PFCF_L, 2, FALSE))/(VLOOKUP(Main_L[[#This Row],[Industry]], Mean_PFCF_L, 3, FALSE))</f>
        <v>-2.1093518706640207E-2</v>
      </c>
      <c r="P8" s="1">
        <f>(Main_L[[#This Row],[P/B]]-VLOOKUP(Main_L[[#This Row],[Industry]], Mean_PB_L, 2, FALSE))/(VLOOKUP(Main_L[[#This Row],[Industry]], Mean_PB_L, 3, FALSE))</f>
        <v>0.91266691112932552</v>
      </c>
      <c r="Q8" s="1">
        <f>(Main_L[[#This Row],[ROE]]-VLOOKUP(Main_L[[#This Row],[Industry]], Mean_ROE_L, 2, FALSE))/(VLOOKUP(Main_L[[#This Row],[Industry]], Mean_ROE_L, 3, FALSE))</f>
        <v>-0.25532638689120551</v>
      </c>
      <c r="R8" s="1">
        <f>(Main_L[[#This Row],[ROA]]-VLOOKUP(Main_L[[#This Row],[Industry]], Mean_ROA_L, 2, FALSE))/(VLOOKUP(Main_L[[#This Row],[Industry]], Mean_ROA_L, 3, FALSE))</f>
        <v>0.94674073973742445</v>
      </c>
      <c r="S8" s="1">
        <f>(Main_L[[#This Row],[A/E]]-VLOOKUP(Main_L[[#This Row],[Industry]], Mean_AE_L, 2, FALSE))/(VLOOKUP(Main_L[[#This Row],[Industry]], Mean_AE_L, 3, FALSE))</f>
        <v>1.1226217796179208</v>
      </c>
      <c r="T8" s="1">
        <f>(Main_L[[#This Row],[P/E]]-VLOOKUP(Main_L[[#This Row],[Industry]], Mean_PE_L, 2, FALSE))/(VLOOKUP(Main_L[[#This Row],[Industry]], Mean_PE_L, 3, FALSE))</f>
        <v>0.99893114383621173</v>
      </c>
      <c r="U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" spans="1:26" x14ac:dyDescent="0.25">
      <c r="A9" t="s">
        <v>105</v>
      </c>
      <c r="B9" t="s">
        <v>113</v>
      </c>
      <c r="C9" s="2">
        <v>16018</v>
      </c>
      <c r="D9">
        <f>RTD("tos.rtd", , "LAST", Main_L[[#This Row],[Symbol]])</f>
        <v>64.760000000000005</v>
      </c>
      <c r="E9">
        <v>-1.53</v>
      </c>
      <c r="F9">
        <v>43.29</v>
      </c>
      <c r="G9">
        <v>3.79</v>
      </c>
      <c r="H9" s="1">
        <f>IF(ISNUMBER(Main_L[[#This Row],[Free CF]]),IF(Main_L[[#This Row],[Free CF]]&lt;&gt;0,Main_L[[#This Row],[Current Price]]/Main_L[[#This Row],[Free CF]],""),"")</f>
        <v>-42.326797385620921</v>
      </c>
      <c r="I9" s="1">
        <f>IF(ISNUMBER(Main_L[[#This Row],[BVPS]]),IF(Main_L[[#This Row],[BVPS]]&lt;&gt;0,Main_L[[#This Row],[Current Price]]/Main_L[[#This Row],[BVPS]],""),"")</f>
        <v>1.4959574959574962</v>
      </c>
      <c r="J9">
        <v>9</v>
      </c>
      <c r="K9">
        <v>2.87</v>
      </c>
      <c r="L9">
        <v>3.24</v>
      </c>
      <c r="M9" s="1">
        <f>IF(ISNUMBER(Main_L[[#This Row],[EPS]]),IF(Main_L[[#This Row],[EPS]]&lt;&gt;0,Main_L[[#This Row],[Current Price]]/Main_L[[#This Row],[EPS]],""),"")</f>
        <v>17.087071240105541</v>
      </c>
      <c r="N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" s="1">
        <f>(Main_L[[#This Row],[P/FCF]]-VLOOKUP(Main_L[[#This Row],[Industry]], Mean_PFCF_L, 2, FALSE))/(VLOOKUP(Main_L[[#This Row],[Industry]], Mean_PFCF_L, 3, FALSE))</f>
        <v>-1.6570218891349708</v>
      </c>
      <c r="P9" s="1">
        <f>(Main_L[[#This Row],[P/B]]-VLOOKUP(Main_L[[#This Row],[Industry]], Mean_PB_L, 2, FALSE))/(VLOOKUP(Main_L[[#This Row],[Industry]], Mean_PB_L, 3, FALSE))</f>
        <v>-0.58907966501838371</v>
      </c>
      <c r="Q9" s="1">
        <f>(Main_L[[#This Row],[ROE]]-VLOOKUP(Main_L[[#This Row],[Industry]], Mean_ROE_L, 2, FALSE))/(VLOOKUP(Main_L[[#This Row],[Industry]], Mean_ROE_L, 3, FALSE))</f>
        <v>-0.14629020743588628</v>
      </c>
      <c r="R9" s="1">
        <f>(Main_L[[#This Row],[ROA]]-VLOOKUP(Main_L[[#This Row],[Industry]], Mean_ROA_L, 2, FALSE))/(VLOOKUP(Main_L[[#This Row],[Industry]], Mean_ROA_L, 3, FALSE))</f>
        <v>0.31674690183451881</v>
      </c>
      <c r="S9" s="1">
        <f>(Main_L[[#This Row],[A/E]]-VLOOKUP(Main_L[[#This Row],[Industry]], Mean_AE_L, 2, FALSE))/(VLOOKUP(Main_L[[#This Row],[Industry]], Mean_AE_L, 3, FALSE))</f>
        <v>-0.92088434622289572</v>
      </c>
      <c r="T9" s="1">
        <f>(Main_L[[#This Row],[P/E]]-VLOOKUP(Main_L[[#This Row],[Industry]], Mean_PE_L, 2, FALSE))/(VLOOKUP(Main_L[[#This Row],[Industry]], Mean_PE_L, 3, FALSE))</f>
        <v>-0.6039101667333352</v>
      </c>
      <c r="U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" spans="1:26" x14ac:dyDescent="0.25">
      <c r="A10" t="s">
        <v>105</v>
      </c>
      <c r="B10" t="s">
        <v>114</v>
      </c>
      <c r="C10" s="2">
        <v>46782</v>
      </c>
      <c r="D10">
        <f>RTD("tos.rtd", , "LAST", Main_L[[#This Row],[Symbol]])</f>
        <v>42.97</v>
      </c>
      <c r="E10">
        <v>-1.49</v>
      </c>
      <c r="F10">
        <v>27.35</v>
      </c>
      <c r="G10">
        <v>2.69</v>
      </c>
      <c r="H10" s="1">
        <f>IF(ISNUMBER(Main_L[[#This Row],[Free CF]]),IF(Main_L[[#This Row],[Free CF]]&lt;&gt;0,Main_L[[#This Row],[Current Price]]/Main_L[[#This Row],[Free CF]],""),"")</f>
        <v>-28.838926174496645</v>
      </c>
      <c r="I10" s="1">
        <f>IF(ISNUMBER(Main_L[[#This Row],[BVPS]]),IF(Main_L[[#This Row],[BVPS]]&lt;&gt;0,Main_L[[#This Row],[Current Price]]/Main_L[[#This Row],[BVPS]],""),"")</f>
        <v>1.5711151736745885</v>
      </c>
      <c r="J10">
        <v>10.1</v>
      </c>
      <c r="K10">
        <v>2.76</v>
      </c>
      <c r="L10">
        <v>3.97</v>
      </c>
      <c r="M10" s="1">
        <f>IF(ISNUMBER(Main_L[[#This Row],[EPS]]),IF(Main_L[[#This Row],[EPS]]&lt;&gt;0,Main_L[[#This Row],[Current Price]]/Main_L[[#This Row],[EPS]],""),"")</f>
        <v>15.973977695167287</v>
      </c>
      <c r="N1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" s="1">
        <f>(Main_L[[#This Row],[P/FCF]]-VLOOKUP(Main_L[[#This Row],[Industry]], Mean_PFCF_L, 2, FALSE))/(VLOOKUP(Main_L[[#This Row],[Industry]], Mean_PFCF_L, 3, FALSE))</f>
        <v>-0.70046362497035641</v>
      </c>
      <c r="P10" s="1">
        <f>(Main_L[[#This Row],[P/B]]-VLOOKUP(Main_L[[#This Row],[Industry]], Mean_PB_L, 2, FALSE))/(VLOOKUP(Main_L[[#This Row],[Industry]], Mean_PB_L, 3, FALSE))</f>
        <v>-0.44778197621454174</v>
      </c>
      <c r="Q10" s="1">
        <f>(Main_L[[#This Row],[ROE]]-VLOOKUP(Main_L[[#This Row],[Industry]], Mean_ROE_L, 2, FALSE))/(VLOOKUP(Main_L[[#This Row],[Industry]], Mean_ROE_L, 3, FALSE))</f>
        <v>0.65330844190311943</v>
      </c>
      <c r="R10" s="1">
        <f>(Main_L[[#This Row],[ROA]]-VLOOKUP(Main_L[[#This Row],[Industry]], Mean_ROA_L, 2, FALSE))/(VLOOKUP(Main_L[[#This Row],[Industry]], Mean_ROA_L, 3, FALSE))</f>
        <v>-2.9749709012080749E-2</v>
      </c>
      <c r="S10" s="1">
        <f>(Main_L[[#This Row],[A/E]]-VLOOKUP(Main_L[[#This Row],[Industry]], Mean_AE_L, 2, FALSE))/(VLOOKUP(Main_L[[#This Row],[Industry]], Mean_AE_L, 3, FALSE))</f>
        <v>0.37629780322388401</v>
      </c>
      <c r="T10" s="1">
        <f>(Main_L[[#This Row],[P/E]]-VLOOKUP(Main_L[[#This Row],[Industry]], Mean_PE_L, 2, FALSE))/(VLOOKUP(Main_L[[#This Row],[Industry]], Mean_PE_L, 3, FALSE))</f>
        <v>-0.80016223665011454</v>
      </c>
      <c r="U1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" spans="1:26" x14ac:dyDescent="0.25">
      <c r="A11" t="s">
        <v>105</v>
      </c>
      <c r="B11" t="s">
        <v>115</v>
      </c>
      <c r="C11" s="2">
        <v>24789</v>
      </c>
      <c r="D11">
        <f>RTD("tos.rtd", , "LAST", Main_L[[#This Row],[Symbol]])</f>
        <v>41.23</v>
      </c>
      <c r="E11">
        <v>-1.18</v>
      </c>
      <c r="F11">
        <v>21.77</v>
      </c>
      <c r="G11">
        <v>1.88</v>
      </c>
      <c r="H11" s="1">
        <f>IF(ISNUMBER(Main_L[[#This Row],[Free CF]]),IF(Main_L[[#This Row],[Free CF]]&lt;&gt;0,Main_L[[#This Row],[Current Price]]/Main_L[[#This Row],[Free CF]],""),"")</f>
        <v>-34.940677966101696</v>
      </c>
      <c r="I11" s="1">
        <f>IF(ISNUMBER(Main_L[[#This Row],[BVPS]]),IF(Main_L[[#This Row],[BVPS]]&lt;&gt;0,Main_L[[#This Row],[Current Price]]/Main_L[[#This Row],[BVPS]],""),"")</f>
        <v>1.8938906752411575</v>
      </c>
      <c r="J11">
        <v>9.27</v>
      </c>
      <c r="K11">
        <v>2.96</v>
      </c>
      <c r="L11">
        <v>4.2</v>
      </c>
      <c r="M11" s="1">
        <f>IF(ISNUMBER(Main_L[[#This Row],[EPS]]),IF(Main_L[[#This Row],[EPS]]&lt;&gt;0,Main_L[[#This Row],[Current Price]]/Main_L[[#This Row],[EPS]],""),"")</f>
        <v>21.930851063829788</v>
      </c>
      <c r="N1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" s="1">
        <f>(Main_L[[#This Row],[P/FCF]]-VLOOKUP(Main_L[[#This Row],[Industry]], Mean_PFCF_L, 2, FALSE))/(VLOOKUP(Main_L[[#This Row],[Industry]], Mean_PFCF_L, 3, FALSE))</f>
        <v>-1.1331991553427982</v>
      </c>
      <c r="P11" s="1">
        <f>(Main_L[[#This Row],[P/B]]-VLOOKUP(Main_L[[#This Row],[Industry]], Mean_PB_L, 2, FALSE))/(VLOOKUP(Main_L[[#This Row],[Industry]], Mean_PB_L, 3, FALSE))</f>
        <v>0.15904135520253626</v>
      </c>
      <c r="Q11" s="1">
        <f>(Main_L[[#This Row],[ROE]]-VLOOKUP(Main_L[[#This Row],[Industry]], Mean_ROE_L, 2, FALSE))/(VLOOKUP(Main_L[[#This Row],[Industry]], Mean_ROE_L, 3, FALSE))</f>
        <v>4.9974915583687614E-2</v>
      </c>
      <c r="R11" s="1">
        <f>(Main_L[[#This Row],[ROA]]-VLOOKUP(Main_L[[#This Row],[Industry]], Mean_ROA_L, 2, FALSE))/(VLOOKUP(Main_L[[#This Row],[Industry]], Mean_ROA_L, 3, FALSE))</f>
        <v>0.60024412889082623</v>
      </c>
      <c r="S11" s="1">
        <f>(Main_L[[#This Row],[A/E]]-VLOOKUP(Main_L[[#This Row],[Industry]], Mean_AE_L, 2, FALSE))/(VLOOKUP(Main_L[[#This Row],[Industry]], Mean_AE_L, 3, FALSE))</f>
        <v>0.78499902839204749</v>
      </c>
      <c r="T11" s="1">
        <f>(Main_L[[#This Row],[P/E]]-VLOOKUP(Main_L[[#This Row],[Industry]], Mean_PE_L, 2, FALSE))/(VLOOKUP(Main_L[[#This Row],[Industry]], Mean_PE_L, 3, FALSE))</f>
        <v>0.25010773764661398</v>
      </c>
      <c r="U1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" spans="1:26" x14ac:dyDescent="0.25">
      <c r="A12" t="s">
        <v>105</v>
      </c>
      <c r="B12" t="s">
        <v>116</v>
      </c>
      <c r="C12" s="2">
        <v>24959</v>
      </c>
      <c r="D12">
        <f>RTD("tos.rtd", , "LAST", Main_L[[#This Row],[Symbol]])</f>
        <v>46.55</v>
      </c>
      <c r="E12">
        <v>-1.98</v>
      </c>
      <c r="F12">
        <v>30.91</v>
      </c>
      <c r="G12">
        <v>2.25</v>
      </c>
      <c r="H12" s="1">
        <f>IF(ISNUMBER(Main_L[[#This Row],[Free CF]]),IF(Main_L[[#This Row],[Free CF]]&lt;&gt;0,Main_L[[#This Row],[Current Price]]/Main_L[[#This Row],[Free CF]],""),"")</f>
        <v>-23.51010101010101</v>
      </c>
      <c r="I12" s="1">
        <f>IF(ISNUMBER(Main_L[[#This Row],[BVPS]]),IF(Main_L[[#This Row],[BVPS]]&lt;&gt;0,Main_L[[#This Row],[Current Price]]/Main_L[[#This Row],[BVPS]],""),"")</f>
        <v>1.5059851180847621</v>
      </c>
      <c r="J12">
        <v>7.43</v>
      </c>
      <c r="K12">
        <v>3.02</v>
      </c>
      <c r="L12">
        <v>3.31</v>
      </c>
      <c r="M12" s="1">
        <f>IF(ISNUMBER(Main_L[[#This Row],[EPS]]),IF(Main_L[[#This Row],[EPS]]&lt;&gt;0,Main_L[[#This Row],[Current Price]]/Main_L[[#This Row],[EPS]],""),"")</f>
        <v>20.688888888888886</v>
      </c>
      <c r="N1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" s="1">
        <f>(Main_L[[#This Row],[P/FCF]]-VLOOKUP(Main_L[[#This Row],[Industry]], Mean_PFCF_L, 2, FALSE))/(VLOOKUP(Main_L[[#This Row],[Industry]], Mean_PFCF_L, 3, FALSE))</f>
        <v>-0.32254396148136033</v>
      </c>
      <c r="P12" s="1">
        <f>(Main_L[[#This Row],[P/B]]-VLOOKUP(Main_L[[#This Row],[Industry]], Mean_PB_L, 2, FALSE))/(VLOOKUP(Main_L[[#This Row],[Industry]], Mean_PB_L, 3, FALSE))</f>
        <v>-0.57022756801620733</v>
      </c>
      <c r="Q12" s="1">
        <f>(Main_L[[#This Row],[ROE]]-VLOOKUP(Main_L[[#This Row],[Industry]], Mean_ROE_L, 2, FALSE))/(VLOOKUP(Main_L[[#This Row],[Industry]], Mean_ROE_L, 3, FALSE))</f>
        <v>-1.2875355524015586</v>
      </c>
      <c r="R12" s="1">
        <f>(Main_L[[#This Row],[ROA]]-VLOOKUP(Main_L[[#This Row],[Industry]], Mean_ROA_L, 2, FALSE))/(VLOOKUP(Main_L[[#This Row],[Industry]], Mean_ROA_L, 3, FALSE))</f>
        <v>0.7892422802616984</v>
      </c>
      <c r="S12" s="1">
        <f>(Main_L[[#This Row],[A/E]]-VLOOKUP(Main_L[[#This Row],[Industry]], Mean_AE_L, 2, FALSE))/(VLOOKUP(Main_L[[#This Row],[Industry]], Mean_AE_L, 3, FALSE))</f>
        <v>-0.79649701682388974</v>
      </c>
      <c r="T12" s="1">
        <f>(Main_L[[#This Row],[P/E]]-VLOOKUP(Main_L[[#This Row],[Industry]], Mean_PE_L, 2, FALSE))/(VLOOKUP(Main_L[[#This Row],[Industry]], Mean_PE_L, 3, FALSE))</f>
        <v>3.1134544693619211E-2</v>
      </c>
      <c r="U1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" spans="1:26" x14ac:dyDescent="0.25">
      <c r="A13" t="s">
        <v>105</v>
      </c>
      <c r="B13" t="s">
        <v>117</v>
      </c>
      <c r="C13" s="2">
        <v>12249</v>
      </c>
      <c r="D13">
        <f>RTD("tos.rtd", , "LAST", Main_L[[#This Row],[Symbol]])</f>
        <v>9.16</v>
      </c>
      <c r="E13">
        <v>1.66</v>
      </c>
      <c r="F13">
        <v>42.11</v>
      </c>
      <c r="G13">
        <v>3.68</v>
      </c>
      <c r="H13" s="1">
        <f>IF(ISNUMBER(Main_L[[#This Row],[Free CF]]),IF(Main_L[[#This Row],[Free CF]]&lt;&gt;0,Main_L[[#This Row],[Current Price]]/Main_L[[#This Row],[Free CF]],""),"")</f>
        <v>5.5180722891566267</v>
      </c>
      <c r="I13" s="1">
        <f>IF(ISNUMBER(Main_L[[#This Row],[BVPS]]),IF(Main_L[[#This Row],[BVPS]]&lt;&gt;0,Main_L[[#This Row],[Current Price]]/Main_L[[#This Row],[BVPS]],""),"")</f>
        <v>0.21752552837805747</v>
      </c>
      <c r="J13">
        <v>9.2100000000000009</v>
      </c>
      <c r="K13">
        <v>2.15</v>
      </c>
      <c r="L13">
        <v>6.18</v>
      </c>
      <c r="M13" s="1">
        <f>IF(ISNUMBER(Main_L[[#This Row],[EPS]]),IF(Main_L[[#This Row],[EPS]]&lt;&gt;0,Main_L[[#This Row],[Current Price]]/Main_L[[#This Row],[EPS]],""),"")</f>
        <v>2.4891304347826084</v>
      </c>
      <c r="N1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" s="1">
        <f>(Main_L[[#This Row],[P/FCF]]-VLOOKUP(Main_L[[#This Row],[Industry]], Mean_PFCF_L, 2, FALSE))/(VLOOKUP(Main_L[[#This Row],[Industry]], Mean_PFCF_L, 3, FALSE))</f>
        <v>1.7361307269384276</v>
      </c>
      <c r="P13" s="1">
        <f>(Main_L[[#This Row],[P/B]]-VLOOKUP(Main_L[[#This Row],[Industry]], Mean_PB_L, 2, FALSE))/(VLOOKUP(Main_L[[#This Row],[Industry]], Mean_PB_L, 3, FALSE))</f>
        <v>-2.992553106439551</v>
      </c>
      <c r="Q13" s="1">
        <f>(Main_L[[#This Row],[ROE]]-VLOOKUP(Main_L[[#This Row],[Industry]], Mean_ROE_L, 2, FALSE))/(VLOOKUP(Main_L[[#This Row],[Industry]], Mean_ROE_L, 3, FALSE))</f>
        <v>6.3604438015609464E-3</v>
      </c>
      <c r="R13" s="1">
        <f>(Main_L[[#This Row],[ROA]]-VLOOKUP(Main_L[[#This Row],[Industry]], Mean_ROA_L, 2, FALSE))/(VLOOKUP(Main_L[[#This Row],[Industry]], Mean_ROA_L, 3, FALSE))</f>
        <v>-1.951230914615945</v>
      </c>
      <c r="S13" s="1">
        <f>(Main_L[[#This Row],[A/E]]-VLOOKUP(Main_L[[#This Row],[Industry]], Mean_AE_L, 2, FALSE))/(VLOOKUP(Main_L[[#This Row],[Industry]], Mean_AE_L, 3, FALSE))</f>
        <v>4.303383488535367</v>
      </c>
      <c r="T13" s="1">
        <f>(Main_L[[#This Row],[P/E]]-VLOOKUP(Main_L[[#This Row],[Industry]], Mean_PE_L, 2, FALSE))/(VLOOKUP(Main_L[[#This Row],[Industry]], Mean_PE_L, 3, FALSE))</f>
        <v>-3.1777065134960547</v>
      </c>
      <c r="U1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4" spans="1:26" x14ac:dyDescent="0.25">
      <c r="A14" t="s">
        <v>105</v>
      </c>
      <c r="B14" t="s">
        <v>118</v>
      </c>
      <c r="C14" s="2">
        <v>15875</v>
      </c>
      <c r="D14">
        <f>RTD("tos.rtd", , "LAST", Main_L[[#This Row],[Symbol]])</f>
        <v>60.46</v>
      </c>
      <c r="E14">
        <v>-4.22</v>
      </c>
      <c r="F14">
        <v>27.29</v>
      </c>
      <c r="G14">
        <v>2.69</v>
      </c>
      <c r="H14" s="1">
        <f>IF(ISNUMBER(Main_L[[#This Row],[Free CF]]),IF(Main_L[[#This Row],[Free CF]]&lt;&gt;0,Main_L[[#This Row],[Current Price]]/Main_L[[#This Row],[Free CF]],""),"")</f>
        <v>-14.327014218009479</v>
      </c>
      <c r="I14" s="1">
        <f>IF(ISNUMBER(Main_L[[#This Row],[BVPS]]),IF(Main_L[[#This Row],[BVPS]]&lt;&gt;0,Main_L[[#This Row],[Current Price]]/Main_L[[#This Row],[BVPS]],""),"")</f>
        <v>2.2154635397581535</v>
      </c>
      <c r="J14">
        <v>10.01</v>
      </c>
      <c r="K14">
        <v>2.64</v>
      </c>
      <c r="L14">
        <v>3.24</v>
      </c>
      <c r="M14" s="1">
        <f>IF(ISNUMBER(Main_L[[#This Row],[EPS]]),IF(Main_L[[#This Row],[EPS]]&lt;&gt;0,Main_L[[#This Row],[Current Price]]/Main_L[[#This Row],[EPS]],""),"")</f>
        <v>22.475836431226767</v>
      </c>
      <c r="N1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4" s="1">
        <f>(Main_L[[#This Row],[P/FCF]]-VLOOKUP(Main_L[[#This Row],[Industry]], Mean_PFCF_L, 2, FALSE))/(VLOOKUP(Main_L[[#This Row],[Industry]], Mean_PFCF_L, 3, FALSE))</f>
        <v>0.32871949025379849</v>
      </c>
      <c r="P14" s="1">
        <f>(Main_L[[#This Row],[P/B]]-VLOOKUP(Main_L[[#This Row],[Industry]], Mean_PB_L, 2, FALSE))/(VLOOKUP(Main_L[[#This Row],[Industry]], Mean_PB_L, 3, FALSE))</f>
        <v>0.76360370888937912</v>
      </c>
      <c r="Q14" s="1">
        <f>(Main_L[[#This Row],[ROE]]-VLOOKUP(Main_L[[#This Row],[Industry]], Mean_ROE_L, 2, FALSE))/(VLOOKUP(Main_L[[#This Row],[Industry]], Mean_ROE_L, 3, FALSE))</f>
        <v>0.58788673422992821</v>
      </c>
      <c r="R14" s="1">
        <f>(Main_L[[#This Row],[ROA]]-VLOOKUP(Main_L[[#This Row],[Industry]], Mean_ROA_L, 2, FALSE))/(VLOOKUP(Main_L[[#This Row],[Industry]], Mean_ROA_L, 3, FALSE))</f>
        <v>-0.40774601175382358</v>
      </c>
      <c r="S14" s="1">
        <f>(Main_L[[#This Row],[A/E]]-VLOOKUP(Main_L[[#This Row],[Industry]], Mean_AE_L, 2, FALSE))/(VLOOKUP(Main_L[[#This Row],[Industry]], Mean_AE_L, 3, FALSE))</f>
        <v>-0.92088434622289572</v>
      </c>
      <c r="T14" s="1">
        <f>(Main_L[[#This Row],[P/E]]-VLOOKUP(Main_L[[#This Row],[Industry]], Mean_PE_L, 2, FALSE))/(VLOOKUP(Main_L[[#This Row],[Industry]], Mean_PE_L, 3, FALSE))</f>
        <v>0.34619535482163472</v>
      </c>
      <c r="U1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5" spans="1:26" x14ac:dyDescent="0.25">
      <c r="A15" t="s">
        <v>105</v>
      </c>
      <c r="B15" t="s">
        <v>119</v>
      </c>
      <c r="C15" s="2">
        <v>138669</v>
      </c>
      <c r="D15">
        <f>RTD("tos.rtd", , "LAST", Main_L[[#This Row],[Symbol]])</f>
        <v>72.11</v>
      </c>
      <c r="E15">
        <v>-4.87</v>
      </c>
      <c r="F15">
        <v>24.2</v>
      </c>
      <c r="G15">
        <v>2.67</v>
      </c>
      <c r="H15" s="1">
        <f>IF(ISNUMBER(Main_L[[#This Row],[Free CF]]),IF(Main_L[[#This Row],[Free CF]]&lt;&gt;0,Main_L[[#This Row],[Current Price]]/Main_L[[#This Row],[Free CF]],""),"")</f>
        <v>-14.806981519507186</v>
      </c>
      <c r="I15" s="1">
        <f>IF(ISNUMBER(Main_L[[#This Row],[BVPS]]),IF(Main_L[[#This Row],[BVPS]]&lt;&gt;0,Main_L[[#This Row],[Current Price]]/Main_L[[#This Row],[BVPS]],""),"")</f>
        <v>2.9797520661157026</v>
      </c>
      <c r="J15">
        <v>7.06</v>
      </c>
      <c r="K15">
        <v>2.5499999999999998</v>
      </c>
      <c r="L15">
        <v>3.9</v>
      </c>
      <c r="M15" s="1">
        <f>IF(ISNUMBER(Main_L[[#This Row],[EPS]]),IF(Main_L[[#This Row],[EPS]]&lt;&gt;0,Main_L[[#This Row],[Current Price]]/Main_L[[#This Row],[EPS]],""),"")</f>
        <v>27.007490636704119</v>
      </c>
      <c r="N1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5" s="1">
        <f>(Main_L[[#This Row],[P/FCF]]-VLOOKUP(Main_L[[#This Row],[Industry]], Mean_PFCF_L, 2, FALSE))/(VLOOKUP(Main_L[[#This Row],[Industry]], Mean_PFCF_L, 3, FALSE))</f>
        <v>0.29468026482007997</v>
      </c>
      <c r="P15" s="1">
        <f>(Main_L[[#This Row],[P/B]]-VLOOKUP(Main_L[[#This Row],[Industry]], Mean_PB_L, 2, FALSE))/(VLOOKUP(Main_L[[#This Row],[Industry]], Mean_PB_L, 3, FALSE))</f>
        <v>2.2004788976108687</v>
      </c>
      <c r="Q15" s="1">
        <f>(Main_L[[#This Row],[ROE]]-VLOOKUP(Main_L[[#This Row],[Industry]], Mean_ROE_L, 2, FALSE))/(VLOOKUP(Main_L[[#This Row],[Industry]], Mean_ROE_L, 3, FALSE))</f>
        <v>-1.556491461724679</v>
      </c>
      <c r="R15" s="1">
        <f>(Main_L[[#This Row],[ROA]]-VLOOKUP(Main_L[[#This Row],[Industry]], Mean_ROA_L, 2, FALSE))/(VLOOKUP(Main_L[[#This Row],[Industry]], Mean_ROA_L, 3, FALSE))</f>
        <v>-0.69124323881013239</v>
      </c>
      <c r="S15" s="1">
        <f>(Main_L[[#This Row],[A/E]]-VLOOKUP(Main_L[[#This Row],[Industry]], Mean_AE_L, 2, FALSE))/(VLOOKUP(Main_L[[#This Row],[Industry]], Mean_AE_L, 3, FALSE))</f>
        <v>0.25191047382487719</v>
      </c>
      <c r="T15" s="1">
        <f>(Main_L[[#This Row],[P/E]]-VLOOKUP(Main_L[[#This Row],[Industry]], Mean_PE_L, 2, FALSE))/(VLOOKUP(Main_L[[#This Row],[Industry]], Mean_PE_L, 3, FALSE))</f>
        <v>1.1451816772347638</v>
      </c>
      <c r="U1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6" spans="1:26" x14ac:dyDescent="0.25">
      <c r="A16" t="s">
        <v>105</v>
      </c>
      <c r="B16" t="s">
        <v>120</v>
      </c>
      <c r="C16" s="2">
        <v>24169</v>
      </c>
      <c r="D16">
        <f>RTD("tos.rtd", , "LAST", Main_L[[#This Row],[Symbol]])</f>
        <v>156.71</v>
      </c>
      <c r="E16">
        <v>8.82</v>
      </c>
      <c r="F16">
        <v>9.1999999999999993</v>
      </c>
      <c r="G16">
        <v>4.99</v>
      </c>
      <c r="H16" s="1">
        <f>IF(ISNUMBER(Main_L[[#This Row],[Free CF]]),IF(Main_L[[#This Row],[Free CF]]&lt;&gt;0,Main_L[[#This Row],[Current Price]]/Main_L[[#This Row],[Free CF]],""),"")</f>
        <v>17.767573696145124</v>
      </c>
      <c r="I16" s="1">
        <f>IF(ISNUMBER(Main_L[[#This Row],[BVPS]]),IF(Main_L[[#This Row],[BVPS]]&lt;&gt;0,Main_L[[#This Row],[Current Price]]/Main_L[[#This Row],[BVPS]],""),"")</f>
        <v>17.033695652173915</v>
      </c>
      <c r="J16">
        <v>41.79</v>
      </c>
      <c r="K16">
        <v>5.7</v>
      </c>
      <c r="L16">
        <v>13.14</v>
      </c>
      <c r="M16" s="1">
        <f>IF(ISNUMBER(Main_L[[#This Row],[EPS]]),IF(Main_L[[#This Row],[EPS]]&lt;&gt;0,Main_L[[#This Row],[Current Price]]/Main_L[[#This Row],[EPS]],""),"")</f>
        <v>31.404809619238478</v>
      </c>
      <c r="N1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6" s="1">
        <f>(Main_L[[#This Row],[P/FCF]]-VLOOKUP(Main_L[[#This Row],[Industry]], Mean_PFCF_L, 2, FALSE))/(VLOOKUP(Main_L[[#This Row],[Industry]], Mean_PFCF_L, 3, FALSE))</f>
        <v>2.6048639480183331</v>
      </c>
      <c r="P16" s="1">
        <f>(Main_L[[#This Row],[P/B]]-VLOOKUP(Main_L[[#This Row],[Industry]], Mean_PB_L, 2, FALSE))/(VLOOKUP(Main_L[[#This Row],[Industry]], Mean_PB_L, 3, FALSE))</f>
        <v>28.622127458447071</v>
      </c>
      <c r="Q16" s="1">
        <f>(Main_L[[#This Row],[ROE]]-VLOOKUP(Main_L[[#This Row],[Industry]], Mean_ROE_L, 2, FALSE))/(VLOOKUP(Main_L[[#This Row],[Industry]], Mean_ROE_L, 3, FALSE))</f>
        <v>23.689018621496846</v>
      </c>
      <c r="R16" s="1">
        <f>(Main_L[[#This Row],[ROA]]-VLOOKUP(Main_L[[#This Row],[Industry]], Mean_ROA_L, 2, FALSE))/(VLOOKUP(Main_L[[#This Row],[Industry]], Mean_ROA_L, 3, FALSE))</f>
        <v>9.2311597081606447</v>
      </c>
      <c r="S16" s="1">
        <f>(Main_L[[#This Row],[A/E]]-VLOOKUP(Main_L[[#This Row],[Industry]], Mean_AE_L, 2, FALSE))/(VLOOKUP(Main_L[[#This Row],[Industry]], Mean_AE_L, 3, FALSE))</f>
        <v>16.671037954493709</v>
      </c>
      <c r="T16" s="1">
        <f>(Main_L[[#This Row],[P/E]]-VLOOKUP(Main_L[[#This Row],[Industry]], Mean_PE_L, 2, FALSE))/(VLOOKUP(Main_L[[#This Row],[Industry]], Mean_PE_L, 3, FALSE))</f>
        <v>1.9204830491015694</v>
      </c>
      <c r="U1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7" spans="1:26" x14ac:dyDescent="0.25">
      <c r="A17" t="s">
        <v>105</v>
      </c>
      <c r="B17" t="s">
        <v>121</v>
      </c>
      <c r="C17" s="2">
        <v>37800</v>
      </c>
      <c r="D17">
        <f>RTD("tos.rtd", , "LAST", Main_L[[#This Row],[Symbol]])</f>
        <v>16.96</v>
      </c>
      <c r="E17">
        <v>-0.82</v>
      </c>
      <c r="F17">
        <v>13.24</v>
      </c>
      <c r="G17">
        <v>1.0900000000000001</v>
      </c>
      <c r="H17" s="1">
        <f>IF(ISNUMBER(Main_L[[#This Row],[Free CF]]),IF(Main_L[[#This Row],[Free CF]]&lt;&gt;0,Main_L[[#This Row],[Current Price]]/Main_L[[#This Row],[Free CF]],""),"")</f>
        <v>-20.682926829268293</v>
      </c>
      <c r="I17" s="1">
        <f>IF(ISNUMBER(Main_L[[#This Row],[BVPS]]),IF(Main_L[[#This Row],[BVPS]]&lt;&gt;0,Main_L[[#This Row],[Current Price]]/Main_L[[#This Row],[BVPS]],""),"")</f>
        <v>1.2809667673716012</v>
      </c>
      <c r="J17">
        <v>8.26</v>
      </c>
      <c r="K17">
        <v>2.4300000000000002</v>
      </c>
      <c r="L17">
        <v>4.6500000000000004</v>
      </c>
      <c r="M17" s="1">
        <f>IF(ISNUMBER(Main_L[[#This Row],[EPS]]),IF(Main_L[[#This Row],[EPS]]&lt;&gt;0,Main_L[[#This Row],[Current Price]]/Main_L[[#This Row],[EPS]],""),"")</f>
        <v>15.559633027522935</v>
      </c>
      <c r="N1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7" s="1">
        <f>(Main_L[[#This Row],[P/FCF]]-VLOOKUP(Main_L[[#This Row],[Industry]], Mean_PFCF_L, 2, FALSE))/(VLOOKUP(Main_L[[#This Row],[Industry]], Mean_PFCF_L, 3, FALSE))</f>
        <v>-0.12204109601227797</v>
      </c>
      <c r="P17" s="1">
        <f>(Main_L[[#This Row],[P/B]]-VLOOKUP(Main_L[[#This Row],[Industry]], Mean_PB_L, 2, FALSE))/(VLOOKUP(Main_L[[#This Row],[Industry]], Mean_PB_L, 3, FALSE))</f>
        <v>-0.99326582385352491</v>
      </c>
      <c r="Q17" s="1">
        <f>(Main_L[[#This Row],[ROE]]-VLOOKUP(Main_L[[#This Row],[Industry]], Mean_ROE_L, 2, FALSE))/(VLOOKUP(Main_L[[#This Row],[Industry]], Mean_ROE_L, 3, FALSE))</f>
        <v>-0.68420202608212688</v>
      </c>
      <c r="R17" s="1">
        <f>(Main_L[[#This Row],[ROA]]-VLOOKUP(Main_L[[#This Row],[Industry]], Mean_ROA_L, 2, FALSE))/(VLOOKUP(Main_L[[#This Row],[Industry]], Mean_ROA_L, 3, FALSE))</f>
        <v>-1.0692395415518752</v>
      </c>
      <c r="S17" s="1">
        <f>(Main_L[[#This Row],[A/E]]-VLOOKUP(Main_L[[#This Row],[Industry]], Mean_AE_L, 2, FALSE))/(VLOOKUP(Main_L[[#This Row],[Industry]], Mean_AE_L, 3, FALSE))</f>
        <v>1.5846318602428024</v>
      </c>
      <c r="T17" s="1">
        <f>(Main_L[[#This Row],[P/E]]-VLOOKUP(Main_L[[#This Row],[Industry]], Mean_PE_L, 2, FALSE))/(VLOOKUP(Main_L[[#This Row],[Industry]], Mean_PE_L, 3, FALSE))</f>
        <v>-0.87321629311640636</v>
      </c>
      <c r="U1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8" spans="1:26" x14ac:dyDescent="0.25">
      <c r="A18" t="s">
        <v>105</v>
      </c>
      <c r="B18" t="s">
        <v>122</v>
      </c>
      <c r="C18" s="2">
        <v>11201</v>
      </c>
      <c r="D18">
        <f>RTD("tos.rtd", , "LAST", Main_L[[#This Row],[Symbol]])</f>
        <v>89.08</v>
      </c>
      <c r="E18">
        <v>-6.37</v>
      </c>
      <c r="F18">
        <v>56.44</v>
      </c>
      <c r="G18">
        <v>4.99</v>
      </c>
      <c r="H18" s="1">
        <f>IF(ISNUMBER(Main_L[[#This Row],[Free CF]]),IF(Main_L[[#This Row],[Free CF]]&lt;&gt;0,Main_L[[#This Row],[Current Price]]/Main_L[[#This Row],[Free CF]],""),"")</f>
        <v>-13.98430141287284</v>
      </c>
      <c r="I18" s="1">
        <f>IF(ISNUMBER(Main_L[[#This Row],[BVPS]]),IF(Main_L[[#This Row],[BVPS]]&lt;&gt;0,Main_L[[#This Row],[Current Price]]/Main_L[[#This Row],[BVPS]],""),"")</f>
        <v>1.5783132530120483</v>
      </c>
      <c r="J18">
        <v>9.19</v>
      </c>
      <c r="K18">
        <v>2.5</v>
      </c>
      <c r="L18">
        <v>4.04</v>
      </c>
      <c r="M18" s="1">
        <f>IF(ISNUMBER(Main_L[[#This Row],[EPS]]),IF(Main_L[[#This Row],[EPS]]&lt;&gt;0,Main_L[[#This Row],[Current Price]]/Main_L[[#This Row],[EPS]],""),"")</f>
        <v>17.851703406813627</v>
      </c>
      <c r="N1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8" s="1">
        <f>(Main_L[[#This Row],[P/FCF]]-VLOOKUP(Main_L[[#This Row],[Industry]], Mean_PFCF_L, 2, FALSE))/(VLOOKUP(Main_L[[#This Row],[Industry]], Mean_PFCF_L, 3, FALSE))</f>
        <v>0.35302464270203004</v>
      </c>
      <c r="P18" s="1">
        <f>(Main_L[[#This Row],[P/B]]-VLOOKUP(Main_L[[#This Row],[Industry]], Mean_PB_L, 2, FALSE))/(VLOOKUP(Main_L[[#This Row],[Industry]], Mean_PB_L, 3, FALSE))</f>
        <v>-0.4342494668940941</v>
      </c>
      <c r="Q18" s="1">
        <f>(Main_L[[#This Row],[ROE]]-VLOOKUP(Main_L[[#This Row],[Industry]], Mean_ROE_L, 2, FALSE))/(VLOOKUP(Main_L[[#This Row],[Industry]], Mean_ROE_L, 3, FALSE))</f>
        <v>-8.1777134591492356E-3</v>
      </c>
      <c r="R18" s="1">
        <f>(Main_L[[#This Row],[ROA]]-VLOOKUP(Main_L[[#This Row],[Industry]], Mean_ROA_L, 2, FALSE))/(VLOOKUP(Main_L[[#This Row],[Industry]], Mean_ROA_L, 3, FALSE))</f>
        <v>-0.84874169828585844</v>
      </c>
      <c r="S18" s="1">
        <f>(Main_L[[#This Row],[A/E]]-VLOOKUP(Main_L[[#This Row],[Industry]], Mean_AE_L, 2, FALSE))/(VLOOKUP(Main_L[[#This Row],[Industry]], Mean_AE_L, 3, FALSE))</f>
        <v>0.50068513262288994</v>
      </c>
      <c r="T18" s="1">
        <f>(Main_L[[#This Row],[P/E]]-VLOOKUP(Main_L[[#This Row],[Industry]], Mean_PE_L, 2, FALSE))/(VLOOKUP(Main_L[[#This Row],[Industry]], Mean_PE_L, 3, FALSE))</f>
        <v>-0.46909611977042864</v>
      </c>
      <c r="U1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9" spans="1:26" x14ac:dyDescent="0.25">
      <c r="A19" t="s">
        <v>105</v>
      </c>
      <c r="B19" t="s">
        <v>123</v>
      </c>
      <c r="C19" s="2">
        <v>26857</v>
      </c>
      <c r="D19">
        <f>RTD("tos.rtd", , "LAST", Main_L[[#This Row],[Symbol]])</f>
        <v>33.79</v>
      </c>
      <c r="E19">
        <v>-0.57999999999999996</v>
      </c>
      <c r="F19">
        <v>19.34</v>
      </c>
      <c r="G19">
        <v>1.34</v>
      </c>
      <c r="H19" s="1">
        <f>IF(ISNUMBER(Main_L[[#This Row],[Free CF]]),IF(Main_L[[#This Row],[Free CF]]&lt;&gt;0,Main_L[[#This Row],[Current Price]]/Main_L[[#This Row],[Free CF]],""),"")</f>
        <v>-58.258620689655174</v>
      </c>
      <c r="I19" s="1">
        <f>IF(ISNUMBER(Main_L[[#This Row],[BVPS]]),IF(Main_L[[#This Row],[BVPS]]&lt;&gt;0,Main_L[[#This Row],[Current Price]]/Main_L[[#This Row],[BVPS]],""),"")</f>
        <v>1.7471561530506721</v>
      </c>
      <c r="J19">
        <v>7.02</v>
      </c>
      <c r="K19">
        <v>2.97</v>
      </c>
      <c r="L19">
        <v>2.92</v>
      </c>
      <c r="M19" s="1">
        <f>IF(ISNUMBER(Main_L[[#This Row],[EPS]]),IF(Main_L[[#This Row],[EPS]]&lt;&gt;0,Main_L[[#This Row],[Current Price]]/Main_L[[#This Row],[EPS]],""),"")</f>
        <v>25.21641791044776</v>
      </c>
      <c r="N1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9" s="1">
        <f>(Main_L[[#This Row],[P/FCF]]-VLOOKUP(Main_L[[#This Row],[Industry]], Mean_PFCF_L, 2, FALSE))/(VLOOKUP(Main_L[[#This Row],[Industry]], Mean_PFCF_L, 3, FALSE))</f>
        <v>-2.7869049526769203</v>
      </c>
      <c r="P19" s="1">
        <f>(Main_L[[#This Row],[P/B]]-VLOOKUP(Main_L[[#This Row],[Industry]], Mean_PB_L, 2, FALSE))/(VLOOKUP(Main_L[[#This Row],[Industry]], Mean_PB_L, 3, FALSE))</f>
        <v>-0.11682199612792273</v>
      </c>
      <c r="Q19" s="1">
        <f>(Main_L[[#This Row],[ROE]]-VLOOKUP(Main_L[[#This Row],[Industry]], Mean_ROE_L, 2, FALSE))/(VLOOKUP(Main_L[[#This Row],[Industry]], Mean_ROE_L, 3, FALSE))</f>
        <v>-1.5855677762460973</v>
      </c>
      <c r="R19" s="1">
        <f>(Main_L[[#This Row],[ROA]]-VLOOKUP(Main_L[[#This Row],[Industry]], Mean_ROA_L, 2, FALSE))/(VLOOKUP(Main_L[[#This Row],[Industry]], Mean_ROA_L, 3, FALSE))</f>
        <v>0.63174382078597235</v>
      </c>
      <c r="S19" s="1">
        <f>(Main_L[[#This Row],[A/E]]-VLOOKUP(Main_L[[#This Row],[Industry]], Mean_AE_L, 2, FALSE))/(VLOOKUP(Main_L[[#This Row],[Industry]], Mean_AE_L, 3, FALSE))</f>
        <v>-1.4895121377612106</v>
      </c>
      <c r="T19" s="1">
        <f>(Main_L[[#This Row],[P/E]]-VLOOKUP(Main_L[[#This Row],[Industry]], Mean_PE_L, 2, FALSE))/(VLOOKUP(Main_L[[#This Row],[Industry]], Mean_PE_L, 3, FALSE))</f>
        <v>0.82939354649073149</v>
      </c>
      <c r="U1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0" spans="1:26" x14ac:dyDescent="0.25">
      <c r="A20" t="s">
        <v>105</v>
      </c>
      <c r="B20" t="s">
        <v>124</v>
      </c>
      <c r="C20" s="2">
        <v>101339</v>
      </c>
      <c r="D20">
        <f>RTD("tos.rtd", , "LAST", Main_L[[#This Row],[Symbol]])</f>
        <v>85.57</v>
      </c>
      <c r="E20">
        <v>0</v>
      </c>
      <c r="F20">
        <v>30.79</v>
      </c>
      <c r="G20">
        <v>4.17</v>
      </c>
      <c r="H20" s="1" t="str">
        <f>IF(ISNUMBER(Main_L[[#This Row],[Free CF]]),IF(Main_L[[#This Row],[Free CF]]&lt;&gt;0,Main_L[[#This Row],[Current Price]]/Main_L[[#This Row],[Free CF]],""),"")</f>
        <v/>
      </c>
      <c r="I20" s="1">
        <f>IF(ISNUMBER(Main_L[[#This Row],[BVPS]]),IF(Main_L[[#This Row],[BVPS]]&lt;&gt;0,Main_L[[#This Row],[Current Price]]/Main_L[[#This Row],[BVPS]],""),"")</f>
        <v>2.7791490743747969</v>
      </c>
      <c r="J20">
        <v>12.24</v>
      </c>
      <c r="K20">
        <v>3.46</v>
      </c>
      <c r="L20">
        <v>4.38</v>
      </c>
      <c r="M20" s="1">
        <f>IF(ISNUMBER(Main_L[[#This Row],[EPS]]),IF(Main_L[[#This Row],[EPS]]&lt;&gt;0,Main_L[[#This Row],[Current Price]]/Main_L[[#This Row],[EPS]],""),"")</f>
        <v>20.520383693045563</v>
      </c>
      <c r="N2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0" s="1" t="e">
        <f>(Main_L[[#This Row],[P/FCF]]-VLOOKUP(Main_L[[#This Row],[Industry]], Mean_PFCF_L, 2, FALSE))/(VLOOKUP(Main_L[[#This Row],[Industry]], Mean_PFCF_L, 3, FALSE))</f>
        <v>#VALUE!</v>
      </c>
      <c r="P20" s="1">
        <f>(Main_L[[#This Row],[P/B]]-VLOOKUP(Main_L[[#This Row],[Industry]], Mean_PB_L, 2, FALSE))/(VLOOKUP(Main_L[[#This Row],[Industry]], Mean_PB_L, 3, FALSE))</f>
        <v>1.8233419242357582</v>
      </c>
      <c r="Q20" s="1">
        <f>(Main_L[[#This Row],[ROE]]-VLOOKUP(Main_L[[#This Row],[Industry]], Mean_ROE_L, 2, FALSE))/(VLOOKUP(Main_L[[#This Row],[Industry]], Mean_ROE_L, 3, FALSE))</f>
        <v>2.2088912687990043</v>
      </c>
      <c r="R20" s="1">
        <f>(Main_L[[#This Row],[ROA]]-VLOOKUP(Main_L[[#This Row],[Industry]], Mean_ROA_L, 2, FALSE))/(VLOOKUP(Main_L[[#This Row],[Industry]], Mean_ROA_L, 3, FALSE))</f>
        <v>2.1752287236480923</v>
      </c>
      <c r="S20" s="1">
        <f>(Main_L[[#This Row],[A/E]]-VLOOKUP(Main_L[[#This Row],[Industry]], Mean_AE_L, 2, FALSE))/(VLOOKUP(Main_L[[#This Row],[Industry]], Mean_AE_L, 3, FALSE))</f>
        <v>1.1048521611323487</v>
      </c>
      <c r="T20" s="1">
        <f>(Main_L[[#This Row],[P/E]]-VLOOKUP(Main_L[[#This Row],[Industry]], Mean_PE_L, 2, FALSE))/(VLOOKUP(Main_L[[#This Row],[Industry]], Mean_PE_L, 3, FALSE))</f>
        <v>1.4250080366449143E-3</v>
      </c>
      <c r="U2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2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1" spans="1:26" x14ac:dyDescent="0.25">
      <c r="A21" t="s">
        <v>105</v>
      </c>
      <c r="B21" t="s">
        <v>125</v>
      </c>
      <c r="C21" s="2">
        <v>41158</v>
      </c>
      <c r="D21">
        <f>RTD("tos.rtd", , "LAST", Main_L[[#This Row],[Symbol]])</f>
        <v>68.31</v>
      </c>
      <c r="E21">
        <v>-5.63</v>
      </c>
      <c r="F21">
        <v>34.35</v>
      </c>
      <c r="G21">
        <v>3.4</v>
      </c>
      <c r="H21" s="1">
        <f>IF(ISNUMBER(Main_L[[#This Row],[Free CF]]),IF(Main_L[[#This Row],[Free CF]]&lt;&gt;0,Main_L[[#This Row],[Current Price]]/Main_L[[#This Row],[Free CF]],""),"")</f>
        <v>-12.133214920071049</v>
      </c>
      <c r="I21" s="1">
        <f>IF(ISNUMBER(Main_L[[#This Row],[BVPS]]),IF(Main_L[[#This Row],[BVPS]]&lt;&gt;0,Main_L[[#This Row],[Current Price]]/Main_L[[#This Row],[BVPS]],""),"")</f>
        <v>1.988646288209607</v>
      </c>
      <c r="J21">
        <v>10.26</v>
      </c>
      <c r="K21">
        <v>2.17</v>
      </c>
      <c r="L21">
        <v>3.67</v>
      </c>
      <c r="M21" s="1">
        <f>IF(ISNUMBER(Main_L[[#This Row],[EPS]]),IF(Main_L[[#This Row],[EPS]]&lt;&gt;0,Main_L[[#This Row],[Current Price]]/Main_L[[#This Row],[EPS]],""),"")</f>
        <v>20.091176470588238</v>
      </c>
      <c r="N2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1" s="1">
        <f>(Main_L[[#This Row],[P/FCF]]-VLOOKUP(Main_L[[#This Row],[Industry]], Mean_PFCF_L, 2, FALSE))/(VLOOKUP(Main_L[[#This Row],[Industry]], Mean_PFCF_L, 3, FALSE))</f>
        <v>0.48430348238376297</v>
      </c>
      <c r="P21" s="1">
        <f>(Main_L[[#This Row],[P/B]]-VLOOKUP(Main_L[[#This Row],[Industry]], Mean_PB_L, 2, FALSE))/(VLOOKUP(Main_L[[#This Row],[Industry]], Mean_PB_L, 3, FALSE))</f>
        <v>0.33718348945036442</v>
      </c>
      <c r="Q21" s="1">
        <f>(Main_L[[#This Row],[ROE]]-VLOOKUP(Main_L[[#This Row],[Industry]], Mean_ROE_L, 2, FALSE))/(VLOOKUP(Main_L[[#This Row],[Industry]], Mean_ROE_L, 3, FALSE))</f>
        <v>0.76961369998879314</v>
      </c>
      <c r="R21" s="1">
        <f>(Main_L[[#This Row],[ROA]]-VLOOKUP(Main_L[[#This Row],[Industry]], Mean_ROA_L, 2, FALSE))/(VLOOKUP(Main_L[[#This Row],[Industry]], Mean_ROA_L, 3, FALSE))</f>
        <v>-1.8882315308256543</v>
      </c>
      <c r="S21" s="1">
        <f>(Main_L[[#This Row],[A/E]]-VLOOKUP(Main_L[[#This Row],[Industry]], Mean_AE_L, 2, FALSE))/(VLOOKUP(Main_L[[#This Row],[Industry]], Mean_AE_L, 3, FALSE))</f>
        <v>-0.15679075134328624</v>
      </c>
      <c r="T21" s="1">
        <f>(Main_L[[#This Row],[P/E]]-VLOOKUP(Main_L[[#This Row],[Industry]], Mean_PE_L, 2, FALSE))/(VLOOKUP(Main_L[[#This Row],[Industry]], Mean_PE_L, 3, FALSE))</f>
        <v>-7.4249499477594877E-2</v>
      </c>
      <c r="U2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2" spans="1:26" x14ac:dyDescent="0.25">
      <c r="A22" t="s">
        <v>126</v>
      </c>
      <c r="B22" t="s">
        <v>127</v>
      </c>
      <c r="C22" s="2">
        <v>25819</v>
      </c>
      <c r="D22">
        <f>RTD("tos.rtd", , "LAST", Main_L[[#This Row],[Symbol]])</f>
        <v>153.66</v>
      </c>
      <c r="E22">
        <v>-8.36</v>
      </c>
      <c r="F22">
        <v>80.52</v>
      </c>
      <c r="G22">
        <v>7</v>
      </c>
      <c r="H22" s="1">
        <f>IF(ISNUMBER(Main_L[[#This Row],[Free CF]]),IF(Main_L[[#This Row],[Free CF]]&lt;&gt;0,Main_L[[#This Row],[Current Price]]/Main_L[[#This Row],[Free CF]],""),"")</f>
        <v>-18.380382775119617</v>
      </c>
      <c r="I22" s="1">
        <f>IF(ISNUMBER(Main_L[[#This Row],[BVPS]]),IF(Main_L[[#This Row],[BVPS]]&lt;&gt;0,Main_L[[#This Row],[Current Price]]/Main_L[[#This Row],[BVPS]],""),"")</f>
        <v>1.9083457526080478</v>
      </c>
      <c r="J22">
        <v>9.01</v>
      </c>
      <c r="K22">
        <v>3.5</v>
      </c>
      <c r="L22">
        <v>2.0699999999999998</v>
      </c>
      <c r="M22" s="1">
        <f>IF(ISNUMBER(Main_L[[#This Row],[EPS]]),IF(Main_L[[#This Row],[EPS]]&lt;&gt;0,Main_L[[#This Row],[Current Price]]/Main_L[[#This Row],[EPS]],""),"")</f>
        <v>21.951428571428572</v>
      </c>
      <c r="N2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2" s="1" t="e">
        <f>(Main_L[[#This Row],[P/FCF]]-VLOOKUP(Main_L[[#This Row],[Industry]], Mean_PFCF_L, 2, FALSE))/(VLOOKUP(Main_L[[#This Row],[Industry]], Mean_PFCF_L, 3, FALSE))</f>
        <v>#DIV/0!</v>
      </c>
      <c r="P22" s="1" t="e">
        <f>(Main_L[[#This Row],[P/B]]-VLOOKUP(Main_L[[#This Row],[Industry]], Mean_PB_L, 2, FALSE))/(VLOOKUP(Main_L[[#This Row],[Industry]], Mean_PB_L, 3, FALSE))</f>
        <v>#DIV/0!</v>
      </c>
      <c r="Q22" s="1" t="e">
        <f>(Main_L[[#This Row],[ROE]]-VLOOKUP(Main_L[[#This Row],[Industry]], Mean_ROE_L, 2, FALSE))/(VLOOKUP(Main_L[[#This Row],[Industry]], Mean_ROE_L, 3, FALSE))</f>
        <v>#DIV/0!</v>
      </c>
      <c r="R22" s="1" t="e">
        <f>(Main_L[[#This Row],[ROA]]-VLOOKUP(Main_L[[#This Row],[Industry]], Mean_ROA_L, 2, FALSE))/(VLOOKUP(Main_L[[#This Row],[Industry]], Mean_ROA_L, 3, FALSE))</f>
        <v>#DIV/0!</v>
      </c>
      <c r="S22" s="1" t="e">
        <f>(Main_L[[#This Row],[A/E]]-VLOOKUP(Main_L[[#This Row],[Industry]], Mean_AE_L, 2, FALSE))/(VLOOKUP(Main_L[[#This Row],[Industry]], Mean_AE_L, 3, FALSE))</f>
        <v>#DIV/0!</v>
      </c>
      <c r="T22" s="1" t="e">
        <f>(Main_L[[#This Row],[P/E]]-VLOOKUP(Main_L[[#This Row],[Industry]], Mean_PE_L, 2, FALSE))/(VLOOKUP(Main_L[[#This Row],[Industry]], Mean_PE_L, 3, FALSE))</f>
        <v>#DIV/0!</v>
      </c>
      <c r="U2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3" spans="1:26" x14ac:dyDescent="0.25">
      <c r="A23" t="s">
        <v>145</v>
      </c>
      <c r="B23" t="s">
        <v>146</v>
      </c>
      <c r="C23" s="2">
        <v>10527</v>
      </c>
      <c r="D23">
        <f>RTD("tos.rtd", , "LAST", Main_L[[#This Row],[Symbol]])</f>
        <v>241.08</v>
      </c>
      <c r="E23">
        <v>1.23</v>
      </c>
      <c r="F23">
        <v>30.18</v>
      </c>
      <c r="G23">
        <v>17.670000000000002</v>
      </c>
      <c r="H23" s="1">
        <f>IF(ISNUMBER(Main_L[[#This Row],[Free CF]]),IF(Main_L[[#This Row],[Free CF]]&lt;&gt;0,Main_L[[#This Row],[Current Price]]/Main_L[[#This Row],[Free CF]],""),"")</f>
        <v>196</v>
      </c>
      <c r="I23" s="1">
        <f>IF(ISNUMBER(Main_L[[#This Row],[BVPS]]),IF(Main_L[[#This Row],[BVPS]]&lt;&gt;0,Main_L[[#This Row],[Current Price]]/Main_L[[#This Row],[BVPS]],""),"")</f>
        <v>7.9880715705765413</v>
      </c>
      <c r="J23">
        <v>51.67</v>
      </c>
      <c r="K23">
        <v>2.15</v>
      </c>
      <c r="L23">
        <v>4.4000000000000004</v>
      </c>
      <c r="M23" s="1">
        <f>IF(ISNUMBER(Main_L[[#This Row],[EPS]]),IF(Main_L[[#This Row],[EPS]]&lt;&gt;0,Main_L[[#This Row],[Current Price]]/Main_L[[#This Row],[EPS]],""),"")</f>
        <v>13.643463497453309</v>
      </c>
      <c r="N2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3" s="1">
        <f>(Main_L[[#This Row],[P/FCF]]-VLOOKUP(Main_L[[#This Row],[Industry]], Mean_PFCF_L, 2, FALSE))/(VLOOKUP(Main_L[[#This Row],[Industry]], Mean_PFCF_L, 3, FALSE))</f>
        <v>1</v>
      </c>
      <c r="P23" s="1">
        <f>(Main_L[[#This Row],[P/B]]-VLOOKUP(Main_L[[#This Row],[Industry]], Mean_PB_L, 2, FALSE))/(VLOOKUP(Main_L[[#This Row],[Industry]], Mean_PB_L, 3, FALSE))</f>
        <v>-1.0000000000000002</v>
      </c>
      <c r="Q23" s="1">
        <f>(Main_L[[#This Row],[ROE]]-VLOOKUP(Main_L[[#This Row],[Industry]], Mean_ROE_L, 2, FALSE))/(VLOOKUP(Main_L[[#This Row],[Industry]], Mean_ROE_L, 3, FALSE))</f>
        <v>1.0000000000799787</v>
      </c>
      <c r="R23" s="1">
        <f>(Main_L[[#This Row],[ROA]]-VLOOKUP(Main_L[[#This Row],[Industry]], Mean_ROA_L, 2, FALSE))/(VLOOKUP(Main_L[[#This Row],[Industry]], Mean_ROA_L, 3, FALSE))</f>
        <v>-0.99999999999999967</v>
      </c>
      <c r="S23" s="1">
        <f>(Main_L[[#This Row],[A/E]]-VLOOKUP(Main_L[[#This Row],[Industry]], Mean_AE_L, 2, FALSE))/(VLOOKUP(Main_L[[#This Row],[Industry]], Mean_AE_L, 3, FALSE))</f>
        <v>-0.99999999999999878</v>
      </c>
      <c r="T23" s="1">
        <f>(Main_L[[#This Row],[P/E]]-VLOOKUP(Main_L[[#This Row],[Industry]], Mean_PE_L, 2, FALSE))/(VLOOKUP(Main_L[[#This Row],[Industry]], Mean_PE_L, 3, FALSE))</f>
        <v>-0.99999999999999956</v>
      </c>
      <c r="U2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4" spans="1:26" x14ac:dyDescent="0.25">
      <c r="A24" t="s">
        <v>145</v>
      </c>
      <c r="B24" t="s">
        <v>147</v>
      </c>
      <c r="C24" s="2">
        <v>47452</v>
      </c>
      <c r="D24">
        <f>RTD("tos.rtd", , "LAST", Main_L[[#This Row],[Symbol]])</f>
        <v>155</v>
      </c>
      <c r="E24">
        <v>5.39</v>
      </c>
      <c r="F24">
        <v>9.11</v>
      </c>
      <c r="G24">
        <v>7</v>
      </c>
      <c r="H24" s="1">
        <f>IF(ISNUMBER(Main_L[[#This Row],[Free CF]]),IF(Main_L[[#This Row],[Free CF]]&lt;&gt;0,Main_L[[#This Row],[Current Price]]/Main_L[[#This Row],[Free CF]],""),"")</f>
        <v>28.756957328385901</v>
      </c>
      <c r="I24" s="1">
        <f>IF(ISNUMBER(Main_L[[#This Row],[BVPS]]),IF(Main_L[[#This Row],[BVPS]]&lt;&gt;0,Main_L[[#This Row],[Current Price]]/Main_L[[#This Row],[BVPS]],""),"")</f>
        <v>17.014270032930845</v>
      </c>
      <c r="J24">
        <v>51.57</v>
      </c>
      <c r="K24">
        <v>7.21</v>
      </c>
      <c r="L24">
        <v>12.21</v>
      </c>
      <c r="M24" s="1">
        <f>IF(ISNUMBER(Main_L[[#This Row],[EPS]]),IF(Main_L[[#This Row],[EPS]]&lt;&gt;0,Main_L[[#This Row],[Current Price]]/Main_L[[#This Row],[EPS]],""),"")</f>
        <v>22.142857142857142</v>
      </c>
      <c r="N2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4" s="1">
        <f>(Main_L[[#This Row],[P/FCF]]-VLOOKUP(Main_L[[#This Row],[Industry]], Mean_PFCF_L, 2, FALSE))/(VLOOKUP(Main_L[[#This Row],[Industry]], Mean_PFCF_L, 3, FALSE))</f>
        <v>-1</v>
      </c>
      <c r="P24" s="1">
        <f>(Main_L[[#This Row],[P/B]]-VLOOKUP(Main_L[[#This Row],[Industry]], Mean_PB_L, 2, FALSE))/(VLOOKUP(Main_L[[#This Row],[Industry]], Mean_PB_L, 3, FALSE))</f>
        <v>1.0000000000000004</v>
      </c>
      <c r="Q24" s="1">
        <f>(Main_L[[#This Row],[ROE]]-VLOOKUP(Main_L[[#This Row],[Industry]], Mean_ROE_L, 2, FALSE))/(VLOOKUP(Main_L[[#This Row],[Industry]], Mean_ROE_L, 3, FALSE))</f>
        <v>-1.0000000000801208</v>
      </c>
      <c r="R24" s="1">
        <f>(Main_L[[#This Row],[ROA]]-VLOOKUP(Main_L[[#This Row],[Industry]], Mean_ROA_L, 2, FALSE))/(VLOOKUP(Main_L[[#This Row],[Industry]], Mean_ROA_L, 3, FALSE))</f>
        <v>0.99999999999999978</v>
      </c>
      <c r="S24" s="1">
        <f>(Main_L[[#This Row],[A/E]]-VLOOKUP(Main_L[[#This Row],[Industry]], Mean_AE_L, 2, FALSE))/(VLOOKUP(Main_L[[#This Row],[Industry]], Mean_AE_L, 3, FALSE))</f>
        <v>0.99999999999999922</v>
      </c>
      <c r="T24" s="1">
        <f>(Main_L[[#This Row],[P/E]]-VLOOKUP(Main_L[[#This Row],[Industry]], Mean_PE_L, 2, FALSE))/(VLOOKUP(Main_L[[#This Row],[Industry]], Mean_PE_L, 3, FALSE))</f>
        <v>1</v>
      </c>
      <c r="U2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5" spans="1:26" x14ac:dyDescent="0.25">
      <c r="A25" t="s">
        <v>128</v>
      </c>
      <c r="B25" t="s">
        <v>129</v>
      </c>
      <c r="C25" s="2">
        <v>26904</v>
      </c>
      <c r="D25">
        <f>RTD("tos.rtd", , "LAST", Main_L[[#This Row],[Symbol]])</f>
        <v>94.32</v>
      </c>
      <c r="E25">
        <v>-7.05</v>
      </c>
      <c r="F25">
        <v>45.21</v>
      </c>
      <c r="G25">
        <v>4.51</v>
      </c>
      <c r="H25" s="1">
        <f>IF(ISNUMBER(Main_L[[#This Row],[Free CF]]),IF(Main_L[[#This Row],[Free CF]]&lt;&gt;0,Main_L[[#This Row],[Current Price]]/Main_L[[#This Row],[Free CF]],""),"")</f>
        <v>-13.378723404255318</v>
      </c>
      <c r="I25" s="1">
        <f>IF(ISNUMBER(Main_L[[#This Row],[BVPS]]),IF(Main_L[[#This Row],[BVPS]]&lt;&gt;0,Main_L[[#This Row],[Current Price]]/Main_L[[#This Row],[BVPS]],""),"")</f>
        <v>2.0862641008626408</v>
      </c>
      <c r="J25">
        <v>10.16</v>
      </c>
      <c r="K25">
        <v>2.7</v>
      </c>
      <c r="L25">
        <v>3.74</v>
      </c>
      <c r="M25" s="1">
        <f>IF(ISNUMBER(Main_L[[#This Row],[EPS]]),IF(Main_L[[#This Row],[EPS]]&lt;&gt;0,Main_L[[#This Row],[Current Price]]/Main_L[[#This Row],[EPS]],""),"")</f>
        <v>20.913525498891353</v>
      </c>
      <c r="N2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5" s="1">
        <f>(Main_L[[#This Row],[P/FCF]]-VLOOKUP(Main_L[[#This Row],[Industry]], Mean_PFCF_L, 2, FALSE))/(VLOOKUP(Main_L[[#This Row],[Industry]], Mean_PFCF_L, 3, FALSE))</f>
        <v>0.37965535939547757</v>
      </c>
      <c r="P25" s="1">
        <f>(Main_L[[#This Row],[P/B]]-VLOOKUP(Main_L[[#This Row],[Industry]], Mean_PB_L, 2, FALSE))/(VLOOKUP(Main_L[[#This Row],[Industry]], Mean_PB_L, 3, FALSE))</f>
        <v>-0.2618898342027754</v>
      </c>
      <c r="Q25" s="1">
        <f>(Main_L[[#This Row],[ROE]]-VLOOKUP(Main_L[[#This Row],[Industry]], Mean_ROE_L, 2, FALSE))/(VLOOKUP(Main_L[[#This Row],[Industry]], Mean_ROE_L, 3, FALSE))</f>
        <v>0.34745899286027682</v>
      </c>
      <c r="R25" s="1">
        <f>(Main_L[[#This Row],[ROA]]-VLOOKUP(Main_L[[#This Row],[Industry]], Mean_ROA_L, 2, FALSE))/(VLOOKUP(Main_L[[#This Row],[Industry]], Mean_ROA_L, 3, FALSE))</f>
        <v>-1.9652003404474496</v>
      </c>
      <c r="S25" s="1">
        <f>(Main_L[[#This Row],[A/E]]-VLOOKUP(Main_L[[#This Row],[Industry]], Mean_AE_L, 2, FALSE))/(VLOOKUP(Main_L[[#This Row],[Industry]], Mean_AE_L, 3, FALSE))</f>
        <v>0.16670897815537533</v>
      </c>
      <c r="T25" s="1">
        <f>(Main_L[[#This Row],[P/E]]-VLOOKUP(Main_L[[#This Row],[Industry]], Mean_PE_L, 2, FALSE))/(VLOOKUP(Main_L[[#This Row],[Industry]], Mean_PE_L, 3, FALSE))</f>
        <v>0.11937800171090686</v>
      </c>
      <c r="U2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6" spans="1:26" x14ac:dyDescent="0.25">
      <c r="A26" t="s">
        <v>128</v>
      </c>
      <c r="B26" t="s">
        <v>130</v>
      </c>
      <c r="C26" s="2">
        <v>14689</v>
      </c>
      <c r="D26">
        <f>RTD("tos.rtd", , "LAST", Main_L[[#This Row],[Symbol]])</f>
        <v>32.340000000000003</v>
      </c>
      <c r="E26">
        <v>2.1800000000000002</v>
      </c>
      <c r="F26">
        <v>9.93</v>
      </c>
      <c r="G26">
        <v>0.01</v>
      </c>
      <c r="H26" s="1">
        <f>IF(ISNUMBER(Main_L[[#This Row],[Free CF]]),IF(Main_L[[#This Row],[Free CF]]&lt;&gt;0,Main_L[[#This Row],[Current Price]]/Main_L[[#This Row],[Free CF]],""),"")</f>
        <v>14.834862385321101</v>
      </c>
      <c r="I26" s="1">
        <f>IF(ISNUMBER(Main_L[[#This Row],[BVPS]]),IF(Main_L[[#This Row],[BVPS]]&lt;&gt;0,Main_L[[#This Row],[Current Price]]/Main_L[[#This Row],[BVPS]],""),"")</f>
        <v>3.2567975830815716</v>
      </c>
      <c r="J26">
        <v>4.47</v>
      </c>
      <c r="K26">
        <v>3.09</v>
      </c>
      <c r="L26">
        <v>22.61</v>
      </c>
      <c r="M26" s="1">
        <f>IF(ISNUMBER(Main_L[[#This Row],[EPS]]),IF(Main_L[[#This Row],[EPS]]&lt;&gt;0,Main_L[[#This Row],[Current Price]]/Main_L[[#This Row],[EPS]],""),"")</f>
        <v>3234.0000000000005</v>
      </c>
      <c r="N2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6" s="1">
        <f>(Main_L[[#This Row],[P/FCF]]-VLOOKUP(Main_L[[#This Row],[Industry]], Mean_PFCF_L, 2, FALSE))/(VLOOKUP(Main_L[[#This Row],[Industry]], Mean_PFCF_L, 3, FALSE))</f>
        <v>1.8045361284002137</v>
      </c>
      <c r="P26" s="1">
        <f>(Main_L[[#This Row],[P/B]]-VLOOKUP(Main_L[[#This Row],[Industry]], Mean_PB_L, 2, FALSE))/(VLOOKUP(Main_L[[#This Row],[Industry]], Mean_PB_L, 3, FALSE))</f>
        <v>2.1744804806582274</v>
      </c>
      <c r="Q26" s="1">
        <f>(Main_L[[#This Row],[ROE]]-VLOOKUP(Main_L[[#This Row],[Industry]], Mean_ROE_L, 2, FALSE))/(VLOOKUP(Main_L[[#This Row],[Industry]], Mean_ROE_L, 3, FALSE))</f>
        <v>-1.8822872507957102</v>
      </c>
      <c r="R26" s="1">
        <f>(Main_L[[#This Row],[ROA]]-VLOOKUP(Main_L[[#This Row],[Industry]], Mean_ROA_L, 2, FALSE))/(VLOOKUP(Main_L[[#This Row],[Industry]], Mean_ROA_L, 3, FALSE))</f>
        <v>0.97232908830500919</v>
      </c>
      <c r="S26" s="1">
        <f>(Main_L[[#This Row],[A/E]]-VLOOKUP(Main_L[[#This Row],[Industry]], Mean_AE_L, 2, FALSE))/(VLOOKUP(Main_L[[#This Row],[Industry]], Mean_AE_L, 3, FALSE))</f>
        <v>38.615356306723349</v>
      </c>
      <c r="T26" s="1">
        <f>(Main_L[[#This Row],[P/E]]-VLOOKUP(Main_L[[#This Row],[Industry]], Mean_PE_L, 2, FALSE))/(VLOOKUP(Main_L[[#This Row],[Industry]], Mean_PE_L, 3, FALSE))</f>
        <v>1434.8437087532238</v>
      </c>
      <c r="U2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2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27" spans="1:26" x14ac:dyDescent="0.25">
      <c r="A27" t="s">
        <v>128</v>
      </c>
      <c r="B27" t="s">
        <v>131</v>
      </c>
      <c r="C27" s="2">
        <v>22120</v>
      </c>
      <c r="D27">
        <f>RTD("tos.rtd", , "LAST", Main_L[[#This Row],[Symbol]])</f>
        <v>69.239999999999995</v>
      </c>
      <c r="E27">
        <v>-2.98</v>
      </c>
      <c r="F27">
        <v>27.12</v>
      </c>
      <c r="G27">
        <v>3.38</v>
      </c>
      <c r="H27" s="1">
        <f>IF(ISNUMBER(Main_L[[#This Row],[Free CF]]),IF(Main_L[[#This Row],[Free CF]]&lt;&gt;0,Main_L[[#This Row],[Current Price]]/Main_L[[#This Row],[Free CF]],""),"")</f>
        <v>-23.234899328859058</v>
      </c>
      <c r="I27" s="1">
        <f>IF(ISNUMBER(Main_L[[#This Row],[BVPS]]),IF(Main_L[[#This Row],[BVPS]]&lt;&gt;0,Main_L[[#This Row],[Current Price]]/Main_L[[#This Row],[BVPS]],""),"")</f>
        <v>2.553097345132743</v>
      </c>
      <c r="J27">
        <v>11.23</v>
      </c>
      <c r="K27">
        <v>3.09</v>
      </c>
      <c r="L27">
        <v>4.47</v>
      </c>
      <c r="M27" s="1">
        <f>IF(ISNUMBER(Main_L[[#This Row],[EPS]]),IF(Main_L[[#This Row],[EPS]]&lt;&gt;0,Main_L[[#This Row],[Current Price]]/Main_L[[#This Row],[EPS]],""),"")</f>
        <v>20.485207100591715</v>
      </c>
      <c r="N2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7" s="1">
        <f>(Main_L[[#This Row],[P/FCF]]-VLOOKUP(Main_L[[#This Row],[Industry]], Mean_PFCF_L, 2, FALSE))/(VLOOKUP(Main_L[[#This Row],[Industry]], Mean_PFCF_L, 3, FALSE))</f>
        <v>-0.1181146027652305</v>
      </c>
      <c r="P27" s="1">
        <f>(Main_L[[#This Row],[P/B]]-VLOOKUP(Main_L[[#This Row],[Industry]], Mean_PB_L, 2, FALSE))/(VLOOKUP(Main_L[[#This Row],[Industry]], Mean_PB_L, 3, FALSE))</f>
        <v>0.70978562455800409</v>
      </c>
      <c r="Q27" s="1">
        <f>(Main_L[[#This Row],[ROE]]-VLOOKUP(Main_L[[#This Row],[Industry]], Mean_ROE_L, 2, FALSE))/(VLOOKUP(Main_L[[#This Row],[Industry]], Mean_ROE_L, 3, FALSE))</f>
        <v>0.76676101056008472</v>
      </c>
      <c r="R27" s="1">
        <f>(Main_L[[#This Row],[ROA]]-VLOOKUP(Main_L[[#This Row],[Industry]], Mean_ROA_L, 2, FALSE))/(VLOOKUP(Main_L[[#This Row],[Industry]], Mean_ROA_L, 3, FALSE))</f>
        <v>0.97232908830500919</v>
      </c>
      <c r="S27" s="1">
        <f>(Main_L[[#This Row],[A/E]]-VLOOKUP(Main_L[[#This Row],[Industry]], Mean_AE_L, 2, FALSE))/(VLOOKUP(Main_L[[#This Row],[Industry]], Mean_AE_L, 3, FALSE))</f>
        <v>1.6541235276972195</v>
      </c>
      <c r="T27" s="1">
        <f>(Main_L[[#This Row],[P/E]]-VLOOKUP(Main_L[[#This Row],[Industry]], Mean_PE_L, 2, FALSE))/(VLOOKUP(Main_L[[#This Row],[Industry]], Mean_PE_L, 3, FALSE))</f>
        <v>-7.1876990093950474E-2</v>
      </c>
      <c r="U2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8" spans="1:26" x14ac:dyDescent="0.25">
      <c r="A28" t="s">
        <v>128</v>
      </c>
      <c r="B28" t="s">
        <v>132</v>
      </c>
      <c r="C28" s="2">
        <v>25489</v>
      </c>
      <c r="D28">
        <f>RTD("tos.rtd", , "LAST", Main_L[[#This Row],[Symbol]])</f>
        <v>36.659999999999997</v>
      </c>
      <c r="E28">
        <v>-4.71</v>
      </c>
      <c r="F28">
        <v>16.78</v>
      </c>
      <c r="G28">
        <v>1.48</v>
      </c>
      <c r="H28" s="1">
        <f>IF(ISNUMBER(Main_L[[#This Row],[Free CF]]),IF(Main_L[[#This Row],[Free CF]]&lt;&gt;0,Main_L[[#This Row],[Current Price]]/Main_L[[#This Row],[Free CF]],""),"")</f>
        <v>-7.7834394904458595</v>
      </c>
      <c r="I28" s="1">
        <f>IF(ISNUMBER(Main_L[[#This Row],[BVPS]]),IF(Main_L[[#This Row],[BVPS]]&lt;&gt;0,Main_L[[#This Row],[Current Price]]/Main_L[[#This Row],[BVPS]],""),"")</f>
        <v>2.1847437425506553</v>
      </c>
      <c r="J28">
        <v>9.2200000000000006</v>
      </c>
      <c r="K28">
        <v>2.97</v>
      </c>
      <c r="L28">
        <v>4.0599999999999996</v>
      </c>
      <c r="M28" s="1">
        <f>IF(ISNUMBER(Main_L[[#This Row],[EPS]]),IF(Main_L[[#This Row],[EPS]]&lt;&gt;0,Main_L[[#This Row],[Current Price]]/Main_L[[#This Row],[EPS]],""),"")</f>
        <v>24.770270270270267</v>
      </c>
      <c r="N2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8" s="1">
        <f>(Main_L[[#This Row],[P/FCF]]-VLOOKUP(Main_L[[#This Row],[Industry]], Mean_PFCF_L, 2, FALSE))/(VLOOKUP(Main_L[[#This Row],[Industry]], Mean_PFCF_L, 3, FALSE))</f>
        <v>0.66223597518002464</v>
      </c>
      <c r="P28" s="1">
        <f>(Main_L[[#This Row],[P/B]]-VLOOKUP(Main_L[[#This Row],[Industry]], Mean_PB_L, 2, FALSE))/(VLOOKUP(Main_L[[#This Row],[Industry]], Mean_PB_L, 3, FALSE))</f>
        <v>-5.6912463395751609E-2</v>
      </c>
      <c r="Q28" s="1">
        <f>(Main_L[[#This Row],[ROE]]-VLOOKUP(Main_L[[#This Row],[Industry]], Mean_ROE_L, 2, FALSE))/(VLOOKUP(Main_L[[#This Row],[Industry]], Mean_ROE_L, 3, FALSE))</f>
        <v>-2.0899789044226964E-2</v>
      </c>
      <c r="R28" s="1">
        <f>(Main_L[[#This Row],[ROA]]-VLOOKUP(Main_L[[#This Row],[Industry]], Mean_ROA_L, 2, FALSE))/(VLOOKUP(Main_L[[#This Row],[Industry]], Mean_ROA_L, 3, FALSE))</f>
        <v>6.8473879458100601E-2</v>
      </c>
      <c r="S28" s="1">
        <f>(Main_L[[#This Row],[A/E]]-VLOOKUP(Main_L[[#This Row],[Industry]], Mean_AE_L, 2, FALSE))/(VLOOKUP(Main_L[[#This Row],[Industry]], Mean_AE_L, 3, FALSE))</f>
        <v>0.81872631494084047</v>
      </c>
      <c r="T28" s="1">
        <f>(Main_L[[#This Row],[P/E]]-VLOOKUP(Main_L[[#This Row],[Industry]], Mean_PE_L, 2, FALSE))/(VLOOKUP(Main_L[[#This Row],[Industry]], Mean_PE_L, 3, FALSE))</f>
        <v>1.8415120323099945</v>
      </c>
      <c r="U2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9" spans="1:26" x14ac:dyDescent="0.25">
      <c r="A29" t="s">
        <v>128</v>
      </c>
      <c r="B29" t="s">
        <v>133</v>
      </c>
      <c r="C29" s="2">
        <v>47031</v>
      </c>
      <c r="D29">
        <f>RTD("tos.rtd", , "LAST", Main_L[[#This Row],[Symbol]])</f>
        <v>53.81</v>
      </c>
      <c r="E29">
        <v>-10.08</v>
      </c>
      <c r="F29">
        <v>30.92</v>
      </c>
      <c r="G29">
        <v>2.59</v>
      </c>
      <c r="H29" s="1">
        <f>IF(ISNUMBER(Main_L[[#This Row],[Free CF]]),IF(Main_L[[#This Row],[Free CF]]&lt;&gt;0,Main_L[[#This Row],[Current Price]]/Main_L[[#This Row],[Free CF]],""),"")</f>
        <v>-5.3382936507936511</v>
      </c>
      <c r="I29" s="1">
        <f>IF(ISNUMBER(Main_L[[#This Row],[BVPS]]),IF(Main_L[[#This Row],[BVPS]]&lt;&gt;0,Main_L[[#This Row],[Current Price]]/Main_L[[#This Row],[BVPS]],""),"")</f>
        <v>1.7402975420439843</v>
      </c>
      <c r="J29">
        <v>7.72</v>
      </c>
      <c r="K29">
        <v>2.86</v>
      </c>
      <c r="L29">
        <v>3.96</v>
      </c>
      <c r="M29" s="1">
        <f>IF(ISNUMBER(Main_L[[#This Row],[EPS]]),IF(Main_L[[#This Row],[EPS]]&lt;&gt;0,Main_L[[#This Row],[Current Price]]/Main_L[[#This Row],[EPS]],""),"")</f>
        <v>20.776061776061777</v>
      </c>
      <c r="N2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9" s="1">
        <f>(Main_L[[#This Row],[P/FCF]]-VLOOKUP(Main_L[[#This Row],[Industry]], Mean_PFCF_L, 2, FALSE))/(VLOOKUP(Main_L[[#This Row],[Industry]], Mean_PFCF_L, 3, FALSE))</f>
        <v>0.78572404615112246</v>
      </c>
      <c r="P29" s="1">
        <f>(Main_L[[#This Row],[P/B]]-VLOOKUP(Main_L[[#This Row],[Industry]], Mean_PB_L, 2, FALSE))/(VLOOKUP(Main_L[[#This Row],[Industry]], Mean_PB_L, 3, FALSE))</f>
        <v>-0.98199110994119576</v>
      </c>
      <c r="Q29" s="1">
        <f>(Main_L[[#This Row],[ROE]]-VLOOKUP(Main_L[[#This Row],[Industry]], Mean_ROE_L, 2, FALSE))/(VLOOKUP(Main_L[[#This Row],[Industry]], Mean_ROE_L, 3, FALSE))</f>
        <v>-0.60870635591311673</v>
      </c>
      <c r="R29" s="1">
        <f>(Main_L[[#This Row],[ROA]]-VLOOKUP(Main_L[[#This Row],[Industry]], Mean_ROA_L, 2, FALSE))/(VLOOKUP(Main_L[[#This Row],[Industry]], Mean_ROA_L, 3, FALSE))</f>
        <v>-0.76006006198490372</v>
      </c>
      <c r="S29" s="1">
        <f>(Main_L[[#This Row],[A/E]]-VLOOKUP(Main_L[[#This Row],[Industry]], Mean_AE_L, 2, FALSE))/(VLOOKUP(Main_L[[#This Row],[Industry]], Mean_AE_L, 3, FALSE))</f>
        <v>0.614970897195383</v>
      </c>
      <c r="T29" s="1">
        <f>(Main_L[[#This Row],[P/E]]-VLOOKUP(Main_L[[#This Row],[Industry]], Mean_PE_L, 2, FALSE))/(VLOOKUP(Main_L[[#This Row],[Industry]], Mean_PE_L, 3, FALSE))</f>
        <v>5.7996974681468624E-2</v>
      </c>
      <c r="U2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0" spans="1:26" x14ac:dyDescent="0.25">
      <c r="A30" t="s">
        <v>128</v>
      </c>
      <c r="B30" t="s">
        <v>134</v>
      </c>
      <c r="C30" s="2">
        <v>28764</v>
      </c>
      <c r="D30">
        <f>RTD("tos.rtd", , "LAST", Main_L[[#This Row],[Symbol]])</f>
        <v>132.84</v>
      </c>
      <c r="E30">
        <v>-3.22</v>
      </c>
      <c r="F30">
        <v>57.45</v>
      </c>
      <c r="G30">
        <v>7.39</v>
      </c>
      <c r="H30" s="1">
        <f>IF(ISNUMBER(Main_L[[#This Row],[Free CF]]),IF(Main_L[[#This Row],[Free CF]]&lt;&gt;0,Main_L[[#This Row],[Current Price]]/Main_L[[#This Row],[Free CF]],""),"")</f>
        <v>-41.254658385093165</v>
      </c>
      <c r="I30" s="1">
        <f>IF(ISNUMBER(Main_L[[#This Row],[BVPS]]),IF(Main_L[[#This Row],[BVPS]]&lt;&gt;0,Main_L[[#This Row],[Current Price]]/Main_L[[#This Row],[BVPS]],""),"")</f>
        <v>2.3122715404699736</v>
      </c>
      <c r="J30">
        <v>13.3</v>
      </c>
      <c r="K30">
        <v>2.91</v>
      </c>
      <c r="L30">
        <v>4.16</v>
      </c>
      <c r="M30" s="1">
        <f>IF(ISNUMBER(Main_L[[#This Row],[EPS]]),IF(Main_L[[#This Row],[EPS]]&lt;&gt;0,Main_L[[#This Row],[Current Price]]/Main_L[[#This Row],[EPS]],""),"")</f>
        <v>17.975642760487148</v>
      </c>
      <c r="N3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0" s="1">
        <f>(Main_L[[#This Row],[P/FCF]]-VLOOKUP(Main_L[[#This Row],[Industry]], Mean_PFCF_L, 2, FALSE))/(VLOOKUP(Main_L[[#This Row],[Industry]], Mean_PFCF_L, 3, FALSE))</f>
        <v>-1.0281729105898596</v>
      </c>
      <c r="P30" s="1">
        <f>(Main_L[[#This Row],[P/B]]-VLOOKUP(Main_L[[#This Row],[Industry]], Mean_PB_L, 2, FALSE))/(VLOOKUP(Main_L[[#This Row],[Industry]], Mean_PB_L, 3, FALSE))</f>
        <v>0.20852628388487274</v>
      </c>
      <c r="Q30" s="1">
        <f>(Main_L[[#This Row],[ROE]]-VLOOKUP(Main_L[[#This Row],[Industry]], Mean_ROE_L, 2, FALSE))/(VLOOKUP(Main_L[[#This Row],[Industry]], Mean_ROE_L, 3, FALSE))</f>
        <v>1.5779340728391522</v>
      </c>
      <c r="R30" s="1">
        <f>(Main_L[[#This Row],[ROA]]-VLOOKUP(Main_L[[#This Row],[Industry]], Mean_ROA_L, 2, FALSE))/(VLOOKUP(Main_L[[#This Row],[Industry]], Mean_ROA_L, 3, FALSE))</f>
        <v>-0.38345372496535535</v>
      </c>
      <c r="S30" s="1">
        <f>(Main_L[[#This Row],[A/E]]-VLOOKUP(Main_L[[#This Row],[Industry]], Mean_AE_L, 2, FALSE))/(VLOOKUP(Main_L[[#This Row],[Industry]], Mean_AE_L, 3, FALSE))</f>
        <v>1.0224817326862998</v>
      </c>
      <c r="T30" s="1">
        <f>(Main_L[[#This Row],[P/E]]-VLOOKUP(Main_L[[#This Row],[Industry]], Mean_PE_L, 2, FALSE))/(VLOOKUP(Main_L[[#This Row],[Industry]], Mean_PE_L, 3, FALSE))</f>
        <v>-1.1924609043172478</v>
      </c>
      <c r="U3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1" spans="1:26" x14ac:dyDescent="0.25">
      <c r="A31" t="s">
        <v>128</v>
      </c>
      <c r="B31" t="s">
        <v>135</v>
      </c>
      <c r="C31" s="2">
        <v>40007</v>
      </c>
      <c r="D31">
        <f>RTD("tos.rtd", , "LAST", Main_L[[#This Row],[Symbol]])</f>
        <v>100.58</v>
      </c>
      <c r="E31">
        <v>-2.34</v>
      </c>
      <c r="F31">
        <v>66.06</v>
      </c>
      <c r="G31">
        <v>5.42</v>
      </c>
      <c r="H31" s="1">
        <f>IF(ISNUMBER(Main_L[[#This Row],[Free CF]]),IF(Main_L[[#This Row],[Free CF]]&lt;&gt;0,Main_L[[#This Row],[Current Price]]/Main_L[[#This Row],[Free CF]],""),"")</f>
        <v>-42.982905982905983</v>
      </c>
      <c r="I31" s="1">
        <f>IF(ISNUMBER(Main_L[[#This Row],[BVPS]]),IF(Main_L[[#This Row],[BVPS]]&lt;&gt;0,Main_L[[#This Row],[Current Price]]/Main_L[[#This Row],[BVPS]],""),"")</f>
        <v>1.5225552528004844</v>
      </c>
      <c r="J31">
        <v>8.33</v>
      </c>
      <c r="K31">
        <v>3.11</v>
      </c>
      <c r="L31">
        <v>2.97</v>
      </c>
      <c r="M31" s="1">
        <f>IF(ISNUMBER(Main_L[[#This Row],[EPS]]),IF(Main_L[[#This Row],[EPS]]&lt;&gt;0,Main_L[[#This Row],[Current Price]]/Main_L[[#This Row],[EPS]],""),"")</f>
        <v>18.55719557195572</v>
      </c>
      <c r="N3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1" s="1">
        <f>(Main_L[[#This Row],[P/FCF]]-VLOOKUP(Main_L[[#This Row],[Industry]], Mean_PFCF_L, 2, FALSE))/(VLOOKUP(Main_L[[#This Row],[Industry]], Mean_PFCF_L, 3, FALSE))</f>
        <v>-1.1154552143908856</v>
      </c>
      <c r="P31" s="1">
        <f>(Main_L[[#This Row],[P/B]]-VLOOKUP(Main_L[[#This Row],[Industry]], Mean_PB_L, 2, FALSE))/(VLOOKUP(Main_L[[#This Row],[Industry]], Mean_PB_L, 3, FALSE))</f>
        <v>-1.4352039892490935</v>
      </c>
      <c r="Q31" s="1">
        <f>(Main_L[[#This Row],[ROE]]-VLOOKUP(Main_L[[#This Row],[Industry]], Mean_ROE_L, 2, FALSE))/(VLOOKUP(Main_L[[#This Row],[Industry]], Mean_ROE_L, 3, FALSE))</f>
        <v>-0.3696650187197682</v>
      </c>
      <c r="R31" s="1">
        <f>(Main_L[[#This Row],[ROA]]-VLOOKUP(Main_L[[#This Row],[Industry]], Mean_ROA_L, 2, FALSE))/(VLOOKUP(Main_L[[#This Row],[Industry]], Mean_ROA_L, 3, FALSE))</f>
        <v>1.1229716231128279</v>
      </c>
      <c r="S31" s="1">
        <f>(Main_L[[#This Row],[A/E]]-VLOOKUP(Main_L[[#This Row],[Industry]], Mean_AE_L, 2, FALSE))/(VLOOKUP(Main_L[[#This Row],[Industry]], Mean_AE_L, 3, FALSE))</f>
        <v>-1.4022077384846532</v>
      </c>
      <c r="T31" s="1">
        <f>(Main_L[[#This Row],[P/E]]-VLOOKUP(Main_L[[#This Row],[Industry]], Mean_PE_L, 2, FALSE))/(VLOOKUP(Main_L[[#This Row],[Industry]], Mean_PE_L, 3, FALSE))</f>
        <v>-0.93278287359743672</v>
      </c>
      <c r="U3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2" spans="1:26" x14ac:dyDescent="0.25">
      <c r="A32" t="s">
        <v>128</v>
      </c>
      <c r="B32" t="s">
        <v>136</v>
      </c>
      <c r="C32" s="2">
        <v>71137</v>
      </c>
      <c r="D32">
        <f>RTD("tos.rtd", , "LAST", Main_L[[#This Row],[Symbol]])</f>
        <v>67.53</v>
      </c>
      <c r="E32">
        <v>-0.49</v>
      </c>
      <c r="F32">
        <v>10.59</v>
      </c>
      <c r="G32">
        <v>0.56000000000000005</v>
      </c>
      <c r="H32" s="1">
        <f>IF(ISNUMBER(Main_L[[#This Row],[Free CF]]),IF(Main_L[[#This Row],[Free CF]]&lt;&gt;0,Main_L[[#This Row],[Current Price]]/Main_L[[#This Row],[Free CF]],""),"")</f>
        <v>-137.81632653061226</v>
      </c>
      <c r="I32" s="1">
        <f>IF(ISNUMBER(Main_L[[#This Row],[BVPS]]),IF(Main_L[[#This Row],[BVPS]]&lt;&gt;0,Main_L[[#This Row],[Current Price]]/Main_L[[#This Row],[BVPS]],""),"")</f>
        <v>6.3767705382436262</v>
      </c>
      <c r="J32">
        <v>5.28</v>
      </c>
      <c r="K32">
        <v>3.16</v>
      </c>
      <c r="L32">
        <v>2.84</v>
      </c>
      <c r="M32" s="1">
        <f>IF(ISNUMBER(Main_L[[#This Row],[EPS]]),IF(Main_L[[#This Row],[EPS]]&lt;&gt;0,Main_L[[#This Row],[Current Price]]/Main_L[[#This Row],[EPS]],""),"")</f>
        <v>120.58928571428571</v>
      </c>
      <c r="N3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2" s="1">
        <f>(Main_L[[#This Row],[P/FCF]]-VLOOKUP(Main_L[[#This Row],[Industry]], Mean_PFCF_L, 2, FALSE))/(VLOOKUP(Main_L[[#This Row],[Industry]], Mean_PFCF_L, 3, FALSE))</f>
        <v>-5.9048612191847898</v>
      </c>
      <c r="P32" s="1">
        <f>(Main_L[[#This Row],[P/B]]-VLOOKUP(Main_L[[#This Row],[Industry]], Mean_PB_L, 2, FALSE))/(VLOOKUP(Main_L[[#This Row],[Industry]], Mean_PB_L, 3, FALSE))</f>
        <v>8.6684506289672854</v>
      </c>
      <c r="Q32" s="1">
        <f>(Main_L[[#This Row],[ROE]]-VLOOKUP(Main_L[[#This Row],[Industry]], Mean_ROE_L, 2, FALSE))/(VLOOKUP(Main_L[[#This Row],[Industry]], Mean_ROE_L, 3, FALSE))</f>
        <v>-1.5648717046865099</v>
      </c>
      <c r="R32" s="1">
        <f>(Main_L[[#This Row],[ROA]]-VLOOKUP(Main_L[[#This Row],[Industry]], Mean_ROA_L, 2, FALSE))/(VLOOKUP(Main_L[[#This Row],[Industry]], Mean_ROA_L, 3, FALSE))</f>
        <v>1.4995779601323762</v>
      </c>
      <c r="S32" s="1">
        <f>(Main_L[[#This Row],[A/E]]-VLOOKUP(Main_L[[#This Row],[Industry]], Mean_AE_L, 2, FALSE))/(VLOOKUP(Main_L[[#This Row],[Industry]], Mean_AE_L, 3, FALSE))</f>
        <v>-1.6670897815537495</v>
      </c>
      <c r="T32" s="1">
        <f>(Main_L[[#This Row],[P/E]]-VLOOKUP(Main_L[[#This Row],[Industry]], Mean_PE_L, 2, FALSE))/(VLOOKUP(Main_L[[#This Row],[Industry]], Mean_PE_L, 3, FALSE))</f>
        <v>44.627124525832841</v>
      </c>
      <c r="U3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3" spans="1:26" x14ac:dyDescent="0.25">
      <c r="A33" t="s">
        <v>128</v>
      </c>
      <c r="B33" t="s">
        <v>137</v>
      </c>
      <c r="C33" s="2">
        <v>19050</v>
      </c>
      <c r="D33">
        <f>RTD("tos.rtd", , "LAST", Main_L[[#This Row],[Symbol]])</f>
        <v>37.82</v>
      </c>
      <c r="E33">
        <v>-1.91</v>
      </c>
      <c r="F33">
        <v>18.48</v>
      </c>
      <c r="G33">
        <v>1.62</v>
      </c>
      <c r="H33" s="1">
        <f>IF(ISNUMBER(Main_L[[#This Row],[Free CF]]),IF(Main_L[[#This Row],[Free CF]]&lt;&gt;0,Main_L[[#This Row],[Current Price]]/Main_L[[#This Row],[Free CF]],""),"")</f>
        <v>-19.801047120418851</v>
      </c>
      <c r="I33" s="1">
        <f>IF(ISNUMBER(Main_L[[#This Row],[BVPS]]),IF(Main_L[[#This Row],[BVPS]]&lt;&gt;0,Main_L[[#This Row],[Current Price]]/Main_L[[#This Row],[BVPS]],""),"")</f>
        <v>2.0465367965367967</v>
      </c>
      <c r="J33">
        <v>8.1199999999999992</v>
      </c>
      <c r="K33">
        <v>2.89</v>
      </c>
      <c r="L33">
        <v>3.66</v>
      </c>
      <c r="M33" s="1">
        <f>IF(ISNUMBER(Main_L[[#This Row],[EPS]]),IF(Main_L[[#This Row],[EPS]]&lt;&gt;0,Main_L[[#This Row],[Current Price]]/Main_L[[#This Row],[EPS]],""),"")</f>
        <v>23.345679012345677</v>
      </c>
      <c r="N3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3" s="1">
        <f>(Main_L[[#This Row],[P/FCF]]-VLOOKUP(Main_L[[#This Row],[Industry]], Mean_PFCF_L, 2, FALSE))/(VLOOKUP(Main_L[[#This Row],[Industry]], Mean_PFCF_L, 3, FALSE))</f>
        <v>5.53064579926177E-2</v>
      </c>
      <c r="P33" s="1">
        <f>(Main_L[[#This Row],[P/B]]-VLOOKUP(Main_L[[#This Row],[Industry]], Mean_PB_L, 2, FALSE))/(VLOOKUP(Main_L[[#This Row],[Industry]], Mean_PB_L, 3, FALSE))</f>
        <v>-0.34457898954880983</v>
      </c>
      <c r="Q33" s="1">
        <f>(Main_L[[#This Row],[ROE]]-VLOOKUP(Main_L[[#This Row],[Industry]], Mean_ROE_L, 2, FALSE))/(VLOOKUP(Main_L[[#This Row],[Industry]], Mean_ROE_L, 3, FALSE))</f>
        <v>-0.45195793808141305</v>
      </c>
      <c r="R33" s="1">
        <f>(Main_L[[#This Row],[ROA]]-VLOOKUP(Main_L[[#This Row],[Industry]], Mean_ROA_L, 2, FALSE))/(VLOOKUP(Main_L[[#This Row],[Industry]], Mean_ROA_L, 3, FALSE))</f>
        <v>-0.53409625977317399</v>
      </c>
      <c r="S33" s="1">
        <f>(Main_L[[#This Row],[A/E]]-VLOOKUP(Main_L[[#This Row],[Industry]], Mean_AE_L, 2, FALSE))/(VLOOKUP(Main_L[[#This Row],[Industry]], Mean_AE_L, 3, FALSE))</f>
        <v>3.7046439590085818E-3</v>
      </c>
      <c r="T33" s="1">
        <f>(Main_L[[#This Row],[P/E]]-VLOOKUP(Main_L[[#This Row],[Industry]], Mean_PE_L, 2, FALSE))/(VLOOKUP(Main_L[[#This Row],[Industry]], Mean_PE_L, 3, FALSE))</f>
        <v>1.2053960250563569</v>
      </c>
      <c r="U3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4" spans="1:26" x14ac:dyDescent="0.25">
      <c r="A34" t="s">
        <v>128</v>
      </c>
      <c r="B34" t="s">
        <v>138</v>
      </c>
      <c r="C34" s="2">
        <v>39815</v>
      </c>
      <c r="D34">
        <f>RTD("tos.rtd", , "LAST", Main_L[[#This Row],[Symbol]])</f>
        <v>77.59</v>
      </c>
      <c r="E34">
        <v>-1.39</v>
      </c>
      <c r="F34">
        <v>32.81</v>
      </c>
      <c r="G34">
        <v>3.66</v>
      </c>
      <c r="H34" s="1">
        <f>IF(ISNUMBER(Main_L[[#This Row],[Free CF]]),IF(Main_L[[#This Row],[Free CF]]&lt;&gt;0,Main_L[[#This Row],[Current Price]]/Main_L[[#This Row],[Free CF]],""),"")</f>
        <v>-55.82014388489209</v>
      </c>
      <c r="I34" s="1">
        <f>IF(ISNUMBER(Main_L[[#This Row],[BVPS]]),IF(Main_L[[#This Row],[BVPS]]&lt;&gt;0,Main_L[[#This Row],[Current Price]]/Main_L[[#This Row],[BVPS]],""),"")</f>
        <v>2.3648277964035356</v>
      </c>
      <c r="J34">
        <v>11.4</v>
      </c>
      <c r="K34">
        <v>2.94</v>
      </c>
      <c r="L34">
        <v>3.39</v>
      </c>
      <c r="M34" s="1">
        <f>IF(ISNUMBER(Main_L[[#This Row],[EPS]]),IF(Main_L[[#This Row],[EPS]]&lt;&gt;0,Main_L[[#This Row],[Current Price]]/Main_L[[#This Row],[EPS]],""),"")</f>
        <v>21.199453551912569</v>
      </c>
      <c r="N3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4" s="1">
        <f>(Main_L[[#This Row],[P/FCF]]-VLOOKUP(Main_L[[#This Row],[Industry]], Mean_PFCF_L, 2, FALSE))/(VLOOKUP(Main_L[[#This Row],[Industry]], Mean_PFCF_L, 3, FALSE))</f>
        <v>-1.7637788110475203</v>
      </c>
      <c r="P34" s="1">
        <f>(Main_L[[#This Row],[P/B]]-VLOOKUP(Main_L[[#This Row],[Industry]], Mean_PB_L, 2, FALSE))/(VLOOKUP(Main_L[[#This Row],[Industry]], Mean_PB_L, 3, FALSE))</f>
        <v>0.3179178594031018</v>
      </c>
      <c r="Q34" s="1">
        <f>(Main_L[[#This Row],[ROE]]-VLOOKUP(Main_L[[#This Row],[Industry]], Mean_ROE_L, 2, FALSE))/(VLOOKUP(Main_L[[#This Row],[Industry]], Mean_ROE_L, 3, FALSE))</f>
        <v>0.83337908813855877</v>
      </c>
      <c r="R34" s="1">
        <f>(Main_L[[#This Row],[ROA]]-VLOOKUP(Main_L[[#This Row],[Industry]], Mean_ROA_L, 2, FALSE))/(VLOOKUP(Main_L[[#This Row],[Industry]], Mean_ROA_L, 3, FALSE))</f>
        <v>-0.15748992275362905</v>
      </c>
      <c r="S34" s="1">
        <f>(Main_L[[#This Row],[A/E]]-VLOOKUP(Main_L[[#This Row],[Industry]], Mean_AE_L, 2, FALSE))/(VLOOKUP(Main_L[[#This Row],[Industry]], Mean_AE_L, 3, FALSE))</f>
        <v>-0.54643498395372869</v>
      </c>
      <c r="T34" s="1">
        <f>(Main_L[[#This Row],[P/E]]-VLOOKUP(Main_L[[#This Row],[Industry]], Mean_PE_L, 2, FALSE))/(VLOOKUP(Main_L[[#This Row],[Industry]], Mean_PE_L, 3, FALSE))</f>
        <v>0.24705210502854094</v>
      </c>
      <c r="U3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5" spans="1:26" x14ac:dyDescent="0.25">
      <c r="A35" t="s">
        <v>128</v>
      </c>
      <c r="B35" t="s">
        <v>139</v>
      </c>
      <c r="C35" s="2">
        <v>49454</v>
      </c>
      <c r="D35">
        <f>RTD("tos.rtd", , "LAST", Main_L[[#This Row],[Symbol]])</f>
        <v>75.13</v>
      </c>
      <c r="E35">
        <v>-5.29</v>
      </c>
      <c r="F35">
        <v>46.62</v>
      </c>
      <c r="G35">
        <v>4.42</v>
      </c>
      <c r="H35" s="1">
        <f>IF(ISNUMBER(Main_L[[#This Row],[Free CF]]),IF(Main_L[[#This Row],[Free CF]]&lt;&gt;0,Main_L[[#This Row],[Current Price]]/Main_L[[#This Row],[Free CF]],""),"")</f>
        <v>-14.20226843100189</v>
      </c>
      <c r="I35" s="1">
        <f>IF(ISNUMBER(Main_L[[#This Row],[BVPS]]),IF(Main_L[[#This Row],[BVPS]]&lt;&gt;0,Main_L[[#This Row],[Current Price]]/Main_L[[#This Row],[BVPS]],""),"")</f>
        <v>1.6115401115401116</v>
      </c>
      <c r="J35">
        <v>9.8000000000000007</v>
      </c>
      <c r="K35">
        <v>1.95</v>
      </c>
      <c r="L35">
        <v>3.17</v>
      </c>
      <c r="M35" s="1">
        <f>IF(ISNUMBER(Main_L[[#This Row],[EPS]]),IF(Main_L[[#This Row],[EPS]]&lt;&gt;0,Main_L[[#This Row],[Current Price]]/Main_L[[#This Row],[EPS]],""),"")</f>
        <v>16.997737556561084</v>
      </c>
      <c r="N3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5" s="1">
        <f>(Main_L[[#This Row],[P/FCF]]-VLOOKUP(Main_L[[#This Row],[Industry]], Mean_PFCF_L, 2, FALSE))/(VLOOKUP(Main_L[[#This Row],[Industry]], Mean_PFCF_L, 3, FALSE))</f>
        <v>0.33806357167403817</v>
      </c>
      <c r="P35" s="1">
        <f>(Main_L[[#This Row],[P/B]]-VLOOKUP(Main_L[[#This Row],[Industry]], Mean_PB_L, 2, FALSE))/(VLOOKUP(Main_L[[#This Row],[Industry]], Mean_PB_L, 3, FALSE))</f>
        <v>-1.2499892375152528</v>
      </c>
      <c r="Q35" s="1">
        <f>(Main_L[[#This Row],[ROE]]-VLOOKUP(Main_L[[#This Row],[Industry]], Mean_ROE_L, 2, FALSE))/(VLOOKUP(Main_L[[#This Row],[Industry]], Mean_ROE_L, 3, FALSE))</f>
        <v>0.2063854168117436</v>
      </c>
      <c r="R35" s="1">
        <f>(Main_L[[#This Row],[ROA]]-VLOOKUP(Main_L[[#This Row],[Industry]], Mean_ROA_L, 2, FALSE))/(VLOOKUP(Main_L[[#This Row],[Industry]], Mean_ROA_L, 3, FALSE))</f>
        <v>-7.6142953957406458</v>
      </c>
      <c r="S35" s="1">
        <f>(Main_L[[#This Row],[A/E]]-VLOOKUP(Main_L[[#This Row],[Industry]], Mean_AE_L, 2, FALSE))/(VLOOKUP(Main_L[[#This Row],[Industry]], Mean_AE_L, 3, FALSE))</f>
        <v>-0.99469690299373725</v>
      </c>
      <c r="T35" s="1">
        <f>(Main_L[[#This Row],[P/E]]-VLOOKUP(Main_L[[#This Row],[Industry]], Mean_PE_L, 2, FALSE))/(VLOOKUP(Main_L[[#This Row],[Industry]], Mean_PE_L, 3, FALSE))</f>
        <v>-1.6291202972018071</v>
      </c>
      <c r="U3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3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6" spans="1:26" x14ac:dyDescent="0.25">
      <c r="A36" t="s">
        <v>128</v>
      </c>
      <c r="B36" t="s">
        <v>140</v>
      </c>
      <c r="C36" s="2">
        <v>34979</v>
      </c>
      <c r="D36">
        <f>RTD("tos.rtd", , "LAST", Main_L[[#This Row],[Symbol]])</f>
        <v>103.56</v>
      </c>
      <c r="E36">
        <v>1.36</v>
      </c>
      <c r="F36">
        <v>39.020000000000003</v>
      </c>
      <c r="G36">
        <v>4.83</v>
      </c>
      <c r="H36" s="1">
        <f>IF(ISNUMBER(Main_L[[#This Row],[Free CF]]),IF(Main_L[[#This Row],[Free CF]]&lt;&gt;0,Main_L[[#This Row],[Current Price]]/Main_L[[#This Row],[Free CF]],""),"")</f>
        <v>76.147058823529406</v>
      </c>
      <c r="I36" s="1">
        <f>IF(ISNUMBER(Main_L[[#This Row],[BVPS]]),IF(Main_L[[#This Row],[BVPS]]&lt;&gt;0,Main_L[[#This Row],[Current Price]]/Main_L[[#This Row],[BVPS]],""),"")</f>
        <v>2.6540235776524859</v>
      </c>
      <c r="J36">
        <v>12.25</v>
      </c>
      <c r="K36">
        <v>2.85</v>
      </c>
      <c r="L36">
        <v>3.82</v>
      </c>
      <c r="M36" s="1">
        <f>IF(ISNUMBER(Main_L[[#This Row],[EPS]]),IF(Main_L[[#This Row],[EPS]]&lt;&gt;0,Main_L[[#This Row],[Current Price]]/Main_L[[#This Row],[EPS]],""),"")</f>
        <v>21.440993788819878</v>
      </c>
      <c r="N3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6" s="1">
        <f>(Main_L[[#This Row],[P/FCF]]-VLOOKUP(Main_L[[#This Row],[Industry]], Mean_PFCF_L, 2, FALSE))/(VLOOKUP(Main_L[[#This Row],[Industry]], Mean_PFCF_L, 3, FALSE))</f>
        <v>4.9010078162535189</v>
      </c>
      <c r="P36" s="1">
        <f>(Main_L[[#This Row],[P/B]]-VLOOKUP(Main_L[[#This Row],[Industry]], Mean_PB_L, 2, FALSE))/(VLOOKUP(Main_L[[#This Row],[Industry]], Mean_PB_L, 3, FALSE))</f>
        <v>0.91985537534866957</v>
      </c>
      <c r="Q36" s="1">
        <f>(Main_L[[#This Row],[ROE]]-VLOOKUP(Main_L[[#This Row],[Industry]], Mean_ROE_L, 2, FALSE))/(VLOOKUP(Main_L[[#This Row],[Industry]], Mean_ROE_L, 3, FALSE))</f>
        <v>1.1664694760309293</v>
      </c>
      <c r="R36" s="1">
        <f>(Main_L[[#This Row],[ROA]]-VLOOKUP(Main_L[[#This Row],[Industry]], Mean_ROA_L, 2, FALSE))/(VLOOKUP(Main_L[[#This Row],[Industry]], Mean_ROA_L, 3, FALSE))</f>
        <v>-0.83538132938881138</v>
      </c>
      <c r="S36" s="1">
        <f>(Main_L[[#This Row],[A/E]]-VLOOKUP(Main_L[[#This Row],[Industry]], Mean_AE_L, 2, FALSE))/(VLOOKUP(Main_L[[#This Row],[Industry]], Mean_AE_L, 3, FALSE))</f>
        <v>0.32971331235174117</v>
      </c>
      <c r="T36" s="1">
        <f>(Main_L[[#This Row],[P/E]]-VLOOKUP(Main_L[[#This Row],[Industry]], Mean_PE_L, 2, FALSE))/(VLOOKUP(Main_L[[#This Row],[Industry]], Mean_PE_L, 3, FALSE))</f>
        <v>0.35490592642318841</v>
      </c>
      <c r="U3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7" spans="1:26" x14ac:dyDescent="0.25">
      <c r="A37" t="s">
        <v>141</v>
      </c>
      <c r="B37" t="s">
        <v>142</v>
      </c>
      <c r="C37" s="2">
        <v>28877</v>
      </c>
      <c r="D37">
        <f>RTD("tos.rtd", , "LAST", Main_L[[#This Row],[Symbol]])</f>
        <v>133.84</v>
      </c>
      <c r="E37">
        <v>-4.1100000000000003</v>
      </c>
      <c r="F37">
        <v>54.02</v>
      </c>
      <c r="G37">
        <v>5.49</v>
      </c>
      <c r="H37" s="1">
        <f>IF(ISNUMBER(Main_L[[#This Row],[Free CF]]),IF(Main_L[[#This Row],[Free CF]]&lt;&gt;0,Main_L[[#This Row],[Current Price]]/Main_L[[#This Row],[Free CF]],""),"")</f>
        <v>-32.564476885644766</v>
      </c>
      <c r="I37" s="1">
        <f>IF(ISNUMBER(Main_L[[#This Row],[BVPS]]),IF(Main_L[[#This Row],[BVPS]]&lt;&gt;0,Main_L[[#This Row],[Current Price]]/Main_L[[#This Row],[BVPS]],""),"")</f>
        <v>2.4776008885597927</v>
      </c>
      <c r="J37">
        <v>10.43</v>
      </c>
      <c r="K37">
        <v>3.48</v>
      </c>
      <c r="L37">
        <v>3.15</v>
      </c>
      <c r="M37" s="1">
        <f>IF(ISNUMBER(Main_L[[#This Row],[EPS]]),IF(Main_L[[#This Row],[EPS]]&lt;&gt;0,Main_L[[#This Row],[Current Price]]/Main_L[[#This Row],[EPS]],""),"")</f>
        <v>24.37887067395264</v>
      </c>
      <c r="N3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7" s="1">
        <f>(Main_L[[#This Row],[P/FCF]]-VLOOKUP(Main_L[[#This Row],[Industry]], Mean_PFCF_L, 2, FALSE))/(VLOOKUP(Main_L[[#This Row],[Industry]], Mean_PFCF_L, 3, FALSE))</f>
        <v>0.566456808569335</v>
      </c>
      <c r="P37" s="1">
        <f>(Main_L[[#This Row],[P/B]]-VLOOKUP(Main_L[[#This Row],[Industry]], Mean_PB_L, 2, FALSE))/(VLOOKUP(Main_L[[#This Row],[Industry]], Mean_PB_L, 3, FALSE))</f>
        <v>0.91083158047761537</v>
      </c>
      <c r="Q37" s="1">
        <f>(Main_L[[#This Row],[ROE]]-VLOOKUP(Main_L[[#This Row],[Industry]], Mean_ROE_L, 2, FALSE))/(VLOOKUP(Main_L[[#This Row],[Industry]], Mean_ROE_L, 3, FALSE))</f>
        <v>-0.67312542021496136</v>
      </c>
      <c r="R37" s="1">
        <f>(Main_L[[#This Row],[ROA]]-VLOOKUP(Main_L[[#This Row],[Industry]], Mean_ROA_L, 2, FALSE))/(VLOOKUP(Main_L[[#This Row],[Industry]], Mean_ROA_L, 3, FALSE))</f>
        <v>-0.62849323209532315</v>
      </c>
      <c r="S37" s="1">
        <f>(Main_L[[#This Row],[A/E]]-VLOOKUP(Main_L[[#This Row],[Industry]], Mean_AE_L, 2, FALSE))/(VLOOKUP(Main_L[[#This Row],[Industry]], Mean_AE_L, 3, FALSE))</f>
        <v>0.98058067569091811</v>
      </c>
      <c r="T37" s="1">
        <f>(Main_L[[#This Row],[P/E]]-VLOOKUP(Main_L[[#This Row],[Industry]], Mean_PE_L, 2, FALSE))/(VLOOKUP(Main_L[[#This Row],[Industry]], Mean_PE_L, 3, FALSE))</f>
        <v>1.1929794752937182</v>
      </c>
      <c r="U3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8" spans="1:26" x14ac:dyDescent="0.25">
      <c r="A38" t="s">
        <v>141</v>
      </c>
      <c r="B38" t="s">
        <v>143</v>
      </c>
      <c r="C38" s="2">
        <v>13759</v>
      </c>
      <c r="D38">
        <f>RTD("tos.rtd", , "LAST", Main_L[[#This Row],[Symbol]])</f>
        <v>20.32</v>
      </c>
      <c r="E38">
        <v>-0.15</v>
      </c>
      <c r="F38">
        <v>8.74</v>
      </c>
      <c r="G38">
        <v>2.27</v>
      </c>
      <c r="H38" s="1">
        <f>IF(ISNUMBER(Main_L[[#This Row],[Free CF]]),IF(Main_L[[#This Row],[Free CF]]&lt;&gt;0,Main_L[[#This Row],[Current Price]]/Main_L[[#This Row],[Free CF]],""),"")</f>
        <v>-135.46666666666667</v>
      </c>
      <c r="I38" s="1">
        <f>IF(ISNUMBER(Main_L[[#This Row],[BVPS]]),IF(Main_L[[#This Row],[BVPS]]&lt;&gt;0,Main_L[[#This Row],[Current Price]]/Main_L[[#This Row],[BVPS]],""),"")</f>
        <v>2.3249427917620138</v>
      </c>
      <c r="J38">
        <v>28.69</v>
      </c>
      <c r="K38">
        <v>13.52</v>
      </c>
      <c r="L38">
        <v>2.19</v>
      </c>
      <c r="M38" s="1">
        <f>IF(ISNUMBER(Main_L[[#This Row],[EPS]]),IF(Main_L[[#This Row],[EPS]]&lt;&gt;0,Main_L[[#This Row],[Current Price]]/Main_L[[#This Row],[EPS]],""),"")</f>
        <v>8.9515418502202646</v>
      </c>
      <c r="N3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8" s="1">
        <f>(Main_L[[#This Row],[P/FCF]]-VLOOKUP(Main_L[[#This Row],[Industry]], Mean_PFCF_L, 2, FALSE))/(VLOOKUP(Main_L[[#This Row],[Industry]], Mean_PFCF_L, 3, FALSE))</f>
        <v>-1.405433828001325</v>
      </c>
      <c r="P38" s="1">
        <f>(Main_L[[#This Row],[P/B]]-VLOOKUP(Main_L[[#This Row],[Industry]], Mean_PB_L, 2, FALSE))/(VLOOKUP(Main_L[[#This Row],[Industry]], Mean_PB_L, 3, FALSE))</f>
        <v>0.48148835320569683</v>
      </c>
      <c r="Q38" s="1">
        <f>(Main_L[[#This Row],[ROE]]-VLOOKUP(Main_L[[#This Row],[Industry]], Mean_ROE_L, 2, FALSE))/(VLOOKUP(Main_L[[#This Row],[Industry]], Mean_ROE_L, 3, FALSE))</f>
        <v>1.4136776652052754</v>
      </c>
      <c r="R38" s="1">
        <f>(Main_L[[#This Row],[ROA]]-VLOOKUP(Main_L[[#This Row],[Industry]], Mean_ROA_L, 2, FALSE))/(VLOOKUP(Main_L[[#This Row],[Industry]], Mean_ROA_L, 3, FALSE))</f>
        <v>1.411400749662342</v>
      </c>
      <c r="S38" s="1">
        <f>(Main_L[[#This Row],[A/E]]-VLOOKUP(Main_L[[#This Row],[Industry]], Mean_AE_L, 2, FALSE))/(VLOOKUP(Main_L[[#This Row],[Industry]], Mean_AE_L, 3, FALSE))</f>
        <v>-1.3728129459672858</v>
      </c>
      <c r="T38" s="1">
        <f>(Main_L[[#This Row],[P/E]]-VLOOKUP(Main_L[[#This Row],[Industry]], Mean_PE_L, 2, FALSE))/(VLOOKUP(Main_L[[#This Row],[Industry]], Mean_PE_L, 3, FALSE))</f>
        <v>-1.2542130675097614</v>
      </c>
      <c r="U3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9" spans="1:26" x14ac:dyDescent="0.25">
      <c r="A39" t="s">
        <v>141</v>
      </c>
      <c r="B39" t="s">
        <v>144</v>
      </c>
      <c r="C39" s="2">
        <v>11296</v>
      </c>
      <c r="D39">
        <f>RTD("tos.rtd", , "LAST", Main_L[[#This Row],[Symbol]])</f>
        <v>37.42</v>
      </c>
      <c r="E39">
        <v>-2.04</v>
      </c>
      <c r="F39">
        <v>22.56</v>
      </c>
      <c r="G39">
        <v>2.17</v>
      </c>
      <c r="H39" s="1">
        <f>IF(ISNUMBER(Main_L[[#This Row],[Free CF]]),IF(Main_L[[#This Row],[Free CF]]&lt;&gt;0,Main_L[[#This Row],[Current Price]]/Main_L[[#This Row],[Free CF]],""),"")</f>
        <v>-18.343137254901961</v>
      </c>
      <c r="I39" s="1">
        <f>IF(ISNUMBER(Main_L[[#This Row],[BVPS]]),IF(Main_L[[#This Row],[BVPS]]&lt;&gt;0,Main_L[[#This Row],[Current Price]]/Main_L[[#This Row],[BVPS]],""),"")</f>
        <v>1.6586879432624115</v>
      </c>
      <c r="J39">
        <v>9.84</v>
      </c>
      <c r="K39">
        <v>2.72</v>
      </c>
      <c r="L39">
        <v>2.91</v>
      </c>
      <c r="M39" s="1">
        <f>IF(ISNUMBER(Main_L[[#This Row],[EPS]]),IF(Main_L[[#This Row],[EPS]]&lt;&gt;0,Main_L[[#This Row],[Current Price]]/Main_L[[#This Row],[EPS]],""),"")</f>
        <v>17.244239631336406</v>
      </c>
      <c r="N3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9" s="1">
        <f>(Main_L[[#This Row],[P/FCF]]-VLOOKUP(Main_L[[#This Row],[Industry]], Mean_PFCF_L, 2, FALSE))/(VLOOKUP(Main_L[[#This Row],[Industry]], Mean_PFCF_L, 3, FALSE))</f>
        <v>0.83897701943198955</v>
      </c>
      <c r="P39" s="1">
        <f>(Main_L[[#This Row],[P/B]]-VLOOKUP(Main_L[[#This Row],[Industry]], Mean_PB_L, 2, FALSE))/(VLOOKUP(Main_L[[#This Row],[Industry]], Mean_PB_L, 3, FALSE))</f>
        <v>-1.3923199336833116</v>
      </c>
      <c r="Q39" s="1">
        <f>(Main_L[[#This Row],[ROE]]-VLOOKUP(Main_L[[#This Row],[Industry]], Mean_ROE_L, 2, FALSE))/(VLOOKUP(Main_L[[#This Row],[Industry]], Mean_ROE_L, 3, FALSE))</f>
        <v>-0.74055224499031402</v>
      </c>
      <c r="R39" s="1">
        <f>(Main_L[[#This Row],[ROA]]-VLOOKUP(Main_L[[#This Row],[Industry]], Mean_ROA_L, 2, FALSE))/(VLOOKUP(Main_L[[#This Row],[Industry]], Mean_ROA_L, 3, FALSE))</f>
        <v>-0.78290751756701882</v>
      </c>
      <c r="S39" s="1">
        <f>(Main_L[[#This Row],[A/E]]-VLOOKUP(Main_L[[#This Row],[Industry]], Mean_AE_L, 2, FALSE))/(VLOOKUP(Main_L[[#This Row],[Industry]], Mean_AE_L, 3, FALSE))</f>
        <v>0.39223227027636764</v>
      </c>
      <c r="T39" s="1">
        <f>(Main_L[[#This Row],[P/E]]-VLOOKUP(Main_L[[#This Row],[Industry]], Mean_PE_L, 2, FALSE))/(VLOOKUP(Main_L[[#This Row],[Industry]], Mean_PE_L, 3, FALSE))</f>
        <v>6.1233592216043402E-2</v>
      </c>
      <c r="U3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E163-3A46-4293-9585-D09BA5F26B8C}">
  <sheetPr codeName="Sheet3"/>
  <dimension ref="A1:Z36"/>
  <sheetViews>
    <sheetView topLeftCell="H1" workbookViewId="0">
      <selection activeCell="B24" sqref="B24"/>
    </sheetView>
  </sheetViews>
  <sheetFormatPr defaultRowHeight="15" x14ac:dyDescent="0.25"/>
  <cols>
    <col min="1" max="1" width="49.1406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s="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105</v>
      </c>
      <c r="B2" t="s">
        <v>148</v>
      </c>
      <c r="C2" s="2">
        <v>3806</v>
      </c>
      <c r="D2">
        <f>RTD("tos.rtd", , "LAST", Main_M[[#This Row],[Symbol]])</f>
        <v>65.7</v>
      </c>
      <c r="E2">
        <v>1.77</v>
      </c>
      <c r="F2">
        <v>49.2</v>
      </c>
      <c r="G2">
        <v>3.1</v>
      </c>
      <c r="H2" s="1">
        <f>IF(ISNUMBER(Main_M[[#This Row],[Free CF]]),IF(Main_M[[#This Row],[Free CF]]&lt;&gt;0,Main_M[[#This Row],[Current Price]]/Main_M[[#This Row],[Free CF]],""),"")</f>
        <v>37.118644067796609</v>
      </c>
      <c r="I2" s="1">
        <f>IF(ISNUMBER(Main_M[[#This Row],[BVPS]]),IF(Main_M[[#This Row],[BVPS]]&lt;&gt;0,Main_M[[#This Row],[Current Price]]/Main_M[[#This Row],[BVPS]],""),"")</f>
        <v>1.3353658536585367</v>
      </c>
      <c r="J2">
        <v>3.58</v>
      </c>
      <c r="K2">
        <v>1.62</v>
      </c>
      <c r="L2">
        <v>2.37</v>
      </c>
      <c r="M2" s="1">
        <f>IF(ISNUMBER(Main_M[[#This Row],[EPS]]),IF(Main_M[[#This Row],[EPS]]&lt;&gt;0,Main_M[[#This Row],[Current Price]]/Main_M[[#This Row],[EPS]],""),"")</f>
        <v>21.193548387096776</v>
      </c>
      <c r="N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" s="1">
        <f>(Main_M[[#This Row],[P/FCF]]-VLOOKUP(Main_M[[#This Row],[Industry]], Mean_PFCF_M, 2, FALSE))/(VLOOKUP(Main_M[[#This Row],[Industry]], Mean_PFCF_M, 3, FALSE))</f>
        <v>0.40222090168654906</v>
      </c>
      <c r="P2" s="1">
        <f>(Main_M[[#This Row],[P/B]]-VLOOKUP(Main_M[[#This Row],[Industry]], Mean_PB_M, 2, FALSE))/(VLOOKUP(Main_M[[#This Row],[Industry]], Mean_PB_M, 3, FALSE))</f>
        <v>-0.71030467921057172</v>
      </c>
      <c r="Q2" s="1">
        <f>(Main_M[[#This Row],[ROE]]-VLOOKUP(Main_M[[#This Row],[Industry]], Mean_ROE_M, 2, FALSE))/(VLOOKUP(Main_M[[#This Row],[Industry]], Mean_ROE_M, 3, FALSE))</f>
        <v>-1.3580381353745992</v>
      </c>
      <c r="R2" s="1">
        <f>(Main_M[[#This Row],[ROA]]-VLOOKUP(Main_M[[#This Row],[Industry]], Mean_ROA_M, 2, FALSE))/(VLOOKUP(Main_M[[#This Row],[Industry]], Mean_ROA_M, 3, FALSE))</f>
        <v>-2.3634668196051742</v>
      </c>
      <c r="S2" s="1">
        <f>(Main_M[[#This Row],[A/E]]-VLOOKUP(Main_M[[#This Row],[Industry]], Mean_AE_M, 2, FALSE))/(VLOOKUP(Main_M[[#This Row],[Industry]], Mean_AE_M, 3, FALSE))</f>
        <v>-0.22641941480826774</v>
      </c>
      <c r="T2" s="1">
        <f>(Main_M[[#This Row],[P/E]]-VLOOKUP(Main_M[[#This Row],[Industry]], Mean_PE_M, 2, FALSE))/(VLOOKUP(Main_M[[#This Row],[Industry]], Mean_PE_M, 3, FALSE))</f>
        <v>-0.26793471765512356</v>
      </c>
      <c r="U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" spans="1:26" x14ac:dyDescent="0.25">
      <c r="A3" t="s">
        <v>105</v>
      </c>
      <c r="B3" t="s">
        <v>149</v>
      </c>
      <c r="C3" s="2">
        <v>5292</v>
      </c>
      <c r="D3">
        <f>RTD("tos.rtd", , "LAST", Main_M[[#This Row],[Symbol]])</f>
        <v>1.81</v>
      </c>
      <c r="E3">
        <v>0.01</v>
      </c>
      <c r="F3">
        <v>1.55</v>
      </c>
      <c r="G3">
        <v>0.4</v>
      </c>
      <c r="H3" s="1">
        <f>IF(ISNUMBER(Main_M[[#This Row],[Free CF]]),IF(Main_M[[#This Row],[Free CF]]&lt;&gt;0,Main_M[[#This Row],[Current Price]]/Main_M[[#This Row],[Free CF]],""),"")</f>
        <v>181</v>
      </c>
      <c r="I3" s="1">
        <f>IF(ISNUMBER(Main_M[[#This Row],[BVPS]]),IF(Main_M[[#This Row],[BVPS]]&lt;&gt;0,Main_M[[#This Row],[Current Price]]/Main_M[[#This Row],[BVPS]],""),"")</f>
        <v>1.167741935483871</v>
      </c>
      <c r="J3">
        <v>27.36</v>
      </c>
      <c r="K3">
        <v>8.83</v>
      </c>
      <c r="L3">
        <v>2.1800000000000002</v>
      </c>
      <c r="M3" s="1">
        <f>IF(ISNUMBER(Main_M[[#This Row],[EPS]]),IF(Main_M[[#This Row],[EPS]]&lt;&gt;0,Main_M[[#This Row],[Current Price]]/Main_M[[#This Row],[EPS]],""),"")</f>
        <v>4.5249999999999995</v>
      </c>
      <c r="N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" s="1">
        <f>(Main_M[[#This Row],[P/FCF]]-VLOOKUP(Main_M[[#This Row],[Industry]], Mean_PFCF_M, 2, FALSE))/(VLOOKUP(Main_M[[#This Row],[Industry]], Mean_PFCF_M, 3, FALSE))</f>
        <v>2.4425525949895324</v>
      </c>
      <c r="P3" s="1">
        <f>(Main_M[[#This Row],[P/B]]-VLOOKUP(Main_M[[#This Row],[Industry]], Mean_PB_M, 2, FALSE))/(VLOOKUP(Main_M[[#This Row],[Industry]], Mean_PB_M, 3, FALSE))</f>
        <v>-0.80454292893588586</v>
      </c>
      <c r="Q3" s="1">
        <f>(Main_M[[#This Row],[ROE]]-VLOOKUP(Main_M[[#This Row],[Industry]], Mean_ROE_M, 2, FALSE))/(VLOOKUP(Main_M[[#This Row],[Industry]], Mean_ROE_M, 3, FALSE))</f>
        <v>3.3142703672071137</v>
      </c>
      <c r="R3" s="1">
        <f>(Main_M[[#This Row],[ROA]]-VLOOKUP(Main_M[[#This Row],[Industry]], Mean_ROA_M, 2, FALSE))/(VLOOKUP(Main_M[[#This Row],[Industry]], Mean_ROA_M, 3, FALSE))</f>
        <v>7.6688435576423606</v>
      </c>
      <c r="S3" s="1">
        <f>(Main_M[[#This Row],[A/E]]-VLOOKUP(Main_M[[#This Row],[Industry]], Mean_AE_M, 2, FALSE))/(VLOOKUP(Main_M[[#This Row],[Industry]], Mean_AE_M, 3, FALSE))</f>
        <v>-0.69963599175754765</v>
      </c>
      <c r="T3" s="1">
        <f>(Main_M[[#This Row],[P/E]]-VLOOKUP(Main_M[[#This Row],[Industry]], Mean_PE_M, 2, FALSE))/(VLOOKUP(Main_M[[#This Row],[Industry]], Mean_PE_M, 3, FALSE))</f>
        <v>-1.1034146666651501</v>
      </c>
      <c r="U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" spans="1:26" x14ac:dyDescent="0.25">
      <c r="A4" t="s">
        <v>105</v>
      </c>
      <c r="B4" t="s">
        <v>150</v>
      </c>
      <c r="C4" s="2">
        <v>6020</v>
      </c>
      <c r="D4">
        <f>RTD("tos.rtd", , "LAST", Main_M[[#This Row],[Symbol]])</f>
        <v>8.6999999999999993</v>
      </c>
      <c r="E4">
        <v>-0.16</v>
      </c>
      <c r="F4">
        <v>1.39</v>
      </c>
      <c r="G4">
        <v>0.13</v>
      </c>
      <c r="H4" s="1">
        <f>IF(ISNUMBER(Main_M[[#This Row],[Free CF]]),IF(Main_M[[#This Row],[Free CF]]&lt;&gt;0,Main_M[[#This Row],[Current Price]]/Main_M[[#This Row],[Free CF]],""),"")</f>
        <v>-54.374999999999993</v>
      </c>
      <c r="I4" s="1">
        <f>IF(ISNUMBER(Main_M[[#This Row],[BVPS]]),IF(Main_M[[#This Row],[BVPS]]&lt;&gt;0,Main_M[[#This Row],[Current Price]]/Main_M[[#This Row],[BVPS]],""),"")</f>
        <v>6.2589928057553958</v>
      </c>
      <c r="J4">
        <v>9.26</v>
      </c>
      <c r="K4">
        <v>4.18</v>
      </c>
      <c r="L4">
        <v>2.2400000000000002</v>
      </c>
      <c r="M4" s="1">
        <f>IF(ISNUMBER(Main_M[[#This Row],[EPS]]),IF(Main_M[[#This Row],[EPS]]&lt;&gt;0,Main_M[[#This Row],[Current Price]]/Main_M[[#This Row],[EPS]],""),"")</f>
        <v>66.92307692307692</v>
      </c>
      <c r="N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" s="1">
        <f>(Main_M[[#This Row],[P/FCF]]-VLOOKUP(Main_M[[#This Row],[Industry]], Mean_PFCF_M, 2, FALSE))/(VLOOKUP(Main_M[[#This Row],[Industry]], Mean_PFCF_M, 3, FALSE))</f>
        <v>-0.89521878754789141</v>
      </c>
      <c r="P4" s="1">
        <f>(Main_M[[#This Row],[P/B]]-VLOOKUP(Main_M[[#This Row],[Industry]], Mean_PB_M, 2, FALSE))/(VLOOKUP(Main_M[[#This Row],[Industry]], Mean_PB_M, 3, FALSE))</f>
        <v>2.0577608290929934</v>
      </c>
      <c r="Q4" s="1">
        <f>(Main_M[[#This Row],[ROE]]-VLOOKUP(Main_M[[#This Row],[Industry]], Mean_ROE_M, 2, FALSE))/(VLOOKUP(Main_M[[#This Row],[Industry]], Mean_ROE_M, 3, FALSE))</f>
        <v>-0.24202836688577964</v>
      </c>
      <c r="R4" s="1">
        <f>(Main_M[[#This Row],[ROA]]-VLOOKUP(Main_M[[#This Row],[Industry]], Mean_ROA_M, 2, FALSE))/(VLOOKUP(Main_M[[#This Row],[Industry]], Mean_ROA_M, 3, FALSE))</f>
        <v>1.1986295140638528</v>
      </c>
      <c r="S4" s="1">
        <f>(Main_M[[#This Row],[A/E]]-VLOOKUP(Main_M[[#This Row],[Industry]], Mean_AE_M, 2, FALSE))/(VLOOKUP(Main_M[[#This Row],[Industry]], Mean_AE_M, 3, FALSE))</f>
        <v>-0.55019917798409068</v>
      </c>
      <c r="T4" s="1">
        <f>(Main_M[[#This Row],[P/E]]-VLOOKUP(Main_M[[#This Row],[Industry]], Mean_PE_M, 2, FALSE))/(VLOOKUP(Main_M[[#This Row],[Industry]], Mean_PE_M, 3, FALSE))</f>
        <v>2.0241727461879075</v>
      </c>
      <c r="U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" spans="1:26" x14ac:dyDescent="0.25">
      <c r="A5" t="s">
        <v>105</v>
      </c>
      <c r="B5" t="s">
        <v>151</v>
      </c>
      <c r="C5" s="2">
        <v>5505</v>
      </c>
      <c r="D5">
        <f>RTD("tos.rtd", , "LAST", Main_M[[#This Row],[Symbol]])</f>
        <v>8.1199999999999992</v>
      </c>
      <c r="E5">
        <v>-0.16</v>
      </c>
      <c r="F5">
        <v>1.39</v>
      </c>
      <c r="G5">
        <v>0.13</v>
      </c>
      <c r="H5" s="1">
        <f>IF(ISNUMBER(Main_M[[#This Row],[Free CF]]),IF(Main_M[[#This Row],[Free CF]]&lt;&gt;0,Main_M[[#This Row],[Current Price]]/Main_M[[#This Row],[Free CF]],""),"")</f>
        <v>-50.749999999999993</v>
      </c>
      <c r="I5" s="1">
        <f>IF(ISNUMBER(Main_M[[#This Row],[BVPS]]),IF(Main_M[[#This Row],[BVPS]]&lt;&gt;0,Main_M[[#This Row],[Current Price]]/Main_M[[#This Row],[BVPS]],""),"")</f>
        <v>5.8417266187050361</v>
      </c>
      <c r="J5">
        <v>9.26</v>
      </c>
      <c r="K5">
        <v>4.18</v>
      </c>
      <c r="L5">
        <v>2.2400000000000002</v>
      </c>
      <c r="M5" s="1">
        <f>IF(ISNUMBER(Main_M[[#This Row],[EPS]]),IF(Main_M[[#This Row],[EPS]]&lt;&gt;0,Main_M[[#This Row],[Current Price]]/Main_M[[#This Row],[EPS]],""),"")</f>
        <v>62.461538461538453</v>
      </c>
      <c r="N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" s="1">
        <f>(Main_M[[#This Row],[P/FCF]]-VLOOKUP(Main_M[[#This Row],[Industry]], Mean_PFCF_M, 2, FALSE))/(VLOOKUP(Main_M[[#This Row],[Industry]], Mean_PFCF_M, 3, FALSE))</f>
        <v>-0.84381391760971547</v>
      </c>
      <c r="P5" s="1">
        <f>(Main_M[[#This Row],[P/B]]-VLOOKUP(Main_M[[#This Row],[Industry]], Mean_PB_M, 2, FALSE))/(VLOOKUP(Main_M[[#This Row],[Industry]], Mean_PB_M, 3, FALSE))</f>
        <v>1.8231735723018287</v>
      </c>
      <c r="Q5" s="1">
        <f>(Main_M[[#This Row],[ROE]]-VLOOKUP(Main_M[[#This Row],[Industry]], Mean_ROE_M, 2, FALSE))/(VLOOKUP(Main_M[[#This Row],[Industry]], Mean_ROE_M, 3, FALSE))</f>
        <v>-0.24202836688577964</v>
      </c>
      <c r="R5" s="1">
        <f>(Main_M[[#This Row],[ROA]]-VLOOKUP(Main_M[[#This Row],[Industry]], Mean_ROA_M, 2, FALSE))/(VLOOKUP(Main_M[[#This Row],[Industry]], Mean_ROA_M, 3, FALSE))</f>
        <v>1.1986295140638528</v>
      </c>
      <c r="S5" s="1">
        <f>(Main_M[[#This Row],[A/E]]-VLOOKUP(Main_M[[#This Row],[Industry]], Mean_AE_M, 2, FALSE))/(VLOOKUP(Main_M[[#This Row],[Industry]], Mean_AE_M, 3, FALSE))</f>
        <v>-0.55019917798409068</v>
      </c>
      <c r="T5" s="1">
        <f>(Main_M[[#This Row],[P/E]]-VLOOKUP(Main_M[[#This Row],[Industry]], Mean_PE_M, 2, FALSE))/(VLOOKUP(Main_M[[#This Row],[Industry]], Mean_PE_M, 3, FALSE))</f>
        <v>1.8005464387382482</v>
      </c>
      <c r="U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" spans="1:26" x14ac:dyDescent="0.25">
      <c r="A6" t="s">
        <v>105</v>
      </c>
      <c r="B6" t="s">
        <v>152</v>
      </c>
      <c r="C6" s="2">
        <v>5326</v>
      </c>
      <c r="D6">
        <f>RTD("tos.rtd", , "LAST", Main_M[[#This Row],[Symbol]])</f>
        <v>3.95</v>
      </c>
      <c r="E6">
        <v>0.01</v>
      </c>
      <c r="F6">
        <v>0.08</v>
      </c>
      <c r="G6">
        <v>0</v>
      </c>
      <c r="H6" s="1">
        <f>IF(ISNUMBER(Main_M[[#This Row],[Free CF]]),IF(Main_M[[#This Row],[Free CF]]&lt;&gt;0,Main_M[[#This Row],[Current Price]]/Main_M[[#This Row],[Free CF]],""),"")</f>
        <v>395</v>
      </c>
      <c r="I6" s="1">
        <f>IF(ISNUMBER(Main_M[[#This Row],[BVPS]]),IF(Main_M[[#This Row],[BVPS]]&lt;&gt;0,Main_M[[#This Row],[Current Price]]/Main_M[[#This Row],[BVPS]],""),"")</f>
        <v>49.375</v>
      </c>
      <c r="J6">
        <v>4.0999999999999996</v>
      </c>
      <c r="K6">
        <v>2.15</v>
      </c>
      <c r="L6">
        <v>2.4700000000000002</v>
      </c>
      <c r="M6" s="1" t="str">
        <f>IF(ISNUMBER(Main_M[[#This Row],[EPS]]),IF(Main_M[[#This Row],[EPS]]&lt;&gt;0,Main_M[[#This Row],[Current Price]]/Main_M[[#This Row],[EPS]],""),"")</f>
        <v/>
      </c>
      <c r="N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" s="1">
        <f>(Main_M[[#This Row],[P/FCF]]-VLOOKUP(Main_M[[#This Row],[Industry]], Mean_PFCF_M, 2, FALSE))/(VLOOKUP(Main_M[[#This Row],[Industry]], Mean_PFCF_M, 3, FALSE))</f>
        <v>5.4772125030639183</v>
      </c>
      <c r="P6" s="1">
        <f>(Main_M[[#This Row],[P/B]]-VLOOKUP(Main_M[[#This Row],[Industry]], Mean_PB_M, 2, FALSE))/(VLOOKUP(Main_M[[#This Row],[Industry]], Mean_PB_M, 3, FALSE))</f>
        <v>26.297601404205881</v>
      </c>
      <c r="Q6" s="1">
        <f>(Main_M[[#This Row],[ROE]]-VLOOKUP(Main_M[[#This Row],[Industry]], Mean_ROE_M, 2, FALSE))/(VLOOKUP(Main_M[[#This Row],[Industry]], Mean_ROE_M, 3, FALSE))</f>
        <v>-1.25586822699182</v>
      </c>
      <c r="R6" s="1">
        <f>(Main_M[[#This Row],[ROA]]-VLOOKUP(Main_M[[#This Row],[Industry]], Mean_ROA_M, 2, FALSE))/(VLOOKUP(Main_M[[#This Row],[Industry]], Mean_ROA_M, 3, FALSE))</f>
        <v>-1.6260015630252584</v>
      </c>
      <c r="S6" s="1">
        <f>(Main_M[[#This Row],[A/E]]-VLOOKUP(Main_M[[#This Row],[Industry]], Mean_AE_M, 2, FALSE))/(VLOOKUP(Main_M[[#This Row],[Industry]], Mean_AE_M, 3, FALSE))</f>
        <v>2.2641941480827217E-2</v>
      </c>
      <c r="T6" s="1" t="e">
        <f>(Main_M[[#This Row],[P/E]]-VLOOKUP(Main_M[[#This Row],[Industry]], Mean_PE_M, 2, FALSE))/(VLOOKUP(Main_M[[#This Row],[Industry]], Mean_PE_M, 3, FALSE))</f>
        <v>#VALUE!</v>
      </c>
      <c r="U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7" spans="1:26" x14ac:dyDescent="0.25">
      <c r="A7" t="s">
        <v>105</v>
      </c>
      <c r="B7" t="s">
        <v>153</v>
      </c>
      <c r="C7" s="2">
        <v>6284</v>
      </c>
      <c r="D7">
        <f>RTD("tos.rtd", , "LAST", Main_M[[#This Row],[Symbol]])</f>
        <v>111.01</v>
      </c>
      <c r="E7">
        <v>-6.47</v>
      </c>
      <c r="F7">
        <v>61.95</v>
      </c>
      <c r="G7">
        <v>5.63</v>
      </c>
      <c r="H7" s="1">
        <f>IF(ISNUMBER(Main_M[[#This Row],[Free CF]]),IF(Main_M[[#This Row],[Free CF]]&lt;&gt;0,Main_M[[#This Row],[Current Price]]/Main_M[[#This Row],[Free CF]],""),"")</f>
        <v>-17.157650695517777</v>
      </c>
      <c r="I7" s="1">
        <f>IF(ISNUMBER(Main_M[[#This Row],[BVPS]]),IF(Main_M[[#This Row],[BVPS]]&lt;&gt;0,Main_M[[#This Row],[Current Price]]/Main_M[[#This Row],[BVPS]],""),"")</f>
        <v>1.7919289749798224</v>
      </c>
      <c r="J7">
        <v>9.6</v>
      </c>
      <c r="K7">
        <v>2.27</v>
      </c>
      <c r="L7">
        <v>2.87</v>
      </c>
      <c r="M7" s="1">
        <f>IF(ISNUMBER(Main_M[[#This Row],[EPS]]),IF(Main_M[[#This Row],[EPS]]&lt;&gt;0,Main_M[[#This Row],[Current Price]]/Main_M[[#This Row],[EPS]],""),"")</f>
        <v>19.71758436944938</v>
      </c>
      <c r="N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" s="1">
        <f>(Main_M[[#This Row],[P/FCF]]-VLOOKUP(Main_M[[#This Row],[Industry]], Mean_PFCF_M, 2, FALSE))/(VLOOKUP(Main_M[[#This Row],[Industry]], Mean_PFCF_M, 3, FALSE))</f>
        <v>-0.36745244259876836</v>
      </c>
      <c r="P7" s="1">
        <f>(Main_M[[#This Row],[P/B]]-VLOOKUP(Main_M[[#This Row],[Industry]], Mean_PB_M, 2, FALSE))/(VLOOKUP(Main_M[[#This Row],[Industry]], Mean_PB_M, 3, FALSE))</f>
        <v>-0.45362466653116978</v>
      </c>
      <c r="Q7" s="1">
        <f>(Main_M[[#This Row],[ROE]]-VLOOKUP(Main_M[[#This Row],[Industry]], Mean_ROE_M, 2, FALSE))/(VLOOKUP(Main_M[[#This Row],[Industry]], Mean_ROE_M, 3, FALSE))</f>
        <v>-0.17522496525088554</v>
      </c>
      <c r="R7" s="1">
        <f>(Main_M[[#This Row],[ROA]]-VLOOKUP(Main_M[[#This Row],[Industry]], Mean_ROA_M, 2, FALSE))/(VLOOKUP(Main_M[[#This Row],[Industry]], Mean_ROA_M, 3, FALSE))</f>
        <v>-1.4590282973845228</v>
      </c>
      <c r="S7" s="1">
        <f>(Main_M[[#This Row],[A/E]]-VLOOKUP(Main_M[[#This Row],[Industry]], Mean_AE_M, 2, FALSE))/(VLOOKUP(Main_M[[#This Row],[Industry]], Mean_AE_M, 3, FALSE))</f>
        <v>1.018887366637206</v>
      </c>
      <c r="T7" s="1">
        <f>(Main_M[[#This Row],[P/E]]-VLOOKUP(Main_M[[#This Row],[Industry]], Mean_PE_M, 2, FALSE))/(VLOOKUP(Main_M[[#This Row],[Industry]], Mean_PE_M, 3, FALSE))</f>
        <v>-0.34191466561263495</v>
      </c>
      <c r="U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" spans="1:26" x14ac:dyDescent="0.25">
      <c r="A8" t="s">
        <v>105</v>
      </c>
      <c r="B8" t="s">
        <v>154</v>
      </c>
      <c r="C8" s="2">
        <v>3366</v>
      </c>
      <c r="D8">
        <f>RTD("tos.rtd", , "LAST", Main_M[[#This Row],[Symbol]])</f>
        <v>90.15</v>
      </c>
      <c r="E8">
        <v>1.1299999999999999</v>
      </c>
      <c r="F8">
        <v>33.71</v>
      </c>
      <c r="G8">
        <v>3.33</v>
      </c>
      <c r="H8" s="1">
        <f>IF(ISNUMBER(Main_M[[#This Row],[Free CF]]),IF(Main_M[[#This Row],[Free CF]]&lt;&gt;0,Main_M[[#This Row],[Current Price]]/Main_M[[#This Row],[Free CF]],""),"")</f>
        <v>79.778761061946909</v>
      </c>
      <c r="I8" s="1">
        <f>IF(ISNUMBER(Main_M[[#This Row],[BVPS]]),IF(Main_M[[#This Row],[BVPS]]&lt;&gt;0,Main_M[[#This Row],[Current Price]]/Main_M[[#This Row],[BVPS]],""),"")</f>
        <v>2.6742806288935035</v>
      </c>
      <c r="J8">
        <v>10.17</v>
      </c>
      <c r="K8">
        <v>3.54</v>
      </c>
      <c r="L8">
        <v>2.2999999999999998</v>
      </c>
      <c r="M8" s="1">
        <f>IF(ISNUMBER(Main_M[[#This Row],[EPS]]),IF(Main_M[[#This Row],[EPS]]&lt;&gt;0,Main_M[[#This Row],[Current Price]]/Main_M[[#This Row],[EPS]],""),"")</f>
        <v>27.072072072072075</v>
      </c>
      <c r="N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" s="1">
        <f>(Main_M[[#This Row],[P/FCF]]-VLOOKUP(Main_M[[#This Row],[Industry]], Mean_PFCF_M, 2, FALSE))/(VLOOKUP(Main_M[[#This Row],[Industry]], Mean_PFCF_M, 3, FALSE))</f>
        <v>1.0071692508263188</v>
      </c>
      <c r="P8" s="1">
        <f>(Main_M[[#This Row],[P/B]]-VLOOKUP(Main_M[[#This Row],[Industry]], Mean_PB_M, 2, FALSE))/(VLOOKUP(Main_M[[#This Row],[Industry]], Mean_PB_M, 3, FALSE))</f>
        <v>4.2433869819335022E-2</v>
      </c>
      <c r="Q8" s="1">
        <f>(Main_M[[#This Row],[ROE]]-VLOOKUP(Main_M[[#This Row],[Industry]], Mean_ROE_M, 2, FALSE))/(VLOOKUP(Main_M[[#This Row],[Industry]], Mean_ROE_M, 3, FALSE))</f>
        <v>-6.3231027215915919E-2</v>
      </c>
      <c r="R8" s="1">
        <f>(Main_M[[#This Row],[ROA]]-VLOOKUP(Main_M[[#This Row],[Industry]], Mean_ROA_M, 2, FALSE))/(VLOOKUP(Main_M[[#This Row],[Industry]], Mean_ROA_M, 3, FALSE))</f>
        <v>0.30810543064659629</v>
      </c>
      <c r="S8" s="1">
        <f>(Main_M[[#This Row],[A/E]]-VLOOKUP(Main_M[[#This Row],[Industry]], Mean_AE_M, 2, FALSE))/(VLOOKUP(Main_M[[#This Row],[Industry]], Mean_AE_M, 3, FALSE))</f>
        <v>-0.40076236421063477</v>
      </c>
      <c r="T8" s="1">
        <f>(Main_M[[#This Row],[P/E]]-VLOOKUP(Main_M[[#This Row],[Industry]], Mean_PE_M, 2, FALSE))/(VLOOKUP(Main_M[[#This Row],[Industry]], Mean_PE_M, 3, FALSE))</f>
        <v>2.6715335518032863E-2</v>
      </c>
      <c r="U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" spans="1:26" x14ac:dyDescent="0.25">
      <c r="A9" t="s">
        <v>105</v>
      </c>
      <c r="B9" t="s">
        <v>155</v>
      </c>
      <c r="C9" s="2">
        <v>9100</v>
      </c>
      <c r="D9">
        <f>RTD("tos.rtd", , "LAST", Main_M[[#This Row],[Symbol]])</f>
        <v>43.06</v>
      </c>
      <c r="E9">
        <v>-1.83</v>
      </c>
      <c r="F9">
        <v>22.93</v>
      </c>
      <c r="G9">
        <v>2.41</v>
      </c>
      <c r="H9" s="1">
        <f>IF(ISNUMBER(Main_M[[#This Row],[Free CF]]),IF(Main_M[[#This Row],[Free CF]]&lt;&gt;0,Main_M[[#This Row],[Current Price]]/Main_M[[#This Row],[Free CF]],""),"")</f>
        <v>-23.530054644808743</v>
      </c>
      <c r="I9" s="1">
        <f>IF(ISNUMBER(Main_M[[#This Row],[BVPS]]),IF(Main_M[[#This Row],[BVPS]]&lt;&gt;0,Main_M[[#This Row],[Current Price]]/Main_M[[#This Row],[BVPS]],""),"")</f>
        <v>1.8778892280854778</v>
      </c>
      <c r="J9">
        <v>10.72</v>
      </c>
      <c r="K9">
        <v>3.71</v>
      </c>
      <c r="L9">
        <v>3.02</v>
      </c>
      <c r="M9" s="1">
        <f>IF(ISNUMBER(Main_M[[#This Row],[EPS]]),IF(Main_M[[#This Row],[EPS]]&lt;&gt;0,Main_M[[#This Row],[Current Price]]/Main_M[[#This Row],[EPS]],""),"")</f>
        <v>17.867219917012449</v>
      </c>
      <c r="N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" s="1">
        <f>(Main_M[[#This Row],[P/FCF]]-VLOOKUP(Main_M[[#This Row],[Industry]], Mean_PFCF_M, 2, FALSE))/(VLOOKUP(Main_M[[#This Row],[Industry]], Mean_PFCF_M, 3, FALSE))</f>
        <v>-0.45781729672478788</v>
      </c>
      <c r="P9" s="1">
        <f>(Main_M[[#This Row],[P/B]]-VLOOKUP(Main_M[[#This Row],[Industry]], Mean_PB_M, 2, FALSE))/(VLOOKUP(Main_M[[#This Row],[Industry]], Mean_PB_M, 3, FALSE))</f>
        <v>-0.40529776970859993</v>
      </c>
      <c r="Q9" s="1">
        <f>(Main_M[[#This Row],[ROE]]-VLOOKUP(Main_M[[#This Row],[Industry]], Mean_ROE_M, 2, FALSE))/(VLOOKUP(Main_M[[#This Row],[Industry]], Mean_ROE_M, 3, FALSE))</f>
        <v>4.483329895817767E-2</v>
      </c>
      <c r="R9" s="1">
        <f>(Main_M[[#This Row],[ROA]]-VLOOKUP(Main_M[[#This Row],[Industry]], Mean_ROA_M, 2, FALSE))/(VLOOKUP(Main_M[[#This Row],[Industry]], Mean_ROA_M, 3, FALSE))</f>
        <v>0.54465089030430502</v>
      </c>
      <c r="S9" s="1">
        <f>(Main_M[[#This Row],[A/E]]-VLOOKUP(Main_M[[#This Row],[Industry]], Mean_AE_M, 2, FALSE))/(VLOOKUP(Main_M[[#This Row],[Industry]], Mean_AE_M, 3, FALSE))</f>
        <v>1.3924794010708479</v>
      </c>
      <c r="T9" s="1">
        <f>(Main_M[[#This Row],[P/E]]-VLOOKUP(Main_M[[#This Row],[Industry]], Mean_PE_M, 2, FALSE))/(VLOOKUP(Main_M[[#This Row],[Industry]], Mean_PE_M, 3, FALSE))</f>
        <v>-0.43466073818417911</v>
      </c>
      <c r="U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" spans="1:26" x14ac:dyDescent="0.25">
      <c r="A10" t="s">
        <v>105</v>
      </c>
      <c r="B10" t="s">
        <v>156</v>
      </c>
      <c r="C10" s="2">
        <v>3775</v>
      </c>
      <c r="D10">
        <f>RTD("tos.rtd", , "LAST", Main_M[[#This Row],[Symbol]])</f>
        <v>32.03</v>
      </c>
      <c r="E10">
        <v>-0.39</v>
      </c>
      <c r="F10">
        <v>1.82</v>
      </c>
      <c r="G10">
        <v>-0.74</v>
      </c>
      <c r="H10" s="1">
        <f>IF(ISNUMBER(Main_M[[#This Row],[Free CF]]),IF(Main_M[[#This Row],[Free CF]]&lt;&gt;0,Main_M[[#This Row],[Current Price]]/Main_M[[#This Row],[Free CF]],""),"")</f>
        <v>-82.128205128205124</v>
      </c>
      <c r="I10" s="1">
        <f>IF(ISNUMBER(Main_M[[#This Row],[BVPS]]),IF(Main_M[[#This Row],[BVPS]]&lt;&gt;0,Main_M[[#This Row],[Current Price]]/Main_M[[#This Row],[BVPS]],""),"")</f>
        <v>17.598901098901099</v>
      </c>
      <c r="J10">
        <v>-68.010000000000005</v>
      </c>
      <c r="K10">
        <v>-22.25</v>
      </c>
      <c r="L10">
        <v>1.1200000000000001</v>
      </c>
      <c r="M10" s="1">
        <f>IF(ISNUMBER(Main_M[[#This Row],[EPS]]),IF(Main_M[[#This Row],[EPS]]&lt;&gt;0,Main_M[[#This Row],[Current Price]]/Main_M[[#This Row],[EPS]],""),"")</f>
        <v>-43.283783783783782</v>
      </c>
      <c r="N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" s="1">
        <f>(Main_M[[#This Row],[P/FCF]]-VLOOKUP(Main_M[[#This Row],[Industry]], Mean_PFCF_M, 2, FALSE))/(VLOOKUP(Main_M[[#This Row],[Industry]], Mean_PFCF_M, 3, FALSE))</f>
        <v>-1.2887773806466232</v>
      </c>
      <c r="P10" s="1">
        <f>(Main_M[[#This Row],[P/B]]-VLOOKUP(Main_M[[#This Row],[Industry]], Mean_PB_M, 2, FALSE))/(VLOOKUP(Main_M[[#This Row],[Industry]], Mean_PB_M, 3, FALSE))</f>
        <v>8.4330628816203621</v>
      </c>
      <c r="Q10" s="1">
        <f>(Main_M[[#This Row],[ROE]]-VLOOKUP(Main_M[[#This Row],[Industry]], Mean_ROE_M, 2, FALSE))/(VLOOKUP(Main_M[[#This Row],[Industry]], Mean_ROE_M, 3, FALSE))</f>
        <v>-15.424083791380689</v>
      </c>
      <c r="R10" s="1">
        <f>(Main_M[[#This Row],[ROA]]-VLOOKUP(Main_M[[#This Row],[Industry]], Mean_ROA_M, 2, FALSE))/(VLOOKUP(Main_M[[#This Row],[Industry]], Mean_ROA_M, 3, FALSE))</f>
        <v>-35.577232243308174</v>
      </c>
      <c r="S10" s="1">
        <f>(Main_M[[#This Row],[A/E]]-VLOOKUP(Main_M[[#This Row],[Industry]], Mean_AE_M, 2, FALSE))/(VLOOKUP(Main_M[[#This Row],[Industry]], Mean_AE_M, 3, FALSE))</f>
        <v>-3.339686368421952</v>
      </c>
      <c r="T10" s="1">
        <f>(Main_M[[#This Row],[P/E]]-VLOOKUP(Main_M[[#This Row],[Industry]], Mean_PE_M, 2, FALSE))/(VLOOKUP(Main_M[[#This Row],[Industry]], Mean_PE_M, 3, FALSE))</f>
        <v>-3.4997409279745866</v>
      </c>
      <c r="U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1" spans="1:26" x14ac:dyDescent="0.25">
      <c r="A11" t="s">
        <v>105</v>
      </c>
      <c r="B11" t="s">
        <v>157</v>
      </c>
      <c r="C11" s="2">
        <v>3197</v>
      </c>
      <c r="D11">
        <f>RTD("tos.rtd", , "LAST", Main_M[[#This Row],[Symbol]])</f>
        <v>78.59</v>
      </c>
      <c r="E11">
        <v>1.86</v>
      </c>
      <c r="F11">
        <v>41.06</v>
      </c>
      <c r="G11">
        <v>7.02</v>
      </c>
      <c r="H11" s="1">
        <f>IF(ISNUMBER(Main_M[[#This Row],[Free CF]]),IF(Main_M[[#This Row],[Free CF]]&lt;&gt;0,Main_M[[#This Row],[Current Price]]/Main_M[[#This Row],[Free CF]],""),"")</f>
        <v>42.252688172043008</v>
      </c>
      <c r="I11" s="1">
        <f>IF(ISNUMBER(Main_M[[#This Row],[BVPS]]),IF(Main_M[[#This Row],[BVPS]]&lt;&gt;0,Main_M[[#This Row],[Current Price]]/Main_M[[#This Row],[BVPS]],""),"")</f>
        <v>1.9140282513395031</v>
      </c>
      <c r="J11">
        <v>18.38</v>
      </c>
      <c r="K11">
        <v>6.72</v>
      </c>
      <c r="L11">
        <v>2.15</v>
      </c>
      <c r="M11" s="1">
        <f>IF(ISNUMBER(Main_M[[#This Row],[EPS]]),IF(Main_M[[#This Row],[EPS]]&lt;&gt;0,Main_M[[#This Row],[Current Price]]/Main_M[[#This Row],[EPS]],""),"")</f>
        <v>11.195156695156696</v>
      </c>
      <c r="N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" s="1">
        <f>(Main_M[[#This Row],[P/FCF]]-VLOOKUP(Main_M[[#This Row],[Industry]], Mean_PFCF_M, 2, FALSE))/(VLOOKUP(Main_M[[#This Row],[Industry]], Mean_PFCF_M, 3, FALSE))</f>
        <v>0.47502500359983046</v>
      </c>
      <c r="P11" s="1">
        <f>(Main_M[[#This Row],[P/B]]-VLOOKUP(Main_M[[#This Row],[Industry]], Mean_PB_M, 2, FALSE))/(VLOOKUP(Main_M[[#This Row],[Industry]], Mean_PB_M, 3, FALSE))</f>
        <v>-0.38498039295635728</v>
      </c>
      <c r="Q11" s="1">
        <f>(Main_M[[#This Row],[ROE]]-VLOOKUP(Main_M[[#This Row],[Industry]], Mean_ROE_M, 2, FALSE))/(VLOOKUP(Main_M[[#This Row],[Industry]], Mean_ROE_M, 3, FALSE))</f>
        <v>1.5498746416737332</v>
      </c>
      <c r="R11" s="1">
        <f>(Main_M[[#This Row],[ROA]]-VLOOKUP(Main_M[[#This Row],[Industry]], Mean_ROA_M, 2, FALSE))/(VLOOKUP(Main_M[[#This Row],[Industry]], Mean_ROA_M, 3, FALSE))</f>
        <v>4.7328969701260908</v>
      </c>
      <c r="S11" s="1">
        <f>(Main_M[[#This Row],[A/E]]-VLOOKUP(Main_M[[#This Row],[Industry]], Mean_AE_M, 2, FALSE))/(VLOOKUP(Main_M[[#This Row],[Industry]], Mean_AE_M, 3, FALSE))</f>
        <v>-0.77435439864427669</v>
      </c>
      <c r="T11" s="1">
        <f>(Main_M[[#This Row],[P/E]]-VLOOKUP(Main_M[[#This Row],[Industry]], Mean_PE_M, 2, FALSE))/(VLOOKUP(Main_M[[#This Row],[Industry]], Mean_PE_M, 3, FALSE))</f>
        <v>-0.76908548297496571</v>
      </c>
      <c r="U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" spans="1:26" x14ac:dyDescent="0.25">
      <c r="A12" t="s">
        <v>105</v>
      </c>
      <c r="B12" t="s">
        <v>158</v>
      </c>
      <c r="C12" s="2">
        <v>3897</v>
      </c>
      <c r="D12">
        <f>RTD("tos.rtd", , "LAST", Main_M[[#This Row],[Symbol]])</f>
        <v>83.73</v>
      </c>
      <c r="E12">
        <v>-0.01</v>
      </c>
      <c r="F12">
        <v>2.42</v>
      </c>
      <c r="G12">
        <v>0.46</v>
      </c>
      <c r="H12" s="1">
        <f>IF(ISNUMBER(Main_M[[#This Row],[Free CF]]),IF(Main_M[[#This Row],[Free CF]]&lt;&gt;0,Main_M[[#This Row],[Current Price]]/Main_M[[#This Row],[Free CF]],""),"")</f>
        <v>-8373</v>
      </c>
      <c r="I12" s="1">
        <f>IF(ISNUMBER(Main_M[[#This Row],[BVPS]]),IF(Main_M[[#This Row],[BVPS]]&lt;&gt;0,Main_M[[#This Row],[Current Price]]/Main_M[[#This Row],[BVPS]],""),"")</f>
        <v>34.599173553719012</v>
      </c>
      <c r="J12">
        <v>21.69</v>
      </c>
      <c r="K12">
        <v>2.62</v>
      </c>
      <c r="L12">
        <v>1.93</v>
      </c>
      <c r="M12" s="1">
        <f>IF(ISNUMBER(Main_M[[#This Row],[EPS]]),IF(Main_M[[#This Row],[EPS]]&lt;&gt;0,Main_M[[#This Row],[Current Price]]/Main_M[[#This Row],[EPS]],""),"")</f>
        <v>182.02173913043478</v>
      </c>
      <c r="N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" s="1">
        <f>(Main_M[[#This Row],[P/FCF]]-VLOOKUP(Main_M[[#This Row],[Industry]], Mean_PFCF_M, 2, FALSE))/(VLOOKUP(Main_M[[#This Row],[Industry]], Mean_PFCF_M, 3, FALSE))</f>
        <v>-118.85875980532963</v>
      </c>
      <c r="P12" s="1">
        <f>(Main_M[[#This Row],[P/B]]-VLOOKUP(Main_M[[#This Row],[Industry]], Mean_PB_M, 2, FALSE))/(VLOOKUP(Main_M[[#This Row],[Industry]], Mean_PB_M, 3, FALSE))</f>
        <v>17.990624466155879</v>
      </c>
      <c r="Q12" s="1">
        <f>(Main_M[[#This Row],[ROE]]-VLOOKUP(Main_M[[#This Row],[Industry]], Mean_ROE_M, 2, FALSE))/(VLOOKUP(Main_M[[#This Row],[Industry]], Mean_ROE_M, 3, FALSE))</f>
        <v>2.2002254046487324</v>
      </c>
      <c r="R12" s="1">
        <f>(Main_M[[#This Row],[ROA]]-VLOOKUP(Main_M[[#This Row],[Industry]], Mean_ROA_M, 2, FALSE))/(VLOOKUP(Main_M[[#This Row],[Industry]], Mean_ROA_M, 3, FALSE))</f>
        <v>-0.97202293926571026</v>
      </c>
      <c r="S12" s="1">
        <f>(Main_M[[#This Row],[A/E]]-VLOOKUP(Main_M[[#This Row],[Industry]], Mean_AE_M, 2, FALSE))/(VLOOKUP(Main_M[[#This Row],[Industry]], Mean_AE_M, 3, FALSE))</f>
        <v>-1.322289382480285</v>
      </c>
      <c r="T12" s="1">
        <f>(Main_M[[#This Row],[P/E]]-VLOOKUP(Main_M[[#This Row],[Industry]], Mean_PE_M, 2, FALSE))/(VLOOKUP(Main_M[[#This Row],[Industry]], Mean_PE_M, 3, FALSE))</f>
        <v>7.793278861425013</v>
      </c>
      <c r="U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3" spans="1:26" x14ac:dyDescent="0.25">
      <c r="A13" t="s">
        <v>105</v>
      </c>
      <c r="B13" t="s">
        <v>159</v>
      </c>
      <c r="C13" s="2">
        <v>4663</v>
      </c>
      <c r="D13">
        <f>RTD("tos.rtd", , "LAST", Main_M[[#This Row],[Symbol]])</f>
        <v>41.5</v>
      </c>
      <c r="E13">
        <v>-4.42</v>
      </c>
      <c r="F13">
        <v>35.1</v>
      </c>
      <c r="G13">
        <v>2.86</v>
      </c>
      <c r="H13" s="1">
        <f>IF(ISNUMBER(Main_M[[#This Row],[Free CF]]),IF(Main_M[[#This Row],[Free CF]]&lt;&gt;0,Main_M[[#This Row],[Current Price]]/Main_M[[#This Row],[Free CF]],""),"")</f>
        <v>-9.3891402714932131</v>
      </c>
      <c r="I13" s="1">
        <f>IF(ISNUMBER(Main_M[[#This Row],[BVPS]]),IF(Main_M[[#This Row],[BVPS]]&lt;&gt;0,Main_M[[#This Row],[Current Price]]/Main_M[[#This Row],[BVPS]],""),"")</f>
        <v>1.1823361823361822</v>
      </c>
      <c r="J13">
        <v>8.33</v>
      </c>
      <c r="K13">
        <v>2.7</v>
      </c>
      <c r="L13">
        <v>3.3</v>
      </c>
      <c r="M13" s="1">
        <f>IF(ISNUMBER(Main_M[[#This Row],[EPS]]),IF(Main_M[[#This Row],[EPS]]&lt;&gt;0,Main_M[[#This Row],[Current Price]]/Main_M[[#This Row],[EPS]],""),"")</f>
        <v>14.510489510489512</v>
      </c>
      <c r="N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" s="1">
        <f>(Main_M[[#This Row],[P/FCF]]-VLOOKUP(Main_M[[#This Row],[Industry]], Mean_PFCF_M, 2, FALSE))/(VLOOKUP(Main_M[[#This Row],[Industry]], Mean_PFCF_M, 3, FALSE))</f>
        <v>-0.25728988592005203</v>
      </c>
      <c r="P13" s="1">
        <f>(Main_M[[#This Row],[P/B]]-VLOOKUP(Main_M[[#This Row],[Industry]], Mean_PB_M, 2, FALSE))/(VLOOKUP(Main_M[[#This Row],[Industry]], Mean_PB_M, 3, FALSE))</f>
        <v>-0.79633803613539744</v>
      </c>
      <c r="Q13" s="1">
        <f>(Main_M[[#This Row],[ROE]]-VLOOKUP(Main_M[[#This Row],[Industry]], Mean_ROE_M, 2, FALSE))/(VLOOKUP(Main_M[[#This Row],[Industry]], Mean_ROE_M, 3, FALSE))</f>
        <v>-0.42475531841651942</v>
      </c>
      <c r="R13" s="1">
        <f>(Main_M[[#This Row],[ROA]]-VLOOKUP(Main_M[[#This Row],[Industry]], Mean_ROA_M, 2, FALSE))/(VLOOKUP(Main_M[[#This Row],[Industry]], Mean_ROA_M, 3, FALSE))</f>
        <v>-0.86070742883855311</v>
      </c>
      <c r="S13" s="1">
        <f>(Main_M[[#This Row],[A/E]]-VLOOKUP(Main_M[[#This Row],[Industry]], Mean_AE_M, 2, FALSE))/(VLOOKUP(Main_M[[#This Row],[Industry]], Mean_AE_M, 3, FALSE))</f>
        <v>2.0898511986803125</v>
      </c>
      <c r="T13" s="1">
        <f>(Main_M[[#This Row],[P/E]]-VLOOKUP(Main_M[[#This Row],[Industry]], Mean_PE_M, 2, FALSE))/(VLOOKUP(Main_M[[#This Row],[Industry]], Mean_PE_M, 3, FALSE))</f>
        <v>-0.60291059916506418</v>
      </c>
      <c r="U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" spans="1:26" x14ac:dyDescent="0.25">
      <c r="A14" t="s">
        <v>105</v>
      </c>
      <c r="B14" t="s">
        <v>160</v>
      </c>
      <c r="C14" s="2">
        <v>4904</v>
      </c>
      <c r="D14">
        <f>RTD("tos.rtd", , "LAST", Main_M[[#This Row],[Symbol]])</f>
        <v>53.2</v>
      </c>
      <c r="E14">
        <v>-8.16</v>
      </c>
      <c r="F14">
        <v>27.37</v>
      </c>
      <c r="G14">
        <v>2.67</v>
      </c>
      <c r="H14" s="1">
        <f>IF(ISNUMBER(Main_M[[#This Row],[Free CF]]),IF(Main_M[[#This Row],[Free CF]]&lt;&gt;0,Main_M[[#This Row],[Current Price]]/Main_M[[#This Row],[Free CF]],""),"")</f>
        <v>-6.5196078431372548</v>
      </c>
      <c r="I14" s="1">
        <f>IF(ISNUMBER(Main_M[[#This Row],[BVPS]]),IF(Main_M[[#This Row],[BVPS]]&lt;&gt;0,Main_M[[#This Row],[Current Price]]/Main_M[[#This Row],[BVPS]],""),"")</f>
        <v>1.9437340153452687</v>
      </c>
      <c r="J14">
        <v>10.32</v>
      </c>
      <c r="K14">
        <v>2.65</v>
      </c>
      <c r="L14">
        <v>4.42</v>
      </c>
      <c r="M14" s="1">
        <f>IF(ISNUMBER(Main_M[[#This Row],[EPS]]),IF(Main_M[[#This Row],[EPS]]&lt;&gt;0,Main_M[[#This Row],[Current Price]]/Main_M[[#This Row],[EPS]],""),"")</f>
        <v>19.925093632958802</v>
      </c>
      <c r="N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" s="1">
        <f>(Main_M[[#This Row],[P/FCF]]-VLOOKUP(Main_M[[#This Row],[Industry]], Mean_PFCF_M, 2, FALSE))/(VLOOKUP(Main_M[[#This Row],[Industry]], Mean_PFCF_M, 3, FALSE))</f>
        <v>-0.2165980400543924</v>
      </c>
      <c r="P14" s="1">
        <f>(Main_M[[#This Row],[P/B]]-VLOOKUP(Main_M[[#This Row],[Industry]], Mean_PB_M, 2, FALSE))/(VLOOKUP(Main_M[[#This Row],[Industry]], Mean_PB_M, 3, FALSE))</f>
        <v>-0.36827979773617181</v>
      </c>
      <c r="Q14" s="1">
        <f>(Main_M[[#This Row],[ROE]]-VLOOKUP(Main_M[[#This Row],[Industry]], Mean_ROE_M, 2, FALSE))/(VLOOKUP(Main_M[[#This Row],[Industry]], Mean_ROE_M, 3, FALSE))</f>
        <v>-3.3758938259344902E-2</v>
      </c>
      <c r="R14" s="1">
        <f>(Main_M[[#This Row],[ROA]]-VLOOKUP(Main_M[[#This Row],[Industry]], Mean_ROA_M, 2, FALSE))/(VLOOKUP(Main_M[[#This Row],[Industry]], Mean_ROA_M, 3, FALSE))</f>
        <v>-0.93027962285552668</v>
      </c>
      <c r="S14" s="1">
        <f>(Main_M[[#This Row],[A/E]]-VLOOKUP(Main_M[[#This Row],[Industry]], Mean_AE_M, 2, FALSE))/(VLOOKUP(Main_M[[#This Row],[Industry]], Mean_AE_M, 3, FALSE))</f>
        <v>4.8793383891181739</v>
      </c>
      <c r="T14" s="1">
        <f>(Main_M[[#This Row],[P/E]]-VLOOKUP(Main_M[[#This Row],[Industry]], Mean_PE_M, 2, FALSE))/(VLOOKUP(Main_M[[#This Row],[Industry]], Mean_PE_M, 3, FALSE))</f>
        <v>-0.33151365018707057</v>
      </c>
      <c r="U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" spans="1:26" x14ac:dyDescent="0.25">
      <c r="A15" t="s">
        <v>126</v>
      </c>
      <c r="B15" t="s">
        <v>161</v>
      </c>
      <c r="C15" s="2">
        <v>4599</v>
      </c>
      <c r="D15">
        <f>RTD("tos.rtd", , "LAST", Main_M[[#This Row],[Symbol]])</f>
        <v>39.36</v>
      </c>
      <c r="E15">
        <v>2.76</v>
      </c>
      <c r="F15">
        <v>-7.06</v>
      </c>
      <c r="G15">
        <v>-2.0699999999999998</v>
      </c>
      <c r="H15" s="1">
        <f>IF(ISNUMBER(Main_M[[#This Row],[Free CF]]),IF(Main_M[[#This Row],[Free CF]]&lt;&gt;0,Main_M[[#This Row],[Current Price]]/Main_M[[#This Row],[Free CF]],""),"")</f>
        <v>14.260869565217392</v>
      </c>
      <c r="I15" s="1">
        <f>IF(ISNUMBER(Main_M[[#This Row],[BVPS]]),IF(Main_M[[#This Row],[BVPS]]&lt;&gt;0,Main_M[[#This Row],[Current Price]]/Main_M[[#This Row],[BVPS]],""),"")</f>
        <v>-5.5750708215297449</v>
      </c>
      <c r="J15">
        <v>22.2</v>
      </c>
      <c r="K15">
        <v>5.98</v>
      </c>
      <c r="L15">
        <v>-26.87</v>
      </c>
      <c r="M15" s="1">
        <f>IF(ISNUMBER(Main_M[[#This Row],[EPS]]),IF(Main_M[[#This Row],[EPS]]&lt;&gt;0,Main_M[[#This Row],[Current Price]]/Main_M[[#This Row],[EPS]],""),"")</f>
        <v>-19.014492753623191</v>
      </c>
      <c r="N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" s="1">
        <f>(Main_M[[#This Row],[P/FCF]]-VLOOKUP(Main_M[[#This Row],[Industry]], Mean_PFCF_M, 2, FALSE))/(VLOOKUP(Main_M[[#This Row],[Industry]], Mean_PFCF_M, 3, FALSE))</f>
        <v>1.0951834987770646</v>
      </c>
      <c r="P15" s="1">
        <f>(Main_M[[#This Row],[P/B]]-VLOOKUP(Main_M[[#This Row],[Industry]], Mean_PB_M, 2, FALSE))/(VLOOKUP(Main_M[[#This Row],[Industry]], Mean_PB_M, 3, FALSE))</f>
        <v>-16.738573310154191</v>
      </c>
      <c r="Q15" s="1">
        <f>(Main_M[[#This Row],[ROE]]-VLOOKUP(Main_M[[#This Row],[Industry]], Mean_ROE_M, 2, FALSE))/(VLOOKUP(Main_M[[#This Row],[Industry]], Mean_ROE_M, 3, FALSE))</f>
        <v>2.1707970226945164</v>
      </c>
      <c r="R15" s="1">
        <f>(Main_M[[#This Row],[ROA]]-VLOOKUP(Main_M[[#This Row],[Industry]], Mean_ROA_M, 2, FALSE))/(VLOOKUP(Main_M[[#This Row],[Industry]], Mean_ROA_M, 3, FALSE))</f>
        <v>1.6927818335341513</v>
      </c>
      <c r="S15" s="1">
        <f>(Main_M[[#This Row],[A/E]]-VLOOKUP(Main_M[[#This Row],[Industry]], Mean_AE_M, 2, FALSE))/(VLOOKUP(Main_M[[#This Row],[Industry]], Mean_AE_M, 3, FALSE))</f>
        <v>-83.200081124642779</v>
      </c>
      <c r="T15" s="1">
        <f>(Main_M[[#This Row],[P/E]]-VLOOKUP(Main_M[[#This Row],[Industry]], Mean_PE_M, 2, FALSE))/(VLOOKUP(Main_M[[#This Row],[Industry]], Mean_PE_M, 3, FALSE))</f>
        <v>-9.7449770329138126</v>
      </c>
      <c r="U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6" spans="1:26" x14ac:dyDescent="0.25">
      <c r="A16" t="s">
        <v>126</v>
      </c>
      <c r="B16" t="s">
        <v>162</v>
      </c>
      <c r="C16" s="2">
        <v>3085</v>
      </c>
      <c r="D16">
        <f>RTD("tos.rtd", , "LAST", Main_M[[#This Row],[Symbol]])</f>
        <v>119.03</v>
      </c>
      <c r="E16">
        <v>-5.16</v>
      </c>
      <c r="F16">
        <v>60.71</v>
      </c>
      <c r="G16">
        <v>5.26</v>
      </c>
      <c r="H16" s="1">
        <f>IF(ISNUMBER(Main_M[[#This Row],[Free CF]]),IF(Main_M[[#This Row],[Free CF]]&lt;&gt;0,Main_M[[#This Row],[Current Price]]/Main_M[[#This Row],[Free CF]],""),"")</f>
        <v>-23.06782945736434</v>
      </c>
      <c r="I16" s="1">
        <f>IF(ISNUMBER(Main_M[[#This Row],[BVPS]]),IF(Main_M[[#This Row],[BVPS]]&lt;&gt;0,Main_M[[#This Row],[Current Price]]/Main_M[[#This Row],[BVPS]],""),"")</f>
        <v>1.9606325152363697</v>
      </c>
      <c r="J16">
        <v>9</v>
      </c>
      <c r="K16">
        <v>4.22</v>
      </c>
      <c r="L16">
        <v>2.57</v>
      </c>
      <c r="M16" s="1">
        <f>IF(ISNUMBER(Main_M[[#This Row],[EPS]]),IF(Main_M[[#This Row],[EPS]]&lt;&gt;0,Main_M[[#This Row],[Current Price]]/Main_M[[#This Row],[EPS]],""),"")</f>
        <v>22.629277566539926</v>
      </c>
      <c r="N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" s="1">
        <f>(Main_M[[#This Row],[P/FCF]]-VLOOKUP(Main_M[[#This Row],[Industry]], Mean_PFCF_M, 2, FALSE))/(VLOOKUP(Main_M[[#This Row],[Industry]], Mean_PFCF_M, 3, FALSE))</f>
        <v>-0.72734876560200057</v>
      </c>
      <c r="P16" s="1">
        <f>(Main_M[[#This Row],[P/B]]-VLOOKUP(Main_M[[#This Row],[Industry]], Mean_PB_M, 2, FALSE))/(VLOOKUP(Main_M[[#This Row],[Industry]], Mean_PB_M, 3, FALSE))</f>
        <v>0.6135555797074882</v>
      </c>
      <c r="Q16" s="1">
        <f>(Main_M[[#This Row],[ROE]]-VLOOKUP(Main_M[[#This Row],[Industry]], Mean_ROE_M, 2, FALSE))/(VLOOKUP(Main_M[[#This Row],[Industry]], Mean_ROE_M, 3, FALSE))</f>
        <v>-0.12523828977083729</v>
      </c>
      <c r="R16" s="1">
        <f>(Main_M[[#This Row],[ROA]]-VLOOKUP(Main_M[[#This Row],[Industry]], Mean_ROA_M, 2, FALSE))/(VLOOKUP(Main_M[[#This Row],[Industry]], Mean_ROA_M, 3, FALSE))</f>
        <v>0.28246418760747311</v>
      </c>
      <c r="S16" s="1">
        <f>(Main_M[[#This Row],[A/E]]-VLOOKUP(Main_M[[#This Row],[Industry]], Mean_AE_M, 2, FALSE))/(VLOOKUP(Main_M[[#This Row],[Industry]], Mean_AE_M, 3, FALSE))</f>
        <v>-1.2834258574053423</v>
      </c>
      <c r="T16" s="1">
        <f>(Main_M[[#This Row],[P/E]]-VLOOKUP(Main_M[[#This Row],[Industry]], Mean_PE_M, 2, FALSE))/(VLOOKUP(Main_M[[#This Row],[Industry]], Mean_PE_M, 3, FALSE))</f>
        <v>1.0895023785483959</v>
      </c>
      <c r="U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" spans="1:26" x14ac:dyDescent="0.25">
      <c r="A17" t="s">
        <v>126</v>
      </c>
      <c r="B17" t="s">
        <v>163</v>
      </c>
      <c r="C17" s="2">
        <v>3598</v>
      </c>
      <c r="D17">
        <f>RTD("tos.rtd", , "LAST", Main_M[[#This Row],[Symbol]])</f>
        <v>17.010000000000002</v>
      </c>
      <c r="E17">
        <v>-0.1</v>
      </c>
      <c r="F17">
        <v>13.21</v>
      </c>
      <c r="G17">
        <v>0.88</v>
      </c>
      <c r="H17" s="1">
        <f>IF(ISNUMBER(Main_M[[#This Row],[Free CF]]),IF(Main_M[[#This Row],[Free CF]]&lt;&gt;0,Main_M[[#This Row],[Current Price]]/Main_M[[#This Row],[Free CF]],""),"")</f>
        <v>-170.1</v>
      </c>
      <c r="I17" s="1">
        <f>IF(ISNUMBER(Main_M[[#This Row],[BVPS]]),IF(Main_M[[#This Row],[BVPS]]&lt;&gt;0,Main_M[[#This Row],[Current Price]]/Main_M[[#This Row],[BVPS]],""),"")</f>
        <v>1.287660862982589</v>
      </c>
      <c r="J17">
        <v>6.47</v>
      </c>
      <c r="K17">
        <v>2.27</v>
      </c>
      <c r="L17">
        <v>2.62</v>
      </c>
      <c r="M17" s="1">
        <f>IF(ISNUMBER(Main_M[[#This Row],[EPS]]),IF(Main_M[[#This Row],[EPS]]&lt;&gt;0,Main_M[[#This Row],[Current Price]]/Main_M[[#This Row],[EPS]],""),"")</f>
        <v>19.329545454545457</v>
      </c>
      <c r="N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" s="1">
        <f>(Main_M[[#This Row],[P/FCF]]-VLOOKUP(Main_M[[#This Row],[Industry]], Mean_PFCF_M, 2, FALSE))/(VLOOKUP(Main_M[[#This Row],[Industry]], Mean_PFCF_M, 3, FALSE))</f>
        <v>-7.9060311663342517</v>
      </c>
      <c r="P17" s="1">
        <f>(Main_M[[#This Row],[P/B]]-VLOOKUP(Main_M[[#This Row],[Industry]], Mean_PB_M, 2, FALSE))/(VLOOKUP(Main_M[[#This Row],[Industry]], Mean_PB_M, 3, FALSE))</f>
        <v>-0.93606631054888656</v>
      </c>
      <c r="Q17" s="1">
        <f>(Main_M[[#This Row],[ROE]]-VLOOKUP(Main_M[[#This Row],[Industry]], Mean_ROE_M, 2, FALSE))/(VLOOKUP(Main_M[[#This Row],[Industry]], Mean_ROE_M, 3, FALSE))</f>
        <v>-0.5653117246600301</v>
      </c>
      <c r="R17" s="1">
        <f>(Main_M[[#This Row],[ROA]]-VLOOKUP(Main_M[[#This Row],[Industry]], Mean_ROA_M, 2, FALSE))/(VLOOKUP(Main_M[[#This Row],[Industry]], Mean_ROA_M, 3, FALSE))</f>
        <v>-1.2801036587317434</v>
      </c>
      <c r="S17" s="1">
        <f>(Main_M[[#This Row],[A/E]]-VLOOKUP(Main_M[[#This Row],[Industry]], Mean_AE_M, 2, FALSE))/(VLOOKUP(Main_M[[#This Row],[Industry]], Mean_AE_M, 3, FALSE))</f>
        <v>-1.1443011032150605</v>
      </c>
      <c r="T17" s="1">
        <f>(Main_M[[#This Row],[P/E]]-VLOOKUP(Main_M[[#This Row],[Industry]], Mean_PE_M, 2, FALSE))/(VLOOKUP(Main_M[[#This Row],[Industry]], Mean_PE_M, 3, FALSE))</f>
        <v>0.23100951500873468</v>
      </c>
      <c r="U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8" spans="1:26" x14ac:dyDescent="0.25">
      <c r="A18" t="s">
        <v>126</v>
      </c>
      <c r="B18" t="s">
        <v>164</v>
      </c>
      <c r="C18" s="2">
        <v>7452</v>
      </c>
      <c r="D18">
        <f>RTD("tos.rtd", , "LAST", Main_M[[#This Row],[Symbol]])</f>
        <v>79.680000000000007</v>
      </c>
      <c r="E18">
        <v>0.77</v>
      </c>
      <c r="F18">
        <v>30.59</v>
      </c>
      <c r="G18">
        <v>0.43</v>
      </c>
      <c r="H18" s="1">
        <f>IF(ISNUMBER(Main_M[[#This Row],[Free CF]]),IF(Main_M[[#This Row],[Free CF]]&lt;&gt;0,Main_M[[#This Row],[Current Price]]/Main_M[[#This Row],[Free CF]],""),"")</f>
        <v>103.48051948051949</v>
      </c>
      <c r="I18" s="1">
        <f>IF(ISNUMBER(Main_M[[#This Row],[BVPS]]),IF(Main_M[[#This Row],[BVPS]]&lt;&gt;0,Main_M[[#This Row],[Current Price]]/Main_M[[#This Row],[BVPS]],""),"")</f>
        <v>2.6047728015691405</v>
      </c>
      <c r="J18">
        <v>1.3</v>
      </c>
      <c r="K18">
        <v>6.15</v>
      </c>
      <c r="L18">
        <v>3.07</v>
      </c>
      <c r="M18" s="1">
        <f>IF(ISNUMBER(Main_M[[#This Row],[EPS]]),IF(Main_M[[#This Row],[EPS]]&lt;&gt;0,Main_M[[#This Row],[Current Price]]/Main_M[[#This Row],[EPS]],""),"")</f>
        <v>185.30232558139537</v>
      </c>
      <c r="N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8" s="1">
        <f>(Main_M[[#This Row],[P/FCF]]-VLOOKUP(Main_M[[#This Row],[Industry]], Mean_PFCF_M, 2, FALSE))/(VLOOKUP(Main_M[[#This Row],[Industry]], Mean_PFCF_M, 3, FALSE))</f>
        <v>5.4512337990802129</v>
      </c>
      <c r="P18" s="1">
        <f>(Main_M[[#This Row],[P/B]]-VLOOKUP(Main_M[[#This Row],[Industry]], Mean_PB_M, 2, FALSE))/(VLOOKUP(Main_M[[#This Row],[Industry]], Mean_PB_M, 3, FALSE))</f>
        <v>2.096788766059972</v>
      </c>
      <c r="Q18" s="1">
        <f>(Main_M[[#This Row],[ROE]]-VLOOKUP(Main_M[[#This Row],[Industry]], Mean_ROE_M, 2, FALSE))/(VLOOKUP(Main_M[[#This Row],[Industry]], Mean_ROE_M, 3, FALSE))</f>
        <v>-1.4645922220422936</v>
      </c>
      <c r="R18" s="1">
        <f>(Main_M[[#This Row],[ROA]]-VLOOKUP(Main_M[[#This Row],[Industry]], Mean_ROA_M, 2, FALSE))/(VLOOKUP(Main_M[[#This Row],[Industry]], Mean_ROA_M, 3, FALSE))</f>
        <v>1.8290056970611599</v>
      </c>
      <c r="S18" s="1">
        <f>(Main_M[[#This Row],[A/E]]-VLOOKUP(Main_M[[#This Row],[Industry]], Mean_AE_M, 2, FALSE))/(VLOOKUP(Main_M[[#This Row],[Industry]], Mean_AE_M, 3, FALSE))</f>
        <v>0.1078216844974673</v>
      </c>
      <c r="T18" s="1">
        <f>(Main_M[[#This Row],[P/E]]-VLOOKUP(Main_M[[#This Row],[Industry]], Mean_PE_M, 2, FALSE))/(VLOOKUP(Main_M[[#This Row],[Industry]], Mean_PE_M, 3, FALSE))</f>
        <v>43.412226184932386</v>
      </c>
      <c r="U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9" spans="1:26" x14ac:dyDescent="0.25">
      <c r="A19" t="s">
        <v>126</v>
      </c>
      <c r="B19" t="s">
        <v>165</v>
      </c>
      <c r="C19" s="2">
        <v>4895</v>
      </c>
      <c r="D19">
        <f>RTD("tos.rtd", , "LAST", Main_M[[#This Row],[Symbol]])</f>
        <v>46.18</v>
      </c>
      <c r="E19">
        <v>-1.88</v>
      </c>
      <c r="F19">
        <v>23.08</v>
      </c>
      <c r="G19">
        <v>3.33</v>
      </c>
      <c r="H19" s="1">
        <f>IF(ISNUMBER(Main_M[[#This Row],[Free CF]]),IF(Main_M[[#This Row],[Free CF]]&lt;&gt;0,Main_M[[#This Row],[Current Price]]/Main_M[[#This Row],[Free CF]],""),"")</f>
        <v>-24.563829787234045</v>
      </c>
      <c r="I19" s="1">
        <f>IF(ISNUMBER(Main_M[[#This Row],[BVPS]]),IF(Main_M[[#This Row],[BVPS]]&lt;&gt;0,Main_M[[#This Row],[Current Price]]/Main_M[[#This Row],[BVPS]],""),"")</f>
        <v>2.0008665511265167</v>
      </c>
      <c r="J19">
        <v>15.15</v>
      </c>
      <c r="K19">
        <v>4.0999999999999996</v>
      </c>
      <c r="L19">
        <v>3.11</v>
      </c>
      <c r="M19" s="1">
        <f>IF(ISNUMBER(Main_M[[#This Row],[EPS]]),IF(Main_M[[#This Row],[EPS]]&lt;&gt;0,Main_M[[#This Row],[Current Price]]/Main_M[[#This Row],[EPS]],""),"")</f>
        <v>13.867867867867867</v>
      </c>
      <c r="N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9" s="1">
        <f>(Main_M[[#This Row],[P/FCF]]-VLOOKUP(Main_M[[#This Row],[Industry]], Mean_PFCF_M, 2, FALSE))/(VLOOKUP(Main_M[[#This Row],[Industry]], Mean_PFCF_M, 3, FALSE))</f>
        <v>-0.80038931992348616</v>
      </c>
      <c r="P19" s="1">
        <f>(Main_M[[#This Row],[P/B]]-VLOOKUP(Main_M[[#This Row],[Industry]], Mean_PB_M, 2, FALSE))/(VLOOKUP(Main_M[[#This Row],[Industry]], Mean_PB_M, 3, FALSE))</f>
        <v>0.7062007045651707</v>
      </c>
      <c r="Q19" s="1">
        <f>(Main_M[[#This Row],[ROE]]-VLOOKUP(Main_M[[#This Row],[Industry]], Mean_ROE_M, 2, FALSE))/(VLOOKUP(Main_M[[#This Row],[Industry]], Mean_ROE_M, 3, FALSE))</f>
        <v>0.94450543535506626</v>
      </c>
      <c r="R19" s="1">
        <f>(Main_M[[#This Row],[ROA]]-VLOOKUP(Main_M[[#This Row],[Industry]], Mean_ROA_M, 2, FALSE))/(VLOOKUP(Main_M[[#This Row],[Industry]], Mean_ROA_M, 3, FALSE))</f>
        <v>0.18630616629429048</v>
      </c>
      <c r="S19" s="1">
        <f>(Main_M[[#This Row],[A/E]]-VLOOKUP(Main_M[[#This Row],[Industry]], Mean_AE_M, 2, FALSE))/(VLOOKUP(Main_M[[#This Row],[Industry]], Mean_AE_M, 3, FALSE))</f>
        <v>0.21912148784969218</v>
      </c>
      <c r="T19" s="1">
        <f>(Main_M[[#This Row],[P/E]]-VLOOKUP(Main_M[[#This Row],[Industry]], Mean_PE_M, 2, FALSE))/(VLOOKUP(Main_M[[#This Row],[Industry]], Mean_PE_M, 3, FALSE))</f>
        <v>-1.189957724747936</v>
      </c>
      <c r="U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0" spans="1:26" x14ac:dyDescent="0.25">
      <c r="A20" t="s">
        <v>126</v>
      </c>
      <c r="B20" t="s">
        <v>166</v>
      </c>
      <c r="C20" s="2">
        <v>4877</v>
      </c>
      <c r="D20">
        <f>RTD("tos.rtd", , "LAST", Main_M[[#This Row],[Symbol]])</f>
        <v>73.290000000000006</v>
      </c>
      <c r="E20">
        <v>-2.87</v>
      </c>
      <c r="F20">
        <v>53.02</v>
      </c>
      <c r="G20">
        <v>4.2</v>
      </c>
      <c r="H20" s="1">
        <f>IF(ISNUMBER(Main_M[[#This Row],[Free CF]]),IF(Main_M[[#This Row],[Free CF]]&lt;&gt;0,Main_M[[#This Row],[Current Price]]/Main_M[[#This Row],[Free CF]],""),"")</f>
        <v>-25.536585365853661</v>
      </c>
      <c r="I20" s="1">
        <f>IF(ISNUMBER(Main_M[[#This Row],[BVPS]]),IF(Main_M[[#This Row],[BVPS]]&lt;&gt;0,Main_M[[#This Row],[Current Price]]/Main_M[[#This Row],[BVPS]],""),"")</f>
        <v>1.3823085628064882</v>
      </c>
      <c r="J20">
        <v>8.08</v>
      </c>
      <c r="K20">
        <v>3.4</v>
      </c>
      <c r="L20">
        <v>2.61</v>
      </c>
      <c r="M20" s="1">
        <f>IF(ISNUMBER(Main_M[[#This Row],[EPS]]),IF(Main_M[[#This Row],[EPS]]&lt;&gt;0,Main_M[[#This Row],[Current Price]]/Main_M[[#This Row],[EPS]],""),"")</f>
        <v>17.45</v>
      </c>
      <c r="N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0" s="1">
        <f>(Main_M[[#This Row],[P/FCF]]-VLOOKUP(Main_M[[#This Row],[Industry]], Mean_PFCF_M, 2, FALSE))/(VLOOKUP(Main_M[[#This Row],[Industry]], Mean_PFCF_M, 3, FALSE))</f>
        <v>-0.84788303049498182</v>
      </c>
      <c r="P20" s="1">
        <f>(Main_M[[#This Row],[P/B]]-VLOOKUP(Main_M[[#This Row],[Industry]], Mean_PB_M, 2, FALSE))/(VLOOKUP(Main_M[[#This Row],[Industry]], Mean_PB_M, 3, FALSE))</f>
        <v>-0.7181252620391354</v>
      </c>
      <c r="Q20" s="1">
        <f>(Main_M[[#This Row],[ROE]]-VLOOKUP(Main_M[[#This Row],[Industry]], Mean_ROE_M, 2, FALSE))/(VLOOKUP(Main_M[[#This Row],[Industry]], Mean_ROE_M, 3, FALSE))</f>
        <v>-0.28526499336690742</v>
      </c>
      <c r="R20" s="1">
        <f>(Main_M[[#This Row],[ROA]]-VLOOKUP(Main_M[[#This Row],[Industry]], Mean_ROA_M, 2, FALSE))/(VLOOKUP(Main_M[[#This Row],[Industry]], Mean_ROA_M, 3, FALSE))</f>
        <v>-0.37461562469927434</v>
      </c>
      <c r="S20" s="1">
        <f>(Main_M[[#This Row],[A/E]]-VLOOKUP(Main_M[[#This Row],[Industry]], Mean_AE_M, 2, FALSE))/(VLOOKUP(Main_M[[#This Row],[Industry]], Mean_AE_M, 3, FALSE))</f>
        <v>-1.1721260540531175</v>
      </c>
      <c r="T20" s="1">
        <f>(Main_M[[#This Row],[P/E]]-VLOOKUP(Main_M[[#This Row],[Industry]], Mean_PE_M, 2, FALSE))/(VLOOKUP(Main_M[[#This Row],[Industry]], Mean_PE_M, 3, FALSE))</f>
        <v>-0.25799271446327665</v>
      </c>
      <c r="U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1" spans="1:26" x14ac:dyDescent="0.25">
      <c r="A21" t="s">
        <v>126</v>
      </c>
      <c r="B21" t="s">
        <v>167</v>
      </c>
      <c r="C21" s="2">
        <v>4492</v>
      </c>
      <c r="D21">
        <f>RTD("tos.rtd", , "LAST", Main_M[[#This Row],[Symbol]])</f>
        <v>71.790000000000006</v>
      </c>
      <c r="E21">
        <v>-2.41</v>
      </c>
      <c r="F21">
        <v>55.35</v>
      </c>
      <c r="G21">
        <v>4.09</v>
      </c>
      <c r="H21" s="1">
        <f>IF(ISNUMBER(Main_M[[#This Row],[Free CF]]),IF(Main_M[[#This Row],[Free CF]]&lt;&gt;0,Main_M[[#This Row],[Current Price]]/Main_M[[#This Row],[Free CF]],""),"")</f>
        <v>-29.78838174273859</v>
      </c>
      <c r="I21" s="1">
        <f>IF(ISNUMBER(Main_M[[#This Row],[BVPS]]),IF(Main_M[[#This Row],[BVPS]]&lt;&gt;0,Main_M[[#This Row],[Current Price]]/Main_M[[#This Row],[BVPS]],""),"")</f>
        <v>1.2970189701897019</v>
      </c>
      <c r="J21">
        <v>7.31</v>
      </c>
      <c r="K21">
        <v>2.94</v>
      </c>
      <c r="L21">
        <v>3.47</v>
      </c>
      <c r="M21" s="1">
        <f>IF(ISNUMBER(Main_M[[#This Row],[EPS]]),IF(Main_M[[#This Row],[EPS]]&lt;&gt;0,Main_M[[#This Row],[Current Price]]/Main_M[[#This Row],[EPS]],""),"")</f>
        <v>17.552567237163817</v>
      </c>
      <c r="N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1" s="1">
        <f>(Main_M[[#This Row],[P/FCF]]-VLOOKUP(Main_M[[#This Row],[Industry]], Mean_PFCF_M, 2, FALSE))/(VLOOKUP(Main_M[[#This Row],[Industry]], Mean_PFCF_M, 3, FALSE))</f>
        <v>-1.0554722656235642</v>
      </c>
      <c r="P21" s="1">
        <f>(Main_M[[#This Row],[P/B]]-VLOOKUP(Main_M[[#This Row],[Industry]], Mean_PB_M, 2, FALSE))/(VLOOKUP(Main_M[[#This Row],[Industry]], Mean_PB_M, 3, FALSE))</f>
        <v>-0.91451781332624349</v>
      </c>
      <c r="Q21" s="1">
        <f>(Main_M[[#This Row],[ROE]]-VLOOKUP(Main_M[[#This Row],[Industry]], Mean_ROE_M, 2, FALSE))/(VLOOKUP(Main_M[[#This Row],[Industry]], Mean_ROE_M, 3, FALSE))</f>
        <v>-0.41920038659405312</v>
      </c>
      <c r="R21" s="1">
        <f>(Main_M[[#This Row],[ROA]]-VLOOKUP(Main_M[[#This Row],[Industry]], Mean_ROA_M, 2, FALSE))/(VLOOKUP(Main_M[[#This Row],[Industry]], Mean_ROA_M, 3, FALSE))</f>
        <v>-0.74322137306647418</v>
      </c>
      <c r="S21" s="1">
        <f>(Main_M[[#This Row],[A/E]]-VLOOKUP(Main_M[[#This Row],[Industry]], Mean_AE_M, 2, FALSE))/(VLOOKUP(Main_M[[#This Row],[Industry]], Mean_AE_M, 3, FALSE))</f>
        <v>1.220819718019716</v>
      </c>
      <c r="T21" s="1">
        <f>(Main_M[[#This Row],[P/E]]-VLOOKUP(Main_M[[#This Row],[Industry]], Mean_PE_M, 2, FALSE))/(VLOOKUP(Main_M[[#This Row],[Industry]], Mean_PE_M, 3, FALSE))</f>
        <v>-0.23130774788127878</v>
      </c>
      <c r="U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2" spans="1:26" x14ac:dyDescent="0.25">
      <c r="A22" t="s">
        <v>126</v>
      </c>
      <c r="B22" t="s">
        <v>168</v>
      </c>
      <c r="C22" s="2">
        <v>5492</v>
      </c>
      <c r="D22">
        <f>RTD("tos.rtd", , "LAST", Main_M[[#This Row],[Symbol]])</f>
        <v>68.099999999999994</v>
      </c>
      <c r="E22">
        <v>5.71</v>
      </c>
      <c r="F22">
        <v>48.82</v>
      </c>
      <c r="G22">
        <v>2.76</v>
      </c>
      <c r="H22" s="1">
        <f>IF(ISNUMBER(Main_M[[#This Row],[Free CF]]),IF(Main_M[[#This Row],[Free CF]]&lt;&gt;0,Main_M[[#This Row],[Current Price]]/Main_M[[#This Row],[Free CF]],""),"")</f>
        <v>11.926444833625219</v>
      </c>
      <c r="I22" s="1">
        <f>IF(ISNUMBER(Main_M[[#This Row],[BVPS]]),IF(Main_M[[#This Row],[BVPS]]&lt;&gt;0,Main_M[[#This Row],[Current Price]]/Main_M[[#This Row],[BVPS]],""),"")</f>
        <v>1.3949201147070871</v>
      </c>
      <c r="J22">
        <v>5.77</v>
      </c>
      <c r="K22">
        <v>2.62</v>
      </c>
      <c r="L22">
        <v>3.43</v>
      </c>
      <c r="M22" s="1">
        <f>IF(ISNUMBER(Main_M[[#This Row],[EPS]]),IF(Main_M[[#This Row],[EPS]]&lt;&gt;0,Main_M[[#This Row],[Current Price]]/Main_M[[#This Row],[EPS]],""),"")</f>
        <v>24.673913043478262</v>
      </c>
      <c r="N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2" s="1">
        <f>(Main_M[[#This Row],[P/FCF]]-VLOOKUP(Main_M[[#This Row],[Industry]], Mean_PFCF_M, 2, FALSE))/(VLOOKUP(Main_M[[#This Row],[Industry]], Mean_PFCF_M, 3, FALSE))</f>
        <v>0.98120780437856969</v>
      </c>
      <c r="P22" s="1">
        <f>(Main_M[[#This Row],[P/B]]-VLOOKUP(Main_M[[#This Row],[Industry]], Mean_PB_M, 2, FALSE))/(VLOOKUP(Main_M[[#This Row],[Industry]], Mean_PB_M, 3, FALSE))</f>
        <v>-0.68908520243213334</v>
      </c>
      <c r="Q22" s="1">
        <f>(Main_M[[#This Row],[ROE]]-VLOOKUP(Main_M[[#This Row],[Industry]], Mean_ROE_M, 2, FALSE))/(VLOOKUP(Main_M[[#This Row],[Industry]], Mean_ROE_M, 3, FALSE))</f>
        <v>-0.68707117304834442</v>
      </c>
      <c r="R22" s="1">
        <f>(Main_M[[#This Row],[ROA]]-VLOOKUP(Main_M[[#This Row],[Industry]], Mean_ROA_M, 2, FALSE))/(VLOOKUP(Main_M[[#This Row],[Industry]], Mean_ROA_M, 3, FALSE))</f>
        <v>-0.99964276323496093</v>
      </c>
      <c r="S22" s="1">
        <f>(Main_M[[#This Row],[A/E]]-VLOOKUP(Main_M[[#This Row],[Industry]], Mean_AE_M, 2, FALSE))/(VLOOKUP(Main_M[[#This Row],[Industry]], Mean_AE_M, 3, FALSE))</f>
        <v>1.1095199146674912</v>
      </c>
      <c r="T22" s="1">
        <f>(Main_M[[#This Row],[P/E]]-VLOOKUP(Main_M[[#This Row],[Industry]], Mean_PE_M, 2, FALSE))/(VLOOKUP(Main_M[[#This Row],[Industry]], Mean_PE_M, 3, FALSE))</f>
        <v>1.6214561571933561</v>
      </c>
      <c r="U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3" spans="1:26" x14ac:dyDescent="0.25">
      <c r="A23" t="s">
        <v>126</v>
      </c>
      <c r="B23" t="s">
        <v>169</v>
      </c>
      <c r="C23" s="2">
        <v>7211</v>
      </c>
      <c r="D23">
        <f>RTD("tos.rtd", , "LAST", Main_M[[#This Row],[Symbol]])</f>
        <v>34.65</v>
      </c>
      <c r="E23">
        <v>1.77</v>
      </c>
      <c r="F23">
        <v>21.32</v>
      </c>
      <c r="G23">
        <v>2.5499999999999998</v>
      </c>
      <c r="H23" s="1">
        <f>IF(ISNUMBER(Main_M[[#This Row],[Free CF]]),IF(Main_M[[#This Row],[Free CF]]&lt;&gt;0,Main_M[[#This Row],[Current Price]]/Main_M[[#This Row],[Free CF]],""),"")</f>
        <v>19.576271186440678</v>
      </c>
      <c r="I23" s="1">
        <f>IF(ISNUMBER(Main_M[[#This Row],[BVPS]]),IF(Main_M[[#This Row],[BVPS]]&lt;&gt;0,Main_M[[#This Row],[Current Price]]/Main_M[[#This Row],[BVPS]],""),"")</f>
        <v>1.6252345215759849</v>
      </c>
      <c r="J23">
        <v>12.2</v>
      </c>
      <c r="K23">
        <v>5.24</v>
      </c>
      <c r="L23">
        <v>3.37</v>
      </c>
      <c r="M23" s="1">
        <f>IF(ISNUMBER(Main_M[[#This Row],[EPS]]),IF(Main_M[[#This Row],[EPS]]&lt;&gt;0,Main_M[[#This Row],[Current Price]]/Main_M[[#This Row],[EPS]],""),"")</f>
        <v>13.588235294117647</v>
      </c>
      <c r="N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3" s="1">
        <f>(Main_M[[#This Row],[P/FCF]]-VLOOKUP(Main_M[[#This Row],[Industry]], Mean_PFCF_M, 2, FALSE))/(VLOOKUP(Main_M[[#This Row],[Industry]], Mean_PFCF_M, 3, FALSE))</f>
        <v>1.3547020784883976</v>
      </c>
      <c r="P23" s="1">
        <f>(Main_M[[#This Row],[P/B]]-VLOOKUP(Main_M[[#This Row],[Industry]], Mean_PB_M, 2, FALSE))/(VLOOKUP(Main_M[[#This Row],[Industry]], Mean_PB_M, 3, FALSE))</f>
        <v>-0.15875046198623341</v>
      </c>
      <c r="Q23" s="1">
        <f>(Main_M[[#This Row],[ROE]]-VLOOKUP(Main_M[[#This Row],[Industry]], Mean_ROE_M, 2, FALSE))/(VLOOKUP(Main_M[[#This Row],[Industry]], Mean_ROE_M, 3, FALSE))</f>
        <v>0.43137633143288473</v>
      </c>
      <c r="R23" s="1">
        <f>(Main_M[[#This Row],[ROA]]-VLOOKUP(Main_M[[#This Row],[Industry]], Mean_ROA_M, 2, FALSE))/(VLOOKUP(Main_M[[#This Row],[Industry]], Mean_ROA_M, 3, FALSE))</f>
        <v>1.0998073687695253</v>
      </c>
      <c r="S23" s="1">
        <f>(Main_M[[#This Row],[A/E]]-VLOOKUP(Main_M[[#This Row],[Industry]], Mean_AE_M, 2, FALSE))/(VLOOKUP(Main_M[[#This Row],[Industry]], Mean_AE_M, 3, FALSE))</f>
        <v>0.94257020963915383</v>
      </c>
      <c r="T23" s="1">
        <f>(Main_M[[#This Row],[P/E]]-VLOOKUP(Main_M[[#This Row],[Industry]], Mean_PE_M, 2, FALSE))/(VLOOKUP(Main_M[[#This Row],[Industry]], Mean_PE_M, 3, FALSE))</f>
        <v>-1.2627098636579914</v>
      </c>
      <c r="U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4" spans="1:26" x14ac:dyDescent="0.25">
      <c r="A24" t="s">
        <v>145</v>
      </c>
      <c r="B24" t="s">
        <v>176</v>
      </c>
      <c r="C24" s="2">
        <v>7333</v>
      </c>
      <c r="D24">
        <f>RTD("tos.rtd", , "LAST", Main_M[[#This Row],[Symbol]])</f>
        <v>12.55</v>
      </c>
      <c r="E24">
        <v>-4.9000000000000004</v>
      </c>
      <c r="F24">
        <v>4.87</v>
      </c>
      <c r="G24">
        <v>1.84</v>
      </c>
      <c r="H24" s="1">
        <f>IF(ISNUMBER(Main_M[[#This Row],[Free CF]]),IF(Main_M[[#This Row],[Free CF]]&lt;&gt;0,Main_M[[#This Row],[Current Price]]/Main_M[[#This Row],[Free CF]],""),"")</f>
        <v>-2.5612244897959182</v>
      </c>
      <c r="I24" s="1">
        <f>IF(ISNUMBER(Main_M[[#This Row],[BVPS]]),IF(Main_M[[#This Row],[BVPS]]&lt;&gt;0,Main_M[[#This Row],[Current Price]]/Main_M[[#This Row],[BVPS]],""),"")</f>
        <v>2.5770020533880906</v>
      </c>
      <c r="J24">
        <v>5.58</v>
      </c>
      <c r="K24">
        <v>2.4</v>
      </c>
      <c r="L24">
        <v>14.02</v>
      </c>
      <c r="M24" s="1">
        <f>IF(ISNUMBER(Main_M[[#This Row],[EPS]]),IF(Main_M[[#This Row],[EPS]]&lt;&gt;0,Main_M[[#This Row],[Current Price]]/Main_M[[#This Row],[EPS]],""),"")</f>
        <v>6.8206521739130439</v>
      </c>
      <c r="N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4" s="1">
        <f>(Main_M[[#This Row],[P/FCF]]-VLOOKUP(Main_M[[#This Row],[Industry]], Mean_PFCF_M, 2, FALSE))/(VLOOKUP(Main_M[[#This Row],[Industry]], Mean_PFCF_M, 3, FALSE))</f>
        <v>5.8157895629890079E-3</v>
      </c>
      <c r="P24" s="1">
        <f>(Main_M[[#This Row],[P/B]]-VLOOKUP(Main_M[[#This Row],[Industry]], Mean_PB_M, 2, FALSE))/(VLOOKUP(Main_M[[#This Row],[Industry]], Mean_PB_M, 3, FALSE))</f>
        <v>7.8514672900943869E-2</v>
      </c>
      <c r="Q24" s="1">
        <f>(Main_M[[#This Row],[ROE]]-VLOOKUP(Main_M[[#This Row],[Industry]], Mean_ROE_M, 2, FALSE))/(VLOOKUP(Main_M[[#This Row],[Industry]], Mean_ROE_M, 3, FALSE))</f>
        <v>0.45144155236896932</v>
      </c>
      <c r="R24" s="1">
        <f>(Main_M[[#This Row],[ROA]]-VLOOKUP(Main_M[[#This Row],[Industry]], Mean_ROA_M, 2, FALSE))/(VLOOKUP(Main_M[[#This Row],[Industry]], Mean_ROA_M, 3, FALSE))</f>
        <v>0.16906107084576558</v>
      </c>
      <c r="S24" s="1">
        <f>(Main_M[[#This Row],[A/E]]-VLOOKUP(Main_M[[#This Row],[Industry]], Mean_AE_M, 2, FALSE))/(VLOOKUP(Main_M[[#This Row],[Industry]], Mean_AE_M, 3, FALSE))</f>
        <v>1.2811548250748266</v>
      </c>
      <c r="T24" s="1">
        <f>(Main_M[[#This Row],[P/E]]-VLOOKUP(Main_M[[#This Row],[Industry]], Mean_PE_M, 2, FALSE))/(VLOOKUP(Main_M[[#This Row],[Industry]], Mean_PE_M, 3, FALSE))</f>
        <v>6.7252616513026386E-2</v>
      </c>
      <c r="U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5" spans="1:26" x14ac:dyDescent="0.25">
      <c r="A25" t="s">
        <v>145</v>
      </c>
      <c r="B25" t="s">
        <v>177</v>
      </c>
      <c r="C25" s="2">
        <v>2538</v>
      </c>
      <c r="D25">
        <f>RTD("tos.rtd", , "LAST", Main_M[[#This Row],[Symbol]])</f>
        <v>9.15</v>
      </c>
      <c r="E25">
        <v>0.97</v>
      </c>
      <c r="F25">
        <v>1.88</v>
      </c>
      <c r="G25">
        <v>0.41</v>
      </c>
      <c r="H25" s="1">
        <f>IF(ISNUMBER(Main_M[[#This Row],[Free CF]]),IF(Main_M[[#This Row],[Free CF]]&lt;&gt;0,Main_M[[#This Row],[Current Price]]/Main_M[[#This Row],[Free CF]],""),"")</f>
        <v>9.4329896907216497</v>
      </c>
      <c r="I25" s="1">
        <f>IF(ISNUMBER(Main_M[[#This Row],[BVPS]]),IF(Main_M[[#This Row],[BVPS]]&lt;&gt;0,Main_M[[#This Row],[Current Price]]/Main_M[[#This Row],[BVPS]],""),"")</f>
        <v>4.8670212765957448</v>
      </c>
      <c r="J25">
        <v>13.63</v>
      </c>
      <c r="K25">
        <v>4.18</v>
      </c>
      <c r="L25">
        <v>11.82</v>
      </c>
      <c r="M25" s="1">
        <f>IF(ISNUMBER(Main_M[[#This Row],[EPS]]),IF(Main_M[[#This Row],[EPS]]&lt;&gt;0,Main_M[[#This Row],[Current Price]]/Main_M[[#This Row],[EPS]],""),"")</f>
        <v>22.31707317073171</v>
      </c>
      <c r="N2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5" s="1">
        <f>(Main_M[[#This Row],[P/FCF]]-VLOOKUP(Main_M[[#This Row],[Industry]], Mean_PFCF_M, 2, FALSE))/(VLOOKUP(Main_M[[#This Row],[Industry]], Mean_PFCF_M, 3, FALSE))</f>
        <v>1.3042770640258257</v>
      </c>
      <c r="P25" s="1">
        <f>(Main_M[[#This Row],[P/B]]-VLOOKUP(Main_M[[#This Row],[Industry]], Mean_PB_M, 2, FALSE))/(VLOOKUP(Main_M[[#This Row],[Industry]], Mean_PB_M, 3, FALSE))</f>
        <v>2.1693841926914734</v>
      </c>
      <c r="Q25" s="1">
        <f>(Main_M[[#This Row],[ROE]]-VLOOKUP(Main_M[[#This Row],[Industry]], Mean_ROE_M, 2, FALSE))/(VLOOKUP(Main_M[[#This Row],[Industry]], Mean_ROE_M, 3, FALSE))</f>
        <v>2.058436591913595</v>
      </c>
      <c r="R25" s="1">
        <f>(Main_M[[#This Row],[ROA]]-VLOOKUP(Main_M[[#This Row],[Industry]], Mean_ROA_M, 2, FALSE))/(VLOOKUP(Main_M[[#This Row],[Industry]], Mean_ROA_M, 3, FALSE))</f>
        <v>1.7648951183747341</v>
      </c>
      <c r="S25" s="1">
        <f>(Main_M[[#This Row],[A/E]]-VLOOKUP(Main_M[[#This Row],[Industry]], Mean_AE_M, 2, FALSE))/(VLOOKUP(Main_M[[#This Row],[Industry]], Mean_AE_M, 3, FALSE))</f>
        <v>0.68943881069457102</v>
      </c>
      <c r="T25" s="1">
        <f>(Main_M[[#This Row],[P/E]]-VLOOKUP(Main_M[[#This Row],[Industry]], Mean_PE_M, 2, FALSE))/(VLOOKUP(Main_M[[#This Row],[Industry]], Mean_PE_M, 3, FALSE))</f>
        <v>0.56656327663875927</v>
      </c>
      <c r="U2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6" spans="1:26" x14ac:dyDescent="0.25">
      <c r="A26" t="s">
        <v>145</v>
      </c>
      <c r="B26" t="s">
        <v>178</v>
      </c>
      <c r="C26" s="2">
        <v>6370</v>
      </c>
      <c r="D26">
        <f>RTD("tos.rtd", , "LAST", Main_M[[#This Row],[Symbol]])</f>
        <v>23.98</v>
      </c>
      <c r="E26">
        <v>-4.74</v>
      </c>
      <c r="F26">
        <v>12.06</v>
      </c>
      <c r="G26">
        <v>-0.71</v>
      </c>
      <c r="H26" s="1">
        <f>IF(ISNUMBER(Main_M[[#This Row],[Free CF]]),IF(Main_M[[#This Row],[Free CF]]&lt;&gt;0,Main_M[[#This Row],[Current Price]]/Main_M[[#This Row],[Free CF]],""),"")</f>
        <v>-5.0590717299578056</v>
      </c>
      <c r="I26" s="1">
        <f>IF(ISNUMBER(Main_M[[#This Row],[BVPS]]),IF(Main_M[[#This Row],[BVPS]]&lt;&gt;0,Main_M[[#This Row],[Current Price]]/Main_M[[#This Row],[BVPS]],""),"")</f>
        <v>1.9883913764510779</v>
      </c>
      <c r="J26">
        <v>-0.15</v>
      </c>
      <c r="K26">
        <v>0.77</v>
      </c>
      <c r="L26">
        <v>10.92</v>
      </c>
      <c r="M26" s="1">
        <f>IF(ISNUMBER(Main_M[[#This Row],[EPS]]),IF(Main_M[[#This Row],[EPS]]&lt;&gt;0,Main_M[[#This Row],[Current Price]]/Main_M[[#This Row],[EPS]],""),"")</f>
        <v>-33.774647887323944</v>
      </c>
      <c r="N2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6" s="1">
        <f>(Main_M[[#This Row],[P/FCF]]-VLOOKUP(Main_M[[#This Row],[Industry]], Mean_PFCF_M, 2, FALSE))/(VLOOKUP(Main_M[[#This Row],[Industry]], Mean_PFCF_M, 3, FALSE))</f>
        <v>-0.26459441506236542</v>
      </c>
      <c r="P26" s="1">
        <f>(Main_M[[#This Row],[P/B]]-VLOOKUP(Main_M[[#This Row],[Industry]], Mean_PB_M, 2, FALSE))/(VLOOKUP(Main_M[[#This Row],[Industry]], Mean_PB_M, 3, FALSE))</f>
        <v>-0.45890794388696438</v>
      </c>
      <c r="Q26" s="1">
        <f>(Main_M[[#This Row],[ROE]]-VLOOKUP(Main_M[[#This Row],[Industry]], Mean_ROE_M, 2, FALSE))/(VLOOKUP(Main_M[[#This Row],[Industry]], Mean_ROE_M, 3, FALSE))</f>
        <v>-0.69241951304602511</v>
      </c>
      <c r="R26" s="1">
        <f>(Main_M[[#This Row],[ROA]]-VLOOKUP(Main_M[[#This Row],[Industry]], Mean_ROA_M, 2, FALSE))/(VLOOKUP(Main_M[[#This Row],[Industry]], Mean_ROA_M, 3, FALSE))</f>
        <v>-1.2922925794195259</v>
      </c>
      <c r="S26" s="1">
        <f>(Main_M[[#This Row],[A/E]]-VLOOKUP(Main_M[[#This Row],[Industry]], Mean_AE_M, 2, FALSE))/(VLOOKUP(Main_M[[#This Row],[Industry]], Mean_AE_M, 3, FALSE))</f>
        <v>0.44737316844810265</v>
      </c>
      <c r="T26" s="1">
        <f>(Main_M[[#This Row],[P/E]]-VLOOKUP(Main_M[[#This Row],[Industry]], Mean_PE_M, 2, FALSE))/(VLOOKUP(Main_M[[#This Row],[Industry]], Mean_PE_M, 3, FALSE))</f>
        <v>-1.2407698020660574</v>
      </c>
      <c r="U2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7" spans="1:26" x14ac:dyDescent="0.25">
      <c r="A27" t="s">
        <v>145</v>
      </c>
      <c r="B27" t="s">
        <v>179</v>
      </c>
      <c r="C27" s="2">
        <v>4998</v>
      </c>
      <c r="D27">
        <f>RTD("tos.rtd", , "LAST", Main_M[[#This Row],[Symbol]])</f>
        <v>29.41</v>
      </c>
      <c r="E27">
        <v>-1.53</v>
      </c>
      <c r="F27">
        <v>4.2300000000000004</v>
      </c>
      <c r="G27">
        <v>-0.74</v>
      </c>
      <c r="H27" s="1">
        <f>IF(ISNUMBER(Main_M[[#This Row],[Free CF]]),IF(Main_M[[#This Row],[Free CF]]&lt;&gt;0,Main_M[[#This Row],[Current Price]]/Main_M[[#This Row],[Free CF]],""),"")</f>
        <v>-19.222222222222221</v>
      </c>
      <c r="I27" s="1">
        <f>IF(ISNUMBER(Main_M[[#This Row],[BVPS]]),IF(Main_M[[#This Row],[BVPS]]&lt;&gt;0,Main_M[[#This Row],[Current Price]]/Main_M[[#This Row],[BVPS]],""),"")</f>
        <v>6.9527186761229309</v>
      </c>
      <c r="J27">
        <v>-0.44</v>
      </c>
      <c r="K27">
        <v>1.92</v>
      </c>
      <c r="L27">
        <v>31.31</v>
      </c>
      <c r="M27" s="1">
        <f>IF(ISNUMBER(Main_M[[#This Row],[EPS]]),IF(Main_M[[#This Row],[EPS]]&lt;&gt;0,Main_M[[#This Row],[Current Price]]/Main_M[[#This Row],[EPS]],""),"")</f>
        <v>-39.743243243243242</v>
      </c>
      <c r="N2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7" s="1">
        <f>(Main_M[[#This Row],[P/FCF]]-VLOOKUP(Main_M[[#This Row],[Industry]], Mean_PFCF_M, 2, FALSE))/(VLOOKUP(Main_M[[#This Row],[Industry]], Mean_PFCF_M, 3, FALSE))</f>
        <v>-1.7978588842317027</v>
      </c>
      <c r="P27" s="1">
        <f>(Main_M[[#This Row],[P/B]]-VLOOKUP(Main_M[[#This Row],[Industry]], Mean_PB_M, 2, FALSE))/(VLOOKUP(Main_M[[#This Row],[Industry]], Mean_PB_M, 3, FALSE))</f>
        <v>4.073700573961573</v>
      </c>
      <c r="Q27" s="1">
        <f>(Main_M[[#This Row],[ROE]]-VLOOKUP(Main_M[[#This Row],[Industry]], Mean_ROE_M, 2, FALSE))/(VLOOKUP(Main_M[[#This Row],[Industry]], Mean_ROE_M, 3, FALSE))</f>
        <v>-0.75031125981222901</v>
      </c>
      <c r="R27" s="1">
        <f>(Main_M[[#This Row],[ROA]]-VLOOKUP(Main_M[[#This Row],[Industry]], Mean_ROA_M, 2, FALSE))/(VLOOKUP(Main_M[[#This Row],[Industry]], Mean_ROA_M, 3, FALSE))</f>
        <v>-0.26127620039800126</v>
      </c>
      <c r="S27" s="1">
        <f>(Main_M[[#This Row],[A/E]]-VLOOKUP(Main_M[[#This Row],[Industry]], Mean_AE_M, 2, FALSE))/(VLOOKUP(Main_M[[#This Row],[Industry]], Mean_AE_M, 3, FALSE))</f>
        <v>5.9315047744542007</v>
      </c>
      <c r="T27" s="1">
        <f>(Main_M[[#This Row],[P/E]]-VLOOKUP(Main_M[[#This Row],[Industry]], Mean_PE_M, 2, FALSE))/(VLOOKUP(Main_M[[#This Row],[Industry]], Mean_PE_M, 3, FALSE))</f>
        <v>-1.4330840975926995</v>
      </c>
      <c r="U2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2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8" spans="1:26" x14ac:dyDescent="0.25">
      <c r="A28" t="s">
        <v>145</v>
      </c>
      <c r="B28" t="s">
        <v>180</v>
      </c>
      <c r="C28" s="2">
        <v>3372</v>
      </c>
      <c r="D28">
        <f>RTD("tos.rtd", , "LAST", Main_M[[#This Row],[Symbol]])</f>
        <v>29.08</v>
      </c>
      <c r="E28">
        <v>4.5599999999999996</v>
      </c>
      <c r="F28">
        <v>16.489999999999998</v>
      </c>
      <c r="G28">
        <v>0.79</v>
      </c>
      <c r="H28" s="1">
        <f>IF(ISNUMBER(Main_M[[#This Row],[Free CF]]),IF(Main_M[[#This Row],[Free CF]]&lt;&gt;0,Main_M[[#This Row],[Current Price]]/Main_M[[#This Row],[Free CF]],""),"")</f>
        <v>6.3771929824561404</v>
      </c>
      <c r="I28" s="1">
        <f>IF(ISNUMBER(Main_M[[#This Row],[BVPS]]),IF(Main_M[[#This Row],[BVPS]]&lt;&gt;0,Main_M[[#This Row],[Current Price]]/Main_M[[#This Row],[BVPS]],""),"")</f>
        <v>1.7634930260764101</v>
      </c>
      <c r="J28">
        <v>-2.31</v>
      </c>
      <c r="K28">
        <v>1</v>
      </c>
      <c r="L28">
        <v>7.54</v>
      </c>
      <c r="M28" s="1">
        <f>IF(ISNUMBER(Main_M[[#This Row],[EPS]]),IF(Main_M[[#This Row],[EPS]]&lt;&gt;0,Main_M[[#This Row],[Current Price]]/Main_M[[#This Row],[EPS]],""),"")</f>
        <v>36.810126582278478</v>
      </c>
      <c r="N2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8" s="1">
        <f>(Main_M[[#This Row],[P/FCF]]-VLOOKUP(Main_M[[#This Row],[Industry]], Mean_PFCF_M, 2, FALSE))/(VLOOKUP(Main_M[[#This Row],[Industry]], Mean_PFCF_M, 3, FALSE))</f>
        <v>0.97346475497444962</v>
      </c>
      <c r="P28" s="1">
        <f>(Main_M[[#This Row],[P/B]]-VLOOKUP(Main_M[[#This Row],[Industry]], Mean_PB_M, 2, FALSE))/(VLOOKUP(Main_M[[#This Row],[Industry]], Mean_PB_M, 3, FALSE))</f>
        <v>-0.66424818779587946</v>
      </c>
      <c r="Q28" s="1">
        <f>(Main_M[[#This Row],[ROE]]-VLOOKUP(Main_M[[#This Row],[Industry]], Mean_ROE_M, 2, FALSE))/(VLOOKUP(Main_M[[#This Row],[Industry]], Mean_ROE_M, 3, FALSE))</f>
        <v>-1.1236132130977508</v>
      </c>
      <c r="R28" s="1">
        <f>(Main_M[[#This Row],[ROA]]-VLOOKUP(Main_M[[#This Row],[Industry]], Mean_ROA_M, 2, FALSE))/(VLOOKUP(Main_M[[#This Row],[Industry]], Mean_ROA_M, 3, FALSE))</f>
        <v>-1.086089303615221</v>
      </c>
      <c r="S28" s="1">
        <f>(Main_M[[#This Row],[A/E]]-VLOOKUP(Main_M[[#This Row],[Industry]], Mean_AE_M, 2, FALSE))/(VLOOKUP(Main_M[[#This Row],[Industry]], Mean_AE_M, 3, FALSE))</f>
        <v>-0.46171779909974486</v>
      </c>
      <c r="T28" s="1">
        <f>(Main_M[[#This Row],[P/E]]-VLOOKUP(Main_M[[#This Row],[Industry]], Mean_PE_M, 2, FALSE))/(VLOOKUP(Main_M[[#This Row],[Industry]], Mean_PE_M, 3, FALSE))</f>
        <v>1.0335443987728665</v>
      </c>
      <c r="U2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9" spans="1:26" x14ac:dyDescent="0.25">
      <c r="A29" t="s">
        <v>145</v>
      </c>
      <c r="B29" t="s">
        <v>181</v>
      </c>
      <c r="C29" s="2">
        <v>4383</v>
      </c>
      <c r="D29">
        <f>RTD("tos.rtd", , "LAST", Main_M[[#This Row],[Symbol]])</f>
        <v>73.38</v>
      </c>
      <c r="E29">
        <v>-1.27</v>
      </c>
      <c r="F29">
        <v>40.08</v>
      </c>
      <c r="G29">
        <v>2.04</v>
      </c>
      <c r="H29" s="1">
        <f>IF(ISNUMBER(Main_M[[#This Row],[Free CF]]),IF(Main_M[[#This Row],[Free CF]]&lt;&gt;0,Main_M[[#This Row],[Current Price]]/Main_M[[#This Row],[Free CF]],""),"")</f>
        <v>-57.779527559055111</v>
      </c>
      <c r="I29" s="1">
        <f>IF(ISNUMBER(Main_M[[#This Row],[BVPS]]),IF(Main_M[[#This Row],[BVPS]]&lt;&gt;0,Main_M[[#This Row],[Current Price]]/Main_M[[#This Row],[BVPS]],""),"")</f>
        <v>1.8308383233532934</v>
      </c>
      <c r="J29">
        <v>5.24</v>
      </c>
      <c r="K29">
        <v>1.95</v>
      </c>
      <c r="L29">
        <v>2.34</v>
      </c>
      <c r="M29" s="1">
        <f>IF(ISNUMBER(Main_M[[#This Row],[EPS]]),IF(Main_M[[#This Row],[EPS]]&lt;&gt;0,Main_M[[#This Row],[Current Price]]/Main_M[[#This Row],[EPS]],""),"")</f>
        <v>35.970588235294116</v>
      </c>
      <c r="N2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9" s="1">
        <f>(Main_M[[#This Row],[P/FCF]]-VLOOKUP(Main_M[[#This Row],[Industry]], Mean_PFCF_M, 2, FALSE))/(VLOOKUP(Main_M[[#This Row],[Industry]], Mean_PFCF_M, 3, FALSE))</f>
        <v>-5.9719687570434266</v>
      </c>
      <c r="P29" s="1">
        <f>(Main_M[[#This Row],[P/B]]-VLOOKUP(Main_M[[#This Row],[Industry]], Mean_PB_M, 2, FALSE))/(VLOOKUP(Main_M[[#This Row],[Industry]], Mean_PB_M, 3, FALSE))</f>
        <v>-0.60275952082293016</v>
      </c>
      <c r="Q29" s="1">
        <f>(Main_M[[#This Row],[ROE]]-VLOOKUP(Main_M[[#This Row],[Industry]], Mean_ROE_M, 2, FALSE))/(VLOOKUP(Main_M[[#This Row],[Industry]], Mean_ROE_M, 3, FALSE))</f>
        <v>0.38356846995341998</v>
      </c>
      <c r="R29" s="1">
        <f>(Main_M[[#This Row],[ROA]]-VLOOKUP(Main_M[[#This Row],[Industry]], Mean_ROA_M, 2, FALSE))/(VLOOKUP(Main_M[[#This Row],[Industry]], Mean_ROA_M, 3, FALSE))</f>
        <v>-0.23438012094526578</v>
      </c>
      <c r="S29" s="1">
        <f>(Main_M[[#This Row],[A/E]]-VLOOKUP(Main_M[[#This Row],[Industry]], Mean_AE_M, 2, FALSE))/(VLOOKUP(Main_M[[#This Row],[Industry]], Mean_AE_M, 3, FALSE))</f>
        <v>-1.8603192876348948</v>
      </c>
      <c r="T29" s="1">
        <f>(Main_M[[#This Row],[P/E]]-VLOOKUP(Main_M[[#This Row],[Industry]], Mean_PE_M, 2, FALSE))/(VLOOKUP(Main_M[[#This Row],[Industry]], Mean_PE_M, 3, FALSE))</f>
        <v>1.0064936077341045</v>
      </c>
      <c r="U2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2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0" spans="1:26" x14ac:dyDescent="0.25">
      <c r="A30" t="s">
        <v>145</v>
      </c>
      <c r="B30" t="s">
        <v>182</v>
      </c>
      <c r="C30" s="2">
        <v>2379</v>
      </c>
      <c r="D30">
        <f>RTD("tos.rtd", , "LAST", Main_M[[#This Row],[Symbol]])</f>
        <v>6.66</v>
      </c>
      <c r="E30">
        <v>-1.43</v>
      </c>
      <c r="F30">
        <v>3.47</v>
      </c>
      <c r="G30">
        <v>0.04</v>
      </c>
      <c r="H30" s="1">
        <f>IF(ISNUMBER(Main_M[[#This Row],[Free CF]]),IF(Main_M[[#This Row],[Free CF]]&lt;&gt;0,Main_M[[#This Row],[Current Price]]/Main_M[[#This Row],[Free CF]],""),"")</f>
        <v>-4.6573426573426575</v>
      </c>
      <c r="I30" s="1">
        <f>IF(ISNUMBER(Main_M[[#This Row],[BVPS]]),IF(Main_M[[#This Row],[BVPS]]&lt;&gt;0,Main_M[[#This Row],[Current Price]]/Main_M[[#This Row],[BVPS]],""),"")</f>
        <v>1.9193083573487031</v>
      </c>
      <c r="J30">
        <v>1.68</v>
      </c>
      <c r="K30">
        <v>3.26</v>
      </c>
      <c r="L30">
        <v>8.9</v>
      </c>
      <c r="M30" s="1">
        <f>IF(ISNUMBER(Main_M[[#This Row],[EPS]]),IF(Main_M[[#This Row],[EPS]]&lt;&gt;0,Main_M[[#This Row],[Current Price]]/Main_M[[#This Row],[EPS]],""),"")</f>
        <v>166.5</v>
      </c>
      <c r="N3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0" s="1">
        <f>(Main_M[[#This Row],[P/FCF]]-VLOOKUP(Main_M[[#This Row],[Industry]], Mean_PFCF_M, 2, FALSE))/(VLOOKUP(Main_M[[#This Row],[Industry]], Mean_PFCF_M, 3, FALSE))</f>
        <v>-0.22110430926919628</v>
      </c>
      <c r="P30" s="1">
        <f>(Main_M[[#This Row],[P/B]]-VLOOKUP(Main_M[[#This Row],[Industry]], Mean_PB_M, 2, FALSE))/(VLOOKUP(Main_M[[#This Row],[Industry]], Mean_PB_M, 3, FALSE))</f>
        <v>-0.52198321308664331</v>
      </c>
      <c r="Q30" s="1">
        <f>(Main_M[[#This Row],[ROE]]-VLOOKUP(Main_M[[#This Row],[Industry]], Mean_ROE_M, 2, FALSE))/(VLOOKUP(Main_M[[#This Row],[Industry]], Mean_ROE_M, 3, FALSE))</f>
        <v>-0.32710262827997982</v>
      </c>
      <c r="R30" s="1">
        <f>(Main_M[[#This Row],[ROA]]-VLOOKUP(Main_M[[#This Row],[Industry]], Mean_ROA_M, 2, FALSE))/(VLOOKUP(Main_M[[#This Row],[Industry]], Mean_ROA_M, 3, FALSE))</f>
        <v>0.94008201515751444</v>
      </c>
      <c r="S30" s="1">
        <f>(Main_M[[#This Row],[A/E]]-VLOOKUP(Main_M[[#This Row],[Industry]], Mean_AE_M, 2, FALSE))/(VLOOKUP(Main_M[[#This Row],[Industry]], Mean_AE_M, 3, FALSE))</f>
        <v>-9.5929717482859361E-2</v>
      </c>
      <c r="T30" s="1">
        <f>(Main_M[[#This Row],[P/E]]-VLOOKUP(Main_M[[#This Row],[Industry]], Mean_PE_M, 2, FALSE))/(VLOOKUP(Main_M[[#This Row],[Industry]], Mean_PE_M, 3, FALSE))</f>
        <v>5.2122858204933564</v>
      </c>
      <c r="U3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1" spans="1:26" x14ac:dyDescent="0.25">
      <c r="A31" t="s">
        <v>128</v>
      </c>
      <c r="B31" t="s">
        <v>170</v>
      </c>
      <c r="C31" s="2">
        <v>4192</v>
      </c>
      <c r="D31">
        <f>RTD("tos.rtd", , "LAST", Main_M[[#This Row],[Symbol]])</f>
        <v>5.61</v>
      </c>
      <c r="E31">
        <v>-0.55000000000000004</v>
      </c>
      <c r="F31">
        <v>5.9</v>
      </c>
      <c r="G31">
        <v>0.15</v>
      </c>
      <c r="H31" s="1">
        <f>IF(ISNUMBER(Main_M[[#This Row],[Free CF]]),IF(Main_M[[#This Row],[Free CF]]&lt;&gt;0,Main_M[[#This Row],[Current Price]]/Main_M[[#This Row],[Free CF]],""),"")</f>
        <v>-10.199999999999999</v>
      </c>
      <c r="I31" s="1">
        <f>IF(ISNUMBER(Main_M[[#This Row],[BVPS]]),IF(Main_M[[#This Row],[BVPS]]&lt;&gt;0,Main_M[[#This Row],[Current Price]]/Main_M[[#This Row],[BVPS]],""),"")</f>
        <v>0.95084745762711864</v>
      </c>
      <c r="J31">
        <v>-0.15</v>
      </c>
      <c r="K31">
        <v>1.54</v>
      </c>
      <c r="L31">
        <v>3.75</v>
      </c>
      <c r="M31" s="1">
        <f>IF(ISNUMBER(Main_M[[#This Row],[EPS]]),IF(Main_M[[#This Row],[EPS]]&lt;&gt;0,Main_M[[#This Row],[Current Price]]/Main_M[[#This Row],[EPS]],""),"")</f>
        <v>37.400000000000006</v>
      </c>
      <c r="N3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1" s="1">
        <f>(Main_M[[#This Row],[P/FCF]]-VLOOKUP(Main_M[[#This Row],[Industry]], Mean_PFCF_M, 2, FALSE))/(VLOOKUP(Main_M[[#This Row],[Industry]], Mean_PFCF_M, 3, FALSE))</f>
        <v>0.81353131478152763</v>
      </c>
      <c r="P31" s="1">
        <f>(Main_M[[#This Row],[P/B]]-VLOOKUP(Main_M[[#This Row],[Industry]], Mean_PB_M, 2, FALSE))/(VLOOKUP(Main_M[[#This Row],[Industry]], Mean_PB_M, 3, FALSE))</f>
        <v>-23.861173664146811</v>
      </c>
      <c r="Q31" s="1">
        <f>(Main_M[[#This Row],[ROE]]-VLOOKUP(Main_M[[#This Row],[Industry]], Mean_ROE_M, 2, FALSE))/(VLOOKUP(Main_M[[#This Row],[Industry]], Mean_ROE_M, 3, FALSE))</f>
        <v>-1.7161274902295789</v>
      </c>
      <c r="R31" s="1">
        <f>(Main_M[[#This Row],[ROA]]-VLOOKUP(Main_M[[#This Row],[Industry]], Mean_ROA_M, 2, FALSE))/(VLOOKUP(Main_M[[#This Row],[Industry]], Mean_ROA_M, 3, FALSE))</f>
        <v>-4.2841955738267572</v>
      </c>
      <c r="S31" s="1">
        <f>(Main_M[[#This Row],[A/E]]-VLOOKUP(Main_M[[#This Row],[Industry]], Mean_AE_M, 2, FALSE))/(VLOOKUP(Main_M[[#This Row],[Industry]], Mean_AE_M, 3, FALSE))</f>
        <v>1.6748357287914688</v>
      </c>
      <c r="T31" s="1">
        <f>(Main_M[[#This Row],[P/E]]-VLOOKUP(Main_M[[#This Row],[Industry]], Mean_PE_M, 2, FALSE))/(VLOOKUP(Main_M[[#This Row],[Industry]], Mean_PE_M, 3, FALSE))</f>
        <v>22.361678011971481</v>
      </c>
      <c r="U3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3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3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2" spans="1:26" x14ac:dyDescent="0.25">
      <c r="A32" t="s">
        <v>128</v>
      </c>
      <c r="B32" t="s">
        <v>171</v>
      </c>
      <c r="C32" s="2">
        <v>3292</v>
      </c>
      <c r="D32">
        <f>RTD("tos.rtd", , "LAST", Main_M[[#This Row],[Symbol]])</f>
        <v>37.93</v>
      </c>
      <c r="E32">
        <v>0.01</v>
      </c>
      <c r="F32">
        <v>32.369999999999997</v>
      </c>
      <c r="G32">
        <v>2.29</v>
      </c>
      <c r="H32" s="1">
        <f>IF(ISNUMBER(Main_M[[#This Row],[Free CF]]),IF(Main_M[[#This Row],[Free CF]]&lt;&gt;0,Main_M[[#This Row],[Current Price]]/Main_M[[#This Row],[Free CF]],""),"")</f>
        <v>3793</v>
      </c>
      <c r="I32" s="1">
        <f>IF(ISNUMBER(Main_M[[#This Row],[BVPS]]),IF(Main_M[[#This Row],[BVPS]]&lt;&gt;0,Main_M[[#This Row],[Current Price]]/Main_M[[#This Row],[BVPS]],""),"")</f>
        <v>1.1717639789928946</v>
      </c>
      <c r="J32">
        <v>7.09</v>
      </c>
      <c r="K32">
        <v>2.46</v>
      </c>
      <c r="L32">
        <v>3.06</v>
      </c>
      <c r="M32" s="1">
        <f>IF(ISNUMBER(Main_M[[#This Row],[EPS]]),IF(Main_M[[#This Row],[EPS]]&lt;&gt;0,Main_M[[#This Row],[Current Price]]/Main_M[[#This Row],[EPS]],""),"")</f>
        <v>16.563318777292576</v>
      </c>
      <c r="N3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2" s="1">
        <f>(Main_M[[#This Row],[P/FCF]]-VLOOKUP(Main_M[[#This Row],[Industry]], Mean_PFCF_M, 2, FALSE))/(VLOOKUP(Main_M[[#This Row],[Industry]], Mean_PFCF_M, 3, FALSE))</f>
        <v>57.062670706858313</v>
      </c>
      <c r="P32" s="1">
        <f>(Main_M[[#This Row],[P/B]]-VLOOKUP(Main_M[[#This Row],[Industry]], Mean_PB_M, 2, FALSE))/(VLOOKUP(Main_M[[#This Row],[Industry]], Mean_PB_M, 3, FALSE))</f>
        <v>0.11461669107053599</v>
      </c>
      <c r="Q32" s="1">
        <f>(Main_M[[#This Row],[ROE]]-VLOOKUP(Main_M[[#This Row],[Industry]], Mean_ROE_M, 2, FALSE))/(VLOOKUP(Main_M[[#This Row],[Industry]], Mean_ROE_M, 3, FALSE))</f>
        <v>0.35122076755114523</v>
      </c>
      <c r="R32" s="1">
        <f>(Main_M[[#This Row],[ROA]]-VLOOKUP(Main_M[[#This Row],[Industry]], Mean_ROA_M, 2, FALSE))/(VLOOKUP(Main_M[[#This Row],[Industry]], Mean_ROA_M, 3, FALSE))</f>
        <v>-1.1643064488236305</v>
      </c>
      <c r="S32" s="1">
        <f>(Main_M[[#This Row],[A/E]]-VLOOKUP(Main_M[[#This Row],[Industry]], Mean_AE_M, 2, FALSE))/(VLOOKUP(Main_M[[#This Row],[Industry]], Mean_AE_M, 3, FALSE))</f>
        <v>-0.15225779352649749</v>
      </c>
      <c r="T32" s="1">
        <f>(Main_M[[#This Row],[P/E]]-VLOOKUP(Main_M[[#This Row],[Industry]], Mean_PE_M, 2, FALSE))/(VLOOKUP(Main_M[[#This Row],[Industry]], Mean_PE_M, 3, FALSE))</f>
        <v>1.3802146540925566</v>
      </c>
      <c r="U3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3" spans="1:26" x14ac:dyDescent="0.25">
      <c r="A33" t="s">
        <v>128</v>
      </c>
      <c r="B33" t="s">
        <v>172</v>
      </c>
      <c r="C33" s="2">
        <v>4451</v>
      </c>
      <c r="D33">
        <f>RTD("tos.rtd", , "LAST", Main_M[[#This Row],[Symbol]])</f>
        <v>57.76</v>
      </c>
      <c r="E33">
        <v>-0.36</v>
      </c>
      <c r="F33">
        <v>48.89</v>
      </c>
      <c r="G33">
        <v>3.91</v>
      </c>
      <c r="H33" s="1">
        <f>IF(ISNUMBER(Main_M[[#This Row],[Free CF]]),IF(Main_M[[#This Row],[Free CF]]&lt;&gt;0,Main_M[[#This Row],[Current Price]]/Main_M[[#This Row],[Free CF]],""),"")</f>
        <v>-160.44444444444446</v>
      </c>
      <c r="I33" s="1">
        <f>IF(ISNUMBER(Main_M[[#This Row],[BVPS]]),IF(Main_M[[#This Row],[BVPS]]&lt;&gt;0,Main_M[[#This Row],[Current Price]]/Main_M[[#This Row],[BVPS]],""),"")</f>
        <v>1.1814276948251174</v>
      </c>
      <c r="J33">
        <v>8.23</v>
      </c>
      <c r="K33">
        <v>3.18</v>
      </c>
      <c r="L33">
        <v>2.86</v>
      </c>
      <c r="M33" s="1">
        <f>IF(ISNUMBER(Main_M[[#This Row],[EPS]]),IF(Main_M[[#This Row],[EPS]]&lt;&gt;0,Main_M[[#This Row],[Current Price]]/Main_M[[#This Row],[EPS]],""),"")</f>
        <v>14.772378516624039</v>
      </c>
      <c r="N3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3" s="1">
        <f>(Main_M[[#This Row],[P/FCF]]-VLOOKUP(Main_M[[#This Row],[Industry]], Mean_PFCF_M, 2, FALSE))/(VLOOKUP(Main_M[[#This Row],[Industry]], Mean_PFCF_M, 3, FALSE))</f>
        <v>-1.4085765676439805</v>
      </c>
      <c r="P33" s="1">
        <f>(Main_M[[#This Row],[P/B]]-VLOOKUP(Main_M[[#This Row],[Industry]], Mean_PB_M, 2, FALSE))/(VLOOKUP(Main_M[[#This Row],[Industry]], Mean_PB_M, 3, FALSE))</f>
        <v>1.1634075348397364</v>
      </c>
      <c r="Q33" s="1">
        <f>(Main_M[[#This Row],[ROE]]-VLOOKUP(Main_M[[#This Row],[Industry]], Mean_ROE_M, 2, FALSE))/(VLOOKUP(Main_M[[#This Row],[Industry]], Mean_ROE_M, 3, FALSE))</f>
        <v>0.67674245454976767</v>
      </c>
      <c r="R33" s="1">
        <f>(Main_M[[#This Row],[ROA]]-VLOOKUP(Main_M[[#This Row],[Industry]], Mean_ROA_M, 2, FALSE))/(VLOOKUP(Main_M[[#This Row],[Industry]], Mean_ROA_M, 3, FALSE))</f>
        <v>1.2773459098744695</v>
      </c>
      <c r="S33" s="1">
        <f>(Main_M[[#This Row],[A/E]]-VLOOKUP(Main_M[[#This Row],[Industry]], Mean_AE_M, 2, FALSE))/(VLOOKUP(Main_M[[#This Row],[Industry]], Mean_AE_M, 3, FALSE))</f>
        <v>-0.6818501188360534</v>
      </c>
      <c r="T33" s="1">
        <f>(Main_M[[#This Row],[P/E]]-VLOOKUP(Main_M[[#This Row],[Industry]], Mean_PE_M, 2, FALSE))/(VLOOKUP(Main_M[[#This Row],[Industry]], Mean_PE_M, 3, FALSE))</f>
        <v>-0.42316982224222544</v>
      </c>
      <c r="U3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4" spans="1:26" x14ac:dyDescent="0.25">
      <c r="A34" t="s">
        <v>128</v>
      </c>
      <c r="B34" t="s">
        <v>173</v>
      </c>
      <c r="C34" s="2">
        <v>3539</v>
      </c>
      <c r="D34">
        <f>RTD("tos.rtd", , "LAST", Main_M[[#This Row],[Symbol]])</f>
        <v>54.69</v>
      </c>
      <c r="E34">
        <v>-2.19</v>
      </c>
      <c r="F34">
        <v>47.19</v>
      </c>
      <c r="G34">
        <v>3.84</v>
      </c>
      <c r="H34" s="1">
        <f>IF(ISNUMBER(Main_M[[#This Row],[Free CF]]),IF(Main_M[[#This Row],[Free CF]]&lt;&gt;0,Main_M[[#This Row],[Current Price]]/Main_M[[#This Row],[Free CF]],""),"")</f>
        <v>-24.972602739726028</v>
      </c>
      <c r="I34" s="1">
        <f>IF(ISNUMBER(Main_M[[#This Row],[BVPS]]),IF(Main_M[[#This Row],[BVPS]]&lt;&gt;0,Main_M[[#This Row],[Current Price]]/Main_M[[#This Row],[BVPS]],""),"")</f>
        <v>1.1589319771137954</v>
      </c>
      <c r="J34">
        <v>8.27</v>
      </c>
      <c r="K34">
        <v>2.77</v>
      </c>
      <c r="L34">
        <v>2.8</v>
      </c>
      <c r="M34" s="1">
        <f>IF(ISNUMBER(Main_M[[#This Row],[EPS]]),IF(Main_M[[#This Row],[EPS]]&lt;&gt;0,Main_M[[#This Row],[Current Price]]/Main_M[[#This Row],[EPS]],""),"")</f>
        <v>14.2421875</v>
      </c>
      <c r="N3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4" s="1">
        <f>(Main_M[[#This Row],[P/FCF]]-VLOOKUP(Main_M[[#This Row],[Industry]], Mean_PFCF_M, 2, FALSE))/(VLOOKUP(Main_M[[#This Row],[Industry]], Mean_PFCF_M, 3, FALSE))</f>
        <v>0.59504525286245302</v>
      </c>
      <c r="P34" s="1">
        <f>(Main_M[[#This Row],[P/B]]-VLOOKUP(Main_M[[#This Row],[Industry]], Mean_PB_M, 2, FALSE))/(VLOOKUP(Main_M[[#This Row],[Industry]], Mean_PB_M, 3, FALSE))</f>
        <v>-1.2780242259102481</v>
      </c>
      <c r="Q34" s="1">
        <f>(Main_M[[#This Row],[ROE]]-VLOOKUP(Main_M[[#This Row],[Industry]], Mean_ROE_M, 2, FALSE))/(VLOOKUP(Main_M[[#This Row],[Industry]], Mean_ROE_M, 3, FALSE))</f>
        <v>0.68816426812866649</v>
      </c>
      <c r="R34" s="1">
        <f>(Main_M[[#This Row],[ROA]]-VLOOKUP(Main_M[[#This Row],[Industry]], Mean_ROA_M, 2, FALSE))/(VLOOKUP(Main_M[[#This Row],[Industry]], Mean_ROA_M, 3, FALSE))</f>
        <v>-0.11303946105083752</v>
      </c>
      <c r="S34" s="1">
        <f>(Main_M[[#This Row],[A/E]]-VLOOKUP(Main_M[[#This Row],[Industry]], Mean_AE_M, 2, FALSE))/(VLOOKUP(Main_M[[#This Row],[Industry]], Mean_AE_M, 3, FALSE))</f>
        <v>-0.84072781642892025</v>
      </c>
      <c r="T34" s="1">
        <f>(Main_M[[#This Row],[P/E]]-VLOOKUP(Main_M[[#This Row],[Industry]], Mean_PE_M, 2, FALSE))/(VLOOKUP(Main_M[[#This Row],[Industry]], Mean_PE_M, 3, FALSE))</f>
        <v>-0.95704483185032585</v>
      </c>
      <c r="U3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5" spans="1:26" x14ac:dyDescent="0.25">
      <c r="A35" t="s">
        <v>141</v>
      </c>
      <c r="B35" t="s">
        <v>174</v>
      </c>
      <c r="C35" s="2">
        <v>3065</v>
      </c>
      <c r="D35">
        <f>RTD("tos.rtd", , "LAST", Main_M[[#This Row],[Symbol]])</f>
        <v>76.150000000000006</v>
      </c>
      <c r="E35">
        <v>-0.89</v>
      </c>
      <c r="F35">
        <v>24.12</v>
      </c>
      <c r="G35">
        <v>3.17</v>
      </c>
      <c r="H35" s="1">
        <f>IF(ISNUMBER(Main_M[[#This Row],[Free CF]]),IF(Main_M[[#This Row],[Free CF]]&lt;&gt;0,Main_M[[#This Row],[Current Price]]/Main_M[[#This Row],[Free CF]],""),"")</f>
        <v>-85.561797752808999</v>
      </c>
      <c r="I35" s="1">
        <f>IF(ISNUMBER(Main_M[[#This Row],[BVPS]]),IF(Main_M[[#This Row],[BVPS]]&lt;&gt;0,Main_M[[#This Row],[Current Price]]/Main_M[[#This Row],[BVPS]],""),"")</f>
        <v>3.1571310116086235</v>
      </c>
      <c r="J35">
        <v>14.06</v>
      </c>
      <c r="K35">
        <v>4.9400000000000004</v>
      </c>
      <c r="L35">
        <v>2.72</v>
      </c>
      <c r="M35" s="1">
        <f>IF(ISNUMBER(Main_M[[#This Row],[EPS]]),IF(Main_M[[#This Row],[EPS]]&lt;&gt;0,Main_M[[#This Row],[Current Price]]/Main_M[[#This Row],[EPS]],""),"")</f>
        <v>24.022082018927446</v>
      </c>
      <c r="N3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5" s="1">
        <f>(Main_M[[#This Row],[P/FCF]]-VLOOKUP(Main_M[[#This Row],[Industry]], Mean_PFCF_M, 2, FALSE))/(VLOOKUP(Main_M[[#This Row],[Industry]], Mean_PFCF_M, 3, FALSE))</f>
        <v>-1</v>
      </c>
      <c r="P35" s="1">
        <f>(Main_M[[#This Row],[P/B]]-VLOOKUP(Main_M[[#This Row],[Industry]], Mean_PB_M, 2, FALSE))/(VLOOKUP(Main_M[[#This Row],[Industry]], Mean_PB_M, 3, FALSE))</f>
        <v>1.0000000000000007</v>
      </c>
      <c r="Q35" s="1">
        <f>(Main_M[[#This Row],[ROE]]-VLOOKUP(Main_M[[#This Row],[Industry]], Mean_ROE_M, 2, FALSE))/(VLOOKUP(Main_M[[#This Row],[Industry]], Mean_ROE_M, 3, FALSE))</f>
        <v>1.000000000000002</v>
      </c>
      <c r="R35" s="1">
        <f>(Main_M[[#This Row],[ROA]]-VLOOKUP(Main_M[[#This Row],[Industry]], Mean_ROA_M, 2, FALSE))/(VLOOKUP(Main_M[[#This Row],[Industry]], Mean_ROA_M, 3, FALSE))</f>
        <v>1.0000000000000002</v>
      </c>
      <c r="S35" s="1">
        <f>(Main_M[[#This Row],[A/E]]-VLOOKUP(Main_M[[#This Row],[Industry]], Mean_AE_M, 2, FALSE))/(VLOOKUP(Main_M[[#This Row],[Industry]], Mean_AE_M, 3, FALSE))</f>
        <v>-0.999999999999997</v>
      </c>
      <c r="T35" s="1">
        <f>(Main_M[[#This Row],[P/E]]-VLOOKUP(Main_M[[#This Row],[Industry]], Mean_PE_M, 2, FALSE))/(VLOOKUP(Main_M[[#This Row],[Industry]], Mean_PE_M, 3, FALSE))</f>
        <v>0.99999999999999634</v>
      </c>
      <c r="U3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6" spans="1:26" x14ac:dyDescent="0.25">
      <c r="A36" t="s">
        <v>141</v>
      </c>
      <c r="B36" t="s">
        <v>175</v>
      </c>
      <c r="C36" s="2">
        <v>2923</v>
      </c>
      <c r="D36">
        <f>RTD("tos.rtd", , "LAST", Main_M[[#This Row],[Symbol]])</f>
        <v>45.63</v>
      </c>
      <c r="E36">
        <v>-3.07</v>
      </c>
      <c r="F36">
        <v>27.35</v>
      </c>
      <c r="G36">
        <v>2.2599999999999998</v>
      </c>
      <c r="H36" s="1">
        <f>IF(ISNUMBER(Main_M[[#This Row],[Free CF]]),IF(Main_M[[#This Row],[Free CF]]&lt;&gt;0,Main_M[[#This Row],[Current Price]]/Main_M[[#This Row],[Free CF]],""),"")</f>
        <v>-14.863192182410424</v>
      </c>
      <c r="I36" s="1">
        <f>IF(ISNUMBER(Main_M[[#This Row],[BVPS]]),IF(Main_M[[#This Row],[BVPS]]&lt;&gt;0,Main_M[[#This Row],[Current Price]]/Main_M[[#This Row],[BVPS]],""),"")</f>
        <v>1.6683729433272394</v>
      </c>
      <c r="J36">
        <v>8.61</v>
      </c>
      <c r="K36">
        <v>2.59</v>
      </c>
      <c r="L36">
        <v>3.23</v>
      </c>
      <c r="M36" s="1">
        <f>IF(ISNUMBER(Main_M[[#This Row],[EPS]]),IF(Main_M[[#This Row],[EPS]]&lt;&gt;0,Main_M[[#This Row],[Current Price]]/Main_M[[#This Row],[EPS]],""),"")</f>
        <v>20.190265486725668</v>
      </c>
      <c r="N3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6" s="1">
        <f>(Main_M[[#This Row],[P/FCF]]-VLOOKUP(Main_M[[#This Row],[Industry]], Mean_PFCF_M, 2, FALSE))/(VLOOKUP(Main_M[[#This Row],[Industry]], Mean_PFCF_M, 3, FALSE))</f>
        <v>1.0000000000000002</v>
      </c>
      <c r="P36" s="1">
        <f>(Main_M[[#This Row],[P/B]]-VLOOKUP(Main_M[[#This Row],[Industry]], Mean_PB_M, 2, FALSE))/(VLOOKUP(Main_M[[#This Row],[Industry]], Mean_PB_M, 3, FALSE))</f>
        <v>-1.0000000000000009</v>
      </c>
      <c r="Q36" s="1">
        <f>(Main_M[[#This Row],[ROE]]-VLOOKUP(Main_M[[#This Row],[Industry]], Mean_ROE_M, 2, FALSE))/(VLOOKUP(Main_M[[#This Row],[Industry]], Mean_ROE_M, 3, FALSE))</f>
        <v>-1.0000000000000027</v>
      </c>
      <c r="R36" s="1">
        <f>(Main_M[[#This Row],[ROA]]-VLOOKUP(Main_M[[#This Row],[Industry]], Mean_ROA_M, 2, FALSE))/(VLOOKUP(Main_M[[#This Row],[Industry]], Mean_ROA_M, 3, FALSE))</f>
        <v>-1.0000000000000002</v>
      </c>
      <c r="S36" s="1">
        <f>(Main_M[[#This Row],[A/E]]-VLOOKUP(Main_M[[#This Row],[Industry]], Mean_AE_M, 2, FALSE))/(VLOOKUP(Main_M[[#This Row],[Industry]], Mean_AE_M, 3, FALSE))</f>
        <v>0.999999999999997</v>
      </c>
      <c r="T36" s="1">
        <f>(Main_M[[#This Row],[P/E]]-VLOOKUP(Main_M[[#This Row],[Industry]], Mean_PE_M, 2, FALSE))/(VLOOKUP(Main_M[[#This Row],[Industry]], Mean_PE_M, 3, FALSE))</f>
        <v>-0.99999999999999634</v>
      </c>
      <c r="U3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F2C84-C5D7-44A4-9584-CA955106FEB8}">
  <sheetPr codeName="Sheet4"/>
  <dimension ref="A1:Z19"/>
  <sheetViews>
    <sheetView workbookViewId="0">
      <selection activeCell="B24" sqref="B24"/>
    </sheetView>
  </sheetViews>
  <sheetFormatPr defaultRowHeight="15" x14ac:dyDescent="0.25"/>
  <cols>
    <col min="1" max="1" width="49.1406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1" width="7.140625" bestFit="1" customWidth="1"/>
    <col min="12" max="12" width="6.2851562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9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105</v>
      </c>
      <c r="B2" t="s">
        <v>183</v>
      </c>
      <c r="C2" s="2">
        <v>1320</v>
      </c>
      <c r="D2">
        <f>RTD("tos.rtd", , "LAST", Main_S[[#This Row],[Symbol]])</f>
        <v>35.81</v>
      </c>
      <c r="E2">
        <v>-0.13</v>
      </c>
      <c r="F2">
        <v>1.67</v>
      </c>
      <c r="G2">
        <v>0.3</v>
      </c>
      <c r="H2" s="1">
        <f>IF(ISNUMBER(Main_S[[#This Row],[Free CF]]),IF(Main_S[[#This Row],[Free CF]]&lt;&gt;0,Main_S[[#This Row],[Current Price]]/Main_S[[#This Row],[Free CF]],""),"")</f>
        <v>-275.46153846153845</v>
      </c>
      <c r="I2" s="1">
        <f>IF(ISNUMBER(Main_S[[#This Row],[BVPS]]),IF(Main_S[[#This Row],[BVPS]]&lt;&gt;0,Main_S[[#This Row],[Current Price]]/Main_S[[#This Row],[BVPS]],""),"")</f>
        <v>21.443113772455092</v>
      </c>
      <c r="J2">
        <v>19.87</v>
      </c>
      <c r="K2">
        <v>0.78</v>
      </c>
      <c r="L2">
        <v>2.64</v>
      </c>
      <c r="M2" s="1">
        <f>IF(ISNUMBER(Main_S[[#This Row],[EPS]]),IF(Main_S[[#This Row],[EPS]]&lt;&gt;0,Main_S[[#This Row],[Current Price]]/Main_S[[#This Row],[EPS]],""),"")</f>
        <v>119.36666666666667</v>
      </c>
      <c r="N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" s="1">
        <f>(Main_S[[#This Row],[P/FCF]]-VLOOKUP(Main_S[[#This Row],[Industry]], Mean_PFCF_S, 2, FALSE))/(VLOOKUP(Main_S[[#This Row],[Industry]], Mean_PFCF_S, 3, FALSE))</f>
        <v>-1.4141759732409072</v>
      </c>
      <c r="P2" s="1">
        <f>(Main_S[[#This Row],[P/B]]-VLOOKUP(Main_S[[#This Row],[Industry]], Mean_PB_S, 2, FALSE))/(VLOOKUP(Main_S[[#This Row],[Industry]], Mean_PB_S, 3, FALSE))</f>
        <v>1.4124014979167843</v>
      </c>
      <c r="Q2" s="1">
        <f>(Main_S[[#This Row],[ROE]]-VLOOKUP(Main_S[[#This Row],[Industry]], Mean_ROE_S, 2, FALSE))/(VLOOKUP(Main_S[[#This Row],[Industry]], Mean_ROE_S, 3, FALSE))</f>
        <v>0.84975061213154046</v>
      </c>
      <c r="R2" s="1">
        <f>(Main_S[[#This Row],[ROA]]-VLOOKUP(Main_S[[#This Row],[Industry]], Mean_ROA_S, 2, FALSE))/(VLOOKUP(Main_S[[#This Row],[Industry]], Mean_ROA_S, 3, FALSE))</f>
        <v>-0.73804179502473244</v>
      </c>
      <c r="S2" s="1">
        <f>(Main_S[[#This Row],[A/E]]-VLOOKUP(Main_S[[#This Row],[Industry]], Mean_AE_S, 2, FALSE))/(VLOOKUP(Main_S[[#This Row],[Industry]], Mean_AE_S, 3, FALSE))</f>
        <v>-0.50529283610945974</v>
      </c>
      <c r="T2" s="1">
        <f>(Main_S[[#This Row],[P/E]]-VLOOKUP(Main_S[[#This Row],[Industry]], Mean_PE_S, 2, FALSE))/(VLOOKUP(Main_S[[#This Row],[Industry]], Mean_PE_S, 3, FALSE))</f>
        <v>1.3702444863454044</v>
      </c>
      <c r="U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" spans="1:26" x14ac:dyDescent="0.25">
      <c r="A3" t="s">
        <v>105</v>
      </c>
      <c r="B3" t="s">
        <v>184</v>
      </c>
      <c r="C3" s="2">
        <v>432</v>
      </c>
      <c r="D3">
        <f>RTD("tos.rtd", , "LAST", Main_S[[#This Row],[Symbol]])</f>
        <v>17.04</v>
      </c>
      <c r="E3">
        <v>2.34</v>
      </c>
      <c r="F3">
        <v>7.04</v>
      </c>
      <c r="G3">
        <v>0.56999999999999995</v>
      </c>
      <c r="H3" s="1">
        <f>IF(ISNUMBER(Main_S[[#This Row],[Free CF]]),IF(Main_S[[#This Row],[Free CF]]&lt;&gt;0,Main_S[[#This Row],[Current Price]]/Main_S[[#This Row],[Free CF]],""),"")</f>
        <v>7.2820512820512819</v>
      </c>
      <c r="I3" s="1">
        <f>IF(ISNUMBER(Main_S[[#This Row],[BVPS]]),IF(Main_S[[#This Row],[BVPS]]&lt;&gt;0,Main_S[[#This Row],[Current Price]]/Main_S[[#This Row],[BVPS]],""),"")</f>
        <v>2.4204545454545454</v>
      </c>
      <c r="J3">
        <v>8.35</v>
      </c>
      <c r="K3">
        <v>8.0299999999999994</v>
      </c>
      <c r="L3">
        <v>1.95</v>
      </c>
      <c r="M3" s="1">
        <f>IF(ISNUMBER(Main_S[[#This Row],[EPS]]),IF(Main_S[[#This Row],[EPS]]&lt;&gt;0,Main_S[[#This Row],[Current Price]]/Main_S[[#This Row],[EPS]],""),"")</f>
        <v>29.894736842105264</v>
      </c>
      <c r="N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" s="1">
        <f>(Main_S[[#This Row],[P/FCF]]-VLOOKUP(Main_S[[#This Row],[Industry]], Mean_PFCF_S, 2, FALSE))/(VLOOKUP(Main_S[[#This Row],[Industry]], Mean_PFCF_S, 3, FALSE))</f>
        <v>0.69815839922238532</v>
      </c>
      <c r="P3" s="1">
        <f>(Main_S[[#This Row],[P/B]]-VLOOKUP(Main_S[[#This Row],[Industry]], Mean_PB_S, 2, FALSE))/(VLOOKUP(Main_S[[#This Row],[Industry]], Mean_PB_S, 3, FALSE))</f>
        <v>-0.64422086099610032</v>
      </c>
      <c r="Q3" s="1">
        <f>(Main_S[[#This Row],[ROE]]-VLOOKUP(Main_S[[#This Row],[Industry]], Mean_ROE_S, 2, FALSE))/(VLOOKUP(Main_S[[#This Row],[Industry]], Mean_ROE_S, 3, FALSE))</f>
        <v>0.55412567600041462</v>
      </c>
      <c r="R3" s="1">
        <f>(Main_S[[#This Row],[ROA]]-VLOOKUP(Main_S[[#This Row],[Industry]], Mean_ROA_S, 2, FALSE))/(VLOOKUP(Main_S[[#This Row],[Industry]], Mean_ROA_S, 3, FALSE))</f>
        <v>1.4137556636599771</v>
      </c>
      <c r="S3" s="1">
        <f>(Main_S[[#This Row],[A/E]]-VLOOKUP(Main_S[[#This Row],[Industry]], Mean_AE_S, 2, FALSE))/(VLOOKUP(Main_S[[#This Row],[Industry]], Mean_AE_S, 3, FALSE))</f>
        <v>-0.89125452273181494</v>
      </c>
      <c r="T3" s="1">
        <f>(Main_S[[#This Row],[P/E]]-VLOOKUP(Main_S[[#This Row],[Industry]], Mean_PE_S, 2, FALSE))/(VLOOKUP(Main_S[[#This Row],[Industry]], Mean_PE_S, 3, FALSE))</f>
        <v>-0.38209990780777436</v>
      </c>
      <c r="U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" spans="1:26" x14ac:dyDescent="0.25">
      <c r="A4" t="s">
        <v>105</v>
      </c>
      <c r="B4" t="s">
        <v>185</v>
      </c>
      <c r="C4" s="2">
        <v>1792</v>
      </c>
      <c r="D4">
        <f>RTD("tos.rtd", , "LAST", Main_S[[#This Row],[Symbol]])</f>
        <v>10.93</v>
      </c>
      <c r="E4">
        <v>1.1299999999999999</v>
      </c>
      <c r="F4">
        <v>8.58</v>
      </c>
      <c r="G4">
        <v>-10.42</v>
      </c>
      <c r="H4" s="1">
        <f>IF(ISNUMBER(Main_S[[#This Row],[Free CF]]),IF(Main_S[[#This Row],[Free CF]]&lt;&gt;0,Main_S[[#This Row],[Current Price]]/Main_S[[#This Row],[Free CF]],""),"")</f>
        <v>9.6725663716814161</v>
      </c>
      <c r="I4" s="1">
        <f>IF(ISNUMBER(Main_S[[#This Row],[BVPS]]),IF(Main_S[[#This Row],[BVPS]]&lt;&gt;0,Main_S[[#This Row],[Current Price]]/Main_S[[#This Row],[BVPS]],""),"")</f>
        <v>1.2738927738927739</v>
      </c>
      <c r="J4">
        <v>-67.95</v>
      </c>
      <c r="K4">
        <v>0.99</v>
      </c>
      <c r="L4">
        <v>6.04</v>
      </c>
      <c r="M4" s="1">
        <f>IF(ISNUMBER(Main_S[[#This Row],[EPS]]),IF(Main_S[[#This Row],[EPS]]&lt;&gt;0,Main_S[[#This Row],[Current Price]]/Main_S[[#This Row],[EPS]],""),"")</f>
        <v>-1.0489443378119001</v>
      </c>
      <c r="N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" s="1">
        <f>(Main_S[[#This Row],[P/FCF]]-VLOOKUP(Main_S[[#This Row],[Industry]], Mean_PFCF_S, 2, FALSE))/(VLOOKUP(Main_S[[#This Row],[Industry]], Mean_PFCF_S, 3, FALSE))</f>
        <v>0.71601757401852184</v>
      </c>
      <c r="P4" s="1">
        <f>(Main_S[[#This Row],[P/B]]-VLOOKUP(Main_S[[#This Row],[Industry]], Mean_PB_S, 2, FALSE))/(VLOOKUP(Main_S[[#This Row],[Industry]], Mean_PB_S, 3, FALSE))</f>
        <v>-0.76818063692068417</v>
      </c>
      <c r="Q4" s="1">
        <f>(Main_S[[#This Row],[ROE]]-VLOOKUP(Main_S[[#This Row],[Industry]], Mean_ROE_S, 2, FALSE))/(VLOOKUP(Main_S[[#This Row],[Industry]], Mean_ROE_S, 3, FALSE))</f>
        <v>-1.4038762881319551</v>
      </c>
      <c r="R4" s="1">
        <f>(Main_S[[#This Row],[ROA]]-VLOOKUP(Main_S[[#This Row],[Industry]], Mean_ROA_S, 2, FALSE))/(VLOOKUP(Main_S[[#This Row],[Industry]], Mean_ROA_S, 3, FALSE))</f>
        <v>-0.6757138686352443</v>
      </c>
      <c r="S4" s="1">
        <f>(Main_S[[#This Row],[A/E]]-VLOOKUP(Main_S[[#This Row],[Industry]], Mean_AE_S, 2, FALSE))/(VLOOKUP(Main_S[[#This Row],[Industry]], Mean_AE_S, 3, FALSE))</f>
        <v>1.3965473588412753</v>
      </c>
      <c r="T4" s="1">
        <f>(Main_S[[#This Row],[P/E]]-VLOOKUP(Main_S[[#This Row],[Industry]], Mean_PE_S, 2, FALSE))/(VLOOKUP(Main_S[[#This Row],[Industry]], Mean_PE_S, 3, FALSE))</f>
        <v>-0.98814457853762994</v>
      </c>
      <c r="U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" spans="1:26" x14ac:dyDescent="0.25">
      <c r="A5" t="s">
        <v>126</v>
      </c>
      <c r="B5" t="s">
        <v>186</v>
      </c>
      <c r="C5" s="2">
        <v>1772</v>
      </c>
      <c r="D5">
        <f>RTD("tos.rtd", , "LAST", Main_S[[#This Row],[Symbol]])</f>
        <v>40.53</v>
      </c>
      <c r="E5">
        <v>-5</v>
      </c>
      <c r="F5">
        <v>34.44</v>
      </c>
      <c r="G5">
        <v>2.0299999999999998</v>
      </c>
      <c r="H5" s="1">
        <f>IF(ISNUMBER(Main_S[[#This Row],[Free CF]]),IF(Main_S[[#This Row],[Free CF]]&lt;&gt;0,Main_S[[#This Row],[Current Price]]/Main_S[[#This Row],[Free CF]],""),"")</f>
        <v>-8.1059999999999999</v>
      </c>
      <c r="I5" s="1">
        <f>IF(ISNUMBER(Main_S[[#This Row],[BVPS]]),IF(Main_S[[#This Row],[BVPS]]&lt;&gt;0,Main_S[[#This Row],[Current Price]]/Main_S[[#This Row],[BVPS]],""),"")</f>
        <v>1.1768292682926831</v>
      </c>
      <c r="J5">
        <v>5.91</v>
      </c>
      <c r="K5">
        <v>2.31</v>
      </c>
      <c r="L5">
        <v>3.78</v>
      </c>
      <c r="M5" s="1">
        <f>IF(ISNUMBER(Main_S[[#This Row],[EPS]]),IF(Main_S[[#This Row],[EPS]]&lt;&gt;0,Main_S[[#This Row],[Current Price]]/Main_S[[#This Row],[EPS]],""),"")</f>
        <v>19.965517241379313</v>
      </c>
      <c r="N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" s="1">
        <f>(Main_S[[#This Row],[P/FCF]]-VLOOKUP(Main_S[[#This Row],[Industry]], Mean_PFCF_S, 2, FALSE))/(VLOOKUP(Main_S[[#This Row],[Industry]], Mean_PFCF_S, 3, FALSE))</f>
        <v>-1.3253453708453569</v>
      </c>
      <c r="P5" s="1">
        <f>(Main_S[[#This Row],[P/B]]-VLOOKUP(Main_S[[#This Row],[Industry]], Mean_PB_S, 2, FALSE))/(VLOOKUP(Main_S[[#This Row],[Industry]], Mean_PB_S, 3, FALSE))</f>
        <v>-0.94521887857868392</v>
      </c>
      <c r="Q5" s="1">
        <f>(Main_S[[#This Row],[ROE]]-VLOOKUP(Main_S[[#This Row],[Industry]], Mean_ROE_S, 2, FALSE))/(VLOOKUP(Main_S[[#This Row],[Industry]], Mean_ROE_S, 3, FALSE))</f>
        <v>-1.216328844456444</v>
      </c>
      <c r="R5" s="1">
        <f>(Main_S[[#This Row],[ROA]]-VLOOKUP(Main_S[[#This Row],[Industry]], Mean_ROA_S, 2, FALSE))/(VLOOKUP(Main_S[[#This Row],[Industry]], Mean_ROA_S, 3, FALSE))</f>
        <v>-1.3902822794544483</v>
      </c>
      <c r="S5" s="1">
        <f>(Main_S[[#This Row],[A/E]]-VLOOKUP(Main_S[[#This Row],[Industry]], Mean_AE_S, 2, FALSE))/(VLOOKUP(Main_S[[#This Row],[Industry]], Mean_AE_S, 3, FALSE))</f>
        <v>-0.10083277356714555</v>
      </c>
      <c r="T5" s="1">
        <f>(Main_S[[#This Row],[P/E]]-VLOOKUP(Main_S[[#This Row],[Industry]], Mean_PE_S, 2, FALSE))/(VLOOKUP(Main_S[[#This Row],[Industry]], Mean_PE_S, 3, FALSE))</f>
        <v>0.86631594985183968</v>
      </c>
      <c r="U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" spans="1:26" x14ac:dyDescent="0.25">
      <c r="A6" t="s">
        <v>126</v>
      </c>
      <c r="B6" t="s">
        <v>187</v>
      </c>
      <c r="C6" s="2">
        <v>436</v>
      </c>
      <c r="D6">
        <f>RTD("tos.rtd", , "LAST", Main_S[[#This Row],[Symbol]])</f>
        <v>12.2</v>
      </c>
      <c r="E6">
        <v>2.72</v>
      </c>
      <c r="F6">
        <v>8.58</v>
      </c>
      <c r="G6">
        <v>1.36</v>
      </c>
      <c r="H6" s="1">
        <f>IF(ISNUMBER(Main_S[[#This Row],[Free CF]]),IF(Main_S[[#This Row],[Free CF]]&lt;&gt;0,Main_S[[#This Row],[Current Price]]/Main_S[[#This Row],[Free CF]],""),"")</f>
        <v>4.485294117647058</v>
      </c>
      <c r="I6" s="1">
        <f>IF(ISNUMBER(Main_S[[#This Row],[BVPS]]),IF(Main_S[[#This Row],[BVPS]]&lt;&gt;0,Main_S[[#This Row],[Current Price]]/Main_S[[#This Row],[BVPS]],""),"")</f>
        <v>1.4219114219114217</v>
      </c>
      <c r="J6">
        <v>19.63</v>
      </c>
      <c r="K6">
        <v>5.45</v>
      </c>
      <c r="L6">
        <v>3.32</v>
      </c>
      <c r="M6" s="1">
        <f>IF(ISNUMBER(Main_S[[#This Row],[EPS]]),IF(Main_S[[#This Row],[EPS]]&lt;&gt;0,Main_S[[#This Row],[Current Price]]/Main_S[[#This Row],[EPS]],""),"")</f>
        <v>8.970588235294116</v>
      </c>
      <c r="N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" s="1">
        <f>(Main_S[[#This Row],[P/FCF]]-VLOOKUP(Main_S[[#This Row],[Industry]], Mean_PFCF_S, 2, FALSE))/(VLOOKUP(Main_S[[#This Row],[Industry]], Mean_PFCF_S, 3, FALSE))</f>
        <v>0.23536163245998168</v>
      </c>
      <c r="P6" s="1">
        <f>(Main_S[[#This Row],[P/B]]-VLOOKUP(Main_S[[#This Row],[Industry]], Mean_PB_S, 2, FALSE))/(VLOOKUP(Main_S[[#This Row],[Industry]], Mean_PB_S, 3, FALSE))</f>
        <v>-0.43839053529015726</v>
      </c>
      <c r="Q6" s="1">
        <f>(Main_S[[#This Row],[ROE]]-VLOOKUP(Main_S[[#This Row],[Industry]], Mean_ROE_S, 2, FALSE))/(VLOOKUP(Main_S[[#This Row],[Industry]], Mean_ROE_S, 3, FALSE))</f>
        <v>1.2329908834216001</v>
      </c>
      <c r="R6" s="1">
        <f>(Main_S[[#This Row],[ROA]]-VLOOKUP(Main_S[[#This Row],[Industry]], Mean_ROA_S, 2, FALSE))/(VLOOKUP(Main_S[[#This Row],[Industry]], Mean_ROA_S, 3, FALSE))</f>
        <v>0.91949886207304776</v>
      </c>
      <c r="S6" s="1">
        <f>(Main_S[[#This Row],[A/E]]-VLOOKUP(Main_S[[#This Row],[Industry]], Mean_AE_S, 2, FALSE))/(VLOOKUP(Main_S[[#This Row],[Industry]], Mean_AE_S, 3, FALSE))</f>
        <v>-1.171211446818391</v>
      </c>
      <c r="T6" s="1">
        <f>(Main_S[[#This Row],[P/E]]-VLOOKUP(Main_S[[#This Row],[Industry]], Mean_PE_S, 2, FALSE))/(VLOOKUP(Main_S[[#This Row],[Industry]], Mean_PE_S, 3, FALSE))</f>
        <v>-1.401208854928736</v>
      </c>
      <c r="U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" spans="1:26" x14ac:dyDescent="0.25">
      <c r="A7" t="s">
        <v>126</v>
      </c>
      <c r="B7" t="s">
        <v>188</v>
      </c>
      <c r="C7" s="2">
        <v>1294</v>
      </c>
      <c r="D7">
        <f>RTD("tos.rtd", , "LAST", Main_S[[#This Row],[Symbol]])</f>
        <v>19.46</v>
      </c>
      <c r="E7">
        <v>1.71</v>
      </c>
      <c r="F7">
        <v>8.4499999999999993</v>
      </c>
      <c r="G7">
        <v>1.06</v>
      </c>
      <c r="H7" s="1">
        <f>IF(ISNUMBER(Main_S[[#This Row],[Free CF]]),IF(Main_S[[#This Row],[Free CF]]&lt;&gt;0,Main_S[[#This Row],[Current Price]]/Main_S[[#This Row],[Free CF]],""),"")</f>
        <v>11.380116959064328</v>
      </c>
      <c r="I7" s="1">
        <f>IF(ISNUMBER(Main_S[[#This Row],[BVPS]]),IF(Main_S[[#This Row],[BVPS]]&lt;&gt;0,Main_S[[#This Row],[Current Price]]/Main_S[[#This Row],[BVPS]],""),"")</f>
        <v>2.3029585798816572</v>
      </c>
      <c r="J7">
        <v>12.63</v>
      </c>
      <c r="K7">
        <v>4.84</v>
      </c>
      <c r="L7">
        <v>4.37</v>
      </c>
      <c r="M7" s="1">
        <f>IF(ISNUMBER(Main_S[[#This Row],[EPS]]),IF(Main_S[[#This Row],[EPS]]&lt;&gt;0,Main_S[[#This Row],[Current Price]]/Main_S[[#This Row],[EPS]],""),"")</f>
        <v>18.358490566037737</v>
      </c>
      <c r="N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" s="1">
        <f>(Main_S[[#This Row],[P/FCF]]-VLOOKUP(Main_S[[#This Row],[Industry]], Mean_PFCF_S, 2, FALSE))/(VLOOKUP(Main_S[[#This Row],[Industry]], Mean_PFCF_S, 3, FALSE))</f>
        <v>1.089983738385375</v>
      </c>
      <c r="P7" s="1">
        <f>(Main_S[[#This Row],[P/B]]-VLOOKUP(Main_S[[#This Row],[Industry]], Mean_PB_S, 2, FALSE))/(VLOOKUP(Main_S[[#This Row],[Industry]], Mean_PB_S, 3, FALSE))</f>
        <v>1.3836094138688397</v>
      </c>
      <c r="Q7" s="1">
        <f>(Main_S[[#This Row],[ROE]]-VLOOKUP(Main_S[[#This Row],[Industry]], Mean_ROE_S, 2, FALSE))/(VLOOKUP(Main_S[[#This Row],[Industry]], Mean_ROE_S, 3, FALSE))</f>
        <v>-1.666203896515683E-2</v>
      </c>
      <c r="R7" s="1">
        <f>(Main_S[[#This Row],[ROA]]-VLOOKUP(Main_S[[#This Row],[Industry]], Mean_ROA_S, 2, FALSE))/(VLOOKUP(Main_S[[#This Row],[Industry]], Mean_ROA_S, 3, FALSE))</f>
        <v>0.47078341738140023</v>
      </c>
      <c r="S7" s="1">
        <f>(Main_S[[#This Row],[A/E]]-VLOOKUP(Main_S[[#This Row],[Industry]], Mean_AE_S, 2, FALSE))/(VLOOKUP(Main_S[[#This Row],[Industry]], Mean_AE_S, 3, FALSE))</f>
        <v>1.2720442203855398</v>
      </c>
      <c r="T7" s="1">
        <f>(Main_S[[#This Row],[P/E]]-VLOOKUP(Main_S[[#This Row],[Industry]], Mean_PE_S, 2, FALSE))/(VLOOKUP(Main_S[[#This Row],[Industry]], Mean_PE_S, 3, FALSE))</f>
        <v>0.53489290507689757</v>
      </c>
      <c r="U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" spans="1:26" x14ac:dyDescent="0.25">
      <c r="A8" t="s">
        <v>145</v>
      </c>
      <c r="B8" t="s">
        <v>196</v>
      </c>
      <c r="C8" s="2">
        <v>1636</v>
      </c>
      <c r="D8">
        <f>RTD("tos.rtd", , "LAST", Main_S[[#This Row],[Symbol]])</f>
        <v>12.83</v>
      </c>
      <c r="E8">
        <v>7.0000000000000007E-2</v>
      </c>
      <c r="F8">
        <v>1.1599999999999999</v>
      </c>
      <c r="G8">
        <v>0.03</v>
      </c>
      <c r="H8" s="1">
        <f>IF(ISNUMBER(Main_S[[#This Row],[Free CF]]),IF(Main_S[[#This Row],[Free CF]]&lt;&gt;0,Main_S[[#This Row],[Current Price]]/Main_S[[#This Row],[Free CF]],""),"")</f>
        <v>183.28571428571428</v>
      </c>
      <c r="I8" s="1">
        <f>IF(ISNUMBER(Main_S[[#This Row],[BVPS]]),IF(Main_S[[#This Row],[BVPS]]&lt;&gt;0,Main_S[[#This Row],[Current Price]]/Main_S[[#This Row],[BVPS]],""),"")</f>
        <v>11.060344827586208</v>
      </c>
      <c r="J8">
        <v>3.29</v>
      </c>
      <c r="K8">
        <v>4.16</v>
      </c>
      <c r="L8">
        <v>1.48</v>
      </c>
      <c r="M8" s="1">
        <f>IF(ISNUMBER(Main_S[[#This Row],[EPS]]),IF(Main_S[[#This Row],[EPS]]&lt;&gt;0,Main_S[[#This Row],[Current Price]]/Main_S[[#This Row],[EPS]],""),"")</f>
        <v>427.66666666666669</v>
      </c>
      <c r="N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" s="1">
        <f>(Main_S[[#This Row],[P/FCF]]-VLOOKUP(Main_S[[#This Row],[Industry]], Mean_PFCF_S, 2, FALSE))/(VLOOKUP(Main_S[[#This Row],[Industry]], Mean_PFCF_S, 3, FALSE))</f>
        <v>21.476454445232822</v>
      </c>
      <c r="P8" s="1">
        <f>(Main_S[[#This Row],[P/B]]-VLOOKUP(Main_S[[#This Row],[Industry]], Mean_PB_S, 2, FALSE))/(VLOOKUP(Main_S[[#This Row],[Industry]], Mean_PB_S, 3, FALSE))</f>
        <v>1.0127277948178059</v>
      </c>
      <c r="Q8" s="1">
        <f>(Main_S[[#This Row],[ROE]]-VLOOKUP(Main_S[[#This Row],[Industry]], Mean_ROE_S, 2, FALSE))/(VLOOKUP(Main_S[[#This Row],[Industry]], Mean_ROE_S, 3, FALSE))</f>
        <v>0.61890974512953334</v>
      </c>
      <c r="R8" s="1">
        <f>(Main_S[[#This Row],[ROA]]-VLOOKUP(Main_S[[#This Row],[Industry]], Mean_ROA_S, 2, FALSE))/(VLOOKUP(Main_S[[#This Row],[Industry]], Mean_ROA_S, 3, FALSE))</f>
        <v>1.2752135916244305</v>
      </c>
      <c r="S8" s="1">
        <f>(Main_S[[#This Row],[A/E]]-VLOOKUP(Main_S[[#This Row],[Industry]], Mean_AE_S, 2, FALSE))/(VLOOKUP(Main_S[[#This Row],[Industry]], Mean_AE_S, 3, FALSE))</f>
        <v>-0.90076881992889701</v>
      </c>
      <c r="T8" s="1">
        <f>(Main_S[[#This Row],[P/E]]-VLOOKUP(Main_S[[#This Row],[Industry]], Mean_PE_S, 2, FALSE))/(VLOOKUP(Main_S[[#This Row],[Industry]], Mean_PE_S, 3, FALSE))</f>
        <v>16.728841595268513</v>
      </c>
      <c r="U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9" spans="1:26" x14ac:dyDescent="0.25">
      <c r="A9" t="s">
        <v>145</v>
      </c>
      <c r="B9" t="s">
        <v>197</v>
      </c>
      <c r="C9" s="2">
        <v>1605</v>
      </c>
      <c r="D9">
        <f>RTD("tos.rtd", , "LAST", Main_S[[#This Row],[Symbol]])</f>
        <v>32.659999999999997</v>
      </c>
      <c r="E9">
        <v>-1.43</v>
      </c>
      <c r="F9">
        <v>30.83</v>
      </c>
      <c r="G9">
        <v>11.34</v>
      </c>
      <c r="H9" s="1">
        <f>IF(ISNUMBER(Main_S[[#This Row],[Free CF]]),IF(Main_S[[#This Row],[Free CF]]&lt;&gt;0,Main_S[[#This Row],[Current Price]]/Main_S[[#This Row],[Free CF]],""),"")</f>
        <v>-22.839160839160837</v>
      </c>
      <c r="I9" s="1">
        <f>IF(ISNUMBER(Main_S[[#This Row],[BVPS]]),IF(Main_S[[#This Row],[BVPS]]&lt;&gt;0,Main_S[[#This Row],[Current Price]]/Main_S[[#This Row],[BVPS]],""),"")</f>
        <v>1.0593577684073954</v>
      </c>
      <c r="J9">
        <v>26.81</v>
      </c>
      <c r="K9">
        <v>0.83</v>
      </c>
      <c r="L9">
        <v>2.62</v>
      </c>
      <c r="M9" s="1">
        <f>IF(ISNUMBER(Main_S[[#This Row],[EPS]]),IF(Main_S[[#This Row],[EPS]]&lt;&gt;0,Main_S[[#This Row],[Current Price]]/Main_S[[#This Row],[EPS]],""),"")</f>
        <v>2.8800705467372132</v>
      </c>
      <c r="N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" s="1">
        <f>(Main_S[[#This Row],[P/FCF]]-VLOOKUP(Main_S[[#This Row],[Industry]], Mean_PFCF_S, 2, FALSE))/(VLOOKUP(Main_S[[#This Row],[Industry]], Mean_PFCF_S, 3, FALSE))</f>
        <v>-1.2163789961851224</v>
      </c>
      <c r="P9" s="1">
        <f>(Main_S[[#This Row],[P/B]]-VLOOKUP(Main_S[[#This Row],[Industry]], Mean_PB_S, 2, FALSE))/(VLOOKUP(Main_S[[#This Row],[Industry]], Mean_PB_S, 3, FALSE))</f>
        <v>-0.77568260700483693</v>
      </c>
      <c r="Q9" s="1">
        <f>(Main_S[[#This Row],[ROE]]-VLOOKUP(Main_S[[#This Row],[Industry]], Mean_ROE_S, 2, FALSE))/(VLOOKUP(Main_S[[#This Row],[Industry]], Mean_ROE_S, 3, FALSE))</f>
        <v>8.1482669203605465</v>
      </c>
      <c r="R9" s="1">
        <f>(Main_S[[#This Row],[ROA]]-VLOOKUP(Main_S[[#This Row],[Industry]], Mean_ROA_S, 2, FALSE))/(VLOOKUP(Main_S[[#This Row],[Industry]], Mean_ROA_S, 3, FALSE))</f>
        <v>-0.80383720891870469</v>
      </c>
      <c r="S9" s="1">
        <f>(Main_S[[#This Row],[A/E]]-VLOOKUP(Main_S[[#This Row],[Industry]], Mean_AE_S, 2, FALSE))/(VLOOKUP(Main_S[[#This Row],[Industry]], Mean_AE_S, 3, FALSE))</f>
        <v>0.86970782613824671</v>
      </c>
      <c r="T9" s="1">
        <f>(Main_S[[#This Row],[P/E]]-VLOOKUP(Main_S[[#This Row],[Industry]], Mean_PE_S, 2, FALSE))/(VLOOKUP(Main_S[[#This Row],[Industry]], Mean_PE_S, 3, FALSE))</f>
        <v>0.16650266412364509</v>
      </c>
      <c r="U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" spans="1:26" x14ac:dyDescent="0.25">
      <c r="A10" t="s">
        <v>145</v>
      </c>
      <c r="B10" t="s">
        <v>198</v>
      </c>
      <c r="C10" s="2">
        <v>437</v>
      </c>
      <c r="D10">
        <f>RTD("tos.rtd", , "LAST", Main_S[[#This Row],[Symbol]])</f>
        <v>9.84</v>
      </c>
      <c r="E10">
        <v>-1.04</v>
      </c>
      <c r="F10">
        <v>0.74</v>
      </c>
      <c r="G10">
        <v>-4.3899999999999997</v>
      </c>
      <c r="H10" s="1">
        <f>IF(ISNUMBER(Main_S[[#This Row],[Free CF]]),IF(Main_S[[#This Row],[Free CF]]&lt;&gt;0,Main_S[[#This Row],[Current Price]]/Main_S[[#This Row],[Free CF]],""),"")</f>
        <v>-9.4615384615384617</v>
      </c>
      <c r="I10" s="1">
        <f>IF(ISNUMBER(Main_S[[#This Row],[BVPS]]),IF(Main_S[[#This Row],[BVPS]]&lt;&gt;0,Main_S[[#This Row],[Current Price]]/Main_S[[#This Row],[BVPS]],""),"")</f>
        <v>13.297297297297296</v>
      </c>
      <c r="J10">
        <v>-48.76</v>
      </c>
      <c r="K10">
        <v>-6.44</v>
      </c>
      <c r="L10">
        <v>2.78</v>
      </c>
      <c r="M10" s="1">
        <f>IF(ISNUMBER(Main_S[[#This Row],[EPS]]),IF(Main_S[[#This Row],[EPS]]&lt;&gt;0,Main_S[[#This Row],[Current Price]]/Main_S[[#This Row],[EPS]],""),"")</f>
        <v>-2.2414578587699316</v>
      </c>
      <c r="N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" s="1">
        <f>(Main_S[[#This Row],[P/FCF]]-VLOOKUP(Main_S[[#This Row],[Industry]], Mean_PFCF_S, 2, FALSE))/(VLOOKUP(Main_S[[#This Row],[Industry]], Mean_PFCF_S, 3, FALSE))</f>
        <v>0.25639888311574693</v>
      </c>
      <c r="P10" s="1">
        <f>(Main_S[[#This Row],[P/B]]-VLOOKUP(Main_S[[#This Row],[Industry]], Mean_PB_S, 2, FALSE))/(VLOOKUP(Main_S[[#This Row],[Industry]], Mean_PB_S, 3, FALSE))</f>
        <v>1.4127472170549797</v>
      </c>
      <c r="Q10" s="1">
        <f>(Main_S[[#This Row],[ROE]]-VLOOKUP(Main_S[[#This Row],[Industry]], Mean_ROE_S, 2, FALSE))/(VLOOKUP(Main_S[[#This Row],[Industry]], Mean_ROE_S, 3, FALSE))</f>
        <v>-16.043634513831954</v>
      </c>
      <c r="R10" s="1">
        <f>(Main_S[[#This Row],[ROA]]-VLOOKUP(Main_S[[#This Row],[Industry]], Mean_ROA_S, 2, FALSE))/(VLOOKUP(Main_S[[#This Row],[Industry]], Mean_ROA_S, 3, FALSE))</f>
        <v>-5.3427859536480122</v>
      </c>
      <c r="S10" s="1">
        <f>(Main_S[[#This Row],[A/E]]-VLOOKUP(Main_S[[#This Row],[Industry]], Mean_AE_S, 2, FALSE))/(VLOOKUP(Main_S[[#This Row],[Industry]], Mean_AE_S, 3, FALSE))</f>
        <v>1.1181957764634594</v>
      </c>
      <c r="T10" s="1">
        <f>(Main_S[[#This Row],[P/E]]-VLOOKUP(Main_S[[#This Row],[Industry]], Mean_PE_S, 2, FALSE))/(VLOOKUP(Main_S[[#This Row],[Industry]], Mean_PE_S, 3, FALSE))</f>
        <v>-3.3184637858799985E-2</v>
      </c>
      <c r="U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" spans="1:26" x14ac:dyDescent="0.25">
      <c r="A11" t="s">
        <v>145</v>
      </c>
      <c r="B11" t="s">
        <v>199</v>
      </c>
      <c r="C11" s="2">
        <v>321</v>
      </c>
      <c r="D11">
        <f>RTD("tos.rtd", , "LAST", Main_S[[#This Row],[Symbol]])</f>
        <v>2.31</v>
      </c>
      <c r="E11">
        <v>-0.14000000000000001</v>
      </c>
      <c r="F11">
        <v>1.8</v>
      </c>
      <c r="G11">
        <v>7.0000000000000007E-2</v>
      </c>
      <c r="H11" s="1">
        <f>IF(ISNUMBER(Main_S[[#This Row],[Free CF]]),IF(Main_S[[#This Row],[Free CF]]&lt;&gt;0,Main_S[[#This Row],[Current Price]]/Main_S[[#This Row],[Free CF]],""),"")</f>
        <v>-16.5</v>
      </c>
      <c r="I11" s="1">
        <f>IF(ISNUMBER(Main_S[[#This Row],[BVPS]]),IF(Main_S[[#This Row],[BVPS]]&lt;&gt;0,Main_S[[#This Row],[Current Price]]/Main_S[[#This Row],[BVPS]],""),"")</f>
        <v>1.2833333333333334</v>
      </c>
      <c r="J11">
        <v>3.83</v>
      </c>
      <c r="K11">
        <v>3.18</v>
      </c>
      <c r="L11">
        <v>1.36</v>
      </c>
      <c r="M11" s="1">
        <f>IF(ISNUMBER(Main_S[[#This Row],[EPS]]),IF(Main_S[[#This Row],[EPS]]&lt;&gt;0,Main_S[[#This Row],[Current Price]]/Main_S[[#This Row],[EPS]],""),"")</f>
        <v>33</v>
      </c>
      <c r="N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" s="1">
        <f>(Main_S[[#This Row],[P/FCF]]-VLOOKUP(Main_S[[#This Row],[Industry]], Mean_PFCF_S, 2, FALSE))/(VLOOKUP(Main_S[[#This Row],[Industry]], Mean_PFCF_S, 3, FALSE))</f>
        <v>-0.51848398960580311</v>
      </c>
      <c r="P11" s="1">
        <f>(Main_S[[#This Row],[P/B]]-VLOOKUP(Main_S[[#This Row],[Industry]], Mean_PB_S, 2, FALSE))/(VLOOKUP(Main_S[[#This Row],[Industry]], Mean_PB_S, 3, FALSE))</f>
        <v>-0.73563053737436768</v>
      </c>
      <c r="Q11" s="1">
        <f>(Main_S[[#This Row],[ROE]]-VLOOKUP(Main_S[[#This Row],[Industry]], Mean_ROE_S, 2, FALSE))/(VLOOKUP(Main_S[[#This Row],[Industry]], Mean_ROE_S, 3, FALSE))</f>
        <v>0.79177763945881685</v>
      </c>
      <c r="R11" s="1">
        <f>(Main_S[[#This Row],[ROA]]-VLOOKUP(Main_S[[#This Row],[Industry]], Mean_ROA_S, 2, FALSE))/(VLOOKUP(Main_S[[#This Row],[Industry]], Mean_ROA_S, 3, FALSE))</f>
        <v>0.66336080347660098</v>
      </c>
      <c r="S11" s="1">
        <f>(Main_S[[#This Row],[A/E]]-VLOOKUP(Main_S[[#This Row],[Industry]], Mean_AE_S, 2, FALSE))/(VLOOKUP(Main_S[[#This Row],[Industry]], Mean_AE_S, 3, FALSE))</f>
        <v>-1.0871347826728066</v>
      </c>
      <c r="T11" s="1">
        <f>(Main_S[[#This Row],[P/E]]-VLOOKUP(Main_S[[#This Row],[Industry]], Mean_PE_S, 2, FALSE))/(VLOOKUP(Main_S[[#This Row],[Industry]], Mean_PE_S, 3, FALSE))</f>
        <v>1.3408722999448979</v>
      </c>
      <c r="U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" spans="1:26" x14ac:dyDescent="0.25">
      <c r="A12" t="s">
        <v>145</v>
      </c>
      <c r="B12" t="s">
        <v>200</v>
      </c>
      <c r="C12" s="2">
        <v>799</v>
      </c>
      <c r="D12">
        <f>RTD("tos.rtd", , "LAST", Main_S[[#This Row],[Symbol]])</f>
        <v>9.8000000000000007</v>
      </c>
      <c r="E12">
        <v>5.98</v>
      </c>
      <c r="F12">
        <v>34.39</v>
      </c>
      <c r="G12">
        <v>-0.25</v>
      </c>
      <c r="H12" s="1">
        <f>IF(ISNUMBER(Main_S[[#This Row],[Free CF]]),IF(Main_S[[#This Row],[Free CF]]&lt;&gt;0,Main_S[[#This Row],[Current Price]]/Main_S[[#This Row],[Free CF]],""),"")</f>
        <v>1.6387959866220736</v>
      </c>
      <c r="I12" s="1">
        <f>IF(ISNUMBER(Main_S[[#This Row],[BVPS]]),IF(Main_S[[#This Row],[BVPS]]&lt;&gt;0,Main_S[[#This Row],[Current Price]]/Main_S[[#This Row],[BVPS]],""),"")</f>
        <v>0.28496656004652515</v>
      </c>
      <c r="J12">
        <v>-3.05</v>
      </c>
      <c r="K12">
        <v>0.3</v>
      </c>
      <c r="L12">
        <v>6.31</v>
      </c>
      <c r="M12" s="1">
        <f>IF(ISNUMBER(Main_S[[#This Row],[EPS]]),IF(Main_S[[#This Row],[EPS]]&lt;&gt;0,Main_S[[#This Row],[Current Price]]/Main_S[[#This Row],[EPS]],""),"")</f>
        <v>-39.200000000000003</v>
      </c>
      <c r="N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" s="1">
        <f>(Main_S[[#This Row],[P/FCF]]-VLOOKUP(Main_S[[#This Row],[Industry]], Mean_PFCF_S, 2, FALSE))/(VLOOKUP(Main_S[[#This Row],[Industry]], Mean_PFCF_S, 3, FALSE))</f>
        <v>1.4784641026751788</v>
      </c>
      <c r="P12" s="1">
        <f>(Main_S[[#This Row],[P/B]]-VLOOKUP(Main_S[[#This Row],[Industry]], Mean_PB_S, 2, FALSE))/(VLOOKUP(Main_S[[#This Row],[Industry]], Mean_PB_S, 3, FALSE))</f>
        <v>-0.9141618674935813</v>
      </c>
      <c r="Q12" s="1">
        <f>(Main_S[[#This Row],[ROE]]-VLOOKUP(Main_S[[#This Row],[Industry]], Mean_ROE_S, 2, FALSE))/(VLOOKUP(Main_S[[#This Row],[Industry]], Mean_ROE_S, 3, FALSE))</f>
        <v>-1.4106873845883501</v>
      </c>
      <c r="R12" s="1">
        <f>(Main_S[[#This Row],[ROA]]-VLOOKUP(Main_S[[#This Row],[Industry]], Mean_ROA_S, 2, FALSE))/(VLOOKUP(Main_S[[#This Row],[Industry]], Mean_ROA_S, 3, FALSE))</f>
        <v>-1.1347371861823268</v>
      </c>
      <c r="S12" s="1">
        <f>(Main_S[[#This Row],[A/E]]-VLOOKUP(Main_S[[#This Row],[Industry]], Mean_AE_S, 2, FALSE))/(VLOOKUP(Main_S[[#This Row],[Industry]], Mean_AE_S, 3, FALSE))</f>
        <v>6.6004611805134736</v>
      </c>
      <c r="T12" s="1">
        <f>(Main_S[[#This Row],[P/E]]-VLOOKUP(Main_S[[#This Row],[Industry]], Mean_PE_S, 2, FALSE))/(VLOOKUP(Main_S[[#This Row],[Industry]], Mean_PE_S, 3, FALSE))</f>
        <v>-1.4741903262097431</v>
      </c>
      <c r="U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" spans="1:26" x14ac:dyDescent="0.25">
      <c r="A13" t="s">
        <v>128</v>
      </c>
      <c r="B13" t="s">
        <v>189</v>
      </c>
      <c r="C13" s="2">
        <v>938</v>
      </c>
      <c r="D13">
        <f>RTD("tos.rtd", , "LAST", Main_S[[#This Row],[Symbol]])</f>
        <v>54.05</v>
      </c>
      <c r="E13">
        <v>-2.73</v>
      </c>
      <c r="F13">
        <v>31.64</v>
      </c>
      <c r="G13">
        <v>2.93</v>
      </c>
      <c r="H13" s="1">
        <f>IF(ISNUMBER(Main_S[[#This Row],[Free CF]]),IF(Main_S[[#This Row],[Free CF]]&lt;&gt;0,Main_S[[#This Row],[Current Price]]/Main_S[[#This Row],[Free CF]],""),"")</f>
        <v>-19.798534798534799</v>
      </c>
      <c r="I13" s="1">
        <f>IF(ISNUMBER(Main_S[[#This Row],[BVPS]]),IF(Main_S[[#This Row],[BVPS]]&lt;&gt;0,Main_S[[#This Row],[Current Price]]/Main_S[[#This Row],[BVPS]],""),"")</f>
        <v>1.7082806573957015</v>
      </c>
      <c r="J13">
        <v>9.4</v>
      </c>
      <c r="K13">
        <v>3.34</v>
      </c>
      <c r="L13">
        <v>3.5</v>
      </c>
      <c r="M13" s="1">
        <f>IF(ISNUMBER(Main_S[[#This Row],[EPS]]),IF(Main_S[[#This Row],[EPS]]&lt;&gt;0,Main_S[[#This Row],[Current Price]]/Main_S[[#This Row],[EPS]],""),"")</f>
        <v>18.447098976109213</v>
      </c>
      <c r="N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" s="1" t="e">
        <f>(Main_S[[#This Row],[P/FCF]]-VLOOKUP(Main_S[[#This Row],[Industry]], Mean_PFCF_S, 2, FALSE))/(VLOOKUP(Main_S[[#This Row],[Industry]], Mean_PFCF_S, 3, FALSE))</f>
        <v>#DIV/0!</v>
      </c>
      <c r="P13" s="1" t="e">
        <f>(Main_S[[#This Row],[P/B]]-VLOOKUP(Main_S[[#This Row],[Industry]], Mean_PB_S, 2, FALSE))/(VLOOKUP(Main_S[[#This Row],[Industry]], Mean_PB_S, 3, FALSE))</f>
        <v>#DIV/0!</v>
      </c>
      <c r="Q13" s="1" t="e">
        <f>(Main_S[[#This Row],[ROE]]-VLOOKUP(Main_S[[#This Row],[Industry]], Mean_ROE_S, 2, FALSE))/(VLOOKUP(Main_S[[#This Row],[Industry]], Mean_ROE_S, 3, FALSE))</f>
        <v>#DIV/0!</v>
      </c>
      <c r="R13" s="1" t="e">
        <f>(Main_S[[#This Row],[ROA]]-VLOOKUP(Main_S[[#This Row],[Industry]], Mean_ROA_S, 2, FALSE))/(VLOOKUP(Main_S[[#This Row],[Industry]], Mean_ROA_S, 3, FALSE))</f>
        <v>#DIV/0!</v>
      </c>
      <c r="S13" s="1" t="e">
        <f>(Main_S[[#This Row],[A/E]]-VLOOKUP(Main_S[[#This Row],[Industry]], Mean_AE_S, 2, FALSE))/(VLOOKUP(Main_S[[#This Row],[Industry]], Mean_AE_S, 3, FALSE))</f>
        <v>#DIV/0!</v>
      </c>
      <c r="T13" s="1" t="e">
        <f>(Main_S[[#This Row],[P/E]]-VLOOKUP(Main_S[[#This Row],[Industry]], Mean_PE_S, 2, FALSE))/(VLOOKUP(Main_S[[#This Row],[Industry]], Mean_PE_S, 3, FALSE))</f>
        <v>#DIV/0!</v>
      </c>
      <c r="U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" spans="1:26" x14ac:dyDescent="0.25">
      <c r="A14" t="s">
        <v>141</v>
      </c>
      <c r="B14" t="s">
        <v>190</v>
      </c>
      <c r="C14" s="2">
        <v>353</v>
      </c>
      <c r="D14">
        <f>RTD("tos.rtd", , "LAST", Main_S[[#This Row],[Symbol]])</f>
        <v>32.909999999999997</v>
      </c>
      <c r="E14">
        <v>-0.89</v>
      </c>
      <c r="F14">
        <v>23.22</v>
      </c>
      <c r="G14">
        <v>1.98</v>
      </c>
      <c r="H14" s="1">
        <f>IF(ISNUMBER(Main_S[[#This Row],[Free CF]]),IF(Main_S[[#This Row],[Free CF]]&lt;&gt;0,Main_S[[#This Row],[Current Price]]/Main_S[[#This Row],[Free CF]],""),"")</f>
        <v>-36.977528089887635</v>
      </c>
      <c r="I14" s="1">
        <f>IF(ISNUMBER(Main_S[[#This Row],[BVPS]]),IF(Main_S[[#This Row],[BVPS]]&lt;&gt;0,Main_S[[#This Row],[Current Price]]/Main_S[[#This Row],[BVPS]],""),"")</f>
        <v>1.4173126614987079</v>
      </c>
      <c r="J14">
        <v>8.69</v>
      </c>
      <c r="K14">
        <v>2.67</v>
      </c>
      <c r="L14">
        <v>3.34</v>
      </c>
      <c r="M14" s="1">
        <f>IF(ISNUMBER(Main_S[[#This Row],[EPS]]),IF(Main_S[[#This Row],[EPS]]&lt;&gt;0,Main_S[[#This Row],[Current Price]]/Main_S[[#This Row],[EPS]],""),"")</f>
        <v>16.621212121212121</v>
      </c>
      <c r="N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" s="1">
        <f>(Main_S[[#This Row],[P/FCF]]-VLOOKUP(Main_S[[#This Row],[Industry]], Mean_PFCF_S, 2, FALSE))/(VLOOKUP(Main_S[[#This Row],[Industry]], Mean_PFCF_S, 3, FALSE))</f>
        <v>-1.4044424604953307</v>
      </c>
      <c r="P14" s="1">
        <f>(Main_S[[#This Row],[P/B]]-VLOOKUP(Main_S[[#This Row],[Industry]], Mean_PB_S, 2, FALSE))/(VLOOKUP(Main_S[[#This Row],[Industry]], Mean_PB_S, 3, FALSE))</f>
        <v>-1.0404572448485476</v>
      </c>
      <c r="Q14" s="1">
        <f>(Main_S[[#This Row],[ROE]]-VLOOKUP(Main_S[[#This Row],[Industry]], Mean_ROE_S, 2, FALSE))/(VLOOKUP(Main_S[[#This Row],[Industry]], Mean_ROE_S, 3, FALSE))</f>
        <v>-1.0971276563170527</v>
      </c>
      <c r="R14" s="1">
        <f>(Main_S[[#This Row],[ROA]]-VLOOKUP(Main_S[[#This Row],[Industry]], Mean_ROA_S, 2, FALSE))/(VLOOKUP(Main_S[[#This Row],[Industry]], Mean_ROA_S, 3, FALSE))</f>
        <v>0.25760802302340791</v>
      </c>
      <c r="S14" s="1">
        <f>(Main_S[[#This Row],[A/E]]-VLOOKUP(Main_S[[#This Row],[Industry]], Mean_AE_S, 2, FALSE))/(VLOOKUP(Main_S[[#This Row],[Industry]], Mean_AE_S, 3, FALSE))</f>
        <v>0.9988703251443517</v>
      </c>
      <c r="T14" s="1">
        <f>(Main_S[[#This Row],[P/E]]-VLOOKUP(Main_S[[#This Row],[Industry]], Mean_PE_S, 2, FALSE))/(VLOOKUP(Main_S[[#This Row],[Industry]], Mean_PE_S, 3, FALSE))</f>
        <v>-12.135344816043585</v>
      </c>
      <c r="U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5" spans="1:26" x14ac:dyDescent="0.25">
      <c r="A15" t="s">
        <v>141</v>
      </c>
      <c r="B15" t="s">
        <v>191</v>
      </c>
      <c r="C15" s="2">
        <v>363</v>
      </c>
      <c r="D15">
        <f>RTD("tos.rtd", , "LAST", Main_S[[#This Row],[Symbol]])</f>
        <v>24.86</v>
      </c>
      <c r="E15">
        <v>1.88</v>
      </c>
      <c r="F15">
        <v>13.25</v>
      </c>
      <c r="G15">
        <v>1.1200000000000001</v>
      </c>
      <c r="H15" s="1">
        <f>IF(ISNUMBER(Main_S[[#This Row],[Free CF]]),IF(Main_S[[#This Row],[Free CF]]&lt;&gt;0,Main_S[[#This Row],[Current Price]]/Main_S[[#This Row],[Free CF]],""),"")</f>
        <v>13.223404255319149</v>
      </c>
      <c r="I15" s="1">
        <f>IF(ISNUMBER(Main_S[[#This Row],[BVPS]]),IF(Main_S[[#This Row],[BVPS]]&lt;&gt;0,Main_S[[#This Row],[Current Price]]/Main_S[[#This Row],[BVPS]],""),"")</f>
        <v>1.8762264150943395</v>
      </c>
      <c r="J15">
        <v>9.07</v>
      </c>
      <c r="K15">
        <v>4.9000000000000004</v>
      </c>
      <c r="L15">
        <v>1.1599999999999999</v>
      </c>
      <c r="M15" s="1">
        <f>IF(ISNUMBER(Main_S[[#This Row],[EPS]]),IF(Main_S[[#This Row],[EPS]]&lt;&gt;0,Main_S[[#This Row],[Current Price]]/Main_S[[#This Row],[EPS]],""),"")</f>
        <v>22.196428571428569</v>
      </c>
      <c r="N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" s="1">
        <f>(Main_S[[#This Row],[P/FCF]]-VLOOKUP(Main_S[[#This Row],[Industry]], Mean_PFCF_S, 2, FALSE))/(VLOOKUP(Main_S[[#This Row],[Industry]], Mean_PFCF_S, 3, FALSE))</f>
        <v>6.838761105696971</v>
      </c>
      <c r="P15" s="1">
        <f>(Main_S[[#This Row],[P/B]]-VLOOKUP(Main_S[[#This Row],[Industry]], Mean_PB_S, 2, FALSE))/(VLOOKUP(Main_S[[#This Row],[Industry]], Mean_PB_S, 3, FALSE))</f>
        <v>0.28617627605558327</v>
      </c>
      <c r="Q15" s="1">
        <f>(Main_S[[#This Row],[ROE]]-VLOOKUP(Main_S[[#This Row],[Industry]], Mean_ROE_S, 2, FALSE))/(VLOOKUP(Main_S[[#This Row],[Industry]], Mean_ROE_S, 3, FALSE))</f>
        <v>-0.16548852916513965</v>
      </c>
      <c r="R15" s="1">
        <f>(Main_S[[#This Row],[ROA]]-VLOOKUP(Main_S[[#This Row],[Industry]], Mean_ROA_S, 2, FALSE))/(VLOOKUP(Main_S[[#This Row],[Industry]], Mean_ROA_S, 3, FALSE))</f>
        <v>4.0873806319714081</v>
      </c>
      <c r="S15" s="1">
        <f>(Main_S[[#This Row],[A/E]]-VLOOKUP(Main_S[[#This Row],[Industry]], Mean_AE_S, 2, FALSE))/(VLOOKUP(Main_S[[#This Row],[Industry]], Mean_AE_S, 3, FALSE))</f>
        <v>-1.6647838752405864</v>
      </c>
      <c r="T15" s="1">
        <f>(Main_S[[#This Row],[P/E]]-VLOOKUP(Main_S[[#This Row],[Industry]], Mean_PE_S, 2, FALSE))/(VLOOKUP(Main_S[[#This Row],[Industry]], Mean_PE_S, 3, FALSE))</f>
        <v>-1.1655042293421096</v>
      </c>
      <c r="U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" spans="1:26" x14ac:dyDescent="0.25">
      <c r="A16" t="s">
        <v>141</v>
      </c>
      <c r="B16" t="s">
        <v>192</v>
      </c>
      <c r="C16" s="2">
        <v>282</v>
      </c>
      <c r="D16">
        <f>RTD("tos.rtd", , "LAST", Main_S[[#This Row],[Symbol]])</f>
        <v>10.24</v>
      </c>
      <c r="E16">
        <v>-0.44</v>
      </c>
      <c r="F16">
        <v>1.96</v>
      </c>
      <c r="G16">
        <v>0.24</v>
      </c>
      <c r="H16" s="1">
        <f>IF(ISNUMBER(Main_S[[#This Row],[Free CF]]),IF(Main_S[[#This Row],[Free CF]]&lt;&gt;0,Main_S[[#This Row],[Current Price]]/Main_S[[#This Row],[Free CF]],""),"")</f>
        <v>-23.272727272727273</v>
      </c>
      <c r="I16" s="1">
        <f>IF(ISNUMBER(Main_S[[#This Row],[BVPS]]),IF(Main_S[[#This Row],[BVPS]]&lt;&gt;0,Main_S[[#This Row],[Current Price]]/Main_S[[#This Row],[BVPS]],""),"")</f>
        <v>5.2244897959183678</v>
      </c>
      <c r="J16">
        <v>12.03</v>
      </c>
      <c r="K16">
        <v>1.53</v>
      </c>
      <c r="L16">
        <v>8.51</v>
      </c>
      <c r="M16" s="1">
        <f>IF(ISNUMBER(Main_S[[#This Row],[EPS]]),IF(Main_S[[#This Row],[EPS]]&lt;&gt;0,Main_S[[#This Row],[Current Price]]/Main_S[[#This Row],[EPS]],""),"")</f>
        <v>42.666666666666671</v>
      </c>
      <c r="N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" s="1">
        <f>(Main_S[[#This Row],[P/FCF]]-VLOOKUP(Main_S[[#This Row],[Industry]], Mean_PFCF_S, 2, FALSE))/(VLOOKUP(Main_S[[#This Row],[Industry]], Mean_PFCF_S, 3, FALSE))</f>
        <v>0.8459432931620523</v>
      </c>
      <c r="P16" s="1">
        <f>(Main_S[[#This Row],[P/B]]-VLOOKUP(Main_S[[#This Row],[Industry]], Mean_PB_S, 2, FALSE))/(VLOOKUP(Main_S[[#This Row],[Industry]], Mean_PB_S, 3, FALSE))</f>
        <v>9.9653772217978034</v>
      </c>
      <c r="Q16" s="1">
        <f>(Main_S[[#This Row],[ROE]]-VLOOKUP(Main_S[[#This Row],[Industry]], Mean_ROE_S, 2, FALSE))/(VLOOKUP(Main_S[[#This Row],[Industry]], Mean_ROE_S, 3, FALSE))</f>
        <v>7.0914899349655336</v>
      </c>
      <c r="R16" s="1">
        <f>(Main_S[[#This Row],[ROA]]-VLOOKUP(Main_S[[#This Row],[Industry]], Mean_ROA_S, 2, FALSE))/(VLOOKUP(Main_S[[#This Row],[Industry]], Mean_ROA_S, 3, FALSE))</f>
        <v>-1.7002129519544933</v>
      </c>
      <c r="S16" s="1">
        <f>(Main_S[[#This Row],[A/E]]-VLOOKUP(Main_S[[#This Row],[Industry]], Mean_AE_S, 2, FALSE))/(VLOOKUP(Main_S[[#This Row],[Industry]], Mean_AE_S, 3, FALSE))</f>
        <v>7.3158851031214756</v>
      </c>
      <c r="T16" s="1">
        <f>(Main_S[[#This Row],[P/E]]-VLOOKUP(Main_S[[#This Row],[Industry]], Mean_PE_S, 2, FALSE))/(VLOOKUP(Main_S[[#This Row],[Industry]], Mean_PE_S, 3, FALSE))</f>
        <v>39.111900366827008</v>
      </c>
      <c r="U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7" spans="1:26" x14ac:dyDescent="0.25">
      <c r="A17" t="s">
        <v>141</v>
      </c>
      <c r="B17" t="s">
        <v>193</v>
      </c>
      <c r="C17" s="2">
        <v>1085</v>
      </c>
      <c r="D17">
        <f>RTD("tos.rtd", , "LAST", Main_S[[#This Row],[Symbol]])</f>
        <v>56.25</v>
      </c>
      <c r="E17">
        <v>-0.75</v>
      </c>
      <c r="F17">
        <v>25.09</v>
      </c>
      <c r="G17">
        <v>2.4</v>
      </c>
      <c r="H17" s="1">
        <f>IF(ISNUMBER(Main_S[[#This Row],[Free CF]]),IF(Main_S[[#This Row],[Free CF]]&lt;&gt;0,Main_S[[#This Row],[Current Price]]/Main_S[[#This Row],[Free CF]],""),"")</f>
        <v>-75</v>
      </c>
      <c r="I17" s="1">
        <f>IF(ISNUMBER(Main_S[[#This Row],[BVPS]]),IF(Main_S[[#This Row],[BVPS]]&lt;&gt;0,Main_S[[#This Row],[Current Price]]/Main_S[[#This Row],[BVPS]],""),"")</f>
        <v>2.2419290554005582</v>
      </c>
      <c r="J17">
        <v>9.8000000000000007</v>
      </c>
      <c r="K17">
        <v>2.96</v>
      </c>
      <c r="L17">
        <v>2.85</v>
      </c>
      <c r="M17" s="1">
        <f>IF(ISNUMBER(Main_S[[#This Row],[EPS]]),IF(Main_S[[#This Row],[EPS]]&lt;&gt;0,Main_S[[#This Row],[Current Price]]/Main_S[[#This Row],[EPS]],""),"")</f>
        <v>23.4375</v>
      </c>
      <c r="N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" s="1">
        <f>(Main_S[[#This Row],[P/FCF]]-VLOOKUP(Main_S[[#This Row],[Industry]], Mean_PFCF_S, 2, FALSE))/(VLOOKUP(Main_S[[#This Row],[Industry]], Mean_PFCF_S, 3, FALSE))</f>
        <v>-7.6478917631816605</v>
      </c>
      <c r="P17" s="1">
        <f>(Main_S[[#This Row],[P/B]]-VLOOKUP(Main_S[[#This Row],[Industry]], Mean_PB_S, 2, FALSE))/(VLOOKUP(Main_S[[#This Row],[Industry]], Mean_PB_S, 3, FALSE))</f>
        <v>1.3433539647000277</v>
      </c>
      <c r="Q17" s="1">
        <f>(Main_S[[#This Row],[ROE]]-VLOOKUP(Main_S[[#This Row],[Industry]], Mean_ROE_S, 2, FALSE))/(VLOOKUP(Main_S[[#This Row],[Industry]], Mean_ROE_S, 3, FALSE))</f>
        <v>1.6242392677319537</v>
      </c>
      <c r="R17" s="1">
        <f>(Main_S[[#This Row],[ROA]]-VLOOKUP(Main_S[[#This Row],[Industry]], Mean_ROA_S, 2, FALSE))/(VLOOKUP(Main_S[[#This Row],[Industry]], Mean_ROA_S, 3, FALSE))</f>
        <v>0.75565020086866352</v>
      </c>
      <c r="S17" s="1">
        <f>(Main_S[[#This Row],[A/E]]-VLOOKUP(Main_S[[#This Row],[Industry]], Mean_AE_S, 2, FALSE))/(VLOOKUP(Main_S[[#This Row],[Industry]], Mean_AE_S, 3, FALSE))</f>
        <v>0.4001590599202145</v>
      </c>
      <c r="T17" s="1">
        <f>(Main_S[[#This Row],[P/E]]-VLOOKUP(Main_S[[#This Row],[Industry]], Mean_PE_S, 2, FALSE))/(VLOOKUP(Main_S[[#This Row],[Industry]], Mean_PE_S, 3, FALSE))</f>
        <v>1.2764378637958</v>
      </c>
      <c r="U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" spans="1:26" x14ac:dyDescent="0.25">
      <c r="A18" t="s">
        <v>141</v>
      </c>
      <c r="B18" t="s">
        <v>194</v>
      </c>
      <c r="C18" s="2">
        <v>1875</v>
      </c>
      <c r="D18">
        <f>RTD("tos.rtd", , "LAST", Main_S[[#This Row],[Symbol]])</f>
        <v>54.86</v>
      </c>
      <c r="F18">
        <v>40.880000000000003</v>
      </c>
      <c r="H18" s="1" t="str">
        <f>IF(ISNUMBER(Main_S[[#This Row],[Free CF]]),IF(Main_S[[#This Row],[Free CF]]&lt;&gt;0,Main_S[[#This Row],[Current Price]]/Main_S[[#This Row],[Free CF]],""),"")</f>
        <v/>
      </c>
      <c r="I18" s="1">
        <f>IF(ISNUMBER(Main_S[[#This Row],[BVPS]]),IF(Main_S[[#This Row],[BVPS]]&lt;&gt;0,Main_S[[#This Row],[Current Price]]/Main_S[[#This Row],[BVPS]],""),"")</f>
        <v>1.3419765166340507</v>
      </c>
      <c r="M18" s="1" t="str">
        <f>IF(ISNUMBER(Main_S[[#This Row],[EPS]]),IF(Main_S[[#This Row],[EPS]]&lt;&gt;0,Main_S[[#This Row],[Current Price]]/Main_S[[#This Row],[EPS]],""),"")</f>
        <v/>
      </c>
      <c r="N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" s="1" t="e">
        <f>(Main_S[[#This Row],[P/FCF]]-VLOOKUP(Main_S[[#This Row],[Industry]], Mean_PFCF_S, 2, FALSE))/(VLOOKUP(Main_S[[#This Row],[Industry]], Mean_PFCF_S, 3, FALSE))</f>
        <v>#VALUE!</v>
      </c>
      <c r="P18" s="1">
        <f>(Main_S[[#This Row],[P/B]]-VLOOKUP(Main_S[[#This Row],[Industry]], Mean_PB_S, 2, FALSE))/(VLOOKUP(Main_S[[#This Row],[Industry]], Mean_PB_S, 3, FALSE))</f>
        <v>-1.2582398986262515</v>
      </c>
      <c r="Q18" s="1">
        <f>(Main_S[[#This Row],[ROE]]-VLOOKUP(Main_S[[#This Row],[Industry]], Mean_ROE_S, 2, FALSE))/(VLOOKUP(Main_S[[#This Row],[Industry]], Mean_ROE_S, 3, FALSE))</f>
        <v>-22.402243485133123</v>
      </c>
      <c r="R18" s="1">
        <f>(Main_S[[#This Row],[ROA]]-VLOOKUP(Main_S[[#This Row],[Industry]], Mean_ROA_S, 2, FALSE))/(VLOOKUP(Main_S[[#This Row],[Industry]], Mean_ROA_S, 3, FALSE))</f>
        <v>-4.3278147867932555</v>
      </c>
      <c r="S18" s="1">
        <f>(Main_S[[#This Row],[A/E]]-VLOOKUP(Main_S[[#This Row],[Industry]], Mean_AE_S, 2, FALSE))/(VLOOKUP(Main_S[[#This Row],[Industry]], Mean_AE_S, 3, FALSE))</f>
        <v>-3.0821411561793606</v>
      </c>
      <c r="T18" s="1" t="e">
        <f>(Main_S[[#This Row],[P/E]]-VLOOKUP(Main_S[[#This Row],[Industry]], Mean_PE_S, 2, FALSE))/(VLOOKUP(Main_S[[#This Row],[Industry]], Mean_PE_S, 3, FALSE))</f>
        <v>#VALUE!</v>
      </c>
      <c r="U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9" spans="1:26" x14ac:dyDescent="0.25">
      <c r="A19" t="s">
        <v>141</v>
      </c>
      <c r="B19" t="s">
        <v>195</v>
      </c>
      <c r="C19" s="2">
        <v>477</v>
      </c>
      <c r="D19">
        <f>RTD("tos.rtd", , "LAST", Main_S[[#This Row],[Symbol]])</f>
        <v>32.28</v>
      </c>
      <c r="E19">
        <v>-1.29</v>
      </c>
      <c r="F19">
        <v>16.07</v>
      </c>
      <c r="G19">
        <v>1.42</v>
      </c>
      <c r="H19" s="1">
        <f>IF(ISNUMBER(Main_S[[#This Row],[Free CF]]),IF(Main_S[[#This Row],[Free CF]]&lt;&gt;0,Main_S[[#This Row],[Current Price]]/Main_S[[#This Row],[Free CF]],""),"")</f>
        <v>-25.02325581395349</v>
      </c>
      <c r="I19" s="1">
        <f>IF(ISNUMBER(Main_S[[#This Row],[BVPS]]),IF(Main_S[[#This Row],[BVPS]]&lt;&gt;0,Main_S[[#This Row],[Current Price]]/Main_S[[#This Row],[BVPS]],""),"")</f>
        <v>2.0087118855009334</v>
      </c>
      <c r="J19">
        <v>8.99</v>
      </c>
      <c r="K19">
        <v>2.92</v>
      </c>
      <c r="L19">
        <v>2.74</v>
      </c>
      <c r="M19" s="1">
        <f>IF(ISNUMBER(Main_S[[#This Row],[EPS]]),IF(Main_S[[#This Row],[EPS]]&lt;&gt;0,Main_S[[#This Row],[Current Price]]/Main_S[[#This Row],[EPS]],""),"")</f>
        <v>22.732394366197184</v>
      </c>
      <c r="N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" s="1">
        <f>(Main_S[[#This Row],[P/FCF]]-VLOOKUP(Main_S[[#This Row],[Industry]], Mean_PFCF_S, 2, FALSE))/(VLOOKUP(Main_S[[#This Row],[Industry]], Mean_PFCF_S, 3, FALSE))</f>
        <v>0.55849916733327898</v>
      </c>
      <c r="P19" s="1">
        <f>(Main_S[[#This Row],[P/B]]-VLOOKUP(Main_S[[#This Row],[Industry]], Mean_PB_S, 2, FALSE))/(VLOOKUP(Main_S[[#This Row],[Industry]], Mean_PB_S, 3, FALSE))</f>
        <v>0.66916690271919155</v>
      </c>
      <c r="Q19" s="1">
        <f>(Main_S[[#This Row],[ROE]]-VLOOKUP(Main_S[[#This Row],[Industry]], Mean_ROE_S, 2, FALSE))/(VLOOKUP(Main_S[[#This Row],[Industry]], Mean_ROE_S, 3, FALSE))</f>
        <v>-0.3616230822497527</v>
      </c>
      <c r="R19" s="1">
        <f>(Main_S[[#This Row],[ROA]]-VLOOKUP(Main_S[[#This Row],[Industry]], Mean_ROA_S, 2, FALSE))/(VLOOKUP(Main_S[[#This Row],[Industry]], Mean_ROA_S, 3, FALSE))</f>
        <v>0.6869547280624213</v>
      </c>
      <c r="S19" s="1">
        <f>(Main_S[[#This Row],[A/E]]-VLOOKUP(Main_S[[#This Row],[Industry]], Mean_AE_S, 2, FALSE))/(VLOOKUP(Main_S[[#This Row],[Industry]], Mean_AE_S, 3, FALSE))</f>
        <v>0.26575449017602049</v>
      </c>
      <c r="T19" s="1">
        <f>(Main_S[[#This Row],[P/E]]-VLOOKUP(Main_S[[#This Row],[Industry]], Mean_PE_S, 2, FALSE))/(VLOOKUP(Main_S[[#This Row],[Industry]], Mean_PE_S, 3, FALSE))</f>
        <v>-0.11093363445369044</v>
      </c>
      <c r="U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DAE7-D49B-458A-9273-F0E72B30D474}">
  <sheetPr codeName="Sheet5"/>
  <dimension ref="A1:Y25"/>
  <sheetViews>
    <sheetView topLeftCell="A5" workbookViewId="0">
      <selection activeCell="B24" sqref="B24"/>
    </sheetView>
  </sheetViews>
  <sheetFormatPr defaultRowHeight="15" x14ac:dyDescent="0.25"/>
  <cols>
    <col min="1" max="1" width="49.140625" bestFit="1" customWidth="1"/>
    <col min="2" max="3" width="60.140625" bestFit="1" customWidth="1"/>
    <col min="4" max="4" width="45.140625" bestFit="1" customWidth="1"/>
    <col min="5" max="5" width="45.42578125" bestFit="1" customWidth="1"/>
    <col min="6" max="7" width="58" bestFit="1" customWidth="1"/>
    <col min="8" max="8" width="39" bestFit="1" customWidth="1"/>
    <col min="9" max="9" width="39.28515625" bestFit="1" customWidth="1"/>
    <col min="10" max="11" width="58.7109375" bestFit="1" customWidth="1"/>
    <col min="12" max="12" width="40.7109375" bestFit="1" customWidth="1"/>
    <col min="13" max="13" width="41" bestFit="1" customWidth="1"/>
    <col min="14" max="15" width="58.85546875" bestFit="1" customWidth="1"/>
    <col min="16" max="16" width="41.140625" bestFit="1" customWidth="1"/>
    <col min="17" max="17" width="41.42578125" bestFit="1" customWidth="1"/>
    <col min="18" max="19" width="57.85546875" bestFit="1" customWidth="1"/>
    <col min="20" max="20" width="38.5703125" bestFit="1" customWidth="1"/>
    <col min="21" max="21" width="38.85546875" bestFit="1" customWidth="1"/>
    <col min="22" max="23" width="57.85546875" bestFit="1" customWidth="1"/>
    <col min="24" max="24" width="38.5703125" bestFit="1" customWidth="1"/>
    <col min="25" max="25" width="38.85546875" bestFit="1" customWidth="1"/>
  </cols>
  <sheetData>
    <row r="1" spans="1:25" x14ac:dyDescent="0.25">
      <c r="A1" t="s">
        <v>0</v>
      </c>
    </row>
    <row r="2" spans="1:25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72</v>
      </c>
      <c r="G2" t="s">
        <v>73</v>
      </c>
      <c r="H2" t="s">
        <v>74</v>
      </c>
      <c r="I2" t="s">
        <v>75</v>
      </c>
      <c r="J2" t="s">
        <v>6</v>
      </c>
      <c r="K2" t="s">
        <v>7</v>
      </c>
      <c r="L2" t="s">
        <v>8</v>
      </c>
      <c r="M2" t="s">
        <v>9</v>
      </c>
      <c r="N2" t="s">
        <v>10</v>
      </c>
      <c r="O2" t="s">
        <v>11</v>
      </c>
      <c r="P2" t="s">
        <v>12</v>
      </c>
      <c r="Q2" t="s">
        <v>13</v>
      </c>
      <c r="R2" t="s">
        <v>14</v>
      </c>
      <c r="S2" t="s">
        <v>15</v>
      </c>
      <c r="T2" t="s">
        <v>16</v>
      </c>
      <c r="U2" t="s">
        <v>17</v>
      </c>
      <c r="V2" t="s">
        <v>18</v>
      </c>
      <c r="W2" t="s">
        <v>19</v>
      </c>
      <c r="X2" t="s">
        <v>20</v>
      </c>
      <c r="Y2" t="s">
        <v>21</v>
      </c>
    </row>
    <row r="3" spans="1:25" x14ac:dyDescent="0.25">
      <c r="A3" t="s">
        <v>105</v>
      </c>
      <c r="B3" s="1" cm="1">
        <f t="array" ref="B3">_xlfn.QUARTILE.INC(IF(Quartile_L[[#This Row],[Industry]]=Main_L[Industry],Main_L[P/FCF]),1)</f>
        <v>-29.281896949682185</v>
      </c>
      <c r="C3" s="1" cm="1">
        <f t="array" ref="C3">_xlfn.QUARTILE.INC(IF(Quartile_L[[#This Row],[Industry]]=Main_L[Industry],Main_L[P/FCF]),3)</f>
        <v>-10.913294671129515</v>
      </c>
      <c r="D3" s="1">
        <f>Quartile_L[[#This Row],[P/FCF Q1]]-1.5*(Quartile_L[[#This Row],[P/FCF Q3]]-Quartile_L[[#This Row],[P/FCF Q1]])</f>
        <v>-56.834800367511193</v>
      </c>
      <c r="E3" s="1">
        <f>Quartile_L[[#This Row],[P/FCF Q3]]+1.5*(Quartile_L[[#This Row],[P/FCF Q3]]-Quartile_L[[#This Row],[P/FCF Q1]])</f>
        <v>16.639608746699494</v>
      </c>
      <c r="F3" s="1" cm="1">
        <f t="array" ref="F3">_xlfn.QUARTILE.INC(IF(Quartile_L[[#This Row],[Industry]]=Main_L[Industry],Main_L[P/B]),1)</f>
        <v>1.5034782125529456</v>
      </c>
      <c r="G3" s="1" cm="1">
        <f t="array" ref="G3">_xlfn.QUARTILE.INC(IF(Quartile_L[[#This Row],[Industry]]=Main_L[Industry],Main_L[P/B]),3)</f>
        <v>2.2352855980810267</v>
      </c>
      <c r="H3" s="1">
        <f>Quartile_L[[#This Row],[P/B Q1]]-1.5*(Quartile_L[[#This Row],[P/B Q3]]-Quartile_L[[#This Row],[P/B Q1]])</f>
        <v>0.405767134260824</v>
      </c>
      <c r="I3" s="1">
        <f>Quartile_L[[#This Row],[P/B Q3]]+1.5*(Quartile_L[[#This Row],[P/B Q3]]-Quartile_L[[#This Row],[P/B Q1]])</f>
        <v>3.3329966763731482</v>
      </c>
      <c r="J3" s="1" cm="1">
        <f t="array" ref="J3">_xlfn.QUARTILE.INC(IF(Quartile_L[[#This Row],[Industry]]=Main_L[Industry],Main_L[ROE]),1)</f>
        <v>8.7025000000000006</v>
      </c>
      <c r="K3" s="1" cm="1">
        <f t="array" ref="K3">_xlfn.QUARTILE.INC(IF(Quartile_L[[#This Row],[Industry]]=Main_L[Industry],Main_L[ROE]),3)</f>
        <v>10.5425</v>
      </c>
      <c r="L3" s="1">
        <f>Quartile_L[[#This Row],[ROE Q1]]-1.5*(Quartile_L[[#This Row],[ROE Q3]]-Quartile_L[[#This Row],[ROE Q1]])</f>
        <v>5.9425000000000008</v>
      </c>
      <c r="M3" s="1">
        <f>Quartile_L[[#This Row],[ROE Q3]]+1.5*(Quartile_L[[#This Row],[ROE Q3]]-Quartile_L[[#This Row],[ROE Q1]])</f>
        <v>13.3025</v>
      </c>
      <c r="N3" s="1" cm="1">
        <f t="array" ref="N3">_xlfn.QUARTILE.INC(IF(Quartile_L[[#This Row],[Industry]]=Main_L[Industry],Main_L[ROA]),1)</f>
        <v>2.6175000000000002</v>
      </c>
      <c r="O3" s="1" cm="1">
        <f t="array" ref="O3">_xlfn.QUARTILE.INC(IF(Quartile_L[[#This Row],[Industry]]=Main_L[Industry],Main_L[ROA]),3)</f>
        <v>3.0300000000000002</v>
      </c>
      <c r="P3" s="1">
        <f>Quartile_L[[#This Row],[ROA Q1]]-1.5*(Quartile_L[[#This Row],[ROA Q3]]-Quartile_L[[#This Row],[ROA Q1]])</f>
        <v>1.99875</v>
      </c>
      <c r="Q3" s="1">
        <f>Quartile_L[[#This Row],[ROA Q3]]+1.5*(Quartile_L[[#This Row],[ROA Q3]]-Quartile_L[[#This Row],[ROA Q1]])</f>
        <v>3.6487500000000006</v>
      </c>
      <c r="R3" s="1" cm="1">
        <f t="array" ref="R3">_xlfn.QUARTILE.INC(IF(Quartile_L[[#This Row],[Industry]]=Main_L[Industry],Main_L[P/E]),1)</f>
        <v>16.808797853870978</v>
      </c>
      <c r="S3" s="1" cm="1">
        <f t="array" ref="S3">_xlfn.QUARTILE.INC(IF(Quartile_L[[#This Row],[Industry]]=Main_L[Industry],Main_L[P/E]),3)</f>
        <v>24.692666294264587</v>
      </c>
      <c r="T3" s="1">
        <f>Quartile_L[[#This Row],[P/E Q1]]-1.5*(Quartile_L[[#This Row],[P/E Q3]]-Quartile_L[[#This Row],[P/E Q1]])</f>
        <v>4.9829951932805638</v>
      </c>
      <c r="U3" s="1">
        <f>Quartile_L[[#This Row],[P/E Q3]]+1.5*(Quartile_L[[#This Row],[P/E Q3]]-Quartile_L[[#This Row],[P/E Q1]])</f>
        <v>36.518468954855003</v>
      </c>
      <c r="V3" s="1" cm="1">
        <f t="array" ref="V3">_xlfn.QUARTILE.INC(IF(Quartile_L[[#This Row],[Industry]]=Main_L[Industry],Main_L[A/E]),1)</f>
        <v>3.58</v>
      </c>
      <c r="W3" s="1" cm="1">
        <f t="array" ref="W3">_xlfn.QUARTILE.INC(IF(Quartile_L[[#This Row],[Industry]]=Main_L[Industry],Main_L[A/E]),3)</f>
        <v>4.3825000000000003</v>
      </c>
      <c r="X3" s="1">
        <f>Quartile_L[[#This Row],[A/E Q1]]-1.5*(Quartile_L[[#This Row],[A/E Q3]]-Quartile_L[[#This Row],[A/E Q1]])</f>
        <v>2.3762499999999998</v>
      </c>
      <c r="Y3" s="1">
        <f>Quartile_L[[#This Row],[A/E Q3]]+1.5*(Quartile_L[[#This Row],[A/E Q3]]-Quartile_L[[#This Row],[A/E Q1]])</f>
        <v>5.5862500000000006</v>
      </c>
    </row>
    <row r="4" spans="1:25" x14ac:dyDescent="0.25">
      <c r="A4" t="s">
        <v>126</v>
      </c>
      <c r="B4" s="1" cm="1">
        <f t="array" ref="B4">_xlfn.QUARTILE.INC(IF(Quartile_L[[#This Row],[Industry]]=Main_L[Industry],Main_L[P/FCF]),1)</f>
        <v>-18.380382775119617</v>
      </c>
      <c r="C4" s="1" cm="1">
        <f t="array" ref="C4">_xlfn.QUARTILE.INC(IF(Quartile_L[[#This Row],[Industry]]=Main_L[Industry],Main_L[P/FCF]),3)</f>
        <v>-18.380382775119617</v>
      </c>
      <c r="D4" s="1">
        <f>Quartile_L[[#This Row],[P/FCF Q1]]-1.5*(Quartile_L[[#This Row],[P/FCF Q3]]-Quartile_L[[#This Row],[P/FCF Q1]])</f>
        <v>-18.380382775119617</v>
      </c>
      <c r="E4" s="1">
        <f>Quartile_L[[#This Row],[P/FCF Q3]]+1.5*(Quartile_L[[#This Row],[P/FCF Q3]]-Quartile_L[[#This Row],[P/FCF Q1]])</f>
        <v>-18.380382775119617</v>
      </c>
      <c r="F4" s="1" cm="1">
        <f t="array" ref="F4">_xlfn.QUARTILE.INC(IF(Quartile_L[[#This Row],[Industry]]=Main_L[Industry],Main_L[P/B]),1)</f>
        <v>1.9083457526080478</v>
      </c>
      <c r="G4" s="1" cm="1">
        <f t="array" ref="G4">_xlfn.QUARTILE.INC(IF(Quartile_L[[#This Row],[Industry]]=Main_L[Industry],Main_L[P/B]),3)</f>
        <v>1.9083457526080478</v>
      </c>
      <c r="H4" s="1">
        <f>Quartile_L[[#This Row],[P/B Q1]]-1.5*(Quartile_L[[#This Row],[P/B Q3]]-Quartile_L[[#This Row],[P/B Q1]])</f>
        <v>1.9083457526080478</v>
      </c>
      <c r="I4" s="1">
        <f>Quartile_L[[#This Row],[P/B Q3]]+1.5*(Quartile_L[[#This Row],[P/B Q3]]-Quartile_L[[#This Row],[P/B Q1]])</f>
        <v>1.9083457526080478</v>
      </c>
      <c r="J4" s="1" cm="1">
        <f t="array" ref="J4">_xlfn.QUARTILE.INC(IF(Quartile_L[[#This Row],[Industry]]=Main_L[Industry],Main_L[ROE]),1)</f>
        <v>9.01</v>
      </c>
      <c r="K4" s="1" cm="1">
        <f t="array" ref="K4">_xlfn.QUARTILE.INC(IF(Quartile_L[[#This Row],[Industry]]=Main_L[Industry],Main_L[ROE]),3)</f>
        <v>9.01</v>
      </c>
      <c r="L4" s="1">
        <f>Quartile_L[[#This Row],[ROE Q1]]-1.5*(Quartile_L[[#This Row],[ROE Q3]]-Quartile_L[[#This Row],[ROE Q1]])</f>
        <v>9.01</v>
      </c>
      <c r="M4" s="1">
        <f>Quartile_L[[#This Row],[ROE Q3]]+1.5*(Quartile_L[[#This Row],[ROE Q3]]-Quartile_L[[#This Row],[ROE Q1]])</f>
        <v>9.01</v>
      </c>
      <c r="N4" s="1" cm="1">
        <f t="array" ref="N4">_xlfn.QUARTILE.INC(IF(Quartile_L[[#This Row],[Industry]]=Main_L[Industry],Main_L[ROA]),1)</f>
        <v>3.5</v>
      </c>
      <c r="O4" s="1" cm="1">
        <f t="array" ref="O4">_xlfn.QUARTILE.INC(IF(Quartile_L[[#This Row],[Industry]]=Main_L[Industry],Main_L[ROA]),3)</f>
        <v>3.5</v>
      </c>
      <c r="P4" s="1">
        <f>Quartile_L[[#This Row],[ROA Q1]]-1.5*(Quartile_L[[#This Row],[ROA Q3]]-Quartile_L[[#This Row],[ROA Q1]])</f>
        <v>3.5</v>
      </c>
      <c r="Q4" s="1">
        <f>Quartile_L[[#This Row],[ROA Q3]]+1.5*(Quartile_L[[#This Row],[ROA Q3]]-Quartile_L[[#This Row],[ROA Q1]])</f>
        <v>3.5</v>
      </c>
      <c r="R4" s="1" cm="1">
        <f t="array" ref="R4">_xlfn.QUARTILE.INC(IF(Quartile_L[[#This Row],[Industry]]=Main_L[Industry],Main_L[P/E]),1)</f>
        <v>21.951428571428572</v>
      </c>
      <c r="S4" s="1" cm="1">
        <f t="array" ref="S4">_xlfn.QUARTILE.INC(IF(Quartile_L[[#This Row],[Industry]]=Main_L[Industry],Main_L[P/E]),3)</f>
        <v>21.951428571428572</v>
      </c>
      <c r="T4" s="1">
        <f>Quartile_L[[#This Row],[P/E Q1]]-1.5*(Quartile_L[[#This Row],[P/E Q3]]-Quartile_L[[#This Row],[P/E Q1]])</f>
        <v>21.951428571428572</v>
      </c>
      <c r="U4" s="1">
        <f>Quartile_L[[#This Row],[P/E Q3]]+1.5*(Quartile_L[[#This Row],[P/E Q3]]-Quartile_L[[#This Row],[P/E Q1]])</f>
        <v>21.951428571428572</v>
      </c>
      <c r="V4" s="1" cm="1">
        <f t="array" ref="V4">_xlfn.QUARTILE.INC(IF(Quartile_L[[#This Row],[Industry]]=Main_L[Industry],Main_L[A/E]),1)</f>
        <v>2.0699999999999998</v>
      </c>
      <c r="W4" s="1" cm="1">
        <f t="array" ref="W4">_xlfn.QUARTILE.INC(IF(Quartile_L[[#This Row],[Industry]]=Main_L[Industry],Main_L[A/E]),3)</f>
        <v>2.0699999999999998</v>
      </c>
      <c r="X4" s="1">
        <f>Quartile_L[[#This Row],[A/E Q1]]-1.5*(Quartile_L[[#This Row],[A/E Q3]]-Quartile_L[[#This Row],[A/E Q1]])</f>
        <v>2.0699999999999998</v>
      </c>
      <c r="Y4" s="1">
        <f>Quartile_L[[#This Row],[A/E Q3]]+1.5*(Quartile_L[[#This Row],[A/E Q3]]-Quartile_L[[#This Row],[A/E Q1]])</f>
        <v>2.0699999999999998</v>
      </c>
    </row>
    <row r="5" spans="1:25" x14ac:dyDescent="0.25">
      <c r="A5" t="s">
        <v>128</v>
      </c>
      <c r="B5" s="1" cm="1">
        <f t="array" ref="B5">_xlfn.QUARTILE.INC(IF(Quartile_L[[#This Row],[Industry]]=Main_L[Industry],Main_L[P/FCF]),1)</f>
        <v>-41.686720284546368</v>
      </c>
      <c r="C5" s="1" cm="1">
        <f t="array" ref="C5">_xlfn.QUARTILE.INC(IF(Quartile_L[[#This Row],[Industry]]=Main_L[Industry],Main_L[P/FCF]),3)</f>
        <v>-7.1721530305328072</v>
      </c>
      <c r="D5" s="1">
        <f>Quartile_L[[#This Row],[P/FCF Q1]]-1.5*(Quartile_L[[#This Row],[P/FCF Q3]]-Quartile_L[[#This Row],[P/FCF Q1]])</f>
        <v>-93.45857116556671</v>
      </c>
      <c r="E5" s="1">
        <f>Quartile_L[[#This Row],[P/FCF Q3]]+1.5*(Quartile_L[[#This Row],[P/FCF Q3]]-Quartile_L[[#This Row],[P/FCF Q1]])</f>
        <v>44.599697850487537</v>
      </c>
      <c r="F5" s="1" cm="1">
        <f t="array" ref="F5">_xlfn.QUARTILE.INC(IF(Quartile_L[[#This Row],[Industry]]=Main_L[Industry],Main_L[P/B]),1)</f>
        <v>1.9699769829135936</v>
      </c>
      <c r="G5" s="1" cm="1">
        <f t="array" ref="G5">_xlfn.QUARTILE.INC(IF(Quartile_L[[#This Row],[Industry]]=Main_L[Industry],Main_L[P/B]),3)</f>
        <v>2.5783289032626788</v>
      </c>
      <c r="H5" s="1">
        <f>Quartile_L[[#This Row],[P/B Q1]]-1.5*(Quartile_L[[#This Row],[P/B Q3]]-Quartile_L[[#This Row],[P/B Q1]])</f>
        <v>1.0574491023899657</v>
      </c>
      <c r="I5" s="1">
        <f>Quartile_L[[#This Row],[P/B Q3]]+1.5*(Quartile_L[[#This Row],[P/B Q3]]-Quartile_L[[#This Row],[P/B Q1]])</f>
        <v>3.4908567837863069</v>
      </c>
      <c r="J5" s="1" cm="1">
        <f t="array" ref="J5">_xlfn.QUARTILE.INC(IF(Quartile_L[[#This Row],[Industry]]=Main_L[Industry],Main_L[ROE]),1)</f>
        <v>8.02</v>
      </c>
      <c r="K5" s="1" cm="1">
        <f t="array" ref="K5">_xlfn.QUARTILE.INC(IF(Quartile_L[[#This Row],[Industry]]=Main_L[Industry],Main_L[ROE]),3)</f>
        <v>11.272500000000001</v>
      </c>
      <c r="L5" s="1">
        <f>Quartile_L[[#This Row],[ROE Q1]]-1.5*(Quartile_L[[#This Row],[ROE Q3]]-Quartile_L[[#This Row],[ROE Q1]])</f>
        <v>3.1412499999999977</v>
      </c>
      <c r="M5" s="1">
        <f>Quartile_L[[#This Row],[ROE Q3]]+1.5*(Quartile_L[[#This Row],[ROE Q3]]-Quartile_L[[#This Row],[ROE Q1]])</f>
        <v>16.151250000000005</v>
      </c>
      <c r="N5" s="1" cm="1">
        <f t="array" ref="N5">_xlfn.QUARTILE.INC(IF(Quartile_L[[#This Row],[Industry]]=Main_L[Industry],Main_L[ROA]),1)</f>
        <v>2.8574999999999999</v>
      </c>
      <c r="O5" s="1" cm="1">
        <f t="array" ref="O5">_xlfn.QUARTILE.INC(IF(Quartile_L[[#This Row],[Industry]]=Main_L[Industry],Main_L[ROA]),3)</f>
        <v>3.09</v>
      </c>
      <c r="P5" s="1">
        <f>Quartile_L[[#This Row],[ROA Q1]]-1.5*(Quartile_L[[#This Row],[ROA Q3]]-Quartile_L[[#This Row],[ROA Q1]])</f>
        <v>2.50875</v>
      </c>
      <c r="Q5" s="1">
        <f>Quartile_L[[#This Row],[ROA Q3]]+1.5*(Quartile_L[[#This Row],[ROA Q3]]-Quartile_L[[#This Row],[ROA Q1]])</f>
        <v>3.4387499999999998</v>
      </c>
      <c r="R5" s="1" cm="1">
        <f t="array" ref="R5">_xlfn.QUARTILE.INC(IF(Quartile_L[[#This Row],[Industry]]=Main_L[Industry],Main_L[P/E]),1)</f>
        <v>20.003204218432717</v>
      </c>
      <c r="S5" s="1" cm="1">
        <f t="array" ref="S5">_xlfn.QUARTILE.INC(IF(Quartile_L[[#This Row],[Industry]]=Main_L[Industry],Main_L[P/E]),3)</f>
        <v>23.701826826826824</v>
      </c>
      <c r="T5" s="1">
        <f>Quartile_L[[#This Row],[P/E Q1]]-1.5*(Quartile_L[[#This Row],[P/E Q3]]-Quartile_L[[#This Row],[P/E Q1]])</f>
        <v>14.455270305841557</v>
      </c>
      <c r="U5" s="1">
        <f>Quartile_L[[#This Row],[P/E Q3]]+1.5*(Quartile_L[[#This Row],[P/E Q3]]-Quartile_L[[#This Row],[P/E Q1]])</f>
        <v>29.249760739417987</v>
      </c>
      <c r="V5" s="1" cm="1">
        <f t="array" ref="V5">_xlfn.QUARTILE.INC(IF(Quartile_L[[#This Row],[Industry]]=Main_L[Industry],Main_L[A/E]),1)</f>
        <v>3.335</v>
      </c>
      <c r="W5" s="1" cm="1">
        <f t="array" ref="W5">_xlfn.QUARTILE.INC(IF(Quartile_L[[#This Row],[Industry]]=Main_L[Industry],Main_L[A/E]),3)</f>
        <v>4.085</v>
      </c>
      <c r="X5" s="1">
        <f>Quartile_L[[#This Row],[A/E Q1]]-1.5*(Quartile_L[[#This Row],[A/E Q3]]-Quartile_L[[#This Row],[A/E Q1]])</f>
        <v>2.21</v>
      </c>
      <c r="Y5" s="1">
        <f>Quartile_L[[#This Row],[A/E Q3]]+1.5*(Quartile_L[[#This Row],[A/E Q3]]-Quartile_L[[#This Row],[A/E Q1]])</f>
        <v>5.21</v>
      </c>
    </row>
    <row r="6" spans="1:25" x14ac:dyDescent="0.25">
      <c r="A6" t="s">
        <v>141</v>
      </c>
      <c r="B6" s="1" cm="1">
        <f t="array" ref="B6">_xlfn.QUARTILE.INC(IF(Quartile_L[[#This Row],[Industry]]=Main_L[Industry],Main_L[P/FCF]),1)</f>
        <v>-84.015571776155724</v>
      </c>
      <c r="C6" s="1" cm="1">
        <f t="array" ref="C6">_xlfn.QUARTILE.INC(IF(Quartile_L[[#This Row],[Industry]]=Main_L[Industry],Main_L[P/FCF]),3)</f>
        <v>-25.453807070273363</v>
      </c>
      <c r="D6" s="1">
        <f>Quartile_L[[#This Row],[P/FCF Q1]]-1.5*(Quartile_L[[#This Row],[P/FCF Q3]]-Quartile_L[[#This Row],[P/FCF Q1]])</f>
        <v>-171.85821883497925</v>
      </c>
      <c r="E6" s="1">
        <f>Quartile_L[[#This Row],[P/FCF Q3]]+1.5*(Quartile_L[[#This Row],[P/FCF Q3]]-Quartile_L[[#This Row],[P/FCF Q1]])</f>
        <v>62.388839988550181</v>
      </c>
      <c r="F6" s="1" cm="1">
        <f t="array" ref="F6">_xlfn.QUARTILE.INC(IF(Quartile_L[[#This Row],[Industry]]=Main_L[Industry],Main_L[P/B]),1)</f>
        <v>1.9918153675122126</v>
      </c>
      <c r="G6" s="1" cm="1">
        <f t="array" ref="G6">_xlfn.QUARTILE.INC(IF(Quartile_L[[#This Row],[Industry]]=Main_L[Industry],Main_L[P/B]),3)</f>
        <v>2.401271840160903</v>
      </c>
      <c r="H6" s="1">
        <f>Quartile_L[[#This Row],[P/B Q1]]-1.5*(Quartile_L[[#This Row],[P/B Q3]]-Quartile_L[[#This Row],[P/B Q1]])</f>
        <v>1.3776306585391769</v>
      </c>
      <c r="I6" s="1">
        <f>Quartile_L[[#This Row],[P/B Q3]]+1.5*(Quartile_L[[#This Row],[P/B Q3]]-Quartile_L[[#This Row],[P/B Q1]])</f>
        <v>3.0154565491339387</v>
      </c>
      <c r="J6" s="1" cm="1">
        <f t="array" ref="J6">_xlfn.QUARTILE.INC(IF(Quartile_L[[#This Row],[Industry]]=Main_L[Industry],Main_L[ROE]),1)</f>
        <v>10.135</v>
      </c>
      <c r="K6" s="1" cm="1">
        <f t="array" ref="K6">_xlfn.QUARTILE.INC(IF(Quartile_L[[#This Row],[Industry]]=Main_L[Industry],Main_L[ROE]),3)</f>
        <v>19.560000000000002</v>
      </c>
      <c r="L6" s="1">
        <f>Quartile_L[[#This Row],[ROE Q1]]-1.5*(Quartile_L[[#This Row],[ROE Q3]]-Quartile_L[[#This Row],[ROE Q1]])</f>
        <v>-4.0025000000000031</v>
      </c>
      <c r="M6" s="1">
        <f>Quartile_L[[#This Row],[ROE Q3]]+1.5*(Quartile_L[[#This Row],[ROE Q3]]-Quartile_L[[#This Row],[ROE Q1]])</f>
        <v>33.697500000000005</v>
      </c>
      <c r="N6" s="1" cm="1">
        <f t="array" ref="N6">_xlfn.QUARTILE.INC(IF(Quartile_L[[#This Row],[Industry]]=Main_L[Industry],Main_L[ROA]),1)</f>
        <v>3.1</v>
      </c>
      <c r="O6" s="1" cm="1">
        <f t="array" ref="O6">_xlfn.QUARTILE.INC(IF(Quartile_L[[#This Row],[Industry]]=Main_L[Industry],Main_L[ROA]),3)</f>
        <v>8.5</v>
      </c>
      <c r="P6" s="1">
        <f>Quartile_L[[#This Row],[ROA Q1]]-1.5*(Quartile_L[[#This Row],[ROA Q3]]-Quartile_L[[#This Row],[ROA Q1]])</f>
        <v>-5.0000000000000018</v>
      </c>
      <c r="Q6" s="1">
        <f>Quartile_L[[#This Row],[ROA Q3]]+1.5*(Quartile_L[[#This Row],[ROA Q3]]-Quartile_L[[#This Row],[ROA Q1]])</f>
        <v>16.600000000000001</v>
      </c>
      <c r="R6" s="1" cm="1">
        <f t="array" ref="R6">_xlfn.QUARTILE.INC(IF(Quartile_L[[#This Row],[Industry]]=Main_L[Industry],Main_L[P/E]),1)</f>
        <v>13.097890740778336</v>
      </c>
      <c r="S6" s="1" cm="1">
        <f t="array" ref="S6">_xlfn.QUARTILE.INC(IF(Quartile_L[[#This Row],[Industry]]=Main_L[Industry],Main_L[P/E]),3)</f>
        <v>20.811555152644523</v>
      </c>
      <c r="T6" s="1">
        <f>Quartile_L[[#This Row],[P/E Q1]]-1.5*(Quartile_L[[#This Row],[P/E Q3]]-Quartile_L[[#This Row],[P/E Q1]])</f>
        <v>1.5273941229790555</v>
      </c>
      <c r="U6" s="1">
        <f>Quartile_L[[#This Row],[P/E Q3]]+1.5*(Quartile_L[[#This Row],[P/E Q3]]-Quartile_L[[#This Row],[P/E Q1]])</f>
        <v>32.382051770443802</v>
      </c>
      <c r="V6" s="1" cm="1">
        <f t="array" ref="V6">_xlfn.QUARTILE.INC(IF(Quartile_L[[#This Row],[Industry]]=Main_L[Industry],Main_L[A/E]),1)</f>
        <v>2.5499999999999998</v>
      </c>
      <c r="W6" s="1" cm="1">
        <f t="array" ref="W6">_xlfn.QUARTILE.INC(IF(Quartile_L[[#This Row],[Industry]]=Main_L[Industry],Main_L[A/E]),3)</f>
        <v>3.0300000000000002</v>
      </c>
      <c r="X6" s="1">
        <f>Quartile_L[[#This Row],[A/E Q1]]-1.5*(Quartile_L[[#This Row],[A/E Q3]]-Quartile_L[[#This Row],[A/E Q1]])</f>
        <v>1.8299999999999992</v>
      </c>
      <c r="Y6" s="1">
        <f>Quartile_L[[#This Row],[A/E Q3]]+1.5*(Quartile_L[[#This Row],[A/E Q3]]-Quartile_L[[#This Row],[A/E Q1]])</f>
        <v>3.7500000000000009</v>
      </c>
    </row>
    <row r="7" spans="1:25" x14ac:dyDescent="0.25">
      <c r="A7" t="s">
        <v>145</v>
      </c>
      <c r="B7" s="1" cm="1">
        <f t="array" ref="B7">_xlfn.QUARTILE.INC(IF(Quartile_L[[#This Row],[Industry]]=Main_L[Industry],Main_L[P/FCF]),1)</f>
        <v>70.567717996289417</v>
      </c>
      <c r="C7" s="1" cm="1">
        <f t="array" ref="C7">_xlfn.QUARTILE.INC(IF(Quartile_L[[#This Row],[Industry]]=Main_L[Industry],Main_L[P/FCF]),3)</f>
        <v>154.18923933209646</v>
      </c>
      <c r="D7" s="1">
        <f>Quartile_L[[#This Row],[P/FCF Q1]]-1.5*(Quartile_L[[#This Row],[P/FCF Q3]]-Quartile_L[[#This Row],[P/FCF Q1]])</f>
        <v>-54.864564007421151</v>
      </c>
      <c r="E7" s="1">
        <f>Quartile_L[[#This Row],[P/FCF Q3]]+1.5*(Quartile_L[[#This Row],[P/FCF Q3]]-Quartile_L[[#This Row],[P/FCF Q1]])</f>
        <v>279.62152133580702</v>
      </c>
      <c r="F7" s="1" cm="1">
        <f t="array" ref="F7">_xlfn.QUARTILE.INC(IF(Quartile_L[[#This Row],[Industry]]=Main_L[Industry],Main_L[P/B]),1)</f>
        <v>10.244621186165118</v>
      </c>
      <c r="G7" s="1" cm="1">
        <f t="array" ref="G7">_xlfn.QUARTILE.INC(IF(Quartile_L[[#This Row],[Industry]]=Main_L[Industry],Main_L[P/B]),3)</f>
        <v>14.75772041734227</v>
      </c>
      <c r="H7" s="1">
        <f>Quartile_L[[#This Row],[P/B Q1]]-1.5*(Quartile_L[[#This Row],[P/B Q3]]-Quartile_L[[#This Row],[P/B Q1]])</f>
        <v>3.4749723393993888</v>
      </c>
      <c r="I7" s="1">
        <f>Quartile_L[[#This Row],[P/B Q3]]+1.5*(Quartile_L[[#This Row],[P/B Q3]]-Quartile_L[[#This Row],[P/B Q1]])</f>
        <v>21.527369264108</v>
      </c>
      <c r="J7" s="1" cm="1">
        <f t="array" ref="J7">_xlfn.QUARTILE.INC(IF(Quartile_L[[#This Row],[Industry]]=Main_L[Industry],Main_L[ROE]),1)</f>
        <v>51.594999999999999</v>
      </c>
      <c r="K7" s="1" cm="1">
        <f t="array" ref="K7">_xlfn.QUARTILE.INC(IF(Quartile_L[[#This Row],[Industry]]=Main_L[Industry],Main_L[ROE]),3)</f>
        <v>51.645000000000003</v>
      </c>
      <c r="L7" s="1">
        <f>Quartile_L[[#This Row],[ROE Q1]]-1.5*(Quartile_L[[#This Row],[ROE Q3]]-Quartile_L[[#This Row],[ROE Q1]])</f>
        <v>51.519999999999996</v>
      </c>
      <c r="M7" s="1">
        <f>Quartile_L[[#This Row],[ROE Q3]]+1.5*(Quartile_L[[#This Row],[ROE Q3]]-Quartile_L[[#This Row],[ROE Q1]])</f>
        <v>51.720000000000013</v>
      </c>
      <c r="N7" s="1" cm="1">
        <f t="array" ref="N7">_xlfn.QUARTILE.INC(IF(Quartile_L[[#This Row],[Industry]]=Main_L[Industry],Main_L[ROA]),1)</f>
        <v>3.415</v>
      </c>
      <c r="O7" s="1" cm="1">
        <f t="array" ref="O7">_xlfn.QUARTILE.INC(IF(Quartile_L[[#This Row],[Industry]]=Main_L[Industry],Main_L[ROA]),3)</f>
        <v>5.9450000000000003</v>
      </c>
      <c r="P7" s="1">
        <f>Quartile_L[[#This Row],[ROA Q1]]-1.5*(Quartile_L[[#This Row],[ROA Q3]]-Quartile_L[[#This Row],[ROA Q1]])</f>
        <v>-0.38000000000000034</v>
      </c>
      <c r="Q7" s="1">
        <f>Quartile_L[[#This Row],[ROA Q3]]+1.5*(Quartile_L[[#This Row],[ROA Q3]]-Quartile_L[[#This Row],[ROA Q1]])</f>
        <v>9.74</v>
      </c>
      <c r="R7" s="1" cm="1">
        <f t="array" ref="R7">_xlfn.QUARTILE.INC(IF(Quartile_L[[#This Row],[Industry]]=Main_L[Industry],Main_L[P/E]),1)</f>
        <v>15.768311908804268</v>
      </c>
      <c r="S7" s="1" cm="1">
        <f t="array" ref="S7">_xlfn.QUARTILE.INC(IF(Quartile_L[[#This Row],[Industry]]=Main_L[Industry],Main_L[P/E]),3)</f>
        <v>20.018008731506185</v>
      </c>
      <c r="T7" s="1">
        <f>Quartile_L[[#This Row],[P/E Q1]]-1.5*(Quartile_L[[#This Row],[P/E Q3]]-Quartile_L[[#This Row],[P/E Q1]])</f>
        <v>9.3937666747513919</v>
      </c>
      <c r="U7" s="1">
        <f>Quartile_L[[#This Row],[P/E Q3]]+1.5*(Quartile_L[[#This Row],[P/E Q3]]-Quartile_L[[#This Row],[P/E Q1]])</f>
        <v>26.39255396555906</v>
      </c>
      <c r="V7" s="1" cm="1">
        <f t="array" ref="V7">_xlfn.QUARTILE.INC(IF(Quartile_L[[#This Row],[Industry]]=Main_L[Industry],Main_L[A/E]),1)</f>
        <v>6.3525000000000009</v>
      </c>
      <c r="W7" s="1" cm="1">
        <f t="array" ref="W7">_xlfn.QUARTILE.INC(IF(Quartile_L[[#This Row],[Industry]]=Main_L[Industry],Main_L[A/E]),3)</f>
        <v>10.2575</v>
      </c>
      <c r="X7" s="1">
        <f>Quartile_L[[#This Row],[A/E Q1]]-1.5*(Quartile_L[[#This Row],[A/E Q3]]-Quartile_L[[#This Row],[A/E Q1]])</f>
        <v>0.49500000000000188</v>
      </c>
      <c r="Y7" s="1">
        <f>Quartile_L[[#This Row],[A/E Q3]]+1.5*(Quartile_L[[#This Row],[A/E Q3]]-Quartile_L[[#This Row],[A/E Q1]])</f>
        <v>16.114999999999998</v>
      </c>
    </row>
    <row r="10" spans="1:25" x14ac:dyDescent="0.25">
      <c r="A10" t="s">
        <v>22</v>
      </c>
    </row>
    <row r="11" spans="1:25" x14ac:dyDescent="0.25">
      <c r="A11" t="s">
        <v>1</v>
      </c>
      <c r="B11" t="s">
        <v>2</v>
      </c>
      <c r="C11" t="s">
        <v>3</v>
      </c>
      <c r="D11" t="s">
        <v>4</v>
      </c>
      <c r="E11" t="s">
        <v>5</v>
      </c>
      <c r="F11" t="s">
        <v>72</v>
      </c>
      <c r="G11" t="s">
        <v>73</v>
      </c>
      <c r="H11" t="s">
        <v>74</v>
      </c>
      <c r="I11" t="s">
        <v>75</v>
      </c>
      <c r="J11" t="s">
        <v>6</v>
      </c>
      <c r="K11" t="s">
        <v>7</v>
      </c>
      <c r="L11" t="s">
        <v>8</v>
      </c>
      <c r="M11" t="s">
        <v>9</v>
      </c>
      <c r="N11" t="s">
        <v>10</v>
      </c>
      <c r="O11" t="s">
        <v>11</v>
      </c>
      <c r="P11" t="s">
        <v>12</v>
      </c>
      <c r="Q11" t="s">
        <v>13</v>
      </c>
      <c r="R11" t="s">
        <v>14</v>
      </c>
      <c r="S11" t="s">
        <v>15</v>
      </c>
      <c r="T11" t="s">
        <v>16</v>
      </c>
      <c r="U11" t="s">
        <v>17</v>
      </c>
      <c r="V11" t="s">
        <v>18</v>
      </c>
      <c r="W11" t="s">
        <v>19</v>
      </c>
      <c r="X11" t="s">
        <v>20</v>
      </c>
      <c r="Y11" t="s">
        <v>21</v>
      </c>
    </row>
    <row r="12" spans="1:25" x14ac:dyDescent="0.25">
      <c r="A12" t="s">
        <v>105</v>
      </c>
      <c r="B12" s="1" cm="1">
        <f t="array" ref="B12">_xlfn.QUARTILE.INC(IF(Quartile_M[[#This Row],[Industry]]=Main_M[Industry],Main_M[P/FCF]),1)</f>
        <v>-50.749999999999993</v>
      </c>
      <c r="C12" s="1" cm="1">
        <f t="array" ref="C12">_xlfn.QUARTILE.INC(IF(Quartile_M[[#This Row],[Industry]]=Main_M[Industry],Main_M[P/FCF]),3)</f>
        <v>42.252688172043008</v>
      </c>
      <c r="D12" s="1">
        <f>Quartile_M[[#This Row],[P/FCF Q1]]-1.5*(Quartile_M[[#This Row],[P/FCF Q3]]-Quartile_M[[#This Row],[P/FCF Q1]])</f>
        <v>-190.25403225806451</v>
      </c>
      <c r="E12" s="1">
        <f>Quartile_M[[#This Row],[P/FCF Q3]]+1.5*(Quartile_M[[#This Row],[P/FCF Q3]]-Quartile_M[[#This Row],[P/FCF Q1]])</f>
        <v>181.75672043010752</v>
      </c>
      <c r="F12" s="1" cm="1">
        <f t="array" ref="F12">_xlfn.QUARTILE.INC(IF(Quartile_M[[#This Row],[Industry]]=Main_M[Industry],Main_M[P/B]),1)</f>
        <v>1.7919289749798224</v>
      </c>
      <c r="G12" s="1" cm="1">
        <f t="array" ref="G12">_xlfn.QUARTILE.INC(IF(Quartile_M[[#This Row],[Industry]]=Main_M[Industry],Main_M[P/B]),3)</f>
        <v>6.2589928057553958</v>
      </c>
      <c r="H12" s="1">
        <f>Quartile_M[[#This Row],[P/B Q1]]-1.5*(Quartile_M[[#This Row],[P/B Q3]]-Quartile_M[[#This Row],[P/B Q1]])</f>
        <v>-4.9086667711835377</v>
      </c>
      <c r="I12" s="1">
        <f>Quartile_M[[#This Row],[P/B Q3]]+1.5*(Quartile_M[[#This Row],[P/B Q3]]-Quartile_M[[#This Row],[P/B Q1]])</f>
        <v>12.959588551918756</v>
      </c>
      <c r="J12" s="1" cm="1">
        <f t="array" ref="J12">_xlfn.QUARTILE.INC(IF(Quartile_M[[#This Row],[Industry]]=Main_M[Industry],Main_M[ROE]),1)</f>
        <v>8.33</v>
      </c>
      <c r="K12" s="1" cm="1">
        <f t="array" ref="K12">_xlfn.QUARTILE.INC(IF(Quartile_M[[#This Row],[Industry]]=Main_M[Industry],Main_M[ROE]),3)</f>
        <v>10.72</v>
      </c>
      <c r="L12" s="1">
        <f>Quartile_M[[#This Row],[ROE Q1]]-1.5*(Quartile_M[[#This Row],[ROE Q3]]-Quartile_M[[#This Row],[ROE Q1]])</f>
        <v>4.7449999999999992</v>
      </c>
      <c r="M12" s="1">
        <f>Quartile_M[[#This Row],[ROE Q3]]+1.5*(Quartile_M[[#This Row],[ROE Q3]]-Quartile_M[[#This Row],[ROE Q1]])</f>
        <v>14.305000000000001</v>
      </c>
      <c r="N12" s="1" cm="1">
        <f t="array" ref="N12">_xlfn.QUARTILE.INC(IF(Quartile_M[[#This Row],[Industry]]=Main_M[Industry],Main_M[ROA]),1)</f>
        <v>2.27</v>
      </c>
      <c r="O12" s="1" cm="1">
        <f t="array" ref="O12">_xlfn.QUARTILE.INC(IF(Quartile_M[[#This Row],[Industry]]=Main_M[Industry],Main_M[ROA]),3)</f>
        <v>4.18</v>
      </c>
      <c r="P12" s="1">
        <f>Quartile_M[[#This Row],[ROA Q1]]-1.5*(Quartile_M[[#This Row],[ROA Q3]]-Quartile_M[[#This Row],[ROA Q1]])</f>
        <v>-0.59499999999999931</v>
      </c>
      <c r="Q12" s="1">
        <f>Quartile_M[[#This Row],[ROA Q3]]+1.5*(Quartile_M[[#This Row],[ROA Q3]]-Quartile_M[[#This Row],[ROA Q1]])</f>
        <v>7.044999999999999</v>
      </c>
      <c r="R12" s="1" cm="1">
        <f t="array" ref="R12">_xlfn.QUARTILE.INC(IF(Quartile_M[[#This Row],[Industry]]=Main_M[Industry],Main_M[P/E]),1)</f>
        <v>13.681656306656308</v>
      </c>
      <c r="S12" s="1" cm="1">
        <f t="array" ref="S12">_xlfn.QUARTILE.INC(IF(Quartile_M[[#This Row],[Industry]]=Main_M[Industry],Main_M[P/E]),3)</f>
        <v>35.919438669438669</v>
      </c>
      <c r="T12" s="1">
        <f>Quartile_M[[#This Row],[P/E Q1]]-1.5*(Quartile_M[[#This Row],[P/E Q3]]-Quartile_M[[#This Row],[P/E Q1]])</f>
        <v>-19.675017237517238</v>
      </c>
      <c r="U12" s="1">
        <f>Quartile_M[[#This Row],[P/E Q3]]+1.5*(Quartile_M[[#This Row],[P/E Q3]]-Quartile_M[[#This Row],[P/E Q1]])</f>
        <v>69.276112213612208</v>
      </c>
      <c r="V12" s="1" cm="1">
        <f t="array" ref="V12">_xlfn.QUARTILE.INC(IF(Quartile_M[[#This Row],[Industry]]=Main_M[Industry],Main_M[A/E]),1)</f>
        <v>2.1800000000000002</v>
      </c>
      <c r="W12" s="1" cm="1">
        <f t="array" ref="W12">_xlfn.QUARTILE.INC(IF(Quartile_M[[#This Row],[Industry]]=Main_M[Industry],Main_M[A/E]),3)</f>
        <v>2.87</v>
      </c>
      <c r="X12" s="1">
        <f>Quartile_M[[#This Row],[A/E Q1]]-1.5*(Quartile_M[[#This Row],[A/E Q3]]-Quartile_M[[#This Row],[A/E Q1]])</f>
        <v>1.1450000000000002</v>
      </c>
      <c r="Y12" s="1">
        <f>Quartile_M[[#This Row],[A/E Q3]]+1.5*(Quartile_M[[#This Row],[A/E Q3]]-Quartile_M[[#This Row],[A/E Q1]])</f>
        <v>3.9050000000000002</v>
      </c>
    </row>
    <row r="13" spans="1:25" x14ac:dyDescent="0.25">
      <c r="A13" t="s">
        <v>126</v>
      </c>
      <c r="B13" s="1" cm="1">
        <f t="array" ref="B13">_xlfn.QUARTILE.INC(IF(Quartile_M[[#This Row],[Industry]]=Main_M[Industry],Main_M[P/FCF]),1)</f>
        <v>-25.536585365853661</v>
      </c>
      <c r="C13" s="1" cm="1">
        <f t="array" ref="C13">_xlfn.QUARTILE.INC(IF(Quartile_M[[#This Row],[Industry]]=Main_M[Industry],Main_M[P/FCF]),3)</f>
        <v>14.260869565217392</v>
      </c>
      <c r="D13" s="1">
        <f>Quartile_M[[#This Row],[P/FCF Q1]]-1.5*(Quartile_M[[#This Row],[P/FCF Q3]]-Quartile_M[[#This Row],[P/FCF Q1]])</f>
        <v>-85.232767762460242</v>
      </c>
      <c r="E13" s="1">
        <f>Quartile_M[[#This Row],[P/FCF Q3]]+1.5*(Quartile_M[[#This Row],[P/FCF Q3]]-Quartile_M[[#This Row],[P/FCF Q1]])</f>
        <v>73.957051961823964</v>
      </c>
      <c r="F13" s="1" cm="1">
        <f t="array" ref="F13">_xlfn.QUARTILE.INC(IF(Quartile_M[[#This Row],[Industry]]=Main_M[Industry],Main_M[P/B]),1)</f>
        <v>1.2970189701897019</v>
      </c>
      <c r="G13" s="1" cm="1">
        <f t="array" ref="G13">_xlfn.QUARTILE.INC(IF(Quartile_M[[#This Row],[Industry]]=Main_M[Industry],Main_M[P/B]),3)</f>
        <v>1.9606325152363697</v>
      </c>
      <c r="H13" s="1">
        <f>Quartile_M[[#This Row],[P/B Q1]]-1.5*(Quartile_M[[#This Row],[P/B Q3]]-Quartile_M[[#This Row],[P/B Q1]])</f>
        <v>0.3015986526197002</v>
      </c>
      <c r="I13" s="1">
        <f>Quartile_M[[#This Row],[P/B Q3]]+1.5*(Quartile_M[[#This Row],[P/B Q3]]-Quartile_M[[#This Row],[P/B Q1]])</f>
        <v>2.9560528328063715</v>
      </c>
      <c r="J13" s="1" cm="1">
        <f t="array" ref="J13">_xlfn.QUARTILE.INC(IF(Quartile_M[[#This Row],[Industry]]=Main_M[Industry],Main_M[ROE]),1)</f>
        <v>6.47</v>
      </c>
      <c r="K13" s="1" cm="1">
        <f t="array" ref="K13">_xlfn.QUARTILE.INC(IF(Quartile_M[[#This Row],[Industry]]=Main_M[Industry],Main_M[ROE]),3)</f>
        <v>12.2</v>
      </c>
      <c r="L13" s="1">
        <f>Quartile_M[[#This Row],[ROE Q1]]-1.5*(Quartile_M[[#This Row],[ROE Q3]]-Quartile_M[[#This Row],[ROE Q1]])</f>
        <v>-2.1249999999999991</v>
      </c>
      <c r="M13" s="1">
        <f>Quartile_M[[#This Row],[ROE Q3]]+1.5*(Quartile_M[[#This Row],[ROE Q3]]-Quartile_M[[#This Row],[ROE Q1]])</f>
        <v>20.794999999999998</v>
      </c>
      <c r="N13" s="1" cm="1">
        <f t="array" ref="N13">_xlfn.QUARTILE.INC(IF(Quartile_M[[#This Row],[Industry]]=Main_M[Industry],Main_M[ROA]),1)</f>
        <v>2.94</v>
      </c>
      <c r="O13" s="1" cm="1">
        <f t="array" ref="O13">_xlfn.QUARTILE.INC(IF(Quartile_M[[#This Row],[Industry]]=Main_M[Industry],Main_M[ROA]),3)</f>
        <v>5.24</v>
      </c>
      <c r="P13" s="1">
        <f>Quartile_M[[#This Row],[ROA Q1]]-1.5*(Quartile_M[[#This Row],[ROA Q3]]-Quartile_M[[#This Row],[ROA Q1]])</f>
        <v>-0.51000000000000023</v>
      </c>
      <c r="Q13" s="1">
        <f>Quartile_M[[#This Row],[ROA Q3]]+1.5*(Quartile_M[[#This Row],[ROA Q3]]-Quartile_M[[#This Row],[ROA Q1]])</f>
        <v>8.6900000000000013</v>
      </c>
      <c r="R13" s="1" cm="1">
        <f t="array" ref="R13">_xlfn.QUARTILE.INC(IF(Quartile_M[[#This Row],[Industry]]=Main_M[Industry],Main_M[P/E]),1)</f>
        <v>13.867867867867867</v>
      </c>
      <c r="S13" s="1" cm="1">
        <f t="array" ref="S13">_xlfn.QUARTILE.INC(IF(Quartile_M[[#This Row],[Industry]]=Main_M[Industry],Main_M[P/E]),3)</f>
        <v>22.629277566539926</v>
      </c>
      <c r="T13" s="1">
        <f>Quartile_M[[#This Row],[P/E Q1]]-1.5*(Quartile_M[[#This Row],[P/E Q3]]-Quartile_M[[#This Row],[P/E Q1]])</f>
        <v>0.72575331985977876</v>
      </c>
      <c r="U13" s="1">
        <f>Quartile_M[[#This Row],[P/E Q3]]+1.5*(Quartile_M[[#This Row],[P/E Q3]]-Quartile_M[[#This Row],[P/E Q1]])</f>
        <v>35.771392114548014</v>
      </c>
      <c r="V13" s="1" cm="1">
        <f t="array" ref="V13">_xlfn.QUARTILE.INC(IF(Quartile_M[[#This Row],[Industry]]=Main_M[Industry],Main_M[A/E]),1)</f>
        <v>2.61</v>
      </c>
      <c r="W13" s="1" cm="1">
        <f t="array" ref="W13">_xlfn.QUARTILE.INC(IF(Quartile_M[[#This Row],[Industry]]=Main_M[Industry],Main_M[A/E]),3)</f>
        <v>3.37</v>
      </c>
      <c r="X13" s="1">
        <f>Quartile_M[[#This Row],[A/E Q1]]-1.5*(Quartile_M[[#This Row],[A/E Q3]]-Quartile_M[[#This Row],[A/E Q1]])</f>
        <v>1.4699999999999995</v>
      </c>
      <c r="Y13" s="1">
        <f>Quartile_M[[#This Row],[A/E Q3]]+1.5*(Quartile_M[[#This Row],[A/E Q3]]-Quartile_M[[#This Row],[A/E Q1]])</f>
        <v>4.5100000000000007</v>
      </c>
    </row>
    <row r="14" spans="1:25" x14ac:dyDescent="0.25">
      <c r="A14" t="s">
        <v>128</v>
      </c>
      <c r="B14" s="1" cm="1">
        <f t="array" ref="B14">_xlfn.QUARTILE.INC(IF(Quartile_M[[#This Row],[Industry]]=Main_M[Industry],Main_M[P/FCF]),1)</f>
        <v>-58.840563165905635</v>
      </c>
      <c r="C14" s="1" cm="1">
        <f t="array" ref="C14">_xlfn.QUARTILE.INC(IF(Quartile_M[[#This Row],[Industry]]=Main_M[Industry],Main_M[P/FCF]),3)</f>
        <v>940.59999999999991</v>
      </c>
      <c r="D14" s="1">
        <f>Quartile_M[[#This Row],[P/FCF Q1]]-1.5*(Quartile_M[[#This Row],[P/FCF Q3]]-Quartile_M[[#This Row],[P/FCF Q1]])</f>
        <v>-1558.0014079147641</v>
      </c>
      <c r="E14" s="1">
        <f>Quartile_M[[#This Row],[P/FCF Q3]]+1.5*(Quartile_M[[#This Row],[P/FCF Q3]]-Quartile_M[[#This Row],[P/FCF Q1]])</f>
        <v>2439.7608447488583</v>
      </c>
      <c r="F14" s="1" cm="1">
        <f t="array" ref="F14">_xlfn.QUARTILE.INC(IF(Quartile_M[[#This Row],[Industry]]=Main_M[Industry],Main_M[P/B]),1)</f>
        <v>1.1069108472421263</v>
      </c>
      <c r="G14" s="1" cm="1">
        <f t="array" ref="G14">_xlfn.QUARTILE.INC(IF(Quartile_M[[#This Row],[Industry]]=Main_M[Industry],Main_M[P/B]),3)</f>
        <v>1.1741799079509503</v>
      </c>
      <c r="H14" s="1">
        <f>Quartile_M[[#This Row],[P/B Q1]]-1.5*(Quartile_M[[#This Row],[P/B Q3]]-Quartile_M[[#This Row],[P/B Q1]])</f>
        <v>1.0060072561788904</v>
      </c>
      <c r="I14" s="1">
        <f>Quartile_M[[#This Row],[P/B Q3]]+1.5*(Quartile_M[[#This Row],[P/B Q3]]-Quartile_M[[#This Row],[P/B Q1]])</f>
        <v>1.2750834990141864</v>
      </c>
      <c r="J14" s="1" cm="1">
        <f t="array" ref="J14">_xlfn.QUARTILE.INC(IF(Quartile_M[[#This Row],[Industry]]=Main_M[Industry],Main_M[ROE]),1)</f>
        <v>5.2799999999999994</v>
      </c>
      <c r="K14" s="1" cm="1">
        <f t="array" ref="K14">_xlfn.QUARTILE.INC(IF(Quartile_M[[#This Row],[Industry]]=Main_M[Industry],Main_M[ROE]),3)</f>
        <v>8.24</v>
      </c>
      <c r="L14" s="1">
        <f>Quartile_M[[#This Row],[ROE Q1]]-1.5*(Quartile_M[[#This Row],[ROE Q3]]-Quartile_M[[#This Row],[ROE Q1]])</f>
        <v>0.83999999999999808</v>
      </c>
      <c r="M14" s="1">
        <f>Quartile_M[[#This Row],[ROE Q3]]+1.5*(Quartile_M[[#This Row],[ROE Q3]]-Quartile_M[[#This Row],[ROE Q1]])</f>
        <v>12.680000000000001</v>
      </c>
      <c r="N14" s="1" cm="1">
        <f t="array" ref="N14">_xlfn.QUARTILE.INC(IF(Quartile_M[[#This Row],[Industry]]=Main_M[Industry],Main_M[ROA]),1)</f>
        <v>2.23</v>
      </c>
      <c r="O14" s="1" cm="1">
        <f t="array" ref="O14">_xlfn.QUARTILE.INC(IF(Quartile_M[[#This Row],[Industry]]=Main_M[Industry],Main_M[ROA]),3)</f>
        <v>2.8725000000000001</v>
      </c>
      <c r="P14" s="1">
        <f>Quartile_M[[#This Row],[ROA Q1]]-1.5*(Quartile_M[[#This Row],[ROA Q3]]-Quartile_M[[#This Row],[ROA Q1]])</f>
        <v>1.2662499999999999</v>
      </c>
      <c r="Q14" s="1">
        <f>Quartile_M[[#This Row],[ROA Q3]]+1.5*(Quartile_M[[#This Row],[ROA Q3]]-Quartile_M[[#This Row],[ROA Q1]])</f>
        <v>3.8362500000000002</v>
      </c>
      <c r="R14" s="1" cm="1">
        <f t="array" ref="R14">_xlfn.QUARTILE.INC(IF(Quartile_M[[#This Row],[Industry]]=Main_M[Industry],Main_M[P/E]),1)</f>
        <v>14.63983076246803</v>
      </c>
      <c r="S14" s="1" cm="1">
        <f t="array" ref="S14">_xlfn.QUARTILE.INC(IF(Quartile_M[[#This Row],[Industry]]=Main_M[Industry],Main_M[P/E]),3)</f>
        <v>21.772489082969432</v>
      </c>
      <c r="T14" s="1">
        <f>Quartile_M[[#This Row],[P/E Q1]]-1.5*(Quartile_M[[#This Row],[P/E Q3]]-Quartile_M[[#This Row],[P/E Q1]])</f>
        <v>3.9408432817159262</v>
      </c>
      <c r="U14" s="1">
        <f>Quartile_M[[#This Row],[P/E Q3]]+1.5*(Quartile_M[[#This Row],[P/E Q3]]-Quartile_M[[#This Row],[P/E Q1]])</f>
        <v>32.471476563721538</v>
      </c>
      <c r="V14" s="1" cm="1">
        <f t="array" ref="V14">_xlfn.QUARTILE.INC(IF(Quartile_M[[#This Row],[Industry]]=Main_M[Industry],Main_M[A/E]),1)</f>
        <v>2.8449999999999998</v>
      </c>
      <c r="W14" s="1" cm="1">
        <f t="array" ref="W14">_xlfn.QUARTILE.INC(IF(Quartile_M[[#This Row],[Industry]]=Main_M[Industry],Main_M[A/E]),3)</f>
        <v>3.2324999999999999</v>
      </c>
      <c r="X14" s="1">
        <f>Quartile_M[[#This Row],[A/E Q1]]-1.5*(Quartile_M[[#This Row],[A/E Q3]]-Quartile_M[[#This Row],[A/E Q1]])</f>
        <v>2.2637499999999995</v>
      </c>
      <c r="Y14" s="1">
        <f>Quartile_M[[#This Row],[A/E Q3]]+1.5*(Quartile_M[[#This Row],[A/E Q3]]-Quartile_M[[#This Row],[A/E Q1]])</f>
        <v>3.8137500000000002</v>
      </c>
    </row>
    <row r="15" spans="1:25" x14ac:dyDescent="0.25">
      <c r="A15" t="s">
        <v>141</v>
      </c>
      <c r="B15" s="1" cm="1">
        <f t="array" ref="B15">_xlfn.QUARTILE.INC(IF(Quartile_M[[#This Row],[Industry]]=Main_M[Industry],Main_M[P/FCF]),1)</f>
        <v>-67.887146360209357</v>
      </c>
      <c r="C15" s="1" cm="1">
        <f t="array" ref="C15">_xlfn.QUARTILE.INC(IF(Quartile_M[[#This Row],[Industry]]=Main_M[Industry],Main_M[P/FCF]),3)</f>
        <v>-32.537843575010072</v>
      </c>
      <c r="D15" s="1">
        <f>Quartile_M[[#This Row],[P/FCF Q1]]-1.5*(Quartile_M[[#This Row],[P/FCF Q3]]-Quartile_M[[#This Row],[P/FCF Q1]])</f>
        <v>-120.91110053800828</v>
      </c>
      <c r="E15" s="1">
        <f>Quartile_M[[#This Row],[P/FCF Q3]]+1.5*(Quartile_M[[#This Row],[P/FCF Q3]]-Quartile_M[[#This Row],[P/FCF Q1]])</f>
        <v>20.486110602788855</v>
      </c>
      <c r="F15" s="1" cm="1">
        <f t="array" ref="F15">_xlfn.QUARTILE.INC(IF(Quartile_M[[#This Row],[Industry]]=Main_M[Industry],Main_M[P/B]),1)</f>
        <v>2.0405624603975854</v>
      </c>
      <c r="G15" s="1" cm="1">
        <f t="array" ref="G15">_xlfn.QUARTILE.INC(IF(Quartile_M[[#This Row],[Industry]]=Main_M[Industry],Main_M[P/B]),3)</f>
        <v>2.7849414945382778</v>
      </c>
      <c r="H15" s="1">
        <f>Quartile_M[[#This Row],[P/B Q1]]-1.5*(Quartile_M[[#This Row],[P/B Q3]]-Quartile_M[[#This Row],[P/B Q1]])</f>
        <v>0.92399390918654678</v>
      </c>
      <c r="I15" s="1">
        <f>Quartile_M[[#This Row],[P/B Q3]]+1.5*(Quartile_M[[#This Row],[P/B Q3]]-Quartile_M[[#This Row],[P/B Q1]])</f>
        <v>3.9015100457493164</v>
      </c>
      <c r="J15" s="1" cm="1">
        <f t="array" ref="J15">_xlfn.QUARTILE.INC(IF(Quartile_M[[#This Row],[Industry]]=Main_M[Industry],Main_M[ROE]),1)</f>
        <v>9.9725000000000001</v>
      </c>
      <c r="K15" s="1" cm="1">
        <f t="array" ref="K15">_xlfn.QUARTILE.INC(IF(Quartile_M[[#This Row],[Industry]]=Main_M[Industry],Main_M[ROE]),3)</f>
        <v>12.6975</v>
      </c>
      <c r="L15" s="1">
        <f>Quartile_M[[#This Row],[ROE Q1]]-1.5*(Quartile_M[[#This Row],[ROE Q3]]-Quartile_M[[#This Row],[ROE Q1]])</f>
        <v>5.8850000000000007</v>
      </c>
      <c r="M15" s="1">
        <f>Quartile_M[[#This Row],[ROE Q3]]+1.5*(Quartile_M[[#This Row],[ROE Q3]]-Quartile_M[[#This Row],[ROE Q1]])</f>
        <v>16.785</v>
      </c>
      <c r="N15" s="1" cm="1">
        <f t="array" ref="N15">_xlfn.QUARTILE.INC(IF(Quartile_M[[#This Row],[Industry]]=Main_M[Industry],Main_M[ROA]),1)</f>
        <v>3.1775000000000002</v>
      </c>
      <c r="O15" s="1" cm="1">
        <f t="array" ref="O15">_xlfn.QUARTILE.INC(IF(Quartile_M[[#This Row],[Industry]]=Main_M[Industry],Main_M[ROA]),3)</f>
        <v>4.3525</v>
      </c>
      <c r="P15" s="1">
        <f>Quartile_M[[#This Row],[ROA Q1]]-1.5*(Quartile_M[[#This Row],[ROA Q3]]-Quartile_M[[#This Row],[ROA Q1]])</f>
        <v>1.4150000000000005</v>
      </c>
      <c r="Q15" s="1">
        <f>Quartile_M[[#This Row],[ROA Q3]]+1.5*(Quartile_M[[#This Row],[ROA Q3]]-Quartile_M[[#This Row],[ROA Q1]])</f>
        <v>6.1150000000000002</v>
      </c>
      <c r="R15" s="1" cm="1">
        <f t="array" ref="R15">_xlfn.QUARTILE.INC(IF(Quartile_M[[#This Row],[Industry]]=Main_M[Industry],Main_M[P/E]),1)</f>
        <v>21.148219619776114</v>
      </c>
      <c r="S15" s="1" cm="1">
        <f t="array" ref="S15">_xlfn.QUARTILE.INC(IF(Quartile_M[[#This Row],[Industry]]=Main_M[Industry],Main_M[P/E]),3)</f>
        <v>23.064127885876999</v>
      </c>
      <c r="T15" s="1">
        <f>Quartile_M[[#This Row],[P/E Q1]]-1.5*(Quartile_M[[#This Row],[P/E Q3]]-Quartile_M[[#This Row],[P/E Q1]])</f>
        <v>18.274357220624786</v>
      </c>
      <c r="U15" s="1">
        <f>Quartile_M[[#This Row],[P/E Q3]]+1.5*(Quartile_M[[#This Row],[P/E Q3]]-Quartile_M[[#This Row],[P/E Q1]])</f>
        <v>25.937990285028327</v>
      </c>
      <c r="V15" s="1" cm="1">
        <f t="array" ref="V15">_xlfn.QUARTILE.INC(IF(Quartile_M[[#This Row],[Industry]]=Main_M[Industry],Main_M[A/E]),1)</f>
        <v>2.8475000000000001</v>
      </c>
      <c r="W15" s="1" cm="1">
        <f t="array" ref="W15">_xlfn.QUARTILE.INC(IF(Quartile_M[[#This Row],[Industry]]=Main_M[Industry],Main_M[A/E]),3)</f>
        <v>3.1025</v>
      </c>
      <c r="X15" s="1">
        <f>Quartile_M[[#This Row],[A/E Q1]]-1.5*(Quartile_M[[#This Row],[A/E Q3]]-Quartile_M[[#This Row],[A/E Q1]])</f>
        <v>2.4650000000000003</v>
      </c>
      <c r="Y15" s="1">
        <f>Quartile_M[[#This Row],[A/E Q3]]+1.5*(Quartile_M[[#This Row],[A/E Q3]]-Quartile_M[[#This Row],[A/E Q1]])</f>
        <v>3.4849999999999999</v>
      </c>
    </row>
    <row r="16" spans="1:25" x14ac:dyDescent="0.25">
      <c r="A16" t="s">
        <v>145</v>
      </c>
      <c r="B16" s="1" cm="1">
        <f t="array" ref="B16">_xlfn.QUARTILE.INC(IF(Quartile_M[[#This Row],[Industry]]=Main_M[Industry],Main_M[P/FCF]),1)</f>
        <v>-12.140646976090014</v>
      </c>
      <c r="C16" s="1" cm="1">
        <f t="array" ref="C16">_xlfn.QUARTILE.INC(IF(Quartile_M[[#This Row],[Industry]]=Main_M[Industry],Main_M[P/FCF]),3)</f>
        <v>1.9079842463301113</v>
      </c>
      <c r="D16" s="1">
        <f>Quartile_M[[#This Row],[P/FCF Q1]]-1.5*(Quartile_M[[#This Row],[P/FCF Q3]]-Quartile_M[[#This Row],[P/FCF Q1]])</f>
        <v>-33.213593809720201</v>
      </c>
      <c r="E16" s="1">
        <f>Quartile_M[[#This Row],[P/FCF Q3]]+1.5*(Quartile_M[[#This Row],[P/FCF Q3]]-Quartile_M[[#This Row],[P/FCF Q1]])</f>
        <v>22.9809310799603</v>
      </c>
      <c r="F16" s="1" cm="1">
        <f t="array" ref="F16">_xlfn.QUARTILE.INC(IF(Quartile_M[[#This Row],[Industry]]=Main_M[Industry],Main_M[P/B]),1)</f>
        <v>1.8750733403509983</v>
      </c>
      <c r="G16" s="1" cm="1">
        <f t="array" ref="G16">_xlfn.QUARTILE.INC(IF(Quartile_M[[#This Row],[Industry]]=Main_M[Industry],Main_M[P/B]),3)</f>
        <v>3.7220116649919177</v>
      </c>
      <c r="H16" s="1">
        <f>Quartile_M[[#This Row],[P/B Q1]]-1.5*(Quartile_M[[#This Row],[P/B Q3]]-Quartile_M[[#This Row],[P/B Q1]])</f>
        <v>-0.89533414661038102</v>
      </c>
      <c r="I16" s="1">
        <f>Quartile_M[[#This Row],[P/B Q3]]+1.5*(Quartile_M[[#This Row],[P/B Q3]]-Quartile_M[[#This Row],[P/B Q1]])</f>
        <v>6.492419151953297</v>
      </c>
      <c r="J16" s="1" cm="1">
        <f t="array" ref="J16">_xlfn.QUARTILE.INC(IF(Quartile_M[[#This Row],[Industry]]=Main_M[Industry],Main_M[ROE]),1)</f>
        <v>-0.29499999999999998</v>
      </c>
      <c r="K16" s="1" cm="1">
        <f t="array" ref="K16">_xlfn.QUARTILE.INC(IF(Quartile_M[[#This Row],[Industry]]=Main_M[Industry],Main_M[ROE]),3)</f>
        <v>5.41</v>
      </c>
      <c r="L16" s="1">
        <f>Quartile_M[[#This Row],[ROE Q1]]-1.5*(Quartile_M[[#This Row],[ROE Q3]]-Quartile_M[[#This Row],[ROE Q1]])</f>
        <v>-8.8525000000000009</v>
      </c>
      <c r="M16" s="1">
        <f>Quartile_M[[#This Row],[ROE Q3]]+1.5*(Quartile_M[[#This Row],[ROE Q3]]-Quartile_M[[#This Row],[ROE Q1]])</f>
        <v>13.967500000000001</v>
      </c>
      <c r="N16" s="1" cm="1">
        <f t="array" ref="N16">_xlfn.QUARTILE.INC(IF(Quartile_M[[#This Row],[Industry]]=Main_M[Industry],Main_M[ROA]),1)</f>
        <v>1.46</v>
      </c>
      <c r="O16" s="1" cm="1">
        <f t="array" ref="O16">_xlfn.QUARTILE.INC(IF(Quartile_M[[#This Row],[Industry]]=Main_M[Industry],Main_M[ROA]),3)</f>
        <v>2.83</v>
      </c>
      <c r="P16" s="1">
        <f>Quartile_M[[#This Row],[ROA Q1]]-1.5*(Quartile_M[[#This Row],[ROA Q3]]-Quartile_M[[#This Row],[ROA Q1]])</f>
        <v>-0.5950000000000002</v>
      </c>
      <c r="Q16" s="1">
        <f>Quartile_M[[#This Row],[ROA Q3]]+1.5*(Quartile_M[[#This Row],[ROA Q3]]-Quartile_M[[#This Row],[ROA Q1]])</f>
        <v>4.8849999999999998</v>
      </c>
      <c r="R16" s="1" cm="1">
        <f t="array" ref="R16">_xlfn.QUARTILE.INC(IF(Quartile_M[[#This Row],[Industry]]=Main_M[Industry],Main_M[P/E]),1)</f>
        <v>-13.476997856705449</v>
      </c>
      <c r="S16" s="1" cm="1">
        <f t="array" ref="S16">_xlfn.QUARTILE.INC(IF(Quartile_M[[#This Row],[Industry]]=Main_M[Industry],Main_M[P/E]),3)</f>
        <v>36.390357408786301</v>
      </c>
      <c r="T16" s="1">
        <f>Quartile_M[[#This Row],[P/E Q1]]-1.5*(Quartile_M[[#This Row],[P/E Q3]]-Quartile_M[[#This Row],[P/E Q1]])</f>
        <v>-88.278030754943074</v>
      </c>
      <c r="U16" s="1">
        <f>Quartile_M[[#This Row],[P/E Q3]]+1.5*(Quartile_M[[#This Row],[P/E Q3]]-Quartile_M[[#This Row],[P/E Q1]])</f>
        <v>111.19139030702392</v>
      </c>
      <c r="V16" s="1" cm="1">
        <f t="array" ref="V16">_xlfn.QUARTILE.INC(IF(Quartile_M[[#This Row],[Industry]]=Main_M[Industry],Main_M[A/E]),1)</f>
        <v>8.2200000000000006</v>
      </c>
      <c r="W16" s="1" cm="1">
        <f t="array" ref="W16">_xlfn.QUARTILE.INC(IF(Quartile_M[[#This Row],[Industry]]=Main_M[Industry],Main_M[A/E]),3)</f>
        <v>12.92</v>
      </c>
      <c r="X16" s="1">
        <f>Quartile_M[[#This Row],[A/E Q1]]-1.5*(Quartile_M[[#This Row],[A/E Q3]]-Quartile_M[[#This Row],[A/E Q1]])</f>
        <v>1.1700000000000017</v>
      </c>
      <c r="Y16" s="1">
        <f>Quartile_M[[#This Row],[A/E Q3]]+1.5*(Quartile_M[[#This Row],[A/E Q3]]-Quartile_M[[#This Row],[A/E Q1]])</f>
        <v>19.97</v>
      </c>
    </row>
    <row r="19" spans="1:25" x14ac:dyDescent="0.25">
      <c r="A19" t="s">
        <v>23</v>
      </c>
    </row>
    <row r="20" spans="1:25" x14ac:dyDescent="0.25">
      <c r="A20" t="s">
        <v>1</v>
      </c>
      <c r="B20" t="s">
        <v>2</v>
      </c>
      <c r="C20" t="s">
        <v>3</v>
      </c>
      <c r="D20" t="s">
        <v>4</v>
      </c>
      <c r="E20" t="s">
        <v>5</v>
      </c>
      <c r="F20" t="s">
        <v>72</v>
      </c>
      <c r="G20" t="s">
        <v>73</v>
      </c>
      <c r="H20" t="s">
        <v>74</v>
      </c>
      <c r="I20" t="s">
        <v>75</v>
      </c>
      <c r="J20" t="s">
        <v>6</v>
      </c>
      <c r="K20" t="s">
        <v>7</v>
      </c>
      <c r="L20" t="s">
        <v>8</v>
      </c>
      <c r="M20" t="s">
        <v>9</v>
      </c>
      <c r="N20" t="s">
        <v>10</v>
      </c>
      <c r="O20" t="s">
        <v>11</v>
      </c>
      <c r="P20" t="s">
        <v>12</v>
      </c>
      <c r="Q20" t="s">
        <v>13</v>
      </c>
      <c r="R20" t="s">
        <v>14</v>
      </c>
      <c r="S20" t="s">
        <v>15</v>
      </c>
      <c r="T20" t="s">
        <v>16</v>
      </c>
      <c r="U20" t="s">
        <v>17</v>
      </c>
      <c r="V20" t="s">
        <v>18</v>
      </c>
      <c r="W20" t="s">
        <v>19</v>
      </c>
      <c r="X20" t="s">
        <v>20</v>
      </c>
      <c r="Y20" t="s">
        <v>21</v>
      </c>
    </row>
    <row r="21" spans="1:25" x14ac:dyDescent="0.25">
      <c r="A21" t="s">
        <v>105</v>
      </c>
      <c r="B21" s="1" cm="1">
        <f t="array" ref="B21">_xlfn.QUARTILE.INC(IF(Quartile_S[[#This Row],[Industry]]=Main_S[Industry],Main_S[P/FCF]),1)</f>
        <v>-134.08974358974359</v>
      </c>
      <c r="C21" s="1" cm="1">
        <f t="array" ref="C21">_xlfn.QUARTILE.INC(IF(Quartile_S[[#This Row],[Industry]]=Main_S[Industry],Main_S[P/FCF]),3)</f>
        <v>8.4773088268663486</v>
      </c>
      <c r="D21" s="1">
        <f>Quartile_S[[#This Row],[P/FCF Q1]]-1.5*(Quartile_S[[#This Row],[P/FCF Q3]]-Quartile_S[[#This Row],[P/FCF Q1]])</f>
        <v>-347.94032221465852</v>
      </c>
      <c r="E21" s="1">
        <f>Quartile_S[[#This Row],[P/FCF Q3]]+1.5*(Quartile_S[[#This Row],[P/FCF Q3]]-Quartile_S[[#This Row],[P/FCF Q1]])</f>
        <v>222.32788745178129</v>
      </c>
      <c r="F21" s="1" cm="1">
        <f t="array" ref="F21">_xlfn.QUARTILE.INC(IF(Quartile_S[[#This Row],[Industry]]=Main_S[Industry],Main_S[P/B]),1)</f>
        <v>1.8471736596736597</v>
      </c>
      <c r="G21" s="1" cm="1">
        <f t="array" ref="G21">_xlfn.QUARTILE.INC(IF(Quartile_S[[#This Row],[Industry]]=Main_S[Industry],Main_S[P/B]),3)</f>
        <v>11.931784158954818</v>
      </c>
      <c r="H21" s="1">
        <f>Quartile_S[[#This Row],[P/B Q1]]-1.5*(Quartile_S[[#This Row],[P/B Q3]]-Quartile_S[[#This Row],[P/B Q1]])</f>
        <v>-13.279742089248078</v>
      </c>
      <c r="I21" s="1">
        <f>Quartile_S[[#This Row],[P/B Q3]]+1.5*(Quartile_S[[#This Row],[P/B Q3]]-Quartile_S[[#This Row],[P/B Q1]])</f>
        <v>27.058699907876555</v>
      </c>
      <c r="J21" s="1" cm="1">
        <f t="array" ref="J21">_xlfn.QUARTILE.INC(IF(Quartile_S[[#This Row],[Industry]]=Main_S[Industry],Main_S[ROE]),1)</f>
        <v>-29.800000000000004</v>
      </c>
      <c r="K21" s="1" cm="1">
        <f t="array" ref="K21">_xlfn.QUARTILE.INC(IF(Quartile_S[[#This Row],[Industry]]=Main_S[Industry],Main_S[ROE]),3)</f>
        <v>14.11</v>
      </c>
      <c r="L21" s="1">
        <f>Quartile_S[[#This Row],[ROE Q1]]-1.5*(Quartile_S[[#This Row],[ROE Q3]]-Quartile_S[[#This Row],[ROE Q1]])</f>
        <v>-95.66500000000002</v>
      </c>
      <c r="M21" s="1">
        <f>Quartile_S[[#This Row],[ROE Q3]]+1.5*(Quartile_S[[#This Row],[ROE Q3]]-Quartile_S[[#This Row],[ROE Q1]])</f>
        <v>79.975000000000009</v>
      </c>
      <c r="N21" s="1" cm="1">
        <f t="array" ref="N21">_xlfn.QUARTILE.INC(IF(Quartile_S[[#This Row],[Industry]]=Main_S[Industry],Main_S[ROA]),1)</f>
        <v>0.88500000000000001</v>
      </c>
      <c r="O21" s="1" cm="1">
        <f t="array" ref="O21">_xlfn.QUARTILE.INC(IF(Quartile_S[[#This Row],[Industry]]=Main_S[Industry],Main_S[ROA]),3)</f>
        <v>4.51</v>
      </c>
      <c r="P21" s="1">
        <f>Quartile_S[[#This Row],[ROA Q1]]-1.5*(Quartile_S[[#This Row],[ROA Q3]]-Quartile_S[[#This Row],[ROA Q1]])</f>
        <v>-4.5525000000000002</v>
      </c>
      <c r="Q21" s="1">
        <f>Quartile_S[[#This Row],[ROA Q3]]+1.5*(Quartile_S[[#This Row],[ROA Q3]]-Quartile_S[[#This Row],[ROA Q1]])</f>
        <v>9.9474999999999998</v>
      </c>
      <c r="R21" s="1" cm="1">
        <f t="array" ref="R21">_xlfn.QUARTILE.INC(IF(Quartile_S[[#This Row],[Industry]]=Main_S[Industry],Main_S[P/E]),1)</f>
        <v>14.422896252146682</v>
      </c>
      <c r="S21" s="1" cm="1">
        <f t="array" ref="S21">_xlfn.QUARTILE.INC(IF(Quartile_S[[#This Row],[Industry]]=Main_S[Industry],Main_S[P/E]),3)</f>
        <v>74.630701754385967</v>
      </c>
      <c r="T21" s="1">
        <f>Quartile_S[[#This Row],[P/E Q1]]-1.5*(Quartile_S[[#This Row],[P/E Q3]]-Quartile_S[[#This Row],[P/E Q1]])</f>
        <v>-75.88881200121223</v>
      </c>
      <c r="U21" s="1">
        <f>Quartile_S[[#This Row],[P/E Q3]]+1.5*(Quartile_S[[#This Row],[P/E Q3]]-Quartile_S[[#This Row],[P/E Q1]])</f>
        <v>164.94241000774488</v>
      </c>
      <c r="V21" s="1" cm="1">
        <f t="array" ref="V21">_xlfn.QUARTILE.INC(IF(Quartile_S[[#This Row],[Industry]]=Main_S[Industry],Main_S[A/E]),1)</f>
        <v>2.2949999999999999</v>
      </c>
      <c r="W21" s="1" cm="1">
        <f t="array" ref="W21">_xlfn.QUARTILE.INC(IF(Quartile_S[[#This Row],[Industry]]=Main_S[Industry],Main_S[A/E]),3)</f>
        <v>4.34</v>
      </c>
      <c r="X21" s="1">
        <f>Quartile_S[[#This Row],[A/E Q1]]-1.5*(Quartile_S[[#This Row],[A/E Q3]]-Quartile_S[[#This Row],[A/E Q1]])</f>
        <v>-0.77249999999999996</v>
      </c>
      <c r="Y21" s="1">
        <f>Quartile_S[[#This Row],[A/E Q3]]+1.5*(Quartile_S[[#This Row],[A/E Q3]]-Quartile_S[[#This Row],[A/E Q1]])</f>
        <v>7.4074999999999998</v>
      </c>
    </row>
    <row r="22" spans="1:25" x14ac:dyDescent="0.25">
      <c r="A22" t="s">
        <v>126</v>
      </c>
      <c r="B22" s="1" cm="1">
        <f t="array" ref="B22">_xlfn.QUARTILE.INC(IF(Quartile_S[[#This Row],[Industry]]=Main_S[Industry],Main_S[P/FCF]),1)</f>
        <v>-1.8103529411764709</v>
      </c>
      <c r="C22" s="1" cm="1">
        <f t="array" ref="C22">_xlfn.QUARTILE.INC(IF(Quartile_S[[#This Row],[Industry]]=Main_S[Industry],Main_S[P/FCF]),3)</f>
        <v>7.9327055383556928</v>
      </c>
      <c r="D22" s="1">
        <f>Quartile_S[[#This Row],[P/FCF Q1]]-1.5*(Quartile_S[[#This Row],[P/FCF Q3]]-Quartile_S[[#This Row],[P/FCF Q1]])</f>
        <v>-16.424940660474714</v>
      </c>
      <c r="E22" s="1">
        <f>Quartile_S[[#This Row],[P/FCF Q3]]+1.5*(Quartile_S[[#This Row],[P/FCF Q3]]-Quartile_S[[#This Row],[P/FCF Q1]])</f>
        <v>22.547293257653937</v>
      </c>
      <c r="F22" s="1" cm="1">
        <f t="array" ref="F22">_xlfn.QUARTILE.INC(IF(Quartile_S[[#This Row],[Industry]]=Main_S[Industry],Main_S[P/B]),1)</f>
        <v>1.2993703451020524</v>
      </c>
      <c r="G22" s="1" cm="1">
        <f t="array" ref="G22">_xlfn.QUARTILE.INC(IF(Quartile_S[[#This Row],[Industry]]=Main_S[Industry],Main_S[P/B]),3)</f>
        <v>1.8624350008965393</v>
      </c>
      <c r="H22" s="1">
        <f>Quartile_S[[#This Row],[P/B Q1]]-1.5*(Quartile_S[[#This Row],[P/B Q3]]-Quartile_S[[#This Row],[P/B Q1]])</f>
        <v>0.45477336141032199</v>
      </c>
      <c r="I22" s="1">
        <f>Quartile_S[[#This Row],[P/B Q3]]+1.5*(Quartile_S[[#This Row],[P/B Q3]]-Quartile_S[[#This Row],[P/B Q1]])</f>
        <v>2.7070319845882698</v>
      </c>
      <c r="J22" s="1" cm="1">
        <f t="array" ref="J22">_xlfn.QUARTILE.INC(IF(Quartile_S[[#This Row],[Industry]]=Main_S[Industry],Main_S[ROE]),1)</f>
        <v>9.27</v>
      </c>
      <c r="K22" s="1" cm="1">
        <f t="array" ref="K22">_xlfn.QUARTILE.INC(IF(Quartile_S[[#This Row],[Industry]]=Main_S[Industry],Main_S[ROE]),3)</f>
        <v>16.13</v>
      </c>
      <c r="L22" s="1">
        <f>Quartile_S[[#This Row],[ROE Q1]]-1.5*(Quartile_S[[#This Row],[ROE Q3]]-Quartile_S[[#This Row],[ROE Q1]])</f>
        <v>-1.0199999999999996</v>
      </c>
      <c r="M22" s="1">
        <f>Quartile_S[[#This Row],[ROE Q3]]+1.5*(Quartile_S[[#This Row],[ROE Q3]]-Quartile_S[[#This Row],[ROE Q1]])</f>
        <v>26.419999999999998</v>
      </c>
      <c r="N22" s="1" cm="1">
        <f t="array" ref="N22">_xlfn.QUARTILE.INC(IF(Quartile_S[[#This Row],[Industry]]=Main_S[Industry],Main_S[ROA]),1)</f>
        <v>3.5750000000000002</v>
      </c>
      <c r="O22" s="1" cm="1">
        <f t="array" ref="O22">_xlfn.QUARTILE.INC(IF(Quartile_S[[#This Row],[Industry]]=Main_S[Industry],Main_S[ROA]),3)</f>
        <v>5.1449999999999996</v>
      </c>
      <c r="P22" s="1">
        <f>Quartile_S[[#This Row],[ROA Q1]]-1.5*(Quartile_S[[#This Row],[ROA Q3]]-Quartile_S[[#This Row],[ROA Q1]])</f>
        <v>1.2200000000000011</v>
      </c>
      <c r="Q22" s="1">
        <f>Quartile_S[[#This Row],[ROA Q3]]+1.5*(Quartile_S[[#This Row],[ROA Q3]]-Quartile_S[[#This Row],[ROA Q1]])</f>
        <v>7.4999999999999982</v>
      </c>
      <c r="R22" s="1" cm="1">
        <f t="array" ref="R22">_xlfn.QUARTILE.INC(IF(Quartile_S[[#This Row],[Industry]]=Main_S[Industry],Main_S[P/E]),1)</f>
        <v>13.664539400665927</v>
      </c>
      <c r="S22" s="1" cm="1">
        <f t="array" ref="S22">_xlfn.QUARTILE.INC(IF(Quartile_S[[#This Row],[Industry]]=Main_S[Industry],Main_S[P/E]),3)</f>
        <v>19.162003903708523</v>
      </c>
      <c r="T22" s="1">
        <f>Quartile_S[[#This Row],[P/E Q1]]-1.5*(Quartile_S[[#This Row],[P/E Q3]]-Quartile_S[[#This Row],[P/E Q1]])</f>
        <v>5.4183426461020314</v>
      </c>
      <c r="U22" s="1">
        <f>Quartile_S[[#This Row],[P/E Q3]]+1.5*(Quartile_S[[#This Row],[P/E Q3]]-Quartile_S[[#This Row],[P/E Q1]])</f>
        <v>27.40820065827242</v>
      </c>
      <c r="V22" s="1" cm="1">
        <f t="array" ref="V22">_xlfn.QUARTILE.INC(IF(Quartile_S[[#This Row],[Industry]]=Main_S[Industry],Main_S[A/E]),1)</f>
        <v>3.55</v>
      </c>
      <c r="W22" s="1" cm="1">
        <f t="array" ref="W22">_xlfn.QUARTILE.INC(IF(Quartile_S[[#This Row],[Industry]]=Main_S[Industry],Main_S[A/E]),3)</f>
        <v>4.0750000000000002</v>
      </c>
      <c r="X22" s="1">
        <f>Quartile_S[[#This Row],[A/E Q1]]-1.5*(Quartile_S[[#This Row],[A/E Q3]]-Quartile_S[[#This Row],[A/E Q1]])</f>
        <v>2.7624999999999993</v>
      </c>
      <c r="Y22" s="1">
        <f>Quartile_S[[#This Row],[A/E Q3]]+1.5*(Quartile_S[[#This Row],[A/E Q3]]-Quartile_S[[#This Row],[A/E Q1]])</f>
        <v>4.8625000000000007</v>
      </c>
    </row>
    <row r="23" spans="1:25" x14ac:dyDescent="0.25">
      <c r="A23" t="s">
        <v>128</v>
      </c>
      <c r="B23" s="1" cm="1">
        <f t="array" ref="B23">_xlfn.QUARTILE.INC(IF(Quartile_S[[#This Row],[Industry]]=Main_S[Industry],Main_S[P/FCF]),1)</f>
        <v>-19.798534798534799</v>
      </c>
      <c r="C23" s="1" cm="1">
        <f t="array" ref="C23">_xlfn.QUARTILE.INC(IF(Quartile_S[[#This Row],[Industry]]=Main_S[Industry],Main_S[P/FCF]),3)</f>
        <v>-19.798534798534799</v>
      </c>
      <c r="D23" s="1">
        <f>Quartile_S[[#This Row],[P/FCF Q1]]-1.5*(Quartile_S[[#This Row],[P/FCF Q3]]-Quartile_S[[#This Row],[P/FCF Q1]])</f>
        <v>-19.798534798534799</v>
      </c>
      <c r="E23" s="1">
        <f>Quartile_S[[#This Row],[P/FCF Q3]]+1.5*(Quartile_S[[#This Row],[P/FCF Q3]]-Quartile_S[[#This Row],[P/FCF Q1]])</f>
        <v>-19.798534798534799</v>
      </c>
      <c r="F23" s="1" cm="1">
        <f t="array" ref="F23">_xlfn.QUARTILE.INC(IF(Quartile_S[[#This Row],[Industry]]=Main_S[Industry],Main_S[P/B]),1)</f>
        <v>1.7082806573957015</v>
      </c>
      <c r="G23" s="1" cm="1">
        <f t="array" ref="G23">_xlfn.QUARTILE.INC(IF(Quartile_S[[#This Row],[Industry]]=Main_S[Industry],Main_S[P/B]),3)</f>
        <v>1.7082806573957015</v>
      </c>
      <c r="H23" s="1">
        <f>Quartile_S[[#This Row],[P/B Q1]]-1.5*(Quartile_S[[#This Row],[P/B Q3]]-Quartile_S[[#This Row],[P/B Q1]])</f>
        <v>1.7082806573957015</v>
      </c>
      <c r="I23" s="1">
        <f>Quartile_S[[#This Row],[P/B Q3]]+1.5*(Quartile_S[[#This Row],[P/B Q3]]-Quartile_S[[#This Row],[P/B Q1]])</f>
        <v>1.7082806573957015</v>
      </c>
      <c r="J23" s="1" cm="1">
        <f t="array" ref="J23">_xlfn.QUARTILE.INC(IF(Quartile_S[[#This Row],[Industry]]=Main_S[Industry],Main_S[ROE]),1)</f>
        <v>9.4</v>
      </c>
      <c r="K23" s="1" cm="1">
        <f t="array" ref="K23">_xlfn.QUARTILE.INC(IF(Quartile_S[[#This Row],[Industry]]=Main_S[Industry],Main_S[ROE]),3)</f>
        <v>9.4</v>
      </c>
      <c r="L23" s="1">
        <f>Quartile_S[[#This Row],[ROE Q1]]-1.5*(Quartile_S[[#This Row],[ROE Q3]]-Quartile_S[[#This Row],[ROE Q1]])</f>
        <v>9.4</v>
      </c>
      <c r="M23" s="1">
        <f>Quartile_S[[#This Row],[ROE Q3]]+1.5*(Quartile_S[[#This Row],[ROE Q3]]-Quartile_S[[#This Row],[ROE Q1]])</f>
        <v>9.4</v>
      </c>
      <c r="N23" s="1" cm="1">
        <f t="array" ref="N23">_xlfn.QUARTILE.INC(IF(Quartile_S[[#This Row],[Industry]]=Main_S[Industry],Main_S[ROA]),1)</f>
        <v>3.34</v>
      </c>
      <c r="O23" s="1" cm="1">
        <f t="array" ref="O23">_xlfn.QUARTILE.INC(IF(Quartile_S[[#This Row],[Industry]]=Main_S[Industry],Main_S[ROA]),3)</f>
        <v>3.34</v>
      </c>
      <c r="P23" s="1">
        <f>Quartile_S[[#This Row],[ROA Q1]]-1.5*(Quartile_S[[#This Row],[ROA Q3]]-Quartile_S[[#This Row],[ROA Q1]])</f>
        <v>3.34</v>
      </c>
      <c r="Q23" s="1">
        <f>Quartile_S[[#This Row],[ROA Q3]]+1.5*(Quartile_S[[#This Row],[ROA Q3]]-Quartile_S[[#This Row],[ROA Q1]])</f>
        <v>3.34</v>
      </c>
      <c r="R23" s="1" cm="1">
        <f t="array" ref="R23">_xlfn.QUARTILE.INC(IF(Quartile_S[[#This Row],[Industry]]=Main_S[Industry],Main_S[P/E]),1)</f>
        <v>18.447098976109213</v>
      </c>
      <c r="S23" s="1" cm="1">
        <f t="array" ref="S23">_xlfn.QUARTILE.INC(IF(Quartile_S[[#This Row],[Industry]]=Main_S[Industry],Main_S[P/E]),3)</f>
        <v>18.447098976109213</v>
      </c>
      <c r="T23" s="1">
        <f>Quartile_S[[#This Row],[P/E Q1]]-1.5*(Quartile_S[[#This Row],[P/E Q3]]-Quartile_S[[#This Row],[P/E Q1]])</f>
        <v>18.447098976109213</v>
      </c>
      <c r="U23" s="1">
        <f>Quartile_S[[#This Row],[P/E Q3]]+1.5*(Quartile_S[[#This Row],[P/E Q3]]-Quartile_S[[#This Row],[P/E Q1]])</f>
        <v>18.447098976109213</v>
      </c>
      <c r="V23" s="1" cm="1">
        <f t="array" ref="V23">_xlfn.QUARTILE.INC(IF(Quartile_S[[#This Row],[Industry]]=Main_S[Industry],Main_S[A/E]),1)</f>
        <v>3.5</v>
      </c>
      <c r="W23" s="1" cm="1">
        <f t="array" ref="W23">_xlfn.QUARTILE.INC(IF(Quartile_S[[#This Row],[Industry]]=Main_S[Industry],Main_S[A/E]),3)</f>
        <v>3.5</v>
      </c>
      <c r="X23" s="1">
        <f>Quartile_S[[#This Row],[A/E Q1]]-1.5*(Quartile_S[[#This Row],[A/E Q3]]-Quartile_S[[#This Row],[A/E Q1]])</f>
        <v>3.5</v>
      </c>
      <c r="Y23" s="1">
        <f>Quartile_S[[#This Row],[A/E Q3]]+1.5*(Quartile_S[[#This Row],[A/E Q3]]-Quartile_S[[#This Row],[A/E Q1]])</f>
        <v>3.5</v>
      </c>
    </row>
    <row r="24" spans="1:25" x14ac:dyDescent="0.25">
      <c r="A24" t="s">
        <v>141</v>
      </c>
      <c r="B24" s="1" cm="1">
        <f t="array" ref="B24">_xlfn.QUARTILE.INC(IF(Quartile_S[[#This Row],[Industry]]=Main_S[Industry],Main_S[P/FCF]),1)</f>
        <v>-36.977528089887635</v>
      </c>
      <c r="C24" s="1" cm="1">
        <f t="array" ref="C24">_xlfn.QUARTILE.INC(IF(Quartile_S[[#This Row],[Industry]]=Main_S[Industry],Main_S[P/FCF]),3)</f>
        <v>-23.272727272727273</v>
      </c>
      <c r="D24" s="1">
        <f>Quartile_S[[#This Row],[P/FCF Q1]]-1.5*(Quartile_S[[#This Row],[P/FCF Q3]]-Quartile_S[[#This Row],[P/FCF Q1]])</f>
        <v>-57.534729315628176</v>
      </c>
      <c r="E24" s="1">
        <f>Quartile_S[[#This Row],[P/FCF Q3]]+1.5*(Quartile_S[[#This Row],[P/FCF Q3]]-Quartile_S[[#This Row],[P/FCF Q1]])</f>
        <v>-2.7155260469867315</v>
      </c>
      <c r="F24" s="1" cm="1">
        <f t="array" ref="F24">_xlfn.QUARTILE.INC(IF(Quartile_S[[#This Row],[Industry]]=Main_S[Industry],Main_S[P/B]),1)</f>
        <v>1.5320410998976159</v>
      </c>
      <c r="G24" s="1" cm="1">
        <f t="array" ref="G24">_xlfn.QUARTILE.INC(IF(Quartile_S[[#This Row],[Industry]]=Main_S[Industry],Main_S[P/B]),3)</f>
        <v>2.183624762925652</v>
      </c>
      <c r="H24" s="1">
        <f>Quartile_S[[#This Row],[P/B Q1]]-1.5*(Quartile_S[[#This Row],[P/B Q3]]-Quartile_S[[#This Row],[P/B Q1]])</f>
        <v>0.55466560535556186</v>
      </c>
      <c r="I24" s="1">
        <f>Quartile_S[[#This Row],[P/B Q3]]+1.5*(Quartile_S[[#This Row],[P/B Q3]]-Quartile_S[[#This Row],[P/B Q1]])</f>
        <v>3.1610002574677063</v>
      </c>
      <c r="J24" s="1" cm="1">
        <f t="array" ref="J24">_xlfn.QUARTILE.INC(IF(Quartile_S[[#This Row],[Industry]]=Main_S[Industry],Main_S[ROE]),1)</f>
        <v>8.7650000000000006</v>
      </c>
      <c r="K24" s="1" cm="1">
        <f t="array" ref="K24">_xlfn.QUARTILE.INC(IF(Quartile_S[[#This Row],[Industry]]=Main_S[Industry],Main_S[ROE]),3)</f>
        <v>9.6174999999999997</v>
      </c>
      <c r="L24" s="1">
        <f>Quartile_S[[#This Row],[ROE Q1]]-1.5*(Quartile_S[[#This Row],[ROE Q3]]-Quartile_S[[#This Row],[ROE Q1]])</f>
        <v>7.4862500000000018</v>
      </c>
      <c r="M24" s="1">
        <f>Quartile_S[[#This Row],[ROE Q3]]+1.5*(Quartile_S[[#This Row],[ROE Q3]]-Quartile_S[[#This Row],[ROE Q1]])</f>
        <v>10.896249999999998</v>
      </c>
      <c r="N24" s="1" cm="1">
        <f t="array" ref="N24">_xlfn.QUARTILE.INC(IF(Quartile_S[[#This Row],[Industry]]=Main_S[Industry],Main_S[ROA]),1)</f>
        <v>1.8149999999999999</v>
      </c>
      <c r="O24" s="1" cm="1">
        <f t="array" ref="O24">_xlfn.QUARTILE.INC(IF(Quartile_S[[#This Row],[Industry]]=Main_S[Industry],Main_S[ROA]),3)</f>
        <v>2.95</v>
      </c>
      <c r="P24" s="1">
        <f>Quartile_S[[#This Row],[ROA Q1]]-1.5*(Quartile_S[[#This Row],[ROA Q3]]-Quartile_S[[#This Row],[ROA Q1]])</f>
        <v>0.1124999999999996</v>
      </c>
      <c r="Q24" s="1">
        <f>Quartile_S[[#This Row],[ROA Q3]]+1.5*(Quartile_S[[#This Row],[ROA Q3]]-Quartile_S[[#This Row],[ROA Q1]])</f>
        <v>4.6525000000000007</v>
      </c>
      <c r="R24" s="1" cm="1">
        <f t="array" ref="R24">_xlfn.QUARTILE.INC(IF(Quartile_S[[#This Row],[Industry]]=Main_S[Industry],Main_S[P/E]),1)</f>
        <v>22.196428571428569</v>
      </c>
      <c r="S24" s="1" cm="1">
        <f t="array" ref="S24">_xlfn.QUARTILE.INC(IF(Quartile_S[[#This Row],[Industry]]=Main_S[Industry],Main_S[P/E]),3)</f>
        <v>23.4375</v>
      </c>
      <c r="T24" s="1">
        <f>Quartile_S[[#This Row],[P/E Q1]]-1.5*(Quartile_S[[#This Row],[P/E Q3]]-Quartile_S[[#This Row],[P/E Q1]])</f>
        <v>20.334821428571423</v>
      </c>
      <c r="U24" s="1">
        <f>Quartile_S[[#This Row],[P/E Q3]]+1.5*(Quartile_S[[#This Row],[P/E Q3]]-Quartile_S[[#This Row],[P/E Q1]])</f>
        <v>25.299107142857146</v>
      </c>
      <c r="V24" s="1" cm="1">
        <f t="array" ref="V24">_xlfn.QUARTILE.INC(IF(Quartile_S[[#This Row],[Industry]]=Main_S[Industry],Main_S[A/E]),1)</f>
        <v>1.5549999999999999</v>
      </c>
      <c r="W24" s="1" cm="1">
        <f t="array" ref="W24">_xlfn.QUARTILE.INC(IF(Quartile_S[[#This Row],[Industry]]=Main_S[Industry],Main_S[A/E]),3)</f>
        <v>3.2174999999999998</v>
      </c>
      <c r="X24" s="1">
        <f>Quartile_S[[#This Row],[A/E Q1]]-1.5*(Quartile_S[[#This Row],[A/E Q3]]-Quartile_S[[#This Row],[A/E Q1]])</f>
        <v>-0.93874999999999997</v>
      </c>
      <c r="Y24" s="1">
        <f>Quartile_S[[#This Row],[A/E Q3]]+1.5*(Quartile_S[[#This Row],[A/E Q3]]-Quartile_S[[#This Row],[A/E Q1]])</f>
        <v>5.7112499999999997</v>
      </c>
    </row>
    <row r="25" spans="1:25" x14ac:dyDescent="0.25">
      <c r="A25" t="s">
        <v>145</v>
      </c>
      <c r="B25" s="1" cm="1">
        <f t="array" ref="B25">_xlfn.QUARTILE.INC(IF(Quartile_S[[#This Row],[Industry]]=Main_S[Industry],Main_S[P/FCF]),1)</f>
        <v>-16.5</v>
      </c>
      <c r="C25" s="1" cm="1">
        <f t="array" ref="C25">_xlfn.QUARTILE.INC(IF(Quartile_S[[#This Row],[Industry]]=Main_S[Industry],Main_S[P/FCF]),3)</f>
        <v>1.6387959866220736</v>
      </c>
      <c r="D25" s="1">
        <f>Quartile_S[[#This Row],[P/FCF Q1]]-1.5*(Quartile_S[[#This Row],[P/FCF Q3]]-Quartile_S[[#This Row],[P/FCF Q1]])</f>
        <v>-43.708193979933114</v>
      </c>
      <c r="E25" s="1">
        <f>Quartile_S[[#This Row],[P/FCF Q3]]+1.5*(Quartile_S[[#This Row],[P/FCF Q3]]-Quartile_S[[#This Row],[P/FCF Q1]])</f>
        <v>28.846989966555189</v>
      </c>
      <c r="F25" s="1" cm="1">
        <f t="array" ref="F25">_xlfn.QUARTILE.INC(IF(Quartile_S[[#This Row],[Industry]]=Main_S[Industry],Main_S[P/B]),1)</f>
        <v>1.0593577684073954</v>
      </c>
      <c r="G25" s="1" cm="1">
        <f t="array" ref="G25">_xlfn.QUARTILE.INC(IF(Quartile_S[[#This Row],[Industry]]=Main_S[Industry],Main_S[P/B]),3)</f>
        <v>11.060344827586208</v>
      </c>
      <c r="H25" s="1">
        <f>Quartile_S[[#This Row],[P/B Q1]]-1.5*(Quartile_S[[#This Row],[P/B Q3]]-Quartile_S[[#This Row],[P/B Q1]])</f>
        <v>-13.942122820360826</v>
      </c>
      <c r="I25" s="1">
        <f>Quartile_S[[#This Row],[P/B Q3]]+1.5*(Quartile_S[[#This Row],[P/B Q3]]-Quartile_S[[#This Row],[P/B Q1]])</f>
        <v>26.061825416354431</v>
      </c>
      <c r="J25" s="1" cm="1">
        <f t="array" ref="J25">_xlfn.QUARTILE.INC(IF(Quartile_S[[#This Row],[Industry]]=Main_S[Industry],Main_S[ROE]),1)</f>
        <v>-3.05</v>
      </c>
      <c r="K25" s="1" cm="1">
        <f t="array" ref="K25">_xlfn.QUARTILE.INC(IF(Quartile_S[[#This Row],[Industry]]=Main_S[Industry],Main_S[ROE]),3)</f>
        <v>3.83</v>
      </c>
      <c r="L25" s="1">
        <f>Quartile_S[[#This Row],[ROE Q1]]-1.5*(Quartile_S[[#This Row],[ROE Q3]]-Quartile_S[[#This Row],[ROE Q1]])</f>
        <v>-13.370000000000001</v>
      </c>
      <c r="M25" s="1">
        <f>Quartile_S[[#This Row],[ROE Q3]]+1.5*(Quartile_S[[#This Row],[ROE Q3]]-Quartile_S[[#This Row],[ROE Q1]])</f>
        <v>14.15</v>
      </c>
      <c r="N25" s="1" cm="1">
        <f t="array" ref="N25">_xlfn.QUARTILE.INC(IF(Quartile_S[[#This Row],[Industry]]=Main_S[Industry],Main_S[ROA]),1)</f>
        <v>0.3</v>
      </c>
      <c r="O25" s="1" cm="1">
        <f t="array" ref="O25">_xlfn.QUARTILE.INC(IF(Quartile_S[[#This Row],[Industry]]=Main_S[Industry],Main_S[ROA]),3)</f>
        <v>3.18</v>
      </c>
      <c r="P25" s="1">
        <f>Quartile_S[[#This Row],[ROA Q1]]-1.5*(Quartile_S[[#This Row],[ROA Q3]]-Quartile_S[[#This Row],[ROA Q1]])</f>
        <v>-4.0200000000000005</v>
      </c>
      <c r="Q25" s="1">
        <f>Quartile_S[[#This Row],[ROA Q3]]+1.5*(Quartile_S[[#This Row],[ROA Q3]]-Quartile_S[[#This Row],[ROA Q1]])</f>
        <v>7.5</v>
      </c>
      <c r="R25" s="1" cm="1">
        <f t="array" ref="R25">_xlfn.QUARTILE.INC(IF(Quartile_S[[#This Row],[Industry]]=Main_S[Industry],Main_S[P/E]),1)</f>
        <v>-2.2414578587699316</v>
      </c>
      <c r="S25" s="1" cm="1">
        <f t="array" ref="S25">_xlfn.QUARTILE.INC(IF(Quartile_S[[#This Row],[Industry]]=Main_S[Industry],Main_S[P/E]),3)</f>
        <v>33</v>
      </c>
      <c r="T25" s="1">
        <f>Quartile_S[[#This Row],[P/E Q1]]-1.5*(Quartile_S[[#This Row],[P/E Q3]]-Quartile_S[[#This Row],[P/E Q1]])</f>
        <v>-55.103644646924835</v>
      </c>
      <c r="U25" s="1">
        <f>Quartile_S[[#This Row],[P/E Q3]]+1.5*(Quartile_S[[#This Row],[P/E Q3]]-Quartile_S[[#This Row],[P/E Q1]])</f>
        <v>85.862186788154901</v>
      </c>
      <c r="V25" s="1" cm="1">
        <f t="array" ref="V25">_xlfn.QUARTILE.INC(IF(Quartile_S[[#This Row],[Industry]]=Main_S[Industry],Main_S[A/E]),1)</f>
        <v>1.48</v>
      </c>
      <c r="W25" s="1" cm="1">
        <f t="array" ref="W25">_xlfn.QUARTILE.INC(IF(Quartile_S[[#This Row],[Industry]]=Main_S[Industry],Main_S[A/E]),3)</f>
        <v>2.78</v>
      </c>
      <c r="X25" s="1">
        <f>Quartile_S[[#This Row],[A/E Q1]]-1.5*(Quartile_S[[#This Row],[A/E Q3]]-Quartile_S[[#This Row],[A/E Q1]])</f>
        <v>-0.46999999999999975</v>
      </c>
      <c r="Y25" s="1">
        <f>Quartile_S[[#This Row],[A/E Q3]]+1.5*(Quartile_S[[#This Row],[A/E Q3]]-Quartile_S[[#This Row],[A/E Q1]])</f>
        <v>4.7299999999999995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E5DF7-6D09-48D2-A179-6B6FB67C4BE7}">
  <sheetPr codeName="Sheet6"/>
  <dimension ref="A1:K29"/>
  <sheetViews>
    <sheetView workbookViewId="0">
      <selection activeCell="I29" sqref="I29"/>
    </sheetView>
  </sheetViews>
  <sheetFormatPr defaultRowHeight="15" x14ac:dyDescent="0.25"/>
  <cols>
    <col min="1" max="1" width="49.140625" bestFit="1" customWidth="1"/>
    <col min="2" max="2" width="14.85546875" bestFit="1" customWidth="1"/>
    <col min="3" max="3" width="15.42578125" bestFit="1" customWidth="1"/>
    <col min="5" max="5" width="49.140625" bestFit="1" customWidth="1"/>
    <col min="6" max="6" width="14" bestFit="1" customWidth="1"/>
    <col min="7" max="7" width="14.5703125" bestFit="1" customWidth="1"/>
    <col min="9" max="9" width="49.140625" bestFit="1" customWidth="1"/>
    <col min="10" max="10" width="14" bestFit="1" customWidth="1"/>
    <col min="11" max="11" width="14.5703125" bestFit="1" customWidth="1"/>
  </cols>
  <sheetData>
    <row r="1" spans="1:11" x14ac:dyDescent="0.25">
      <c r="A1" s="27" t="s">
        <v>55</v>
      </c>
      <c r="B1" s="27"/>
      <c r="C1" s="27"/>
      <c r="E1" s="27" t="s">
        <v>80</v>
      </c>
      <c r="F1" s="27"/>
      <c r="G1" s="27"/>
      <c r="I1" s="27" t="s">
        <v>56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-18.962096382086266</v>
      </c>
      <c r="C5" s="1">
        <v>14.10041783801174</v>
      </c>
      <c r="E5" s="6" t="s">
        <v>105</v>
      </c>
      <c r="F5" s="1">
        <v>1.8092949609078823</v>
      </c>
      <c r="G5" s="1">
        <v>0.53191017031729937</v>
      </c>
      <c r="I5" s="6" t="s">
        <v>105</v>
      </c>
      <c r="J5" s="1">
        <v>9.2012499999999999</v>
      </c>
      <c r="K5" s="1">
        <v>1.3756901676976605</v>
      </c>
    </row>
    <row r="6" spans="1:11" x14ac:dyDescent="0.25">
      <c r="A6" s="6" t="s">
        <v>126</v>
      </c>
      <c r="B6" s="1">
        <v>-18.380382775119617</v>
      </c>
      <c r="C6" s="1">
        <v>0</v>
      </c>
      <c r="E6" s="6" t="s">
        <v>126</v>
      </c>
      <c r="F6" s="1">
        <v>1.9083457526080478</v>
      </c>
      <c r="G6" s="1">
        <v>0</v>
      </c>
      <c r="I6" s="6" t="s">
        <v>126</v>
      </c>
      <c r="J6" s="1">
        <v>9.01</v>
      </c>
      <c r="K6" s="1">
        <v>0</v>
      </c>
    </row>
    <row r="7" spans="1:11" x14ac:dyDescent="0.25">
      <c r="A7" s="6" t="s">
        <v>145</v>
      </c>
      <c r="B7" s="1">
        <v>112.37847866419295</v>
      </c>
      <c r="C7" s="1">
        <v>83.621521335807046</v>
      </c>
      <c r="E7" s="6" t="s">
        <v>145</v>
      </c>
      <c r="F7" s="1">
        <v>12.501170801753693</v>
      </c>
      <c r="G7" s="1">
        <v>4.5130992311771507</v>
      </c>
      <c r="I7" s="6" t="s">
        <v>145</v>
      </c>
      <c r="J7" s="1">
        <v>51.620000000000005</v>
      </c>
      <c r="K7" s="1">
        <v>4.9999999995998225E-2</v>
      </c>
    </row>
    <row r="8" spans="1:11" x14ac:dyDescent="0.25">
      <c r="A8" s="6" t="s">
        <v>128</v>
      </c>
      <c r="B8" s="1">
        <v>-20.896151729334473</v>
      </c>
      <c r="C8" s="1">
        <v>19.800664310518627</v>
      </c>
      <c r="E8" s="6" t="s">
        <v>128</v>
      </c>
      <c r="F8" s="1">
        <v>2.2120868535522713</v>
      </c>
      <c r="G8" s="1">
        <v>0.48044153020544039</v>
      </c>
      <c r="I8" s="6" t="s">
        <v>128</v>
      </c>
      <c r="J8" s="1">
        <v>9.2733333333333334</v>
      </c>
      <c r="K8" s="1">
        <v>2.5518598881774248</v>
      </c>
    </row>
    <row r="9" spans="1:11" x14ac:dyDescent="0.25">
      <c r="A9" s="6" t="s">
        <v>141</v>
      </c>
      <c r="B9" s="1">
        <v>-62.124760269071125</v>
      </c>
      <c r="C9" s="1">
        <v>52.184531876463701</v>
      </c>
      <c r="E9" s="6" t="s">
        <v>141</v>
      </c>
      <c r="F9" s="1">
        <v>2.1537438745280726</v>
      </c>
      <c r="G9" s="1">
        <v>0.3555619073527273</v>
      </c>
      <c r="I9" s="6" t="s">
        <v>141</v>
      </c>
      <c r="J9" s="1">
        <v>16.32</v>
      </c>
      <c r="K9" s="1">
        <v>8.750226663730869</v>
      </c>
    </row>
    <row r="21" spans="1:11" x14ac:dyDescent="0.25">
      <c r="A21" s="27" t="s">
        <v>57</v>
      </c>
      <c r="B21" s="27"/>
      <c r="C21" s="27"/>
      <c r="E21" s="27" t="s">
        <v>58</v>
      </c>
      <c r="F21" s="27"/>
      <c r="G21" s="27"/>
      <c r="I21" s="27" t="s">
        <v>59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2.7694444444444439</v>
      </c>
      <c r="C25" s="1">
        <v>0.31746342260386307</v>
      </c>
      <c r="E25" s="6" t="s">
        <v>105</v>
      </c>
      <c r="F25" s="1">
        <v>3.7582352941176476</v>
      </c>
      <c r="G25" s="1">
        <v>0.56275828364684888</v>
      </c>
      <c r="I25" s="6" t="s">
        <v>105</v>
      </c>
      <c r="J25" s="1">
        <v>20.512301397415523</v>
      </c>
      <c r="K25" s="1">
        <v>5.6717544197636274</v>
      </c>
    </row>
    <row r="26" spans="1:11" x14ac:dyDescent="0.25">
      <c r="A26" s="6" t="s">
        <v>126</v>
      </c>
      <c r="B26" s="1">
        <v>3.5</v>
      </c>
      <c r="C26" s="1">
        <v>0</v>
      </c>
      <c r="E26" s="6" t="s">
        <v>126</v>
      </c>
      <c r="F26" s="1">
        <v>2.0699999999999998</v>
      </c>
      <c r="G26" s="1">
        <v>0</v>
      </c>
      <c r="I26" s="6" t="s">
        <v>126</v>
      </c>
      <c r="J26" s="1">
        <v>21.951428571428572</v>
      </c>
      <c r="K26" s="1">
        <v>0</v>
      </c>
    </row>
    <row r="27" spans="1:11" x14ac:dyDescent="0.25">
      <c r="A27" s="6" t="s">
        <v>145</v>
      </c>
      <c r="B27" s="1">
        <v>4.68</v>
      </c>
      <c r="C27" s="1">
        <v>2.5300000000000007</v>
      </c>
      <c r="E27" s="6" t="s">
        <v>145</v>
      </c>
      <c r="F27" s="1">
        <v>8.3049999999999997</v>
      </c>
      <c r="G27" s="1">
        <v>3.9050000000000042</v>
      </c>
      <c r="I27" s="6" t="s">
        <v>145</v>
      </c>
      <c r="J27" s="1">
        <v>17.893160320155225</v>
      </c>
      <c r="K27" s="1">
        <v>4.2496968227019174</v>
      </c>
    </row>
    <row r="28" spans="1:11" x14ac:dyDescent="0.25">
      <c r="A28" s="6" t="s">
        <v>128</v>
      </c>
      <c r="B28" s="1">
        <v>2.9609090909090909</v>
      </c>
      <c r="C28" s="1">
        <v>0.13276462737111336</v>
      </c>
      <c r="E28" s="6" t="s">
        <v>128</v>
      </c>
      <c r="F28" s="1">
        <v>3.6581818181818182</v>
      </c>
      <c r="G28" s="1">
        <v>0.49078449597313356</v>
      </c>
      <c r="I28" s="6" t="s">
        <v>128</v>
      </c>
      <c r="J28" s="1">
        <v>20.646176688789716</v>
      </c>
      <c r="K28" s="1">
        <v>2.2395148709983088</v>
      </c>
    </row>
    <row r="29" spans="1:11" x14ac:dyDescent="0.25">
      <c r="A29" s="6" t="s">
        <v>141</v>
      </c>
      <c r="B29" s="1">
        <v>6.5733333333333333</v>
      </c>
      <c r="C29" s="1">
        <v>4.9218244133202846</v>
      </c>
      <c r="E29" s="6" t="s">
        <v>141</v>
      </c>
      <c r="F29" s="1">
        <v>2.75</v>
      </c>
      <c r="G29" s="1">
        <v>0.40792156108742356</v>
      </c>
      <c r="I29" s="6" t="s">
        <v>141</v>
      </c>
      <c r="J29" s="1">
        <v>16.85821738516977</v>
      </c>
      <c r="K29" s="1">
        <v>6.3040927732065501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63721-54CC-4C95-B1F3-821FC4084D80}">
  <sheetPr codeName="Sheet7"/>
  <dimension ref="A1:K29"/>
  <sheetViews>
    <sheetView workbookViewId="0">
      <selection activeCell="G13" sqref="G13"/>
    </sheetView>
  </sheetViews>
  <sheetFormatPr defaultRowHeight="15" x14ac:dyDescent="0.25"/>
  <cols>
    <col min="1" max="1" width="49.140625" bestFit="1" customWidth="1"/>
    <col min="2" max="2" width="16.28515625" bestFit="1" customWidth="1"/>
    <col min="3" max="3" width="16.85546875" bestFit="1" customWidth="1"/>
    <col min="5" max="5" width="49.140625" bestFit="1" customWidth="1"/>
    <col min="6" max="6" width="14" bestFit="1" customWidth="1"/>
    <col min="7" max="7" width="14.5703125" bestFit="1" customWidth="1"/>
    <col min="9" max="9" width="49.14062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7" t="s">
        <v>60</v>
      </c>
      <c r="B1" s="27"/>
      <c r="C1" s="27"/>
      <c r="E1" s="27" t="s">
        <v>79</v>
      </c>
      <c r="F1" s="27"/>
      <c r="G1" s="27"/>
      <c r="I1" s="27" t="s">
        <v>62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8.7545849744204034</v>
      </c>
      <c r="C5" s="1">
        <v>70.518610481064286</v>
      </c>
      <c r="E5" s="6" t="s">
        <v>105</v>
      </c>
      <c r="F5" s="1">
        <v>2.5988024494582591</v>
      </c>
      <c r="G5" s="1">
        <v>1.7787248666359599</v>
      </c>
      <c r="I5" s="6" t="s">
        <v>105</v>
      </c>
      <c r="J5" s="1">
        <v>10.491818181818182</v>
      </c>
      <c r="K5" s="1">
        <v>5.0895611851957581</v>
      </c>
    </row>
    <row r="6" spans="1:11" x14ac:dyDescent="0.25">
      <c r="A6" s="6" t="s">
        <v>126</v>
      </c>
      <c r="B6" s="1">
        <v>-8.1704343954153327</v>
      </c>
      <c r="C6" s="1">
        <v>20.481776785059868</v>
      </c>
      <c r="E6" s="6" t="s">
        <v>126</v>
      </c>
      <c r="F6" s="1">
        <v>1.6941768625242348</v>
      </c>
      <c r="G6" s="1">
        <v>0.43428119884292676</v>
      </c>
      <c r="I6" s="6" t="s">
        <v>126</v>
      </c>
      <c r="J6" s="1">
        <v>9.7199999999999989</v>
      </c>
      <c r="K6" s="1">
        <v>5.7490404996544155</v>
      </c>
    </row>
    <row r="7" spans="1:11" x14ac:dyDescent="0.25">
      <c r="A7" s="6" t="s">
        <v>145</v>
      </c>
      <c r="B7" s="1">
        <v>-2.614946404356802</v>
      </c>
      <c r="C7" s="1">
        <v>9.2372521355937103</v>
      </c>
      <c r="E7" s="6" t="s">
        <v>145</v>
      </c>
      <c r="F7" s="1">
        <v>2.4910090688688866</v>
      </c>
      <c r="G7" s="1">
        <v>1.095247312915574</v>
      </c>
      <c r="I7" s="6" t="s">
        <v>145</v>
      </c>
      <c r="J7" s="1">
        <v>3.3185714285714289</v>
      </c>
      <c r="K7" s="1">
        <v>5.009349625796685</v>
      </c>
    </row>
    <row r="8" spans="1:11" x14ac:dyDescent="0.25">
      <c r="A8" s="6" t="s">
        <v>128</v>
      </c>
      <c r="B8" s="1">
        <v>-65.205682394723496</v>
      </c>
      <c r="C8" s="1">
        <v>67.613478910145176</v>
      </c>
      <c r="E8" s="6" t="s">
        <v>128</v>
      </c>
      <c r="F8" s="1">
        <v>1.1707078836439357</v>
      </c>
      <c r="G8" s="1">
        <v>9.2141496940351154E-3</v>
      </c>
      <c r="I8" s="6" t="s">
        <v>128</v>
      </c>
      <c r="J8" s="1">
        <v>5.8599999999999994</v>
      </c>
      <c r="K8" s="1">
        <v>3.5020708159601814</v>
      </c>
    </row>
    <row r="9" spans="1:11" x14ac:dyDescent="0.25">
      <c r="A9" s="6" t="s">
        <v>141</v>
      </c>
      <c r="B9" s="1">
        <v>-50.212494967609715</v>
      </c>
      <c r="C9" s="1">
        <v>35.349302785199285</v>
      </c>
      <c r="E9" s="6" t="s">
        <v>141</v>
      </c>
      <c r="F9" s="1">
        <v>2.4127519774679316</v>
      </c>
      <c r="G9" s="1">
        <v>0.74437903414069151</v>
      </c>
      <c r="I9" s="6" t="s">
        <v>141</v>
      </c>
      <c r="J9" s="1">
        <v>11.335000000000001</v>
      </c>
      <c r="K9" s="1">
        <v>2.7249999999999943</v>
      </c>
    </row>
    <row r="21" spans="1:11" x14ac:dyDescent="0.25">
      <c r="A21" s="27" t="s">
        <v>64</v>
      </c>
      <c r="B21" s="27"/>
      <c r="C21" s="27"/>
      <c r="E21" s="27" t="s">
        <v>66</v>
      </c>
      <c r="F21" s="27"/>
      <c r="G21" s="27"/>
      <c r="I21" s="27" t="s">
        <v>59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3.3185714285714281</v>
      </c>
      <c r="C25" s="1">
        <v>0.71867792451394796</v>
      </c>
      <c r="E25" s="6" t="s">
        <v>105</v>
      </c>
      <c r="F25" s="1">
        <v>2.4609090909090909</v>
      </c>
      <c r="G25" s="1">
        <v>0.40150748992118351</v>
      </c>
      <c r="I25" s="6" t="s">
        <v>105</v>
      </c>
      <c r="J25" s="1">
        <v>26.539077996885105</v>
      </c>
      <c r="K25" s="1">
        <v>19.950865854827043</v>
      </c>
    </row>
    <row r="26" spans="1:11" x14ac:dyDescent="0.25">
      <c r="A26" s="6" t="s">
        <v>126</v>
      </c>
      <c r="B26" s="1">
        <v>3.8675000000000006</v>
      </c>
      <c r="C26" s="1">
        <v>1.2479458121248681</v>
      </c>
      <c r="E26" s="6" t="s">
        <v>126</v>
      </c>
      <c r="F26" s="1">
        <v>3.03125</v>
      </c>
      <c r="G26" s="1">
        <v>0.3593896736134749</v>
      </c>
      <c r="I26" s="6" t="s">
        <v>126</v>
      </c>
      <c r="J26" s="1">
        <v>18.441629494816137</v>
      </c>
      <c r="K26" s="1">
        <v>3.843633712212013</v>
      </c>
    </row>
    <row r="27" spans="1:11" x14ac:dyDescent="0.25">
      <c r="A27" s="6" t="s">
        <v>145</v>
      </c>
      <c r="B27" s="1">
        <v>2.2114285714285713</v>
      </c>
      <c r="C27" s="1">
        <v>1.1154042005534339</v>
      </c>
      <c r="E27" s="6" t="s">
        <v>145</v>
      </c>
      <c r="F27" s="1">
        <v>9.2566666666666659</v>
      </c>
      <c r="G27" s="1">
        <v>3.7179997609228286</v>
      </c>
      <c r="I27" s="6" t="s">
        <v>145</v>
      </c>
      <c r="J27" s="1">
        <v>4.7334248386083608</v>
      </c>
      <c r="K27" s="1">
        <v>31.035630188461159</v>
      </c>
    </row>
    <row r="28" spans="1:11" x14ac:dyDescent="0.25">
      <c r="A28" s="6" t="s">
        <v>128</v>
      </c>
      <c r="B28" s="1">
        <v>2.8033333333333332</v>
      </c>
      <c r="C28" s="1">
        <v>0.2948822740612867</v>
      </c>
      <c r="E28" s="6" t="s">
        <v>128</v>
      </c>
      <c r="F28" s="1">
        <v>3.1175000000000002</v>
      </c>
      <c r="G28" s="1">
        <v>0.37764897722620261</v>
      </c>
      <c r="I28" s="6" t="s">
        <v>128</v>
      </c>
      <c r="J28" s="1">
        <v>15.19262826463887</v>
      </c>
      <c r="K28" s="1">
        <v>0.99309952157759651</v>
      </c>
    </row>
    <row r="29" spans="1:11" x14ac:dyDescent="0.25">
      <c r="A29" s="6" t="s">
        <v>141</v>
      </c>
      <c r="B29" s="1">
        <v>3.7650000000000001</v>
      </c>
      <c r="C29" s="1">
        <v>1.175</v>
      </c>
      <c r="E29" s="6" t="s">
        <v>141</v>
      </c>
      <c r="F29" s="1">
        <v>2.9750000000000001</v>
      </c>
      <c r="G29" s="1">
        <v>0.25500000000000067</v>
      </c>
      <c r="I29" s="6" t="s">
        <v>141</v>
      </c>
      <c r="J29" s="1">
        <v>22.106173752826557</v>
      </c>
      <c r="K29" s="1">
        <v>1.9159082661008959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91A86-58FD-423B-B7BA-62C453D67AD1}">
  <sheetPr codeName="Sheet8"/>
  <dimension ref="A1:K29"/>
  <sheetViews>
    <sheetView workbookViewId="0">
      <selection activeCell="F12" sqref="F12"/>
    </sheetView>
  </sheetViews>
  <sheetFormatPr defaultRowHeight="15" x14ac:dyDescent="0.25"/>
  <cols>
    <col min="1" max="1" width="49.140625" bestFit="1" customWidth="1"/>
    <col min="2" max="2" width="16.28515625" bestFit="1" customWidth="1"/>
    <col min="3" max="3" width="16.85546875" bestFit="1" customWidth="1"/>
    <col min="5" max="5" width="49.140625" bestFit="1" customWidth="1"/>
    <col min="6" max="6" width="14" bestFit="1" customWidth="1"/>
    <col min="7" max="7" width="14.5703125" bestFit="1" customWidth="1"/>
    <col min="9" max="9" width="49.14062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7" t="s">
        <v>61</v>
      </c>
      <c r="B1" s="27"/>
      <c r="C1" s="27"/>
      <c r="E1" s="27" t="s">
        <v>81</v>
      </c>
      <c r="F1" s="27"/>
      <c r="G1" s="27"/>
      <c r="I1" s="27" t="s">
        <v>63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-86.168973602601923</v>
      </c>
      <c r="C5" s="1">
        <v>133.85361400613348</v>
      </c>
      <c r="E5" s="6" t="s">
        <v>105</v>
      </c>
      <c r="F5" s="1">
        <v>8.3791536972674709</v>
      </c>
      <c r="G5" s="1">
        <v>9.2494663128411112</v>
      </c>
      <c r="I5" s="6" t="s">
        <v>105</v>
      </c>
      <c r="J5" s="1">
        <v>-13.243333333333334</v>
      </c>
      <c r="K5" s="1">
        <v>38.968295945407839</v>
      </c>
    </row>
    <row r="6" spans="1:11" x14ac:dyDescent="0.25">
      <c r="A6" s="6" t="s">
        <v>126</v>
      </c>
      <c r="B6" s="1">
        <v>2.5864703589037954</v>
      </c>
      <c r="C6" s="1">
        <v>8.0676860493229192</v>
      </c>
      <c r="E6" s="6" t="s">
        <v>126</v>
      </c>
      <c r="F6" s="1">
        <v>1.6338997566952542</v>
      </c>
      <c r="G6" s="1">
        <v>0.48356047341105102</v>
      </c>
      <c r="I6" s="6" t="s">
        <v>126</v>
      </c>
      <c r="J6" s="1">
        <v>12.723333333333334</v>
      </c>
      <c r="K6" s="1">
        <v>5.601555339566163</v>
      </c>
    </row>
    <row r="7" spans="1:11" x14ac:dyDescent="0.25">
      <c r="A7" s="6" t="s">
        <v>145</v>
      </c>
      <c r="B7" s="1">
        <v>-11.790475828519307</v>
      </c>
      <c r="C7" s="1">
        <v>9.0832586268696272</v>
      </c>
      <c r="E7" s="6" t="s">
        <v>145</v>
      </c>
      <c r="F7" s="1">
        <v>5.397059957334152</v>
      </c>
      <c r="G7" s="1">
        <v>5.592109646078101</v>
      </c>
      <c r="I7" s="6" t="s">
        <v>145</v>
      </c>
      <c r="J7" s="1">
        <v>1.3566666666666667</v>
      </c>
      <c r="K7" s="1">
        <v>3.1237726478659673</v>
      </c>
    </row>
    <row r="8" spans="1:11" x14ac:dyDescent="0.25">
      <c r="A8" s="6" t="s">
        <v>128</v>
      </c>
      <c r="B8" s="1">
        <v>-19.798534798534799</v>
      </c>
      <c r="C8" s="1">
        <v>0</v>
      </c>
      <c r="E8" s="6" t="s">
        <v>128</v>
      </c>
      <c r="F8" s="1">
        <v>1.7082806573957015</v>
      </c>
      <c r="G8" s="1">
        <v>0</v>
      </c>
      <c r="I8" s="6" t="s">
        <v>128</v>
      </c>
      <c r="J8" s="1">
        <v>9.4</v>
      </c>
      <c r="K8" s="1">
        <v>0</v>
      </c>
    </row>
    <row r="9" spans="1:11" x14ac:dyDescent="0.25">
      <c r="A9" s="6" t="s">
        <v>141</v>
      </c>
      <c r="B9" s="1">
        <v>-28.424503725522801</v>
      </c>
      <c r="C9" s="1">
        <v>6.0899784825277079</v>
      </c>
      <c r="E9" s="6" t="s">
        <v>141</v>
      </c>
      <c r="F9" s="1">
        <v>1.7772313068257177</v>
      </c>
      <c r="G9" s="1">
        <v>0.34592353228257899</v>
      </c>
      <c r="I9" s="6" t="s">
        <v>141</v>
      </c>
      <c r="J9" s="1">
        <v>9.1374999999999993</v>
      </c>
      <c r="K9" s="1">
        <v>0.4078832553562749</v>
      </c>
    </row>
    <row r="21" spans="1:11" x14ac:dyDescent="0.25">
      <c r="A21" s="27" t="s">
        <v>65</v>
      </c>
      <c r="B21" s="27"/>
      <c r="C21" s="27"/>
      <c r="E21" s="27" t="s">
        <v>67</v>
      </c>
      <c r="F21" s="27"/>
      <c r="G21" s="27"/>
      <c r="I21" s="27" t="s">
        <v>68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3.2666666666666662</v>
      </c>
      <c r="C25" s="1">
        <v>3.369276216373811</v>
      </c>
      <c r="E25" s="6" t="s">
        <v>105</v>
      </c>
      <c r="F25" s="1">
        <v>3.543333333333333</v>
      </c>
      <c r="G25" s="1">
        <v>1.7877422135817636</v>
      </c>
      <c r="I25" s="6" t="s">
        <v>105</v>
      </c>
      <c r="J25" s="1">
        <v>49.404153056986679</v>
      </c>
      <c r="K25" s="1">
        <v>51.05841644090674</v>
      </c>
    </row>
    <row r="26" spans="1:11" x14ac:dyDescent="0.25">
      <c r="A26" s="6" t="s">
        <v>126</v>
      </c>
      <c r="B26" s="1">
        <v>4.2</v>
      </c>
      <c r="C26" s="1">
        <v>1.3594361576281062</v>
      </c>
      <c r="E26" s="6" t="s">
        <v>126</v>
      </c>
      <c r="F26" s="1">
        <v>3.8233333333333328</v>
      </c>
      <c r="G26" s="1">
        <v>0.42975445185465322</v>
      </c>
      <c r="I26" s="6" t="s">
        <v>126</v>
      </c>
      <c r="J26" s="1">
        <v>15.764865347570387</v>
      </c>
      <c r="K26" s="1">
        <v>4.8488682385766255</v>
      </c>
    </row>
    <row r="27" spans="1:11" x14ac:dyDescent="0.25">
      <c r="A27" s="6" t="s">
        <v>145</v>
      </c>
      <c r="B27" s="1">
        <v>2.1175000000000002</v>
      </c>
      <c r="C27" s="1">
        <v>1.601692464239</v>
      </c>
      <c r="E27" s="6" t="s">
        <v>145</v>
      </c>
      <c r="F27" s="1">
        <v>2.0599999999999996</v>
      </c>
      <c r="G27" s="1">
        <v>0.64389440128021136</v>
      </c>
      <c r="I27" s="6" t="s">
        <v>145</v>
      </c>
      <c r="J27" s="1">
        <v>-1.3903468280081803</v>
      </c>
      <c r="K27" s="1">
        <v>25.647742017954599</v>
      </c>
    </row>
    <row r="28" spans="1:11" x14ac:dyDescent="0.25">
      <c r="A28" s="6" t="s">
        <v>128</v>
      </c>
      <c r="B28" s="1">
        <v>3.34</v>
      </c>
      <c r="C28" s="1">
        <v>0</v>
      </c>
      <c r="E28" s="6" t="s">
        <v>128</v>
      </c>
      <c r="F28" s="1">
        <v>3.5</v>
      </c>
      <c r="G28" s="1">
        <v>0</v>
      </c>
      <c r="I28" s="6" t="s">
        <v>128</v>
      </c>
      <c r="J28" s="1">
        <v>18.447098976109213</v>
      </c>
      <c r="K28" s="1">
        <v>0</v>
      </c>
    </row>
    <row r="29" spans="1:11" x14ac:dyDescent="0.25">
      <c r="A29" s="6" t="s">
        <v>141</v>
      </c>
      <c r="B29" s="1">
        <v>2.52</v>
      </c>
      <c r="C29" s="1">
        <v>0.5822800013739089</v>
      </c>
      <c r="E29" s="6" t="s">
        <v>141</v>
      </c>
      <c r="F29" s="1">
        <v>2.5225</v>
      </c>
      <c r="G29" s="1">
        <v>0.81842455363949163</v>
      </c>
      <c r="I29" s="6" t="s">
        <v>141</v>
      </c>
      <c r="J29" s="1">
        <v>22.788774312541918</v>
      </c>
      <c r="K29" s="1">
        <v>0.50823130984922193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9769-BCC2-47EA-9108-B1B7CE962C71}">
  <sheetPr codeName="Sheet9">
    <tabColor theme="9" tint="0.39997558519241921"/>
  </sheetPr>
  <dimension ref="A1:T9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H20" sqref="H20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8.140625" style="1" bestFit="1" customWidth="1"/>
    <col min="8" max="8" width="8.5703125" style="1" bestFit="1" customWidth="1"/>
    <col min="9" max="9" width="11.7109375" style="1" bestFit="1" customWidth="1"/>
    <col min="10" max="11" width="7.28515625" style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Large Cap"</f>
        <v>Utilities - Large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x14ac:dyDescent="0.25">
      <c r="C2" s="37" t="s">
        <v>104</v>
      </c>
      <c r="D2" s="38"/>
      <c r="E2" s="38"/>
      <c r="F2" s="38"/>
      <c r="G2" s="38"/>
      <c r="H2" s="39"/>
      <c r="I2" s="45" t="s">
        <v>69</v>
      </c>
      <c r="J2" s="46"/>
      <c r="K2" s="46"/>
      <c r="L2" s="46"/>
      <c r="M2" s="47"/>
      <c r="N2" s="48" t="s">
        <v>86</v>
      </c>
      <c r="O2" s="49"/>
      <c r="P2" s="49"/>
      <c r="Q2" s="49"/>
      <c r="R2" s="49"/>
      <c r="S2" s="50"/>
      <c r="T2" s="43" t="str">
        <f>"Max Score:"&amp;IFERROR(CHAR(10)&amp;MAX($T$9:$T$1048576)&amp;"/5", CHAR(10)&amp;"0/5")</f>
        <v>Max Score:
0/5</v>
      </c>
    </row>
    <row r="3" spans="1:20" s="10" customFormat="1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0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e" cm="1" vm="1">
        <f t="array" ref="A9">_xlfn._xlws.FILTER(_xlfn._xlws.FILTER(Main_L[], Main_L[Preliminary Criteria]="YES"), COUNTIF($A$8:$S$8,Main_L[#Headers]))</f>
        <v>#VALUE!</v>
      </c>
      <c r="C9" s="9"/>
      <c r="T9" t="e" vm="2">
        <f t="shared" ref="T9:T25" si="0">SUM(IF($I9&lt;(0.7*VLOOKUP($A9, Mean_PB_L, 2, FALSE)),1,0), IF($J9&gt;VLOOKUP($A9, Mean_ROE_L, 2, FALSE),1,0), IF($K9&gt;VLOOKUP($A9, Mean_ROA_L, 2,FALSE),1,0), IF($M9&lt;VLOOKUP($A9, Mean_PE_L, 2, FALSE),1,0), IF(AND($M9&gt;1,$M9&lt;25),1,0))</f>
        <v>#VALUE!</v>
      </c>
    </row>
  </sheetData>
  <autoFilter ref="A8:T8" xr:uid="{97C29769-BCC2-47EA-9108-B1B7CE962C71}"/>
  <mergeCells count="14">
    <mergeCell ref="C1:T1"/>
    <mergeCell ref="Q4:Q6"/>
    <mergeCell ref="R4:R6"/>
    <mergeCell ref="S4:S6"/>
    <mergeCell ref="C2:H6"/>
    <mergeCell ref="T2:T6"/>
    <mergeCell ref="I2:M2"/>
    <mergeCell ref="N2:S2"/>
    <mergeCell ref="K4:K6"/>
    <mergeCell ref="J4:J6"/>
    <mergeCell ref="I4:I6"/>
    <mergeCell ref="N4:N6"/>
    <mergeCell ref="O4:O6"/>
    <mergeCell ref="P4:P6"/>
  </mergeCells>
  <phoneticPr fontId="6" type="noConversion"/>
  <conditionalFormatting sqref="I9:I1048576">
    <cfRule type="expression" dxfId="59" priority="1">
      <formula>$I9 &lt; (0.7*VLOOKUP($A9, Mean_PB_L, 2, FALSE))</formula>
    </cfRule>
  </conditionalFormatting>
  <conditionalFormatting sqref="J9:J1048576">
    <cfRule type="expression" dxfId="58" priority="3">
      <formula>$J9 &gt; VLOOKUP($A9, Mean_ROE_L, 2, FALSE)</formula>
    </cfRule>
  </conditionalFormatting>
  <conditionalFormatting sqref="K9:K1048576">
    <cfRule type="expression" dxfId="57" priority="4">
      <formula>$K9 &gt; VLOOKUP($A9, Mean_ROA_L, 2, FALSE)</formula>
    </cfRule>
  </conditionalFormatting>
  <conditionalFormatting sqref="M9:M1048576">
    <cfRule type="expression" dxfId="56" priority="5">
      <formula>AND($M9&gt;1, $M9&lt;25, $M9 &lt; VLOOKUP($A9, Mean_PE_L, 2, FALSE))</formula>
    </cfRule>
    <cfRule type="expression" dxfId="55" priority="6">
      <formula>AND($M9&gt;1, $M9&lt;25)</formula>
    </cfRule>
    <cfRule type="expression" dxfId="54" priority="9">
      <formula xml:space="preserve"> $M9 &lt; VLOOKUP($A9, Mean_PE_L, 2, FALSE)</formula>
    </cfRule>
  </conditionalFormatting>
  <conditionalFormatting sqref="N9:N1048576">
    <cfRule type="expression" dxfId="53" priority="10">
      <formula>$N9&lt;0</formula>
    </cfRule>
  </conditionalFormatting>
  <conditionalFormatting sqref="O9:O1048576">
    <cfRule type="expression" dxfId="52" priority="11">
      <formula>$O9&lt;0</formula>
    </cfRule>
  </conditionalFormatting>
  <conditionalFormatting sqref="P9:P1048576">
    <cfRule type="expression" dxfId="51" priority="12">
      <formula>$P9&gt;0</formula>
    </cfRule>
  </conditionalFormatting>
  <conditionalFormatting sqref="Q9:Q1048576">
    <cfRule type="expression" dxfId="50" priority="14">
      <formula>$Q9&gt;0</formula>
    </cfRule>
  </conditionalFormatting>
  <conditionalFormatting sqref="R9:R1048576">
    <cfRule type="expression" dxfId="49" priority="15">
      <formula>$R9&lt;0</formula>
    </cfRule>
  </conditionalFormatting>
  <conditionalFormatting sqref="S9:S1048576">
    <cfRule type="expression" dxfId="48" priority="16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9" r:id="rId3" name="CommandButton1">
          <controlPr defaultSize="0" autoLine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921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C1E5-2754-4118-8E3A-5ED7654E3417}">
  <sheetPr codeName="Sheet10">
    <tabColor theme="9" tint="0.39997558519241921"/>
  </sheetPr>
  <dimension ref="A1:T9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K31" sqref="K31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6.7109375" style="1" bestFit="1" customWidth="1"/>
    <col min="8" max="8" width="8.5703125" style="1" bestFit="1" customWidth="1"/>
    <col min="9" max="9" width="11.710937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Mid Cap"</f>
        <v>Utilities - Mid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ht="15" customHeight="1" x14ac:dyDescent="0.25">
      <c r="C2" s="58" t="s">
        <v>88</v>
      </c>
      <c r="D2" s="59"/>
      <c r="E2" s="59"/>
      <c r="F2" s="59"/>
      <c r="G2" s="59"/>
      <c r="H2" s="60"/>
      <c r="I2" s="61" t="s">
        <v>69</v>
      </c>
      <c r="J2" s="62"/>
      <c r="K2" s="62"/>
      <c r="L2" s="62"/>
      <c r="M2" s="63"/>
      <c r="N2" s="65" t="s">
        <v>86</v>
      </c>
      <c r="O2" s="66"/>
      <c r="P2" s="66"/>
      <c r="Q2" s="66"/>
      <c r="R2" s="66"/>
      <c r="S2" s="67"/>
      <c r="T2" s="64" t="str">
        <f>"Max Score:"&amp;IFERROR(CHAR(10)&amp;MAX($T$9:$T$1048576)&amp;"/5", CHAR(10)&amp;"0/5")</f>
        <v>Max Score:
0/5</v>
      </c>
    </row>
    <row r="3" spans="1:20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0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e" cm="1" vm="1">
        <f t="array" ref="A9">_xlfn._xlws.FILTER(_xlfn._xlws.FILTER(Main_M[], Main_M[Preliminary Criteria]="YES"), COUNTIF($A$8:$S$8,Main_M[#Headers]))</f>
        <v>#VALUE!</v>
      </c>
      <c r="T9" t="e" vm="2">
        <f t="shared" ref="T9:T28" si="0">SUM(IF($I9 &lt; (0.7*VLOOKUP($A9, Mean_PB_M, 2, FALSE)),1,0), IF($J9&gt;VLOOKUP($A9, Mean_ROE_M, 2, FALSE),1,0), IF($K9&gt;VLOOKUP($A9, Mean_ROA_M, 2,FALSE),1,0), IF($M9&lt;VLOOKUP($A9, Mean_PE_M, 2, FALSE),1,0), IF(AND($M9&gt;1,$M9&lt;25),1,0))</f>
        <v>#VALUE!</v>
      </c>
    </row>
  </sheetData>
  <autoFilter ref="A8:T8" xr:uid="{0BF3C1E5-2754-4118-8E3A-5ED7654E3417}"/>
  <mergeCells count="14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</mergeCells>
  <conditionalFormatting sqref="I9:I1048576">
    <cfRule type="expression" dxfId="47" priority="1">
      <formula>$I9 &lt; (0.7*VLOOKUP($A9, Mean_PB_M, 2, FALSE))</formula>
    </cfRule>
  </conditionalFormatting>
  <conditionalFormatting sqref="J9:J1048576">
    <cfRule type="expression" dxfId="46" priority="3">
      <formula>$J9 &gt; VLOOKUP($A9, Mean_ROE_M, 2, FALSE)</formula>
    </cfRule>
  </conditionalFormatting>
  <conditionalFormatting sqref="K9:K1048576">
    <cfRule type="expression" dxfId="45" priority="4">
      <formula>$K9 &gt; VLOOKUP($A9, Mean_ROA_M, 2, FALSE)</formula>
    </cfRule>
  </conditionalFormatting>
  <conditionalFormatting sqref="M9:M1048576">
    <cfRule type="expression" dxfId="44" priority="5">
      <formula>AND($M9&gt;1, $M9&lt;25, $M9 &lt; VLOOKUP($A9, Mean_PE_M, 2, FALSE))</formula>
    </cfRule>
    <cfRule type="expression" dxfId="43" priority="6">
      <formula>AND($M9&gt;1, $M9&lt;25)</formula>
    </cfRule>
    <cfRule type="expression" dxfId="42" priority="7">
      <formula xml:space="preserve"> $M9 &lt; VLOOKUP($A9, Mean_PE_M, 2, FALSE)</formula>
    </cfRule>
  </conditionalFormatting>
  <conditionalFormatting sqref="N9:N1048576">
    <cfRule type="expression" dxfId="41" priority="8">
      <formula>$N9&lt;0</formula>
    </cfRule>
  </conditionalFormatting>
  <conditionalFormatting sqref="O9:O1048576">
    <cfRule type="expression" dxfId="40" priority="9">
      <formula>$O9&lt;0</formula>
    </cfRule>
  </conditionalFormatting>
  <conditionalFormatting sqref="P9:P1048576">
    <cfRule type="expression" dxfId="39" priority="10">
      <formula>$P9&gt;0</formula>
    </cfRule>
  </conditionalFormatting>
  <conditionalFormatting sqref="Q9:Q1048576">
    <cfRule type="expression" dxfId="38" priority="11">
      <formula>$Q9&gt;0</formula>
    </cfRule>
  </conditionalFormatting>
  <conditionalFormatting sqref="R9:R1048576">
    <cfRule type="expression" dxfId="37" priority="12">
      <formula>$R9&lt;0</formula>
    </cfRule>
  </conditionalFormatting>
  <conditionalFormatting sqref="S9:S1048576">
    <cfRule type="expression" dxfId="36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40F71-5FB0-44DA-81D2-9D55F6DCA29E}">
  <sheetPr codeName="Sheet11">
    <tabColor theme="9" tint="0.39997558519241921"/>
  </sheetPr>
  <dimension ref="A1:T9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G22" sqref="G22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bestFit="1" customWidth="1"/>
    <col min="4" max="4" width="15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8.5703125" style="1" bestFit="1" customWidth="1"/>
    <col min="9" max="9" width="9.570312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3.71093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Small Cap"</f>
        <v>Utilities - Small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ht="15" customHeight="1" x14ac:dyDescent="0.25">
      <c r="C2" s="58" t="s">
        <v>89</v>
      </c>
      <c r="D2" s="59"/>
      <c r="E2" s="59"/>
      <c r="F2" s="59"/>
      <c r="G2" s="59"/>
      <c r="H2" s="60"/>
      <c r="I2" s="61" t="s">
        <v>69</v>
      </c>
      <c r="J2" s="62"/>
      <c r="K2" s="62"/>
      <c r="L2" s="62"/>
      <c r="M2" s="63"/>
      <c r="N2" s="65" t="s">
        <v>86</v>
      </c>
      <c r="O2" s="66"/>
      <c r="P2" s="66"/>
      <c r="Q2" s="66"/>
      <c r="R2" s="66"/>
      <c r="S2" s="67"/>
      <c r="T2" s="64" t="str">
        <f>"Max Score:"&amp;IFERROR(CHAR(10)&amp;MAX($T$9:$T$1048576)&amp;"/5", CHAR(10)&amp;"0/5")</f>
        <v>Max Score:
0/5</v>
      </c>
    </row>
    <row r="3" spans="1:20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0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7" spans="1:20" x14ac:dyDescent="0.25">
      <c r="C7" s="2"/>
      <c r="D7" s="1"/>
      <c r="E7" s="1"/>
      <c r="F7" s="1"/>
      <c r="G7" s="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e" cm="1" vm="1">
        <f t="array" ref="A9">_xlfn._xlws.FILTER(_xlfn._xlws.FILTER(Main_S[], Main_S[Preliminary Criteria]="YES"), COUNTIF($A$8:$S$8,Main_S[#Headers]))</f>
        <v>#VALUE!</v>
      </c>
      <c r="T9" t="e" vm="2">
        <f>SUM(IF($I9 &lt; (0.7*VLOOKUP($A9, Mean_PB_S, 2, FALSE)),1,0), IF($J9&gt;VLOOKUP($A9, Mean_ROE_S, 2, FALSE),1,0), IF($K9&gt;VLOOKUP($A9, Mean_ROA_S, 2,FALSE),1,0), IF($M9&lt;VLOOKUP($A9, Mean_PE_S, 2, FALSE),1,0), IF(AND($M9&gt;1,$M9&lt;25),1,0))</f>
        <v>#VALUE!</v>
      </c>
    </row>
  </sheetData>
  <autoFilter ref="A8:T8" xr:uid="{F6F40F71-5FB0-44DA-81D2-9D55F6DCA29E}"/>
  <mergeCells count="14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</mergeCells>
  <conditionalFormatting sqref="I9:I1048576">
    <cfRule type="expression" dxfId="35" priority="1">
      <formula>$I9 &lt; (0.7*VLOOKUP($A9, Mean_PB_S, 2, FALSE))</formula>
    </cfRule>
  </conditionalFormatting>
  <conditionalFormatting sqref="J9:J1048576">
    <cfRule type="expression" dxfId="34" priority="3">
      <formula>$J9 &gt; VLOOKUP($A9, Mean_ROE_S, 2, FALSE)</formula>
    </cfRule>
  </conditionalFormatting>
  <conditionalFormatting sqref="K9:K1048576">
    <cfRule type="expression" dxfId="33" priority="4">
      <formula>$K9 &gt; VLOOKUP($A9, Mean_ROA_S, 2, FALSE)</formula>
    </cfRule>
  </conditionalFormatting>
  <conditionalFormatting sqref="M9:M1048576">
    <cfRule type="expression" dxfId="32" priority="5">
      <formula>AND($M9&gt;1, $M9&lt;25, $M9 &lt; VLOOKUP($A9, Mean_PE_S, 2, FALSE))</formula>
    </cfRule>
    <cfRule type="expression" dxfId="31" priority="6">
      <formula>AND($M9&gt;1, $M9&lt;25)</formula>
    </cfRule>
    <cfRule type="expression" dxfId="30" priority="7">
      <formula xml:space="preserve"> $M9 &lt; VLOOKUP($A9, Mean_PE_S, 2, FALSE)</formula>
    </cfRule>
  </conditionalFormatting>
  <conditionalFormatting sqref="N9:N1048576">
    <cfRule type="expression" dxfId="29" priority="8">
      <formula>$N9&lt;0</formula>
    </cfRule>
  </conditionalFormatting>
  <conditionalFormatting sqref="O9:O1048576">
    <cfRule type="expression" dxfId="28" priority="9">
      <formula>$O9&lt;0</formula>
    </cfRule>
  </conditionalFormatting>
  <conditionalFormatting sqref="P9:P1048576">
    <cfRule type="expression" dxfId="27" priority="10">
      <formula>$P9&gt;0</formula>
    </cfRule>
  </conditionalFormatting>
  <conditionalFormatting sqref="Q9:Q1048576">
    <cfRule type="expression" dxfId="26" priority="11">
      <formula>$Q9&gt;0</formula>
    </cfRule>
  </conditionalFormatting>
  <conditionalFormatting sqref="R9:R1048576">
    <cfRule type="expression" dxfId="25" priority="12">
      <formula>$R9&lt;0</formula>
    </cfRule>
  </conditionalFormatting>
  <conditionalFormatting sqref="S9:S1048576">
    <cfRule type="expression" dxfId="24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1269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81F70B-6B2C-4725-86C4-DB71D89605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18</vt:i4>
      </vt:variant>
    </vt:vector>
  </HeadingPairs>
  <TitlesOfParts>
    <vt:vector size="29" baseType="lpstr">
      <vt:lpstr>Dynamic Path</vt:lpstr>
      <vt:lpstr>Main_L</vt:lpstr>
      <vt:lpstr>Main_M</vt:lpstr>
      <vt:lpstr>Main_S</vt:lpstr>
      <vt:lpstr>Quartile Tables</vt:lpstr>
      <vt:lpstr>Mean_L</vt:lpstr>
      <vt:lpstr>Mean_M</vt:lpstr>
      <vt:lpstr>Mean_S</vt:lpstr>
      <vt:lpstr>Result_L</vt:lpstr>
      <vt:lpstr>Result_M</vt:lpstr>
      <vt:lpstr>Result_S</vt:lpstr>
      <vt:lpstr>Mean_AE_L</vt:lpstr>
      <vt:lpstr>Mean_AE_M</vt:lpstr>
      <vt:lpstr>Mean_AE_S</vt:lpstr>
      <vt:lpstr>Mean_PB_L</vt:lpstr>
      <vt:lpstr>Mean_PB_M</vt:lpstr>
      <vt:lpstr>Mean_PB_S</vt:lpstr>
      <vt:lpstr>Mean_PE_L</vt:lpstr>
      <vt:lpstr>Mean_PE_M</vt:lpstr>
      <vt:lpstr>Mean_PE_S</vt:lpstr>
      <vt:lpstr>Mean_PFCF_L</vt:lpstr>
      <vt:lpstr>Mean_PFCF_M</vt:lpstr>
      <vt:lpstr>Mean_PFCF_S</vt:lpstr>
      <vt:lpstr>Mean_ROA_L</vt:lpstr>
      <vt:lpstr>Mean_ROA_M</vt:lpstr>
      <vt:lpstr>Mean_ROA_S</vt:lpstr>
      <vt:lpstr>Mean_ROE_L</vt:lpstr>
      <vt:lpstr>Mean_ROE_M</vt:lpstr>
      <vt:lpstr>Mean_ROE_S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Ngan Vu</dc:creator>
  <cp:lastModifiedBy>Ngan Vu</cp:lastModifiedBy>
  <dcterms:created xsi:type="dcterms:W3CDTF">2024-11-08T05:29:25Z</dcterms:created>
  <dcterms:modified xsi:type="dcterms:W3CDTF">2025-05-14T03:14:31Z</dcterms:modified>
</cp:coreProperties>
</file>
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A152EA96-A374-4624-B77B-EBC3CEFDEFDD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Main_L!$A$1:$M$40</definedName>
    <definedName name="ExternalData_1" localSheetId="2" hidden="1">Main_M!$A$1:$M$43</definedName>
    <definedName name="ExternalData_1" localSheetId="3" hidden="1">Main_S!$A$1:$M$21</definedName>
    <definedName name="ExternalData_5" localSheetId="4" hidden="1">'Quartile Tables'!$A$2:$Y$7</definedName>
    <definedName name="ExternalData_6" localSheetId="4" hidden="1">'Quartile Tables'!$A$11:$Y$16</definedName>
    <definedName name="ExternalData_7" localSheetId="4" hidden="1">'Quartile Tables'!$A$20:$Y$25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5" i="1" l="1"/>
  <c r="Y24" i="1"/>
  <c r="Y23" i="1"/>
  <c r="Y22" i="1"/>
  <c r="Y21" i="1"/>
  <c r="X25" i="1"/>
  <c r="X24" i="1"/>
  <c r="X23" i="1"/>
  <c r="X22" i="1"/>
  <c r="X21" i="1"/>
  <c r="W25" i="1" a="1"/>
  <c r="W25" i="1"/>
  <c r="W24" i="1" a="1"/>
  <c r="W24" i="1" s="1"/>
  <c r="W23" i="1" a="1"/>
  <c r="W23" i="1" s="1"/>
  <c r="W22" i="1" a="1"/>
  <c r="W22" i="1"/>
  <c r="W21" i="1" a="1"/>
  <c r="W21" i="1"/>
  <c r="V25" i="1" a="1"/>
  <c r="V25" i="1"/>
  <c r="V24" i="1" a="1"/>
  <c r="V24" i="1" s="1"/>
  <c r="V23" i="1" a="1"/>
  <c r="V23" i="1"/>
  <c r="V22" i="1" a="1"/>
  <c r="V22" i="1" s="1"/>
  <c r="V21" i="1" a="1"/>
  <c r="V21" i="1" s="1"/>
  <c r="Q25" i="1"/>
  <c r="Q24" i="1"/>
  <c r="Q23" i="1"/>
  <c r="Q22" i="1"/>
  <c r="Q21" i="1"/>
  <c r="P25" i="1"/>
  <c r="P24" i="1"/>
  <c r="P23" i="1"/>
  <c r="P22" i="1"/>
  <c r="P21" i="1"/>
  <c r="O25" i="1" a="1"/>
  <c r="O25" i="1"/>
  <c r="O24" i="1" a="1"/>
  <c r="O24" i="1"/>
  <c r="O23" i="1" a="1"/>
  <c r="O23" i="1" s="1"/>
  <c r="O22" i="1" a="1"/>
  <c r="O22" i="1"/>
  <c r="O21" i="1" a="1"/>
  <c r="O21" i="1" s="1"/>
  <c r="N25" i="1" a="1"/>
  <c r="N25" i="1" s="1"/>
  <c r="N24" i="1" a="1"/>
  <c r="N24" i="1"/>
  <c r="N23" i="1" a="1"/>
  <c r="N23" i="1" s="1"/>
  <c r="N22" i="1" a="1"/>
  <c r="N22" i="1" s="1"/>
  <c r="N21" i="1" a="1"/>
  <c r="N21" i="1"/>
  <c r="M25" i="1"/>
  <c r="M24" i="1"/>
  <c r="M23" i="1"/>
  <c r="M22" i="1"/>
  <c r="M21" i="1"/>
  <c r="L25" i="1"/>
  <c r="L24" i="1"/>
  <c r="L23" i="1"/>
  <c r="L22" i="1"/>
  <c r="L21" i="1"/>
  <c r="K25" i="1" a="1"/>
  <c r="K25" i="1" s="1"/>
  <c r="K24" i="1" a="1"/>
  <c r="K24" i="1"/>
  <c r="K23" i="1" a="1"/>
  <c r="K23" i="1"/>
  <c r="K22" i="1" a="1"/>
  <c r="K22" i="1"/>
  <c r="K21" i="1" a="1"/>
  <c r="K21" i="1"/>
  <c r="J25" i="1" a="1"/>
  <c r="J25" i="1"/>
  <c r="J24" i="1" a="1"/>
  <c r="J24" i="1" s="1"/>
  <c r="J23" i="1" a="1"/>
  <c r="J23" i="1" s="1"/>
  <c r="J22" i="1" a="1"/>
  <c r="J22" i="1" s="1"/>
  <c r="J21" i="1" a="1"/>
  <c r="J21" i="1"/>
  <c r="Y16" i="1"/>
  <c r="Y15" i="1"/>
  <c r="Y14" i="1"/>
  <c r="Y13" i="1"/>
  <c r="Y12" i="1"/>
  <c r="X16" i="1"/>
  <c r="X15" i="1"/>
  <c r="X14" i="1"/>
  <c r="X13" i="1"/>
  <c r="X12" i="1"/>
  <c r="W16" i="1" a="1"/>
  <c r="W16" i="1" s="1"/>
  <c r="W15" i="1" a="1"/>
  <c r="W15" i="1"/>
  <c r="W14" i="1" a="1"/>
  <c r="W14" i="1" s="1"/>
  <c r="W13" i="1" a="1"/>
  <c r="W13" i="1"/>
  <c r="W12" i="1" a="1"/>
  <c r="W12" i="1" s="1"/>
  <c r="V16" i="1" a="1"/>
  <c r="V16" i="1"/>
  <c r="V15" i="1" a="1"/>
  <c r="V15" i="1"/>
  <c r="V14" i="1" a="1"/>
  <c r="V14" i="1" s="1"/>
  <c r="V13" i="1" a="1"/>
  <c r="V13" i="1"/>
  <c r="V12" i="1" a="1"/>
  <c r="V12" i="1"/>
  <c r="Q16" i="1"/>
  <c r="Q15" i="1"/>
  <c r="Q14" i="1"/>
  <c r="Q13" i="1"/>
  <c r="Q12" i="1"/>
  <c r="P16" i="1"/>
  <c r="P15" i="1"/>
  <c r="P14" i="1"/>
  <c r="P13" i="1"/>
  <c r="P12" i="1"/>
  <c r="O16" i="1" a="1"/>
  <c r="O16" i="1"/>
  <c r="O15" i="1" a="1"/>
  <c r="O15" i="1"/>
  <c r="O14" i="1" a="1"/>
  <c r="O14" i="1"/>
  <c r="O13" i="1" a="1"/>
  <c r="O13" i="1"/>
  <c r="O12" i="1" a="1"/>
  <c r="O12" i="1" s="1"/>
  <c r="N16" i="1" a="1"/>
  <c r="N16" i="1"/>
  <c r="N15" i="1" a="1"/>
  <c r="N15" i="1"/>
  <c r="N14" i="1" a="1"/>
  <c r="N14" i="1" s="1"/>
  <c r="N13" i="1" a="1"/>
  <c r="N13" i="1"/>
  <c r="N12" i="1" a="1"/>
  <c r="N12" i="1"/>
  <c r="M16" i="1"/>
  <c r="M15" i="1"/>
  <c r="M14" i="1"/>
  <c r="M13" i="1"/>
  <c r="M12" i="1"/>
  <c r="L16" i="1"/>
  <c r="L15" i="1"/>
  <c r="L14" i="1"/>
  <c r="L13" i="1"/>
  <c r="L12" i="1"/>
  <c r="K16" i="1" a="1"/>
  <c r="K16" i="1"/>
  <c r="K15" i="1" a="1"/>
  <c r="K15" i="1" s="1"/>
  <c r="K14" i="1" a="1"/>
  <c r="K14" i="1"/>
  <c r="K13" i="1" a="1"/>
  <c r="K13" i="1" s="1"/>
  <c r="K12" i="1" a="1"/>
  <c r="K12" i="1"/>
  <c r="J16" i="1" a="1"/>
  <c r="J16" i="1" s="1"/>
  <c r="J15" i="1" a="1"/>
  <c r="J15" i="1"/>
  <c r="J14" i="1" a="1"/>
  <c r="J14" i="1"/>
  <c r="J13" i="1" a="1"/>
  <c r="J13" i="1" s="1"/>
  <c r="J12" i="1" a="1"/>
  <c r="J12" i="1"/>
  <c r="Y7" i="1"/>
  <c r="Y6" i="1"/>
  <c r="Y5" i="1"/>
  <c r="Y4" i="1"/>
  <c r="Y3" i="1"/>
  <c r="X7" i="1"/>
  <c r="X6" i="1"/>
  <c r="X5" i="1"/>
  <c r="X4" i="1"/>
  <c r="X3" i="1"/>
  <c r="W7" i="1" a="1"/>
  <c r="W7" i="1"/>
  <c r="W6" i="1" a="1"/>
  <c r="W6" i="1" s="1"/>
  <c r="W5" i="1" a="1"/>
  <c r="W5" i="1" s="1"/>
  <c r="W4" i="1" a="1"/>
  <c r="W4" i="1"/>
  <c r="W3" i="1" a="1"/>
  <c r="W3" i="1"/>
  <c r="V7" i="1" a="1"/>
  <c r="V7" i="1" s="1"/>
  <c r="V6" i="1" a="1"/>
  <c r="V6" i="1"/>
  <c r="V5" i="1" a="1"/>
  <c r="V5" i="1"/>
  <c r="V4" i="1" a="1"/>
  <c r="V4" i="1" s="1"/>
  <c r="V3" i="1" a="1"/>
  <c r="V3" i="1"/>
  <c r="Q7" i="1"/>
  <c r="Q6" i="1"/>
  <c r="Q5" i="1"/>
  <c r="Q4" i="1"/>
  <c r="Q3" i="1"/>
  <c r="P7" i="1"/>
  <c r="P6" i="1"/>
  <c r="P5" i="1"/>
  <c r="P4" i="1"/>
  <c r="P3" i="1"/>
  <c r="O7" i="1" a="1"/>
  <c r="O7" i="1"/>
  <c r="O6" i="1" a="1"/>
  <c r="O6" i="1"/>
  <c r="O5" i="1" a="1"/>
  <c r="O5" i="1"/>
  <c r="O4" i="1" a="1"/>
  <c r="O4" i="1" s="1"/>
  <c r="O3" i="1" a="1"/>
  <c r="O3" i="1" s="1"/>
  <c r="N7" i="1" a="1"/>
  <c r="N7" i="1"/>
  <c r="N6" i="1" a="1"/>
  <c r="N6" i="1" s="1"/>
  <c r="N5" i="1" a="1"/>
  <c r="N5" i="1" s="1"/>
  <c r="N4" i="1" a="1"/>
  <c r="N4" i="1" s="1"/>
  <c r="N3" i="1" a="1"/>
  <c r="N3" i="1" s="1"/>
  <c r="M7" i="1"/>
  <c r="M6" i="1"/>
  <c r="M5" i="1"/>
  <c r="M4" i="1"/>
  <c r="M3" i="1"/>
  <c r="L7" i="1"/>
  <c r="L6" i="1"/>
  <c r="L5" i="1"/>
  <c r="L4" i="1"/>
  <c r="L3" i="1"/>
  <c r="K7" i="1" a="1"/>
  <c r="K7" i="1" s="1"/>
  <c r="K6" i="1" a="1"/>
  <c r="K6" i="1" s="1"/>
  <c r="K5" i="1" a="1"/>
  <c r="K5" i="1" s="1"/>
  <c r="K4" i="1" a="1"/>
  <c r="K4" i="1"/>
  <c r="K3" i="1" a="1"/>
  <c r="K3" i="1"/>
  <c r="J7" i="1" a="1"/>
  <c r="J7" i="1" s="1"/>
  <c r="J6" i="1" a="1"/>
  <c r="J6" i="1"/>
  <c r="J5" i="1" a="1"/>
  <c r="J5" i="1"/>
  <c r="J4" i="1" a="1"/>
  <c r="J4" i="1"/>
  <c r="J3" i="1" a="1"/>
  <c r="J3" i="1"/>
  <c r="M21" i="4"/>
  <c r="T21" i="4" s="1"/>
  <c r="M9" i="4"/>
  <c r="T9" i="4" s="1"/>
  <c r="M5" i="4"/>
  <c r="M2" i="4"/>
  <c r="I21" i="4"/>
  <c r="P21" i="4" s="1"/>
  <c r="I9" i="4"/>
  <c r="P9" i="4" s="1"/>
  <c r="I8" i="4"/>
  <c r="P8" i="4" s="1"/>
  <c r="I7" i="4"/>
  <c r="P7" i="4" s="1"/>
  <c r="I6" i="4"/>
  <c r="I5" i="4"/>
  <c r="P5" i="4" s="1"/>
  <c r="I4" i="4"/>
  <c r="P4" i="4" s="1"/>
  <c r="I2" i="4"/>
  <c r="H21" i="4"/>
  <c r="O21" i="4" s="1"/>
  <c r="H14" i="4"/>
  <c r="O14" i="4" s="1"/>
  <c r="H11" i="4"/>
  <c r="O11" i="4" s="1"/>
  <c r="H9" i="4"/>
  <c r="H8" i="4"/>
  <c r="O8" i="4" s="1"/>
  <c r="H7" i="4"/>
  <c r="O7" i="4" s="1"/>
  <c r="H5" i="4"/>
  <c r="H4" i="4"/>
  <c r="O4" i="4" s="1"/>
  <c r="D21" i="4"/>
  <c r="D20" i="4"/>
  <c r="M20" i="4" s="1"/>
  <c r="T20" i="4" s="1"/>
  <c r="D19" i="4"/>
  <c r="M19" i="4" s="1"/>
  <c r="T19" i="4" s="1"/>
  <c r="D18" i="4"/>
  <c r="M18" i="4" s="1"/>
  <c r="T18" i="4" s="1"/>
  <c r="D17" i="4"/>
  <c r="M17" i="4" s="1"/>
  <c r="T17" i="4" s="1"/>
  <c r="D16" i="4"/>
  <c r="M16" i="4" s="1"/>
  <c r="D15" i="4"/>
  <c r="I15" i="4" s="1"/>
  <c r="P15" i="4" s="1"/>
  <c r="D14" i="4"/>
  <c r="I14" i="4" s="1"/>
  <c r="D13" i="4"/>
  <c r="M13" i="4" s="1"/>
  <c r="T13" i="4" s="1"/>
  <c r="D12" i="4"/>
  <c r="M12" i="4" s="1"/>
  <c r="T12" i="4" s="1"/>
  <c r="D11" i="4"/>
  <c r="I11" i="4" s="1"/>
  <c r="P11" i="4" s="1"/>
  <c r="D10" i="4"/>
  <c r="M10" i="4" s="1"/>
  <c r="T10" i="4" s="1"/>
  <c r="D9" i="4"/>
  <c r="D8" i="4"/>
  <c r="M8" i="4" s="1"/>
  <c r="T8" i="4" s="1"/>
  <c r="D7" i="4"/>
  <c r="M7" i="4" s="1"/>
  <c r="T7" i="4" s="1"/>
  <c r="D6" i="4"/>
  <c r="M6" i="4" s="1"/>
  <c r="T6" i="4" s="1"/>
  <c r="D5" i="4"/>
  <c r="D4" i="4"/>
  <c r="M4" i="4" s="1"/>
  <c r="T4" i="4" s="1"/>
  <c r="D3" i="4"/>
  <c r="M3" i="4" s="1"/>
  <c r="D2" i="4"/>
  <c r="H2" i="4" s="1"/>
  <c r="M43" i="3"/>
  <c r="T43" i="3" s="1"/>
  <c r="M41" i="3"/>
  <c r="T41" i="3" s="1"/>
  <c r="M31" i="3"/>
  <c r="M30" i="3"/>
  <c r="T30" i="3" s="1"/>
  <c r="M29" i="3"/>
  <c r="T29" i="3" s="1"/>
  <c r="M28" i="3"/>
  <c r="T28" i="3" s="1"/>
  <c r="M27" i="3"/>
  <c r="T27" i="3" s="1"/>
  <c r="M26" i="3"/>
  <c r="T26" i="3" s="1"/>
  <c r="M25" i="3"/>
  <c r="T25" i="3" s="1"/>
  <c r="M24" i="3"/>
  <c r="M23" i="3"/>
  <c r="M21" i="3"/>
  <c r="T21" i="3" s="1"/>
  <c r="M11" i="3"/>
  <c r="T11" i="3" s="1"/>
  <c r="M10" i="3"/>
  <c r="T10" i="3" s="1"/>
  <c r="M9" i="3"/>
  <c r="M8" i="3"/>
  <c r="M7" i="3"/>
  <c r="T7" i="3" s="1"/>
  <c r="M6" i="3"/>
  <c r="T6" i="3" s="1"/>
  <c r="M5" i="3"/>
  <c r="T5" i="3" s="1"/>
  <c r="M4" i="3"/>
  <c r="T4" i="3" s="1"/>
  <c r="M3" i="3"/>
  <c r="T3" i="3" s="1"/>
  <c r="I30" i="3"/>
  <c r="I29" i="3"/>
  <c r="I28" i="3"/>
  <c r="I27" i="3"/>
  <c r="I26" i="3"/>
  <c r="I25" i="3"/>
  <c r="I13" i="3"/>
  <c r="P13" i="3" s="1"/>
  <c r="I11" i="3"/>
  <c r="P11" i="3" s="1"/>
  <c r="I10" i="3"/>
  <c r="P10" i="3" s="1"/>
  <c r="I9" i="3"/>
  <c r="N9" i="3" s="1"/>
  <c r="I8" i="3"/>
  <c r="I7" i="3"/>
  <c r="P7" i="3" s="1"/>
  <c r="I6" i="3"/>
  <c r="N6" i="3" s="1"/>
  <c r="I5" i="3"/>
  <c r="N5" i="3" s="1"/>
  <c r="H41" i="3"/>
  <c r="H40" i="3"/>
  <c r="H30" i="3"/>
  <c r="O30" i="3" s="1"/>
  <c r="H29" i="3"/>
  <c r="H28" i="3"/>
  <c r="H27" i="3"/>
  <c r="O27" i="3" s="1"/>
  <c r="H25" i="3"/>
  <c r="O25" i="3" s="1"/>
  <c r="H21" i="3"/>
  <c r="H20" i="3"/>
  <c r="H17" i="3"/>
  <c r="H16" i="3"/>
  <c r="O16" i="3" s="1"/>
  <c r="H10" i="3"/>
  <c r="H9" i="3"/>
  <c r="O9" i="3" s="1"/>
  <c r="H8" i="3"/>
  <c r="O8" i="3" s="1"/>
  <c r="H7" i="3"/>
  <c r="O7" i="3" s="1"/>
  <c r="H5" i="3"/>
  <c r="D43" i="3"/>
  <c r="D42" i="3"/>
  <c r="D41" i="3"/>
  <c r="I41" i="3" s="1"/>
  <c r="D40" i="3"/>
  <c r="M40" i="3" s="1"/>
  <c r="T40" i="3" s="1"/>
  <c r="D39" i="3"/>
  <c r="D38" i="3"/>
  <c r="D37" i="3"/>
  <c r="D36" i="3"/>
  <c r="D35" i="3"/>
  <c r="I35" i="3" s="1"/>
  <c r="D34" i="3"/>
  <c r="D33" i="3"/>
  <c r="H33" i="3" s="1"/>
  <c r="D32" i="3"/>
  <c r="M32" i="3" s="1"/>
  <c r="T32" i="3" s="1"/>
  <c r="D31" i="3"/>
  <c r="D30" i="3"/>
  <c r="D29" i="3"/>
  <c r="D28" i="3"/>
  <c r="D27" i="3"/>
  <c r="D26" i="3"/>
  <c r="H26" i="3" s="1"/>
  <c r="O26" i="3" s="1"/>
  <c r="D25" i="3"/>
  <c r="D24" i="3"/>
  <c r="I24" i="3" s="1"/>
  <c r="D23" i="3"/>
  <c r="I23" i="3" s="1"/>
  <c r="P23" i="3" s="1"/>
  <c r="D22" i="3"/>
  <c r="D21" i="3"/>
  <c r="I21" i="3" s="1"/>
  <c r="D20" i="3"/>
  <c r="M20" i="3" s="1"/>
  <c r="T20" i="3" s="1"/>
  <c r="D19" i="3"/>
  <c r="D18" i="3"/>
  <c r="D17" i="3"/>
  <c r="D16" i="3"/>
  <c r="D15" i="3"/>
  <c r="D14" i="3"/>
  <c r="D13" i="3"/>
  <c r="M13" i="3" s="1"/>
  <c r="T13" i="3" s="1"/>
  <c r="D12" i="3"/>
  <c r="D11" i="3"/>
  <c r="H11" i="3" s="1"/>
  <c r="D10" i="3"/>
  <c r="D9" i="3"/>
  <c r="D8" i="3"/>
  <c r="D7" i="3"/>
  <c r="D6" i="3"/>
  <c r="H6" i="3" s="1"/>
  <c r="O6" i="3" s="1"/>
  <c r="D5" i="3"/>
  <c r="D4" i="3"/>
  <c r="I4" i="3" s="1"/>
  <c r="P4" i="3" s="1"/>
  <c r="D3" i="3"/>
  <c r="D2" i="3"/>
  <c r="M37" i="2"/>
  <c r="T37" i="2" s="1"/>
  <c r="M36" i="2"/>
  <c r="T36" i="2" s="1"/>
  <c r="M35" i="2"/>
  <c r="T35" i="2" s="1"/>
  <c r="M34" i="2"/>
  <c r="T34" i="2" s="1"/>
  <c r="M33" i="2"/>
  <c r="T33" i="2" s="1"/>
  <c r="M32" i="2"/>
  <c r="T32" i="2" s="1"/>
  <c r="M31" i="2"/>
  <c r="T31" i="2" s="1"/>
  <c r="M30" i="2"/>
  <c r="M29" i="2"/>
  <c r="T29" i="2" s="1"/>
  <c r="M28" i="2"/>
  <c r="T28" i="2" s="1"/>
  <c r="M24" i="2"/>
  <c r="T24" i="2" s="1"/>
  <c r="M22" i="2"/>
  <c r="T22" i="2" s="1"/>
  <c r="M21" i="2"/>
  <c r="T21" i="2" s="1"/>
  <c r="M17" i="2"/>
  <c r="T17" i="2" s="1"/>
  <c r="M16" i="2"/>
  <c r="T16" i="2" s="1"/>
  <c r="M13" i="2"/>
  <c r="M12" i="2"/>
  <c r="M10" i="2"/>
  <c r="T10" i="2" s="1"/>
  <c r="M4" i="2"/>
  <c r="M2" i="2"/>
  <c r="I37" i="2"/>
  <c r="P37" i="2" s="1"/>
  <c r="I36" i="2"/>
  <c r="P36" i="2" s="1"/>
  <c r="I35" i="2"/>
  <c r="P35" i="2" s="1"/>
  <c r="I28" i="2"/>
  <c r="P28" i="2" s="1"/>
  <c r="I24" i="2"/>
  <c r="P24" i="2" s="1"/>
  <c r="I22" i="2"/>
  <c r="I21" i="2"/>
  <c r="P21" i="2" s="1"/>
  <c r="I20" i="2"/>
  <c r="P20" i="2" s="1"/>
  <c r="I17" i="2"/>
  <c r="I16" i="2"/>
  <c r="P16" i="2" s="1"/>
  <c r="I15" i="2"/>
  <c r="P15" i="2" s="1"/>
  <c r="I14" i="2"/>
  <c r="I13" i="2"/>
  <c r="P13" i="2" s="1"/>
  <c r="I12" i="2"/>
  <c r="P12" i="2" s="1"/>
  <c r="I10" i="2"/>
  <c r="P10" i="2" s="1"/>
  <c r="I4" i="2"/>
  <c r="I2" i="2"/>
  <c r="H39" i="2"/>
  <c r="H37" i="2"/>
  <c r="H36" i="2"/>
  <c r="O36" i="2" s="1"/>
  <c r="H35" i="2"/>
  <c r="O35" i="2" s="1"/>
  <c r="H34" i="2"/>
  <c r="O34" i="2" s="1"/>
  <c r="H33" i="2"/>
  <c r="H32" i="2"/>
  <c r="H30" i="2"/>
  <c r="H28" i="2"/>
  <c r="H24" i="2"/>
  <c r="O24" i="2" s="1"/>
  <c r="H21" i="2"/>
  <c r="H20" i="2"/>
  <c r="H17" i="2"/>
  <c r="O17" i="2" s="1"/>
  <c r="H16" i="2"/>
  <c r="H14" i="2"/>
  <c r="H13" i="2"/>
  <c r="H12" i="2"/>
  <c r="O12" i="2" s="1"/>
  <c r="H10" i="2"/>
  <c r="N10" i="2" s="1"/>
  <c r="H9" i="2"/>
  <c r="O9" i="2" s="1"/>
  <c r="H8" i="2"/>
  <c r="N8" i="2" s="1"/>
  <c r="H7" i="2"/>
  <c r="O7" i="2" s="1"/>
  <c r="H4" i="2"/>
  <c r="H2" i="2"/>
  <c r="D40" i="2"/>
  <c r="M40" i="2" s="1"/>
  <c r="T40" i="2" s="1"/>
  <c r="D39" i="2"/>
  <c r="D38" i="2"/>
  <c r="D37" i="2"/>
  <c r="D36" i="2"/>
  <c r="D35" i="2"/>
  <c r="D34" i="2"/>
  <c r="I34" i="2" s="1"/>
  <c r="P34" i="2" s="1"/>
  <c r="D33" i="2"/>
  <c r="I33" i="2" s="1"/>
  <c r="P33" i="2" s="1"/>
  <c r="D32" i="2"/>
  <c r="I32" i="2" s="1"/>
  <c r="P32" i="2" s="1"/>
  <c r="D31" i="2"/>
  <c r="I31" i="2" s="1"/>
  <c r="P31" i="2" s="1"/>
  <c r="D30" i="2"/>
  <c r="I30" i="2" s="1"/>
  <c r="P30" i="2" s="1"/>
  <c r="D29" i="2"/>
  <c r="I29" i="2" s="1"/>
  <c r="P29" i="2" s="1"/>
  <c r="D28" i="2"/>
  <c r="D27" i="2"/>
  <c r="H27" i="2" s="1"/>
  <c r="D26" i="2"/>
  <c r="D25" i="2"/>
  <c r="D24" i="2"/>
  <c r="D23" i="2"/>
  <c r="H23" i="2" s="1"/>
  <c r="O23" i="2" s="1"/>
  <c r="D22" i="2"/>
  <c r="H22" i="2" s="1"/>
  <c r="N22" i="2" s="1"/>
  <c r="D21" i="2"/>
  <c r="D20" i="2"/>
  <c r="M20" i="2" s="1"/>
  <c r="T20" i="2" s="1"/>
  <c r="D19" i="2"/>
  <c r="D18" i="2"/>
  <c r="D17" i="2"/>
  <c r="D16" i="2"/>
  <c r="D15" i="2"/>
  <c r="M15" i="2" s="1"/>
  <c r="T15" i="2" s="1"/>
  <c r="D14" i="2"/>
  <c r="M14" i="2" s="1"/>
  <c r="T14" i="2" s="1"/>
  <c r="D13" i="2"/>
  <c r="D12" i="2"/>
  <c r="D11" i="2"/>
  <c r="H11" i="2" s="1"/>
  <c r="D10" i="2"/>
  <c r="D9" i="2"/>
  <c r="I9" i="2" s="1"/>
  <c r="P9" i="2" s="1"/>
  <c r="D8" i="2"/>
  <c r="I8" i="2" s="1"/>
  <c r="P8" i="2" s="1"/>
  <c r="D7" i="2"/>
  <c r="D6" i="2"/>
  <c r="D5" i="2"/>
  <c r="D4" i="2"/>
  <c r="D3" i="2"/>
  <c r="H3" i="2" s="1"/>
  <c r="D2" i="2"/>
  <c r="N10" i="3"/>
  <c r="O5" i="3"/>
  <c r="O41" i="3"/>
  <c r="O10" i="3"/>
  <c r="P25" i="3"/>
  <c r="P26" i="3"/>
  <c r="P27" i="3"/>
  <c r="P28" i="3"/>
  <c r="P29" i="3"/>
  <c r="P30" i="3"/>
  <c r="P41" i="3"/>
  <c r="P21" i="3"/>
  <c r="Q25" i="3"/>
  <c r="Q26" i="3"/>
  <c r="Q27" i="3"/>
  <c r="Q28" i="3"/>
  <c r="Q29" i="3"/>
  <c r="Q30" i="3"/>
  <c r="Q31" i="3"/>
  <c r="Q36" i="3"/>
  <c r="Q32" i="3"/>
  <c r="Q2" i="3"/>
  <c r="Q37" i="3"/>
  <c r="Q15" i="3"/>
  <c r="Q16" i="3"/>
  <c r="Q33" i="3"/>
  <c r="Q3" i="3"/>
  <c r="Q42" i="3"/>
  <c r="Q17" i="3"/>
  <c r="Q34" i="3"/>
  <c r="Q18" i="3"/>
  <c r="Q38" i="3"/>
  <c r="Q4" i="3"/>
  <c r="Q39" i="3"/>
  <c r="Q19" i="3"/>
  <c r="Q20" i="3"/>
  <c r="Q5" i="3"/>
  <c r="Q40" i="3"/>
  <c r="Q41" i="3"/>
  <c r="Q43" i="3"/>
  <c r="Q21" i="3"/>
  <c r="Q22" i="3"/>
  <c r="Q23" i="3"/>
  <c r="Q6" i="3"/>
  <c r="Q7" i="3"/>
  <c r="Q35" i="3"/>
  <c r="Q8" i="3"/>
  <c r="Q9" i="3"/>
  <c r="Q10" i="3"/>
  <c r="Q11" i="3"/>
  <c r="Q12" i="3"/>
  <c r="Q13" i="3"/>
  <c r="Q14" i="3"/>
  <c r="Q24" i="3"/>
  <c r="R25" i="3"/>
  <c r="R26" i="3"/>
  <c r="R27" i="3"/>
  <c r="R28" i="3"/>
  <c r="R29" i="3"/>
  <c r="R30" i="3"/>
  <c r="R31" i="3"/>
  <c r="R36" i="3"/>
  <c r="R32" i="3"/>
  <c r="R2" i="3"/>
  <c r="R37" i="3"/>
  <c r="R15" i="3"/>
  <c r="R16" i="3"/>
  <c r="R33" i="3"/>
  <c r="R3" i="3"/>
  <c r="R42" i="3"/>
  <c r="R17" i="3"/>
  <c r="R34" i="3"/>
  <c r="R18" i="3"/>
  <c r="R38" i="3"/>
  <c r="R4" i="3"/>
  <c r="R39" i="3"/>
  <c r="R19" i="3"/>
  <c r="R20" i="3"/>
  <c r="R5" i="3"/>
  <c r="R40" i="3"/>
  <c r="R41" i="3"/>
  <c r="R43" i="3"/>
  <c r="R21" i="3"/>
  <c r="R22" i="3"/>
  <c r="R23" i="3"/>
  <c r="R6" i="3"/>
  <c r="R7" i="3"/>
  <c r="R35" i="3"/>
  <c r="R8" i="3"/>
  <c r="R9" i="3"/>
  <c r="R10" i="3"/>
  <c r="R11" i="3"/>
  <c r="R12" i="3"/>
  <c r="R13" i="3"/>
  <c r="R14" i="3"/>
  <c r="R24" i="3"/>
  <c r="S25" i="3"/>
  <c r="S26" i="3"/>
  <c r="S27" i="3"/>
  <c r="S28" i="3"/>
  <c r="S29" i="3"/>
  <c r="S30" i="3"/>
  <c r="S31" i="3"/>
  <c r="S36" i="3"/>
  <c r="S32" i="3"/>
  <c r="S2" i="3"/>
  <c r="S37" i="3"/>
  <c r="S15" i="3"/>
  <c r="S16" i="3"/>
  <c r="S33" i="3"/>
  <c r="S3" i="3"/>
  <c r="S42" i="3"/>
  <c r="S17" i="3"/>
  <c r="S34" i="3"/>
  <c r="S18" i="3"/>
  <c r="S38" i="3"/>
  <c r="S4" i="3"/>
  <c r="S39" i="3"/>
  <c r="S19" i="3"/>
  <c r="S20" i="3"/>
  <c r="S5" i="3"/>
  <c r="S40" i="3"/>
  <c r="S41" i="3"/>
  <c r="S43" i="3"/>
  <c r="S21" i="3"/>
  <c r="S22" i="3"/>
  <c r="S23" i="3"/>
  <c r="S6" i="3"/>
  <c r="S7" i="3"/>
  <c r="S35" i="3"/>
  <c r="S8" i="3"/>
  <c r="S9" i="3"/>
  <c r="S10" i="3"/>
  <c r="S11" i="3"/>
  <c r="S12" i="3"/>
  <c r="S13" i="3"/>
  <c r="S14" i="3"/>
  <c r="S24" i="3"/>
  <c r="T31" i="3"/>
  <c r="T23" i="3"/>
  <c r="T8" i="3"/>
  <c r="T9" i="3"/>
  <c r="T24" i="3"/>
  <c r="N2" i="2"/>
  <c r="N4" i="2"/>
  <c r="N12" i="2"/>
  <c r="O2" i="2"/>
  <c r="O3" i="2"/>
  <c r="O4" i="2"/>
  <c r="O28" i="2"/>
  <c r="O16" i="2"/>
  <c r="O20" i="2"/>
  <c r="O39" i="2"/>
  <c r="O37" i="2"/>
  <c r="O22" i="2"/>
  <c r="P2" i="2"/>
  <c r="P4" i="2"/>
  <c r="P14" i="2"/>
  <c r="P22" i="2"/>
  <c r="Q2" i="2"/>
  <c r="Q26" i="2"/>
  <c r="Q24" i="2"/>
  <c r="Q3" i="2"/>
  <c r="Q4" i="2"/>
  <c r="Q5" i="2"/>
  <c r="Q25" i="2"/>
  <c r="Q6" i="2"/>
  <c r="Q27" i="2"/>
  <c r="Q7" i="2"/>
  <c r="Q8" i="2"/>
  <c r="Q9" i="2"/>
  <c r="Q28" i="2"/>
  <c r="Q29" i="2"/>
  <c r="Q10" i="2"/>
  <c r="Q11" i="2"/>
  <c r="Q12" i="2"/>
  <c r="Q30" i="2"/>
  <c r="Q13" i="2"/>
  <c r="Q14" i="2"/>
  <c r="Q15" i="2"/>
  <c r="Q16" i="2"/>
  <c r="Q31" i="2"/>
  <c r="Q32" i="2"/>
  <c r="Q33" i="2"/>
  <c r="Q17" i="2"/>
  <c r="Q18" i="2"/>
  <c r="Q34" i="2"/>
  <c r="Q19" i="2"/>
  <c r="Q20" i="2"/>
  <c r="Q35" i="2"/>
  <c r="Q38" i="2"/>
  <c r="Q36" i="2"/>
  <c r="Q21" i="2"/>
  <c r="Q39" i="2"/>
  <c r="Q37" i="2"/>
  <c r="Q22" i="2"/>
  <c r="Q40" i="2"/>
  <c r="Q23" i="2"/>
  <c r="R2" i="2"/>
  <c r="R26" i="2"/>
  <c r="R24" i="2"/>
  <c r="R3" i="2"/>
  <c r="R4" i="2"/>
  <c r="R5" i="2"/>
  <c r="R25" i="2"/>
  <c r="R6" i="2"/>
  <c r="R27" i="2"/>
  <c r="R7" i="2"/>
  <c r="R8" i="2"/>
  <c r="R9" i="2"/>
  <c r="R28" i="2"/>
  <c r="R29" i="2"/>
  <c r="R10" i="2"/>
  <c r="R11" i="2"/>
  <c r="R12" i="2"/>
  <c r="R30" i="2"/>
  <c r="R13" i="2"/>
  <c r="R14" i="2"/>
  <c r="R15" i="2"/>
  <c r="R16" i="2"/>
  <c r="R31" i="2"/>
  <c r="R32" i="2"/>
  <c r="R33" i="2"/>
  <c r="R17" i="2"/>
  <c r="R18" i="2"/>
  <c r="R34" i="2"/>
  <c r="R19" i="2"/>
  <c r="R20" i="2"/>
  <c r="R35" i="2"/>
  <c r="R38" i="2"/>
  <c r="R36" i="2"/>
  <c r="R21" i="2"/>
  <c r="R39" i="2"/>
  <c r="R37" i="2"/>
  <c r="R22" i="2"/>
  <c r="R40" i="2"/>
  <c r="R23" i="2"/>
  <c r="S2" i="2"/>
  <c r="S26" i="2"/>
  <c r="S24" i="2"/>
  <c r="S3" i="2"/>
  <c r="S4" i="2"/>
  <c r="S5" i="2"/>
  <c r="S25" i="2"/>
  <c r="S6" i="2"/>
  <c r="S27" i="2"/>
  <c r="S7" i="2"/>
  <c r="S8" i="2"/>
  <c r="S9" i="2"/>
  <c r="S28" i="2"/>
  <c r="S29" i="2"/>
  <c r="S10" i="2"/>
  <c r="S11" i="2"/>
  <c r="S12" i="2"/>
  <c r="S30" i="2"/>
  <c r="S13" i="2"/>
  <c r="S14" i="2"/>
  <c r="S15" i="2"/>
  <c r="S16" i="2"/>
  <c r="S31" i="2"/>
  <c r="S32" i="2"/>
  <c r="S33" i="2"/>
  <c r="S17" i="2"/>
  <c r="S18" i="2"/>
  <c r="S34" i="2"/>
  <c r="S19" i="2"/>
  <c r="S20" i="2"/>
  <c r="S35" i="2"/>
  <c r="S38" i="2"/>
  <c r="S36" i="2"/>
  <c r="S21" i="2"/>
  <c r="S39" i="2"/>
  <c r="S37" i="2"/>
  <c r="S22" i="2"/>
  <c r="S40" i="2"/>
  <c r="S23" i="2"/>
  <c r="T4" i="2"/>
  <c r="T12" i="2"/>
  <c r="T30" i="2"/>
  <c r="T13" i="2"/>
  <c r="N9" i="4"/>
  <c r="N8" i="4"/>
  <c r="O9" i="4"/>
  <c r="O2" i="4"/>
  <c r="P6" i="4"/>
  <c r="P14" i="4"/>
  <c r="Q9" i="4"/>
  <c r="Q2" i="4"/>
  <c r="Q15" i="4"/>
  <c r="Q5" i="4"/>
  <c r="Q6" i="4"/>
  <c r="Q7" i="4"/>
  <c r="Q14" i="4"/>
  <c r="Q16" i="4"/>
  <c r="Q17" i="4"/>
  <c r="Q18" i="4"/>
  <c r="Q10" i="4"/>
  <c r="Q8" i="4"/>
  <c r="Q19" i="4"/>
  <c r="Q11" i="4"/>
  <c r="Q3" i="4"/>
  <c r="Q4" i="4"/>
  <c r="Q12" i="4"/>
  <c r="Q13" i="4"/>
  <c r="Q20" i="4"/>
  <c r="Q21" i="4"/>
  <c r="R9" i="4"/>
  <c r="R2" i="4"/>
  <c r="R15" i="4"/>
  <c r="R5" i="4"/>
  <c r="R6" i="4"/>
  <c r="R7" i="4"/>
  <c r="R14" i="4"/>
  <c r="R16" i="4"/>
  <c r="R17" i="4"/>
  <c r="R18" i="4"/>
  <c r="R10" i="4"/>
  <c r="R8" i="4"/>
  <c r="R19" i="4"/>
  <c r="R11" i="4"/>
  <c r="R3" i="4"/>
  <c r="R4" i="4"/>
  <c r="R12" i="4"/>
  <c r="R13" i="4"/>
  <c r="R20" i="4"/>
  <c r="R21" i="4"/>
  <c r="S9" i="4"/>
  <c r="S2" i="4"/>
  <c r="S15" i="4"/>
  <c r="S5" i="4"/>
  <c r="S6" i="4"/>
  <c r="S7" i="4"/>
  <c r="S14" i="4"/>
  <c r="S16" i="4"/>
  <c r="S17" i="4"/>
  <c r="S18" i="4"/>
  <c r="S10" i="4"/>
  <c r="S8" i="4"/>
  <c r="S19" i="4"/>
  <c r="S11" i="4"/>
  <c r="S3" i="4"/>
  <c r="S4" i="4"/>
  <c r="S12" i="4"/>
  <c r="S13" i="4"/>
  <c r="S20" i="4"/>
  <c r="S21" i="4"/>
  <c r="T2" i="4"/>
  <c r="T5" i="4"/>
  <c r="T16" i="4"/>
  <c r="C1" i="12" a="1"/>
  <c r="C1" i="12" s="1"/>
  <c r="C1" i="11" a="1"/>
  <c r="C1" i="11" s="1"/>
  <c r="C1" i="9" a="1"/>
  <c r="C1" i="9" s="1"/>
  <c r="H40" i="2" l="1"/>
  <c r="I40" i="2"/>
  <c r="P40" i="2" s="1"/>
  <c r="M8" i="2"/>
  <c r="T8" i="2" s="1"/>
  <c r="H15" i="2"/>
  <c r="O27" i="2"/>
  <c r="M7" i="2"/>
  <c r="T7" i="2" s="1"/>
  <c r="I7" i="2"/>
  <c r="I16" i="3"/>
  <c r="P16" i="3" s="1"/>
  <c r="M16" i="3"/>
  <c r="T16" i="3" s="1"/>
  <c r="M34" i="3"/>
  <c r="T34" i="3" s="1"/>
  <c r="H34" i="3"/>
  <c r="N2" i="4"/>
  <c r="N14" i="2"/>
  <c r="O14" i="2"/>
  <c r="M38" i="3"/>
  <c r="T38" i="3" s="1"/>
  <c r="H38" i="3"/>
  <c r="I19" i="3"/>
  <c r="P19" i="3" s="1"/>
  <c r="M19" i="3"/>
  <c r="T19" i="3" s="1"/>
  <c r="H19" i="3"/>
  <c r="I6" i="2"/>
  <c r="P6" i="2" s="1"/>
  <c r="M6" i="2"/>
  <c r="T6" i="2" s="1"/>
  <c r="I36" i="3"/>
  <c r="P36" i="3" s="1"/>
  <c r="H36" i="3"/>
  <c r="M18" i="3"/>
  <c r="T18" i="3" s="1"/>
  <c r="H18" i="3"/>
  <c r="O18" i="3" s="1"/>
  <c r="I18" i="3"/>
  <c r="O10" i="2"/>
  <c r="I39" i="3"/>
  <c r="N39" i="3" s="1"/>
  <c r="M39" i="3"/>
  <c r="T39" i="3" s="1"/>
  <c r="H39" i="3"/>
  <c r="O39" i="3" s="1"/>
  <c r="T2" i="2"/>
  <c r="P5" i="3"/>
  <c r="H32" i="3"/>
  <c r="I34" i="3"/>
  <c r="P34" i="3" s="1"/>
  <c r="O33" i="2"/>
  <c r="N33" i="2"/>
  <c r="O11" i="2"/>
  <c r="M9" i="2"/>
  <c r="T9" i="2" s="1"/>
  <c r="O8" i="2"/>
  <c r="O17" i="3"/>
  <c r="I11" i="2"/>
  <c r="P11" i="2" s="1"/>
  <c r="I26" i="2"/>
  <c r="P26" i="2" s="1"/>
  <c r="M26" i="2"/>
  <c r="T26" i="2" s="1"/>
  <c r="M37" i="3"/>
  <c r="T37" i="3" s="1"/>
  <c r="I37" i="3"/>
  <c r="P37" i="3" s="1"/>
  <c r="H37" i="3"/>
  <c r="O28" i="3"/>
  <c r="N28" i="3"/>
  <c r="I32" i="3"/>
  <c r="P32" i="3" s="1"/>
  <c r="I33" i="3"/>
  <c r="P33" i="3" s="1"/>
  <c r="N21" i="4"/>
  <c r="O33" i="3"/>
  <c r="M11" i="2"/>
  <c r="T11" i="2" s="1"/>
  <c r="I38" i="3"/>
  <c r="P38" i="3" s="1"/>
  <c r="O20" i="3"/>
  <c r="M33" i="3"/>
  <c r="T33" i="3" s="1"/>
  <c r="H18" i="2"/>
  <c r="I18" i="2"/>
  <c r="P18" i="2" s="1"/>
  <c r="M18" i="2"/>
  <c r="T18" i="2" s="1"/>
  <c r="H38" i="2"/>
  <c r="I38" i="2"/>
  <c r="P38" i="2" s="1"/>
  <c r="M38" i="2"/>
  <c r="T38" i="2" s="1"/>
  <c r="N36" i="2"/>
  <c r="I19" i="2"/>
  <c r="P19" i="2" s="1"/>
  <c r="M19" i="2"/>
  <c r="T19" i="2" s="1"/>
  <c r="H19" i="2"/>
  <c r="I39" i="2"/>
  <c r="P39" i="2" s="1"/>
  <c r="M39" i="2"/>
  <c r="T39" i="2" s="1"/>
  <c r="N28" i="2"/>
  <c r="P8" i="3"/>
  <c r="N8" i="3"/>
  <c r="H5" i="2"/>
  <c r="I5" i="2"/>
  <c r="P5" i="2" s="1"/>
  <c r="M5" i="2"/>
  <c r="T5" i="2" s="1"/>
  <c r="M14" i="3"/>
  <c r="T14" i="3" s="1"/>
  <c r="I14" i="3"/>
  <c r="M35" i="3"/>
  <c r="T35" i="3" s="1"/>
  <c r="H35" i="3"/>
  <c r="O35" i="3" s="1"/>
  <c r="M27" i="2"/>
  <c r="T27" i="2" s="1"/>
  <c r="I27" i="2"/>
  <c r="P27" i="2" s="1"/>
  <c r="H10" i="4"/>
  <c r="I10" i="4"/>
  <c r="P10" i="4" s="1"/>
  <c r="P2" i="4"/>
  <c r="N4" i="4"/>
  <c r="N24" i="3"/>
  <c r="R24" i="1" a="1"/>
  <c r="R24" i="1" s="1"/>
  <c r="H26" i="2"/>
  <c r="P17" i="2"/>
  <c r="N17" i="2"/>
  <c r="N7" i="4"/>
  <c r="N30" i="2"/>
  <c r="O30" i="2"/>
  <c r="H13" i="3"/>
  <c r="T3" i="4"/>
  <c r="S23" i="1" a="1"/>
  <c r="S23" i="1" s="1"/>
  <c r="M14" i="4"/>
  <c r="T14" i="4" s="1"/>
  <c r="H12" i="3"/>
  <c r="M12" i="3"/>
  <c r="T12" i="3" s="1"/>
  <c r="H25" i="2"/>
  <c r="I25" i="2"/>
  <c r="P25" i="2" s="1"/>
  <c r="M25" i="2"/>
  <c r="T25" i="2" s="1"/>
  <c r="M17" i="3"/>
  <c r="T17" i="3" s="1"/>
  <c r="I17" i="3"/>
  <c r="P17" i="3" s="1"/>
  <c r="M11" i="4"/>
  <c r="T11" i="4" s="1"/>
  <c r="N35" i="2"/>
  <c r="M15" i="3"/>
  <c r="T15" i="3" s="1"/>
  <c r="I15" i="3"/>
  <c r="P15" i="3" s="1"/>
  <c r="M36" i="3"/>
  <c r="T36" i="3" s="1"/>
  <c r="H29" i="2"/>
  <c r="N20" i="2"/>
  <c r="H31" i="2"/>
  <c r="H14" i="3"/>
  <c r="O14" i="3" s="1"/>
  <c r="N34" i="2"/>
  <c r="H6" i="2"/>
  <c r="O32" i="2"/>
  <c r="N32" i="2"/>
  <c r="O11" i="3"/>
  <c r="N11" i="3"/>
  <c r="I31" i="3"/>
  <c r="P31" i="3" s="1"/>
  <c r="H31" i="3"/>
  <c r="O31" i="3" s="1"/>
  <c r="H15" i="3"/>
  <c r="I12" i="3"/>
  <c r="P12" i="3" s="1"/>
  <c r="B3" i="1" a="1"/>
  <c r="B3" i="1" s="1"/>
  <c r="F24" i="1" a="1"/>
  <c r="F24" i="1" s="1"/>
  <c r="O29" i="3"/>
  <c r="N29" i="3"/>
  <c r="M2" i="3"/>
  <c r="I2" i="3"/>
  <c r="H2" i="3"/>
  <c r="M22" i="3"/>
  <c r="T22" i="3" s="1"/>
  <c r="I22" i="3"/>
  <c r="P22" i="3" s="1"/>
  <c r="H22" i="3"/>
  <c r="M42" i="3"/>
  <c r="T42" i="3" s="1"/>
  <c r="I42" i="3"/>
  <c r="P42" i="3" s="1"/>
  <c r="H42" i="3"/>
  <c r="O42" i="3" s="1"/>
  <c r="N13" i="2"/>
  <c r="N37" i="2"/>
  <c r="I3" i="3"/>
  <c r="P3" i="3" s="1"/>
  <c r="H3" i="3"/>
  <c r="I43" i="3"/>
  <c r="P43" i="3" s="1"/>
  <c r="H43" i="3"/>
  <c r="O5" i="4"/>
  <c r="N5" i="4"/>
  <c r="N15" i="2"/>
  <c r="O40" i="2"/>
  <c r="N40" i="2"/>
  <c r="R22" i="1" a="1"/>
  <c r="R22" i="1" s="1"/>
  <c r="T22" i="1" s="1"/>
  <c r="R25" i="1" a="1"/>
  <c r="R25" i="1" s="1"/>
  <c r="O15" i="2"/>
  <c r="N7" i="3"/>
  <c r="N16" i="2"/>
  <c r="N27" i="3"/>
  <c r="H6" i="4"/>
  <c r="S22" i="1" a="1"/>
  <c r="S22" i="1" s="1"/>
  <c r="O13" i="2"/>
  <c r="H3" i="4"/>
  <c r="I3" i="4"/>
  <c r="F22" i="1" s="1" a="1"/>
  <c r="F22" i="1" s="1"/>
  <c r="H12" i="4"/>
  <c r="I12" i="4"/>
  <c r="P12" i="4" s="1"/>
  <c r="H13" i="4"/>
  <c r="I13" i="4"/>
  <c r="P13" i="4" s="1"/>
  <c r="N21" i="2"/>
  <c r="I3" i="2"/>
  <c r="I23" i="2"/>
  <c r="P23" i="2" s="1"/>
  <c r="H23" i="3"/>
  <c r="O23" i="3" s="1"/>
  <c r="H17" i="4"/>
  <c r="I17" i="4"/>
  <c r="P17" i="4" s="1"/>
  <c r="N41" i="3"/>
  <c r="H15" i="4"/>
  <c r="M15" i="4"/>
  <c r="T15" i="4" s="1"/>
  <c r="M3" i="2"/>
  <c r="T3" i="2" s="1"/>
  <c r="M23" i="2"/>
  <c r="T23" i="2" s="1"/>
  <c r="I20" i="3"/>
  <c r="P20" i="3" s="1"/>
  <c r="I40" i="3"/>
  <c r="P40" i="3" s="1"/>
  <c r="H16" i="4"/>
  <c r="O16" i="4" s="1"/>
  <c r="I16" i="4"/>
  <c r="P16" i="4" s="1"/>
  <c r="H4" i="3"/>
  <c r="O4" i="3" s="1"/>
  <c r="H24" i="3"/>
  <c r="O24" i="3" s="1"/>
  <c r="H18" i="4"/>
  <c r="I18" i="4"/>
  <c r="P18" i="4" s="1"/>
  <c r="H19" i="4"/>
  <c r="N21" i="3"/>
  <c r="I19" i="4"/>
  <c r="P19" i="4" s="1"/>
  <c r="H20" i="4"/>
  <c r="I20" i="4"/>
  <c r="P20" i="4" s="1"/>
  <c r="N14" i="4"/>
  <c r="N11" i="4"/>
  <c r="N42" i="3"/>
  <c r="N40" i="3"/>
  <c r="P35" i="3"/>
  <c r="P24" i="3"/>
  <c r="N23" i="3"/>
  <c r="P9" i="3"/>
  <c r="P6" i="3"/>
  <c r="O40" i="3"/>
  <c r="O34" i="3"/>
  <c r="N30" i="3"/>
  <c r="N26" i="3"/>
  <c r="N25" i="3"/>
  <c r="O21" i="3"/>
  <c r="O2" i="3"/>
  <c r="N24" i="2"/>
  <c r="O21" i="2"/>
  <c r="N9" i="2"/>
  <c r="X38" i="3"/>
  <c r="W20" i="3"/>
  <c r="W13" i="3"/>
  <c r="W36" i="3"/>
  <c r="X35" i="3"/>
  <c r="X40" i="3"/>
  <c r="X39" i="3"/>
  <c r="X41" i="3"/>
  <c r="X37" i="3"/>
  <c r="X36" i="3"/>
  <c r="W3" i="3"/>
  <c r="X43" i="3"/>
  <c r="W43" i="3"/>
  <c r="W42" i="3"/>
  <c r="Y34" i="3"/>
  <c r="Y32" i="3"/>
  <c r="Y30" i="3"/>
  <c r="Y27" i="3"/>
  <c r="Y26" i="3"/>
  <c r="Y25" i="3"/>
  <c r="Y29" i="3"/>
  <c r="Y28" i="3"/>
  <c r="Y33" i="3"/>
  <c r="Y9" i="2"/>
  <c r="W23" i="2"/>
  <c r="Y40" i="2"/>
  <c r="W32" i="2"/>
  <c r="Y25" i="2"/>
  <c r="W35" i="2"/>
  <c r="W28" i="2"/>
  <c r="W36" i="2"/>
  <c r="W29" i="2"/>
  <c r="W30" i="2"/>
  <c r="W37" i="2"/>
  <c r="W26" i="2"/>
  <c r="W31" i="2"/>
  <c r="W9" i="2"/>
  <c r="W7" i="2"/>
  <c r="W20" i="2"/>
  <c r="W8" i="2"/>
  <c r="W13" i="2"/>
  <c r="W19" i="2"/>
  <c r="W5" i="2"/>
  <c r="W17" i="2"/>
  <c r="W18" i="2"/>
  <c r="W6" i="2"/>
  <c r="W24" i="2"/>
  <c r="W25" i="2"/>
  <c r="X23" i="2"/>
  <c r="Y32" i="2"/>
  <c r="Y28" i="2"/>
  <c r="Y36" i="2"/>
  <c r="Y29" i="2"/>
  <c r="Y37" i="2"/>
  <c r="Y30" i="2"/>
  <c r="Y26" i="2"/>
  <c r="Y31" i="2"/>
  <c r="Y33" i="2"/>
  <c r="Y35" i="2"/>
  <c r="Y34" i="2"/>
  <c r="Y27" i="2"/>
  <c r="X24" i="2"/>
  <c r="X25" i="2"/>
  <c r="Y8" i="2"/>
  <c r="Y23" i="2"/>
  <c r="Y20" i="2"/>
  <c r="Y7" i="2"/>
  <c r="Y19" i="2"/>
  <c r="Y6" i="2"/>
  <c r="Y17" i="2"/>
  <c r="Y5" i="2"/>
  <c r="Y18" i="2"/>
  <c r="Y4" i="2"/>
  <c r="Y16" i="2"/>
  <c r="Y3" i="2"/>
  <c r="Y15" i="2"/>
  <c r="Y14" i="2"/>
  <c r="Y13" i="2"/>
  <c r="Y22" i="2"/>
  <c r="Y12" i="2"/>
  <c r="Y11" i="2"/>
  <c r="Y10" i="2"/>
  <c r="Y21" i="2"/>
  <c r="Y2" i="2"/>
  <c r="X3" i="4"/>
  <c r="Y8" i="4"/>
  <c r="X15" i="4"/>
  <c r="X16" i="4"/>
  <c r="X17" i="4"/>
  <c r="X18" i="4"/>
  <c r="X19" i="4"/>
  <c r="X20" i="4"/>
  <c r="X21" i="4"/>
  <c r="W8" i="4"/>
  <c r="Y15" i="4"/>
  <c r="Y16" i="4"/>
  <c r="Y17" i="4"/>
  <c r="Y18" i="4"/>
  <c r="Y19" i="4"/>
  <c r="Y20" i="4"/>
  <c r="Y21" i="4"/>
  <c r="Y9" i="4"/>
  <c r="Y10" i="4"/>
  <c r="Y11" i="4"/>
  <c r="Y12" i="4"/>
  <c r="Y13" i="4"/>
  <c r="X9" i="4"/>
  <c r="X12" i="4"/>
  <c r="X10" i="4"/>
  <c r="X11" i="4"/>
  <c r="X13" i="4"/>
  <c r="Y2" i="4"/>
  <c r="Y3" i="4"/>
  <c r="Y4" i="4"/>
  <c r="W14" i="4"/>
  <c r="X5" i="4"/>
  <c r="X6" i="4"/>
  <c r="X7" i="4"/>
  <c r="X8" i="4"/>
  <c r="W9" i="4"/>
  <c r="W19" i="4"/>
  <c r="W15" i="4"/>
  <c r="X14" i="4"/>
  <c r="A2" i="15" a="1"/>
  <c r="A2" i="15" s="1"/>
  <c r="N5" i="2" l="1"/>
  <c r="C5" i="1" a="1"/>
  <c r="C5" i="1" s="1"/>
  <c r="O38" i="2"/>
  <c r="N38" i="2"/>
  <c r="N43" i="3"/>
  <c r="O43" i="3"/>
  <c r="R5" i="1" a="1"/>
  <c r="R5" i="1" s="1"/>
  <c r="G23" i="1" a="1"/>
  <c r="G23" i="1" s="1"/>
  <c r="I23" i="1" s="1"/>
  <c r="O3" i="4"/>
  <c r="N3" i="4"/>
  <c r="N15" i="3"/>
  <c r="O15" i="3"/>
  <c r="S25" i="1" a="1"/>
  <c r="S25" i="1" s="1"/>
  <c r="U25" i="1" s="1"/>
  <c r="O12" i="3"/>
  <c r="N12" i="3"/>
  <c r="R6" i="1" a="1"/>
  <c r="R6" i="1" s="1"/>
  <c r="G25" i="1" a="1"/>
  <c r="G25" i="1" s="1"/>
  <c r="R3" i="1" a="1"/>
  <c r="R3" i="1" s="1"/>
  <c r="O25" i="2"/>
  <c r="N25" i="2"/>
  <c r="R4" i="1" a="1"/>
  <c r="R4" i="1" s="1"/>
  <c r="P39" i="3"/>
  <c r="S24" i="1" a="1"/>
  <c r="S24" i="1" s="1"/>
  <c r="U24" i="1" s="1"/>
  <c r="O3" i="3"/>
  <c r="N3" i="3"/>
  <c r="O18" i="2"/>
  <c r="N18" i="2"/>
  <c r="S7" i="1" a="1"/>
  <c r="S7" i="1" s="1"/>
  <c r="F21" i="1" a="1"/>
  <c r="F21" i="1" s="1"/>
  <c r="S21" i="1" a="1"/>
  <c r="S21" i="1" s="1"/>
  <c r="N14" i="3"/>
  <c r="P14" i="3"/>
  <c r="N11" i="2"/>
  <c r="R7" i="1" a="1"/>
  <c r="R7" i="1" s="1"/>
  <c r="C21" i="1" a="1"/>
  <c r="C21" i="1" s="1"/>
  <c r="E21" i="1" s="1"/>
  <c r="S3" i="1" a="1"/>
  <c r="S3" i="1" s="1"/>
  <c r="G5" i="1" a="1"/>
  <c r="G5" i="1" s="1"/>
  <c r="N29" i="2"/>
  <c r="O29" i="2"/>
  <c r="N10" i="4"/>
  <c r="U22" i="1"/>
  <c r="S4" i="1" a="1"/>
  <c r="S4" i="1" s="1"/>
  <c r="O6" i="4"/>
  <c r="N6" i="4"/>
  <c r="O15" i="4"/>
  <c r="N15" i="4"/>
  <c r="C22" i="1" a="1"/>
  <c r="C22" i="1" s="1"/>
  <c r="N13" i="3"/>
  <c r="O13" i="3"/>
  <c r="S5" i="1" a="1"/>
  <c r="S5" i="1" s="1"/>
  <c r="N34" i="3"/>
  <c r="G24" i="1" a="1"/>
  <c r="G24" i="1" s="1"/>
  <c r="I24" i="1" s="1"/>
  <c r="F25" i="1" a="1"/>
  <c r="F25" i="1" s="1"/>
  <c r="H25" i="1" s="1"/>
  <c r="P3" i="4"/>
  <c r="G22" i="1" a="1"/>
  <c r="G22" i="1" s="1"/>
  <c r="I22" i="1" s="1"/>
  <c r="G21" i="1" a="1"/>
  <c r="G21" i="1" s="1"/>
  <c r="I21" i="1" s="1"/>
  <c r="B21" i="1" a="1"/>
  <c r="B21" i="1" s="1"/>
  <c r="F23" i="1" a="1"/>
  <c r="F23" i="1" s="1"/>
  <c r="H23" i="1" s="1"/>
  <c r="N23" i="2"/>
  <c r="O10" i="4"/>
  <c r="G6" i="1" a="1"/>
  <c r="G6" i="1" s="1"/>
  <c r="O6" i="2"/>
  <c r="N6" i="2"/>
  <c r="C23" i="1" a="1"/>
  <c r="C23" i="1" s="1"/>
  <c r="O5" i="2"/>
  <c r="B7" i="1" a="1"/>
  <c r="B7" i="1" s="1"/>
  <c r="B5" i="1" a="1"/>
  <c r="B5" i="1" s="1"/>
  <c r="B4" i="1" a="1"/>
  <c r="B4" i="1" s="1"/>
  <c r="S6" i="1" a="1"/>
  <c r="S6" i="1" s="1"/>
  <c r="B6" i="1" a="1"/>
  <c r="B6" i="1" s="1"/>
  <c r="C24" i="1" a="1"/>
  <c r="C24" i="1" s="1"/>
  <c r="E24" i="1" s="1"/>
  <c r="N32" i="3"/>
  <c r="O32" i="3"/>
  <c r="N39" i="2"/>
  <c r="O22" i="3"/>
  <c r="N22" i="3"/>
  <c r="N12" i="4"/>
  <c r="O12" i="4"/>
  <c r="O17" i="4"/>
  <c r="N17" i="4"/>
  <c r="C3" i="1" a="1"/>
  <c r="C3" i="1" s="1"/>
  <c r="E3" i="1" s="1"/>
  <c r="O20" i="4"/>
  <c r="N20" i="4"/>
  <c r="C4" i="1" a="1"/>
  <c r="C4" i="1" s="1"/>
  <c r="B24" i="1" a="1"/>
  <c r="B24" i="1" s="1"/>
  <c r="N7" i="2"/>
  <c r="P7" i="2"/>
  <c r="C25" i="1" a="1"/>
  <c r="C25" i="1" s="1"/>
  <c r="O36" i="3"/>
  <c r="N36" i="3"/>
  <c r="N16" i="4"/>
  <c r="B22" i="1" a="1"/>
  <c r="B22" i="1" s="1"/>
  <c r="D22" i="1" s="1"/>
  <c r="N31" i="3"/>
  <c r="P3" i="2"/>
  <c r="G7" i="1" a="1"/>
  <c r="G7" i="1" s="1"/>
  <c r="G4" i="1" a="1"/>
  <c r="G4" i="1" s="1"/>
  <c r="F3" i="1" a="1"/>
  <c r="F3" i="1" s="1"/>
  <c r="N3" i="2"/>
  <c r="F5" i="1" a="1"/>
  <c r="F5" i="1" s="1"/>
  <c r="F6" i="1" a="1"/>
  <c r="F6" i="1" s="1"/>
  <c r="F7" i="1" a="1"/>
  <c r="F7" i="1" s="1"/>
  <c r="F4" i="1" a="1"/>
  <c r="F4" i="1" s="1"/>
  <c r="R21" i="1" a="1"/>
  <c r="R21" i="1" s="1"/>
  <c r="T21" i="1" s="1"/>
  <c r="B16" i="1" a="1"/>
  <c r="B16" i="1" s="1"/>
  <c r="B15" i="1" a="1"/>
  <c r="B15" i="1" s="1"/>
  <c r="B14" i="1" a="1"/>
  <c r="B14" i="1" s="1"/>
  <c r="B13" i="1" a="1"/>
  <c r="B13" i="1" s="1"/>
  <c r="B12" i="1" a="1"/>
  <c r="B12" i="1" s="1"/>
  <c r="C13" i="1" a="1"/>
  <c r="C13" i="1" s="1"/>
  <c r="C16" i="1" a="1"/>
  <c r="C16" i="1" s="1"/>
  <c r="C15" i="1" a="1"/>
  <c r="C15" i="1" s="1"/>
  <c r="E15" i="1" s="1"/>
  <c r="C14" i="1" a="1"/>
  <c r="C14" i="1" s="1"/>
  <c r="E14" i="1" s="1"/>
  <c r="C12" i="1" a="1"/>
  <c r="C12" i="1" s="1"/>
  <c r="E12" i="1" s="1"/>
  <c r="C6" i="1" a="1"/>
  <c r="C6" i="1" s="1"/>
  <c r="B23" i="1" a="1"/>
  <c r="B23" i="1" s="1"/>
  <c r="D23" i="1" s="1"/>
  <c r="O26" i="2"/>
  <c r="N26" i="2"/>
  <c r="N33" i="3"/>
  <c r="C7" i="1" a="1"/>
  <c r="C7" i="1" s="1"/>
  <c r="P2" i="3"/>
  <c r="G16" i="1" a="1"/>
  <c r="G16" i="1" s="1"/>
  <c r="G14" i="1" a="1"/>
  <c r="G14" i="1" s="1"/>
  <c r="G13" i="1" a="1"/>
  <c r="G13" i="1" s="1"/>
  <c r="F13" i="1" a="1"/>
  <c r="F13" i="1" s="1"/>
  <c r="F12" i="1" a="1"/>
  <c r="F12" i="1" s="1"/>
  <c r="F14" i="1" a="1"/>
  <c r="F14" i="1" s="1"/>
  <c r="H14" i="1" s="1"/>
  <c r="F16" i="1" a="1"/>
  <c r="F16" i="1" s="1"/>
  <c r="F15" i="1" a="1"/>
  <c r="F15" i="1" s="1"/>
  <c r="G12" i="1" a="1"/>
  <c r="G12" i="1" s="1"/>
  <c r="G15" i="1" a="1"/>
  <c r="G15" i="1" s="1"/>
  <c r="O19" i="4"/>
  <c r="N19" i="4"/>
  <c r="B25" i="1" a="1"/>
  <c r="B25" i="1" s="1"/>
  <c r="D25" i="1" s="1"/>
  <c r="G3" i="1" a="1"/>
  <c r="G3" i="1" s="1"/>
  <c r="N16" i="3"/>
  <c r="N18" i="3"/>
  <c r="P18" i="3"/>
  <c r="N17" i="3"/>
  <c r="N19" i="2"/>
  <c r="O19" i="2"/>
  <c r="N37" i="3"/>
  <c r="O37" i="3"/>
  <c r="N19" i="3"/>
  <c r="O19" i="3"/>
  <c r="R23" i="1" a="1"/>
  <c r="R23" i="1" s="1"/>
  <c r="T23" i="1" s="1"/>
  <c r="S14" i="1" a="1"/>
  <c r="S14" i="1" s="1"/>
  <c r="S13" i="1" a="1"/>
  <c r="S13" i="1" s="1"/>
  <c r="S12" i="1" a="1"/>
  <c r="S12" i="1" s="1"/>
  <c r="R16" i="1" a="1"/>
  <c r="R16" i="1" s="1"/>
  <c r="R15" i="1" a="1"/>
  <c r="R15" i="1" s="1"/>
  <c r="R14" i="1" a="1"/>
  <c r="R14" i="1" s="1"/>
  <c r="T14" i="1" s="1"/>
  <c r="R13" i="1" a="1"/>
  <c r="R13" i="1" s="1"/>
  <c r="R12" i="1" a="1"/>
  <c r="R12" i="1" s="1"/>
  <c r="T12" i="1" s="1"/>
  <c r="T2" i="3"/>
  <c r="S15" i="1" a="1"/>
  <c r="S15" i="1" s="1"/>
  <c r="S16" i="1" a="1"/>
  <c r="S16" i="1" s="1"/>
  <c r="N27" i="2"/>
  <c r="N2" i="3"/>
  <c r="N18" i="4"/>
  <c r="O18" i="4"/>
  <c r="N4" i="3"/>
  <c r="O13" i="4"/>
  <c r="N13" i="4"/>
  <c r="O31" i="2"/>
  <c r="N31" i="2"/>
  <c r="N20" i="3"/>
  <c r="N38" i="3"/>
  <c r="O38" i="3"/>
  <c r="N35" i="3"/>
  <c r="W12" i="3"/>
  <c r="W10" i="3"/>
  <c r="W2" i="3"/>
  <c r="W15" i="3"/>
  <c r="X31" i="3"/>
  <c r="W11" i="3"/>
  <c r="W5" i="3"/>
  <c r="W7" i="3"/>
  <c r="W23" i="3"/>
  <c r="X25" i="3"/>
  <c r="W39" i="3"/>
  <c r="W8" i="3"/>
  <c r="W9" i="3"/>
  <c r="W19" i="3"/>
  <c r="X42" i="3"/>
  <c r="W38" i="3"/>
  <c r="W41" i="3"/>
  <c r="W18" i="3"/>
  <c r="W24" i="3"/>
  <c r="X28" i="3"/>
  <c r="X29" i="3"/>
  <c r="X33" i="3"/>
  <c r="X34" i="3"/>
  <c r="X32" i="3"/>
  <c r="X30" i="3"/>
  <c r="W17" i="3"/>
  <c r="X27" i="3"/>
  <c r="W22" i="3"/>
  <c r="W21" i="3"/>
  <c r="W4" i="3"/>
  <c r="X26" i="3"/>
  <c r="W40" i="3"/>
  <c r="W37" i="3"/>
  <c r="W16" i="3"/>
  <c r="W6" i="3"/>
  <c r="W14" i="3"/>
  <c r="Y31" i="3"/>
  <c r="Y35" i="3"/>
  <c r="Y18" i="3"/>
  <c r="Y21" i="3"/>
  <c r="Y19" i="3"/>
  <c r="Y20" i="3"/>
  <c r="Y24" i="3"/>
  <c r="Y16" i="3"/>
  <c r="Y15" i="3"/>
  <c r="Y22" i="3"/>
  <c r="Y23" i="3"/>
  <c r="Y17" i="3"/>
  <c r="X4" i="3"/>
  <c r="X14" i="3"/>
  <c r="X2" i="3"/>
  <c r="X3" i="3"/>
  <c r="X10" i="3"/>
  <c r="X5" i="3"/>
  <c r="X8" i="3"/>
  <c r="X9" i="3"/>
  <c r="X6" i="3"/>
  <c r="X7" i="3"/>
  <c r="X11" i="3"/>
  <c r="X12" i="3"/>
  <c r="X13" i="3"/>
  <c r="Y38" i="3"/>
  <c r="Y40" i="3"/>
  <c r="Y39" i="3"/>
  <c r="Y41" i="3"/>
  <c r="Y36" i="3"/>
  <c r="Y37" i="3"/>
  <c r="Y12" i="3"/>
  <c r="Y8" i="3"/>
  <c r="Y13" i="3"/>
  <c r="Y6" i="3"/>
  <c r="Y4" i="3"/>
  <c r="Y14" i="3"/>
  <c r="Y3" i="3"/>
  <c r="Y5" i="3"/>
  <c r="Y7" i="3"/>
  <c r="Y2" i="3"/>
  <c r="Y9" i="3"/>
  <c r="Y10" i="3"/>
  <c r="Y11" i="3"/>
  <c r="W27" i="3"/>
  <c r="W34" i="3"/>
  <c r="W28" i="3"/>
  <c r="W29" i="3"/>
  <c r="W31" i="3"/>
  <c r="W30" i="3"/>
  <c r="W32" i="3"/>
  <c r="W33" i="3"/>
  <c r="W35" i="3"/>
  <c r="W25" i="3"/>
  <c r="W26" i="3"/>
  <c r="Y42" i="3"/>
  <c r="Y43" i="3"/>
  <c r="X24" i="3"/>
  <c r="X21" i="3"/>
  <c r="X19" i="3"/>
  <c r="X22" i="3"/>
  <c r="X20" i="3"/>
  <c r="X23" i="3"/>
  <c r="X17" i="3"/>
  <c r="X15" i="3"/>
  <c r="X16" i="3"/>
  <c r="X18" i="3"/>
  <c r="W27" i="2"/>
  <c r="W33" i="2"/>
  <c r="Y24" i="2"/>
  <c r="Y39" i="2"/>
  <c r="Y38" i="2"/>
  <c r="W34" i="2"/>
  <c r="X8" i="2"/>
  <c r="X9" i="2"/>
  <c r="X21" i="2"/>
  <c r="X14" i="2"/>
  <c r="X10" i="2"/>
  <c r="X11" i="2"/>
  <c r="X12" i="2"/>
  <c r="X22" i="2"/>
  <c r="X13" i="2"/>
  <c r="X7" i="2"/>
  <c r="X2" i="2"/>
  <c r="X15" i="2"/>
  <c r="X16" i="2"/>
  <c r="X3" i="2"/>
  <c r="X17" i="2"/>
  <c r="X4" i="2"/>
  <c r="X5" i="2"/>
  <c r="X20" i="2"/>
  <c r="X18" i="2"/>
  <c r="X6" i="2"/>
  <c r="X19" i="2"/>
  <c r="X38" i="2"/>
  <c r="X39" i="2"/>
  <c r="X40" i="2"/>
  <c r="W14" i="2"/>
  <c r="W22" i="2"/>
  <c r="W15" i="2"/>
  <c r="W11" i="2"/>
  <c r="W21" i="2"/>
  <c r="W3" i="2"/>
  <c r="W10" i="2"/>
  <c r="W12" i="2"/>
  <c r="W38" i="2"/>
  <c r="W40" i="2"/>
  <c r="W39" i="2"/>
  <c r="W16" i="2"/>
  <c r="W4" i="2"/>
  <c r="W2" i="2"/>
  <c r="X35" i="2"/>
  <c r="X36" i="2"/>
  <c r="X28" i="2"/>
  <c r="X29" i="2"/>
  <c r="X37" i="2"/>
  <c r="X30" i="2"/>
  <c r="X31" i="2"/>
  <c r="X26" i="2"/>
  <c r="X32" i="2"/>
  <c r="X33" i="2"/>
  <c r="X34" i="2"/>
  <c r="X27" i="2"/>
  <c r="Y14" i="4"/>
  <c r="X4" i="4"/>
  <c r="W12" i="4"/>
  <c r="Y7" i="4"/>
  <c r="X2" i="4"/>
  <c r="Y6" i="4"/>
  <c r="W10" i="4"/>
  <c r="Y5" i="4"/>
  <c r="W21" i="4"/>
  <c r="W20" i="4"/>
  <c r="W7" i="4"/>
  <c r="W6" i="4"/>
  <c r="W5" i="4"/>
  <c r="W17" i="4"/>
  <c r="W13" i="4"/>
  <c r="W18" i="4"/>
  <c r="W16" i="4"/>
  <c r="W11" i="4"/>
  <c r="W2" i="4"/>
  <c r="W3" i="4"/>
  <c r="W4" i="4"/>
  <c r="T15" i="1" l="1"/>
  <c r="I15" i="1"/>
  <c r="E16" i="1"/>
  <c r="I12" i="1"/>
  <c r="E13" i="1"/>
  <c r="T13" i="1"/>
  <c r="H13" i="1"/>
  <c r="T7" i="1"/>
  <c r="U5" i="1"/>
  <c r="I4" i="1"/>
  <c r="D5" i="1"/>
  <c r="E6" i="1"/>
  <c r="H6" i="1"/>
  <c r="T6" i="1"/>
  <c r="I7" i="1"/>
  <c r="D3" i="1"/>
  <c r="E4" i="1"/>
  <c r="I5" i="1"/>
  <c r="U3" i="1"/>
  <c r="I3" i="1"/>
  <c r="D7" i="1"/>
  <c r="U4" i="1"/>
  <c r="H16" i="1"/>
  <c r="T16" i="1"/>
  <c r="U15" i="1"/>
  <c r="H3" i="1"/>
  <c r="D21" i="1"/>
  <c r="T3" i="1"/>
  <c r="I25" i="1"/>
  <c r="U13" i="1"/>
  <c r="D6" i="1"/>
  <c r="U14" i="1"/>
  <c r="H15" i="1"/>
  <c r="D12" i="1"/>
  <c r="U6" i="1"/>
  <c r="U21" i="1"/>
  <c r="D13" i="1"/>
  <c r="E25" i="1"/>
  <c r="D4" i="1"/>
  <c r="H21" i="1"/>
  <c r="D15" i="1"/>
  <c r="H24" i="1"/>
  <c r="T5" i="1"/>
  <c r="H4" i="1"/>
  <c r="T25" i="1"/>
  <c r="D14" i="1"/>
  <c r="U7" i="1"/>
  <c r="H12" i="1"/>
  <c r="D24" i="1"/>
  <c r="I14" i="1"/>
  <c r="H7" i="1"/>
  <c r="T24" i="1"/>
  <c r="U23" i="1"/>
  <c r="E7" i="1"/>
  <c r="H5" i="1"/>
  <c r="T4" i="1"/>
  <c r="E5" i="1"/>
  <c r="U12" i="1"/>
  <c r="E22" i="1"/>
  <c r="D16" i="1"/>
  <c r="I13" i="1"/>
  <c r="E23" i="1"/>
  <c r="I16" i="1"/>
  <c r="I6" i="1"/>
  <c r="U16" i="1"/>
  <c r="H22" i="1"/>
  <c r="A9" i="12" a="1"/>
  <c r="A6" i="12" s="1"/>
  <c r="A9" i="11" a="1"/>
  <c r="A6" i="11" s="1"/>
  <c r="A9" i="9" a="1"/>
  <c r="A9" i="9" s="1"/>
  <c r="T9" i="9" s="1"/>
  <c r="U14" i="4"/>
  <c r="Z14" i="4"/>
  <c r="A6" i="9"/>
  <c r="Z23" i="2" l="1"/>
  <c r="V23" i="2"/>
  <c r="Z43" i="3"/>
  <c r="Z42" i="3"/>
  <c r="Z26" i="3"/>
  <c r="Z27" i="3"/>
  <c r="Z30" i="3"/>
  <c r="Z31" i="3"/>
  <c r="Z34" i="3"/>
  <c r="Z25" i="3"/>
  <c r="Z28" i="3"/>
  <c r="Z29" i="3"/>
  <c r="Z32" i="3"/>
  <c r="Z33" i="3"/>
  <c r="Z35" i="3"/>
  <c r="Z10" i="3"/>
  <c r="Z14" i="3"/>
  <c r="Z5" i="3"/>
  <c r="Z2" i="3"/>
  <c r="Z11" i="3"/>
  <c r="Z12" i="3"/>
  <c r="Z13" i="3"/>
  <c r="Z4" i="3"/>
  <c r="Z7" i="3"/>
  <c r="Z6" i="3"/>
  <c r="Z3" i="3"/>
  <c r="Z8" i="3"/>
  <c r="Z9" i="3"/>
  <c r="Z17" i="3"/>
  <c r="Z23" i="3"/>
  <c r="Z18" i="3"/>
  <c r="Z24" i="3"/>
  <c r="Z19" i="3"/>
  <c r="Z20" i="3"/>
  <c r="Z16" i="3"/>
  <c r="Z21" i="3"/>
  <c r="Z22" i="3"/>
  <c r="Z15" i="3"/>
  <c r="Z37" i="3"/>
  <c r="Z40" i="3"/>
  <c r="Z38" i="3"/>
  <c r="Z39" i="3"/>
  <c r="Z41" i="3"/>
  <c r="Z36" i="3"/>
  <c r="U16" i="3"/>
  <c r="U19" i="3"/>
  <c r="U21" i="3"/>
  <c r="U23" i="3"/>
  <c r="U15" i="3"/>
  <c r="U17" i="3"/>
  <c r="U22" i="3"/>
  <c r="U24" i="3"/>
  <c r="U18" i="3"/>
  <c r="U20" i="3"/>
  <c r="V43" i="3"/>
  <c r="V42" i="3"/>
  <c r="V29" i="3"/>
  <c r="V30" i="3"/>
  <c r="V32" i="3"/>
  <c r="V33" i="3"/>
  <c r="V25" i="3"/>
  <c r="V31" i="3"/>
  <c r="V35" i="3"/>
  <c r="V34" i="3"/>
  <c r="V26" i="3"/>
  <c r="V27" i="3"/>
  <c r="V28" i="3"/>
  <c r="U31" i="3"/>
  <c r="U32" i="3"/>
  <c r="U35" i="3"/>
  <c r="U33" i="3"/>
  <c r="U26" i="3"/>
  <c r="U25" i="3"/>
  <c r="U27" i="3"/>
  <c r="U34" i="3"/>
  <c r="U28" i="3"/>
  <c r="U29" i="3"/>
  <c r="U30" i="3"/>
  <c r="U41" i="3"/>
  <c r="U38" i="3"/>
  <c r="U39" i="3"/>
  <c r="U36" i="3"/>
  <c r="U37" i="3"/>
  <c r="U40" i="3"/>
  <c r="V23" i="3"/>
  <c r="V15" i="3"/>
  <c r="V22" i="3"/>
  <c r="V16" i="3"/>
  <c r="V21" i="3"/>
  <c r="V17" i="3"/>
  <c r="V18" i="3"/>
  <c r="V24" i="3"/>
  <c r="V19" i="3"/>
  <c r="V20" i="3"/>
  <c r="V40" i="3"/>
  <c r="V41" i="3"/>
  <c r="V37" i="3"/>
  <c r="V36" i="3"/>
  <c r="V38" i="3"/>
  <c r="V39" i="3"/>
  <c r="U43" i="3"/>
  <c r="U42" i="3"/>
  <c r="U6" i="3"/>
  <c r="U7" i="3"/>
  <c r="U8" i="3"/>
  <c r="U14" i="3"/>
  <c r="U2" i="3"/>
  <c r="U10" i="3"/>
  <c r="U13" i="3"/>
  <c r="U4" i="3"/>
  <c r="U9" i="3"/>
  <c r="U3" i="3"/>
  <c r="U11" i="3"/>
  <c r="U12" i="3"/>
  <c r="U5" i="3"/>
  <c r="V5" i="3"/>
  <c r="V3" i="3"/>
  <c r="V11" i="3"/>
  <c r="V8" i="3"/>
  <c r="V4" i="3"/>
  <c r="V2" i="3"/>
  <c r="V6" i="3"/>
  <c r="V7" i="3"/>
  <c r="V14" i="3"/>
  <c r="V12" i="3"/>
  <c r="V13" i="3"/>
  <c r="V9" i="3"/>
  <c r="V10" i="3"/>
  <c r="V24" i="2"/>
  <c r="V25" i="2"/>
  <c r="U38" i="2"/>
  <c r="U39" i="2"/>
  <c r="U40" i="2"/>
  <c r="U23" i="2"/>
  <c r="V19" i="2"/>
  <c r="V7" i="2"/>
  <c r="V20" i="2"/>
  <c r="V8" i="2"/>
  <c r="V9" i="2"/>
  <c r="V21" i="2"/>
  <c r="V11" i="2"/>
  <c r="V12" i="2"/>
  <c r="V10" i="2"/>
  <c r="V22" i="2"/>
  <c r="V2" i="2"/>
  <c r="V6" i="2"/>
  <c r="V13" i="2"/>
  <c r="V15" i="2"/>
  <c r="V14" i="2"/>
  <c r="V16" i="2"/>
  <c r="V3" i="2"/>
  <c r="V4" i="2"/>
  <c r="V5" i="2"/>
  <c r="V17" i="2"/>
  <c r="V18" i="2"/>
  <c r="Z21" i="2"/>
  <c r="Z16" i="2"/>
  <c r="Z10" i="2"/>
  <c r="Z11" i="2"/>
  <c r="Z12" i="2"/>
  <c r="Z22" i="2"/>
  <c r="Z14" i="2"/>
  <c r="Z15" i="2"/>
  <c r="Z9" i="2"/>
  <c r="Z13" i="2"/>
  <c r="Z2" i="2"/>
  <c r="Z4" i="2"/>
  <c r="Z3" i="2"/>
  <c r="Z5" i="2"/>
  <c r="Z17" i="2"/>
  <c r="Z6" i="2"/>
  <c r="Z18" i="2"/>
  <c r="Z19" i="2"/>
  <c r="Z7" i="2"/>
  <c r="Z20" i="2"/>
  <c r="Z8" i="2"/>
  <c r="Z39" i="2"/>
  <c r="Z38" i="2"/>
  <c r="Z40" i="2"/>
  <c r="Z24" i="2"/>
  <c r="Z25" i="2"/>
  <c r="Z28" i="2"/>
  <c r="Z36" i="2"/>
  <c r="Z26" i="2"/>
  <c r="Z29" i="2"/>
  <c r="Z37" i="2"/>
  <c r="Z30" i="2"/>
  <c r="Z31" i="2"/>
  <c r="Z32" i="2"/>
  <c r="Z33" i="2"/>
  <c r="Z34" i="2"/>
  <c r="Z27" i="2"/>
  <c r="Z35" i="2"/>
  <c r="V27" i="2"/>
  <c r="V35" i="2"/>
  <c r="V28" i="2"/>
  <c r="V36" i="2"/>
  <c r="V29" i="2"/>
  <c r="V37" i="2"/>
  <c r="V30" i="2"/>
  <c r="V26" i="2"/>
  <c r="V31" i="2"/>
  <c r="V32" i="2"/>
  <c r="V33" i="2"/>
  <c r="V34" i="2"/>
  <c r="U25" i="2"/>
  <c r="U24" i="2"/>
  <c r="U6" i="2"/>
  <c r="U14" i="2"/>
  <c r="U19" i="2"/>
  <c r="U12" i="2"/>
  <c r="U7" i="2"/>
  <c r="U20" i="2"/>
  <c r="U22" i="2"/>
  <c r="U18" i="2"/>
  <c r="U8" i="2"/>
  <c r="U9" i="2"/>
  <c r="U10" i="2"/>
  <c r="U21" i="2"/>
  <c r="U11" i="2"/>
  <c r="U13" i="2"/>
  <c r="U2" i="2"/>
  <c r="U15" i="2"/>
  <c r="U16" i="2"/>
  <c r="U3" i="2"/>
  <c r="U4" i="2"/>
  <c r="U5" i="2"/>
  <c r="U17" i="2"/>
  <c r="V38" i="2"/>
  <c r="V39" i="2"/>
  <c r="V40" i="2"/>
  <c r="U34" i="2"/>
  <c r="U27" i="2"/>
  <c r="U37" i="2"/>
  <c r="U35" i="2"/>
  <c r="U28" i="2"/>
  <c r="U36" i="2"/>
  <c r="U29" i="2"/>
  <c r="U30" i="2"/>
  <c r="U31" i="2"/>
  <c r="U26" i="2"/>
  <c r="U32" i="2"/>
  <c r="U33" i="2"/>
  <c r="V14" i="4"/>
  <c r="Z5" i="4"/>
  <c r="Z6" i="4"/>
  <c r="Z7" i="4"/>
  <c r="Z8" i="4"/>
  <c r="V2" i="4"/>
  <c r="V3" i="4"/>
  <c r="V4" i="4"/>
  <c r="Z15" i="4"/>
  <c r="Z16" i="4"/>
  <c r="Z17" i="4"/>
  <c r="Z18" i="4"/>
  <c r="Z19" i="4"/>
  <c r="Z21" i="4"/>
  <c r="Z20" i="4"/>
  <c r="V9" i="4"/>
  <c r="V10" i="4"/>
  <c r="V11" i="4"/>
  <c r="V12" i="4"/>
  <c r="V13" i="4"/>
  <c r="U9" i="4"/>
  <c r="U10" i="4"/>
  <c r="U11" i="4"/>
  <c r="U12" i="4"/>
  <c r="U13" i="4"/>
  <c r="Z9" i="4"/>
  <c r="Z12" i="4"/>
  <c r="Z10" i="4"/>
  <c r="Z11" i="4"/>
  <c r="Z13" i="4"/>
  <c r="U2" i="4"/>
  <c r="U3" i="4"/>
  <c r="U4" i="4"/>
  <c r="V5" i="4"/>
  <c r="V6" i="4"/>
  <c r="V7" i="4"/>
  <c r="V8" i="4"/>
  <c r="V15" i="4"/>
  <c r="V16" i="4"/>
  <c r="V17" i="4"/>
  <c r="V18" i="4"/>
  <c r="V19" i="4"/>
  <c r="V20" i="4"/>
  <c r="V21" i="4"/>
  <c r="U5" i="4"/>
  <c r="U6" i="4"/>
  <c r="U7" i="4"/>
  <c r="U8" i="4"/>
  <c r="U15" i="4"/>
  <c r="U16" i="4"/>
  <c r="U17" i="4"/>
  <c r="U18" i="4"/>
  <c r="U19" i="4"/>
  <c r="U21" i="4"/>
  <c r="U20" i="4"/>
  <c r="Z2" i="4"/>
  <c r="Z3" i="4"/>
  <c r="Z4" i="4"/>
  <c r="A9" i="12"/>
  <c r="T9" i="12" s="1"/>
  <c r="T2" i="12" s="1"/>
  <c r="A9" i="11"/>
  <c r="T9" i="11" s="1"/>
  <c r="T2" i="11" s="1"/>
  <c r="T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<sst xmlns="http://schemas.openxmlformats.org/spreadsheetml/2006/main" count="713" uniqueCount="212">
  <si>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</si>
  <si>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</si>
  <si>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</si>
  <si>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</si>
  <si>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</si>
  <si>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</si>
  <si>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</si>
  <si>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</si>
  <si>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</si>
  <si>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</si>
  <si>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</si>
  <si>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</si>
  <si>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</si>
  <si>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</si>
  <si>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</si>
  <si>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</si>
  <si>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</si>
  <si>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</si>
  <si>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</si>
  <si>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</si>
  <si>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</si>
  <si>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</si>
  <si>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</si>
  <si>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</si>
  <si>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</si>
  <si>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</si>
  <si>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</si>
  <si>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</si>
  <si>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</si>
  <si>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</si>
  <si>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</si>
  <si>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</si>
  <si>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</si>
  <si>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</si>
  <si>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</si>
  <si>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</si>
  <si>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</si>
  <si>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</si>
  <si>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</si>
  <si>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</si>
  <si>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</si>
  <si>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</si>
  <si>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</si>
  <si>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</si>
  <si>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</si>
  <si>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</si>
  <si>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</si>
  <si>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</si>
  <si>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</si>
  <si>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</si>
  <si>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</si>
  <si>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</si>
  <si>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</si>
  <si>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</si>
  <si>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</si>
  <si>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</si>
  <si>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</si>
  <si>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</si>
  <si>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</si>
  <si>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</si>
  <si>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</si>
  <si>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</si>
  <si>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</si>
  <si>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</si>
  <si>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</si>
  <si>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</si>
  <si>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</si>
  <si>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</si>
  <si>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</si>
  <si>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</si>
  <si>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</si>
  <si>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</si>
  <si>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</si>
  <si>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</si>
  <si>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</si>
  <si>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</si>
  <si>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</si>
  <si>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</si>
  <si>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</si>
  <si>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</si>
  <si>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</si>
  <si>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</si>
  <si>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</si>
  <si>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</si>
  <si>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</si>
  <si>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</si>
  <si>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</si>
  <si>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</si>
  <si>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</si>
  <si>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</si>
  <si>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</si>
  <si>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</si>
  <si>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</si>
  <si>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</si>
  <si>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</si>
  <si>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</si>
  <si>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</si>
  <si>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</si>
  <si>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</si>
  <si>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</si>
  <si>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</si>
  <si>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</si>
  <si>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</si>
  <si>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</si>
  <si>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</si>
  <si>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Electric Utilities</t>
  </si>
  <si>
    <t>AEP</t>
  </si>
  <si>
    <t>CEG</t>
  </si>
  <si>
    <t>DUK</t>
  </si>
  <si>
    <t>EBR</t>
  </si>
  <si>
    <t>EIX</t>
  </si>
  <si>
    <t>ES</t>
  </si>
  <si>
    <t>ETR</t>
  </si>
  <si>
    <t>EVRG</t>
  </si>
  <si>
    <t>EXC</t>
  </si>
  <si>
    <t>FE</t>
  </si>
  <si>
    <t>FTS</t>
  </si>
  <si>
    <t>KEP</t>
  </si>
  <si>
    <t>NEE</t>
  </si>
  <si>
    <t>NRG</t>
  </si>
  <si>
    <t>PCG</t>
  </si>
  <si>
    <t>PNW</t>
  </si>
  <si>
    <t>PPL</t>
  </si>
  <si>
    <t>SO</t>
  </si>
  <si>
    <t>XEL</t>
  </si>
  <si>
    <t>Gas Utilities</t>
  </si>
  <si>
    <t>ATO</t>
  </si>
  <si>
    <t>Multi-Utilities</t>
  </si>
  <si>
    <t>AEE</t>
  </si>
  <si>
    <t>BIP</t>
  </si>
  <si>
    <t>CMS</t>
  </si>
  <si>
    <t>CNP</t>
  </si>
  <si>
    <t>D</t>
  </si>
  <si>
    <t>DTE</t>
  </si>
  <si>
    <t>ED</t>
  </si>
  <si>
    <t>NGG</t>
  </si>
  <si>
    <t>NI</t>
  </si>
  <si>
    <t>PEG</t>
  </si>
  <si>
    <t>SRE</t>
  </si>
  <si>
    <t>WEC</t>
  </si>
  <si>
    <t>Water Utilities</t>
  </si>
  <si>
    <t>AWK</t>
  </si>
  <si>
    <t>SBS</t>
  </si>
  <si>
    <t>WTRG</t>
  </si>
  <si>
    <t>Independent Power &amp; Renewable Electricity Producers</t>
  </si>
  <si>
    <t>TLN</t>
  </si>
  <si>
    <t>VST</t>
  </si>
  <si>
    <t>ALE</t>
  </si>
  <si>
    <t>CIG</t>
  </si>
  <si>
    <t>ELP</t>
  </si>
  <si>
    <t>ELPC</t>
  </si>
  <si>
    <t>ENIC</t>
  </si>
  <si>
    <t>IDA</t>
  </si>
  <si>
    <t>MGEE</t>
  </si>
  <si>
    <t>OGE</t>
  </si>
  <si>
    <t>OKLO</t>
  </si>
  <si>
    <t>OTTR</t>
  </si>
  <si>
    <t>PAM</t>
  </si>
  <si>
    <t>POR</t>
  </si>
  <si>
    <t>TXNM</t>
  </si>
  <si>
    <t>BIPC</t>
  </si>
  <si>
    <t>CPK</t>
  </si>
  <si>
    <t>MDU</t>
  </si>
  <si>
    <t>NFG</t>
  </si>
  <si>
    <t>NJR</t>
  </si>
  <si>
    <t>OGS</t>
  </si>
  <si>
    <t>SR</t>
  </si>
  <si>
    <t>SWX</t>
  </si>
  <si>
    <t>UGI</t>
  </si>
  <si>
    <t>AQN</t>
  </si>
  <si>
    <t>AVA</t>
  </si>
  <si>
    <t>BKH</t>
  </si>
  <si>
    <t>NWE</t>
  </si>
  <si>
    <t>AWR</t>
  </si>
  <si>
    <t>CWT</t>
  </si>
  <si>
    <t>AES</t>
  </si>
  <si>
    <t>TAC</t>
  </si>
  <si>
    <t>BEP</t>
  </si>
  <si>
    <t>BEPC</t>
  </si>
  <si>
    <t>CWEN</t>
  </si>
  <si>
    <t>ORA</t>
  </si>
  <si>
    <t>RNW</t>
  </si>
  <si>
    <t>EDN</t>
  </si>
  <si>
    <t>GNE</t>
  </si>
  <si>
    <t>HE</t>
  </si>
  <si>
    <t>NWN</t>
  </si>
  <si>
    <t>SGU</t>
  </si>
  <si>
    <t>SPH</t>
  </si>
  <si>
    <t>UTL</t>
  </si>
  <si>
    <t>ARTNA</t>
  </si>
  <si>
    <t>CWCO</t>
  </si>
  <si>
    <t>GWRS</t>
  </si>
  <si>
    <t>MSEX</t>
  </si>
  <si>
    <t>YORW</t>
  </si>
  <si>
    <t>CEPU</t>
  </si>
  <si>
    <t>KEN</t>
  </si>
  <si>
    <t>ANNA</t>
  </si>
  <si>
    <t>MNTK</t>
  </si>
  <si>
    <t>XIFR</t>
  </si>
  <si>
    <t>None</t>
  </si>
  <si>
    <t>SUUIF</t>
  </si>
  <si>
    <t>HTO</t>
  </si>
  <si>
    <t>PCYO</t>
  </si>
  <si>
    <t>HRNNF</t>
  </si>
  <si>
    <t>EMA</t>
  </si>
  <si>
    <t>INGXF</t>
  </si>
  <si>
    <t>ACLLF</t>
  </si>
  <si>
    <t>BRLXF</t>
  </si>
  <si>
    <t>CDUAF</t>
  </si>
  <si>
    <t>NPIFF</t>
  </si>
  <si>
    <t>CPXWF</t>
  </si>
  <si>
    <t>ATGFF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</si>
</sst>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9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9" fillId="0" borderId="5" xfId="0" applyNumberFormat="1" applyFont="1" applyBorder="1" applyAlignment="1">
      <alignment horizontal="center" vertical="center" wrapText="1"/>
    </xf>
    <xf numFmtId="2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 wrapText="1"/>
    </xf>
    <xf numFmtId="2" fontId="9" fillId="0" borderId="26" xfId="0" applyNumberFormat="1" applyFont="1" applyBorder="1" applyAlignment="1">
      <alignment horizontal="center" vertical="center"/>
    </xf>
    <xf numFmtId="2" fontId="9" fillId="0" borderId="5" xfId="0" applyNumberFormat="1" applyFont="1" applyBorder="1" applyAlignment="1">
      <alignment horizontal="center" vertical="center"/>
    </xf>
    <xf numFmtId="2" fontId="9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13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5" fillId="0" borderId="9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2" fontId="4" fillId="0" borderId="28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3" fontId="10" fillId="0" borderId="15" xfId="0" applyNumberFormat="1" applyFont="1" applyBorder="1" applyAlignment="1">
      <alignment horizontal="left" vertical="center" wrapText="1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2" fontId="1" fillId="0" borderId="6" xfId="0" applyNumberFormat="1" applyFont="1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169.37</v>
        <stp/>
        <stp>LAST</stp>
        <stp>VST</stp>
        <tr r="D24" s="2"/>
      </tp>
      <tp>
        <v>104.89</v>
        <stp/>
        <stp>LAST</stp>
        <stp>WEC</stp>
        <tr r="D33" s="2"/>
      </tp>
      <tp>
        <v>33.58</v>
        <stp/>
        <stp>LAST</stp>
        <stp>ARTNA</stp>
        <tr r="D17" s="4"/>
      </tp>
      <tp>
        <v>257.02</v>
        <stp/>
        <stp>LAST</stp>
        <stp>TLN</stp>
        <tr r="D25" s="2"/>
      </tp>
      <tp>
        <v>10.41</v>
        <stp/>
        <stp>LAST</stp>
        <stp>TAC</stp>
        <tr r="D28" s="3"/>
      </tp>
      <tp>
        <v>27.312000000000001</v>
        <stp/>
        <stp>LAST</stp>
        <stp>CDUAF</stp>
        <tr r="D37" s="3"/>
      </tp>
      <tp>
        <v>5.8</v>
        <stp/>
        <stp>LAST</stp>
        <stp>SUUIF</stp>
        <tr r="D7" s="4"/>
      </tp>
      <tp>
        <v>53.05</v>
        <stp/>
        <stp>LAST</stp>
        <stp>UTL</stp>
        <tr r="D14" s="4"/>
      </tp>
      <tp>
        <v>35.53</v>
        <stp/>
        <stp>LAST</stp>
        <stp>UGI</stp>
        <tr r="D17" s="3"/>
      </tp>
      <tp>
        <v>6.95</v>
        <stp/>
        <stp>LAST</stp>
        <stp>RNW</stp>
        <tr r="D30" s="3"/>
      </tp>
      <tp>
        <v>74.69</v>
        <stp/>
        <stp>LAST</stp>
        <stp>SRE</stp>
        <tr r="D35" s="2"/>
      </tp>
      <tp>
        <v>18.23</v>
        <stp/>
        <stp>LAST</stp>
        <stp>SPH</stp>
        <tr r="D5" s="4"/>
      </tp>
      <tp>
        <v>71.27</v>
        <stp/>
        <stp>LAST</stp>
        <stp>SWX</stp>
        <tr r="D16" s="3"/>
      </tp>
      <tp>
        <v>20.239999999999998</v>
        <stp/>
        <stp>LAST</stp>
        <stp>SBS</stp>
        <tr r="D40" s="2"/>
      </tp>
      <tp>
        <v>11.89</v>
        <stp/>
        <stp>LAST</stp>
        <stp>SGU</stp>
        <tr r="D8" s="4"/>
      </tp>
      <tp>
        <v>33.92</v>
        <stp/>
        <stp>LAST</stp>
        <stp>PPL</stp>
        <tr r="D21" s="2"/>
      </tp>
      <tp>
        <v>89.41</v>
        <stp/>
        <stp>LAST</stp>
        <stp>PNW</stp>
        <tr r="D10" s="2"/>
      </tp>
      <tp>
        <v>40.81</v>
        <stp/>
        <stp>LAST</stp>
        <stp>POR</stp>
        <tr r="D3" s="3"/>
      </tp>
      <tp>
        <v>14.58</v>
        <stp/>
        <stp>LAST</stp>
        <stp>PCG</stp>
        <tr r="D6" s="2"/>
      </tp>
      <tp>
        <v>73</v>
        <stp/>
        <stp>LAST</stp>
        <stp>PAM</stp>
        <tr r="D13" s="3"/>
      </tp>
      <tp>
        <v>79.69</v>
        <stp/>
        <stp>LAST</stp>
        <stp>PEG</stp>
        <tr r="D34" s="2"/>
      </tp>
      <tp>
        <v>41.24</v>
        <stp/>
        <stp>LAST</stp>
        <stp>CPXWF</stp>
        <tr r="D34" s="3"/>
      </tp>
      <tp>
        <v>68.38</v>
        <stp/>
        <stp>LAST</stp>
        <stp>XEL</stp>
        <tr r="D17" s="2"/>
      </tp>
      <tp>
        <v>47.34</v>
        <stp/>
        <stp>LAST</stp>
        <stp>FTS</stp>
        <tr r="D19" s="2"/>
      </tp>
      <tp>
        <v>10.050000000000001</v>
        <stp/>
        <stp>LAST</stp>
        <stp>INGXF</stp>
        <tr r="D25" s="3"/>
      </tp>
      <tp>
        <v>28</v>
        <stp/>
        <stp>LAST</stp>
        <stp>ATGFF</stp>
        <tr r="D19" s="3"/>
      </tp>
      <tp>
        <v>22.72</v>
        <stp/>
        <stp>LAST</stp>
        <stp>GNE</stp>
        <tr r="D4" s="4"/>
      </tp>
      <tp>
        <v>133.9</v>
        <stp/>
        <stp>LAST</stp>
        <stp>DTE</stp>
        <tr r="D28" s="2"/>
      </tp>
      <tp>
        <v>115.47</v>
        <stp/>
        <stp>LAST</stp>
        <stp>DUK</stp>
        <tr r="D16" s="2"/>
      </tp>
      <tp>
        <v>42.2</v>
        <stp/>
        <stp>LAST</stp>
        <stp>EXC</stp>
        <tr r="D12" s="2"/>
      </tp>
      <tp>
        <v>82.81</v>
        <stp/>
        <stp>LAST</stp>
        <stp>ETR</stp>
        <tr r="D7" s="2"/>
      </tp>
      <tp>
        <v>49.42</v>
        <stp/>
        <stp>LAST</stp>
        <stp>EIX</stp>
        <tr r="D5" s="2"/>
      </tp>
      <tp>
        <v>8.8000000000000007</v>
        <stp/>
        <stp>LAST</stp>
        <stp>ELP</stp>
        <tr r="D8" s="3"/>
      </tp>
      <tp>
        <v>44.09</v>
        <stp/>
        <stp>LAST</stp>
        <stp>EMA</stp>
        <tr r="D18" s="2"/>
      </tp>
      <tp>
        <v>7.35</v>
        <stp/>
        <stp>LAST</stp>
        <stp>EBR</stp>
        <tr r="D22" s="2"/>
      </tp>
      <tp>
        <v>30.74</v>
        <stp/>
        <stp>LAST</stp>
        <stp>EDN</stp>
        <tr r="D3" s="4"/>
      </tp>
      <tp>
        <v>57.39</v>
        <stp/>
        <stp>LAST</stp>
        <stp>BKH</stp>
        <tr r="D41" s="3"/>
      </tp>
      <tp>
        <v>33.450000000000003</v>
        <stp/>
        <stp>LAST</stp>
        <stp>BIP</stp>
        <tr r="D26" s="2"/>
      </tp>
      <tp>
        <v>25.8</v>
        <stp/>
        <stp>LAST</stp>
        <stp>BEP</stp>
        <tr r="D29" s="3"/>
      </tp>
      <tp>
        <v>119.38</v>
        <stp/>
        <stp>LAST</stp>
        <stp>CPK</stp>
        <tr r="D23" s="3"/>
      </tp>
      <tp>
        <v>46.14</v>
        <stp/>
        <stp>LAST</stp>
        <stp>CWT</stp>
        <tr r="D42" s="3"/>
      </tp>
      <tp>
        <v>1.84</v>
        <stp/>
        <stp>LAST</stp>
        <stp>CIG</stp>
        <tr r="D10" s="3"/>
      </tp>
      <tp>
        <v>36.54</v>
        <stp/>
        <stp>LAST</stp>
        <stp>CNP</stp>
        <tr r="D29" s="2"/>
      </tp>
      <tp>
        <v>69.66</v>
        <stp/>
        <stp>LAST</stp>
        <stp>CMS</stp>
        <tr r="D27" s="2"/>
      </tp>
      <tp>
        <v>299.66000000000003</v>
        <stp/>
        <stp>LAST</stp>
        <stp>CEG</stp>
        <tr r="D11" s="2"/>
      </tp>
      <tp>
        <v>5.79</v>
        <stp/>
        <stp>LAST</stp>
        <stp>AQN</stp>
        <tr r="D38" s="3"/>
      </tp>
      <tp>
        <v>37.31</v>
        <stp/>
        <stp>LAST</stp>
        <stp>AVA</stp>
        <tr r="D39" s="3"/>
      </tp>
      <tp>
        <v>77.5</v>
        <stp/>
        <stp>LAST</stp>
        <stp>AWR</stp>
        <tr r="D43" s="3"/>
      </tp>
      <tp>
        <v>139.81</v>
        <stp/>
        <stp>LAST</stp>
        <stp>AWK</stp>
        <tr r="D38" s="2"/>
      </tp>
      <tp>
        <v>151.97</v>
        <stp/>
        <stp>LAST</stp>
        <stp>ATO</stp>
        <tr r="D23" s="2"/>
      </tp>
      <tp>
        <v>65.260000000000005</v>
        <stp/>
        <stp>LAST</stp>
        <stp>ALE</stp>
        <tr r="D7" s="3"/>
      </tp>
      <tp>
        <v>10.88</v>
        <stp/>
        <stp>LAST</stp>
        <stp>AES</stp>
        <tr r="D27" s="3"/>
      </tp>
      <tp>
        <v>101.41</v>
        <stp/>
        <stp>LAST</stp>
        <stp>AEP</stp>
        <tr r="D15" s="2"/>
      </tp>
      <tp>
        <v>95.93</v>
        <stp/>
        <stp>LAST</stp>
        <stp>AEE</stp>
        <tr r="D31" s="2"/>
      </tp>
      <tp>
        <v>35.82</v>
        <stp/>
        <stp>LAST</stp>
        <stp>HRNNF</stp>
        <tr r="D2" s="2"/>
      </tp>
      <tp>
        <v>155.05000000000001</v>
        <stp/>
        <stp>LAST</stp>
        <stp>NRG</stp>
        <tr r="D3" s="2"/>
      </tp>
      <tp>
        <v>52.58</v>
        <stp/>
        <stp>LAST</stp>
        <stp>NWE</stp>
        <tr r="D40" s="3"/>
      </tp>
      <tp>
        <v>39.97</v>
        <stp/>
        <stp>LAST</stp>
        <stp>NWN</stp>
        <tr r="D6" s="4"/>
      </tp>
      <tp>
        <v>44.92</v>
        <stp/>
        <stp>LAST</stp>
        <stp>NJR</stp>
        <tr r="D20" s="3"/>
      </tp>
      <tp>
        <v>82.18</v>
        <stp/>
        <stp>LAST</stp>
        <stp>NFG</stp>
        <tr r="D18" s="3"/>
      </tp>
      <tp>
        <v>71.12</v>
        <stp/>
        <stp>LAST</stp>
        <stp>NGG</stp>
        <tr r="D37" s="2"/>
      </tp>
      <tp>
        <v>71.900000000000006</v>
        <stp/>
        <stp>LAST</stp>
        <stp>NEE</stp>
        <tr r="D14" s="2"/>
      </tp>
      <tp>
        <v>77.83</v>
        <stp/>
        <stp>LAST</stp>
        <stp>ORA</stp>
        <tr r="D35" s="3"/>
      </tp>
      <tp>
        <v>73.61</v>
        <stp/>
        <stp>LAST</stp>
        <stp>OGS</stp>
        <tr r="D21" s="3"/>
      </tp>
      <tp>
        <v>43.77</v>
        <stp/>
        <stp>LAST</stp>
        <stp>OGE</stp>
        <tr r="D4" s="3"/>
      </tp>
      <tp>
        <v>22.77</v>
        <stp/>
        <stp>LAST</stp>
        <stp>BRLXF</stp>
        <tr r="D32" s="3"/>
      </tp>
      <tp>
        <v>36.96</v>
        <stp/>
        <stp>LAST</stp>
        <stp>ACLLF</stp>
        <tr r="D36" s="3"/>
      </tp>
      <tp>
        <v>16.84</v>
        <stp/>
        <stp>LAST</stp>
        <stp>MDU</stp>
        <tr r="D22" s="3"/>
      </tp>
      <tp>
        <v>11.4</v>
        <stp/>
        <stp>LAST</stp>
        <stp>KEP</stp>
        <tr r="D4" s="2"/>
      </tp>
      <tp>
        <v>36.71</v>
        <stp/>
        <stp>LAST</stp>
        <stp>KEN</stp>
        <tr r="D11" s="4"/>
      </tp>
      <tp>
        <v>52.57</v>
        <stp/>
        <stp>LAST</stp>
        <stp>HTO</stp>
        <tr r="D16" s="4"/>
      </tp>
      <tp>
        <v>15.29</v>
        <stp/>
        <stp>LAST</stp>
        <stp>NPIFF</stp>
        <tr r="D33" s="3"/>
      </tp>
      <tp>
        <v>115.68</v>
        <stp/>
        <stp>LAST</stp>
        <stp>IDA</stp>
        <tr r="D5" s="3"/>
      </tp>
      <tp>
        <v>56.57</v>
        <stp/>
        <stp>LAST</stp>
        <stp>TXNM</stp>
        <tr r="D2" s="3"/>
      </tp>
      <tp>
        <v>56.29</v>
        <stp/>
        <stp>LAST</stp>
        <stp>MSEX</stp>
        <tr r="D18" s="4"/>
      </tp>
      <tp>
        <v>67.319999999999993</v>
        <stp/>
        <stp>LAST</stp>
        <stp>EVRG</stp>
        <tr r="D20" s="2"/>
      </tp>
      <tp>
        <v>10.52</v>
        <stp/>
        <stp>LAST</stp>
        <stp>GWRS</stp>
        <tr r="D15" s="4"/>
      </tp>
      <tp>
        <v>30.48</v>
        <stp/>
        <stp>LAST</stp>
        <stp>CWEN</stp>
        <tr r="D31" s="3"/>
      </tp>
      <tp>
        <v>28.31</v>
        <stp/>
        <stp>LAST</stp>
        <stp>CWCO</stp>
        <tr r="D20" s="4"/>
      </tp>
      <tp>
        <v>78.41</v>
        <stp/>
        <stp>LAST</stp>
        <stp>OTTR</stp>
        <tr r="D12" s="3"/>
      </tp>
      <tp>
        <v>37.89</v>
        <stp/>
        <stp>LAST</stp>
        <stp>WTRG</stp>
        <tr r="D39" s="2"/>
      </tp>
      <tp>
        <v>54.26</v>
        <stp/>
        <stp>LAST</stp>
        <stp>OKLO</stp>
        <tr r="D14" s="3"/>
      </tp>
      <tp>
        <v>41.14</v>
        <stp/>
        <stp>LAST</stp>
        <stp>BIPC</stp>
        <tr r="D24" s="3"/>
      </tp>
      <tp>
        <v>8.67</v>
        <stp/>
        <stp>LAST</stp>
        <stp>XIFR</stp>
        <tr r="D9" s="4"/>
      </tp>
      <tp>
        <v>2.15</v>
        <stp/>
        <stp>LAST</stp>
        <stp>MNTK</stp>
        <tr r="D13" s="4"/>
      </tp>
      <tp>
        <v>8.84</v>
        <stp/>
        <stp>LAST</stp>
        <stp>ANNA</stp>
        <tr r="D10" s="4"/>
      </tp>
      <tp>
        <v>3.5</v>
        <stp/>
        <stp>LAST</stp>
        <stp>ENIC</stp>
        <tr r="D6" s="3"/>
      </tp>
      <tp>
        <v>32.19</v>
        <stp/>
        <stp>LAST</stp>
        <stp>YORW</stp>
        <tr r="D19" s="4"/>
      </tp>
      <tp>
        <v>8.1301000000000005</v>
        <stp/>
        <stp>LAST</stp>
        <stp>ELPC</stp>
        <tr r="D9" s="3"/>
      </tp>
      <tp>
        <v>10.52</v>
        <stp/>
        <stp>LAST</stp>
        <stp>PCYO</stp>
        <tr r="D21" s="4"/>
      </tp>
      <tp>
        <v>88.65</v>
        <stp/>
        <stp>LAST</stp>
        <stp>MGEE</stp>
        <tr r="D11" s="3"/>
      </tp>
      <tp>
        <v>12.15</v>
        <stp/>
        <stp>LAST</stp>
        <stp>CEPU</stp>
        <tr r="D12" s="4"/>
      </tp>
      <tp>
        <v>31.83</v>
        <stp/>
        <stp>LAST</stp>
        <stp>BEPC</stp>
        <tr r="D26" s="3"/>
      </tp>
      <tp>
        <v>73.84</v>
        <stp/>
        <stp>LAST</stp>
        <stp>SR</stp>
        <tr r="D15" s="3"/>
      </tp>
      <tp>
        <v>88.5</v>
        <stp/>
        <stp>LAST</stp>
        <stp>SO</stp>
        <tr r="D8" s="2"/>
      </tp>
      <tp>
        <v>39.82</v>
        <stp/>
        <stp>LAST</stp>
        <stp>FE</stp>
        <tr r="D9" s="2"/>
      </tp>
      <tp>
        <v>65.64</v>
        <stp/>
        <stp>LAST</stp>
        <stp>ES</stp>
        <tr r="D13" s="2"/>
      </tp>
      <tp>
        <v>101.11</v>
        <stp/>
        <stp>LAST</stp>
        <stp>ED</stp>
        <tr r="D36" s="2"/>
      </tp>
      <tp>
        <v>39.35</v>
        <stp/>
        <stp>LAST</stp>
        <stp>NI</stp>
        <tr r="D32" s="2"/>
      </tp>
      <tp>
        <v>10.42</v>
        <stp/>
        <stp>LAST</stp>
        <stp>HE</stp>
        <tr r="D2" s="4"/>
      </tp>
      <tp>
        <v>55.67</v>
        <stp/>
        <stp>LAST</stp>
        <stp>D</stp>
        <tr r="D30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703566087963" createdVersion="8" refreshedVersion="8" minRefreshableVersion="3" recordCount="39" xr:uid="{3432845B-C090-4238-AA0B-FA56B072311B}">
  <cacheSource type="worksheet">
    <worksheetSource name="Main_L"/>
  </cacheSource>
  <cacheFields count="26">
    <cacheField name="Industry" numFmtId="0">
      <sharedItems count="58">
        <s v="Electric Utilities"/>
        <s v="Gas Utilities"/>
        <s v="Independent Power &amp; Renewable Electricity Producers"/>
        <s v="Multi-Utilities"/>
        <s v="Water Utilitie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801" maxValue="145422"/>
    </cacheField>
    <cacheField name="Current Price" numFmtId="0">
      <sharedItems containsSemiMixedTypes="0" containsString="0" containsNumber="1" minValue="7.35" maxValue="299.66000000000003"/>
    </cacheField>
    <cacheField name="Free CF" numFmtId="0">
      <sharedItems containsString="0" containsBlank="1" containsNumber="1" minValue="-13.66" maxValue="11.13"/>
    </cacheField>
    <cacheField name="BVPS" numFmtId="0">
      <sharedItems containsString="0" containsBlank="1" containsNumber="1" minValue="6.91" maxValue="82.71"/>
    </cacheField>
    <cacheField name="EPS" numFmtId="0">
      <sharedItems containsString="0" containsBlank="1" containsNumber="1" minValue="0.01" maxValue="10.79"/>
    </cacheField>
    <cacheField name="P/FCF" numFmtId="2">
      <sharedItems containsMixedTypes="1" containsNumber="1" minValue="-481.125" maxValue="886.27586206896547"/>
    </cacheField>
    <cacheField name="P/B" numFmtId="2">
      <sharedItems containsMixedTypes="1" containsNumber="1" minValue="0.25698827772768262" maxValue="24.51085383502171"/>
    </cacheField>
    <cacheField name="ROE" numFmtId="0">
      <sharedItems containsString="0" containsBlank="1" containsNumber="1" minValue="4.47" maxValue="44.91"/>
    </cacheField>
    <cacheField name="ROA" numFmtId="0">
      <sharedItems containsString="0" containsBlank="1" containsNumber="1" minValue="0.91" maxValue="13.75"/>
    </cacheField>
    <cacheField name="A/E" numFmtId="0">
      <sharedItems containsString="0" containsBlank="1" containsNumber="1" minValue="2.0499999999999998" maxValue="22.61"/>
    </cacheField>
    <cacheField name="P/E" numFmtId="2">
      <sharedItems containsMixedTypes="1" containsNumber="1" minValue="2.050359712230216" maxValue="3345"/>
    </cacheField>
    <cacheField name="Preliminary Criteria" numFmtId="0">
      <sharedItems/>
    </cacheField>
    <cacheField name="P/FCF Z-Score" numFmtId="2">
      <sharedItems containsMixedTypes="1" containsNumber="1" minValue="-30.423627826981349" maxValue="3.4220097070015996"/>
    </cacheField>
    <cacheField name="P/B Z-Score" numFmtId="2">
      <sharedItems containsMixedTypes="1" containsNumber="1" minValue="-3.0529033992578687" maxValue="26.896994026164684"/>
    </cacheField>
    <cacheField name="ROE Z-Score" numFmtId="2">
      <sharedItems containsMixedTypes="1" containsNumber="1" minValue="-4.8055472766052949" maxValue="19.167866074609051"/>
    </cacheField>
    <cacheField name="ROA Z-Score" numFmtId="2">
      <sharedItems containsMixedTypes="1" containsNumber="1" minValue="-14.862163744905155" maxValue="18.401714030323024"/>
    </cacheField>
    <cacheField name="A/E Z-Score" numFmtId="2">
      <sharedItems containsMixedTypes="1" containsNumber="1" minValue="-6.7677281816315178" maxValue="38.850652384752912"/>
    </cacheField>
    <cacheField name="P/E Z-Score" numFmtId="2">
      <sharedItems containsMixedTypes="1" containsNumber="1" minValue="-3.0391426000178927" maxValue="1532.0572568055752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4">
        <s v="Yes"/>
        <s v="No"/>
        <e v="#VALUE!" u="1"/>
        <e v="#REF!" u="1"/>
      </sharedItems>
    </cacheField>
    <cacheField name="ROE Outlier" numFmtId="0">
      <sharedItems count="2">
        <s v="Yes"/>
        <s v="No"/>
      </sharedItems>
    </cacheField>
    <cacheField name="ROA Outlier" numFmtId="0">
      <sharedItems count="2">
        <s v="Yes"/>
        <s v="No"/>
      </sharedItems>
    </cacheField>
    <cacheField name="A/E Outlier" numFmtId="0">
      <sharedItems count="2">
        <s v="Yes"/>
        <s v="No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703567708333" createdVersion="8" refreshedVersion="8" minRefreshableVersion="3" recordCount="42" xr:uid="{A2646FF5-8A5C-4026-A340-9C8CC354FDFF}">
  <cacheSource type="worksheet">
    <worksheetSource name="Main_M"/>
  </cacheSource>
  <cacheFields count="26">
    <cacheField name="Industry" numFmtId="0">
      <sharedItems count="59">
        <s v="Electric Utilities"/>
        <s v="Gas Utilities"/>
        <s v="Independent Power &amp; Renewable Electricity Producers"/>
        <s v="Multi-Utilities"/>
        <s v="Water Utilitie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16" maxValue="8953"/>
    </cacheField>
    <cacheField name="Current Price" numFmtId="0">
      <sharedItems containsSemiMixedTypes="0" containsString="0" containsNumber="1" minValue="1.84" maxValue="119.38"/>
    </cacheField>
    <cacheField name="Free CF" numFmtId="0">
      <sharedItems containsString="0" containsBlank="1" containsNumber="1" minValue="-8.16" maxValue="4.5599999999999996"/>
    </cacheField>
    <cacheField name="BVPS" numFmtId="0">
      <sharedItems containsString="0" containsBlank="1" containsNumber="1" minValue="-7.06" maxValue="62.68"/>
    </cacheField>
    <cacheField name="EPS" numFmtId="0">
      <sharedItems containsString="0" containsBlank="1" containsNumber="1" minValue="-2.08" maxValue="7.02"/>
    </cacheField>
    <cacheField name="P/FCF" numFmtId="2">
      <sharedItems containsMixedTypes="1" containsNumber="1" minValue="-573.9" maxValue="2433.3333333333335"/>
    </cacheField>
    <cacheField name="P/B" numFmtId="2">
      <sharedItems containsMixedTypes="1" containsNumber="1" minValue="-5.8271954674220972" maxValue="43.75"/>
    </cacheField>
    <cacheField name="ROE" numFmtId="0">
      <sharedItems containsString="0" containsBlank="1" containsNumber="1" minValue="-56.03" maxValue="26.27"/>
    </cacheField>
    <cacheField name="ROA" numFmtId="0">
      <sharedItems containsString="0" containsBlank="1" containsNumber="1" minValue="-22.83" maxValue="8.19"/>
    </cacheField>
    <cacheField name="A/E" numFmtId="0">
      <sharedItems containsString="0" containsBlank="1" containsNumber="1" minValue="-26.87" maxValue="31.31"/>
    </cacheField>
    <cacheField name="P/E" numFmtId="2">
      <sharedItems containsMixedTypes="1" containsNumber="1" minValue="-106.3921568627451" maxValue="325.28571428571422"/>
    </cacheField>
    <cacheField name="Preliminary Criteria" numFmtId="0">
      <sharedItems/>
    </cacheField>
    <cacheField name="P/FCF Z-Score" numFmtId="2">
      <sharedItems containsMixedTypes="1" containsNumber="1" minValue="-25.514886486403554" maxValue="40.449046633212518"/>
    </cacheField>
    <cacheField name="P/B Z-Score" numFmtId="2">
      <sharedItems containsMixedTypes="1" containsNumber="1" minValue="-33.418841197685538" maxValue="44.435992126790872"/>
    </cacheField>
    <cacheField name="ROE Z-Score" numFmtId="2">
      <sharedItems containsSemiMixedTypes="0" containsString="0" containsNumber="1" minValue="-14.125513586271538" maxValue="3.4134413720360195"/>
    </cacheField>
    <cacheField name="ROA Z-Score" numFmtId="2">
      <sharedItems containsSemiMixedTypes="0" containsString="0" containsNumber="1" minValue="-31.414031233660715" maxValue="5.7063580897888251"/>
    </cacheField>
    <cacheField name="A/E Z-Score" numFmtId="2">
      <sharedItems containsSemiMixedTypes="0" containsString="0" containsNumber="1" minValue="-91.355071640270538" maxValue="5.9030577580095382"/>
    </cacheField>
    <cacheField name="P/E Z-Score" numFmtId="2">
      <sharedItems containsMixedTypes="1" containsNumber="1" minValue="-10.031141009889387" maxValue="45.674884508101961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Yes"/>
        <s v="No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703569097219" createdVersion="8" refreshedVersion="8" minRefreshableVersion="3" recordCount="20" xr:uid="{FEEDC4AE-CB7E-4F82-B64E-6462C5DE2153}">
  <cacheSource type="worksheet">
    <worksheetSource name="Main_S"/>
  </cacheSource>
  <cacheFields count="26">
    <cacheField name="Industry" numFmtId="0">
      <sharedItems count="60">
        <s v="Electric Utilities"/>
        <s v="Gas Utilities"/>
        <s v="Independent Power &amp; Renewable Electricity Producers"/>
        <s v="Multi-Utilities"/>
        <s v="Water Utilitie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6" maxValue="1967"/>
    </cacheField>
    <cacheField name="Current Price" numFmtId="0">
      <sharedItems containsSemiMixedTypes="0" containsString="0" containsNumber="1" minValue="2.15" maxValue="56.29"/>
    </cacheField>
    <cacheField name="Free CF" numFmtId="0">
      <sharedItems containsSemiMixedTypes="0" containsString="0" containsNumber="1" minValue="-5.26" maxValue="5.84"/>
    </cacheField>
    <cacheField name="BVPS" numFmtId="0">
      <sharedItems containsSemiMixedTypes="0" containsString="0" containsNumber="1" minValue="0.71" maxValue="40.880000000000003"/>
    </cacheField>
    <cacheField name="EPS" numFmtId="0">
      <sharedItems containsSemiMixedTypes="0" containsString="0" containsNumber="1" minValue="-9.25" maxValue="11.35"/>
    </cacheField>
    <cacheField name="P/FCF" numFmtId="2">
      <sharedItems containsSemiMixedTypes="0" containsString="0" containsNumber="1" minValue="-341.55555555555554" maxValue="263"/>
    </cacheField>
    <cacheField name="P/B" numFmtId="2">
      <sharedItems containsSemiMixedTypes="0" containsString="0" containsNumber="1" minValue="0.26145958986731005" maxValue="17.269662921348313"/>
    </cacheField>
    <cacheField name="ROE" numFmtId="0">
      <sharedItems containsSemiMixedTypes="0" containsString="0" containsNumber="1" minValue="-66.650000000000006" maxValue="28.8"/>
    </cacheField>
    <cacheField name="ROA" numFmtId="0">
      <sharedItems containsSemiMixedTypes="0" containsString="0" containsNumber="1" minValue="-6.05" maxValue="8.36"/>
    </cacheField>
    <cacheField name="A/E" numFmtId="0">
      <sharedItems containsSemiMixedTypes="0" containsString="0" containsNumber="1" minValue="1.1100000000000001" maxValue="6.87"/>
    </cacheField>
    <cacheField name="P/E" numFmtId="2">
      <sharedItems containsSemiMixedTypes="0" containsString="0" containsNumber="1" minValue="-6.3597122302158278" maxValue="202.5"/>
    </cacheField>
    <cacheField name="Preliminary Criteria" numFmtId="0">
      <sharedItems/>
    </cacheField>
    <cacheField name="P/FCF Z-Score" numFmtId="2">
      <sharedItems containsMixedTypes="1" containsNumber="1" minValue="-5.7698686574890177" maxValue="19.167418652443828"/>
    </cacheField>
    <cacheField name="P/B Z-Score" numFmtId="2">
      <sharedItems containsMixedTypes="1" containsNumber="1" minValue="-1.541956516366805" maxValue="5.4749660103126239"/>
    </cacheField>
    <cacheField name="ROE Z-Score" numFmtId="2">
      <sharedItems containsMixedTypes="1" containsNumber="1" minValue="-6.355887211629355" maxValue="5.4854887139272339"/>
    </cacheField>
    <cacheField name="ROA Z-Score" numFmtId="2">
      <sharedItems containsMixedTypes="1" containsNumber="1" minValue="-4.6614775894634297" maxValue="2.8029107969730442"/>
    </cacheField>
    <cacheField name="A/E Z-Score" numFmtId="2">
      <sharedItems containsMixedTypes="1" containsNumber="1" minValue="-1.5265636166799377" maxValue="7.2376970554557536"/>
    </cacheField>
    <cacheField name="P/E Z-Score" numFmtId="2">
      <sharedItems containsMixedTypes="1" containsNumber="1" minValue="-1.3392746221901888" maxValue="23.697309147977919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s v="HRNNF"/>
    <n v="21970"/>
    <n v="35.82"/>
    <m/>
    <m/>
    <m/>
    <s v=""/>
    <s v=""/>
    <m/>
    <m/>
    <m/>
    <s v=""/>
    <s v="NO"/>
    <e v="#VALUE!"/>
    <e v="#VALUE!"/>
    <n v="-4.8055472766052949"/>
    <n v="-14.862163744905155"/>
    <n v="-6.7677281816315178"/>
    <e v="#VALUE!"/>
    <x v="0"/>
    <x v="0"/>
    <x v="0"/>
    <x v="0"/>
    <x v="0"/>
    <x v="0"/>
  </r>
  <r>
    <x v="0"/>
    <s v="NRG"/>
    <n v="30480"/>
    <n v="155.05000000000001"/>
    <n v="11.13"/>
    <n v="10.83"/>
    <n v="6.2"/>
    <n v="13.930817610062894"/>
    <n v="14.316712834718375"/>
    <n v="44.91"/>
    <n v="6.32"/>
    <n v="11.75"/>
    <n v="25.008064516129032"/>
    <s v="NO"/>
    <n v="2.3207706938747488"/>
    <n v="26.896994026164684"/>
    <n v="19.167866074609051"/>
    <n v="18.401714030323024"/>
    <n v="14.318743574426753"/>
    <n v="0.75212728026660935"/>
    <x v="0"/>
    <x v="0"/>
    <x v="0"/>
    <x v="0"/>
    <x v="0"/>
    <x v="1"/>
  </r>
  <r>
    <x v="0"/>
    <s v="KEP"/>
    <n v="14187"/>
    <n v="11.4"/>
    <n v="2.14"/>
    <n v="44.36"/>
    <n v="5.56"/>
    <n v="5.3271028037383177"/>
    <n v="0.25698827772768262"/>
    <n v="13.27"/>
    <n v="2.77"/>
    <n v="5.96"/>
    <n v="2.050359712230216"/>
    <s v="NO"/>
    <n v="1.7516965483811484"/>
    <n v="-3.0529033992578687"/>
    <n v="2.278113270502574"/>
    <n v="-0.282900859243438"/>
    <n v="3.9280481303776136"/>
    <n v="-3.0391426000178927"/>
    <x v="1"/>
    <x v="0"/>
    <x v="1"/>
    <x v="1"/>
    <x v="0"/>
    <x v="0"/>
  </r>
  <r>
    <x v="0"/>
    <s v="EIX"/>
    <n v="21412"/>
    <n v="49.42"/>
    <n v="-1.89"/>
    <n v="38.93"/>
    <n v="7.04"/>
    <n v="-26.148148148148149"/>
    <n v="1.2694580015412278"/>
    <n v="15"/>
    <n v="2.8"/>
    <n v="5.9"/>
    <n v="7.0198863636363642"/>
    <s v="NO"/>
    <n v="-0.33016598923743012"/>
    <n v="-0.89614959859508314"/>
    <n v="3.2016048113086493"/>
    <n v="-0.12500270524710275"/>
    <n v="3.8203725299211468"/>
    <n v="-2.2184674988402016"/>
    <x v="1"/>
    <x v="1"/>
    <x v="0"/>
    <x v="1"/>
    <x v="0"/>
    <x v="1"/>
  </r>
  <r>
    <x v="0"/>
    <s v="PCG"/>
    <n v="37097"/>
    <n v="14.58"/>
    <n v="-0.82"/>
    <n v="13.24"/>
    <n v="1.0900000000000001"/>
    <n v="-17.780487804878049"/>
    <n v="1.1012084592145015"/>
    <n v="8.26"/>
    <n v="2.4300000000000002"/>
    <n v="4.6500000000000004"/>
    <n v="13.376146788990825"/>
    <s v="NO"/>
    <n v="0.22329484330047697"/>
    <n v="-1.2545532439961058"/>
    <n v="-0.39627552686068312"/>
    <n v="-2.0724132712019152"/>
    <n v="1.5771308537447348"/>
    <n v="-1.1687850977580947"/>
    <x v="1"/>
    <x v="1"/>
    <x v="1"/>
    <x v="1"/>
    <x v="1"/>
    <x v="1"/>
  </r>
  <r>
    <x v="0"/>
    <s v="ETR"/>
    <n v="37171"/>
    <n v="82.81"/>
    <n v="-4.2"/>
    <n v="35.25"/>
    <n v="3.09"/>
    <n v="-19.716666666666665"/>
    <n v="2.3492198581560286"/>
    <n v="8.85"/>
    <n v="3.07"/>
    <n v="4.3899999999999997"/>
    <n v="26.799352750809064"/>
    <s v="NO"/>
    <n v="9.5230471561286459E-2"/>
    <n v="1.4039492915654508"/>
    <n v="-8.1327544736068055E-2"/>
    <n v="1.2960806807199239"/>
    <n v="1.1105365851000399"/>
    <n v="1.0479433119239667"/>
    <x v="1"/>
    <x v="1"/>
    <x v="1"/>
    <x v="1"/>
    <x v="1"/>
    <x v="1"/>
  </r>
  <r>
    <x v="0"/>
    <s v="SO"/>
    <n v="99017"/>
    <n v="88.5"/>
    <n v="0"/>
    <n v="30.79"/>
    <n v="4.17"/>
    <s v=""/>
    <n v="2.8743098408574212"/>
    <n v="12.24"/>
    <n v="3.46"/>
    <n v="4.38"/>
    <n v="21.223021582733814"/>
    <s v="NO"/>
    <e v="#VALUE!"/>
    <n v="2.5224911987896736"/>
    <n v="1.7282888271324834"/>
    <n v="3.3487566826722963"/>
    <n v="1.092590651690629"/>
    <n v="0.12705960074282854"/>
    <x v="0"/>
    <x v="1"/>
    <x v="1"/>
    <x v="0"/>
    <x v="1"/>
    <x v="1"/>
  </r>
  <r>
    <x v="0"/>
    <s v="FE"/>
    <n v="24206"/>
    <n v="39.82"/>
    <n v="-1.18"/>
    <n v="21.77"/>
    <n v="1.88"/>
    <n v="-33.745762711864408"/>
    <n v="1.8291226458429031"/>
    <n v="9.27"/>
    <n v="2.96"/>
    <n v="4.2"/>
    <n v="21.180851063829788"/>
    <s v="NO"/>
    <n v="-0.83269380576364593"/>
    <n v="0.29604293842987017"/>
    <n v="0.14287271372552232"/>
    <n v="0.71712078273335822"/>
    <n v="0.76956385032122621"/>
    <n v="0.1200954978622283"/>
    <x v="1"/>
    <x v="1"/>
    <x v="1"/>
    <x v="1"/>
    <x v="1"/>
    <x v="1"/>
  </r>
  <r>
    <x v="0"/>
    <s v="PNW"/>
    <n v="10893"/>
    <n v="89.41"/>
    <n v="-6.37"/>
    <n v="56.44"/>
    <n v="4.99"/>
    <n v="-14.036106750392463"/>
    <n v="1.5841601700921333"/>
    <n v="9.19"/>
    <n v="2.5"/>
    <n v="4.04"/>
    <n v="17.917835671342683"/>
    <s v="NO"/>
    <n v="0.47095884622831008"/>
    <n v="-0.22577390030508593"/>
    <n v="0.10016790258998126"/>
    <n v="-1.7039842452104648"/>
    <n v="0.48242891577064517"/>
    <n v="-0.41876376886813582"/>
    <x v="1"/>
    <x v="1"/>
    <x v="1"/>
    <x v="1"/>
    <x v="1"/>
    <x v="1"/>
  </r>
  <r>
    <x v="0"/>
    <s v="CEG"/>
    <n v="95953"/>
    <n v="299.66000000000003"/>
    <n v="-13.66"/>
    <n v="41.34"/>
    <n v="9.49"/>
    <n v="-21.937042459736457"/>
    <n v="7.248669569424286"/>
    <n v="23.97"/>
    <n v="4.68"/>
    <n v="4.03"/>
    <n v="31.576396206533193"/>
    <s v="NO"/>
    <n v="-5.1631492783118259E-2"/>
    <n v="11.840712522502306"/>
    <n v="7.9898817598811869"/>
    <n v="9.7699482785233052"/>
    <n v="0.46448298236123425"/>
    <n v="1.8368314488348201"/>
    <x v="1"/>
    <x v="0"/>
    <x v="0"/>
    <x v="0"/>
    <x v="1"/>
    <x v="1"/>
  </r>
  <r>
    <x v="0"/>
    <s v="EXC"/>
    <n v="44238"/>
    <n v="42.2"/>
    <n v="-1.49"/>
    <n v="27.35"/>
    <n v="2.69"/>
    <n v="-28.322147651006713"/>
    <n v="1.5429616087751372"/>
    <n v="10.1"/>
    <n v="2.76"/>
    <n v="3.97"/>
    <n v="15.687732342007436"/>
    <s v="NO"/>
    <n v="-0.47396049396500545"/>
    <n v="-0.31353470106028314"/>
    <n v="0.58593512925676061"/>
    <n v="-0.335533577242218"/>
    <n v="0.35680738190476641"/>
    <n v="-0.7870463848635747"/>
    <x v="1"/>
    <x v="1"/>
    <x v="1"/>
    <x v="1"/>
    <x v="1"/>
    <x v="1"/>
  </r>
  <r>
    <x v="0"/>
    <s v="ES"/>
    <n v="23810"/>
    <n v="65.64"/>
    <n v="-3.95"/>
    <n v="41.77"/>
    <n v="2.3199999999999998"/>
    <n v="-16.617721518987342"/>
    <n v="1.5714627723246348"/>
    <n v="5.62"/>
    <n v="3.09"/>
    <n v="3.92"/>
    <n v="28.293103448275865"/>
    <s v="NO"/>
    <n v="0.30020350955073521"/>
    <n v="-0.25282178158930957"/>
    <n v="-1.8055342943335371"/>
    <n v="1.4013461167174817"/>
    <n v="0.26707771485770943"/>
    <n v="1.2946235474411554"/>
    <x v="1"/>
    <x v="1"/>
    <x v="1"/>
    <x v="1"/>
    <x v="1"/>
    <x v="1"/>
  </r>
  <r>
    <x v="0"/>
    <s v="NEE"/>
    <n v="145422"/>
    <n v="71.900000000000006"/>
    <n v="-4.87"/>
    <n v="24.2"/>
    <n v="2.67"/>
    <n v="-14.763860369609857"/>
    <n v="2.9710743801652897"/>
    <n v="7.06"/>
    <n v="2.5499999999999998"/>
    <n v="3.9"/>
    <n v="26.928838951310865"/>
    <s v="NO"/>
    <n v="0.42282315387812019"/>
    <n v="2.7286181406754557"/>
    <n v="-1.0368476938937987"/>
    <n v="-1.4408206552165719"/>
    <n v="0.23118584803888681"/>
    <n v="1.0693268577125505"/>
    <x v="1"/>
    <x v="0"/>
    <x v="1"/>
    <x v="1"/>
    <x v="1"/>
    <x v="1"/>
  </r>
  <r>
    <x v="0"/>
    <s v="AEP"/>
    <n v="55284"/>
    <n v="101.41"/>
    <n v="-3.19"/>
    <n v="51.16"/>
    <n v="5.19"/>
    <n v="-31.789968652037619"/>
    <n v="1.9822126661454262"/>
    <n v="10.42"/>
    <n v="2.89"/>
    <n v="3.82"/>
    <n v="19.539499036608863"/>
    <s v="NO"/>
    <n v="-0.70333202908792081"/>
    <n v="0.62215390783977109"/>
    <n v="0.75675437379892485"/>
    <n v="0.34869175674190772"/>
    <n v="8.7618380763596335E-2"/>
    <n v="-0.15095984311810381"/>
    <x v="1"/>
    <x v="1"/>
    <x v="1"/>
    <x v="1"/>
    <x v="1"/>
    <x v="1"/>
  </r>
  <r>
    <x v="0"/>
    <s v="DUK"/>
    <n v="91499"/>
    <n v="115.47"/>
    <n v="-0.24"/>
    <n v="63.96"/>
    <n v="6"/>
    <n v="-481.125"/>
    <n v="1.8053470919324577"/>
    <n v="9.48"/>
    <n v="2.84"/>
    <n v="3.77"/>
    <n v="19.245000000000001"/>
    <s v="NO"/>
    <n v="-30.423627826981349"/>
    <n v="0.24539646964848924"/>
    <n v="0.254972842956318"/>
    <n v="8.5528166748012502E-2"/>
    <n v="-2.1112862834598259E-3"/>
    <n v="-0.19959385670113264"/>
    <x v="0"/>
    <x v="1"/>
    <x v="1"/>
    <x v="1"/>
    <x v="1"/>
    <x v="1"/>
  </r>
  <r>
    <x v="0"/>
    <s v="XEL"/>
    <n v="40431"/>
    <n v="68.38"/>
    <n v="-5.63"/>
    <n v="34.35"/>
    <n v="3.4"/>
    <n v="-12.145648312611012"/>
    <n v="1.9906841339155747"/>
    <n v="10.26"/>
    <n v="2.17"/>
    <n v="3.67"/>
    <n v="20.111764705882351"/>
    <s v="NO"/>
    <n v="0.59599913920510872"/>
    <n v="0.64019975146425145"/>
    <n v="0.67134475152784279"/>
    <n v="-3.4408639391701645"/>
    <n v="-0.18157062037757293"/>
    <n v="-5.6455030290779279E-2"/>
    <x v="1"/>
    <x v="1"/>
    <x v="1"/>
    <x v="0"/>
    <x v="1"/>
    <x v="1"/>
  </r>
  <r>
    <x v="0"/>
    <s v="EMA"/>
    <n v="13662"/>
    <n v="44.09"/>
    <n v="-1.36"/>
    <n v="28.73"/>
    <n v="2.0699999999999998"/>
    <n v="-32.419117647058826"/>
    <n v="1.5346327880264532"/>
    <n v="7.21"/>
    <n v="2.73"/>
    <n v="3.54"/>
    <n v="21.299516908212563"/>
    <s v="NO"/>
    <n v="-0.7449457314001664"/>
    <n v="-0.33127667929653448"/>
    <n v="-0.95677617301465911"/>
    <n v="-0.49343173123855327"/>
    <n v="-0.4148677546999196"/>
    <n v="0.13969215377665314"/>
    <x v="1"/>
    <x v="1"/>
    <x v="1"/>
    <x v="1"/>
    <x v="1"/>
    <x v="1"/>
  </r>
  <r>
    <x v="0"/>
    <s v="FTS"/>
    <n v="24493"/>
    <n v="47.34"/>
    <n v="-1.95"/>
    <n v="31.19"/>
    <n v="2.2999999999999998"/>
    <n v="-24.276923076923079"/>
    <n v="1.5177941647964091"/>
    <n v="7.46"/>
    <n v="3.02"/>
    <n v="3.32"/>
    <n v="20.582608695652176"/>
    <s v="NO"/>
    <n v="-0.20639784577795298"/>
    <n v="-0.367146161410564"/>
    <n v="-0.82332363821609333"/>
    <n v="1.032917090726031"/>
    <n v="-0.80967828970696842"/>
    <n v="2.1300853930894648E-2"/>
    <x v="1"/>
    <x v="1"/>
    <x v="1"/>
    <x v="1"/>
    <x v="1"/>
    <x v="1"/>
  </r>
  <r>
    <x v="0"/>
    <s v="EVRG"/>
    <n v="15280"/>
    <n v="67.319999999999993"/>
    <n v="-0.85"/>
    <n v="43.16"/>
    <n v="3.8"/>
    <n v="-79.199999999999989"/>
    <n v="1.5597775718257645"/>
    <n v="9.0500000000000007"/>
    <n v="2.91"/>
    <n v="3.27"/>
    <n v="17.715789473684211"/>
    <s v="NO"/>
    <n v="-3.839166222166202"/>
    <n v="-0.27771348945442936"/>
    <n v="2.5434483102785094E-2"/>
    <n v="0.45395719273946533"/>
    <n v="-0.89940795675402463"/>
    <n v="-0.45212998165603113"/>
    <x v="0"/>
    <x v="1"/>
    <x v="1"/>
    <x v="1"/>
    <x v="1"/>
    <x v="1"/>
  </r>
  <r>
    <x v="0"/>
    <s v="PPL"/>
    <n v="25689"/>
    <n v="33.92"/>
    <n v="-0.57999999999999996"/>
    <n v="19.34"/>
    <n v="1.34"/>
    <n v="-58.482758620689665"/>
    <n v="1.7538779731127199"/>
    <n v="7.02"/>
    <n v="2.97"/>
    <n v="2.92"/>
    <n v="25.313432835820894"/>
    <s v="NO"/>
    <n v="-2.4688690074968909"/>
    <n v="0.13575742067710808"/>
    <n v="-1.0582000994615692"/>
    <n v="0.76975350073213822"/>
    <n v="-1.5275156260834202"/>
    <n v="0.80255626359617249"/>
    <x v="1"/>
    <x v="1"/>
    <x v="1"/>
    <x v="1"/>
    <x v="1"/>
    <x v="1"/>
  </r>
  <r>
    <x v="0"/>
    <s v="EBR"/>
    <n v="16487"/>
    <n v="7.35"/>
    <n v="0.88"/>
    <n v="9.4700000000000006"/>
    <n v="0.75"/>
    <n v="8.3522727272727266"/>
    <n v="0.77613516367476232"/>
    <n v="8.2799999999999994"/>
    <n v="2.89"/>
    <n v="2.3199999999999998"/>
    <n v="9.7999999999999989"/>
    <s v="NO"/>
    <n v="1.951789883406942"/>
    <n v="-1.9470214227072191"/>
    <n v="-0.38559932407679809"/>
    <n v="0.34869175674190772"/>
    <n v="-2.604271630648098"/>
    <n v="-1.7593553539918332"/>
    <x v="1"/>
    <x v="1"/>
    <x v="1"/>
    <x v="1"/>
    <x v="1"/>
    <x v="1"/>
  </r>
  <r>
    <x v="1"/>
    <s v="ATO"/>
    <n v="24569"/>
    <n v="151.97"/>
    <n v="-8.36"/>
    <n v="82.71"/>
    <n v="7.25"/>
    <n v="-18.178229665071772"/>
    <n v="1.8373836295490269"/>
    <n v="9.19"/>
    <n v="3.64"/>
    <n v="2.0499999999999998"/>
    <n v="20.961379310344828"/>
    <s v="NO"/>
    <e v="#DIV/0!"/>
    <e v="#DIV/0!"/>
    <e v="#DIV/0!"/>
    <e v="#DIV/0!"/>
    <e v="#DIV/0!"/>
    <e v="#DIV/0!"/>
    <x v="1"/>
    <x v="1"/>
    <x v="1"/>
    <x v="1"/>
    <x v="1"/>
    <x v="1"/>
  </r>
  <r>
    <x v="2"/>
    <s v="VST"/>
    <n v="54487"/>
    <n v="169.37"/>
    <n v="4.82"/>
    <n v="6.91"/>
    <n v="6.38"/>
    <n v="35.139004149377591"/>
    <n v="24.51085383502171"/>
    <n v="41.68"/>
    <n v="6.3"/>
    <n v="16.27"/>
    <n v="26.547021943573668"/>
    <s v="NO"/>
    <n v="-1"/>
    <n v="0.99999999999999978"/>
    <n v="0.99999999999999856"/>
    <n v="1"/>
    <n v="0.99999999999999989"/>
    <n v="1.0000000000000107"/>
    <x v="1"/>
    <x v="1"/>
    <x v="1"/>
    <x v="1"/>
    <x v="1"/>
    <x v="1"/>
  </r>
  <r>
    <x v="2"/>
    <s v="TLN"/>
    <n v="11102"/>
    <n v="257.02"/>
    <n v="0.28999999999999998"/>
    <n v="25.93"/>
    <n v="10.79"/>
    <n v="886.27586206896547"/>
    <n v="9.9120709602776707"/>
    <n v="28.33"/>
    <n v="0.91"/>
    <n v="4.97"/>
    <n v="23.820203892493048"/>
    <s v="NO"/>
    <n v="1"/>
    <n v="-0.99999999999999978"/>
    <n v="-0.99999999999999745"/>
    <n v="-1"/>
    <n v="-0.99999999999999967"/>
    <n v="-1.0000000000000107"/>
    <x v="1"/>
    <x v="1"/>
    <x v="1"/>
    <x v="1"/>
    <x v="1"/>
    <x v="1"/>
  </r>
  <r>
    <x v="3"/>
    <s v="BIP"/>
    <n v="15377"/>
    <n v="33.450000000000003"/>
    <n v="0.79"/>
    <n v="9.92"/>
    <n v="0.01"/>
    <n v="42.341772151898738"/>
    <n v="3.3719758064516134"/>
    <n v="4.47"/>
    <n v="3.09"/>
    <n v="22.61"/>
    <n v="3345"/>
    <s v="NO"/>
    <n v="2.3459446513209437"/>
    <n v="2.2887323706018377"/>
    <n v="-2.2810495095918344"/>
    <n v="0.67424156081886177"/>
    <n v="38.850652384752912"/>
    <n v="1532.0572568055752"/>
    <x v="1"/>
    <x v="1"/>
    <x v="1"/>
    <x v="1"/>
    <x v="0"/>
    <x v="0"/>
  </r>
  <r>
    <x v="3"/>
    <s v="CMS"/>
    <n v="21007"/>
    <n v="69.66"/>
    <n v="-2.98"/>
    <n v="27.12"/>
    <n v="3.38"/>
    <n v="-23.375838926174495"/>
    <n v="2.5685840707964598"/>
    <n v="11.23"/>
    <n v="3.09"/>
    <n v="4.47"/>
    <n v="20.609467455621303"/>
    <s v="NO"/>
    <n v="-0.17476249046207548"/>
    <n v="0.67270236875882661"/>
    <n v="0.69384978651893159"/>
    <n v="0.67424156081886177"/>
    <n v="1.665986340750629"/>
    <n v="7.6278183733935898E-2"/>
    <x v="1"/>
    <x v="1"/>
    <x v="1"/>
    <x v="1"/>
    <x v="1"/>
    <x v="1"/>
  </r>
  <r>
    <x v="3"/>
    <s v="DTE"/>
    <n v="28357"/>
    <n v="133.9"/>
    <n v="-3.22"/>
    <n v="57.45"/>
    <n v="7.39"/>
    <n v="-41.58385093167702"/>
    <n v="2.3307223672758921"/>
    <n v="13.3"/>
    <n v="2.91"/>
    <n v="4.16"/>
    <n v="18.119079837618404"/>
    <s v="NO"/>
    <n v="-0.87316076068244242"/>
    <n v="0.19424132401673794"/>
    <n v="1.6048026774877608"/>
    <n v="-0.59718538243955821"/>
    <n v="1.0305262264374706"/>
    <n v="-1.0713687075763185"/>
    <x v="1"/>
    <x v="1"/>
    <x v="1"/>
    <x v="1"/>
    <x v="1"/>
    <x v="1"/>
  </r>
  <r>
    <x v="3"/>
    <s v="CNP"/>
    <n v="24308"/>
    <n v="36.54"/>
    <n v="-4.71"/>
    <n v="16.78"/>
    <n v="1.48"/>
    <n v="-7.7579617834394901"/>
    <n v="2.1775923718712753"/>
    <n v="9.2200000000000006"/>
    <n v="2.97"/>
    <n v="4.0599999999999996"/>
    <n v="24.689189189189189"/>
    <s v="NO"/>
    <n v="0.4242868938256793"/>
    <n v="-0.11378109614687151"/>
    <n v="-0.19069867282761249"/>
    <n v="-0.1733764013534172"/>
    <n v="0.82553909278806326"/>
    <n v="1.9563389144786296"/>
    <x v="1"/>
    <x v="1"/>
    <x v="1"/>
    <x v="1"/>
    <x v="1"/>
    <x v="1"/>
  </r>
  <r>
    <x v="3"/>
    <s v="D"/>
    <n v="48328"/>
    <n v="55.67"/>
    <n v="-10.08"/>
    <n v="30.92"/>
    <n v="2.59"/>
    <n v="-5.5228174603174605"/>
    <n v="1.8004527813712807"/>
    <n v="7.72"/>
    <n v="2.86"/>
    <n v="3.96"/>
    <n v="21.494208494208497"/>
    <s v="NO"/>
    <n v="0.51001953330820782"/>
    <n v="-0.87240091519911278"/>
    <n v="-0.8508094633847354"/>
    <n v="-0.95035953334467738"/>
    <n v="0.62055195913865779"/>
    <n v="0.48399395264040379"/>
    <x v="1"/>
    <x v="1"/>
    <x v="1"/>
    <x v="1"/>
    <x v="1"/>
    <x v="1"/>
  </r>
  <r>
    <x v="3"/>
    <s v="AEE"/>
    <n v="26265"/>
    <n v="95.93"/>
    <n v="-7.05"/>
    <n v="45.21"/>
    <n v="4.51"/>
    <n v="-13.607092198581562"/>
    <n v="2.1218756912187571"/>
    <n v="10.16"/>
    <n v="2.69"/>
    <n v="3.74"/>
    <n v="21.270509977827054"/>
    <s v="NO"/>
    <n v="0.19993386928933501"/>
    <n v="-0.2258557211915882"/>
    <n v="0.22297075592151741"/>
    <n v="-2.1511516464220755"/>
    <n v="0.16958026510996474"/>
    <n v="0.38090682473308041"/>
    <x v="1"/>
    <x v="1"/>
    <x v="1"/>
    <x v="1"/>
    <x v="1"/>
    <x v="1"/>
  </r>
  <r>
    <x v="3"/>
    <s v="NI"/>
    <n v="18612"/>
    <n v="39.35"/>
    <n v="-1.48"/>
    <n v="18.899999999999999"/>
    <n v="1.87"/>
    <n v="-26.587837837837839"/>
    <n v="2.0820105820105823"/>
    <n v="9.36"/>
    <n v="3.25"/>
    <n v="3.72"/>
    <n v="21.042780748663102"/>
    <s v="NO"/>
    <n v="-0.29796399555650649"/>
    <n v="-0.30604476179034712"/>
    <n v="-0.12908833237561493"/>
    <n v="1.8043988437152378"/>
    <n v="0.12858283838008347"/>
    <n v="0.27596222092073297"/>
    <x v="1"/>
    <x v="1"/>
    <x v="1"/>
    <x v="1"/>
    <x v="1"/>
    <x v="1"/>
  </r>
  <r>
    <x v="3"/>
    <s v="WEC"/>
    <n v="34288"/>
    <n v="104.89"/>
    <n v="1.49"/>
    <n v="40.659999999999997"/>
    <n v="5.14"/>
    <n v="70.395973154362423"/>
    <n v="2.579685194294147"/>
    <n v="12.58"/>
    <n v="2.99"/>
    <n v="3.72"/>
    <n v="20.406614785992218"/>
    <s v="NO"/>
    <n v="3.4220097070015996"/>
    <n v="0.6950323826614434"/>
    <n v="1.2879494980203416"/>
    <n v="-3.2106740991370189E-2"/>
    <n v="0.12858283838008347"/>
    <n v="-1.7202539512068488E-2"/>
    <x v="0"/>
    <x v="1"/>
    <x v="1"/>
    <x v="1"/>
    <x v="1"/>
    <x v="1"/>
  </r>
  <r>
    <x v="3"/>
    <s v="PEG"/>
    <n v="40434"/>
    <n v="79.69"/>
    <n v="-1.39"/>
    <n v="32.81"/>
    <n v="3.66"/>
    <n v="-57.330935251798564"/>
    <n v="2.4288326729655592"/>
    <n v="11.4"/>
    <n v="2.94"/>
    <n v="3.39"/>
    <n v="21.773224043715846"/>
    <s v="NO"/>
    <n v="-1.4771660989293416"/>
    <n v="0.3915911229354393"/>
    <n v="0.76866234278207213"/>
    <n v="-0.38528089189648929"/>
    <n v="-0.54787470266295712"/>
    <n v="0.61257286369205632"/>
    <x v="1"/>
    <x v="1"/>
    <x v="1"/>
    <x v="1"/>
    <x v="1"/>
    <x v="1"/>
  </r>
  <r>
    <x v="3"/>
    <s v="SRE"/>
    <n v="51254"/>
    <n v="74.69"/>
    <n v="-6.46"/>
    <n v="47.17"/>
    <n v="4.5599999999999996"/>
    <n v="-11.561919504643962"/>
    <n v="1.5834216663133347"/>
    <n v="9.7100000000000009"/>
    <n v="1.93"/>
    <n v="3.22"/>
    <n v="16.379385964912281"/>
    <s v="NO"/>
    <n v="0.27837983424785423"/>
    <n v="-1.3089610361232711"/>
    <n v="2.4937518754380956E-2"/>
    <n v="-7.5193987401798577"/>
    <n v="-0.89635282986694753"/>
    <n v="-1.873072928401093"/>
    <x v="1"/>
    <x v="1"/>
    <x v="1"/>
    <x v="0"/>
    <x v="1"/>
    <x v="1"/>
  </r>
  <r>
    <x v="3"/>
    <s v="ED"/>
    <n v="37647"/>
    <n v="101.11"/>
    <n v="-2.34"/>
    <n v="66.06"/>
    <n v="5.42"/>
    <n v="-43.20940170940171"/>
    <n v="1.5305782621858917"/>
    <n v="8.33"/>
    <n v="3.11"/>
    <n v="2.97"/>
    <n v="18.654981549815499"/>
    <s v="NO"/>
    <n v="-0.93551143636165501"/>
    <n v="-1.4152560385230943"/>
    <n v="-0.58236440855817206"/>
    <n v="0.8155112211809088"/>
    <n v="-1.408820663990463"/>
    <n v="-0.82440878470935419"/>
    <x v="1"/>
    <x v="1"/>
    <x v="1"/>
    <x v="1"/>
    <x v="1"/>
    <x v="1"/>
  </r>
  <r>
    <x v="3"/>
    <s v="NGG"/>
    <n v="69983"/>
    <n v="71.12"/>
    <n v="-0.69"/>
    <n v="9.99"/>
    <n v="0.77"/>
    <n v="-103.07246376811595"/>
    <n v="7.1191191191191194"/>
    <n v="8.36"/>
    <n v="3.04"/>
    <n v="2.82"/>
    <n v="92.363636363636374"/>
    <s v="NO"/>
    <n v="-3.2316577141247578"/>
    <n v="9.8261462444674095"/>
    <n v="-0.56916219274702995"/>
    <n v="0.32106740991374577"/>
    <n v="-1.716301364464573"/>
    <n v="33.142796941914881"/>
    <x v="0"/>
    <x v="0"/>
    <x v="1"/>
    <x v="1"/>
    <x v="1"/>
    <x v="0"/>
  </r>
  <r>
    <x v="4"/>
    <s v="AWK"/>
    <n v="27881"/>
    <n v="139.81"/>
    <n v="-4.1100000000000003"/>
    <n v="54.02"/>
    <n v="5.49"/>
    <n v="-34.017031630170315"/>
    <n v="2.5881155127730469"/>
    <n v="10.43"/>
    <n v="3.48"/>
    <n v="3.15"/>
    <n v="25.466302367941712"/>
    <s v="NO"/>
    <n v="-0.21239310015770663"/>
    <n v="1.2636363048408379"/>
    <n v="-0.67153603963832587"/>
    <n v="-0.66218096252180525"/>
    <n v="1.0727741436595306"/>
    <n v="1.2061536224738894"/>
    <x v="1"/>
    <x v="1"/>
    <x v="1"/>
    <x v="1"/>
    <x v="1"/>
    <x v="1"/>
  </r>
  <r>
    <x v="4"/>
    <s v="WTRG"/>
    <n v="10801"/>
    <n v="37.89"/>
    <n v="-1.89"/>
    <n v="23.35"/>
    <n v="2.23"/>
    <n v="-20.047619047619047"/>
    <n v="1.622698072805139"/>
    <n v="9.7799999999999994"/>
    <n v="3.04"/>
    <n v="2.84"/>
    <n v="16.99103139013453"/>
    <s v="NO"/>
    <n v="1.3170503307865169"/>
    <n v="-1.1817431171348278"/>
    <n v="-0.74209074207877501"/>
    <n v="-0.75110048139553698"/>
    <n v="0.26165223016086037"/>
    <n v="3.6372232272258061E-2"/>
    <x v="1"/>
    <x v="1"/>
    <x v="1"/>
    <x v="1"/>
    <x v="1"/>
    <x v="1"/>
  </r>
  <r>
    <x v="4"/>
    <s v="SBS"/>
    <n v="14039"/>
    <n v="20.239999999999998"/>
    <n v="-0.48"/>
    <n v="9.84"/>
    <n v="2.62"/>
    <n v="-42.166666666666664"/>
    <n v="2.0569105691056908"/>
    <n v="29.64"/>
    <n v="13.75"/>
    <n v="2.23"/>
    <n v="7.7251908396946556"/>
    <s v="NO"/>
    <n v="-1.1046572306288123"/>
    <n v="-8.1893187706009063E-2"/>
    <n v="1.4136267817171007"/>
    <n v="1.413281443917342"/>
    <n v="-1.3344263738203934"/>
    <n v="-1.2425258547461466"/>
    <x v="1"/>
    <x v="1"/>
    <x v="1"/>
    <x v="1"/>
    <x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s v="TXNM"/>
    <n v="5253"/>
    <n v="56.57"/>
    <n v="-8.16"/>
    <n v="27.03"/>
    <n v="2.2400000000000002"/>
    <n v="-6.9325980392156863"/>
    <n v="2.0928597854236033"/>
    <n v="8.86"/>
    <n v="2.57"/>
    <n v="4.55"/>
    <n v="25.254464285714285"/>
    <s v="NO"/>
    <n v="0.21743374460575404"/>
    <n v="-0.25160118089995076"/>
    <n v="-0.29680414223050011"/>
    <n v="-1.0188704078832063"/>
    <n v="5.0640589106130829"/>
    <n v="-4.1399940957003521E-2"/>
    <x v="0"/>
    <x v="0"/>
    <x v="0"/>
    <x v="0"/>
    <x v="0"/>
    <x v="0"/>
  </r>
  <r>
    <x v="0"/>
    <s v="POR"/>
    <n v="4643"/>
    <n v="40.81"/>
    <n v="-4.42"/>
    <n v="35.1"/>
    <n v="2.86"/>
    <n v="-9.2330316742081457"/>
    <n v="1.1626780626780626"/>
    <n v="8.33"/>
    <n v="2.7"/>
    <n v="3.3"/>
    <n v="14.26923076923077"/>
    <s v="NO"/>
    <n v="0.17950748653317936"/>
    <n v="-0.85072597675006856"/>
    <n v="-0.40975245484171513"/>
    <n v="-0.86330462412922637"/>
    <n v="2.0260654542025298"/>
    <n v="-0.64250454633993781"/>
    <x v="0"/>
    <x v="0"/>
    <x v="0"/>
    <x v="0"/>
    <x v="1"/>
    <x v="0"/>
  </r>
  <r>
    <x v="0"/>
    <s v="OGE"/>
    <n v="8953"/>
    <n v="43.77"/>
    <n v="-1.83"/>
    <n v="22.93"/>
    <n v="2.41"/>
    <n v="-23.918032786885245"/>
    <n v="1.908853030963803"/>
    <n v="10.72"/>
    <n v="3.71"/>
    <n v="3.02"/>
    <n v="18.161825726141078"/>
    <s v="NO"/>
    <n v="-6.2597798976290989E-2"/>
    <n v="-0.37011889255243885"/>
    <n v="9.9580502027726836E-2"/>
    <n v="0.3453218496516901"/>
    <n v="1.3455549199665662"/>
    <n v="-0.42950436277732357"/>
    <x v="0"/>
    <x v="0"/>
    <x v="0"/>
    <x v="0"/>
    <x v="1"/>
    <x v="0"/>
  </r>
  <r>
    <x v="0"/>
    <s v="IDA"/>
    <n v="6426"/>
    <n v="115.68"/>
    <n v="-6.47"/>
    <n v="61.95"/>
    <n v="5.63"/>
    <n v="-17.879443585780528"/>
    <n v="1.867312348668281"/>
    <n v="9.6"/>
    <n v="2.27"/>
    <n v="2.87"/>
    <n v="20.547069271758438"/>
    <s v="NO"/>
    <n v="3.6957819126167676E-2"/>
    <n v="-0.39687501148188759"/>
    <n v="-0.13910272462238837"/>
    <n v="-1.3778683703923891"/>
    <n v="0.98099570519730006"/>
    <n v="-0.29898543679554052"/>
    <x v="0"/>
    <x v="0"/>
    <x v="0"/>
    <x v="0"/>
    <x v="1"/>
    <x v="0"/>
  </r>
  <r>
    <x v="0"/>
    <s v="ENIC"/>
    <n v="4911"/>
    <n v="3.5"/>
    <n v="0.01"/>
    <n v="0.08"/>
    <n v="0"/>
    <n v="350"/>
    <n v="43.75"/>
    <n v="4.0999999999999996"/>
    <n v="2.15"/>
    <n v="2.4700000000000002"/>
    <s v=""/>
    <s v="NO"/>
    <n v="6.1020276845627448"/>
    <n v="26.579527636694813"/>
    <n v="-1.3112078554934889"/>
    <n v="-1.5214675553960626"/>
    <n v="8.8377991459232842E-3"/>
    <e v="#VALUE!"/>
    <x v="1"/>
    <x v="1"/>
    <x v="0"/>
    <x v="1"/>
    <x v="1"/>
    <x v="1"/>
  </r>
  <r>
    <x v="0"/>
    <s v="ALE"/>
    <n v="3770"/>
    <n v="65.260000000000005"/>
    <n v="1.01"/>
    <n v="49.44"/>
    <n v="3.19"/>
    <n v="64.613861386138623"/>
    <n v="1.3199838187702266"/>
    <n v="3.51"/>
    <n v="1.64"/>
    <n v="2.4"/>
    <n v="20.457680250783699"/>
    <s v="NO"/>
    <n v="1.3969893914496483"/>
    <n v="-0.7494062273933636"/>
    <n v="-1.4369427695323886"/>
    <n v="-2.1317640916616742"/>
    <n v="-0.16128983441306838"/>
    <n v="-0.30387674403065401"/>
    <x v="0"/>
    <x v="0"/>
    <x v="0"/>
    <x v="1"/>
    <x v="1"/>
    <x v="0"/>
  </r>
  <r>
    <x v="0"/>
    <s v="ELP"/>
    <n v="6666"/>
    <n v="8.8000000000000007"/>
    <n v="-0.17"/>
    <n v="1.55"/>
    <n v="0.14000000000000001"/>
    <n v="-51.764705882352942"/>
    <n v="5.67741935483871"/>
    <n v="9.58"/>
    <n v="4.4400000000000004"/>
    <n v="2.29"/>
    <n v="62.857142857142854"/>
    <s v="NO"/>
    <n v="-0.52169389904039565"/>
    <n v="2.0571933994746479"/>
    <n v="-0.14336492509828319"/>
    <n v="1.2188835584240365"/>
    <n v="-0.42863325857719675"/>
    <n v="2.0161933937776215"/>
    <x v="0"/>
    <x v="0"/>
    <x v="0"/>
    <x v="0"/>
    <x v="1"/>
    <x v="0"/>
  </r>
  <r>
    <x v="0"/>
    <s v="ELPC"/>
    <n v="6080"/>
    <n v="8.1301000000000005"/>
    <n v="-0.17"/>
    <n v="1.55"/>
    <n v="0.14000000000000001"/>
    <n v="-47.82411764705882"/>
    <n v="5.2452258064516135"/>
    <n v="9.58"/>
    <n v="4.4400000000000004"/>
    <n v="2.29"/>
    <n v="58.072142857142858"/>
    <s v="NO"/>
    <n v="-0.4567271188228883"/>
    <n v="1.778819975106696"/>
    <n v="-0.14336492509828319"/>
    <n v="1.2188835584240365"/>
    <n v="-0.42863325857719675"/>
    <n v="1.7543614051866254"/>
    <x v="0"/>
    <x v="0"/>
    <x v="0"/>
    <x v="0"/>
    <x v="1"/>
    <x v="0"/>
  </r>
  <r>
    <x v="0"/>
    <s v="CIG"/>
    <n v="5349"/>
    <n v="1.84"/>
    <n v="-0.02"/>
    <n v="1.71"/>
    <n v="0.43"/>
    <n v="-92"/>
    <n v="1.0760233918128657"/>
    <n v="26.27"/>
    <n v="8.19"/>
    <n v="2.29"/>
    <n v="4.279069767441861"/>
    <s v="NO"/>
    <n v="-1.1850358555827891"/>
    <n v="-0.90653976100539801"/>
    <n v="3.4134413720360195"/>
    <n v="5.7063580897888251"/>
    <n v="-0.42863325857719675"/>
    <n v="-1.1891594515526041"/>
    <x v="0"/>
    <x v="0"/>
    <x v="1"/>
    <x v="1"/>
    <x v="1"/>
    <x v="0"/>
  </r>
  <r>
    <x v="0"/>
    <s v="MGEE"/>
    <n v="3300"/>
    <n v="88.65"/>
    <n v="1.38"/>
    <n v="34.46"/>
    <n v="3.54"/>
    <n v="64.239130434782624"/>
    <n v="2.5725478816018574"/>
    <n v="10.62"/>
    <n v="3.82"/>
    <n v="2.2599999999999998"/>
    <n v="25.042372881355934"/>
    <s v="NO"/>
    <n v="1.3908113637279507"/>
    <n v="5.7363213547893144E-2"/>
    <n v="7.8269499648251986E-2"/>
    <n v="0.47695443590505715"/>
    <n v="-0.50154510153105059"/>
    <n v="-5.3005440260285433E-2"/>
    <x v="0"/>
    <x v="0"/>
    <x v="0"/>
    <x v="0"/>
    <x v="1"/>
    <x v="0"/>
  </r>
  <r>
    <x v="0"/>
    <s v="OTTR"/>
    <n v="3234"/>
    <n v="78.41"/>
    <n v="1.86"/>
    <n v="41.01"/>
    <n v="7.02"/>
    <n v="42.155913978494617"/>
    <n v="1.9119726895879054"/>
    <n v="18.38"/>
    <n v="6.72"/>
    <n v="2.15"/>
    <n v="11.16951566951567"/>
    <s v="NO"/>
    <n v="1.0267348897737465"/>
    <n v="-0.36810953804612723"/>
    <n v="1.7320032842954773"/>
    <n v="3.9472680734938281"/>
    <n v="-0.76888852569517896"/>
    <n v="-0.81211887625089751"/>
    <x v="0"/>
    <x v="0"/>
    <x v="0"/>
    <x v="1"/>
    <x v="1"/>
    <x v="0"/>
  </r>
  <r>
    <x v="0"/>
    <s v="PAM"/>
    <n v="4170"/>
    <n v="73"/>
    <n v="0.03"/>
    <n v="2.5499999999999998"/>
    <n v="0.41"/>
    <n v="2433.3333333333335"/>
    <n v="28.627450980392158"/>
    <n v="19.5"/>
    <n v="2.97"/>
    <n v="1.79"/>
    <n v="178.04878048780489"/>
    <s v="NO"/>
    <n v="40.449046633212518"/>
    <n v="16.839179194496413"/>
    <n v="1.9706865109455927"/>
    <n v="-0.54020645787096144"/>
    <n v="-1.6438306411414181"/>
    <n v="8.3194024951129748"/>
    <x v="1"/>
    <x v="1"/>
    <x v="0"/>
    <x v="1"/>
    <x v="1"/>
    <x v="1"/>
  </r>
  <r>
    <x v="0"/>
    <s v="OKLO"/>
    <n v="7339"/>
    <n v="54.26"/>
    <n v="-0.38"/>
    <n v="1.94"/>
    <n v="-0.51"/>
    <n v="-142.78947368421052"/>
    <n v="27.969072164948454"/>
    <n v="-56.03"/>
    <n v="-22.83"/>
    <n v="1.1200000000000001"/>
    <n v="-106.3921568627451"/>
    <s v="NO"/>
    <n v="-2.0223800227940822"/>
    <n v="16.415121116650631"/>
    <n v="-14.125513586271538"/>
    <n v="-31.414031233660715"/>
    <n v="-3.2721951337774744"/>
    <n v="-7.2450146967744775"/>
    <x v="0"/>
    <x v="1"/>
    <x v="1"/>
    <x v="1"/>
    <x v="0"/>
    <x v="1"/>
  </r>
  <r>
    <x v="1"/>
    <s v="SR"/>
    <n v="4443"/>
    <n v="73.84"/>
    <n v="-2.41"/>
    <n v="55.35"/>
    <n v="4.09"/>
    <n v="-30.639004149377595"/>
    <n v="1.3340560072267389"/>
    <n v="7.31"/>
    <n v="2.94"/>
    <n v="3.47"/>
    <n v="18.053789731051346"/>
    <s v="NO"/>
    <n v="-0.90768974491886645"/>
    <n v="-0.77367418113006325"/>
    <n v="-0.39933265378620869"/>
    <n v="-0.66370962078454954"/>
    <n v="1.5515051272984497"/>
    <n v="-3.799499581072175E-2"/>
    <x v="0"/>
    <x v="0"/>
    <x v="0"/>
    <x v="0"/>
    <x v="1"/>
    <x v="0"/>
  </r>
  <r>
    <x v="1"/>
    <s v="SWX"/>
    <n v="5371"/>
    <n v="71.27"/>
    <n v="2.66"/>
    <n v="49.86"/>
    <n v="3.12"/>
    <n v="26.793233082706763"/>
    <n v="1.4294023265142397"/>
    <n v="6.36"/>
    <n v="2.83"/>
    <n v="3.37"/>
    <n v="22.842948717948715"/>
    <s v="NO"/>
    <n v="0.16252546197179385"/>
    <n v="-0.33902996725585066"/>
    <n v="-0.56391661087813849"/>
    <n v="-0.7552557753755218"/>
    <n v="1.2452870100684923"/>
    <n v="1.2270177087311609"/>
    <x v="0"/>
    <x v="0"/>
    <x v="0"/>
    <x v="0"/>
    <x v="1"/>
    <x v="0"/>
  </r>
  <r>
    <x v="1"/>
    <s v="UGI"/>
    <n v="7733"/>
    <n v="35.53"/>
    <n v="2.62"/>
    <n v="23.37"/>
    <n v="2.46"/>
    <n v="13.561068702290076"/>
    <n v="1.5203252032520325"/>
    <n v="10.82"/>
    <n v="4.96"/>
    <n v="3.14"/>
    <n v="14.443089430894309"/>
    <s v="NO"/>
    <n v="-8.4047964774112541E-2"/>
    <n v="7.544961180075288E-2"/>
    <n v="0.20876175610081668"/>
    <n v="1.0174106726133056"/>
    <n v="0.54098534043959112"/>
    <n v="-0.99172857711137574"/>
    <x v="0"/>
    <x v="0"/>
    <x v="0"/>
    <x v="0"/>
    <x v="1"/>
    <x v="0"/>
  </r>
  <r>
    <x v="1"/>
    <s v="NFG"/>
    <n v="7458"/>
    <n v="82.18"/>
    <n v="0.77"/>
    <n v="30.59"/>
    <n v="0.43"/>
    <n v="106.72727272727273"/>
    <n v="2.6864988558352407"/>
    <n v="1.3"/>
    <n v="6.15"/>
    <n v="3.07"/>
    <n v="191.11627906976747"/>
    <s v="NO"/>
    <n v="1.6520482265146494"/>
    <n v="5.3915502673432529"/>
    <n v="-1.4405427402309441"/>
    <n v="2.0077736177338248"/>
    <n v="0.32663265837862027"/>
    <n v="45.674884508101961"/>
    <x v="0"/>
    <x v="1"/>
    <x v="0"/>
    <x v="0"/>
    <x v="1"/>
    <x v="1"/>
  </r>
  <r>
    <x v="1"/>
    <s v="ATGFF"/>
    <n v="8378"/>
    <n v="28"/>
    <n v="0.28999999999999998"/>
    <n v="20.239999999999998"/>
    <n v="1.31"/>
    <n v="96.551724137931046"/>
    <n v="1.383399209486166"/>
    <n v="6.61"/>
    <n v="2.94"/>
    <n v="3.01"/>
    <n v="21.374045801526716"/>
    <s v="NO"/>
    <n v="1.4624329970963428"/>
    <n v="-0.54873904450023758"/>
    <n v="-0.52060504322236745"/>
    <n v="-0.66370962078454954"/>
    <n v="0.14290178804064585"/>
    <n v="0.83902038893112119"/>
    <x v="0"/>
    <x v="0"/>
    <x v="0"/>
    <x v="0"/>
    <x v="1"/>
    <x v="0"/>
  </r>
  <r>
    <x v="1"/>
    <s v="NJR"/>
    <n v="4606"/>
    <n v="44.92"/>
    <n v="-0.67"/>
    <n v="24.7"/>
    <n v="4.1399999999999997"/>
    <n v="-67.044776119402982"/>
    <n v="1.8186234817813767"/>
    <n v="17.829999999999998"/>
    <n v="5.09"/>
    <n v="2.93"/>
    <n v="10.850241545893722"/>
    <s v="NO"/>
    <n v="-1.5860894148371558"/>
    <n v="1.4352673975347672"/>
    <n v="1.4232181131686361"/>
    <n v="1.1256015825844548"/>
    <n v="-0.10207270574331866"/>
    <n v="-1.9407466056309568"/>
    <x v="0"/>
    <x v="0"/>
    <x v="0"/>
    <x v="1"/>
    <x v="1"/>
    <x v="0"/>
  </r>
  <r>
    <x v="1"/>
    <s v="OGS"/>
    <n v="4667"/>
    <n v="73.61"/>
    <n v="-2.87"/>
    <n v="53.15"/>
    <n v="4.2"/>
    <n v="-25.648083623693378"/>
    <n v="1.3849482596425211"/>
    <n v="8.08"/>
    <n v="3.39"/>
    <n v="2.61"/>
    <n v="17.526190476190475"/>
    <s v="NO"/>
    <n v="-0.81468694195673419"/>
    <n v="-0.5416775691072494"/>
    <n v="-0.26593302540643388"/>
    <n v="-0.28920262473057173"/>
    <n v="-1.0819706808791822"/>
    <n v="-0.17735553116396882"/>
    <x v="0"/>
    <x v="0"/>
    <x v="0"/>
    <x v="0"/>
    <x v="1"/>
    <x v="0"/>
  </r>
  <r>
    <x v="1"/>
    <s v="MDU"/>
    <n v="3512"/>
    <n v="16.84"/>
    <n v="0.27"/>
    <n v="13.42"/>
    <n v="0.91"/>
    <n v="62.370370370370367"/>
    <n v="1.2548435171385992"/>
    <n v="6.6"/>
    <n v="2.42"/>
    <n v="2.54"/>
    <n v="18.505494505494504"/>
    <s v="NO"/>
    <n v="0.82548402284122357"/>
    <n v="-1.1347709779509525"/>
    <n v="-0.5223375059285984"/>
    <n v="-1.0964732606691461"/>
    <n v="-1.2963233629401516"/>
    <n v="8.1318704138714795E-2"/>
    <x v="0"/>
    <x v="0"/>
    <x v="0"/>
    <x v="0"/>
    <x v="1"/>
    <x v="0"/>
  </r>
  <r>
    <x v="1"/>
    <s v="CPK"/>
    <n v="2850"/>
    <n v="119.38"/>
    <n v="-7.35"/>
    <n v="62.68"/>
    <n v="5.43"/>
    <n v="-16.242176870748299"/>
    <n v="1.9045947670708359"/>
    <n v="9.0399999999999991"/>
    <n v="4.2699999999999996"/>
    <n v="2.5299999999999998"/>
    <n v="21.985267034990791"/>
    <s v="NO"/>
    <n v="-0.63941352537504736"/>
    <n v="1.8271747306088313"/>
    <n v="-9.9616605608273248E-2"/>
    <n v="0.44316661199720631"/>
    <n v="-1.326945174663148"/>
    <n v="1.0004689079160234"/>
    <x v="0"/>
    <x v="0"/>
    <x v="0"/>
    <x v="0"/>
    <x v="1"/>
    <x v="0"/>
  </r>
  <r>
    <x v="1"/>
    <s v="BIPC"/>
    <n v="4710"/>
    <n v="41.14"/>
    <n v="2.88"/>
    <n v="-7.06"/>
    <n v="-2.08"/>
    <n v="14.284722222222223"/>
    <n v="-5.8271954674220972"/>
    <n v="22.2"/>
    <n v="5.98"/>
    <n v="-26.87"/>
    <n v="-19.778846153846153"/>
    <s v="NO"/>
    <n v="-7.0563116562093298E-2"/>
    <n v="-33.418841197685538"/>
    <n v="2.1803043157915138"/>
    <n v="1.8662931970023222"/>
    <n v="-91.355071640270538"/>
    <n v="-10.031141009889387"/>
    <x v="0"/>
    <x v="1"/>
    <x v="0"/>
    <x v="1"/>
    <x v="0"/>
    <x v="1"/>
  </r>
  <r>
    <x v="2"/>
    <s v="INGXF"/>
    <n v="2016"/>
    <n v="10.050000000000001"/>
    <m/>
    <m/>
    <m/>
    <s v=""/>
    <s v=""/>
    <m/>
    <m/>
    <m/>
    <s v=""/>
    <s v="NO"/>
    <e v="#VALUE!"/>
    <e v="#VALUE!"/>
    <n v="-0.75832690065170272"/>
    <n v="-2.3188731945452021"/>
    <n v="-1.8377521709285591"/>
    <e v="#VALUE!"/>
    <x v="1"/>
    <x v="1"/>
    <x v="0"/>
    <x v="0"/>
    <x v="1"/>
    <x v="1"/>
  </r>
  <r>
    <x v="2"/>
    <s v="BEPC"/>
    <n v="5279"/>
    <n v="31.83"/>
    <n v="-1.53"/>
    <n v="4.2300000000000004"/>
    <n v="-0.74"/>
    <n v="-20.803921568627448"/>
    <n v="7.5248226950354598"/>
    <n v="-0.44"/>
    <n v="1.32"/>
    <n v="31.31"/>
    <n v="-43.013513513513509"/>
    <s v="NO"/>
    <n v="-1.3294197849410985"/>
    <n v="44.435992126790872"/>
    <n v="-0.8504229084592515"/>
    <n v="-0.79939092476048057"/>
    <n v="5.9030577580095382"/>
    <n v="-1.5806319585003359"/>
    <x v="0"/>
    <x v="1"/>
    <x v="0"/>
    <x v="0"/>
    <x v="0"/>
    <x v="0"/>
  </r>
  <r>
    <x v="2"/>
    <s v="AES"/>
    <n v="7183"/>
    <n v="10.88"/>
    <n v="-4.9000000000000004"/>
    <n v="4.87"/>
    <n v="1.84"/>
    <n v="-2.2204081632653061"/>
    <n v="2.2340862422997949"/>
    <n v="5.58"/>
    <n v="2.4"/>
    <n v="14.02"/>
    <n v="5.9130434782608701"/>
    <s v="NO"/>
    <n v="8.7886361437812061E-2"/>
    <n v="1.6524571053713593"/>
    <n v="0.4096179256349386"/>
    <n v="0.44382184142701869"/>
    <n v="1.628429726347459"/>
    <n v="1.6127695743173236E-2"/>
    <x v="0"/>
    <x v="0"/>
    <x v="0"/>
    <x v="0"/>
    <x v="1"/>
    <x v="0"/>
  </r>
  <r>
    <x v="2"/>
    <s v="TAC"/>
    <n v="2893"/>
    <n v="10.41"/>
    <n v="0.51"/>
    <n v="1.85"/>
    <n v="0"/>
    <n v="20.411764705882351"/>
    <n v="5.6270270270270268"/>
    <n v="2.29"/>
    <n v="2.62"/>
    <n v="12"/>
    <s v=""/>
    <s v="NO"/>
    <n v="1.8139710373364764"/>
    <n v="29.08946935986037"/>
    <n v="-0.27900904183514202"/>
    <n v="0.69706888639113918"/>
    <n v="1.1290226341579044"/>
    <e v="#VALUE!"/>
    <x v="0"/>
    <x v="1"/>
    <x v="0"/>
    <x v="0"/>
    <x v="1"/>
    <x v="1"/>
  </r>
  <r>
    <x v="2"/>
    <s v="BEP"/>
    <n v="6770"/>
    <n v="25.8"/>
    <n v="-4.74"/>
    <n v="12.06"/>
    <n v="-0.71"/>
    <n v="-5.443037974683544"/>
    <n v="2.1393034825870645"/>
    <n v="-0.15"/>
    <n v="0.77"/>
    <n v="10.92"/>
    <n v="-36.338028169014088"/>
    <s v="NO"/>
    <n v="-0.15789348328783984"/>
    <n v="0.88599641396806439"/>
    <n v="-0.78972326694973072"/>
    <n v="-1.4325085371707813"/>
    <n v="0.86201290170012257"/>
    <n v="-1.3627718365959367"/>
    <x v="0"/>
    <x v="0"/>
    <x v="0"/>
    <x v="0"/>
    <x v="1"/>
    <x v="0"/>
  </r>
  <r>
    <x v="2"/>
    <s v="RNW"/>
    <n v="2470"/>
    <n v="6.95"/>
    <n v="-1.43"/>
    <n v="3.47"/>
    <n v="0.04"/>
    <n v="-4.8601398601398609"/>
    <n v="2.0028818443804033"/>
    <n v="1.68"/>
    <n v="3.26"/>
    <n v="8.9"/>
    <n v="173.75"/>
    <s v="NO"/>
    <n v="-0.11343767655018269"/>
    <n v="-0.21717702663606922"/>
    <n v="-0.40668759811378924"/>
    <n v="1.4337875626503978"/>
    <n v="0.36260580951056798"/>
    <n v="5.4936290190018466"/>
    <x v="0"/>
    <x v="0"/>
    <x v="0"/>
    <x v="0"/>
    <x v="1"/>
    <x v="1"/>
  </r>
  <r>
    <x v="2"/>
    <s v="CWEN"/>
    <n v="3627"/>
    <n v="30.48"/>
    <n v="4.5599999999999996"/>
    <n v="16.489999999999998"/>
    <n v="0.79"/>
    <n v="6.6842105263157903"/>
    <n v="1.8483929654335962"/>
    <n v="-2.31"/>
    <n v="1"/>
    <n v="7.54"/>
    <n v="38.582278481012658"/>
    <s v="NO"/>
    <n v="0.76701363541509071"/>
    <n v="-1.4664511913741305"/>
    <n v="-1.2418309416413338"/>
    <n v="-1.1677502628901102"/>
    <n v="2.6371331600768735E-2"/>
    <n v="1.08231586827622"/>
    <x v="0"/>
    <x v="0"/>
    <x v="0"/>
    <x v="0"/>
    <x v="1"/>
    <x v="0"/>
  </r>
  <r>
    <x v="2"/>
    <s v="BRLXF"/>
    <n v="2354"/>
    <n v="22.77"/>
    <n v="-3.25"/>
    <n v="10.88"/>
    <n v="7.0000000000000007E-2"/>
    <n v="-7.006153846153846"/>
    <n v="2.0928308823529411"/>
    <n v="2.02"/>
    <n v="1.71"/>
    <n v="4.74"/>
    <n v="325.28571428571422"/>
    <s v="NO"/>
    <n v="-0.27710741683272289"/>
    <n v="0.51019577876065747"/>
    <n v="-0.33552250117159244"/>
    <n v="-0.35045298141499481"/>
    <n v="-0.66587612291940601"/>
    <n v="10.439125486065327"/>
    <x v="0"/>
    <x v="0"/>
    <x v="0"/>
    <x v="0"/>
    <x v="1"/>
    <x v="1"/>
  </r>
  <r>
    <x v="2"/>
    <s v="NPIFF"/>
    <n v="3909"/>
    <n v="15.29"/>
    <n v="2.1"/>
    <n v="11.22"/>
    <n v="0.69"/>
    <n v="7.28095238095238"/>
    <n v="1.3627450980392155"/>
    <n v="7.09"/>
    <n v="3.25"/>
    <n v="3.34"/>
    <n v="22.159420289855074"/>
    <s v="NO"/>
    <n v="0.81252526068902575"/>
    <n v="-5.3936421842276321"/>
    <n v="0.7256746797017537"/>
    <n v="1.4222763333338471"/>
    <n v="-1.0119998501794936"/>
    <n v="0.5463419723118732"/>
    <x v="0"/>
    <x v="1"/>
    <x v="0"/>
    <x v="0"/>
    <x v="1"/>
    <x v="0"/>
  </r>
  <r>
    <x v="2"/>
    <s v="CPXWF"/>
    <n v="6208"/>
    <n v="41.24"/>
    <n v="-0.66"/>
    <n v="20.91"/>
    <n v="3.21"/>
    <n v="-62.484848484848484"/>
    <n v="1.9722620755619322"/>
    <n v="15.28"/>
    <n v="3.84"/>
    <n v="3.07"/>
    <n v="12.847352024922118"/>
    <s v="NO"/>
    <n v="-4.5082930483835577"/>
    <n v="-0.464783756492261"/>
    <n v="2.4399162795740823"/>
    <n v="2.1014388630103511"/>
    <n v="-1.0787522832939391"/>
    <n v="0.24243473221103959"/>
    <x v="1"/>
    <x v="0"/>
    <x v="0"/>
    <x v="1"/>
    <x v="1"/>
    <x v="0"/>
  </r>
  <r>
    <x v="2"/>
    <s v="ORA"/>
    <n v="4509"/>
    <n v="77.83"/>
    <n v="-3.19"/>
    <n v="40.57"/>
    <n v="2.06"/>
    <n v="-24.398119122257054"/>
    <n v="1.9184126201626817"/>
    <n v="5.19"/>
    <n v="1.8"/>
    <n v="2.37"/>
    <n v="37.78155339805825"/>
    <s v="NO"/>
    <n v="-1.6035379332665611"/>
    <n v="-0.90023732359764008"/>
    <n v="0.32798737326006588"/>
    <n v="-0.24685191756603642"/>
    <n v="-1.2518141469239825"/>
    <n v="1.0561835265539661"/>
    <x v="0"/>
    <x v="0"/>
    <x v="0"/>
    <x v="0"/>
    <x v="1"/>
    <x v="0"/>
  </r>
  <r>
    <x v="3"/>
    <s v="ACLLF"/>
    <n v="4212"/>
    <n v="36.96"/>
    <n v="3.02"/>
    <n v="29.24"/>
    <n v="2.64"/>
    <n v="12.23841059602649"/>
    <n v="1.2640218878248974"/>
    <n v="8.08"/>
    <n v="2.83"/>
    <n v="5.73"/>
    <n v="14"/>
    <s v="NO"/>
    <n v="0.37686833444215223"/>
    <n v="1.5292277161445897"/>
    <n v="0.79220282989000868"/>
    <n v="8.7437177097833954E-2"/>
    <n v="1.9118579954098363"/>
    <n v="-0.78276404033275238"/>
    <x v="0"/>
    <x v="0"/>
    <x v="0"/>
    <x v="0"/>
    <x v="1"/>
    <x v="0"/>
  </r>
  <r>
    <x v="3"/>
    <s v="CDUAF"/>
    <n v="7602"/>
    <n v="27.312000000000001"/>
    <n v="0.76"/>
    <n v="13.97"/>
    <n v="1.02"/>
    <n v="35.93684210526316"/>
    <n v="1.9550465282748748"/>
    <n v="6.72"/>
    <n v="2.57"/>
    <n v="4.4400000000000004"/>
    <n v="26.776470588235295"/>
    <s v="NO"/>
    <n v="1.4237097752748986"/>
    <n v="9.3459873187876479"/>
    <n v="-1.3843544401108232"/>
    <n v="-1.0492461251740073"/>
    <n v="0.73743094108665119"/>
    <n v="8.2926953519248983"/>
    <x v="0"/>
    <x v="1"/>
    <x v="0"/>
    <x v="0"/>
    <x v="1"/>
    <x v="1"/>
  </r>
  <r>
    <x v="3"/>
    <s v="AQN"/>
    <n v="4215"/>
    <n v="5.79"/>
    <n v="-0.62"/>
    <n v="5.87"/>
    <n v="0.33"/>
    <n v="-9.3387096774193541"/>
    <n v="0.98637137989778534"/>
    <n v="2.42"/>
    <n v="1.88"/>
    <n v="3.03"/>
    <n v="17.545454545454543"/>
    <s v="NO"/>
    <n v="-0.57626747402988587"/>
    <n v="-1.6115101779552723"/>
    <n v="-8.2661163967310998"/>
    <n v="-4.0658287350492754"/>
    <n v="-0.54624514154566794"/>
    <n v="1.7356645454142834"/>
    <x v="0"/>
    <x v="0"/>
    <x v="1"/>
    <x v="1"/>
    <x v="1"/>
    <x v="0"/>
  </r>
  <r>
    <x v="3"/>
    <s v="AVA"/>
    <n v="3103"/>
    <n v="37.31"/>
    <n v="0.14000000000000001"/>
    <n v="32.880000000000003"/>
    <n v="2.37"/>
    <n v="266.5"/>
    <n v="1.1347323600973236"/>
    <n v="7.27"/>
    <n v="2.65"/>
    <n v="3.01"/>
    <n v="15.742616033755274"/>
    <s v="NO"/>
    <n v="11.608479527627537"/>
    <n v="6.6725370746882964E-2"/>
    <n v="-0.50412907356636971"/>
    <n v="-0.69949741678267163"/>
    <n v="-0.56445331293052359"/>
    <n v="0.45506145626454181"/>
    <x v="1"/>
    <x v="0"/>
    <x v="0"/>
    <x v="0"/>
    <x v="1"/>
    <x v="0"/>
  </r>
  <r>
    <x v="3"/>
    <s v="NWE"/>
    <n v="3396"/>
    <n v="52.58"/>
    <n v="-2.19"/>
    <n v="47.19"/>
    <n v="3.84"/>
    <n v="-24.009132420091323"/>
    <n v="1.1142191142191142"/>
    <n v="8.27"/>
    <n v="2.77"/>
    <n v="2.8"/>
    <n v="13.692708333333334"/>
    <s v="NO"/>
    <n v="-1.2243106356871651"/>
    <n v="-0.16531716770074345"/>
    <n v="1.0962806837871828"/>
    <n v="-0.17487435419566791"/>
    <n v="-0.75563911247150717"/>
    <n v="-1.0010413042416497"/>
    <x v="0"/>
    <x v="0"/>
    <x v="0"/>
    <x v="0"/>
    <x v="1"/>
    <x v="0"/>
  </r>
  <r>
    <x v="3"/>
    <s v="BKH"/>
    <n v="4240"/>
    <n v="57.39"/>
    <n v="-0.1"/>
    <n v="50.13"/>
    <n v="3.95"/>
    <n v="-573.9"/>
    <n v="1.1448234590065829"/>
    <n v="8.08"/>
    <n v="3.23"/>
    <n v="2.77"/>
    <n v="14.529113924050632"/>
    <s v="NO"/>
    <n v="-25.514886486403554"/>
    <n v="0.18087425876455063"/>
    <n v="0.79220282989000868"/>
    <n v="1.836180719054511"/>
    <n v="-0.78295136954879041"/>
    <n v="-0.40692065710442188"/>
    <x v="1"/>
    <x v="0"/>
    <x v="1"/>
    <x v="0"/>
    <x v="1"/>
    <x v="0"/>
  </r>
  <r>
    <x v="4"/>
    <s v="CWT"/>
    <n v="2815"/>
    <n v="46.14"/>
    <n v="-3.07"/>
    <n v="27.35"/>
    <n v="2.2599999999999998"/>
    <n v="-15.029315960912053"/>
    <n v="1.6870201096892139"/>
    <n v="8.61"/>
    <n v="2.59"/>
    <n v="3.23"/>
    <n v="20.415929203539825"/>
    <s v="NO"/>
    <n v="1.0000000000000004"/>
    <n v="-0.99999999999999989"/>
    <n v="-1.0000000000000002"/>
    <n v="-1.0000000000000004"/>
    <n v="0.99999999999999956"/>
    <n v="-1.0000000000000067"/>
    <x v="0"/>
    <x v="0"/>
    <x v="0"/>
    <x v="0"/>
    <x v="1"/>
    <x v="0"/>
  </r>
  <r>
    <x v="4"/>
    <s v="AWR"/>
    <n v="3037"/>
    <n v="77.5"/>
    <n v="-1.43"/>
    <n v="24.84"/>
    <n v="3.24"/>
    <n v="-54.1958041958042"/>
    <n v="3.1199677938808374"/>
    <n v="14"/>
    <n v="5.01"/>
    <n v="2.66"/>
    <n v="23.919753086419753"/>
    <s v="NO"/>
    <n v="-1"/>
    <n v="1.0000000000000002"/>
    <n v="1.0000000000000002"/>
    <n v="1.0000000000000004"/>
    <n v="-1.0000000000000011"/>
    <n v="1.0000000000000067"/>
    <x v="0"/>
    <x v="0"/>
    <x v="0"/>
    <x v="0"/>
    <x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s v="HE"/>
    <n v="1842"/>
    <n v="10.42"/>
    <n v="0.56999999999999995"/>
    <n v="8.73"/>
    <n v="-9.25"/>
    <n v="18.280701754385966"/>
    <n v="1.1935853379152348"/>
    <n v="-66.650000000000006"/>
    <n v="1.06"/>
    <n v="5.82"/>
    <n v="-1.1264864864864865"/>
    <s v="NO"/>
    <n v="0.73404032516228024"/>
    <n v="-0.83495397117162218"/>
    <n v="-1.4101984373796863"/>
    <n v="-0.83498985123615643"/>
    <n v="1.3962317968435505"/>
    <n v="-0.97470902899493816"/>
    <x v="0"/>
    <x v="0"/>
    <x v="0"/>
    <x v="0"/>
    <x v="0"/>
    <x v="0"/>
  </r>
  <r>
    <x v="0"/>
    <s v="EDN"/>
    <n v="1447"/>
    <n v="30.74"/>
    <n v="-0.09"/>
    <n v="1.78"/>
    <n v="0.21"/>
    <n v="-341.55555555555554"/>
    <n v="17.269662921348313"/>
    <n v="16.29"/>
    <n v="1.92"/>
    <n v="2.6"/>
    <n v="146.38095238095238"/>
    <s v="NO"/>
    <n v="-1.4138671431741685"/>
    <n v="1.4059803490189122"/>
    <n v="0.79732326874685389"/>
    <n v="-0.57098570709531282"/>
    <n v="-0.50343005632668836"/>
    <n v="1.3747421026441637"/>
    <x v="0"/>
    <x v="0"/>
    <x v="0"/>
    <x v="0"/>
    <x v="0"/>
    <x v="0"/>
  </r>
  <r>
    <x v="0"/>
    <s v="GNE"/>
    <n v="568"/>
    <n v="22.72"/>
    <n v="2.4700000000000002"/>
    <n v="7.36"/>
    <n v="0.65"/>
    <n v="9.1983805668016174"/>
    <n v="3.0869565217391299"/>
    <n v="9.36"/>
    <n v="8.36"/>
    <n v="1.94"/>
    <n v="34.95384615384615"/>
    <s v="NO"/>
    <n v="0.67982681801188827"/>
    <n v="-0.57102637784728949"/>
    <n v="0.61287516863283265"/>
    <n v="1.4059755583314695"/>
    <n v="-0.89280174051686167"/>
    <n v="-0.40003307364922547"/>
    <x v="0"/>
    <x v="0"/>
    <x v="0"/>
    <x v="0"/>
    <x v="0"/>
    <x v="0"/>
  </r>
  <r>
    <x v="1"/>
    <s v="SPH"/>
    <n v="1224"/>
    <n v="18.23"/>
    <n v="1.71"/>
    <n v="8.4499999999999993"/>
    <n v="1.46"/>
    <n v="10.660818713450293"/>
    <n v="2.1573964497041422"/>
    <n v="12.63"/>
    <n v="4.84"/>
    <n v="4.37"/>
    <n v="12.486301369863014"/>
    <s v="NO"/>
    <n v="0.78723551349166643"/>
    <n v="1.6887324443330556"/>
    <n v="0.25149218575573229"/>
    <n v="0.20879038184916326"/>
    <n v="1.2168260712666168"/>
    <n v="0.27624486738526305"/>
    <x v="0"/>
    <x v="0"/>
    <x v="0"/>
    <x v="0"/>
    <x v="0"/>
    <x v="0"/>
  </r>
  <r>
    <x v="1"/>
    <s v="NWN"/>
    <n v="1651"/>
    <n v="39.97"/>
    <n v="-4.05"/>
    <n v="36.130000000000003"/>
    <n v="2.61"/>
    <n v="-9.8691358024691365"/>
    <n v="1.1062828674231939"/>
    <n v="7.36"/>
    <n v="2.74"/>
    <n v="3.92"/>
    <n v="15.314176245210728"/>
    <s v="NO"/>
    <n v="-1.6554024225060293"/>
    <n v="-0.72986748084472441"/>
    <n v="-0.55665648432518777"/>
    <n v="-1.1721853721138067"/>
    <n v="0.42035809734664908"/>
    <n v="1.0630297548049259"/>
    <x v="0"/>
    <x v="0"/>
    <x v="0"/>
    <x v="0"/>
    <x v="0"/>
    <x v="0"/>
  </r>
  <r>
    <x v="1"/>
    <s v="SUUIF"/>
    <n v="1317"/>
    <n v="5.8"/>
    <n v="0.54"/>
    <n v="4.34"/>
    <n v="0.06"/>
    <n v="10.74074074074074"/>
    <n v="1.336405529953917"/>
    <n v="3.26"/>
    <n v="3.69"/>
    <n v="3.62"/>
    <n v="96.666666666666671"/>
    <s v="NO"/>
    <n v="0.79674457380790387"/>
    <n v="-0.20035795517506788"/>
    <n v="-1.1853869487145183"/>
    <n v="-0.5474582453210346"/>
    <n v="-0.11062055193332879"/>
    <n v="23.697309147977919"/>
    <x v="0"/>
    <x v="0"/>
    <x v="0"/>
    <x v="0"/>
    <x v="0"/>
    <x v="1"/>
  </r>
  <r>
    <x v="1"/>
    <s v="SGU"/>
    <n v="413"/>
    <n v="11.89"/>
    <n v="2.56"/>
    <n v="10.87"/>
    <n v="1.78"/>
    <n v="4.64453125"/>
    <n v="1.0938362465501381"/>
    <n v="20.71"/>
    <n v="6.82"/>
    <n v="2.82"/>
    <n v="6.6797752808988768"/>
    <s v="NO"/>
    <n v="7.142233520645884E-2"/>
    <n v="-0.75850700831326279"/>
    <n v="1.4905512472839739"/>
    <n v="1.5108532355856783"/>
    <n v="-1.5265636166799377"/>
    <n v="-1.3392746221901888"/>
    <x v="0"/>
    <x v="0"/>
    <x v="0"/>
    <x v="0"/>
    <x v="0"/>
    <x v="0"/>
  </r>
  <r>
    <x v="2"/>
    <s v="XIFR"/>
    <n v="829"/>
    <n v="8.67"/>
    <n v="5.84"/>
    <n v="33.159999999999997"/>
    <n v="-2.0499999999999998"/>
    <n v="1.4845890410958904"/>
    <n v="0.26145958986731005"/>
    <n v="-5.83"/>
    <n v="0.41"/>
    <n v="6.87"/>
    <n v="-4.229268292682927"/>
    <s v="NO"/>
    <n v="1.1703956904495227"/>
    <n v="-0.92838771559755306"/>
    <n v="-1.3649430986692361"/>
    <n v="-1.0829695409864535"/>
    <n v="7.2376970554557536"/>
    <n v="-0.65700081124345244"/>
    <x v="0"/>
    <x v="0"/>
    <x v="0"/>
    <x v="0"/>
    <x v="1"/>
    <x v="0"/>
  </r>
  <r>
    <x v="2"/>
    <s v="ANNA"/>
    <n v="381"/>
    <n v="8.84"/>
    <n v="-0.92"/>
    <n v="0.71"/>
    <n v="-1.39"/>
    <n v="-9.6086956521739122"/>
    <n v="12.450704225352114"/>
    <n v="-31.06"/>
    <n v="-6.05"/>
    <n v="2.84"/>
    <n v="-6.3597122302158278"/>
    <s v="NO"/>
    <n v="0.10228338785210507"/>
    <n v="1.4801567509847247"/>
    <n v="-6.355887211629355"/>
    <n v="-4.6614775894634297"/>
    <n v="1.157880664942635"/>
    <n v="-0.76351816664914673"/>
    <x v="0"/>
    <x v="0"/>
    <x v="1"/>
    <x v="1"/>
    <x v="0"/>
    <x v="0"/>
  </r>
  <r>
    <x v="2"/>
    <s v="KEN"/>
    <n v="1833"/>
    <n v="36.71"/>
    <n v="-0.52"/>
    <n v="29.37"/>
    <n v="11.35"/>
    <n v="-70.59615384615384"/>
    <n v="1.2499148791283623"/>
    <n v="28.8"/>
    <n v="0.89"/>
    <n v="2.62"/>
    <n v="3.2343612334801763"/>
    <s v="NO"/>
    <n v="-5.7698686574890177"/>
    <n v="-0.73307302723015511"/>
    <n v="5.4854887139272339"/>
    <n v="-0.81707420611509896"/>
    <n v="0.8259800183141276"/>
    <n v="-0.2838362961633783"/>
    <x v="1"/>
    <x v="0"/>
    <x v="1"/>
    <x v="0"/>
    <x v="0"/>
    <x v="0"/>
  </r>
  <r>
    <x v="2"/>
    <s v="CEPU"/>
    <n v="1967"/>
    <n v="12.15"/>
    <n v="0.11"/>
    <n v="1.26"/>
    <n v="0.06"/>
    <n v="110.45454545454545"/>
    <n v="9.6428571428571423"/>
    <n v="6.14"/>
    <n v="4.84"/>
    <n v="1.46"/>
    <n v="202.5"/>
    <s v="NO"/>
    <n v="11.662522619214267"/>
    <n v="0.92533774818410719"/>
    <n v="1.0029364507613083"/>
    <n v="1.3710228204304207"/>
    <n v="-0.92404157299982226"/>
    <n v="9.678992807528207"/>
    <x v="1"/>
    <x v="0"/>
    <x v="0"/>
    <x v="0"/>
    <x v="0"/>
    <x v="1"/>
  </r>
  <r>
    <x v="2"/>
    <s v="MNTK"/>
    <n v="262"/>
    <n v="2.15"/>
    <n v="-0.09"/>
    <n v="1.8"/>
    <n v="0.05"/>
    <n v="-23.888888888888889"/>
    <n v="1.1944444444444444"/>
    <n v="2.9"/>
    <n v="3.32"/>
    <n v="1.37"/>
    <n v="42.999999999999993"/>
    <s v="NO"/>
    <n v="-1.2726790783016277"/>
    <n v="-0.74403375634112268"/>
    <n v="0.36200664790792786"/>
    <n v="0.5290209266711321"/>
    <n v="-1.0598191102569388"/>
    <n v="1.7043552740559775"/>
    <x v="0"/>
    <x v="0"/>
    <x v="0"/>
    <x v="0"/>
    <x v="0"/>
    <x v="0"/>
  </r>
  <r>
    <x v="3"/>
    <s v="UTL"/>
    <n v="891"/>
    <n v="53.05"/>
    <n v="-1.92"/>
    <n v="32.86"/>
    <n v="2.93"/>
    <n v="-27.630208333333332"/>
    <n v="1.61442483262325"/>
    <n v="9.07"/>
    <n v="3.29"/>
    <n v="3.54"/>
    <n v="18.10580204778157"/>
    <s v="NO"/>
    <e v="#DIV/0!"/>
    <e v="#DIV/0!"/>
    <e v="#DIV/0!"/>
    <e v="#DIV/0!"/>
    <e v="#DIV/0!"/>
    <e v="#DIV/0!"/>
    <x v="0"/>
    <x v="0"/>
    <x v="0"/>
    <x v="0"/>
    <x v="0"/>
    <x v="0"/>
  </r>
  <r>
    <x v="4"/>
    <s v="GWRS"/>
    <n v="279"/>
    <n v="10.52"/>
    <n v="-0.85"/>
    <n v="2.81"/>
    <n v="0.23"/>
    <n v="-12.376470588235295"/>
    <n v="3.7437722419928825"/>
    <n v="9.11"/>
    <n v="1.42"/>
    <n v="5.75"/>
    <n v="45.739130434782602"/>
    <s v="NO"/>
    <n v="-6.0560001283104766E-3"/>
    <n v="5.4749660103126239"/>
    <n v="8.6768580354632266E-2"/>
    <n v="-1.7518192481081529"/>
    <n v="3.5042821714412518"/>
    <n v="5.7314708385045314"/>
    <x v="0"/>
    <x v="1"/>
    <x v="0"/>
    <x v="0"/>
    <x v="1"/>
    <x v="1"/>
  </r>
  <r>
    <x v="4"/>
    <s v="HTO"/>
    <n v="1794"/>
    <n v="52.57"/>
    <n v="-5.26"/>
    <n v="40.880000000000003"/>
    <n v="2.98"/>
    <n v="-9.9942965779467681"/>
    <n v="1.2859589041095889"/>
    <n v="7.49"/>
    <n v="2.56"/>
    <n v="3.38"/>
    <n v="17.640939597315437"/>
    <s v="NO"/>
    <n v="0.1598062208040632"/>
    <n v="-1.541956516366805"/>
    <n v="-1.3602250979123121"/>
    <n v="-0.27250521637237929"/>
    <n v="0.99769804277452145"/>
    <n v="-0.81686897534313496"/>
    <x v="0"/>
    <x v="0"/>
    <x v="0"/>
    <x v="0"/>
    <x v="0"/>
    <x v="0"/>
  </r>
  <r>
    <x v="4"/>
    <s v="ARTNA"/>
    <n v="356"/>
    <n v="33.58"/>
    <n v="-1.19"/>
    <n v="23.45"/>
    <n v="2.08"/>
    <n v="-28.218487394957982"/>
    <n v="1.4319829424307036"/>
    <n v="9.0399999999999991"/>
    <n v="2.72"/>
    <n v="3.35"/>
    <n v="16.144230769230766"/>
    <s v="NO"/>
    <n v="-1.1090787349338018"/>
    <n v="-1.1250658810451801"/>
    <n v="2.4244162157912166E-2"/>
    <n v="-6.4882194374375798E-2"/>
    <n v="0.96596912975342375"/>
    <n v="-1.1656799740788677"/>
    <x v="0"/>
    <x v="0"/>
    <x v="0"/>
    <x v="0"/>
    <x v="0"/>
    <x v="0"/>
  </r>
  <r>
    <x v="4"/>
    <s v="MSEX"/>
    <n v="1038"/>
    <n v="56.29"/>
    <n v="-0.75"/>
    <n v="25.09"/>
    <n v="2.4"/>
    <n v="-75.053333333333327"/>
    <n v="2.2435233160621761"/>
    <n v="9.8000000000000007"/>
    <n v="2.96"/>
    <n v="2.85"/>
    <n v="23.454166666666666"/>
    <s v="NO"/>
    <n v="-4.3700208536934753"/>
    <n v="1.1918374578994788"/>
    <n v="0.70308070257944333"/>
    <n v="0.24655233862262885"/>
    <n v="0.43715391273512622"/>
    <n v="0.53791526985494786"/>
    <x v="1"/>
    <x v="0"/>
    <x v="0"/>
    <x v="0"/>
    <x v="0"/>
    <x v="0"/>
  </r>
  <r>
    <x v="4"/>
    <s v="YORW"/>
    <n v="470"/>
    <n v="32.19"/>
    <n v="-1.35"/>
    <n v="16.12"/>
    <n v="1.37"/>
    <n v="-23.844444444444441"/>
    <n v="1.9968982630272951"/>
    <n v="8.6300000000000008"/>
    <n v="2.91"/>
    <n v="2.76"/>
    <n v="23.496350364963501"/>
    <s v="NO"/>
    <n v="-0.80452983334541706"/>
    <n v="0.48773643297203639"/>
    <n v="-0.34197028728001688"/>
    <n v="0.18167014424825306"/>
    <n v="0.34196717367183233"/>
    <n v="0.54774626547492788"/>
    <x v="0"/>
    <x v="0"/>
    <x v="0"/>
    <x v="0"/>
    <x v="0"/>
    <x v="0"/>
  </r>
  <r>
    <x v="4"/>
    <s v="CWCO"/>
    <n v="430"/>
    <n v="28.31"/>
    <n v="2.1800000000000002"/>
    <n v="13.4"/>
    <n v="1"/>
    <n v="12.986238532110089"/>
    <n v="2.1126865671641788"/>
    <n v="7.9"/>
    <n v="4.05"/>
    <n v="1.17"/>
    <n v="28.31"/>
    <s v="NO"/>
    <n v="1.7598583476034666"/>
    <n v="0.81830570245277978"/>
    <n v="-0.99401064847438136"/>
    <n v="1.6609841759840263"/>
    <n v="-1.3396652164463538"/>
    <n v="1.6695769818138237"/>
    <x v="0"/>
    <x v="0"/>
    <x v="0"/>
    <x v="0"/>
    <x v="0"/>
    <x v="0"/>
  </r>
  <r>
    <x v="4"/>
    <s v="PCYO"/>
    <n v="256"/>
    <n v="10.52"/>
    <n v="0.04"/>
    <n v="5.58"/>
    <n v="0.59"/>
    <n v="263"/>
    <n v="1.8853046594982077"/>
    <n v="11.12"/>
    <n v="4.93"/>
    <n v="1.1100000000000001"/>
    <n v="17.83050847457627"/>
    <s v="NO"/>
    <n v="19.167418652443828"/>
    <n v="0.16914280408769006"/>
    <n v="1.8821125885747305"/>
    <n v="2.8029107969730442"/>
    <n v="-1.4031230424885492"/>
    <n v="-0.77268956772169362"/>
    <x v="1"/>
    <x v="0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1"/>
        <item x="0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40" tableType="queryTable" totalsRowShown="0">
  <autoFilter ref="A1:Z40" xr:uid="{1B3BB95A-07C7-4768-8185-A2A759A39458}"/>
  <sortState xmlns:xlrd2="http://schemas.microsoft.com/office/spreadsheetml/2017/richdata2" ref="A2:Z40">
    <sortCondition ref="A1:A40"/>
  </sortState>
  <tableColumns count="26">
    <tableColumn id="1" xr3:uid="{FDA9EBBF-F574-44F1-B885-6A5ED1C1C8A3}" uniqueName="1" name="Industry" queryTableFieldId="1" dataDxfId="131"/>
    <tableColumn id="2" xr3:uid="{8F96E341-8F97-4BC1-90E1-73E9D5DAC8C9}" uniqueName="2" name="Symbol" queryTableFieldId="2" dataDxfId="130"/>
    <tableColumn id="3" xr3:uid="{F543FE77-4EA4-4170-A3F2-7D6D401D6817}" uniqueName="3" name="Market Cap (M)" queryTableFieldId="44" dataDxfId="129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28"/>
    <tableColumn id="9" xr3:uid="{92CA53A2-ADA4-45CE-B0FD-3AD68E123166}" uniqueName="9" name="P/B" queryTableFieldId="46" dataDxfId="127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26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25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24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23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22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21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20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43" tableType="queryTable" totalsRowShown="0">
  <autoFilter ref="A1:Z43" xr:uid="{8A05384F-F989-4428-B033-1A9B3ACA4EBB}"/>
  <sortState xmlns:xlrd2="http://schemas.microsoft.com/office/spreadsheetml/2017/richdata2" ref="A2:Z43">
    <sortCondition ref="A1:A43"/>
  </sortState>
  <tableColumns count="26">
    <tableColumn id="1" xr3:uid="{3547F496-7B67-42E8-9760-1F3941836443}" uniqueName="1" name="Industry" queryTableFieldId="1" dataDxfId="83"/>
    <tableColumn id="2" xr3:uid="{0A09E186-076D-4A57-B743-EBD7817F4082}" uniqueName="2" name="Symbol" queryTableFieldId="2" dataDxfId="82"/>
    <tableColumn id="3" xr3:uid="{C567BD69-49B3-415C-87A5-73BCB80F1796}" uniqueName="3" name="Market Cap (M)" queryTableFieldId="43" dataDxfId="81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80"/>
    <tableColumn id="9" xr3:uid="{F1DC44A8-3710-4CCA-B495-699F6ACADE85}" uniqueName="9" name="P/B" queryTableFieldId="45" dataDxfId="79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78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77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76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75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74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73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72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21" tableType="queryTable" totalsRowShown="0">
  <autoFilter ref="A1:Z21" xr:uid="{DE7CBD96-9DC7-4F09-9B11-F8C87451A82B}"/>
  <sortState xmlns:xlrd2="http://schemas.microsoft.com/office/spreadsheetml/2017/richdata2" ref="A2:Z21">
    <sortCondition ref="A1:A21"/>
  </sortState>
  <tableColumns count="26">
    <tableColumn id="1" xr3:uid="{261FC5A1-AB9E-4068-9D87-D85D75FE0DD5}" uniqueName="1" name="Industry" queryTableFieldId="1" dataDxfId="143"/>
    <tableColumn id="2" xr3:uid="{4D1C6415-A4DE-450C-A6A0-32BD8F91DEB2}" uniqueName="2" name="Symbol" queryTableFieldId="2" dataDxfId="142"/>
    <tableColumn id="3" xr3:uid="{1913483F-1018-45E5-BBAD-415B97CDE58A}" uniqueName="3" name="Market Cap (M)" queryTableFieldId="43" dataDxfId="141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140"/>
    <tableColumn id="9" xr3:uid="{A85952D4-A3AB-4C1A-90DC-2E32ECE72481}" uniqueName="9" name="P/B" queryTableFieldId="45" dataDxfId="139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138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137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136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135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134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133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132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7" tableType="queryTable" totalsRowShown="0">
  <autoFilter ref="A2:Y7" xr:uid="{CF08F30B-5B6A-425F-B235-3500A3319B88}"/>
  <tableColumns count="25">
    <tableColumn id="1" xr3:uid="{FD842081-B64F-4301-AA21-FB7B05A836D4}" uniqueName="1" name="Industry" queryTableFieldId="1" dataDxfId="146"/>
    <tableColumn id="2" xr3:uid="{E59C1D9B-F213-4C25-84A0-0FA886F9704F}" uniqueName="2" name="P/FCF Q1" queryTableFieldId="2" dataDxfId="71"/>
    <tableColumn id="3" xr3:uid="{04B713EC-FD8B-48E2-A2D2-C366A9A339B7}" uniqueName="3" name="P/FCF Q3" queryTableFieldId="3" dataDxfId="70"/>
    <tableColumn id="4" xr3:uid="{9DCEA951-E29F-4D9E-B9F0-5DC32A557DF0}" uniqueName="4" name="P/FCF LB" queryTableFieldId="4" dataDxfId="69"/>
    <tableColumn id="5" xr3:uid="{C2B6F391-AB27-4C2B-B68A-D2B47E1AA772}" uniqueName="5" name="P/FCF UB" queryTableFieldId="5" dataDxfId="68"/>
    <tableColumn id="6" xr3:uid="{1FD6B89C-F582-4857-A32F-326E69C5DFFD}" uniqueName="6" name="P/B Q1" queryTableFieldId="6" dataDxfId="67"/>
    <tableColumn id="7" xr3:uid="{A3697E12-D8D4-4284-AE2B-01C3BA154C99}" uniqueName="7" name="P/B Q3" queryTableFieldId="7" dataDxfId="66"/>
    <tableColumn id="8" xr3:uid="{A270BB2A-00C0-4246-AFBA-EDE9D5F40C76}" uniqueName="8" name="P/B LB" queryTableFieldId="8" dataDxfId="65"/>
    <tableColumn id="9" xr3:uid="{F99BB669-75E9-428A-88A3-E037E705383F}" uniqueName="9" name="P/B UB" queryTableFieldId="9" dataDxfId="64"/>
    <tableColumn id="10" xr3:uid="{D3A49932-F6DE-43A8-B449-B1C4E41499CF}" uniqueName="10" name="ROE Q1" queryTableFieldId="10" dataDxfId="63"/>
    <tableColumn id="11" xr3:uid="{BD8F2597-7442-49AD-BA3A-A3F29A6E60DD}" uniqueName="11" name="ROE Q3" queryTableFieldId="11" dataDxfId="62"/>
    <tableColumn id="12" xr3:uid="{3B29ED46-D0C8-4AF8-BFC0-41462C6C29EB}" uniqueName="12" name="ROE LB" queryTableFieldId="12" dataDxfId="61"/>
    <tableColumn id="13" xr3:uid="{F62F045D-EA3F-4608-85C5-21D743180D21}" uniqueName="13" name="ROE UB" queryTableFieldId="13" dataDxfId="60"/>
    <tableColumn id="14" xr3:uid="{9D898AB4-6F4D-4D03-BA61-39B91E78C9C6}" uniqueName="14" name="ROA Q1" queryTableFieldId="14" dataDxfId="59"/>
    <tableColumn id="15" xr3:uid="{2D1DFB04-09CE-4BEC-AD50-26246811DCDA}" uniqueName="15" name="ROA Q3" queryTableFieldId="15" dataDxfId="58"/>
    <tableColumn id="16" xr3:uid="{753F114C-61F5-4444-9EB0-76DCEA7F1F1B}" uniqueName="16" name="ROA LB" queryTableFieldId="16" dataDxfId="57"/>
    <tableColumn id="17" xr3:uid="{AA60DB6D-6DE2-4BF0-A375-18A578568BBF}" uniqueName="17" name="ROA UB" queryTableFieldId="17" dataDxfId="56"/>
    <tableColumn id="18" xr3:uid="{5357CEC7-DB8C-48BE-BDAD-FCBB1FB43389}" uniqueName="18" name="P/E Q1" queryTableFieldId="18" dataDxfId="55"/>
    <tableColumn id="19" xr3:uid="{C18FE8DB-95D8-42EC-BC42-C15678D7CE64}" uniqueName="19" name="P/E Q3" queryTableFieldId="19" dataDxfId="54"/>
    <tableColumn id="20" xr3:uid="{B7040099-49E4-464B-9BD8-1326A00D0599}" uniqueName="20" name="P/E LB" queryTableFieldId="20" dataDxfId="53"/>
    <tableColumn id="21" xr3:uid="{E8713F96-91B8-41CB-AA45-CCA61FACA752}" uniqueName="21" name="P/E UB" queryTableFieldId="21" dataDxfId="52"/>
    <tableColumn id="22" xr3:uid="{91693169-B783-4EDC-94CF-D23F08159B62}" uniqueName="22" name="A/E Q1" queryTableFieldId="22" dataDxfId="51"/>
    <tableColumn id="23" xr3:uid="{F98A9AC1-1CAF-483B-A342-F3A466AEB043}" uniqueName="23" name="A/E Q3" queryTableFieldId="23" dataDxfId="50"/>
    <tableColumn id="24" xr3:uid="{04D140EC-A8E6-4894-B430-208F20D411DB}" uniqueName="24" name="A/E LB" queryTableFieldId="24" dataDxfId="49"/>
    <tableColumn id="25" xr3:uid="{3E6CFD0C-10B0-4D91-A289-A353306CC102}" uniqueName="25" name="A/E UB" queryTableFieldId="25" dataDxfId="4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1:Y16" tableType="queryTable" totalsRowShown="0">
  <autoFilter ref="A11:Y16" xr:uid="{89F54F15-11E6-4F5B-BF51-37096268E20C}"/>
  <tableColumns count="25">
    <tableColumn id="1" xr3:uid="{1DD86F6C-5649-4964-82C3-51A7F8B44C8D}" uniqueName="1" name="Industry" queryTableFieldId="1" dataDxfId="145"/>
    <tableColumn id="2" xr3:uid="{E9710093-0C0E-47F6-BA82-6DF1689DE3FF}" uniqueName="2" name="P/FCF Q1" queryTableFieldId="2" dataDxfId="23"/>
    <tableColumn id="3" xr3:uid="{BB549C0D-7552-41A2-B049-C1E0C569FC5B}" uniqueName="3" name="P/FCF Q3" queryTableFieldId="3" dataDxfId="22"/>
    <tableColumn id="4" xr3:uid="{F8874757-4F98-4408-A256-B3DBB97E40A5}" uniqueName="4" name="P/FCF LB" queryTableFieldId="4" dataDxfId="21"/>
    <tableColumn id="5" xr3:uid="{7F92E8F9-91DF-48EA-A8F2-F3E13D8104D3}" uniqueName="5" name="P/FCF UB" queryTableFieldId="5" dataDxfId="20"/>
    <tableColumn id="6" xr3:uid="{837AC52A-2B15-4BFB-A555-2456F010C7C9}" uniqueName="6" name="P/B Q1" queryTableFieldId="6" dataDxfId="19"/>
    <tableColumn id="7" xr3:uid="{C672A3A3-8D6C-4E08-B6E3-1D85CD510A41}" uniqueName="7" name="P/B Q3" queryTableFieldId="7" dataDxfId="18"/>
    <tableColumn id="8" xr3:uid="{47FBFC34-1D36-49FE-8583-28072989EA1C}" uniqueName="8" name="P/B LB" queryTableFieldId="8" dataDxfId="17"/>
    <tableColumn id="9" xr3:uid="{98DADD72-A76B-4DE4-AB34-515EBE2E4A04}" uniqueName="9" name="P/B UB" queryTableFieldId="9" dataDxfId="16"/>
    <tableColumn id="10" xr3:uid="{C06AFB5F-1921-4B19-AFA7-04514BD3BC35}" uniqueName="10" name="ROE Q1" queryTableFieldId="10" dataDxfId="15"/>
    <tableColumn id="11" xr3:uid="{38FF7E38-2AC1-4486-B824-BCBE4156ADA7}" uniqueName="11" name="ROE Q3" queryTableFieldId="11" dataDxfId="14"/>
    <tableColumn id="12" xr3:uid="{1BBD6DC1-3C0C-48AF-9986-81D1F4A26368}" uniqueName="12" name="ROE LB" queryTableFieldId="12" dataDxfId="13"/>
    <tableColumn id="13" xr3:uid="{5775303C-3550-4762-86D0-7A82C106A3F0}" uniqueName="13" name="ROE UB" queryTableFieldId="13" dataDxfId="12"/>
    <tableColumn id="14" xr3:uid="{9FE06177-2E94-4066-A65B-77414C97B4DC}" uniqueName="14" name="ROA Q1" queryTableFieldId="14" dataDxfId="11"/>
    <tableColumn id="15" xr3:uid="{386179E5-15F0-4AED-9E0C-1EB211C80CEE}" uniqueName="15" name="ROA Q3" queryTableFieldId="15" dataDxfId="10"/>
    <tableColumn id="16" xr3:uid="{C7DC1506-2223-42A0-AC4B-68B0E14D2B9D}" uniqueName="16" name="ROA LB" queryTableFieldId="16" dataDxfId="9"/>
    <tableColumn id="17" xr3:uid="{C45AE1E6-1326-44B3-972F-838B081A78FC}" uniqueName="17" name="ROA UB" queryTableFieldId="17" dataDxfId="8"/>
    <tableColumn id="18" xr3:uid="{17D85B47-F40C-47C3-996F-C47242CFB7D2}" uniqueName="18" name="P/E Q1" queryTableFieldId="18" dataDxfId="7"/>
    <tableColumn id="19" xr3:uid="{44248722-1EBA-4DF8-B99D-B6B2F31E253B}" uniqueName="19" name="P/E Q3" queryTableFieldId="19" dataDxfId="6"/>
    <tableColumn id="20" xr3:uid="{93299C7A-5544-43AE-ACC5-72F0CB129F08}" uniqueName="20" name="P/E LB" queryTableFieldId="20" dataDxfId="5"/>
    <tableColumn id="21" xr3:uid="{3E027012-2DA9-4754-8880-25FEEDEFA94A}" uniqueName="21" name="P/E UB" queryTableFieldId="21" dataDxfId="4"/>
    <tableColumn id="22" xr3:uid="{FF2638EF-6EA0-401C-B7D8-A2BC49ECD2B0}" uniqueName="22" name="A/E Q1" queryTableFieldId="22" dataDxfId="3"/>
    <tableColumn id="23" xr3:uid="{546FB46A-BFEC-4020-A8E1-97073EBE991F}" uniqueName="23" name="A/E Q3" queryTableFieldId="23" dataDxfId="2"/>
    <tableColumn id="24" xr3:uid="{41F03CE5-975A-469D-B609-D8C5D8D172FA}" uniqueName="24" name="A/E LB" queryTableFieldId="24" dataDxfId="1"/>
    <tableColumn id="25" xr3:uid="{1863137D-3C8C-4A15-9A63-5E253392AFAD}" uniqueName="25" name="A/E UB" queryTableFieldId="25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0:Y25" tableType="queryTable" totalsRowShown="0">
  <autoFilter ref="A20:Y25" xr:uid="{CF689D08-98E7-4B08-8D8B-630159DED978}"/>
  <tableColumns count="25">
    <tableColumn id="1" xr3:uid="{1B5FE8EC-4B8C-444E-96DC-3618818E7D45}" uniqueName="1" name="Industry" queryTableFieldId="1" dataDxfId="144"/>
    <tableColumn id="2" xr3:uid="{0E20A80F-BE74-42F8-83EF-419A13269CF8}" uniqueName="2" name="P/FCF Q1" queryTableFieldId="2" dataDxfId="47"/>
    <tableColumn id="3" xr3:uid="{6D66145B-6613-41BC-8233-7356853CCFEF}" uniqueName="3" name="P/FCF Q3" queryTableFieldId="3" dataDxfId="46"/>
    <tableColumn id="4" xr3:uid="{90A69125-3CA2-4D0A-8F1A-65993DFA9D46}" uniqueName="4" name="P/FCF LB" queryTableFieldId="4" dataDxfId="45"/>
    <tableColumn id="5" xr3:uid="{BED6E3D4-DC60-428F-B5E8-4C3C64096FD7}" uniqueName="5" name="P/FCF UB" queryTableFieldId="5" dataDxfId="44"/>
    <tableColumn id="6" xr3:uid="{FC33B186-B76E-4D86-8EBD-E25B773D256E}" uniqueName="6" name="P/B Q1" queryTableFieldId="6" dataDxfId="43"/>
    <tableColumn id="7" xr3:uid="{D82D1432-7C03-4449-BD2D-F895D50A5F32}" uniqueName="7" name="P/B Q3" queryTableFieldId="7" dataDxfId="42"/>
    <tableColumn id="8" xr3:uid="{D3389429-24FB-4947-AACF-CAA92D678F94}" uniqueName="8" name="P/B LB" queryTableFieldId="8" dataDxfId="41"/>
    <tableColumn id="9" xr3:uid="{452E932D-DD5B-4C62-A8B3-25C90C8C7751}" uniqueName="9" name="P/B UB" queryTableFieldId="9" dataDxfId="40"/>
    <tableColumn id="10" xr3:uid="{99E11285-9679-47B1-9540-1BD10239596C}" uniqueName="10" name="ROE Q1" queryTableFieldId="10" dataDxfId="39"/>
    <tableColumn id="11" xr3:uid="{B4F1825A-C678-4C01-BB96-B04FAB1938BD}" uniqueName="11" name="ROE Q3" queryTableFieldId="11" dataDxfId="38"/>
    <tableColumn id="12" xr3:uid="{9F07026D-928C-42B1-8DD2-9BD3176C8B6A}" uniqueName="12" name="ROE LB" queryTableFieldId="12" dataDxfId="37"/>
    <tableColumn id="13" xr3:uid="{47360B1B-7AC4-49FA-9F18-2F1F1B72CA28}" uniqueName="13" name="ROE UB" queryTableFieldId="13" dataDxfId="36"/>
    <tableColumn id="14" xr3:uid="{58B0248D-BCFF-4737-ADF5-EE087C03D561}" uniqueName="14" name="ROA Q1" queryTableFieldId="14" dataDxfId="35"/>
    <tableColumn id="15" xr3:uid="{CCD6E6AE-6BBB-4675-8C50-0F87AF280A3C}" uniqueName="15" name="ROA Q3" queryTableFieldId="15" dataDxfId="34"/>
    <tableColumn id="16" xr3:uid="{BB86731C-A605-4988-A848-B35835CAF73E}" uniqueName="16" name="ROA LB" queryTableFieldId="16" dataDxfId="33"/>
    <tableColumn id="17" xr3:uid="{9760AC7A-70E9-4457-8DC8-4BDA6646C74E}" uniqueName="17" name="ROA UB" queryTableFieldId="17" dataDxfId="32"/>
    <tableColumn id="18" xr3:uid="{931D5CA9-41B9-424B-87E6-FA364034B249}" uniqueName="18" name="P/E Q1" queryTableFieldId="18" dataDxfId="31"/>
    <tableColumn id="19" xr3:uid="{23E1DD3D-5F02-4A6D-9773-5EA3466661AF}" uniqueName="19" name="P/E Q3" queryTableFieldId="19" dataDxfId="30"/>
    <tableColumn id="20" xr3:uid="{478DC28A-5ACD-47E8-8720-6EEE2D43205B}" uniqueName="20" name="P/E LB" queryTableFieldId="20" dataDxfId="29"/>
    <tableColumn id="21" xr3:uid="{AC7D613F-0AC5-4542-BBED-886B4C332840}" uniqueName="21" name="P/E UB" queryTableFieldId="21" dataDxfId="28"/>
    <tableColumn id="22" xr3:uid="{1E3F527B-4B19-4D38-9A78-D4BBA95224B9}" uniqueName="22" name="A/E Q1" queryTableFieldId="22" dataDxfId="27"/>
    <tableColumn id="23" xr3:uid="{1256121C-1427-4F44-988A-E08E26F80A67}" uniqueName="23" name="A/E Q3" queryTableFieldId="23" dataDxfId="26"/>
    <tableColumn id="24" xr3:uid="{3F6A6F05-B80E-47C0-9039-80E1A481FF30}" uniqueName="24" name="A/E LB" queryTableFieldId="24" dataDxfId="25"/>
    <tableColumn id="25" xr3:uid="{08969B40-89DA-4EAE-925B-3C841EB86C63}" uniqueName="25" name="A/E UB" queryTableFieldId="25" dataDxfId="2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40"/>
  <sheetViews>
    <sheetView workbookViewId="0">
      <selection activeCell="B24" sqref="B24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8" t="s">
        <v>105</v>
      </c>
      <c r="B2" s="68" t="s">
        <v>203</v>
      </c>
      <c r="C2" s="2">
        <v>21970</v>
      </c>
      <c r="D2">
        <f>RTD("tos.rtd", , "LAST", Main_L[[#This Row],[Symbol]])</f>
        <v>35.82</v>
      </c>
      <c r="H2" s="1" t="str">
        <f>IF(ISNUMBER(Main_L[[#This Row],[Free CF]]),IF(Main_L[[#This Row],[Free CF]]&lt;&gt;0,Main_L[[#This Row],[Current Price]]/Main_L[[#This Row],[Free CF]],""),"")</f>
        <v/>
      </c>
      <c r="I2" s="1" t="str">
        <f>IF(ISNUMBER(Main_L[[#This Row],[BVPS]]),IF(Main_L[[#This Row],[BVPS]]&lt;&gt;0,Main_L[[#This Row],[Current Price]]/Main_L[[#This Row],[BVPS]],""),"")</f>
        <v/>
      </c>
      <c r="M2" s="1" t="str">
        <f>IF(ISNUMBER(Main_L[[#This Row],[EPS]]),IF(Main_L[[#This Row],[EPS]]&lt;&gt;0,Main_L[[#This Row],[Current Price]]/Main_L[[#This Row],[EPS]],""),"")</f>
        <v/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 t="e">
        <f>(Main_L[[#This Row],[P/FCF]]-VLOOKUP(Main_L[[#This Row],[Industry]], Mean_PFCF_L, 2, FALSE))/(VLOOKUP(Main_L[[#This Row],[Industry]], Mean_PFCF_L, 3, FALSE))</f>
        <v>#VALUE!</v>
      </c>
      <c r="P2" s="1" t="e">
        <f>(Main_L[[#This Row],[P/B]]-VLOOKUP(Main_L[[#This Row],[Industry]], Mean_PB_L, 2, FALSE))/(VLOOKUP(Main_L[[#This Row],[Industry]], Mean_PB_L, 3, FALSE))</f>
        <v>#VALUE!</v>
      </c>
      <c r="Q2" s="1">
        <f>(Main_L[[#This Row],[ROE]]-VLOOKUP(Main_L[[#This Row],[Industry]], Mean_ROE_L, 2, FALSE))/(VLOOKUP(Main_L[[#This Row],[Industry]], Mean_ROE_L, 3, FALSE))</f>
        <v>-4.8055472766052949</v>
      </c>
      <c r="R2" s="1">
        <f>(Main_L[[#This Row],[ROA]]-VLOOKUP(Main_L[[#This Row],[Industry]], Mean_ROA_L, 2, FALSE))/(VLOOKUP(Main_L[[#This Row],[Industry]], Mean_ROA_L, 3, FALSE))</f>
        <v>-14.862163744905155</v>
      </c>
      <c r="S2" s="1">
        <f>(Main_L[[#This Row],[A/E]]-VLOOKUP(Main_L[[#This Row],[Industry]], Mean_AE_L, 2, FALSE))/(VLOOKUP(Main_L[[#This Row],[Industry]], Mean_AE_L, 3, FALSE))</f>
        <v>-6.7677281816315178</v>
      </c>
      <c r="T2" s="1" t="e">
        <f>(Main_L[[#This Row],[P/E]]-VLOOKUP(Main_L[[#This Row],[Industry]], Mean_PE_L, 2, FALSE))/(VLOOKUP(Main_L[[#This Row],[Industry]], Mean_PE_L, 3, FALSE))</f>
        <v>#VALUE!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" spans="1:26" x14ac:dyDescent="0.25">
      <c r="A3" s="68" t="s">
        <v>105</v>
      </c>
      <c r="B3" s="68" t="s">
        <v>119</v>
      </c>
      <c r="C3" s="2">
        <v>30480</v>
      </c>
      <c r="D3">
        <f>RTD("tos.rtd", , "LAST", Main_L[[#This Row],[Symbol]])</f>
        <v>155.05000000000001</v>
      </c>
      <c r="E3">
        <v>11.13</v>
      </c>
      <c r="F3">
        <v>10.83</v>
      </c>
      <c r="G3">
        <v>6.2</v>
      </c>
      <c r="H3" s="1">
        <f>IF(ISNUMBER(Main_L[[#This Row],[Free CF]]),IF(Main_L[[#This Row],[Free CF]]&lt;&gt;0,Main_L[[#This Row],[Current Price]]/Main_L[[#This Row],[Free CF]],""),"")</f>
        <v>13.930817610062894</v>
      </c>
      <c r="I3" s="1">
        <f>IF(ISNUMBER(Main_L[[#This Row],[BVPS]]),IF(Main_L[[#This Row],[BVPS]]&lt;&gt;0,Main_L[[#This Row],[Current Price]]/Main_L[[#This Row],[BVPS]],""),"")</f>
        <v>14.316712834718375</v>
      </c>
      <c r="J3">
        <v>44.91</v>
      </c>
      <c r="K3">
        <v>6.32</v>
      </c>
      <c r="L3">
        <v>11.75</v>
      </c>
      <c r="M3" s="1">
        <f>IF(ISNUMBER(Main_L[[#This Row],[EPS]]),IF(Main_L[[#This Row],[EPS]]&lt;&gt;0,Main_L[[#This Row],[Current Price]]/Main_L[[#This Row],[EPS]],""),"")</f>
        <v>25.008064516129032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2.3207706938747488</v>
      </c>
      <c r="P3" s="1">
        <f>(Main_L[[#This Row],[P/B]]-VLOOKUP(Main_L[[#This Row],[Industry]], Mean_PB_L, 2, FALSE))/(VLOOKUP(Main_L[[#This Row],[Industry]], Mean_PB_L, 3, FALSE))</f>
        <v>26.896994026164684</v>
      </c>
      <c r="Q3" s="1">
        <f>(Main_L[[#This Row],[ROE]]-VLOOKUP(Main_L[[#This Row],[Industry]], Mean_ROE_L, 2, FALSE))/(VLOOKUP(Main_L[[#This Row],[Industry]], Mean_ROE_L, 3, FALSE))</f>
        <v>19.167866074609051</v>
      </c>
      <c r="R3" s="1">
        <f>(Main_L[[#This Row],[ROA]]-VLOOKUP(Main_L[[#This Row],[Industry]], Mean_ROA_L, 2, FALSE))/(VLOOKUP(Main_L[[#This Row],[Industry]], Mean_ROA_L, 3, FALSE))</f>
        <v>18.401714030323024</v>
      </c>
      <c r="S3" s="1">
        <f>(Main_L[[#This Row],[A/E]]-VLOOKUP(Main_L[[#This Row],[Industry]], Mean_AE_L, 2, FALSE))/(VLOOKUP(Main_L[[#This Row],[Industry]], Mean_AE_L, 3, FALSE))</f>
        <v>14.318743574426753</v>
      </c>
      <c r="T3" s="1">
        <f>(Main_L[[#This Row],[P/E]]-VLOOKUP(Main_L[[#This Row],[Industry]], Mean_PE_L, 2, FALSE))/(VLOOKUP(Main_L[[#This Row],[Industry]], Mean_PE_L, 3, FALSE))</f>
        <v>0.75212728026660935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s="68" t="s">
        <v>105</v>
      </c>
      <c r="B4" s="68" t="s">
        <v>117</v>
      </c>
      <c r="C4" s="2">
        <v>14187</v>
      </c>
      <c r="D4">
        <f>RTD("tos.rtd", , "LAST", Main_L[[#This Row],[Symbol]])</f>
        <v>11.4</v>
      </c>
      <c r="E4">
        <v>2.14</v>
      </c>
      <c r="F4">
        <v>44.36</v>
      </c>
      <c r="G4">
        <v>5.56</v>
      </c>
      <c r="H4" s="1">
        <f>IF(ISNUMBER(Main_L[[#This Row],[Free CF]]),IF(Main_L[[#This Row],[Free CF]]&lt;&gt;0,Main_L[[#This Row],[Current Price]]/Main_L[[#This Row],[Free CF]],""),"")</f>
        <v>5.3271028037383177</v>
      </c>
      <c r="I4" s="1">
        <f>IF(ISNUMBER(Main_L[[#This Row],[BVPS]]),IF(Main_L[[#This Row],[BVPS]]&lt;&gt;0,Main_L[[#This Row],[Current Price]]/Main_L[[#This Row],[BVPS]],""),"")</f>
        <v>0.25698827772768262</v>
      </c>
      <c r="J4">
        <v>13.27</v>
      </c>
      <c r="K4">
        <v>2.77</v>
      </c>
      <c r="L4">
        <v>5.96</v>
      </c>
      <c r="M4" s="1">
        <f>IF(ISNUMBER(Main_L[[#This Row],[EPS]]),IF(Main_L[[#This Row],[EPS]]&lt;&gt;0,Main_L[[#This Row],[Current Price]]/Main_L[[#This Row],[EPS]],""),"")</f>
        <v>2.050359712230216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1.7516965483811484</v>
      </c>
      <c r="P4" s="1">
        <f>(Main_L[[#This Row],[P/B]]-VLOOKUP(Main_L[[#This Row],[Industry]], Mean_PB_L, 2, FALSE))/(VLOOKUP(Main_L[[#This Row],[Industry]], Mean_PB_L, 3, FALSE))</f>
        <v>-3.0529033992578687</v>
      </c>
      <c r="Q4" s="1">
        <f>(Main_L[[#This Row],[ROE]]-VLOOKUP(Main_L[[#This Row],[Industry]], Mean_ROE_L, 2, FALSE))/(VLOOKUP(Main_L[[#This Row],[Industry]], Mean_ROE_L, 3, FALSE))</f>
        <v>2.278113270502574</v>
      </c>
      <c r="R4" s="1">
        <f>(Main_L[[#This Row],[ROA]]-VLOOKUP(Main_L[[#This Row],[Industry]], Mean_ROA_L, 2, FALSE))/(VLOOKUP(Main_L[[#This Row],[Industry]], Mean_ROA_L, 3, FALSE))</f>
        <v>-0.282900859243438</v>
      </c>
      <c r="S4" s="1">
        <f>(Main_L[[#This Row],[A/E]]-VLOOKUP(Main_L[[#This Row],[Industry]], Mean_AE_L, 2, FALSE))/(VLOOKUP(Main_L[[#This Row],[Industry]], Mean_AE_L, 3, FALSE))</f>
        <v>3.9280481303776136</v>
      </c>
      <c r="T4" s="1">
        <f>(Main_L[[#This Row],[P/E]]-VLOOKUP(Main_L[[#This Row],[Industry]], Mean_PE_L, 2, FALSE))/(VLOOKUP(Main_L[[#This Row],[Industry]], Mean_PE_L, 3, FALSE))</f>
        <v>-3.0391426000178927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" spans="1:26" x14ac:dyDescent="0.25">
      <c r="A5" s="68" t="s">
        <v>105</v>
      </c>
      <c r="B5" s="68" t="s">
        <v>110</v>
      </c>
      <c r="C5" s="2">
        <v>21412</v>
      </c>
      <c r="D5">
        <f>RTD("tos.rtd", , "LAST", Main_L[[#This Row],[Symbol]])</f>
        <v>49.42</v>
      </c>
      <c r="E5">
        <v>-1.89</v>
      </c>
      <c r="F5">
        <v>38.93</v>
      </c>
      <c r="G5">
        <v>7.04</v>
      </c>
      <c r="H5" s="1">
        <f>IF(ISNUMBER(Main_L[[#This Row],[Free CF]]),IF(Main_L[[#This Row],[Free CF]]&lt;&gt;0,Main_L[[#This Row],[Current Price]]/Main_L[[#This Row],[Free CF]],""),"")</f>
        <v>-26.148148148148149</v>
      </c>
      <c r="I5" s="1">
        <f>IF(ISNUMBER(Main_L[[#This Row],[BVPS]]),IF(Main_L[[#This Row],[BVPS]]&lt;&gt;0,Main_L[[#This Row],[Current Price]]/Main_L[[#This Row],[BVPS]],""),"")</f>
        <v>1.2694580015412278</v>
      </c>
      <c r="J5">
        <v>15</v>
      </c>
      <c r="K5">
        <v>2.8</v>
      </c>
      <c r="L5">
        <v>5.9</v>
      </c>
      <c r="M5" s="1">
        <f>IF(ISNUMBER(Main_L[[#This Row],[EPS]]),IF(Main_L[[#This Row],[EPS]]&lt;&gt;0,Main_L[[#This Row],[Current Price]]/Main_L[[#This Row],[EPS]],""),"")</f>
        <v>7.0198863636363642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-0.33016598923743012</v>
      </c>
      <c r="P5" s="1">
        <f>(Main_L[[#This Row],[P/B]]-VLOOKUP(Main_L[[#This Row],[Industry]], Mean_PB_L, 2, FALSE))/(VLOOKUP(Main_L[[#This Row],[Industry]], Mean_PB_L, 3, FALSE))</f>
        <v>-0.89614959859508314</v>
      </c>
      <c r="Q5" s="1">
        <f>(Main_L[[#This Row],[ROE]]-VLOOKUP(Main_L[[#This Row],[Industry]], Mean_ROE_L, 2, FALSE))/(VLOOKUP(Main_L[[#This Row],[Industry]], Mean_ROE_L, 3, FALSE))</f>
        <v>3.2016048113086493</v>
      </c>
      <c r="R5" s="1">
        <f>(Main_L[[#This Row],[ROA]]-VLOOKUP(Main_L[[#This Row],[Industry]], Mean_ROA_L, 2, FALSE))/(VLOOKUP(Main_L[[#This Row],[Industry]], Mean_ROA_L, 3, FALSE))</f>
        <v>-0.12500270524710275</v>
      </c>
      <c r="S5" s="1">
        <f>(Main_L[[#This Row],[A/E]]-VLOOKUP(Main_L[[#This Row],[Industry]], Mean_AE_L, 2, FALSE))/(VLOOKUP(Main_L[[#This Row],[Industry]], Mean_AE_L, 3, FALSE))</f>
        <v>3.8203725299211468</v>
      </c>
      <c r="T5" s="1">
        <f>(Main_L[[#This Row],[P/E]]-VLOOKUP(Main_L[[#This Row],[Industry]], Mean_PE_L, 2, FALSE))/(VLOOKUP(Main_L[[#This Row],[Industry]], Mean_PE_L, 3, FALSE))</f>
        <v>-2.2184674988402016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s="68" t="s">
        <v>105</v>
      </c>
      <c r="B6" s="68" t="s">
        <v>120</v>
      </c>
      <c r="C6" s="2">
        <v>37097</v>
      </c>
      <c r="D6">
        <f>RTD("tos.rtd", , "LAST", Main_L[[#This Row],[Symbol]])</f>
        <v>14.58</v>
      </c>
      <c r="E6">
        <v>-0.82</v>
      </c>
      <c r="F6">
        <v>13.24</v>
      </c>
      <c r="G6">
        <v>1.0900000000000001</v>
      </c>
      <c r="H6" s="1">
        <f>IF(ISNUMBER(Main_L[[#This Row],[Free CF]]),IF(Main_L[[#This Row],[Free CF]]&lt;&gt;0,Main_L[[#This Row],[Current Price]]/Main_L[[#This Row],[Free CF]],""),"")</f>
        <v>-17.780487804878049</v>
      </c>
      <c r="I6" s="1">
        <f>IF(ISNUMBER(Main_L[[#This Row],[BVPS]]),IF(Main_L[[#This Row],[BVPS]]&lt;&gt;0,Main_L[[#This Row],[Current Price]]/Main_L[[#This Row],[BVPS]],""),"")</f>
        <v>1.1012084592145015</v>
      </c>
      <c r="J6">
        <v>8.26</v>
      </c>
      <c r="K6">
        <v>2.4300000000000002</v>
      </c>
      <c r="L6">
        <v>4.6500000000000004</v>
      </c>
      <c r="M6" s="1">
        <f>IF(ISNUMBER(Main_L[[#This Row],[EPS]]),IF(Main_L[[#This Row],[EPS]]&lt;&gt;0,Main_L[[#This Row],[Current Price]]/Main_L[[#This Row],[EPS]],""),"")</f>
        <v>13.376146788990825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0.22329484330047697</v>
      </c>
      <c r="P6" s="1">
        <f>(Main_L[[#This Row],[P/B]]-VLOOKUP(Main_L[[#This Row],[Industry]], Mean_PB_L, 2, FALSE))/(VLOOKUP(Main_L[[#This Row],[Industry]], Mean_PB_L, 3, FALSE))</f>
        <v>-1.2545532439961058</v>
      </c>
      <c r="Q6" s="1">
        <f>(Main_L[[#This Row],[ROE]]-VLOOKUP(Main_L[[#This Row],[Industry]], Mean_ROE_L, 2, FALSE))/(VLOOKUP(Main_L[[#This Row],[Industry]], Mean_ROE_L, 3, FALSE))</f>
        <v>-0.39627552686068312</v>
      </c>
      <c r="R6" s="1">
        <f>(Main_L[[#This Row],[ROA]]-VLOOKUP(Main_L[[#This Row],[Industry]], Mean_ROA_L, 2, FALSE))/(VLOOKUP(Main_L[[#This Row],[Industry]], Mean_ROA_L, 3, FALSE))</f>
        <v>-2.0724132712019152</v>
      </c>
      <c r="S6" s="1">
        <f>(Main_L[[#This Row],[A/E]]-VLOOKUP(Main_L[[#This Row],[Industry]], Mean_AE_L, 2, FALSE))/(VLOOKUP(Main_L[[#This Row],[Industry]], Mean_AE_L, 3, FALSE))</f>
        <v>1.5771308537447348</v>
      </c>
      <c r="T6" s="1">
        <f>(Main_L[[#This Row],[P/E]]-VLOOKUP(Main_L[[#This Row],[Industry]], Mean_PE_L, 2, FALSE))/(VLOOKUP(Main_L[[#This Row],[Industry]], Mean_PE_L, 3, FALSE))</f>
        <v>-1.1687850977580947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s="68" t="s">
        <v>105</v>
      </c>
      <c r="B7" s="68" t="s">
        <v>112</v>
      </c>
      <c r="C7" s="2">
        <v>37171</v>
      </c>
      <c r="D7">
        <f>RTD("tos.rtd", , "LAST", Main_L[[#This Row],[Symbol]])</f>
        <v>82.81</v>
      </c>
      <c r="E7">
        <v>-4.2</v>
      </c>
      <c r="F7">
        <v>35.25</v>
      </c>
      <c r="G7">
        <v>3.09</v>
      </c>
      <c r="H7" s="1">
        <f>IF(ISNUMBER(Main_L[[#This Row],[Free CF]]),IF(Main_L[[#This Row],[Free CF]]&lt;&gt;0,Main_L[[#This Row],[Current Price]]/Main_L[[#This Row],[Free CF]],""),"")</f>
        <v>-19.716666666666665</v>
      </c>
      <c r="I7" s="1">
        <f>IF(ISNUMBER(Main_L[[#This Row],[BVPS]]),IF(Main_L[[#This Row],[BVPS]]&lt;&gt;0,Main_L[[#This Row],[Current Price]]/Main_L[[#This Row],[BVPS]],""),"")</f>
        <v>2.3492198581560286</v>
      </c>
      <c r="J7">
        <v>8.85</v>
      </c>
      <c r="K7">
        <v>3.07</v>
      </c>
      <c r="L7">
        <v>4.3899999999999997</v>
      </c>
      <c r="M7" s="1">
        <f>IF(ISNUMBER(Main_L[[#This Row],[EPS]]),IF(Main_L[[#This Row],[EPS]]&lt;&gt;0,Main_L[[#This Row],[Current Price]]/Main_L[[#This Row],[EPS]],""),"")</f>
        <v>26.799352750809064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9.5230471561286459E-2</v>
      </c>
      <c r="P7" s="1">
        <f>(Main_L[[#This Row],[P/B]]-VLOOKUP(Main_L[[#This Row],[Industry]], Mean_PB_L, 2, FALSE))/(VLOOKUP(Main_L[[#This Row],[Industry]], Mean_PB_L, 3, FALSE))</f>
        <v>1.4039492915654508</v>
      </c>
      <c r="Q7" s="1">
        <f>(Main_L[[#This Row],[ROE]]-VLOOKUP(Main_L[[#This Row],[Industry]], Mean_ROE_L, 2, FALSE))/(VLOOKUP(Main_L[[#This Row],[Industry]], Mean_ROE_L, 3, FALSE))</f>
        <v>-8.1327544736068055E-2</v>
      </c>
      <c r="R7" s="1">
        <f>(Main_L[[#This Row],[ROA]]-VLOOKUP(Main_L[[#This Row],[Industry]], Mean_ROA_L, 2, FALSE))/(VLOOKUP(Main_L[[#This Row],[Industry]], Mean_ROA_L, 3, FALSE))</f>
        <v>1.2960806807199239</v>
      </c>
      <c r="S7" s="1">
        <f>(Main_L[[#This Row],[A/E]]-VLOOKUP(Main_L[[#This Row],[Industry]], Mean_AE_L, 2, FALSE))/(VLOOKUP(Main_L[[#This Row],[Industry]], Mean_AE_L, 3, FALSE))</f>
        <v>1.1105365851000399</v>
      </c>
      <c r="T7" s="1">
        <f>(Main_L[[#This Row],[P/E]]-VLOOKUP(Main_L[[#This Row],[Industry]], Mean_PE_L, 2, FALSE))/(VLOOKUP(Main_L[[#This Row],[Industry]], Mean_PE_L, 3, FALSE))</f>
        <v>1.0479433119239667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s="68" t="s">
        <v>105</v>
      </c>
      <c r="B8" s="68" t="s">
        <v>123</v>
      </c>
      <c r="C8" s="2">
        <v>99017</v>
      </c>
      <c r="D8">
        <f>RTD("tos.rtd", , "LAST", Main_L[[#This Row],[Symbol]])</f>
        <v>88.5</v>
      </c>
      <c r="E8">
        <v>0</v>
      </c>
      <c r="F8">
        <v>30.79</v>
      </c>
      <c r="G8">
        <v>4.17</v>
      </c>
      <c r="H8" s="1" t="str">
        <f>IF(ISNUMBER(Main_L[[#This Row],[Free CF]]),IF(Main_L[[#This Row],[Free CF]]&lt;&gt;0,Main_L[[#This Row],[Current Price]]/Main_L[[#This Row],[Free CF]],""),"")</f>
        <v/>
      </c>
      <c r="I8" s="1">
        <f>IF(ISNUMBER(Main_L[[#This Row],[BVPS]]),IF(Main_L[[#This Row],[BVPS]]&lt;&gt;0,Main_L[[#This Row],[Current Price]]/Main_L[[#This Row],[BVPS]],""),"")</f>
        <v>2.8743098408574212</v>
      </c>
      <c r="J8">
        <v>12.24</v>
      </c>
      <c r="K8">
        <v>3.46</v>
      </c>
      <c r="L8">
        <v>4.38</v>
      </c>
      <c r="M8" s="1">
        <f>IF(ISNUMBER(Main_L[[#This Row],[EPS]]),IF(Main_L[[#This Row],[EPS]]&lt;&gt;0,Main_L[[#This Row],[Current Price]]/Main_L[[#This Row],[EPS]],""),"")</f>
        <v>21.223021582733814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 t="e">
        <f>(Main_L[[#This Row],[P/FCF]]-VLOOKUP(Main_L[[#This Row],[Industry]], Mean_PFCF_L, 2, FALSE))/(VLOOKUP(Main_L[[#This Row],[Industry]], Mean_PFCF_L, 3, FALSE))</f>
        <v>#VALUE!</v>
      </c>
      <c r="P8" s="1">
        <f>(Main_L[[#This Row],[P/B]]-VLOOKUP(Main_L[[#This Row],[Industry]], Mean_PB_L, 2, FALSE))/(VLOOKUP(Main_L[[#This Row],[Industry]], Mean_PB_L, 3, FALSE))</f>
        <v>2.5224911987896736</v>
      </c>
      <c r="Q8" s="1">
        <f>(Main_L[[#This Row],[ROE]]-VLOOKUP(Main_L[[#This Row],[Industry]], Mean_ROE_L, 2, FALSE))/(VLOOKUP(Main_L[[#This Row],[Industry]], Mean_ROE_L, 3, FALSE))</f>
        <v>1.7282888271324834</v>
      </c>
      <c r="R8" s="1">
        <f>(Main_L[[#This Row],[ROA]]-VLOOKUP(Main_L[[#This Row],[Industry]], Mean_ROA_L, 2, FALSE))/(VLOOKUP(Main_L[[#This Row],[Industry]], Mean_ROA_L, 3, FALSE))</f>
        <v>3.3487566826722963</v>
      </c>
      <c r="S8" s="1">
        <f>(Main_L[[#This Row],[A/E]]-VLOOKUP(Main_L[[#This Row],[Industry]], Mean_AE_L, 2, FALSE))/(VLOOKUP(Main_L[[#This Row],[Industry]], Mean_AE_L, 3, FALSE))</f>
        <v>1.092590651690629</v>
      </c>
      <c r="T8" s="1">
        <f>(Main_L[[#This Row],[P/E]]-VLOOKUP(Main_L[[#This Row],[Industry]], Mean_PE_L, 2, FALSE))/(VLOOKUP(Main_L[[#This Row],[Industry]], Mean_PE_L, 3, FALSE))</f>
        <v>0.12705960074282854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s="68" t="s">
        <v>105</v>
      </c>
      <c r="B9" s="68" t="s">
        <v>115</v>
      </c>
      <c r="C9" s="2">
        <v>24206</v>
      </c>
      <c r="D9">
        <f>RTD("tos.rtd", , "LAST", Main_L[[#This Row],[Symbol]])</f>
        <v>39.82</v>
      </c>
      <c r="E9">
        <v>-1.18</v>
      </c>
      <c r="F9">
        <v>21.77</v>
      </c>
      <c r="G9">
        <v>1.88</v>
      </c>
      <c r="H9" s="1">
        <f>IF(ISNUMBER(Main_L[[#This Row],[Free CF]]),IF(Main_L[[#This Row],[Free CF]]&lt;&gt;0,Main_L[[#This Row],[Current Price]]/Main_L[[#This Row],[Free CF]],""),"")</f>
        <v>-33.745762711864408</v>
      </c>
      <c r="I9" s="1">
        <f>IF(ISNUMBER(Main_L[[#This Row],[BVPS]]),IF(Main_L[[#This Row],[BVPS]]&lt;&gt;0,Main_L[[#This Row],[Current Price]]/Main_L[[#This Row],[BVPS]],""),"")</f>
        <v>1.8291226458429031</v>
      </c>
      <c r="J9">
        <v>9.27</v>
      </c>
      <c r="K9">
        <v>2.96</v>
      </c>
      <c r="L9">
        <v>4.2</v>
      </c>
      <c r="M9" s="1">
        <f>IF(ISNUMBER(Main_L[[#This Row],[EPS]]),IF(Main_L[[#This Row],[EPS]]&lt;&gt;0,Main_L[[#This Row],[Current Price]]/Main_L[[#This Row],[EPS]],""),"")</f>
        <v>21.180851063829788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-0.83269380576364593</v>
      </c>
      <c r="P9" s="1">
        <f>(Main_L[[#This Row],[P/B]]-VLOOKUP(Main_L[[#This Row],[Industry]], Mean_PB_L, 2, FALSE))/(VLOOKUP(Main_L[[#This Row],[Industry]], Mean_PB_L, 3, FALSE))</f>
        <v>0.29604293842987017</v>
      </c>
      <c r="Q9" s="1">
        <f>(Main_L[[#This Row],[ROE]]-VLOOKUP(Main_L[[#This Row],[Industry]], Mean_ROE_L, 2, FALSE))/(VLOOKUP(Main_L[[#This Row],[Industry]], Mean_ROE_L, 3, FALSE))</f>
        <v>0.14287271372552232</v>
      </c>
      <c r="R9" s="1">
        <f>(Main_L[[#This Row],[ROA]]-VLOOKUP(Main_L[[#This Row],[Industry]], Mean_ROA_L, 2, FALSE))/(VLOOKUP(Main_L[[#This Row],[Industry]], Mean_ROA_L, 3, FALSE))</f>
        <v>0.71712078273335822</v>
      </c>
      <c r="S9" s="1">
        <f>(Main_L[[#This Row],[A/E]]-VLOOKUP(Main_L[[#This Row],[Industry]], Mean_AE_L, 2, FALSE))/(VLOOKUP(Main_L[[#This Row],[Industry]], Mean_AE_L, 3, FALSE))</f>
        <v>0.76956385032122621</v>
      </c>
      <c r="T9" s="1">
        <f>(Main_L[[#This Row],[P/E]]-VLOOKUP(Main_L[[#This Row],[Industry]], Mean_PE_L, 2, FALSE))/(VLOOKUP(Main_L[[#This Row],[Industry]], Mean_PE_L, 3, FALSE))</f>
        <v>0.1200954978622283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s="68" t="s">
        <v>105</v>
      </c>
      <c r="B10" s="68" t="s">
        <v>121</v>
      </c>
      <c r="C10" s="2">
        <v>10893</v>
      </c>
      <c r="D10">
        <f>RTD("tos.rtd", , "LAST", Main_L[[#This Row],[Symbol]])</f>
        <v>89.41</v>
      </c>
      <c r="E10">
        <v>-6.37</v>
      </c>
      <c r="F10">
        <v>56.44</v>
      </c>
      <c r="G10">
        <v>4.99</v>
      </c>
      <c r="H10" s="1">
        <f>IF(ISNUMBER(Main_L[[#This Row],[Free CF]]),IF(Main_L[[#This Row],[Free CF]]&lt;&gt;0,Main_L[[#This Row],[Current Price]]/Main_L[[#This Row],[Free CF]],""),"")</f>
        <v>-14.036106750392463</v>
      </c>
      <c r="I10" s="1">
        <f>IF(ISNUMBER(Main_L[[#This Row],[BVPS]]),IF(Main_L[[#This Row],[BVPS]]&lt;&gt;0,Main_L[[#This Row],[Current Price]]/Main_L[[#This Row],[BVPS]],""),"")</f>
        <v>1.5841601700921333</v>
      </c>
      <c r="J10">
        <v>9.19</v>
      </c>
      <c r="K10">
        <v>2.5</v>
      </c>
      <c r="L10">
        <v>4.04</v>
      </c>
      <c r="M10" s="1">
        <f>IF(ISNUMBER(Main_L[[#This Row],[EPS]]),IF(Main_L[[#This Row],[EPS]]&lt;&gt;0,Main_L[[#This Row],[Current Price]]/Main_L[[#This Row],[EPS]],""),"")</f>
        <v>17.917835671342683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0.47095884622831008</v>
      </c>
      <c r="P10" s="1">
        <f>(Main_L[[#This Row],[P/B]]-VLOOKUP(Main_L[[#This Row],[Industry]], Mean_PB_L, 2, FALSE))/(VLOOKUP(Main_L[[#This Row],[Industry]], Mean_PB_L, 3, FALSE))</f>
        <v>-0.22577390030508593</v>
      </c>
      <c r="Q10" s="1">
        <f>(Main_L[[#This Row],[ROE]]-VLOOKUP(Main_L[[#This Row],[Industry]], Mean_ROE_L, 2, FALSE))/(VLOOKUP(Main_L[[#This Row],[Industry]], Mean_ROE_L, 3, FALSE))</f>
        <v>0.10016790258998126</v>
      </c>
      <c r="R10" s="1">
        <f>(Main_L[[#This Row],[ROA]]-VLOOKUP(Main_L[[#This Row],[Industry]], Mean_ROA_L, 2, FALSE))/(VLOOKUP(Main_L[[#This Row],[Industry]], Mean_ROA_L, 3, FALSE))</f>
        <v>-1.7039842452104648</v>
      </c>
      <c r="S10" s="1">
        <f>(Main_L[[#This Row],[A/E]]-VLOOKUP(Main_L[[#This Row],[Industry]], Mean_AE_L, 2, FALSE))/(VLOOKUP(Main_L[[#This Row],[Industry]], Mean_AE_L, 3, FALSE))</f>
        <v>0.48242891577064517</v>
      </c>
      <c r="T10" s="1">
        <f>(Main_L[[#This Row],[P/E]]-VLOOKUP(Main_L[[#This Row],[Industry]], Mean_PE_L, 2, FALSE))/(VLOOKUP(Main_L[[#This Row],[Industry]], Mean_PE_L, 3, FALSE))</f>
        <v>-0.41876376886813582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s="68" t="s">
        <v>105</v>
      </c>
      <c r="B11" s="68" t="s">
        <v>107</v>
      </c>
      <c r="C11" s="2">
        <v>95953</v>
      </c>
      <c r="D11">
        <f>RTD("tos.rtd", , "LAST", Main_L[[#This Row],[Symbol]])</f>
        <v>299.66000000000003</v>
      </c>
      <c r="E11">
        <v>-13.66</v>
      </c>
      <c r="F11">
        <v>41.34</v>
      </c>
      <c r="G11">
        <v>9.49</v>
      </c>
      <c r="H11" s="1">
        <f>IF(ISNUMBER(Main_L[[#This Row],[Free CF]]),IF(Main_L[[#This Row],[Free CF]]&lt;&gt;0,Main_L[[#This Row],[Current Price]]/Main_L[[#This Row],[Free CF]],""),"")</f>
        <v>-21.937042459736457</v>
      </c>
      <c r="I11" s="1">
        <f>IF(ISNUMBER(Main_L[[#This Row],[BVPS]]),IF(Main_L[[#This Row],[BVPS]]&lt;&gt;0,Main_L[[#This Row],[Current Price]]/Main_L[[#This Row],[BVPS]],""),"")</f>
        <v>7.248669569424286</v>
      </c>
      <c r="J11">
        <v>23.97</v>
      </c>
      <c r="K11">
        <v>4.68</v>
      </c>
      <c r="L11">
        <v>4.03</v>
      </c>
      <c r="M11" s="1">
        <f>IF(ISNUMBER(Main_L[[#This Row],[EPS]]),IF(Main_L[[#This Row],[EPS]]&lt;&gt;0,Main_L[[#This Row],[Current Price]]/Main_L[[#This Row],[EPS]],""),"")</f>
        <v>31.576396206533193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-5.1631492783118259E-2</v>
      </c>
      <c r="P11" s="1">
        <f>(Main_L[[#This Row],[P/B]]-VLOOKUP(Main_L[[#This Row],[Industry]], Mean_PB_L, 2, FALSE))/(VLOOKUP(Main_L[[#This Row],[Industry]], Mean_PB_L, 3, FALSE))</f>
        <v>11.840712522502306</v>
      </c>
      <c r="Q11" s="1">
        <f>(Main_L[[#This Row],[ROE]]-VLOOKUP(Main_L[[#This Row],[Industry]], Mean_ROE_L, 2, FALSE))/(VLOOKUP(Main_L[[#This Row],[Industry]], Mean_ROE_L, 3, FALSE))</f>
        <v>7.9898817598811869</v>
      </c>
      <c r="R11" s="1">
        <f>(Main_L[[#This Row],[ROA]]-VLOOKUP(Main_L[[#This Row],[Industry]], Mean_ROA_L, 2, FALSE))/(VLOOKUP(Main_L[[#This Row],[Industry]], Mean_ROA_L, 3, FALSE))</f>
        <v>9.7699482785233052</v>
      </c>
      <c r="S11" s="1">
        <f>(Main_L[[#This Row],[A/E]]-VLOOKUP(Main_L[[#This Row],[Industry]], Mean_AE_L, 2, FALSE))/(VLOOKUP(Main_L[[#This Row],[Industry]], Mean_AE_L, 3, FALSE))</f>
        <v>0.46448298236123425</v>
      </c>
      <c r="T11" s="1">
        <f>(Main_L[[#This Row],[P/E]]-VLOOKUP(Main_L[[#This Row],[Industry]], Mean_PE_L, 2, FALSE))/(VLOOKUP(Main_L[[#This Row],[Industry]], Mean_PE_L, 3, FALSE))</f>
        <v>1.8368314488348201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s="68" t="s">
        <v>105</v>
      </c>
      <c r="B12" s="68" t="s">
        <v>114</v>
      </c>
      <c r="C12" s="2">
        <v>44238</v>
      </c>
      <c r="D12">
        <f>RTD("tos.rtd", , "LAST", Main_L[[#This Row],[Symbol]])</f>
        <v>42.2</v>
      </c>
      <c r="E12">
        <v>-1.49</v>
      </c>
      <c r="F12">
        <v>27.35</v>
      </c>
      <c r="G12">
        <v>2.69</v>
      </c>
      <c r="H12" s="1">
        <f>IF(ISNUMBER(Main_L[[#This Row],[Free CF]]),IF(Main_L[[#This Row],[Free CF]]&lt;&gt;0,Main_L[[#This Row],[Current Price]]/Main_L[[#This Row],[Free CF]],""),"")</f>
        <v>-28.322147651006713</v>
      </c>
      <c r="I12" s="1">
        <f>IF(ISNUMBER(Main_L[[#This Row],[BVPS]]),IF(Main_L[[#This Row],[BVPS]]&lt;&gt;0,Main_L[[#This Row],[Current Price]]/Main_L[[#This Row],[BVPS]],""),"")</f>
        <v>1.5429616087751372</v>
      </c>
      <c r="J12">
        <v>10.1</v>
      </c>
      <c r="K12">
        <v>2.76</v>
      </c>
      <c r="L12">
        <v>3.97</v>
      </c>
      <c r="M12" s="1">
        <f>IF(ISNUMBER(Main_L[[#This Row],[EPS]]),IF(Main_L[[#This Row],[EPS]]&lt;&gt;0,Main_L[[#This Row],[Current Price]]/Main_L[[#This Row],[EPS]],""),"")</f>
        <v>15.687732342007436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-0.47396049396500545</v>
      </c>
      <c r="P12" s="1">
        <f>(Main_L[[#This Row],[P/B]]-VLOOKUP(Main_L[[#This Row],[Industry]], Mean_PB_L, 2, FALSE))/(VLOOKUP(Main_L[[#This Row],[Industry]], Mean_PB_L, 3, FALSE))</f>
        <v>-0.31353470106028314</v>
      </c>
      <c r="Q12" s="1">
        <f>(Main_L[[#This Row],[ROE]]-VLOOKUP(Main_L[[#This Row],[Industry]], Mean_ROE_L, 2, FALSE))/(VLOOKUP(Main_L[[#This Row],[Industry]], Mean_ROE_L, 3, FALSE))</f>
        <v>0.58593512925676061</v>
      </c>
      <c r="R12" s="1">
        <f>(Main_L[[#This Row],[ROA]]-VLOOKUP(Main_L[[#This Row],[Industry]], Mean_ROA_L, 2, FALSE))/(VLOOKUP(Main_L[[#This Row],[Industry]], Mean_ROA_L, 3, FALSE))</f>
        <v>-0.335533577242218</v>
      </c>
      <c r="S12" s="1">
        <f>(Main_L[[#This Row],[A/E]]-VLOOKUP(Main_L[[#This Row],[Industry]], Mean_AE_L, 2, FALSE))/(VLOOKUP(Main_L[[#This Row],[Industry]], Mean_AE_L, 3, FALSE))</f>
        <v>0.35680738190476641</v>
      </c>
      <c r="T12" s="1">
        <f>(Main_L[[#This Row],[P/E]]-VLOOKUP(Main_L[[#This Row],[Industry]], Mean_PE_L, 2, FALSE))/(VLOOKUP(Main_L[[#This Row],[Industry]], Mean_PE_L, 3, FALSE))</f>
        <v>-0.7870463848635747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s="68" t="s">
        <v>105</v>
      </c>
      <c r="B13" s="68" t="s">
        <v>111</v>
      </c>
      <c r="C13" s="2">
        <v>23810</v>
      </c>
      <c r="D13">
        <f>RTD("tos.rtd", , "LAST", Main_L[[#This Row],[Symbol]])</f>
        <v>65.64</v>
      </c>
      <c r="E13">
        <v>-3.95</v>
      </c>
      <c r="F13">
        <v>41.77</v>
      </c>
      <c r="G13">
        <v>2.3199999999999998</v>
      </c>
      <c r="H13" s="1">
        <f>IF(ISNUMBER(Main_L[[#This Row],[Free CF]]),IF(Main_L[[#This Row],[Free CF]]&lt;&gt;0,Main_L[[#This Row],[Current Price]]/Main_L[[#This Row],[Free CF]],""),"")</f>
        <v>-16.617721518987342</v>
      </c>
      <c r="I13" s="1">
        <f>IF(ISNUMBER(Main_L[[#This Row],[BVPS]]),IF(Main_L[[#This Row],[BVPS]]&lt;&gt;0,Main_L[[#This Row],[Current Price]]/Main_L[[#This Row],[BVPS]],""),"")</f>
        <v>1.5714627723246348</v>
      </c>
      <c r="J13">
        <v>5.62</v>
      </c>
      <c r="K13">
        <v>3.09</v>
      </c>
      <c r="L13">
        <v>3.92</v>
      </c>
      <c r="M13" s="1">
        <f>IF(ISNUMBER(Main_L[[#This Row],[EPS]]),IF(Main_L[[#This Row],[EPS]]&lt;&gt;0,Main_L[[#This Row],[Current Price]]/Main_L[[#This Row],[EPS]],""),"")</f>
        <v>28.293103448275865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0.30020350955073521</v>
      </c>
      <c r="P13" s="1">
        <f>(Main_L[[#This Row],[P/B]]-VLOOKUP(Main_L[[#This Row],[Industry]], Mean_PB_L, 2, FALSE))/(VLOOKUP(Main_L[[#This Row],[Industry]], Mean_PB_L, 3, FALSE))</f>
        <v>-0.25282178158930957</v>
      </c>
      <c r="Q13" s="1">
        <f>(Main_L[[#This Row],[ROE]]-VLOOKUP(Main_L[[#This Row],[Industry]], Mean_ROE_L, 2, FALSE))/(VLOOKUP(Main_L[[#This Row],[Industry]], Mean_ROE_L, 3, FALSE))</f>
        <v>-1.8055342943335371</v>
      </c>
      <c r="R13" s="1">
        <f>(Main_L[[#This Row],[ROA]]-VLOOKUP(Main_L[[#This Row],[Industry]], Mean_ROA_L, 2, FALSE))/(VLOOKUP(Main_L[[#This Row],[Industry]], Mean_ROA_L, 3, FALSE))</f>
        <v>1.4013461167174817</v>
      </c>
      <c r="S13" s="1">
        <f>(Main_L[[#This Row],[A/E]]-VLOOKUP(Main_L[[#This Row],[Industry]], Mean_AE_L, 2, FALSE))/(VLOOKUP(Main_L[[#This Row],[Industry]], Mean_AE_L, 3, FALSE))</f>
        <v>0.26707771485770943</v>
      </c>
      <c r="T13" s="1">
        <f>(Main_L[[#This Row],[P/E]]-VLOOKUP(Main_L[[#This Row],[Industry]], Mean_PE_L, 2, FALSE))/(VLOOKUP(Main_L[[#This Row],[Industry]], Mean_PE_L, 3, FALSE))</f>
        <v>1.2946235474411554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s="68" t="s">
        <v>105</v>
      </c>
      <c r="B14" s="68" t="s">
        <v>118</v>
      </c>
      <c r="C14" s="2">
        <v>145422</v>
      </c>
      <c r="D14">
        <f>RTD("tos.rtd", , "LAST", Main_L[[#This Row],[Symbol]])</f>
        <v>71.900000000000006</v>
      </c>
      <c r="E14">
        <v>-4.87</v>
      </c>
      <c r="F14">
        <v>24.2</v>
      </c>
      <c r="G14">
        <v>2.67</v>
      </c>
      <c r="H14" s="1">
        <f>IF(ISNUMBER(Main_L[[#This Row],[Free CF]]),IF(Main_L[[#This Row],[Free CF]]&lt;&gt;0,Main_L[[#This Row],[Current Price]]/Main_L[[#This Row],[Free CF]],""),"")</f>
        <v>-14.763860369609857</v>
      </c>
      <c r="I14" s="1">
        <f>IF(ISNUMBER(Main_L[[#This Row],[BVPS]]),IF(Main_L[[#This Row],[BVPS]]&lt;&gt;0,Main_L[[#This Row],[Current Price]]/Main_L[[#This Row],[BVPS]],""),"")</f>
        <v>2.9710743801652897</v>
      </c>
      <c r="J14">
        <v>7.06</v>
      </c>
      <c r="K14">
        <v>2.5499999999999998</v>
      </c>
      <c r="L14">
        <v>3.9</v>
      </c>
      <c r="M14" s="1">
        <f>IF(ISNUMBER(Main_L[[#This Row],[EPS]]),IF(Main_L[[#This Row],[EPS]]&lt;&gt;0,Main_L[[#This Row],[Current Price]]/Main_L[[#This Row],[EPS]],""),"")</f>
        <v>26.928838951310865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0.42282315387812019</v>
      </c>
      <c r="P14" s="1">
        <f>(Main_L[[#This Row],[P/B]]-VLOOKUP(Main_L[[#This Row],[Industry]], Mean_PB_L, 2, FALSE))/(VLOOKUP(Main_L[[#This Row],[Industry]], Mean_PB_L, 3, FALSE))</f>
        <v>2.7286181406754557</v>
      </c>
      <c r="Q14" s="1">
        <f>(Main_L[[#This Row],[ROE]]-VLOOKUP(Main_L[[#This Row],[Industry]], Mean_ROE_L, 2, FALSE))/(VLOOKUP(Main_L[[#This Row],[Industry]], Mean_ROE_L, 3, FALSE))</f>
        <v>-1.0368476938937987</v>
      </c>
      <c r="R14" s="1">
        <f>(Main_L[[#This Row],[ROA]]-VLOOKUP(Main_L[[#This Row],[Industry]], Mean_ROA_L, 2, FALSE))/(VLOOKUP(Main_L[[#This Row],[Industry]], Mean_ROA_L, 3, FALSE))</f>
        <v>-1.4408206552165719</v>
      </c>
      <c r="S14" s="1">
        <f>(Main_L[[#This Row],[A/E]]-VLOOKUP(Main_L[[#This Row],[Industry]], Mean_AE_L, 2, FALSE))/(VLOOKUP(Main_L[[#This Row],[Industry]], Mean_AE_L, 3, FALSE))</f>
        <v>0.23118584803888681</v>
      </c>
      <c r="T14" s="1">
        <f>(Main_L[[#This Row],[P/E]]-VLOOKUP(Main_L[[#This Row],[Industry]], Mean_PE_L, 2, FALSE))/(VLOOKUP(Main_L[[#This Row],[Industry]], Mean_PE_L, 3, FALSE))</f>
        <v>1.0693268577125505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s="68" t="s">
        <v>105</v>
      </c>
      <c r="B15" s="68" t="s">
        <v>106</v>
      </c>
      <c r="C15" s="2">
        <v>55284</v>
      </c>
      <c r="D15">
        <f>RTD("tos.rtd", , "LAST", Main_L[[#This Row],[Symbol]])</f>
        <v>101.41</v>
      </c>
      <c r="E15">
        <v>-3.19</v>
      </c>
      <c r="F15">
        <v>51.16</v>
      </c>
      <c r="G15">
        <v>5.19</v>
      </c>
      <c r="H15" s="1">
        <f>IF(ISNUMBER(Main_L[[#This Row],[Free CF]]),IF(Main_L[[#This Row],[Free CF]]&lt;&gt;0,Main_L[[#This Row],[Current Price]]/Main_L[[#This Row],[Free CF]],""),"")</f>
        <v>-31.789968652037619</v>
      </c>
      <c r="I15" s="1">
        <f>IF(ISNUMBER(Main_L[[#This Row],[BVPS]]),IF(Main_L[[#This Row],[BVPS]]&lt;&gt;0,Main_L[[#This Row],[Current Price]]/Main_L[[#This Row],[BVPS]],""),"")</f>
        <v>1.9822126661454262</v>
      </c>
      <c r="J15">
        <v>10.42</v>
      </c>
      <c r="K15">
        <v>2.89</v>
      </c>
      <c r="L15">
        <v>3.82</v>
      </c>
      <c r="M15" s="1">
        <f>IF(ISNUMBER(Main_L[[#This Row],[EPS]]),IF(Main_L[[#This Row],[EPS]]&lt;&gt;0,Main_L[[#This Row],[Current Price]]/Main_L[[#This Row],[EPS]],""),"")</f>
        <v>19.539499036608863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-0.70333202908792081</v>
      </c>
      <c r="P15" s="1">
        <f>(Main_L[[#This Row],[P/B]]-VLOOKUP(Main_L[[#This Row],[Industry]], Mean_PB_L, 2, FALSE))/(VLOOKUP(Main_L[[#This Row],[Industry]], Mean_PB_L, 3, FALSE))</f>
        <v>0.62215390783977109</v>
      </c>
      <c r="Q15" s="1">
        <f>(Main_L[[#This Row],[ROE]]-VLOOKUP(Main_L[[#This Row],[Industry]], Mean_ROE_L, 2, FALSE))/(VLOOKUP(Main_L[[#This Row],[Industry]], Mean_ROE_L, 3, FALSE))</f>
        <v>0.75675437379892485</v>
      </c>
      <c r="R15" s="1">
        <f>(Main_L[[#This Row],[ROA]]-VLOOKUP(Main_L[[#This Row],[Industry]], Mean_ROA_L, 2, FALSE))/(VLOOKUP(Main_L[[#This Row],[Industry]], Mean_ROA_L, 3, FALSE))</f>
        <v>0.34869175674190772</v>
      </c>
      <c r="S15" s="1">
        <f>(Main_L[[#This Row],[A/E]]-VLOOKUP(Main_L[[#This Row],[Industry]], Mean_AE_L, 2, FALSE))/(VLOOKUP(Main_L[[#This Row],[Industry]], Mean_AE_L, 3, FALSE))</f>
        <v>8.7618380763596335E-2</v>
      </c>
      <c r="T15" s="1">
        <f>(Main_L[[#This Row],[P/E]]-VLOOKUP(Main_L[[#This Row],[Industry]], Mean_PE_L, 2, FALSE))/(VLOOKUP(Main_L[[#This Row],[Industry]], Mean_PE_L, 3, FALSE))</f>
        <v>-0.15095984311810381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s="68" t="s">
        <v>105</v>
      </c>
      <c r="B16" s="68" t="s">
        <v>108</v>
      </c>
      <c r="C16" s="2">
        <v>91499</v>
      </c>
      <c r="D16">
        <f>RTD("tos.rtd", , "LAST", Main_L[[#This Row],[Symbol]])</f>
        <v>115.47</v>
      </c>
      <c r="E16">
        <v>-0.24</v>
      </c>
      <c r="F16">
        <v>63.96</v>
      </c>
      <c r="G16">
        <v>6</v>
      </c>
      <c r="H16" s="1">
        <f>IF(ISNUMBER(Main_L[[#This Row],[Free CF]]),IF(Main_L[[#This Row],[Free CF]]&lt;&gt;0,Main_L[[#This Row],[Current Price]]/Main_L[[#This Row],[Free CF]],""),"")</f>
        <v>-481.125</v>
      </c>
      <c r="I16" s="1">
        <f>IF(ISNUMBER(Main_L[[#This Row],[BVPS]]),IF(Main_L[[#This Row],[BVPS]]&lt;&gt;0,Main_L[[#This Row],[Current Price]]/Main_L[[#This Row],[BVPS]],""),"")</f>
        <v>1.8053470919324577</v>
      </c>
      <c r="J16">
        <v>9.48</v>
      </c>
      <c r="K16">
        <v>2.84</v>
      </c>
      <c r="L16">
        <v>3.77</v>
      </c>
      <c r="M16" s="1">
        <f>IF(ISNUMBER(Main_L[[#This Row],[EPS]]),IF(Main_L[[#This Row],[EPS]]&lt;&gt;0,Main_L[[#This Row],[Current Price]]/Main_L[[#This Row],[EPS]],""),"")</f>
        <v>19.245000000000001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-30.423627826981349</v>
      </c>
      <c r="P16" s="1">
        <f>(Main_L[[#This Row],[P/B]]-VLOOKUP(Main_L[[#This Row],[Industry]], Mean_PB_L, 2, FALSE))/(VLOOKUP(Main_L[[#This Row],[Industry]], Mean_PB_L, 3, FALSE))</f>
        <v>0.24539646964848924</v>
      </c>
      <c r="Q16" s="1">
        <f>(Main_L[[#This Row],[ROE]]-VLOOKUP(Main_L[[#This Row],[Industry]], Mean_ROE_L, 2, FALSE))/(VLOOKUP(Main_L[[#This Row],[Industry]], Mean_ROE_L, 3, FALSE))</f>
        <v>0.254972842956318</v>
      </c>
      <c r="R16" s="1">
        <f>(Main_L[[#This Row],[ROA]]-VLOOKUP(Main_L[[#This Row],[Industry]], Mean_ROA_L, 2, FALSE))/(VLOOKUP(Main_L[[#This Row],[Industry]], Mean_ROA_L, 3, FALSE))</f>
        <v>8.5528166748012502E-2</v>
      </c>
      <c r="S16" s="1">
        <f>(Main_L[[#This Row],[A/E]]-VLOOKUP(Main_L[[#This Row],[Industry]], Mean_AE_L, 2, FALSE))/(VLOOKUP(Main_L[[#This Row],[Industry]], Mean_AE_L, 3, FALSE))</f>
        <v>-2.1112862834598259E-3</v>
      </c>
      <c r="T16" s="1">
        <f>(Main_L[[#This Row],[P/E]]-VLOOKUP(Main_L[[#This Row],[Industry]], Mean_PE_L, 2, FALSE))/(VLOOKUP(Main_L[[#This Row],[Industry]], Mean_PE_L, 3, FALSE))</f>
        <v>-0.19959385670113264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s="68" t="s">
        <v>105</v>
      </c>
      <c r="B17" s="68" t="s">
        <v>124</v>
      </c>
      <c r="C17" s="2">
        <v>40431</v>
      </c>
      <c r="D17">
        <f>RTD("tos.rtd", , "LAST", Main_L[[#This Row],[Symbol]])</f>
        <v>68.38</v>
      </c>
      <c r="E17">
        <v>-5.63</v>
      </c>
      <c r="F17">
        <v>34.35</v>
      </c>
      <c r="G17">
        <v>3.4</v>
      </c>
      <c r="H17" s="1">
        <f>IF(ISNUMBER(Main_L[[#This Row],[Free CF]]),IF(Main_L[[#This Row],[Free CF]]&lt;&gt;0,Main_L[[#This Row],[Current Price]]/Main_L[[#This Row],[Free CF]],""),"")</f>
        <v>-12.145648312611012</v>
      </c>
      <c r="I17" s="1">
        <f>IF(ISNUMBER(Main_L[[#This Row],[BVPS]]),IF(Main_L[[#This Row],[BVPS]]&lt;&gt;0,Main_L[[#This Row],[Current Price]]/Main_L[[#This Row],[BVPS]],""),"")</f>
        <v>1.9906841339155747</v>
      </c>
      <c r="J17">
        <v>10.26</v>
      </c>
      <c r="K17">
        <v>2.17</v>
      </c>
      <c r="L17">
        <v>3.67</v>
      </c>
      <c r="M17" s="1">
        <f>IF(ISNUMBER(Main_L[[#This Row],[EPS]]),IF(Main_L[[#This Row],[EPS]]&lt;&gt;0,Main_L[[#This Row],[Current Price]]/Main_L[[#This Row],[EPS]],""),"")</f>
        <v>20.111764705882351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0.59599913920510872</v>
      </c>
      <c r="P17" s="1">
        <f>(Main_L[[#This Row],[P/B]]-VLOOKUP(Main_L[[#This Row],[Industry]], Mean_PB_L, 2, FALSE))/(VLOOKUP(Main_L[[#This Row],[Industry]], Mean_PB_L, 3, FALSE))</f>
        <v>0.64019975146425145</v>
      </c>
      <c r="Q17" s="1">
        <f>(Main_L[[#This Row],[ROE]]-VLOOKUP(Main_L[[#This Row],[Industry]], Mean_ROE_L, 2, FALSE))/(VLOOKUP(Main_L[[#This Row],[Industry]], Mean_ROE_L, 3, FALSE))</f>
        <v>0.67134475152784279</v>
      </c>
      <c r="R17" s="1">
        <f>(Main_L[[#This Row],[ROA]]-VLOOKUP(Main_L[[#This Row],[Industry]], Mean_ROA_L, 2, FALSE))/(VLOOKUP(Main_L[[#This Row],[Industry]], Mean_ROA_L, 3, FALSE))</f>
        <v>-3.4408639391701645</v>
      </c>
      <c r="S17" s="1">
        <f>(Main_L[[#This Row],[A/E]]-VLOOKUP(Main_L[[#This Row],[Industry]], Mean_AE_L, 2, FALSE))/(VLOOKUP(Main_L[[#This Row],[Industry]], Mean_AE_L, 3, FALSE))</f>
        <v>-0.18157062037757293</v>
      </c>
      <c r="T17" s="1">
        <f>(Main_L[[#This Row],[P/E]]-VLOOKUP(Main_L[[#This Row],[Industry]], Mean_PE_L, 2, FALSE))/(VLOOKUP(Main_L[[#This Row],[Industry]], Mean_PE_L, 3, FALSE))</f>
        <v>-5.6455030290779279E-2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s="68" t="s">
        <v>105</v>
      </c>
      <c r="B18" s="68" t="s">
        <v>204</v>
      </c>
      <c r="C18" s="2">
        <v>13662</v>
      </c>
      <c r="D18">
        <f>RTD("tos.rtd", , "LAST", Main_L[[#This Row],[Symbol]])</f>
        <v>44.09</v>
      </c>
      <c r="E18">
        <v>-1.36</v>
      </c>
      <c r="F18">
        <v>28.73</v>
      </c>
      <c r="G18">
        <v>2.0699999999999998</v>
      </c>
      <c r="H18" s="1">
        <f>IF(ISNUMBER(Main_L[[#This Row],[Free CF]]),IF(Main_L[[#This Row],[Free CF]]&lt;&gt;0,Main_L[[#This Row],[Current Price]]/Main_L[[#This Row],[Free CF]],""),"")</f>
        <v>-32.419117647058826</v>
      </c>
      <c r="I18" s="1">
        <f>IF(ISNUMBER(Main_L[[#This Row],[BVPS]]),IF(Main_L[[#This Row],[BVPS]]&lt;&gt;0,Main_L[[#This Row],[Current Price]]/Main_L[[#This Row],[BVPS]],""),"")</f>
        <v>1.5346327880264532</v>
      </c>
      <c r="J18">
        <v>7.21</v>
      </c>
      <c r="K18">
        <v>2.73</v>
      </c>
      <c r="L18">
        <v>3.54</v>
      </c>
      <c r="M18" s="1">
        <f>IF(ISNUMBER(Main_L[[#This Row],[EPS]]),IF(Main_L[[#This Row],[EPS]]&lt;&gt;0,Main_L[[#This Row],[Current Price]]/Main_L[[#This Row],[EPS]],""),"")</f>
        <v>21.299516908212563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-0.7449457314001664</v>
      </c>
      <c r="P18" s="1">
        <f>(Main_L[[#This Row],[P/B]]-VLOOKUP(Main_L[[#This Row],[Industry]], Mean_PB_L, 2, FALSE))/(VLOOKUP(Main_L[[#This Row],[Industry]], Mean_PB_L, 3, FALSE))</f>
        <v>-0.33127667929653448</v>
      </c>
      <c r="Q18" s="1">
        <f>(Main_L[[#This Row],[ROE]]-VLOOKUP(Main_L[[#This Row],[Industry]], Mean_ROE_L, 2, FALSE))/(VLOOKUP(Main_L[[#This Row],[Industry]], Mean_ROE_L, 3, FALSE))</f>
        <v>-0.95677617301465911</v>
      </c>
      <c r="R18" s="1">
        <f>(Main_L[[#This Row],[ROA]]-VLOOKUP(Main_L[[#This Row],[Industry]], Mean_ROA_L, 2, FALSE))/(VLOOKUP(Main_L[[#This Row],[Industry]], Mean_ROA_L, 3, FALSE))</f>
        <v>-0.49343173123855327</v>
      </c>
      <c r="S18" s="1">
        <f>(Main_L[[#This Row],[A/E]]-VLOOKUP(Main_L[[#This Row],[Industry]], Mean_AE_L, 2, FALSE))/(VLOOKUP(Main_L[[#This Row],[Industry]], Mean_AE_L, 3, FALSE))</f>
        <v>-0.4148677546999196</v>
      </c>
      <c r="T18" s="1">
        <f>(Main_L[[#This Row],[P/E]]-VLOOKUP(Main_L[[#This Row],[Industry]], Mean_PE_L, 2, FALSE))/(VLOOKUP(Main_L[[#This Row],[Industry]], Mean_PE_L, 3, FALSE))</f>
        <v>0.13969215377665314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s="68" t="s">
        <v>105</v>
      </c>
      <c r="B19" s="68" t="s">
        <v>116</v>
      </c>
      <c r="C19" s="2">
        <v>24493</v>
      </c>
      <c r="D19">
        <f>RTD("tos.rtd", , "LAST", Main_L[[#This Row],[Symbol]])</f>
        <v>47.34</v>
      </c>
      <c r="E19">
        <v>-1.95</v>
      </c>
      <c r="F19">
        <v>31.19</v>
      </c>
      <c r="G19">
        <v>2.2999999999999998</v>
      </c>
      <c r="H19" s="1">
        <f>IF(ISNUMBER(Main_L[[#This Row],[Free CF]]),IF(Main_L[[#This Row],[Free CF]]&lt;&gt;0,Main_L[[#This Row],[Current Price]]/Main_L[[#This Row],[Free CF]],""),"")</f>
        <v>-24.276923076923079</v>
      </c>
      <c r="I19" s="1">
        <f>IF(ISNUMBER(Main_L[[#This Row],[BVPS]]),IF(Main_L[[#This Row],[BVPS]]&lt;&gt;0,Main_L[[#This Row],[Current Price]]/Main_L[[#This Row],[BVPS]],""),"")</f>
        <v>1.5177941647964091</v>
      </c>
      <c r="J19">
        <v>7.46</v>
      </c>
      <c r="K19">
        <v>3.02</v>
      </c>
      <c r="L19">
        <v>3.32</v>
      </c>
      <c r="M19" s="1">
        <f>IF(ISNUMBER(Main_L[[#This Row],[EPS]]),IF(Main_L[[#This Row],[EPS]]&lt;&gt;0,Main_L[[#This Row],[Current Price]]/Main_L[[#This Row],[EPS]],""),"")</f>
        <v>20.582608695652176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-0.20639784577795298</v>
      </c>
      <c r="P19" s="1">
        <f>(Main_L[[#This Row],[P/B]]-VLOOKUP(Main_L[[#This Row],[Industry]], Mean_PB_L, 2, FALSE))/(VLOOKUP(Main_L[[#This Row],[Industry]], Mean_PB_L, 3, FALSE))</f>
        <v>-0.367146161410564</v>
      </c>
      <c r="Q19" s="1">
        <f>(Main_L[[#This Row],[ROE]]-VLOOKUP(Main_L[[#This Row],[Industry]], Mean_ROE_L, 2, FALSE))/(VLOOKUP(Main_L[[#This Row],[Industry]], Mean_ROE_L, 3, FALSE))</f>
        <v>-0.82332363821609333</v>
      </c>
      <c r="R19" s="1">
        <f>(Main_L[[#This Row],[ROA]]-VLOOKUP(Main_L[[#This Row],[Industry]], Mean_ROA_L, 2, FALSE))/(VLOOKUP(Main_L[[#This Row],[Industry]], Mean_ROA_L, 3, FALSE))</f>
        <v>1.032917090726031</v>
      </c>
      <c r="S19" s="1">
        <f>(Main_L[[#This Row],[A/E]]-VLOOKUP(Main_L[[#This Row],[Industry]], Mean_AE_L, 2, FALSE))/(VLOOKUP(Main_L[[#This Row],[Industry]], Mean_AE_L, 3, FALSE))</f>
        <v>-0.80967828970696842</v>
      </c>
      <c r="T19" s="1">
        <f>(Main_L[[#This Row],[P/E]]-VLOOKUP(Main_L[[#This Row],[Industry]], Mean_PE_L, 2, FALSE))/(VLOOKUP(Main_L[[#This Row],[Industry]], Mean_PE_L, 3, FALSE))</f>
        <v>2.1300853930894648E-2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s="68" t="s">
        <v>105</v>
      </c>
      <c r="B20" s="68" t="s">
        <v>113</v>
      </c>
      <c r="C20" s="2">
        <v>15280</v>
      </c>
      <c r="D20">
        <f>RTD("tos.rtd", , "LAST", Main_L[[#This Row],[Symbol]])</f>
        <v>67.319999999999993</v>
      </c>
      <c r="E20">
        <v>-0.85</v>
      </c>
      <c r="F20">
        <v>43.16</v>
      </c>
      <c r="G20">
        <v>3.8</v>
      </c>
      <c r="H20" s="1">
        <f>IF(ISNUMBER(Main_L[[#This Row],[Free CF]]),IF(Main_L[[#This Row],[Free CF]]&lt;&gt;0,Main_L[[#This Row],[Current Price]]/Main_L[[#This Row],[Free CF]],""),"")</f>
        <v>-79.199999999999989</v>
      </c>
      <c r="I20" s="1">
        <f>IF(ISNUMBER(Main_L[[#This Row],[BVPS]]),IF(Main_L[[#This Row],[BVPS]]&lt;&gt;0,Main_L[[#This Row],[Current Price]]/Main_L[[#This Row],[BVPS]],""),"")</f>
        <v>1.5597775718257645</v>
      </c>
      <c r="J20">
        <v>9.0500000000000007</v>
      </c>
      <c r="K20">
        <v>2.91</v>
      </c>
      <c r="L20">
        <v>3.27</v>
      </c>
      <c r="M20" s="1">
        <f>IF(ISNUMBER(Main_L[[#This Row],[EPS]]),IF(Main_L[[#This Row],[EPS]]&lt;&gt;0,Main_L[[#This Row],[Current Price]]/Main_L[[#This Row],[EPS]],""),"")</f>
        <v>17.715789473684211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-3.839166222166202</v>
      </c>
      <c r="P20" s="1">
        <f>(Main_L[[#This Row],[P/B]]-VLOOKUP(Main_L[[#This Row],[Industry]], Mean_PB_L, 2, FALSE))/(VLOOKUP(Main_L[[#This Row],[Industry]], Mean_PB_L, 3, FALSE))</f>
        <v>-0.27771348945442936</v>
      </c>
      <c r="Q20" s="1">
        <f>(Main_L[[#This Row],[ROE]]-VLOOKUP(Main_L[[#This Row],[Industry]], Mean_ROE_L, 2, FALSE))/(VLOOKUP(Main_L[[#This Row],[Industry]], Mean_ROE_L, 3, FALSE))</f>
        <v>2.5434483102785094E-2</v>
      </c>
      <c r="R20" s="1">
        <f>(Main_L[[#This Row],[ROA]]-VLOOKUP(Main_L[[#This Row],[Industry]], Mean_ROA_L, 2, FALSE))/(VLOOKUP(Main_L[[#This Row],[Industry]], Mean_ROA_L, 3, FALSE))</f>
        <v>0.45395719273946533</v>
      </c>
      <c r="S20" s="1">
        <f>(Main_L[[#This Row],[A/E]]-VLOOKUP(Main_L[[#This Row],[Industry]], Mean_AE_L, 2, FALSE))/(VLOOKUP(Main_L[[#This Row],[Industry]], Mean_AE_L, 3, FALSE))</f>
        <v>-0.89940795675402463</v>
      </c>
      <c r="T20" s="1">
        <f>(Main_L[[#This Row],[P/E]]-VLOOKUP(Main_L[[#This Row],[Industry]], Mean_PE_L, 2, FALSE))/(VLOOKUP(Main_L[[#This Row],[Industry]], Mean_PE_L, 3, FALSE))</f>
        <v>-0.45212998165603113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s="68" t="s">
        <v>105</v>
      </c>
      <c r="B21" s="68" t="s">
        <v>122</v>
      </c>
      <c r="C21" s="2">
        <v>25689</v>
      </c>
      <c r="D21">
        <f>RTD("tos.rtd", , "LAST", Main_L[[#This Row],[Symbol]])</f>
        <v>33.92</v>
      </c>
      <c r="E21">
        <v>-0.57999999999999996</v>
      </c>
      <c r="F21">
        <v>19.34</v>
      </c>
      <c r="G21">
        <v>1.34</v>
      </c>
      <c r="H21" s="1">
        <f>IF(ISNUMBER(Main_L[[#This Row],[Free CF]]),IF(Main_L[[#This Row],[Free CF]]&lt;&gt;0,Main_L[[#This Row],[Current Price]]/Main_L[[#This Row],[Free CF]],""),"")</f>
        <v>-58.482758620689665</v>
      </c>
      <c r="I21" s="1">
        <f>IF(ISNUMBER(Main_L[[#This Row],[BVPS]]),IF(Main_L[[#This Row],[BVPS]]&lt;&gt;0,Main_L[[#This Row],[Current Price]]/Main_L[[#This Row],[BVPS]],""),"")</f>
        <v>1.7538779731127199</v>
      </c>
      <c r="J21">
        <v>7.02</v>
      </c>
      <c r="K21">
        <v>2.97</v>
      </c>
      <c r="L21">
        <v>2.92</v>
      </c>
      <c r="M21" s="1">
        <f>IF(ISNUMBER(Main_L[[#This Row],[EPS]]),IF(Main_L[[#This Row],[EPS]]&lt;&gt;0,Main_L[[#This Row],[Current Price]]/Main_L[[#This Row],[EPS]],""),"")</f>
        <v>25.313432835820894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-2.4688690074968909</v>
      </c>
      <c r="P21" s="1">
        <f>(Main_L[[#This Row],[P/B]]-VLOOKUP(Main_L[[#This Row],[Industry]], Mean_PB_L, 2, FALSE))/(VLOOKUP(Main_L[[#This Row],[Industry]], Mean_PB_L, 3, FALSE))</f>
        <v>0.13575742067710808</v>
      </c>
      <c r="Q21" s="1">
        <f>(Main_L[[#This Row],[ROE]]-VLOOKUP(Main_L[[#This Row],[Industry]], Mean_ROE_L, 2, FALSE))/(VLOOKUP(Main_L[[#This Row],[Industry]], Mean_ROE_L, 3, FALSE))</f>
        <v>-1.0582000994615692</v>
      </c>
      <c r="R21" s="1">
        <f>(Main_L[[#This Row],[ROA]]-VLOOKUP(Main_L[[#This Row],[Industry]], Mean_ROA_L, 2, FALSE))/(VLOOKUP(Main_L[[#This Row],[Industry]], Mean_ROA_L, 3, FALSE))</f>
        <v>0.76975350073213822</v>
      </c>
      <c r="S21" s="1">
        <f>(Main_L[[#This Row],[A/E]]-VLOOKUP(Main_L[[#This Row],[Industry]], Mean_AE_L, 2, FALSE))/(VLOOKUP(Main_L[[#This Row],[Industry]], Mean_AE_L, 3, FALSE))</f>
        <v>-1.5275156260834202</v>
      </c>
      <c r="T21" s="1">
        <f>(Main_L[[#This Row],[P/E]]-VLOOKUP(Main_L[[#This Row],[Industry]], Mean_PE_L, 2, FALSE))/(VLOOKUP(Main_L[[#This Row],[Industry]], Mean_PE_L, 3, FALSE))</f>
        <v>0.80255626359617249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s="68" t="s">
        <v>105</v>
      </c>
      <c r="B22" s="68" t="s">
        <v>109</v>
      </c>
      <c r="C22" s="2">
        <v>16487</v>
      </c>
      <c r="D22">
        <f>RTD("tos.rtd", , "LAST", Main_L[[#This Row],[Symbol]])</f>
        <v>7.35</v>
      </c>
      <c r="E22">
        <v>0.88</v>
      </c>
      <c r="F22">
        <v>9.4700000000000006</v>
      </c>
      <c r="G22">
        <v>0.75</v>
      </c>
      <c r="H22" s="1">
        <f>IF(ISNUMBER(Main_L[[#This Row],[Free CF]]),IF(Main_L[[#This Row],[Free CF]]&lt;&gt;0,Main_L[[#This Row],[Current Price]]/Main_L[[#This Row],[Free CF]],""),"")</f>
        <v>8.3522727272727266</v>
      </c>
      <c r="I22" s="1">
        <f>IF(ISNUMBER(Main_L[[#This Row],[BVPS]]),IF(Main_L[[#This Row],[BVPS]]&lt;&gt;0,Main_L[[#This Row],[Current Price]]/Main_L[[#This Row],[BVPS]],""),"")</f>
        <v>0.77613516367476232</v>
      </c>
      <c r="J22">
        <v>8.2799999999999994</v>
      </c>
      <c r="K22">
        <v>2.89</v>
      </c>
      <c r="L22">
        <v>2.3199999999999998</v>
      </c>
      <c r="M22" s="1">
        <f>IF(ISNUMBER(Main_L[[#This Row],[EPS]]),IF(Main_L[[#This Row],[EPS]]&lt;&gt;0,Main_L[[#This Row],[Current Price]]/Main_L[[#This Row],[EPS]],""),"")</f>
        <v>9.7999999999999989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1.951789883406942</v>
      </c>
      <c r="P22" s="1">
        <f>(Main_L[[#This Row],[P/B]]-VLOOKUP(Main_L[[#This Row],[Industry]], Mean_PB_L, 2, FALSE))/(VLOOKUP(Main_L[[#This Row],[Industry]], Mean_PB_L, 3, FALSE))</f>
        <v>-1.9470214227072191</v>
      </c>
      <c r="Q22" s="1">
        <f>(Main_L[[#This Row],[ROE]]-VLOOKUP(Main_L[[#This Row],[Industry]], Mean_ROE_L, 2, FALSE))/(VLOOKUP(Main_L[[#This Row],[Industry]], Mean_ROE_L, 3, FALSE))</f>
        <v>-0.38559932407679809</v>
      </c>
      <c r="R22" s="1">
        <f>(Main_L[[#This Row],[ROA]]-VLOOKUP(Main_L[[#This Row],[Industry]], Mean_ROA_L, 2, FALSE))/(VLOOKUP(Main_L[[#This Row],[Industry]], Mean_ROA_L, 3, FALSE))</f>
        <v>0.34869175674190772</v>
      </c>
      <c r="S22" s="1">
        <f>(Main_L[[#This Row],[A/E]]-VLOOKUP(Main_L[[#This Row],[Industry]], Mean_AE_L, 2, FALSE))/(VLOOKUP(Main_L[[#This Row],[Industry]], Mean_AE_L, 3, FALSE))</f>
        <v>-2.604271630648098</v>
      </c>
      <c r="T22" s="1">
        <f>(Main_L[[#This Row],[P/E]]-VLOOKUP(Main_L[[#This Row],[Industry]], Mean_PE_L, 2, FALSE))/(VLOOKUP(Main_L[[#This Row],[Industry]], Mean_PE_L, 3, FALSE))</f>
        <v>-1.7593553539918332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s="68" t="s">
        <v>125</v>
      </c>
      <c r="B23" s="68" t="s">
        <v>126</v>
      </c>
      <c r="C23" s="2">
        <v>24569</v>
      </c>
      <c r="D23">
        <f>RTD("tos.rtd", , "LAST", Main_L[[#This Row],[Symbol]])</f>
        <v>151.97</v>
      </c>
      <c r="E23">
        <v>-8.36</v>
      </c>
      <c r="F23">
        <v>82.71</v>
      </c>
      <c r="G23">
        <v>7.25</v>
      </c>
      <c r="H23" s="1">
        <f>IF(ISNUMBER(Main_L[[#This Row],[Free CF]]),IF(Main_L[[#This Row],[Free CF]]&lt;&gt;0,Main_L[[#This Row],[Current Price]]/Main_L[[#This Row],[Free CF]],""),"")</f>
        <v>-18.178229665071772</v>
      </c>
      <c r="I23" s="1">
        <f>IF(ISNUMBER(Main_L[[#This Row],[BVPS]]),IF(Main_L[[#This Row],[BVPS]]&lt;&gt;0,Main_L[[#This Row],[Current Price]]/Main_L[[#This Row],[BVPS]],""),"")</f>
        <v>1.8373836295490269</v>
      </c>
      <c r="J23">
        <v>9.19</v>
      </c>
      <c r="K23">
        <v>3.64</v>
      </c>
      <c r="L23">
        <v>2.0499999999999998</v>
      </c>
      <c r="M23" s="1">
        <f>IF(ISNUMBER(Main_L[[#This Row],[EPS]]),IF(Main_L[[#This Row],[EPS]]&lt;&gt;0,Main_L[[#This Row],[Current Price]]/Main_L[[#This Row],[EPS]],""),"")</f>
        <v>20.961379310344828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 t="e">
        <f>(Main_L[[#This Row],[P/FCF]]-VLOOKUP(Main_L[[#This Row],[Industry]], Mean_PFCF_L, 2, FALSE))/(VLOOKUP(Main_L[[#This Row],[Industry]], Mean_PFCF_L, 3, FALSE))</f>
        <v>#DIV/0!</v>
      </c>
      <c r="P23" s="1" t="e">
        <f>(Main_L[[#This Row],[P/B]]-VLOOKUP(Main_L[[#This Row],[Industry]], Mean_PB_L, 2, FALSE))/(VLOOKUP(Main_L[[#This Row],[Industry]], Mean_PB_L, 3, FALSE))</f>
        <v>#DIV/0!</v>
      </c>
      <c r="Q23" s="1" t="e">
        <f>(Main_L[[#This Row],[ROE]]-VLOOKUP(Main_L[[#This Row],[Industry]], Mean_ROE_L, 2, FALSE))/(VLOOKUP(Main_L[[#This Row],[Industry]], Mean_ROE_L, 3, FALSE))</f>
        <v>#DIV/0!</v>
      </c>
      <c r="R23" s="1" t="e">
        <f>(Main_L[[#This Row],[ROA]]-VLOOKUP(Main_L[[#This Row],[Industry]], Mean_ROA_L, 2, FALSE))/(VLOOKUP(Main_L[[#This Row],[Industry]], Mean_ROA_L, 3, FALSE))</f>
        <v>#DIV/0!</v>
      </c>
      <c r="S23" s="1" t="e">
        <f>(Main_L[[#This Row],[A/E]]-VLOOKUP(Main_L[[#This Row],[Industry]], Mean_AE_L, 2, FALSE))/(VLOOKUP(Main_L[[#This Row],[Industry]], Mean_AE_L, 3, FALSE))</f>
        <v>#DIV/0!</v>
      </c>
      <c r="T23" s="1" t="e">
        <f>(Main_L[[#This Row],[P/E]]-VLOOKUP(Main_L[[#This Row],[Industry]], Mean_PE_L, 2, FALSE))/(VLOOKUP(Main_L[[#This Row],[Industry]], Mean_PE_L, 3, FALSE))</f>
        <v>#DIV/0!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s="68" t="s">
        <v>144</v>
      </c>
      <c r="B24" s="68" t="s">
        <v>146</v>
      </c>
      <c r="C24" s="2">
        <v>54487</v>
      </c>
      <c r="D24">
        <f>RTD("tos.rtd", , "LAST", Main_L[[#This Row],[Symbol]])</f>
        <v>169.37</v>
      </c>
      <c r="E24">
        <v>4.82</v>
      </c>
      <c r="F24">
        <v>6.91</v>
      </c>
      <c r="G24">
        <v>6.38</v>
      </c>
      <c r="H24" s="1">
        <f>IF(ISNUMBER(Main_L[[#This Row],[Free CF]]),IF(Main_L[[#This Row],[Free CF]]&lt;&gt;0,Main_L[[#This Row],[Current Price]]/Main_L[[#This Row],[Free CF]],""),"")</f>
        <v>35.139004149377591</v>
      </c>
      <c r="I24" s="1">
        <f>IF(ISNUMBER(Main_L[[#This Row],[BVPS]]),IF(Main_L[[#This Row],[BVPS]]&lt;&gt;0,Main_L[[#This Row],[Current Price]]/Main_L[[#This Row],[BVPS]],""),"")</f>
        <v>24.51085383502171</v>
      </c>
      <c r="J24">
        <v>41.68</v>
      </c>
      <c r="K24">
        <v>6.3</v>
      </c>
      <c r="L24">
        <v>16.27</v>
      </c>
      <c r="M24" s="1">
        <f>IF(ISNUMBER(Main_L[[#This Row],[EPS]]),IF(Main_L[[#This Row],[EPS]]&lt;&gt;0,Main_L[[#This Row],[Current Price]]/Main_L[[#This Row],[EPS]],""),"")</f>
        <v>26.547021943573668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-1</v>
      </c>
      <c r="P24" s="1">
        <f>(Main_L[[#This Row],[P/B]]-VLOOKUP(Main_L[[#This Row],[Industry]], Mean_PB_L, 2, FALSE))/(VLOOKUP(Main_L[[#This Row],[Industry]], Mean_PB_L, 3, FALSE))</f>
        <v>0.99999999999999978</v>
      </c>
      <c r="Q24" s="1">
        <f>(Main_L[[#This Row],[ROE]]-VLOOKUP(Main_L[[#This Row],[Industry]], Mean_ROE_L, 2, FALSE))/(VLOOKUP(Main_L[[#This Row],[Industry]], Mean_ROE_L, 3, FALSE))</f>
        <v>0.99999999999999856</v>
      </c>
      <c r="R24" s="1">
        <f>(Main_L[[#This Row],[ROA]]-VLOOKUP(Main_L[[#This Row],[Industry]], Mean_ROA_L, 2, FALSE))/(VLOOKUP(Main_L[[#This Row],[Industry]], Mean_ROA_L, 3, FALSE))</f>
        <v>1</v>
      </c>
      <c r="S24" s="1">
        <f>(Main_L[[#This Row],[A/E]]-VLOOKUP(Main_L[[#This Row],[Industry]], Mean_AE_L, 2, FALSE))/(VLOOKUP(Main_L[[#This Row],[Industry]], Mean_AE_L, 3, FALSE))</f>
        <v>0.99999999999999989</v>
      </c>
      <c r="T24" s="1">
        <f>(Main_L[[#This Row],[P/E]]-VLOOKUP(Main_L[[#This Row],[Industry]], Mean_PE_L, 2, FALSE))/(VLOOKUP(Main_L[[#This Row],[Industry]], Mean_PE_L, 3, FALSE))</f>
        <v>1.0000000000000107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s="68" t="s">
        <v>144</v>
      </c>
      <c r="B25" s="68" t="s">
        <v>145</v>
      </c>
      <c r="C25" s="2">
        <v>11102</v>
      </c>
      <c r="D25">
        <f>RTD("tos.rtd", , "LAST", Main_L[[#This Row],[Symbol]])</f>
        <v>257.02</v>
      </c>
      <c r="E25">
        <v>0.28999999999999998</v>
      </c>
      <c r="F25">
        <v>25.93</v>
      </c>
      <c r="G25">
        <v>10.79</v>
      </c>
      <c r="H25" s="1">
        <f>IF(ISNUMBER(Main_L[[#This Row],[Free CF]]),IF(Main_L[[#This Row],[Free CF]]&lt;&gt;0,Main_L[[#This Row],[Current Price]]/Main_L[[#This Row],[Free CF]],""),"")</f>
        <v>886.27586206896547</v>
      </c>
      <c r="I25" s="1">
        <f>IF(ISNUMBER(Main_L[[#This Row],[BVPS]]),IF(Main_L[[#This Row],[BVPS]]&lt;&gt;0,Main_L[[#This Row],[Current Price]]/Main_L[[#This Row],[BVPS]],""),"")</f>
        <v>9.9120709602776707</v>
      </c>
      <c r="J25">
        <v>28.33</v>
      </c>
      <c r="K25">
        <v>0.91</v>
      </c>
      <c r="L25">
        <v>4.97</v>
      </c>
      <c r="M25" s="1">
        <f>IF(ISNUMBER(Main_L[[#This Row],[EPS]]),IF(Main_L[[#This Row],[EPS]]&lt;&gt;0,Main_L[[#This Row],[Current Price]]/Main_L[[#This Row],[EPS]],""),"")</f>
        <v>23.820203892493048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1</v>
      </c>
      <c r="P25" s="1">
        <f>(Main_L[[#This Row],[P/B]]-VLOOKUP(Main_L[[#This Row],[Industry]], Mean_PB_L, 2, FALSE))/(VLOOKUP(Main_L[[#This Row],[Industry]], Mean_PB_L, 3, FALSE))</f>
        <v>-0.99999999999999978</v>
      </c>
      <c r="Q25" s="1">
        <f>(Main_L[[#This Row],[ROE]]-VLOOKUP(Main_L[[#This Row],[Industry]], Mean_ROE_L, 2, FALSE))/(VLOOKUP(Main_L[[#This Row],[Industry]], Mean_ROE_L, 3, FALSE))</f>
        <v>-0.99999999999999745</v>
      </c>
      <c r="R25" s="1">
        <f>(Main_L[[#This Row],[ROA]]-VLOOKUP(Main_L[[#This Row],[Industry]], Mean_ROA_L, 2, FALSE))/(VLOOKUP(Main_L[[#This Row],[Industry]], Mean_ROA_L, 3, FALSE))</f>
        <v>-1</v>
      </c>
      <c r="S25" s="1">
        <f>(Main_L[[#This Row],[A/E]]-VLOOKUP(Main_L[[#This Row],[Industry]], Mean_AE_L, 2, FALSE))/(VLOOKUP(Main_L[[#This Row],[Industry]], Mean_AE_L, 3, FALSE))</f>
        <v>-0.99999999999999967</v>
      </c>
      <c r="T25" s="1">
        <f>(Main_L[[#This Row],[P/E]]-VLOOKUP(Main_L[[#This Row],[Industry]], Mean_PE_L, 2, FALSE))/(VLOOKUP(Main_L[[#This Row],[Industry]], Mean_PE_L, 3, FALSE))</f>
        <v>-1.0000000000000107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s="68" t="s">
        <v>127</v>
      </c>
      <c r="B26" s="68" t="s">
        <v>129</v>
      </c>
      <c r="C26" s="2">
        <v>15377</v>
      </c>
      <c r="D26">
        <f>RTD("tos.rtd", , "LAST", Main_L[[#This Row],[Symbol]])</f>
        <v>33.450000000000003</v>
      </c>
      <c r="E26">
        <v>0.79</v>
      </c>
      <c r="F26">
        <v>9.92</v>
      </c>
      <c r="G26">
        <v>0.01</v>
      </c>
      <c r="H26" s="1">
        <f>IF(ISNUMBER(Main_L[[#This Row],[Free CF]]),IF(Main_L[[#This Row],[Free CF]]&lt;&gt;0,Main_L[[#This Row],[Current Price]]/Main_L[[#This Row],[Free CF]],""),"")</f>
        <v>42.341772151898738</v>
      </c>
      <c r="I26" s="1">
        <f>IF(ISNUMBER(Main_L[[#This Row],[BVPS]]),IF(Main_L[[#This Row],[BVPS]]&lt;&gt;0,Main_L[[#This Row],[Current Price]]/Main_L[[#This Row],[BVPS]],""),"")</f>
        <v>3.3719758064516134</v>
      </c>
      <c r="J26">
        <v>4.47</v>
      </c>
      <c r="K26">
        <v>3.09</v>
      </c>
      <c r="L26">
        <v>22.61</v>
      </c>
      <c r="M26" s="1">
        <f>IF(ISNUMBER(Main_L[[#This Row],[EPS]]),IF(Main_L[[#This Row],[EPS]]&lt;&gt;0,Main_L[[#This Row],[Current Price]]/Main_L[[#This Row],[EPS]],""),"")</f>
        <v>3345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2.3459446513209437</v>
      </c>
      <c r="P26" s="1">
        <f>(Main_L[[#This Row],[P/B]]-VLOOKUP(Main_L[[#This Row],[Industry]], Mean_PB_L, 2, FALSE))/(VLOOKUP(Main_L[[#This Row],[Industry]], Mean_PB_L, 3, FALSE))</f>
        <v>2.2887323706018377</v>
      </c>
      <c r="Q26" s="1">
        <f>(Main_L[[#This Row],[ROE]]-VLOOKUP(Main_L[[#This Row],[Industry]], Mean_ROE_L, 2, FALSE))/(VLOOKUP(Main_L[[#This Row],[Industry]], Mean_ROE_L, 3, FALSE))</f>
        <v>-2.2810495095918344</v>
      </c>
      <c r="R26" s="1">
        <f>(Main_L[[#This Row],[ROA]]-VLOOKUP(Main_L[[#This Row],[Industry]], Mean_ROA_L, 2, FALSE))/(VLOOKUP(Main_L[[#This Row],[Industry]], Mean_ROA_L, 3, FALSE))</f>
        <v>0.67424156081886177</v>
      </c>
      <c r="S26" s="1">
        <f>(Main_L[[#This Row],[A/E]]-VLOOKUP(Main_L[[#This Row],[Industry]], Mean_AE_L, 2, FALSE))/(VLOOKUP(Main_L[[#This Row],[Industry]], Mean_AE_L, 3, FALSE))</f>
        <v>38.850652384752912</v>
      </c>
      <c r="T26" s="1">
        <f>(Main_L[[#This Row],[P/E]]-VLOOKUP(Main_L[[#This Row],[Industry]], Mean_PE_L, 2, FALSE))/(VLOOKUP(Main_L[[#This Row],[Industry]], Mean_PE_L, 3, FALSE))</f>
        <v>1532.0572568055752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7" spans="1:26" x14ac:dyDescent="0.25">
      <c r="A27" s="68" t="s">
        <v>127</v>
      </c>
      <c r="B27" s="68" t="s">
        <v>130</v>
      </c>
      <c r="C27" s="2">
        <v>21007</v>
      </c>
      <c r="D27">
        <f>RTD("tos.rtd", , "LAST", Main_L[[#This Row],[Symbol]])</f>
        <v>69.66</v>
      </c>
      <c r="E27">
        <v>-2.98</v>
      </c>
      <c r="F27">
        <v>27.12</v>
      </c>
      <c r="G27">
        <v>3.38</v>
      </c>
      <c r="H27" s="1">
        <f>IF(ISNUMBER(Main_L[[#This Row],[Free CF]]),IF(Main_L[[#This Row],[Free CF]]&lt;&gt;0,Main_L[[#This Row],[Current Price]]/Main_L[[#This Row],[Free CF]],""),"")</f>
        <v>-23.375838926174495</v>
      </c>
      <c r="I27" s="1">
        <f>IF(ISNUMBER(Main_L[[#This Row],[BVPS]]),IF(Main_L[[#This Row],[BVPS]]&lt;&gt;0,Main_L[[#This Row],[Current Price]]/Main_L[[#This Row],[BVPS]],""),"")</f>
        <v>2.5685840707964598</v>
      </c>
      <c r="J27">
        <v>11.23</v>
      </c>
      <c r="K27">
        <v>3.09</v>
      </c>
      <c r="L27">
        <v>4.47</v>
      </c>
      <c r="M27" s="1">
        <f>IF(ISNUMBER(Main_L[[#This Row],[EPS]]),IF(Main_L[[#This Row],[EPS]]&lt;&gt;0,Main_L[[#This Row],[Current Price]]/Main_L[[#This Row],[EPS]],""),"")</f>
        <v>20.609467455621303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-0.17476249046207548</v>
      </c>
      <c r="P27" s="1">
        <f>(Main_L[[#This Row],[P/B]]-VLOOKUP(Main_L[[#This Row],[Industry]], Mean_PB_L, 2, FALSE))/(VLOOKUP(Main_L[[#This Row],[Industry]], Mean_PB_L, 3, FALSE))</f>
        <v>0.67270236875882661</v>
      </c>
      <c r="Q27" s="1">
        <f>(Main_L[[#This Row],[ROE]]-VLOOKUP(Main_L[[#This Row],[Industry]], Mean_ROE_L, 2, FALSE))/(VLOOKUP(Main_L[[#This Row],[Industry]], Mean_ROE_L, 3, FALSE))</f>
        <v>0.69384978651893159</v>
      </c>
      <c r="R27" s="1">
        <f>(Main_L[[#This Row],[ROA]]-VLOOKUP(Main_L[[#This Row],[Industry]], Mean_ROA_L, 2, FALSE))/(VLOOKUP(Main_L[[#This Row],[Industry]], Mean_ROA_L, 3, FALSE))</f>
        <v>0.67424156081886177</v>
      </c>
      <c r="S27" s="1">
        <f>(Main_L[[#This Row],[A/E]]-VLOOKUP(Main_L[[#This Row],[Industry]], Mean_AE_L, 2, FALSE))/(VLOOKUP(Main_L[[#This Row],[Industry]], Mean_AE_L, 3, FALSE))</f>
        <v>1.665986340750629</v>
      </c>
      <c r="T27" s="1">
        <f>(Main_L[[#This Row],[P/E]]-VLOOKUP(Main_L[[#This Row],[Industry]], Mean_PE_L, 2, FALSE))/(VLOOKUP(Main_L[[#This Row],[Industry]], Mean_PE_L, 3, FALSE))</f>
        <v>7.6278183733935898E-2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s="68" t="s">
        <v>127</v>
      </c>
      <c r="B28" s="68" t="s">
        <v>133</v>
      </c>
      <c r="C28" s="2">
        <v>28357</v>
      </c>
      <c r="D28">
        <f>RTD("tos.rtd", , "LAST", Main_L[[#This Row],[Symbol]])</f>
        <v>133.9</v>
      </c>
      <c r="E28">
        <v>-3.22</v>
      </c>
      <c r="F28">
        <v>57.45</v>
      </c>
      <c r="G28">
        <v>7.39</v>
      </c>
      <c r="H28" s="1">
        <f>IF(ISNUMBER(Main_L[[#This Row],[Free CF]]),IF(Main_L[[#This Row],[Free CF]]&lt;&gt;0,Main_L[[#This Row],[Current Price]]/Main_L[[#This Row],[Free CF]],""),"")</f>
        <v>-41.58385093167702</v>
      </c>
      <c r="I28" s="1">
        <f>IF(ISNUMBER(Main_L[[#This Row],[BVPS]]),IF(Main_L[[#This Row],[BVPS]]&lt;&gt;0,Main_L[[#This Row],[Current Price]]/Main_L[[#This Row],[BVPS]],""),"")</f>
        <v>2.3307223672758921</v>
      </c>
      <c r="J28">
        <v>13.3</v>
      </c>
      <c r="K28">
        <v>2.91</v>
      </c>
      <c r="L28">
        <v>4.16</v>
      </c>
      <c r="M28" s="1">
        <f>IF(ISNUMBER(Main_L[[#This Row],[EPS]]),IF(Main_L[[#This Row],[EPS]]&lt;&gt;0,Main_L[[#This Row],[Current Price]]/Main_L[[#This Row],[EPS]],""),"")</f>
        <v>18.119079837618404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-0.87316076068244242</v>
      </c>
      <c r="P28" s="1">
        <f>(Main_L[[#This Row],[P/B]]-VLOOKUP(Main_L[[#This Row],[Industry]], Mean_PB_L, 2, FALSE))/(VLOOKUP(Main_L[[#This Row],[Industry]], Mean_PB_L, 3, FALSE))</f>
        <v>0.19424132401673794</v>
      </c>
      <c r="Q28" s="1">
        <f>(Main_L[[#This Row],[ROE]]-VLOOKUP(Main_L[[#This Row],[Industry]], Mean_ROE_L, 2, FALSE))/(VLOOKUP(Main_L[[#This Row],[Industry]], Mean_ROE_L, 3, FALSE))</f>
        <v>1.6048026774877608</v>
      </c>
      <c r="R28" s="1">
        <f>(Main_L[[#This Row],[ROA]]-VLOOKUP(Main_L[[#This Row],[Industry]], Mean_ROA_L, 2, FALSE))/(VLOOKUP(Main_L[[#This Row],[Industry]], Mean_ROA_L, 3, FALSE))</f>
        <v>-0.59718538243955821</v>
      </c>
      <c r="S28" s="1">
        <f>(Main_L[[#This Row],[A/E]]-VLOOKUP(Main_L[[#This Row],[Industry]], Mean_AE_L, 2, FALSE))/(VLOOKUP(Main_L[[#This Row],[Industry]], Mean_AE_L, 3, FALSE))</f>
        <v>1.0305262264374706</v>
      </c>
      <c r="T28" s="1">
        <f>(Main_L[[#This Row],[P/E]]-VLOOKUP(Main_L[[#This Row],[Industry]], Mean_PE_L, 2, FALSE))/(VLOOKUP(Main_L[[#This Row],[Industry]], Mean_PE_L, 3, FALSE))</f>
        <v>-1.0713687075763185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s="68" t="s">
        <v>127</v>
      </c>
      <c r="B29" s="68" t="s">
        <v>131</v>
      </c>
      <c r="C29" s="2">
        <v>24308</v>
      </c>
      <c r="D29">
        <f>RTD("tos.rtd", , "LAST", Main_L[[#This Row],[Symbol]])</f>
        <v>36.54</v>
      </c>
      <c r="E29">
        <v>-4.71</v>
      </c>
      <c r="F29">
        <v>16.78</v>
      </c>
      <c r="G29">
        <v>1.48</v>
      </c>
      <c r="H29" s="1">
        <f>IF(ISNUMBER(Main_L[[#This Row],[Free CF]]),IF(Main_L[[#This Row],[Free CF]]&lt;&gt;0,Main_L[[#This Row],[Current Price]]/Main_L[[#This Row],[Free CF]],""),"")</f>
        <v>-7.7579617834394901</v>
      </c>
      <c r="I29" s="1">
        <f>IF(ISNUMBER(Main_L[[#This Row],[BVPS]]),IF(Main_L[[#This Row],[BVPS]]&lt;&gt;0,Main_L[[#This Row],[Current Price]]/Main_L[[#This Row],[BVPS]],""),"")</f>
        <v>2.1775923718712753</v>
      </c>
      <c r="J29">
        <v>9.2200000000000006</v>
      </c>
      <c r="K29">
        <v>2.97</v>
      </c>
      <c r="L29">
        <v>4.0599999999999996</v>
      </c>
      <c r="M29" s="1">
        <f>IF(ISNUMBER(Main_L[[#This Row],[EPS]]),IF(Main_L[[#This Row],[EPS]]&lt;&gt;0,Main_L[[#This Row],[Current Price]]/Main_L[[#This Row],[EPS]],""),"")</f>
        <v>24.689189189189189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0.4242868938256793</v>
      </c>
      <c r="P29" s="1">
        <f>(Main_L[[#This Row],[P/B]]-VLOOKUP(Main_L[[#This Row],[Industry]], Mean_PB_L, 2, FALSE))/(VLOOKUP(Main_L[[#This Row],[Industry]], Mean_PB_L, 3, FALSE))</f>
        <v>-0.11378109614687151</v>
      </c>
      <c r="Q29" s="1">
        <f>(Main_L[[#This Row],[ROE]]-VLOOKUP(Main_L[[#This Row],[Industry]], Mean_ROE_L, 2, FALSE))/(VLOOKUP(Main_L[[#This Row],[Industry]], Mean_ROE_L, 3, FALSE))</f>
        <v>-0.19069867282761249</v>
      </c>
      <c r="R29" s="1">
        <f>(Main_L[[#This Row],[ROA]]-VLOOKUP(Main_L[[#This Row],[Industry]], Mean_ROA_L, 2, FALSE))/(VLOOKUP(Main_L[[#This Row],[Industry]], Mean_ROA_L, 3, FALSE))</f>
        <v>-0.1733764013534172</v>
      </c>
      <c r="S29" s="1">
        <f>(Main_L[[#This Row],[A/E]]-VLOOKUP(Main_L[[#This Row],[Industry]], Mean_AE_L, 2, FALSE))/(VLOOKUP(Main_L[[#This Row],[Industry]], Mean_AE_L, 3, FALSE))</f>
        <v>0.82553909278806326</v>
      </c>
      <c r="T29" s="1">
        <f>(Main_L[[#This Row],[P/E]]-VLOOKUP(Main_L[[#This Row],[Industry]], Mean_PE_L, 2, FALSE))/(VLOOKUP(Main_L[[#This Row],[Industry]], Mean_PE_L, 3, FALSE))</f>
        <v>1.9563389144786296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s="68" t="s">
        <v>127</v>
      </c>
      <c r="B30" s="68" t="s">
        <v>132</v>
      </c>
      <c r="C30" s="2">
        <v>48328</v>
      </c>
      <c r="D30">
        <f>RTD("tos.rtd", , "LAST", Main_L[[#This Row],[Symbol]])</f>
        <v>55.67</v>
      </c>
      <c r="E30">
        <v>-10.08</v>
      </c>
      <c r="F30">
        <v>30.92</v>
      </c>
      <c r="G30">
        <v>2.59</v>
      </c>
      <c r="H30" s="1">
        <f>IF(ISNUMBER(Main_L[[#This Row],[Free CF]]),IF(Main_L[[#This Row],[Free CF]]&lt;&gt;0,Main_L[[#This Row],[Current Price]]/Main_L[[#This Row],[Free CF]],""),"")</f>
        <v>-5.5228174603174605</v>
      </c>
      <c r="I30" s="1">
        <f>IF(ISNUMBER(Main_L[[#This Row],[BVPS]]),IF(Main_L[[#This Row],[BVPS]]&lt;&gt;0,Main_L[[#This Row],[Current Price]]/Main_L[[#This Row],[BVPS]],""),"")</f>
        <v>1.8004527813712807</v>
      </c>
      <c r="J30">
        <v>7.72</v>
      </c>
      <c r="K30">
        <v>2.86</v>
      </c>
      <c r="L30">
        <v>3.96</v>
      </c>
      <c r="M30" s="1">
        <f>IF(ISNUMBER(Main_L[[#This Row],[EPS]]),IF(Main_L[[#This Row],[EPS]]&lt;&gt;0,Main_L[[#This Row],[Current Price]]/Main_L[[#This Row],[EPS]],""),"")</f>
        <v>21.494208494208497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0.51001953330820782</v>
      </c>
      <c r="P30" s="1">
        <f>(Main_L[[#This Row],[P/B]]-VLOOKUP(Main_L[[#This Row],[Industry]], Mean_PB_L, 2, FALSE))/(VLOOKUP(Main_L[[#This Row],[Industry]], Mean_PB_L, 3, FALSE))</f>
        <v>-0.87240091519911278</v>
      </c>
      <c r="Q30" s="1">
        <f>(Main_L[[#This Row],[ROE]]-VLOOKUP(Main_L[[#This Row],[Industry]], Mean_ROE_L, 2, FALSE))/(VLOOKUP(Main_L[[#This Row],[Industry]], Mean_ROE_L, 3, FALSE))</f>
        <v>-0.8508094633847354</v>
      </c>
      <c r="R30" s="1">
        <f>(Main_L[[#This Row],[ROA]]-VLOOKUP(Main_L[[#This Row],[Industry]], Mean_ROA_L, 2, FALSE))/(VLOOKUP(Main_L[[#This Row],[Industry]], Mean_ROA_L, 3, FALSE))</f>
        <v>-0.95035953334467738</v>
      </c>
      <c r="S30" s="1">
        <f>(Main_L[[#This Row],[A/E]]-VLOOKUP(Main_L[[#This Row],[Industry]], Mean_AE_L, 2, FALSE))/(VLOOKUP(Main_L[[#This Row],[Industry]], Mean_AE_L, 3, FALSE))</f>
        <v>0.62055195913865779</v>
      </c>
      <c r="T30" s="1">
        <f>(Main_L[[#This Row],[P/E]]-VLOOKUP(Main_L[[#This Row],[Industry]], Mean_PE_L, 2, FALSE))/(VLOOKUP(Main_L[[#This Row],[Industry]], Mean_PE_L, 3, FALSE))</f>
        <v>0.48399395264040379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s="68" t="s">
        <v>127</v>
      </c>
      <c r="B31" s="68" t="s">
        <v>128</v>
      </c>
      <c r="C31" s="2">
        <v>26265</v>
      </c>
      <c r="D31">
        <f>RTD("tos.rtd", , "LAST", Main_L[[#This Row],[Symbol]])</f>
        <v>95.93</v>
      </c>
      <c r="E31">
        <v>-7.05</v>
      </c>
      <c r="F31">
        <v>45.21</v>
      </c>
      <c r="G31">
        <v>4.51</v>
      </c>
      <c r="H31" s="1">
        <f>IF(ISNUMBER(Main_L[[#This Row],[Free CF]]),IF(Main_L[[#This Row],[Free CF]]&lt;&gt;0,Main_L[[#This Row],[Current Price]]/Main_L[[#This Row],[Free CF]],""),"")</f>
        <v>-13.607092198581562</v>
      </c>
      <c r="I31" s="1">
        <f>IF(ISNUMBER(Main_L[[#This Row],[BVPS]]),IF(Main_L[[#This Row],[BVPS]]&lt;&gt;0,Main_L[[#This Row],[Current Price]]/Main_L[[#This Row],[BVPS]],""),"")</f>
        <v>2.1218756912187571</v>
      </c>
      <c r="J31">
        <v>10.16</v>
      </c>
      <c r="K31">
        <v>2.69</v>
      </c>
      <c r="L31">
        <v>3.74</v>
      </c>
      <c r="M31" s="1">
        <f>IF(ISNUMBER(Main_L[[#This Row],[EPS]]),IF(Main_L[[#This Row],[EPS]]&lt;&gt;0,Main_L[[#This Row],[Current Price]]/Main_L[[#This Row],[EPS]],""),"")</f>
        <v>21.270509977827054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0.19993386928933501</v>
      </c>
      <c r="P31" s="1">
        <f>(Main_L[[#This Row],[P/B]]-VLOOKUP(Main_L[[#This Row],[Industry]], Mean_PB_L, 2, FALSE))/(VLOOKUP(Main_L[[#This Row],[Industry]], Mean_PB_L, 3, FALSE))</f>
        <v>-0.2258557211915882</v>
      </c>
      <c r="Q31" s="1">
        <f>(Main_L[[#This Row],[ROE]]-VLOOKUP(Main_L[[#This Row],[Industry]], Mean_ROE_L, 2, FALSE))/(VLOOKUP(Main_L[[#This Row],[Industry]], Mean_ROE_L, 3, FALSE))</f>
        <v>0.22297075592151741</v>
      </c>
      <c r="R31" s="1">
        <f>(Main_L[[#This Row],[ROA]]-VLOOKUP(Main_L[[#This Row],[Industry]], Mean_ROA_L, 2, FALSE))/(VLOOKUP(Main_L[[#This Row],[Industry]], Mean_ROA_L, 3, FALSE))</f>
        <v>-2.1511516464220755</v>
      </c>
      <c r="S31" s="1">
        <f>(Main_L[[#This Row],[A/E]]-VLOOKUP(Main_L[[#This Row],[Industry]], Mean_AE_L, 2, FALSE))/(VLOOKUP(Main_L[[#This Row],[Industry]], Mean_AE_L, 3, FALSE))</f>
        <v>0.16958026510996474</v>
      </c>
      <c r="T31" s="1">
        <f>(Main_L[[#This Row],[P/E]]-VLOOKUP(Main_L[[#This Row],[Industry]], Mean_PE_L, 2, FALSE))/(VLOOKUP(Main_L[[#This Row],[Industry]], Mean_PE_L, 3, FALSE))</f>
        <v>0.38090682473308041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s="68" t="s">
        <v>127</v>
      </c>
      <c r="B32" s="68" t="s">
        <v>136</v>
      </c>
      <c r="C32" s="2">
        <v>18612</v>
      </c>
      <c r="D32">
        <f>RTD("tos.rtd", , "LAST", Main_L[[#This Row],[Symbol]])</f>
        <v>39.35</v>
      </c>
      <c r="E32">
        <v>-1.48</v>
      </c>
      <c r="F32">
        <v>18.899999999999999</v>
      </c>
      <c r="G32">
        <v>1.87</v>
      </c>
      <c r="H32" s="1">
        <f>IF(ISNUMBER(Main_L[[#This Row],[Free CF]]),IF(Main_L[[#This Row],[Free CF]]&lt;&gt;0,Main_L[[#This Row],[Current Price]]/Main_L[[#This Row],[Free CF]],""),"")</f>
        <v>-26.587837837837839</v>
      </c>
      <c r="I32" s="1">
        <f>IF(ISNUMBER(Main_L[[#This Row],[BVPS]]),IF(Main_L[[#This Row],[BVPS]]&lt;&gt;0,Main_L[[#This Row],[Current Price]]/Main_L[[#This Row],[BVPS]],""),"")</f>
        <v>2.0820105820105823</v>
      </c>
      <c r="J32">
        <v>9.36</v>
      </c>
      <c r="K32">
        <v>3.25</v>
      </c>
      <c r="L32">
        <v>3.72</v>
      </c>
      <c r="M32" s="1">
        <f>IF(ISNUMBER(Main_L[[#This Row],[EPS]]),IF(Main_L[[#This Row],[EPS]]&lt;&gt;0,Main_L[[#This Row],[Current Price]]/Main_L[[#This Row],[EPS]],""),"")</f>
        <v>21.042780748663102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-0.29796399555650649</v>
      </c>
      <c r="P32" s="1">
        <f>(Main_L[[#This Row],[P/B]]-VLOOKUP(Main_L[[#This Row],[Industry]], Mean_PB_L, 2, FALSE))/(VLOOKUP(Main_L[[#This Row],[Industry]], Mean_PB_L, 3, FALSE))</f>
        <v>-0.30604476179034712</v>
      </c>
      <c r="Q32" s="1">
        <f>(Main_L[[#This Row],[ROE]]-VLOOKUP(Main_L[[#This Row],[Industry]], Mean_ROE_L, 2, FALSE))/(VLOOKUP(Main_L[[#This Row],[Industry]], Mean_ROE_L, 3, FALSE))</f>
        <v>-0.12908833237561493</v>
      </c>
      <c r="R32" s="1">
        <f>(Main_L[[#This Row],[ROA]]-VLOOKUP(Main_L[[#This Row],[Industry]], Mean_ROA_L, 2, FALSE))/(VLOOKUP(Main_L[[#This Row],[Industry]], Mean_ROA_L, 3, FALSE))</f>
        <v>1.8043988437152378</v>
      </c>
      <c r="S32" s="1">
        <f>(Main_L[[#This Row],[A/E]]-VLOOKUP(Main_L[[#This Row],[Industry]], Mean_AE_L, 2, FALSE))/(VLOOKUP(Main_L[[#This Row],[Industry]], Mean_AE_L, 3, FALSE))</f>
        <v>0.12858283838008347</v>
      </c>
      <c r="T32" s="1">
        <f>(Main_L[[#This Row],[P/E]]-VLOOKUP(Main_L[[#This Row],[Industry]], Mean_PE_L, 2, FALSE))/(VLOOKUP(Main_L[[#This Row],[Industry]], Mean_PE_L, 3, FALSE))</f>
        <v>0.27596222092073297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s="68" t="s">
        <v>127</v>
      </c>
      <c r="B33" s="68" t="s">
        <v>139</v>
      </c>
      <c r="C33" s="2">
        <v>34288</v>
      </c>
      <c r="D33">
        <f>RTD("tos.rtd", , "LAST", Main_L[[#This Row],[Symbol]])</f>
        <v>104.89</v>
      </c>
      <c r="E33">
        <v>1.49</v>
      </c>
      <c r="F33">
        <v>40.659999999999997</v>
      </c>
      <c r="G33">
        <v>5.14</v>
      </c>
      <c r="H33" s="1">
        <f>IF(ISNUMBER(Main_L[[#This Row],[Free CF]]),IF(Main_L[[#This Row],[Free CF]]&lt;&gt;0,Main_L[[#This Row],[Current Price]]/Main_L[[#This Row],[Free CF]],""),"")</f>
        <v>70.395973154362423</v>
      </c>
      <c r="I33" s="1">
        <f>IF(ISNUMBER(Main_L[[#This Row],[BVPS]]),IF(Main_L[[#This Row],[BVPS]]&lt;&gt;0,Main_L[[#This Row],[Current Price]]/Main_L[[#This Row],[BVPS]],""),"")</f>
        <v>2.579685194294147</v>
      </c>
      <c r="J33">
        <v>12.58</v>
      </c>
      <c r="K33">
        <v>2.99</v>
      </c>
      <c r="L33">
        <v>3.72</v>
      </c>
      <c r="M33" s="1">
        <f>IF(ISNUMBER(Main_L[[#This Row],[EPS]]),IF(Main_L[[#This Row],[EPS]]&lt;&gt;0,Main_L[[#This Row],[Current Price]]/Main_L[[#This Row],[EPS]],""),"")</f>
        <v>20.406614785992218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3.4220097070015996</v>
      </c>
      <c r="P33" s="1">
        <f>(Main_L[[#This Row],[P/B]]-VLOOKUP(Main_L[[#This Row],[Industry]], Mean_PB_L, 2, FALSE))/(VLOOKUP(Main_L[[#This Row],[Industry]], Mean_PB_L, 3, FALSE))</f>
        <v>0.6950323826614434</v>
      </c>
      <c r="Q33" s="1">
        <f>(Main_L[[#This Row],[ROE]]-VLOOKUP(Main_L[[#This Row],[Industry]], Mean_ROE_L, 2, FALSE))/(VLOOKUP(Main_L[[#This Row],[Industry]], Mean_ROE_L, 3, FALSE))</f>
        <v>1.2879494980203416</v>
      </c>
      <c r="R33" s="1">
        <f>(Main_L[[#This Row],[ROA]]-VLOOKUP(Main_L[[#This Row],[Industry]], Mean_ROA_L, 2, FALSE))/(VLOOKUP(Main_L[[#This Row],[Industry]], Mean_ROA_L, 3, FALSE))</f>
        <v>-3.2106740991370189E-2</v>
      </c>
      <c r="S33" s="1">
        <f>(Main_L[[#This Row],[A/E]]-VLOOKUP(Main_L[[#This Row],[Industry]], Mean_AE_L, 2, FALSE))/(VLOOKUP(Main_L[[#This Row],[Industry]], Mean_AE_L, 3, FALSE))</f>
        <v>0.12858283838008347</v>
      </c>
      <c r="T33" s="1">
        <f>(Main_L[[#This Row],[P/E]]-VLOOKUP(Main_L[[#This Row],[Industry]], Mean_PE_L, 2, FALSE))/(VLOOKUP(Main_L[[#This Row],[Industry]], Mean_PE_L, 3, FALSE))</f>
        <v>-1.7202539512068488E-2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s="68" t="s">
        <v>127</v>
      </c>
      <c r="B34" s="68" t="s">
        <v>137</v>
      </c>
      <c r="C34" s="2">
        <v>40434</v>
      </c>
      <c r="D34">
        <f>RTD("tos.rtd", , "LAST", Main_L[[#This Row],[Symbol]])</f>
        <v>79.69</v>
      </c>
      <c r="E34">
        <v>-1.39</v>
      </c>
      <c r="F34">
        <v>32.81</v>
      </c>
      <c r="G34">
        <v>3.66</v>
      </c>
      <c r="H34" s="1">
        <f>IF(ISNUMBER(Main_L[[#This Row],[Free CF]]),IF(Main_L[[#This Row],[Free CF]]&lt;&gt;0,Main_L[[#This Row],[Current Price]]/Main_L[[#This Row],[Free CF]],""),"")</f>
        <v>-57.330935251798564</v>
      </c>
      <c r="I34" s="1">
        <f>IF(ISNUMBER(Main_L[[#This Row],[BVPS]]),IF(Main_L[[#This Row],[BVPS]]&lt;&gt;0,Main_L[[#This Row],[Current Price]]/Main_L[[#This Row],[BVPS]],""),"")</f>
        <v>2.4288326729655592</v>
      </c>
      <c r="J34">
        <v>11.4</v>
      </c>
      <c r="K34">
        <v>2.94</v>
      </c>
      <c r="L34">
        <v>3.39</v>
      </c>
      <c r="M34" s="1">
        <f>IF(ISNUMBER(Main_L[[#This Row],[EPS]]),IF(Main_L[[#This Row],[EPS]]&lt;&gt;0,Main_L[[#This Row],[Current Price]]/Main_L[[#This Row],[EPS]],""),"")</f>
        <v>21.773224043715846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-1.4771660989293416</v>
      </c>
      <c r="P34" s="1">
        <f>(Main_L[[#This Row],[P/B]]-VLOOKUP(Main_L[[#This Row],[Industry]], Mean_PB_L, 2, FALSE))/(VLOOKUP(Main_L[[#This Row],[Industry]], Mean_PB_L, 3, FALSE))</f>
        <v>0.3915911229354393</v>
      </c>
      <c r="Q34" s="1">
        <f>(Main_L[[#This Row],[ROE]]-VLOOKUP(Main_L[[#This Row],[Industry]], Mean_ROE_L, 2, FALSE))/(VLOOKUP(Main_L[[#This Row],[Industry]], Mean_ROE_L, 3, FALSE))</f>
        <v>0.76866234278207213</v>
      </c>
      <c r="R34" s="1">
        <f>(Main_L[[#This Row],[ROA]]-VLOOKUP(Main_L[[#This Row],[Industry]], Mean_ROA_L, 2, FALSE))/(VLOOKUP(Main_L[[#This Row],[Industry]], Mean_ROA_L, 3, FALSE))</f>
        <v>-0.38528089189648929</v>
      </c>
      <c r="S34" s="1">
        <f>(Main_L[[#This Row],[A/E]]-VLOOKUP(Main_L[[#This Row],[Industry]], Mean_AE_L, 2, FALSE))/(VLOOKUP(Main_L[[#This Row],[Industry]], Mean_AE_L, 3, FALSE))</f>
        <v>-0.54787470266295712</v>
      </c>
      <c r="T34" s="1">
        <f>(Main_L[[#This Row],[P/E]]-VLOOKUP(Main_L[[#This Row],[Industry]], Mean_PE_L, 2, FALSE))/(VLOOKUP(Main_L[[#This Row],[Industry]], Mean_PE_L, 3, FALSE))</f>
        <v>0.61257286369205632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s="68" t="s">
        <v>127</v>
      </c>
      <c r="B35" s="68" t="s">
        <v>138</v>
      </c>
      <c r="C35" s="2">
        <v>51254</v>
      </c>
      <c r="D35">
        <f>RTD("tos.rtd", , "LAST", Main_L[[#This Row],[Symbol]])</f>
        <v>74.69</v>
      </c>
      <c r="E35">
        <v>-6.46</v>
      </c>
      <c r="F35">
        <v>47.17</v>
      </c>
      <c r="G35">
        <v>4.5599999999999996</v>
      </c>
      <c r="H35" s="1">
        <f>IF(ISNUMBER(Main_L[[#This Row],[Free CF]]),IF(Main_L[[#This Row],[Free CF]]&lt;&gt;0,Main_L[[#This Row],[Current Price]]/Main_L[[#This Row],[Free CF]],""),"")</f>
        <v>-11.561919504643962</v>
      </c>
      <c r="I35" s="1">
        <f>IF(ISNUMBER(Main_L[[#This Row],[BVPS]]),IF(Main_L[[#This Row],[BVPS]]&lt;&gt;0,Main_L[[#This Row],[Current Price]]/Main_L[[#This Row],[BVPS]],""),"")</f>
        <v>1.5834216663133347</v>
      </c>
      <c r="J35">
        <v>9.7100000000000009</v>
      </c>
      <c r="K35">
        <v>1.93</v>
      </c>
      <c r="L35">
        <v>3.22</v>
      </c>
      <c r="M35" s="1">
        <f>IF(ISNUMBER(Main_L[[#This Row],[EPS]]),IF(Main_L[[#This Row],[EPS]]&lt;&gt;0,Main_L[[#This Row],[Current Price]]/Main_L[[#This Row],[EPS]],""),"")</f>
        <v>16.379385964912281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0.27837983424785423</v>
      </c>
      <c r="P35" s="1">
        <f>(Main_L[[#This Row],[P/B]]-VLOOKUP(Main_L[[#This Row],[Industry]], Mean_PB_L, 2, FALSE))/(VLOOKUP(Main_L[[#This Row],[Industry]], Mean_PB_L, 3, FALSE))</f>
        <v>-1.3089610361232711</v>
      </c>
      <c r="Q35" s="1">
        <f>(Main_L[[#This Row],[ROE]]-VLOOKUP(Main_L[[#This Row],[Industry]], Mean_ROE_L, 2, FALSE))/(VLOOKUP(Main_L[[#This Row],[Industry]], Mean_ROE_L, 3, FALSE))</f>
        <v>2.4937518754380956E-2</v>
      </c>
      <c r="R35" s="1">
        <f>(Main_L[[#This Row],[ROA]]-VLOOKUP(Main_L[[#This Row],[Industry]], Mean_ROA_L, 2, FALSE))/(VLOOKUP(Main_L[[#This Row],[Industry]], Mean_ROA_L, 3, FALSE))</f>
        <v>-7.5193987401798577</v>
      </c>
      <c r="S35" s="1">
        <f>(Main_L[[#This Row],[A/E]]-VLOOKUP(Main_L[[#This Row],[Industry]], Mean_AE_L, 2, FALSE))/(VLOOKUP(Main_L[[#This Row],[Industry]], Mean_AE_L, 3, FALSE))</f>
        <v>-0.89635282986694753</v>
      </c>
      <c r="T35" s="1">
        <f>(Main_L[[#This Row],[P/E]]-VLOOKUP(Main_L[[#This Row],[Industry]], Mean_PE_L, 2, FALSE))/(VLOOKUP(Main_L[[#This Row],[Industry]], Mean_PE_L, 3, FALSE))</f>
        <v>-1.873072928401093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s="68" t="s">
        <v>127</v>
      </c>
      <c r="B36" s="68" t="s">
        <v>134</v>
      </c>
      <c r="C36" s="2">
        <v>37647</v>
      </c>
      <c r="D36">
        <f>RTD("tos.rtd", , "LAST", Main_L[[#This Row],[Symbol]])</f>
        <v>101.11</v>
      </c>
      <c r="E36">
        <v>-2.34</v>
      </c>
      <c r="F36">
        <v>66.06</v>
      </c>
      <c r="G36">
        <v>5.42</v>
      </c>
      <c r="H36" s="1">
        <f>IF(ISNUMBER(Main_L[[#This Row],[Free CF]]),IF(Main_L[[#This Row],[Free CF]]&lt;&gt;0,Main_L[[#This Row],[Current Price]]/Main_L[[#This Row],[Free CF]],""),"")</f>
        <v>-43.20940170940171</v>
      </c>
      <c r="I36" s="1">
        <f>IF(ISNUMBER(Main_L[[#This Row],[BVPS]]),IF(Main_L[[#This Row],[BVPS]]&lt;&gt;0,Main_L[[#This Row],[Current Price]]/Main_L[[#This Row],[BVPS]],""),"")</f>
        <v>1.5305782621858917</v>
      </c>
      <c r="J36">
        <v>8.33</v>
      </c>
      <c r="K36">
        <v>3.11</v>
      </c>
      <c r="L36">
        <v>2.97</v>
      </c>
      <c r="M36" s="1">
        <f>IF(ISNUMBER(Main_L[[#This Row],[EPS]]),IF(Main_L[[#This Row],[EPS]]&lt;&gt;0,Main_L[[#This Row],[Current Price]]/Main_L[[#This Row],[EPS]],""),"")</f>
        <v>18.654981549815499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-0.93551143636165501</v>
      </c>
      <c r="P36" s="1">
        <f>(Main_L[[#This Row],[P/B]]-VLOOKUP(Main_L[[#This Row],[Industry]], Mean_PB_L, 2, FALSE))/(VLOOKUP(Main_L[[#This Row],[Industry]], Mean_PB_L, 3, FALSE))</f>
        <v>-1.4152560385230943</v>
      </c>
      <c r="Q36" s="1">
        <f>(Main_L[[#This Row],[ROE]]-VLOOKUP(Main_L[[#This Row],[Industry]], Mean_ROE_L, 2, FALSE))/(VLOOKUP(Main_L[[#This Row],[Industry]], Mean_ROE_L, 3, FALSE))</f>
        <v>-0.58236440855817206</v>
      </c>
      <c r="R36" s="1">
        <f>(Main_L[[#This Row],[ROA]]-VLOOKUP(Main_L[[#This Row],[Industry]], Mean_ROA_L, 2, FALSE))/(VLOOKUP(Main_L[[#This Row],[Industry]], Mean_ROA_L, 3, FALSE))</f>
        <v>0.8155112211809088</v>
      </c>
      <c r="S36" s="1">
        <f>(Main_L[[#This Row],[A/E]]-VLOOKUP(Main_L[[#This Row],[Industry]], Mean_AE_L, 2, FALSE))/(VLOOKUP(Main_L[[#This Row],[Industry]], Mean_AE_L, 3, FALSE))</f>
        <v>-1.408820663990463</v>
      </c>
      <c r="T36" s="1">
        <f>(Main_L[[#This Row],[P/E]]-VLOOKUP(Main_L[[#This Row],[Industry]], Mean_PE_L, 2, FALSE))/(VLOOKUP(Main_L[[#This Row],[Industry]], Mean_PE_L, 3, FALSE))</f>
        <v>-0.82440878470935419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s="68" t="s">
        <v>127</v>
      </c>
      <c r="B37" s="68" t="s">
        <v>135</v>
      </c>
      <c r="C37" s="2">
        <v>69983</v>
      </c>
      <c r="D37">
        <f>RTD("tos.rtd", , "LAST", Main_L[[#This Row],[Symbol]])</f>
        <v>71.12</v>
      </c>
      <c r="E37">
        <v>-0.69</v>
      </c>
      <c r="F37">
        <v>9.99</v>
      </c>
      <c r="G37">
        <v>0.77</v>
      </c>
      <c r="H37" s="1">
        <f>IF(ISNUMBER(Main_L[[#This Row],[Free CF]]),IF(Main_L[[#This Row],[Free CF]]&lt;&gt;0,Main_L[[#This Row],[Current Price]]/Main_L[[#This Row],[Free CF]],""),"")</f>
        <v>-103.07246376811595</v>
      </c>
      <c r="I37" s="1">
        <f>IF(ISNUMBER(Main_L[[#This Row],[BVPS]]),IF(Main_L[[#This Row],[BVPS]]&lt;&gt;0,Main_L[[#This Row],[Current Price]]/Main_L[[#This Row],[BVPS]],""),"")</f>
        <v>7.1191191191191194</v>
      </c>
      <c r="J37">
        <v>8.36</v>
      </c>
      <c r="K37">
        <v>3.04</v>
      </c>
      <c r="L37">
        <v>2.82</v>
      </c>
      <c r="M37" s="1">
        <f>IF(ISNUMBER(Main_L[[#This Row],[EPS]]),IF(Main_L[[#This Row],[EPS]]&lt;&gt;0,Main_L[[#This Row],[Current Price]]/Main_L[[#This Row],[EPS]],""),"")</f>
        <v>92.363636363636374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-3.2316577141247578</v>
      </c>
      <c r="P37" s="1">
        <f>(Main_L[[#This Row],[P/B]]-VLOOKUP(Main_L[[#This Row],[Industry]], Mean_PB_L, 2, FALSE))/(VLOOKUP(Main_L[[#This Row],[Industry]], Mean_PB_L, 3, FALSE))</f>
        <v>9.8261462444674095</v>
      </c>
      <c r="Q37" s="1">
        <f>(Main_L[[#This Row],[ROE]]-VLOOKUP(Main_L[[#This Row],[Industry]], Mean_ROE_L, 2, FALSE))/(VLOOKUP(Main_L[[#This Row],[Industry]], Mean_ROE_L, 3, FALSE))</f>
        <v>-0.56916219274702995</v>
      </c>
      <c r="R37" s="1">
        <f>(Main_L[[#This Row],[ROA]]-VLOOKUP(Main_L[[#This Row],[Industry]], Mean_ROA_L, 2, FALSE))/(VLOOKUP(Main_L[[#This Row],[Industry]], Mean_ROA_L, 3, FALSE))</f>
        <v>0.32106740991374577</v>
      </c>
      <c r="S37" s="1">
        <f>(Main_L[[#This Row],[A/E]]-VLOOKUP(Main_L[[#This Row],[Industry]], Mean_AE_L, 2, FALSE))/(VLOOKUP(Main_L[[#This Row],[Industry]], Mean_AE_L, 3, FALSE))</f>
        <v>-1.716301364464573</v>
      </c>
      <c r="T37" s="1">
        <f>(Main_L[[#This Row],[P/E]]-VLOOKUP(Main_L[[#This Row],[Industry]], Mean_PE_L, 2, FALSE))/(VLOOKUP(Main_L[[#This Row],[Industry]], Mean_PE_L, 3, FALSE))</f>
        <v>33.142796941914881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8" spans="1:26" x14ac:dyDescent="0.25">
      <c r="A38" s="68" t="s">
        <v>140</v>
      </c>
      <c r="B38" s="68" t="s">
        <v>141</v>
      </c>
      <c r="C38" s="2">
        <v>27881</v>
      </c>
      <c r="D38">
        <f>RTD("tos.rtd", , "LAST", Main_L[[#This Row],[Symbol]])</f>
        <v>139.81</v>
      </c>
      <c r="E38">
        <v>-4.1100000000000003</v>
      </c>
      <c r="F38">
        <v>54.02</v>
      </c>
      <c r="G38">
        <v>5.49</v>
      </c>
      <c r="H38" s="1">
        <f>IF(ISNUMBER(Main_L[[#This Row],[Free CF]]),IF(Main_L[[#This Row],[Free CF]]&lt;&gt;0,Main_L[[#This Row],[Current Price]]/Main_L[[#This Row],[Free CF]],""),"")</f>
        <v>-34.017031630170315</v>
      </c>
      <c r="I38" s="1">
        <f>IF(ISNUMBER(Main_L[[#This Row],[BVPS]]),IF(Main_L[[#This Row],[BVPS]]&lt;&gt;0,Main_L[[#This Row],[Current Price]]/Main_L[[#This Row],[BVPS]],""),"")</f>
        <v>2.5881155127730469</v>
      </c>
      <c r="J38">
        <v>10.43</v>
      </c>
      <c r="K38">
        <v>3.48</v>
      </c>
      <c r="L38">
        <v>3.15</v>
      </c>
      <c r="M38" s="1">
        <f>IF(ISNUMBER(Main_L[[#This Row],[EPS]]),IF(Main_L[[#This Row],[EPS]]&lt;&gt;0,Main_L[[#This Row],[Current Price]]/Main_L[[#This Row],[EPS]],""),"")</f>
        <v>25.466302367941712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-0.21239310015770663</v>
      </c>
      <c r="P38" s="1">
        <f>(Main_L[[#This Row],[P/B]]-VLOOKUP(Main_L[[#This Row],[Industry]], Mean_PB_L, 2, FALSE))/(VLOOKUP(Main_L[[#This Row],[Industry]], Mean_PB_L, 3, FALSE))</f>
        <v>1.2636363048408379</v>
      </c>
      <c r="Q38" s="1">
        <f>(Main_L[[#This Row],[ROE]]-VLOOKUP(Main_L[[#This Row],[Industry]], Mean_ROE_L, 2, FALSE))/(VLOOKUP(Main_L[[#This Row],[Industry]], Mean_ROE_L, 3, FALSE))</f>
        <v>-0.67153603963832587</v>
      </c>
      <c r="R38" s="1">
        <f>(Main_L[[#This Row],[ROA]]-VLOOKUP(Main_L[[#This Row],[Industry]], Mean_ROA_L, 2, FALSE))/(VLOOKUP(Main_L[[#This Row],[Industry]], Mean_ROA_L, 3, FALSE))</f>
        <v>-0.66218096252180525</v>
      </c>
      <c r="S38" s="1">
        <f>(Main_L[[#This Row],[A/E]]-VLOOKUP(Main_L[[#This Row],[Industry]], Mean_AE_L, 2, FALSE))/(VLOOKUP(Main_L[[#This Row],[Industry]], Mean_AE_L, 3, FALSE))</f>
        <v>1.0727741436595306</v>
      </c>
      <c r="T38" s="1">
        <f>(Main_L[[#This Row],[P/E]]-VLOOKUP(Main_L[[#This Row],[Industry]], Mean_PE_L, 2, FALSE))/(VLOOKUP(Main_L[[#This Row],[Industry]], Mean_PE_L, 3, FALSE))</f>
        <v>1.2061536224738894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s="68" t="s">
        <v>140</v>
      </c>
      <c r="B39" s="68" t="s">
        <v>143</v>
      </c>
      <c r="C39" s="2">
        <v>10801</v>
      </c>
      <c r="D39">
        <f>RTD("tos.rtd", , "LAST", Main_L[[#This Row],[Symbol]])</f>
        <v>37.89</v>
      </c>
      <c r="E39">
        <v>-1.89</v>
      </c>
      <c r="F39">
        <v>23.35</v>
      </c>
      <c r="G39">
        <v>2.23</v>
      </c>
      <c r="H39" s="1">
        <f>IF(ISNUMBER(Main_L[[#This Row],[Free CF]]),IF(Main_L[[#This Row],[Free CF]]&lt;&gt;0,Main_L[[#This Row],[Current Price]]/Main_L[[#This Row],[Free CF]],""),"")</f>
        <v>-20.047619047619047</v>
      </c>
      <c r="I39" s="1">
        <f>IF(ISNUMBER(Main_L[[#This Row],[BVPS]]),IF(Main_L[[#This Row],[BVPS]]&lt;&gt;0,Main_L[[#This Row],[Current Price]]/Main_L[[#This Row],[BVPS]],""),"")</f>
        <v>1.622698072805139</v>
      </c>
      <c r="J39">
        <v>9.7799999999999994</v>
      </c>
      <c r="K39">
        <v>3.04</v>
      </c>
      <c r="L39">
        <v>2.84</v>
      </c>
      <c r="M39" s="1">
        <f>IF(ISNUMBER(Main_L[[#This Row],[EPS]]),IF(Main_L[[#This Row],[EPS]]&lt;&gt;0,Main_L[[#This Row],[Current Price]]/Main_L[[#This Row],[EPS]],""),"")</f>
        <v>16.99103139013453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1.3170503307865169</v>
      </c>
      <c r="P39" s="1">
        <f>(Main_L[[#This Row],[P/B]]-VLOOKUP(Main_L[[#This Row],[Industry]], Mean_PB_L, 2, FALSE))/(VLOOKUP(Main_L[[#This Row],[Industry]], Mean_PB_L, 3, FALSE))</f>
        <v>-1.1817431171348278</v>
      </c>
      <c r="Q39" s="1">
        <f>(Main_L[[#This Row],[ROE]]-VLOOKUP(Main_L[[#This Row],[Industry]], Mean_ROE_L, 2, FALSE))/(VLOOKUP(Main_L[[#This Row],[Industry]], Mean_ROE_L, 3, FALSE))</f>
        <v>-0.74209074207877501</v>
      </c>
      <c r="R39" s="1">
        <f>(Main_L[[#This Row],[ROA]]-VLOOKUP(Main_L[[#This Row],[Industry]], Mean_ROA_L, 2, FALSE))/(VLOOKUP(Main_L[[#This Row],[Industry]], Mean_ROA_L, 3, FALSE))</f>
        <v>-0.75110048139553698</v>
      </c>
      <c r="S39" s="1">
        <f>(Main_L[[#This Row],[A/E]]-VLOOKUP(Main_L[[#This Row],[Industry]], Mean_AE_L, 2, FALSE))/(VLOOKUP(Main_L[[#This Row],[Industry]], Mean_AE_L, 3, FALSE))</f>
        <v>0.26165223016086037</v>
      </c>
      <c r="T39" s="1">
        <f>(Main_L[[#This Row],[P/E]]-VLOOKUP(Main_L[[#This Row],[Industry]], Mean_PE_L, 2, FALSE))/(VLOOKUP(Main_L[[#This Row],[Industry]], Mean_PE_L, 3, FALSE))</f>
        <v>3.6372232272258061E-2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s="68" t="s">
        <v>140</v>
      </c>
      <c r="B40" s="68" t="s">
        <v>142</v>
      </c>
      <c r="C40" s="2">
        <v>14039</v>
      </c>
      <c r="D40">
        <f>RTD("tos.rtd", , "LAST", Main_L[[#This Row],[Symbol]])</f>
        <v>20.239999999999998</v>
      </c>
      <c r="E40">
        <v>-0.48</v>
      </c>
      <c r="F40">
        <v>9.84</v>
      </c>
      <c r="G40">
        <v>2.62</v>
      </c>
      <c r="H40" s="1">
        <f>IF(ISNUMBER(Main_L[[#This Row],[Free CF]]),IF(Main_L[[#This Row],[Free CF]]&lt;&gt;0,Main_L[[#This Row],[Current Price]]/Main_L[[#This Row],[Free CF]],""),"")</f>
        <v>-42.166666666666664</v>
      </c>
      <c r="I40" s="1">
        <f>IF(ISNUMBER(Main_L[[#This Row],[BVPS]]),IF(Main_L[[#This Row],[BVPS]]&lt;&gt;0,Main_L[[#This Row],[Current Price]]/Main_L[[#This Row],[BVPS]],""),"")</f>
        <v>2.0569105691056908</v>
      </c>
      <c r="J40">
        <v>29.64</v>
      </c>
      <c r="K40">
        <v>13.75</v>
      </c>
      <c r="L40">
        <v>2.23</v>
      </c>
      <c r="M40" s="1">
        <f>IF(ISNUMBER(Main_L[[#This Row],[EPS]]),IF(Main_L[[#This Row],[EPS]]&lt;&gt;0,Main_L[[#This Row],[Current Price]]/Main_L[[#This Row],[EPS]],""),"")</f>
        <v>7.7251908396946556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-1.1046572306288123</v>
      </c>
      <c r="P40" s="1">
        <f>(Main_L[[#This Row],[P/B]]-VLOOKUP(Main_L[[#This Row],[Industry]], Mean_PB_L, 2, FALSE))/(VLOOKUP(Main_L[[#This Row],[Industry]], Mean_PB_L, 3, FALSE))</f>
        <v>-8.1893187706009063E-2</v>
      </c>
      <c r="Q40" s="1">
        <f>(Main_L[[#This Row],[ROE]]-VLOOKUP(Main_L[[#This Row],[Industry]], Mean_ROE_L, 2, FALSE))/(VLOOKUP(Main_L[[#This Row],[Industry]], Mean_ROE_L, 3, FALSE))</f>
        <v>1.4136267817171007</v>
      </c>
      <c r="R40" s="1">
        <f>(Main_L[[#This Row],[ROA]]-VLOOKUP(Main_L[[#This Row],[Industry]], Mean_ROA_L, 2, FALSE))/(VLOOKUP(Main_L[[#This Row],[Industry]], Mean_ROA_L, 3, FALSE))</f>
        <v>1.413281443917342</v>
      </c>
      <c r="S40" s="1">
        <f>(Main_L[[#This Row],[A/E]]-VLOOKUP(Main_L[[#This Row],[Industry]], Mean_AE_L, 2, FALSE))/(VLOOKUP(Main_L[[#This Row],[Industry]], Mean_AE_L, 3, FALSE))</f>
        <v>-1.3344263738203934</v>
      </c>
      <c r="T40" s="1">
        <f>(Main_L[[#This Row],[P/E]]-VLOOKUP(Main_L[[#This Row],[Industry]], Mean_PE_L, 2, FALSE))/(VLOOKUP(Main_L[[#This Row],[Industry]], Mean_PE_L, 3, FALSE))</f>
        <v>-1.2425258547461466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43"/>
  <sheetViews>
    <sheetView topLeftCell="H1" workbookViewId="0">
      <selection activeCell="B24" sqref="B24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8" t="s">
        <v>105</v>
      </c>
      <c r="B2" s="68" t="s">
        <v>159</v>
      </c>
      <c r="C2" s="2">
        <v>5253</v>
      </c>
      <c r="D2">
        <f>RTD("tos.rtd", , "LAST", Main_M[[#This Row],[Symbol]])</f>
        <v>56.57</v>
      </c>
      <c r="E2">
        <v>-8.16</v>
      </c>
      <c r="F2">
        <v>27.03</v>
      </c>
      <c r="G2">
        <v>2.2400000000000002</v>
      </c>
      <c r="H2" s="1">
        <f>IF(ISNUMBER(Main_M[[#This Row],[Free CF]]),IF(Main_M[[#This Row],[Free CF]]&lt;&gt;0,Main_M[[#This Row],[Current Price]]/Main_M[[#This Row],[Free CF]],""),"")</f>
        <v>-6.9325980392156863</v>
      </c>
      <c r="I2" s="1">
        <f>IF(ISNUMBER(Main_M[[#This Row],[BVPS]]),IF(Main_M[[#This Row],[BVPS]]&lt;&gt;0,Main_M[[#This Row],[Current Price]]/Main_M[[#This Row],[BVPS]],""),"")</f>
        <v>2.0928597854236033</v>
      </c>
      <c r="J2">
        <v>8.86</v>
      </c>
      <c r="K2">
        <v>2.57</v>
      </c>
      <c r="L2">
        <v>4.55</v>
      </c>
      <c r="M2" s="1">
        <f>IF(ISNUMBER(Main_M[[#This Row],[EPS]]),IF(Main_M[[#This Row],[EPS]]&lt;&gt;0,Main_M[[#This Row],[Current Price]]/Main_M[[#This Row],[EPS]],""),"")</f>
        <v>25.254464285714285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0.21743374460575404</v>
      </c>
      <c r="P2" s="1">
        <f>(Main_M[[#This Row],[P/B]]-VLOOKUP(Main_M[[#This Row],[Industry]], Mean_PB_M, 2, FALSE))/(VLOOKUP(Main_M[[#This Row],[Industry]], Mean_PB_M, 3, FALSE))</f>
        <v>-0.25160118089995076</v>
      </c>
      <c r="Q2" s="1">
        <f>(Main_M[[#This Row],[ROE]]-VLOOKUP(Main_M[[#This Row],[Industry]], Mean_ROE_M, 2, FALSE))/(VLOOKUP(Main_M[[#This Row],[Industry]], Mean_ROE_M, 3, FALSE))</f>
        <v>-0.29680414223050011</v>
      </c>
      <c r="R2" s="1">
        <f>(Main_M[[#This Row],[ROA]]-VLOOKUP(Main_M[[#This Row],[Industry]], Mean_ROA_M, 2, FALSE))/(VLOOKUP(Main_M[[#This Row],[Industry]], Mean_ROA_M, 3, FALSE))</f>
        <v>-1.0188704078832063</v>
      </c>
      <c r="S2" s="1">
        <f>(Main_M[[#This Row],[A/E]]-VLOOKUP(Main_M[[#This Row],[Industry]], Mean_AE_M, 2, FALSE))/(VLOOKUP(Main_M[[#This Row],[Industry]], Mean_AE_M, 3, FALSE))</f>
        <v>5.0640589106130829</v>
      </c>
      <c r="T2" s="1">
        <f>(Main_M[[#This Row],[P/E]]-VLOOKUP(Main_M[[#This Row],[Industry]], Mean_PE_M, 2, FALSE))/(VLOOKUP(Main_M[[#This Row],[Industry]], Mean_PE_M, 3, FALSE))</f>
        <v>-4.1399940957003521E-2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s="68" t="s">
        <v>105</v>
      </c>
      <c r="B3" s="68" t="s">
        <v>158</v>
      </c>
      <c r="C3" s="2">
        <v>4643</v>
      </c>
      <c r="D3">
        <f>RTD("tos.rtd", , "LAST", Main_M[[#This Row],[Symbol]])</f>
        <v>40.81</v>
      </c>
      <c r="E3">
        <v>-4.42</v>
      </c>
      <c r="F3">
        <v>35.1</v>
      </c>
      <c r="G3">
        <v>2.86</v>
      </c>
      <c r="H3" s="1">
        <f>IF(ISNUMBER(Main_M[[#This Row],[Free CF]]),IF(Main_M[[#This Row],[Free CF]]&lt;&gt;0,Main_M[[#This Row],[Current Price]]/Main_M[[#This Row],[Free CF]],""),"")</f>
        <v>-9.2330316742081457</v>
      </c>
      <c r="I3" s="1">
        <f>IF(ISNUMBER(Main_M[[#This Row],[BVPS]]),IF(Main_M[[#This Row],[BVPS]]&lt;&gt;0,Main_M[[#This Row],[Current Price]]/Main_M[[#This Row],[BVPS]],""),"")</f>
        <v>1.1626780626780626</v>
      </c>
      <c r="J3">
        <v>8.33</v>
      </c>
      <c r="K3">
        <v>2.7</v>
      </c>
      <c r="L3">
        <v>3.3</v>
      </c>
      <c r="M3" s="1">
        <f>IF(ISNUMBER(Main_M[[#This Row],[EPS]]),IF(Main_M[[#This Row],[EPS]]&lt;&gt;0,Main_M[[#This Row],[Current Price]]/Main_M[[#This Row],[EPS]],""),"")</f>
        <v>14.26923076923077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0.17950748653317936</v>
      </c>
      <c r="P3" s="1">
        <f>(Main_M[[#This Row],[P/B]]-VLOOKUP(Main_M[[#This Row],[Industry]], Mean_PB_M, 2, FALSE))/(VLOOKUP(Main_M[[#This Row],[Industry]], Mean_PB_M, 3, FALSE))</f>
        <v>-0.85072597675006856</v>
      </c>
      <c r="Q3" s="1">
        <f>(Main_M[[#This Row],[ROE]]-VLOOKUP(Main_M[[#This Row],[Industry]], Mean_ROE_M, 2, FALSE))/(VLOOKUP(Main_M[[#This Row],[Industry]], Mean_ROE_M, 3, FALSE))</f>
        <v>-0.40975245484171513</v>
      </c>
      <c r="R3" s="1">
        <f>(Main_M[[#This Row],[ROA]]-VLOOKUP(Main_M[[#This Row],[Industry]], Mean_ROA_M, 2, FALSE))/(VLOOKUP(Main_M[[#This Row],[Industry]], Mean_ROA_M, 3, FALSE))</f>
        <v>-0.86330462412922637</v>
      </c>
      <c r="S3" s="1">
        <f>(Main_M[[#This Row],[A/E]]-VLOOKUP(Main_M[[#This Row],[Industry]], Mean_AE_M, 2, FALSE))/(VLOOKUP(Main_M[[#This Row],[Industry]], Mean_AE_M, 3, FALSE))</f>
        <v>2.0260654542025298</v>
      </c>
      <c r="T3" s="1">
        <f>(Main_M[[#This Row],[P/E]]-VLOOKUP(Main_M[[#This Row],[Industry]], Mean_PE_M, 2, FALSE))/(VLOOKUP(Main_M[[#This Row],[Industry]], Mean_PE_M, 3, FALSE))</f>
        <v>-0.64250454633993781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s="68" t="s">
        <v>105</v>
      </c>
      <c r="B4" s="68" t="s">
        <v>154</v>
      </c>
      <c r="C4" s="2">
        <v>8953</v>
      </c>
      <c r="D4">
        <f>RTD("tos.rtd", , "LAST", Main_M[[#This Row],[Symbol]])</f>
        <v>43.77</v>
      </c>
      <c r="E4">
        <v>-1.83</v>
      </c>
      <c r="F4">
        <v>22.93</v>
      </c>
      <c r="G4">
        <v>2.41</v>
      </c>
      <c r="H4" s="1">
        <f>IF(ISNUMBER(Main_M[[#This Row],[Free CF]]),IF(Main_M[[#This Row],[Free CF]]&lt;&gt;0,Main_M[[#This Row],[Current Price]]/Main_M[[#This Row],[Free CF]],""),"")</f>
        <v>-23.918032786885245</v>
      </c>
      <c r="I4" s="1">
        <f>IF(ISNUMBER(Main_M[[#This Row],[BVPS]]),IF(Main_M[[#This Row],[BVPS]]&lt;&gt;0,Main_M[[#This Row],[Current Price]]/Main_M[[#This Row],[BVPS]],""),"")</f>
        <v>1.908853030963803</v>
      </c>
      <c r="J4">
        <v>10.72</v>
      </c>
      <c r="K4">
        <v>3.71</v>
      </c>
      <c r="L4">
        <v>3.02</v>
      </c>
      <c r="M4" s="1">
        <f>IF(ISNUMBER(Main_M[[#This Row],[EPS]]),IF(Main_M[[#This Row],[EPS]]&lt;&gt;0,Main_M[[#This Row],[Current Price]]/Main_M[[#This Row],[EPS]],""),"")</f>
        <v>18.161825726141078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-6.2597798976290989E-2</v>
      </c>
      <c r="P4" s="1">
        <f>(Main_M[[#This Row],[P/B]]-VLOOKUP(Main_M[[#This Row],[Industry]], Mean_PB_M, 2, FALSE))/(VLOOKUP(Main_M[[#This Row],[Industry]], Mean_PB_M, 3, FALSE))</f>
        <v>-0.37011889255243885</v>
      </c>
      <c r="Q4" s="1">
        <f>(Main_M[[#This Row],[ROE]]-VLOOKUP(Main_M[[#This Row],[Industry]], Mean_ROE_M, 2, FALSE))/(VLOOKUP(Main_M[[#This Row],[Industry]], Mean_ROE_M, 3, FALSE))</f>
        <v>9.9580502027726836E-2</v>
      </c>
      <c r="R4" s="1">
        <f>(Main_M[[#This Row],[ROA]]-VLOOKUP(Main_M[[#This Row],[Industry]], Mean_ROA_M, 2, FALSE))/(VLOOKUP(Main_M[[#This Row],[Industry]], Mean_ROA_M, 3, FALSE))</f>
        <v>0.3453218496516901</v>
      </c>
      <c r="S4" s="1">
        <f>(Main_M[[#This Row],[A/E]]-VLOOKUP(Main_M[[#This Row],[Industry]], Mean_AE_M, 2, FALSE))/(VLOOKUP(Main_M[[#This Row],[Industry]], Mean_AE_M, 3, FALSE))</f>
        <v>1.3455549199665662</v>
      </c>
      <c r="T4" s="1">
        <f>(Main_M[[#This Row],[P/E]]-VLOOKUP(Main_M[[#This Row],[Industry]], Mean_PE_M, 2, FALSE))/(VLOOKUP(Main_M[[#This Row],[Industry]], Mean_PE_M, 3, FALSE))</f>
        <v>-0.42950436277732357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s="68" t="s">
        <v>105</v>
      </c>
      <c r="B5" s="68" t="s">
        <v>152</v>
      </c>
      <c r="C5" s="2">
        <v>6426</v>
      </c>
      <c r="D5">
        <f>RTD("tos.rtd", , "LAST", Main_M[[#This Row],[Symbol]])</f>
        <v>115.68</v>
      </c>
      <c r="E5">
        <v>-6.47</v>
      </c>
      <c r="F5">
        <v>61.95</v>
      </c>
      <c r="G5">
        <v>5.63</v>
      </c>
      <c r="H5" s="1">
        <f>IF(ISNUMBER(Main_M[[#This Row],[Free CF]]),IF(Main_M[[#This Row],[Free CF]]&lt;&gt;0,Main_M[[#This Row],[Current Price]]/Main_M[[#This Row],[Free CF]],""),"")</f>
        <v>-17.879443585780528</v>
      </c>
      <c r="I5" s="1">
        <f>IF(ISNUMBER(Main_M[[#This Row],[BVPS]]),IF(Main_M[[#This Row],[BVPS]]&lt;&gt;0,Main_M[[#This Row],[Current Price]]/Main_M[[#This Row],[BVPS]],""),"")</f>
        <v>1.867312348668281</v>
      </c>
      <c r="J5">
        <v>9.6</v>
      </c>
      <c r="K5">
        <v>2.27</v>
      </c>
      <c r="L5">
        <v>2.87</v>
      </c>
      <c r="M5" s="1">
        <f>IF(ISNUMBER(Main_M[[#This Row],[EPS]]),IF(Main_M[[#This Row],[EPS]]&lt;&gt;0,Main_M[[#This Row],[Current Price]]/Main_M[[#This Row],[EPS]],""),"")</f>
        <v>20.547069271758438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3.6957819126167676E-2</v>
      </c>
      <c r="P5" s="1">
        <f>(Main_M[[#This Row],[P/B]]-VLOOKUP(Main_M[[#This Row],[Industry]], Mean_PB_M, 2, FALSE))/(VLOOKUP(Main_M[[#This Row],[Industry]], Mean_PB_M, 3, FALSE))</f>
        <v>-0.39687501148188759</v>
      </c>
      <c r="Q5" s="1">
        <f>(Main_M[[#This Row],[ROE]]-VLOOKUP(Main_M[[#This Row],[Industry]], Mean_ROE_M, 2, FALSE))/(VLOOKUP(Main_M[[#This Row],[Industry]], Mean_ROE_M, 3, FALSE))</f>
        <v>-0.13910272462238837</v>
      </c>
      <c r="R5" s="1">
        <f>(Main_M[[#This Row],[ROA]]-VLOOKUP(Main_M[[#This Row],[Industry]], Mean_ROA_M, 2, FALSE))/(VLOOKUP(Main_M[[#This Row],[Industry]], Mean_ROA_M, 3, FALSE))</f>
        <v>-1.3778683703923891</v>
      </c>
      <c r="S5" s="1">
        <f>(Main_M[[#This Row],[A/E]]-VLOOKUP(Main_M[[#This Row],[Industry]], Mean_AE_M, 2, FALSE))/(VLOOKUP(Main_M[[#This Row],[Industry]], Mean_AE_M, 3, FALSE))</f>
        <v>0.98099570519730006</v>
      </c>
      <c r="T5" s="1">
        <f>(Main_M[[#This Row],[P/E]]-VLOOKUP(Main_M[[#This Row],[Industry]], Mean_PE_M, 2, FALSE))/(VLOOKUP(Main_M[[#This Row],[Industry]], Mean_PE_M, 3, FALSE))</f>
        <v>-0.29898543679554052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s="68" t="s">
        <v>105</v>
      </c>
      <c r="B6" s="68" t="s">
        <v>151</v>
      </c>
      <c r="C6" s="2">
        <v>4911</v>
      </c>
      <c r="D6">
        <f>RTD("tos.rtd", , "LAST", Main_M[[#This Row],[Symbol]])</f>
        <v>3.5</v>
      </c>
      <c r="E6">
        <v>0.01</v>
      </c>
      <c r="F6">
        <v>0.08</v>
      </c>
      <c r="G6">
        <v>0</v>
      </c>
      <c r="H6" s="1">
        <f>IF(ISNUMBER(Main_M[[#This Row],[Free CF]]),IF(Main_M[[#This Row],[Free CF]]&lt;&gt;0,Main_M[[#This Row],[Current Price]]/Main_M[[#This Row],[Free CF]],""),"")</f>
        <v>350</v>
      </c>
      <c r="I6" s="1">
        <f>IF(ISNUMBER(Main_M[[#This Row],[BVPS]]),IF(Main_M[[#This Row],[BVPS]]&lt;&gt;0,Main_M[[#This Row],[Current Price]]/Main_M[[#This Row],[BVPS]],""),"")</f>
        <v>43.75</v>
      </c>
      <c r="J6">
        <v>4.0999999999999996</v>
      </c>
      <c r="K6">
        <v>2.15</v>
      </c>
      <c r="L6">
        <v>2.4700000000000002</v>
      </c>
      <c r="M6" s="1" t="str">
        <f>IF(ISNUMBER(Main_M[[#This Row],[EPS]]),IF(Main_M[[#This Row],[EPS]]&lt;&gt;0,Main_M[[#This Row],[Current Price]]/Main_M[[#This Row],[EPS]],""),"")</f>
        <v/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6.1020276845627448</v>
      </c>
      <c r="P6" s="1">
        <f>(Main_M[[#This Row],[P/B]]-VLOOKUP(Main_M[[#This Row],[Industry]], Mean_PB_M, 2, FALSE))/(VLOOKUP(Main_M[[#This Row],[Industry]], Mean_PB_M, 3, FALSE))</f>
        <v>26.579527636694813</v>
      </c>
      <c r="Q6" s="1">
        <f>(Main_M[[#This Row],[ROE]]-VLOOKUP(Main_M[[#This Row],[Industry]], Mean_ROE_M, 2, FALSE))/(VLOOKUP(Main_M[[#This Row],[Industry]], Mean_ROE_M, 3, FALSE))</f>
        <v>-1.3112078554934889</v>
      </c>
      <c r="R6" s="1">
        <f>(Main_M[[#This Row],[ROA]]-VLOOKUP(Main_M[[#This Row],[Industry]], Mean_ROA_M, 2, FALSE))/(VLOOKUP(Main_M[[#This Row],[Industry]], Mean_ROA_M, 3, FALSE))</f>
        <v>-1.5214675553960626</v>
      </c>
      <c r="S6" s="1">
        <f>(Main_M[[#This Row],[A/E]]-VLOOKUP(Main_M[[#This Row],[Industry]], Mean_AE_M, 2, FALSE))/(VLOOKUP(Main_M[[#This Row],[Industry]], Mean_AE_M, 3, FALSE))</f>
        <v>8.8377991459232842E-3</v>
      </c>
      <c r="T6" s="1" t="e">
        <f>(Main_M[[#This Row],[P/E]]-VLOOKUP(Main_M[[#This Row],[Industry]], Mean_PE_M, 2, FALSE))/(VLOOKUP(Main_M[[#This Row],[Industry]], Mean_PE_M, 3, FALSE))</f>
        <v>#VALUE!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" spans="1:26" x14ac:dyDescent="0.25">
      <c r="A7" s="68" t="s">
        <v>105</v>
      </c>
      <c r="B7" s="68" t="s">
        <v>147</v>
      </c>
      <c r="C7" s="2">
        <v>3770</v>
      </c>
      <c r="D7">
        <f>RTD("tos.rtd", , "LAST", Main_M[[#This Row],[Symbol]])</f>
        <v>65.260000000000005</v>
      </c>
      <c r="E7">
        <v>1.01</v>
      </c>
      <c r="F7">
        <v>49.44</v>
      </c>
      <c r="G7">
        <v>3.19</v>
      </c>
      <c r="H7" s="1">
        <f>IF(ISNUMBER(Main_M[[#This Row],[Free CF]]),IF(Main_M[[#This Row],[Free CF]]&lt;&gt;0,Main_M[[#This Row],[Current Price]]/Main_M[[#This Row],[Free CF]],""),"")</f>
        <v>64.613861386138623</v>
      </c>
      <c r="I7" s="1">
        <f>IF(ISNUMBER(Main_M[[#This Row],[BVPS]]),IF(Main_M[[#This Row],[BVPS]]&lt;&gt;0,Main_M[[#This Row],[Current Price]]/Main_M[[#This Row],[BVPS]],""),"")</f>
        <v>1.3199838187702266</v>
      </c>
      <c r="J7">
        <v>3.51</v>
      </c>
      <c r="K7">
        <v>1.64</v>
      </c>
      <c r="L7">
        <v>2.4</v>
      </c>
      <c r="M7" s="1">
        <f>IF(ISNUMBER(Main_M[[#This Row],[EPS]]),IF(Main_M[[#This Row],[EPS]]&lt;&gt;0,Main_M[[#This Row],[Current Price]]/Main_M[[#This Row],[EPS]],""),"")</f>
        <v>20.457680250783699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1.3969893914496483</v>
      </c>
      <c r="P7" s="1">
        <f>(Main_M[[#This Row],[P/B]]-VLOOKUP(Main_M[[#This Row],[Industry]], Mean_PB_M, 2, FALSE))/(VLOOKUP(Main_M[[#This Row],[Industry]], Mean_PB_M, 3, FALSE))</f>
        <v>-0.7494062273933636</v>
      </c>
      <c r="Q7" s="1">
        <f>(Main_M[[#This Row],[ROE]]-VLOOKUP(Main_M[[#This Row],[Industry]], Mean_ROE_M, 2, FALSE))/(VLOOKUP(Main_M[[#This Row],[Industry]], Mean_ROE_M, 3, FALSE))</f>
        <v>-1.4369427695323886</v>
      </c>
      <c r="R7" s="1">
        <f>(Main_M[[#This Row],[ROA]]-VLOOKUP(Main_M[[#This Row],[Industry]], Mean_ROA_M, 2, FALSE))/(VLOOKUP(Main_M[[#This Row],[Industry]], Mean_ROA_M, 3, FALSE))</f>
        <v>-2.1317640916616742</v>
      </c>
      <c r="S7" s="1">
        <f>(Main_M[[#This Row],[A/E]]-VLOOKUP(Main_M[[#This Row],[Industry]], Mean_AE_M, 2, FALSE))/(VLOOKUP(Main_M[[#This Row],[Industry]], Mean_AE_M, 3, FALSE))</f>
        <v>-0.16128983441306838</v>
      </c>
      <c r="T7" s="1">
        <f>(Main_M[[#This Row],[P/E]]-VLOOKUP(Main_M[[#This Row],[Industry]], Mean_PE_M, 2, FALSE))/(VLOOKUP(Main_M[[#This Row],[Industry]], Mean_PE_M, 3, FALSE))</f>
        <v>-0.30387674403065401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s="68" t="s">
        <v>105</v>
      </c>
      <c r="B8" s="68" t="s">
        <v>149</v>
      </c>
      <c r="C8" s="2">
        <v>6666</v>
      </c>
      <c r="D8">
        <f>RTD("tos.rtd", , "LAST", Main_M[[#This Row],[Symbol]])</f>
        <v>8.8000000000000007</v>
      </c>
      <c r="E8">
        <v>-0.17</v>
      </c>
      <c r="F8">
        <v>1.55</v>
      </c>
      <c r="G8">
        <v>0.14000000000000001</v>
      </c>
      <c r="H8" s="1">
        <f>IF(ISNUMBER(Main_M[[#This Row],[Free CF]]),IF(Main_M[[#This Row],[Free CF]]&lt;&gt;0,Main_M[[#This Row],[Current Price]]/Main_M[[#This Row],[Free CF]],""),"")</f>
        <v>-51.764705882352942</v>
      </c>
      <c r="I8" s="1">
        <f>IF(ISNUMBER(Main_M[[#This Row],[BVPS]]),IF(Main_M[[#This Row],[BVPS]]&lt;&gt;0,Main_M[[#This Row],[Current Price]]/Main_M[[#This Row],[BVPS]],""),"")</f>
        <v>5.67741935483871</v>
      </c>
      <c r="J8">
        <v>9.58</v>
      </c>
      <c r="K8">
        <v>4.4400000000000004</v>
      </c>
      <c r="L8">
        <v>2.29</v>
      </c>
      <c r="M8" s="1">
        <f>IF(ISNUMBER(Main_M[[#This Row],[EPS]]),IF(Main_M[[#This Row],[EPS]]&lt;&gt;0,Main_M[[#This Row],[Current Price]]/Main_M[[#This Row],[EPS]],""),"")</f>
        <v>62.857142857142854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-0.52169389904039565</v>
      </c>
      <c r="P8" s="1">
        <f>(Main_M[[#This Row],[P/B]]-VLOOKUP(Main_M[[#This Row],[Industry]], Mean_PB_M, 2, FALSE))/(VLOOKUP(Main_M[[#This Row],[Industry]], Mean_PB_M, 3, FALSE))</f>
        <v>2.0571933994746479</v>
      </c>
      <c r="Q8" s="1">
        <f>(Main_M[[#This Row],[ROE]]-VLOOKUP(Main_M[[#This Row],[Industry]], Mean_ROE_M, 2, FALSE))/(VLOOKUP(Main_M[[#This Row],[Industry]], Mean_ROE_M, 3, FALSE))</f>
        <v>-0.14336492509828319</v>
      </c>
      <c r="R8" s="1">
        <f>(Main_M[[#This Row],[ROA]]-VLOOKUP(Main_M[[#This Row],[Industry]], Mean_ROA_M, 2, FALSE))/(VLOOKUP(Main_M[[#This Row],[Industry]], Mean_ROA_M, 3, FALSE))</f>
        <v>1.2188835584240365</v>
      </c>
      <c r="S8" s="1">
        <f>(Main_M[[#This Row],[A/E]]-VLOOKUP(Main_M[[#This Row],[Industry]], Mean_AE_M, 2, FALSE))/(VLOOKUP(Main_M[[#This Row],[Industry]], Mean_AE_M, 3, FALSE))</f>
        <v>-0.42863325857719675</v>
      </c>
      <c r="T8" s="1">
        <f>(Main_M[[#This Row],[P/E]]-VLOOKUP(Main_M[[#This Row],[Industry]], Mean_PE_M, 2, FALSE))/(VLOOKUP(Main_M[[#This Row],[Industry]], Mean_PE_M, 3, FALSE))</f>
        <v>2.0161933937776215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s="68" t="s">
        <v>105</v>
      </c>
      <c r="B9" s="68" t="s">
        <v>150</v>
      </c>
      <c r="C9" s="2">
        <v>6080</v>
      </c>
      <c r="D9">
        <f>RTD("tos.rtd", , "LAST", Main_M[[#This Row],[Symbol]])</f>
        <v>8.1301000000000005</v>
      </c>
      <c r="E9">
        <v>-0.17</v>
      </c>
      <c r="F9">
        <v>1.55</v>
      </c>
      <c r="G9">
        <v>0.14000000000000001</v>
      </c>
      <c r="H9" s="1">
        <f>IF(ISNUMBER(Main_M[[#This Row],[Free CF]]),IF(Main_M[[#This Row],[Free CF]]&lt;&gt;0,Main_M[[#This Row],[Current Price]]/Main_M[[#This Row],[Free CF]],""),"")</f>
        <v>-47.82411764705882</v>
      </c>
      <c r="I9" s="1">
        <f>IF(ISNUMBER(Main_M[[#This Row],[BVPS]]),IF(Main_M[[#This Row],[BVPS]]&lt;&gt;0,Main_M[[#This Row],[Current Price]]/Main_M[[#This Row],[BVPS]],""),"")</f>
        <v>5.2452258064516135</v>
      </c>
      <c r="J9">
        <v>9.58</v>
      </c>
      <c r="K9">
        <v>4.4400000000000004</v>
      </c>
      <c r="L9">
        <v>2.29</v>
      </c>
      <c r="M9" s="1">
        <f>IF(ISNUMBER(Main_M[[#This Row],[EPS]]),IF(Main_M[[#This Row],[EPS]]&lt;&gt;0,Main_M[[#This Row],[Current Price]]/Main_M[[#This Row],[EPS]],""),"")</f>
        <v>58.072142857142858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-0.4567271188228883</v>
      </c>
      <c r="P9" s="1">
        <f>(Main_M[[#This Row],[P/B]]-VLOOKUP(Main_M[[#This Row],[Industry]], Mean_PB_M, 2, FALSE))/(VLOOKUP(Main_M[[#This Row],[Industry]], Mean_PB_M, 3, FALSE))</f>
        <v>1.778819975106696</v>
      </c>
      <c r="Q9" s="1">
        <f>(Main_M[[#This Row],[ROE]]-VLOOKUP(Main_M[[#This Row],[Industry]], Mean_ROE_M, 2, FALSE))/(VLOOKUP(Main_M[[#This Row],[Industry]], Mean_ROE_M, 3, FALSE))</f>
        <v>-0.14336492509828319</v>
      </c>
      <c r="R9" s="1">
        <f>(Main_M[[#This Row],[ROA]]-VLOOKUP(Main_M[[#This Row],[Industry]], Mean_ROA_M, 2, FALSE))/(VLOOKUP(Main_M[[#This Row],[Industry]], Mean_ROA_M, 3, FALSE))</f>
        <v>1.2188835584240365</v>
      </c>
      <c r="S9" s="1">
        <f>(Main_M[[#This Row],[A/E]]-VLOOKUP(Main_M[[#This Row],[Industry]], Mean_AE_M, 2, FALSE))/(VLOOKUP(Main_M[[#This Row],[Industry]], Mean_AE_M, 3, FALSE))</f>
        <v>-0.42863325857719675</v>
      </c>
      <c r="T9" s="1">
        <f>(Main_M[[#This Row],[P/E]]-VLOOKUP(Main_M[[#This Row],[Industry]], Mean_PE_M, 2, FALSE))/(VLOOKUP(Main_M[[#This Row],[Industry]], Mean_PE_M, 3, FALSE))</f>
        <v>1.7543614051866254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s="68" t="s">
        <v>105</v>
      </c>
      <c r="B10" s="68" t="s">
        <v>148</v>
      </c>
      <c r="C10" s="2">
        <v>5349</v>
      </c>
      <c r="D10">
        <f>RTD("tos.rtd", , "LAST", Main_M[[#This Row],[Symbol]])</f>
        <v>1.84</v>
      </c>
      <c r="E10">
        <v>-0.02</v>
      </c>
      <c r="F10">
        <v>1.71</v>
      </c>
      <c r="G10">
        <v>0.43</v>
      </c>
      <c r="H10" s="1">
        <f>IF(ISNUMBER(Main_M[[#This Row],[Free CF]]),IF(Main_M[[#This Row],[Free CF]]&lt;&gt;0,Main_M[[#This Row],[Current Price]]/Main_M[[#This Row],[Free CF]],""),"")</f>
        <v>-92</v>
      </c>
      <c r="I10" s="1">
        <f>IF(ISNUMBER(Main_M[[#This Row],[BVPS]]),IF(Main_M[[#This Row],[BVPS]]&lt;&gt;0,Main_M[[#This Row],[Current Price]]/Main_M[[#This Row],[BVPS]],""),"")</f>
        <v>1.0760233918128657</v>
      </c>
      <c r="J10">
        <v>26.27</v>
      </c>
      <c r="K10">
        <v>8.19</v>
      </c>
      <c r="L10">
        <v>2.29</v>
      </c>
      <c r="M10" s="1">
        <f>IF(ISNUMBER(Main_M[[#This Row],[EPS]]),IF(Main_M[[#This Row],[EPS]]&lt;&gt;0,Main_M[[#This Row],[Current Price]]/Main_M[[#This Row],[EPS]],""),"")</f>
        <v>4.279069767441861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-1.1850358555827891</v>
      </c>
      <c r="P10" s="1">
        <f>(Main_M[[#This Row],[P/B]]-VLOOKUP(Main_M[[#This Row],[Industry]], Mean_PB_M, 2, FALSE))/(VLOOKUP(Main_M[[#This Row],[Industry]], Mean_PB_M, 3, FALSE))</f>
        <v>-0.90653976100539801</v>
      </c>
      <c r="Q10" s="1">
        <f>(Main_M[[#This Row],[ROE]]-VLOOKUP(Main_M[[#This Row],[Industry]], Mean_ROE_M, 2, FALSE))/(VLOOKUP(Main_M[[#This Row],[Industry]], Mean_ROE_M, 3, FALSE))</f>
        <v>3.4134413720360195</v>
      </c>
      <c r="R10" s="1">
        <f>(Main_M[[#This Row],[ROA]]-VLOOKUP(Main_M[[#This Row],[Industry]], Mean_ROA_M, 2, FALSE))/(VLOOKUP(Main_M[[#This Row],[Industry]], Mean_ROA_M, 3, FALSE))</f>
        <v>5.7063580897888251</v>
      </c>
      <c r="S10" s="1">
        <f>(Main_M[[#This Row],[A/E]]-VLOOKUP(Main_M[[#This Row],[Industry]], Mean_AE_M, 2, FALSE))/(VLOOKUP(Main_M[[#This Row],[Industry]], Mean_AE_M, 3, FALSE))</f>
        <v>-0.42863325857719675</v>
      </c>
      <c r="T10" s="1">
        <f>(Main_M[[#This Row],[P/E]]-VLOOKUP(Main_M[[#This Row],[Industry]], Mean_PE_M, 2, FALSE))/(VLOOKUP(Main_M[[#This Row],[Industry]], Mean_PE_M, 3, FALSE))</f>
        <v>-1.1891594515526041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s="68" t="s">
        <v>105</v>
      </c>
      <c r="B11" s="68" t="s">
        <v>153</v>
      </c>
      <c r="C11" s="2">
        <v>3300</v>
      </c>
      <c r="D11">
        <f>RTD("tos.rtd", , "LAST", Main_M[[#This Row],[Symbol]])</f>
        <v>88.65</v>
      </c>
      <c r="E11">
        <v>1.38</v>
      </c>
      <c r="F11">
        <v>34.46</v>
      </c>
      <c r="G11">
        <v>3.54</v>
      </c>
      <c r="H11" s="1">
        <f>IF(ISNUMBER(Main_M[[#This Row],[Free CF]]),IF(Main_M[[#This Row],[Free CF]]&lt;&gt;0,Main_M[[#This Row],[Current Price]]/Main_M[[#This Row],[Free CF]],""),"")</f>
        <v>64.239130434782624</v>
      </c>
      <c r="I11" s="1">
        <f>IF(ISNUMBER(Main_M[[#This Row],[BVPS]]),IF(Main_M[[#This Row],[BVPS]]&lt;&gt;0,Main_M[[#This Row],[Current Price]]/Main_M[[#This Row],[BVPS]],""),"")</f>
        <v>2.5725478816018574</v>
      </c>
      <c r="J11">
        <v>10.62</v>
      </c>
      <c r="K11">
        <v>3.82</v>
      </c>
      <c r="L11">
        <v>2.2599999999999998</v>
      </c>
      <c r="M11" s="1">
        <f>IF(ISNUMBER(Main_M[[#This Row],[EPS]]),IF(Main_M[[#This Row],[EPS]]&lt;&gt;0,Main_M[[#This Row],[Current Price]]/Main_M[[#This Row],[EPS]],""),"")</f>
        <v>25.042372881355934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1.3908113637279507</v>
      </c>
      <c r="P11" s="1">
        <f>(Main_M[[#This Row],[P/B]]-VLOOKUP(Main_M[[#This Row],[Industry]], Mean_PB_M, 2, FALSE))/(VLOOKUP(Main_M[[#This Row],[Industry]], Mean_PB_M, 3, FALSE))</f>
        <v>5.7363213547893144E-2</v>
      </c>
      <c r="Q11" s="1">
        <f>(Main_M[[#This Row],[ROE]]-VLOOKUP(Main_M[[#This Row],[Industry]], Mean_ROE_M, 2, FALSE))/(VLOOKUP(Main_M[[#This Row],[Industry]], Mean_ROE_M, 3, FALSE))</f>
        <v>7.8269499648251986E-2</v>
      </c>
      <c r="R11" s="1">
        <f>(Main_M[[#This Row],[ROA]]-VLOOKUP(Main_M[[#This Row],[Industry]], Mean_ROA_M, 2, FALSE))/(VLOOKUP(Main_M[[#This Row],[Industry]], Mean_ROA_M, 3, FALSE))</f>
        <v>0.47695443590505715</v>
      </c>
      <c r="S11" s="1">
        <f>(Main_M[[#This Row],[A/E]]-VLOOKUP(Main_M[[#This Row],[Industry]], Mean_AE_M, 2, FALSE))/(VLOOKUP(Main_M[[#This Row],[Industry]], Mean_AE_M, 3, FALSE))</f>
        <v>-0.50154510153105059</v>
      </c>
      <c r="T11" s="1">
        <f>(Main_M[[#This Row],[P/E]]-VLOOKUP(Main_M[[#This Row],[Industry]], Mean_PE_M, 2, FALSE))/(VLOOKUP(Main_M[[#This Row],[Industry]], Mean_PE_M, 3, FALSE))</f>
        <v>-5.3005440260285433E-2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s="68" t="s">
        <v>105</v>
      </c>
      <c r="B12" s="68" t="s">
        <v>156</v>
      </c>
      <c r="C12" s="2">
        <v>3234</v>
      </c>
      <c r="D12">
        <f>RTD("tos.rtd", , "LAST", Main_M[[#This Row],[Symbol]])</f>
        <v>78.41</v>
      </c>
      <c r="E12">
        <v>1.86</v>
      </c>
      <c r="F12">
        <v>41.01</v>
      </c>
      <c r="G12">
        <v>7.02</v>
      </c>
      <c r="H12" s="1">
        <f>IF(ISNUMBER(Main_M[[#This Row],[Free CF]]),IF(Main_M[[#This Row],[Free CF]]&lt;&gt;0,Main_M[[#This Row],[Current Price]]/Main_M[[#This Row],[Free CF]],""),"")</f>
        <v>42.155913978494617</v>
      </c>
      <c r="I12" s="1">
        <f>IF(ISNUMBER(Main_M[[#This Row],[BVPS]]),IF(Main_M[[#This Row],[BVPS]]&lt;&gt;0,Main_M[[#This Row],[Current Price]]/Main_M[[#This Row],[BVPS]],""),"")</f>
        <v>1.9119726895879054</v>
      </c>
      <c r="J12">
        <v>18.38</v>
      </c>
      <c r="K12">
        <v>6.72</v>
      </c>
      <c r="L12">
        <v>2.15</v>
      </c>
      <c r="M12" s="1">
        <f>IF(ISNUMBER(Main_M[[#This Row],[EPS]]),IF(Main_M[[#This Row],[EPS]]&lt;&gt;0,Main_M[[#This Row],[Current Price]]/Main_M[[#This Row],[EPS]],""),"")</f>
        <v>11.16951566951567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1.0267348897737465</v>
      </c>
      <c r="P12" s="1">
        <f>(Main_M[[#This Row],[P/B]]-VLOOKUP(Main_M[[#This Row],[Industry]], Mean_PB_M, 2, FALSE))/(VLOOKUP(Main_M[[#This Row],[Industry]], Mean_PB_M, 3, FALSE))</f>
        <v>-0.36810953804612723</v>
      </c>
      <c r="Q12" s="1">
        <f>(Main_M[[#This Row],[ROE]]-VLOOKUP(Main_M[[#This Row],[Industry]], Mean_ROE_M, 2, FALSE))/(VLOOKUP(Main_M[[#This Row],[Industry]], Mean_ROE_M, 3, FALSE))</f>
        <v>1.7320032842954773</v>
      </c>
      <c r="R12" s="1">
        <f>(Main_M[[#This Row],[ROA]]-VLOOKUP(Main_M[[#This Row],[Industry]], Mean_ROA_M, 2, FALSE))/(VLOOKUP(Main_M[[#This Row],[Industry]], Mean_ROA_M, 3, FALSE))</f>
        <v>3.9472680734938281</v>
      </c>
      <c r="S12" s="1">
        <f>(Main_M[[#This Row],[A/E]]-VLOOKUP(Main_M[[#This Row],[Industry]], Mean_AE_M, 2, FALSE))/(VLOOKUP(Main_M[[#This Row],[Industry]], Mean_AE_M, 3, FALSE))</f>
        <v>-0.76888852569517896</v>
      </c>
      <c r="T12" s="1">
        <f>(Main_M[[#This Row],[P/E]]-VLOOKUP(Main_M[[#This Row],[Industry]], Mean_PE_M, 2, FALSE))/(VLOOKUP(Main_M[[#This Row],[Industry]], Mean_PE_M, 3, FALSE))</f>
        <v>-0.81211887625089751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s="68" t="s">
        <v>105</v>
      </c>
      <c r="B13" s="68" t="s">
        <v>157</v>
      </c>
      <c r="C13" s="2">
        <v>4170</v>
      </c>
      <c r="D13">
        <f>RTD("tos.rtd", , "LAST", Main_M[[#This Row],[Symbol]])</f>
        <v>73</v>
      </c>
      <c r="E13">
        <v>0.03</v>
      </c>
      <c r="F13">
        <v>2.5499999999999998</v>
      </c>
      <c r="G13">
        <v>0.41</v>
      </c>
      <c r="H13" s="1">
        <f>IF(ISNUMBER(Main_M[[#This Row],[Free CF]]),IF(Main_M[[#This Row],[Free CF]]&lt;&gt;0,Main_M[[#This Row],[Current Price]]/Main_M[[#This Row],[Free CF]],""),"")</f>
        <v>2433.3333333333335</v>
      </c>
      <c r="I13" s="1">
        <f>IF(ISNUMBER(Main_M[[#This Row],[BVPS]]),IF(Main_M[[#This Row],[BVPS]]&lt;&gt;0,Main_M[[#This Row],[Current Price]]/Main_M[[#This Row],[BVPS]],""),"")</f>
        <v>28.627450980392158</v>
      </c>
      <c r="J13">
        <v>19.5</v>
      </c>
      <c r="K13">
        <v>2.97</v>
      </c>
      <c r="L13">
        <v>1.79</v>
      </c>
      <c r="M13" s="1">
        <f>IF(ISNUMBER(Main_M[[#This Row],[EPS]]),IF(Main_M[[#This Row],[EPS]]&lt;&gt;0,Main_M[[#This Row],[Current Price]]/Main_M[[#This Row],[EPS]],""),"")</f>
        <v>178.04878048780489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40.449046633212518</v>
      </c>
      <c r="P13" s="1">
        <f>(Main_M[[#This Row],[P/B]]-VLOOKUP(Main_M[[#This Row],[Industry]], Mean_PB_M, 2, FALSE))/(VLOOKUP(Main_M[[#This Row],[Industry]], Mean_PB_M, 3, FALSE))</f>
        <v>16.839179194496413</v>
      </c>
      <c r="Q13" s="1">
        <f>(Main_M[[#This Row],[ROE]]-VLOOKUP(Main_M[[#This Row],[Industry]], Mean_ROE_M, 2, FALSE))/(VLOOKUP(Main_M[[#This Row],[Industry]], Mean_ROE_M, 3, FALSE))</f>
        <v>1.9706865109455927</v>
      </c>
      <c r="R13" s="1">
        <f>(Main_M[[#This Row],[ROA]]-VLOOKUP(Main_M[[#This Row],[Industry]], Mean_ROA_M, 2, FALSE))/(VLOOKUP(Main_M[[#This Row],[Industry]], Mean_ROA_M, 3, FALSE))</f>
        <v>-0.54020645787096144</v>
      </c>
      <c r="S13" s="1">
        <f>(Main_M[[#This Row],[A/E]]-VLOOKUP(Main_M[[#This Row],[Industry]], Mean_AE_M, 2, FALSE))/(VLOOKUP(Main_M[[#This Row],[Industry]], Mean_AE_M, 3, FALSE))</f>
        <v>-1.6438306411414181</v>
      </c>
      <c r="T13" s="1">
        <f>(Main_M[[#This Row],[P/E]]-VLOOKUP(Main_M[[#This Row],[Industry]], Mean_PE_M, 2, FALSE))/(VLOOKUP(Main_M[[#This Row],[Industry]], Mean_PE_M, 3, FALSE))</f>
        <v>8.3194024951129748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" spans="1:26" x14ac:dyDescent="0.25">
      <c r="A14" s="68" t="s">
        <v>105</v>
      </c>
      <c r="B14" s="68" t="s">
        <v>155</v>
      </c>
      <c r="C14" s="2">
        <v>7339</v>
      </c>
      <c r="D14">
        <f>RTD("tos.rtd", , "LAST", Main_M[[#This Row],[Symbol]])</f>
        <v>54.26</v>
      </c>
      <c r="E14">
        <v>-0.38</v>
      </c>
      <c r="F14">
        <v>1.94</v>
      </c>
      <c r="G14">
        <v>-0.51</v>
      </c>
      <c r="H14" s="1">
        <f>IF(ISNUMBER(Main_M[[#This Row],[Free CF]]),IF(Main_M[[#This Row],[Free CF]]&lt;&gt;0,Main_M[[#This Row],[Current Price]]/Main_M[[#This Row],[Free CF]],""),"")</f>
        <v>-142.78947368421052</v>
      </c>
      <c r="I14" s="1">
        <f>IF(ISNUMBER(Main_M[[#This Row],[BVPS]]),IF(Main_M[[#This Row],[BVPS]]&lt;&gt;0,Main_M[[#This Row],[Current Price]]/Main_M[[#This Row],[BVPS]],""),"")</f>
        <v>27.969072164948454</v>
      </c>
      <c r="J14">
        <v>-56.03</v>
      </c>
      <c r="K14">
        <v>-22.83</v>
      </c>
      <c r="L14">
        <v>1.1200000000000001</v>
      </c>
      <c r="M14" s="1">
        <f>IF(ISNUMBER(Main_M[[#This Row],[EPS]]),IF(Main_M[[#This Row],[EPS]]&lt;&gt;0,Main_M[[#This Row],[Current Price]]/Main_M[[#This Row],[EPS]],""),"")</f>
        <v>-106.3921568627451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-2.0223800227940822</v>
      </c>
      <c r="P14" s="1">
        <f>(Main_M[[#This Row],[P/B]]-VLOOKUP(Main_M[[#This Row],[Industry]], Mean_PB_M, 2, FALSE))/(VLOOKUP(Main_M[[#This Row],[Industry]], Mean_PB_M, 3, FALSE))</f>
        <v>16.415121116650631</v>
      </c>
      <c r="Q14" s="1">
        <f>(Main_M[[#This Row],[ROE]]-VLOOKUP(Main_M[[#This Row],[Industry]], Mean_ROE_M, 2, FALSE))/(VLOOKUP(Main_M[[#This Row],[Industry]], Mean_ROE_M, 3, FALSE))</f>
        <v>-14.125513586271538</v>
      </c>
      <c r="R14" s="1">
        <f>(Main_M[[#This Row],[ROA]]-VLOOKUP(Main_M[[#This Row],[Industry]], Mean_ROA_M, 2, FALSE))/(VLOOKUP(Main_M[[#This Row],[Industry]], Mean_ROA_M, 3, FALSE))</f>
        <v>-31.414031233660715</v>
      </c>
      <c r="S14" s="1">
        <f>(Main_M[[#This Row],[A/E]]-VLOOKUP(Main_M[[#This Row],[Industry]], Mean_AE_M, 2, FALSE))/(VLOOKUP(Main_M[[#This Row],[Industry]], Mean_AE_M, 3, FALSE))</f>
        <v>-3.2721951337774744</v>
      </c>
      <c r="T14" s="1">
        <f>(Main_M[[#This Row],[P/E]]-VLOOKUP(Main_M[[#This Row],[Industry]], Mean_PE_M, 2, FALSE))/(VLOOKUP(Main_M[[#This Row],[Industry]], Mean_PE_M, 3, FALSE))</f>
        <v>-7.2450146967744775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" spans="1:26" x14ac:dyDescent="0.25">
      <c r="A15" s="68" t="s">
        <v>125</v>
      </c>
      <c r="B15" s="68" t="s">
        <v>166</v>
      </c>
      <c r="C15" s="2">
        <v>4443</v>
      </c>
      <c r="D15">
        <f>RTD("tos.rtd", , "LAST", Main_M[[#This Row],[Symbol]])</f>
        <v>73.84</v>
      </c>
      <c r="E15">
        <v>-2.41</v>
      </c>
      <c r="F15">
        <v>55.35</v>
      </c>
      <c r="G15">
        <v>4.09</v>
      </c>
      <c r="H15" s="1">
        <f>IF(ISNUMBER(Main_M[[#This Row],[Free CF]]),IF(Main_M[[#This Row],[Free CF]]&lt;&gt;0,Main_M[[#This Row],[Current Price]]/Main_M[[#This Row],[Free CF]],""),"")</f>
        <v>-30.639004149377595</v>
      </c>
      <c r="I15" s="1">
        <f>IF(ISNUMBER(Main_M[[#This Row],[BVPS]]),IF(Main_M[[#This Row],[BVPS]]&lt;&gt;0,Main_M[[#This Row],[Current Price]]/Main_M[[#This Row],[BVPS]],""),"")</f>
        <v>1.3340560072267389</v>
      </c>
      <c r="J15">
        <v>7.31</v>
      </c>
      <c r="K15">
        <v>2.94</v>
      </c>
      <c r="L15">
        <v>3.47</v>
      </c>
      <c r="M15" s="1">
        <f>IF(ISNUMBER(Main_M[[#This Row],[EPS]]),IF(Main_M[[#This Row],[EPS]]&lt;&gt;0,Main_M[[#This Row],[Current Price]]/Main_M[[#This Row],[EPS]],""),"")</f>
        <v>18.053789731051346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-0.90768974491886645</v>
      </c>
      <c r="P15" s="1">
        <f>(Main_M[[#This Row],[P/B]]-VLOOKUP(Main_M[[#This Row],[Industry]], Mean_PB_M, 2, FALSE))/(VLOOKUP(Main_M[[#This Row],[Industry]], Mean_PB_M, 3, FALSE))</f>
        <v>-0.77367418113006325</v>
      </c>
      <c r="Q15" s="1">
        <f>(Main_M[[#This Row],[ROE]]-VLOOKUP(Main_M[[#This Row],[Industry]], Mean_ROE_M, 2, FALSE))/(VLOOKUP(Main_M[[#This Row],[Industry]], Mean_ROE_M, 3, FALSE))</f>
        <v>-0.39933265378620869</v>
      </c>
      <c r="R15" s="1">
        <f>(Main_M[[#This Row],[ROA]]-VLOOKUP(Main_M[[#This Row],[Industry]], Mean_ROA_M, 2, FALSE))/(VLOOKUP(Main_M[[#This Row],[Industry]], Mean_ROA_M, 3, FALSE))</f>
        <v>-0.66370962078454954</v>
      </c>
      <c r="S15" s="1">
        <f>(Main_M[[#This Row],[A/E]]-VLOOKUP(Main_M[[#This Row],[Industry]], Mean_AE_M, 2, FALSE))/(VLOOKUP(Main_M[[#This Row],[Industry]], Mean_AE_M, 3, FALSE))</f>
        <v>1.5515051272984497</v>
      </c>
      <c r="T15" s="1">
        <f>(Main_M[[#This Row],[P/E]]-VLOOKUP(Main_M[[#This Row],[Industry]], Mean_PE_M, 2, FALSE))/(VLOOKUP(Main_M[[#This Row],[Industry]], Mean_PE_M, 3, FALSE))</f>
        <v>-3.799499581072175E-2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s="68" t="s">
        <v>125</v>
      </c>
      <c r="B16" s="68" t="s">
        <v>167</v>
      </c>
      <c r="C16" s="2">
        <v>5371</v>
      </c>
      <c r="D16">
        <f>RTD("tos.rtd", , "LAST", Main_M[[#This Row],[Symbol]])</f>
        <v>71.27</v>
      </c>
      <c r="E16">
        <v>2.66</v>
      </c>
      <c r="F16">
        <v>49.86</v>
      </c>
      <c r="G16">
        <v>3.12</v>
      </c>
      <c r="H16" s="1">
        <f>IF(ISNUMBER(Main_M[[#This Row],[Free CF]]),IF(Main_M[[#This Row],[Free CF]]&lt;&gt;0,Main_M[[#This Row],[Current Price]]/Main_M[[#This Row],[Free CF]],""),"")</f>
        <v>26.793233082706763</v>
      </c>
      <c r="I16" s="1">
        <f>IF(ISNUMBER(Main_M[[#This Row],[BVPS]]),IF(Main_M[[#This Row],[BVPS]]&lt;&gt;0,Main_M[[#This Row],[Current Price]]/Main_M[[#This Row],[BVPS]],""),"")</f>
        <v>1.4294023265142397</v>
      </c>
      <c r="J16">
        <v>6.36</v>
      </c>
      <c r="K16">
        <v>2.83</v>
      </c>
      <c r="L16">
        <v>3.37</v>
      </c>
      <c r="M16" s="1">
        <f>IF(ISNUMBER(Main_M[[#This Row],[EPS]]),IF(Main_M[[#This Row],[EPS]]&lt;&gt;0,Main_M[[#This Row],[Current Price]]/Main_M[[#This Row],[EPS]],""),"")</f>
        <v>22.842948717948715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0.16252546197179385</v>
      </c>
      <c r="P16" s="1">
        <f>(Main_M[[#This Row],[P/B]]-VLOOKUP(Main_M[[#This Row],[Industry]], Mean_PB_M, 2, FALSE))/(VLOOKUP(Main_M[[#This Row],[Industry]], Mean_PB_M, 3, FALSE))</f>
        <v>-0.33902996725585066</v>
      </c>
      <c r="Q16" s="1">
        <f>(Main_M[[#This Row],[ROE]]-VLOOKUP(Main_M[[#This Row],[Industry]], Mean_ROE_M, 2, FALSE))/(VLOOKUP(Main_M[[#This Row],[Industry]], Mean_ROE_M, 3, FALSE))</f>
        <v>-0.56391661087813849</v>
      </c>
      <c r="R16" s="1">
        <f>(Main_M[[#This Row],[ROA]]-VLOOKUP(Main_M[[#This Row],[Industry]], Mean_ROA_M, 2, FALSE))/(VLOOKUP(Main_M[[#This Row],[Industry]], Mean_ROA_M, 3, FALSE))</f>
        <v>-0.7552557753755218</v>
      </c>
      <c r="S16" s="1">
        <f>(Main_M[[#This Row],[A/E]]-VLOOKUP(Main_M[[#This Row],[Industry]], Mean_AE_M, 2, FALSE))/(VLOOKUP(Main_M[[#This Row],[Industry]], Mean_AE_M, 3, FALSE))</f>
        <v>1.2452870100684923</v>
      </c>
      <c r="T16" s="1">
        <f>(Main_M[[#This Row],[P/E]]-VLOOKUP(Main_M[[#This Row],[Industry]], Mean_PE_M, 2, FALSE))/(VLOOKUP(Main_M[[#This Row],[Industry]], Mean_PE_M, 3, FALSE))</f>
        <v>1.2270177087311609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s="68" t="s">
        <v>125</v>
      </c>
      <c r="B17" s="68" t="s">
        <v>168</v>
      </c>
      <c r="C17" s="2">
        <v>7733</v>
      </c>
      <c r="D17">
        <f>RTD("tos.rtd", , "LAST", Main_M[[#This Row],[Symbol]])</f>
        <v>35.53</v>
      </c>
      <c r="E17">
        <v>2.62</v>
      </c>
      <c r="F17">
        <v>23.37</v>
      </c>
      <c r="G17">
        <v>2.46</v>
      </c>
      <c r="H17" s="1">
        <f>IF(ISNUMBER(Main_M[[#This Row],[Free CF]]),IF(Main_M[[#This Row],[Free CF]]&lt;&gt;0,Main_M[[#This Row],[Current Price]]/Main_M[[#This Row],[Free CF]],""),"")</f>
        <v>13.561068702290076</v>
      </c>
      <c r="I17" s="1">
        <f>IF(ISNUMBER(Main_M[[#This Row],[BVPS]]),IF(Main_M[[#This Row],[BVPS]]&lt;&gt;0,Main_M[[#This Row],[Current Price]]/Main_M[[#This Row],[BVPS]],""),"")</f>
        <v>1.5203252032520325</v>
      </c>
      <c r="J17">
        <v>10.82</v>
      </c>
      <c r="K17">
        <v>4.96</v>
      </c>
      <c r="L17">
        <v>3.14</v>
      </c>
      <c r="M17" s="1">
        <f>IF(ISNUMBER(Main_M[[#This Row],[EPS]]),IF(Main_M[[#This Row],[EPS]]&lt;&gt;0,Main_M[[#This Row],[Current Price]]/Main_M[[#This Row],[EPS]],""),"")</f>
        <v>14.443089430894309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-8.4047964774112541E-2</v>
      </c>
      <c r="P17" s="1">
        <f>(Main_M[[#This Row],[P/B]]-VLOOKUP(Main_M[[#This Row],[Industry]], Mean_PB_M, 2, FALSE))/(VLOOKUP(Main_M[[#This Row],[Industry]], Mean_PB_M, 3, FALSE))</f>
        <v>7.544961180075288E-2</v>
      </c>
      <c r="Q17" s="1">
        <f>(Main_M[[#This Row],[ROE]]-VLOOKUP(Main_M[[#This Row],[Industry]], Mean_ROE_M, 2, FALSE))/(VLOOKUP(Main_M[[#This Row],[Industry]], Mean_ROE_M, 3, FALSE))</f>
        <v>0.20876175610081668</v>
      </c>
      <c r="R17" s="1">
        <f>(Main_M[[#This Row],[ROA]]-VLOOKUP(Main_M[[#This Row],[Industry]], Mean_ROA_M, 2, FALSE))/(VLOOKUP(Main_M[[#This Row],[Industry]], Mean_ROA_M, 3, FALSE))</f>
        <v>1.0174106726133056</v>
      </c>
      <c r="S17" s="1">
        <f>(Main_M[[#This Row],[A/E]]-VLOOKUP(Main_M[[#This Row],[Industry]], Mean_AE_M, 2, FALSE))/(VLOOKUP(Main_M[[#This Row],[Industry]], Mean_AE_M, 3, FALSE))</f>
        <v>0.54098534043959112</v>
      </c>
      <c r="T17" s="1">
        <f>(Main_M[[#This Row],[P/E]]-VLOOKUP(Main_M[[#This Row],[Industry]], Mean_PE_M, 2, FALSE))/(VLOOKUP(Main_M[[#This Row],[Industry]], Mean_PE_M, 3, FALSE))</f>
        <v>-0.99172857711137574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s="68" t="s">
        <v>125</v>
      </c>
      <c r="B18" s="68" t="s">
        <v>163</v>
      </c>
      <c r="C18" s="2">
        <v>7458</v>
      </c>
      <c r="D18">
        <f>RTD("tos.rtd", , "LAST", Main_M[[#This Row],[Symbol]])</f>
        <v>82.18</v>
      </c>
      <c r="E18">
        <v>0.77</v>
      </c>
      <c r="F18">
        <v>30.59</v>
      </c>
      <c r="G18">
        <v>0.43</v>
      </c>
      <c r="H18" s="1">
        <f>IF(ISNUMBER(Main_M[[#This Row],[Free CF]]),IF(Main_M[[#This Row],[Free CF]]&lt;&gt;0,Main_M[[#This Row],[Current Price]]/Main_M[[#This Row],[Free CF]],""),"")</f>
        <v>106.72727272727273</v>
      </c>
      <c r="I18" s="1">
        <f>IF(ISNUMBER(Main_M[[#This Row],[BVPS]]),IF(Main_M[[#This Row],[BVPS]]&lt;&gt;0,Main_M[[#This Row],[Current Price]]/Main_M[[#This Row],[BVPS]],""),"")</f>
        <v>2.6864988558352407</v>
      </c>
      <c r="J18">
        <v>1.3</v>
      </c>
      <c r="K18">
        <v>6.15</v>
      </c>
      <c r="L18">
        <v>3.07</v>
      </c>
      <c r="M18" s="1">
        <f>IF(ISNUMBER(Main_M[[#This Row],[EPS]]),IF(Main_M[[#This Row],[EPS]]&lt;&gt;0,Main_M[[#This Row],[Current Price]]/Main_M[[#This Row],[EPS]],""),"")</f>
        <v>191.11627906976747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1.6520482265146494</v>
      </c>
      <c r="P18" s="1">
        <f>(Main_M[[#This Row],[P/B]]-VLOOKUP(Main_M[[#This Row],[Industry]], Mean_PB_M, 2, FALSE))/(VLOOKUP(Main_M[[#This Row],[Industry]], Mean_PB_M, 3, FALSE))</f>
        <v>5.3915502673432529</v>
      </c>
      <c r="Q18" s="1">
        <f>(Main_M[[#This Row],[ROE]]-VLOOKUP(Main_M[[#This Row],[Industry]], Mean_ROE_M, 2, FALSE))/(VLOOKUP(Main_M[[#This Row],[Industry]], Mean_ROE_M, 3, FALSE))</f>
        <v>-1.4405427402309441</v>
      </c>
      <c r="R18" s="1">
        <f>(Main_M[[#This Row],[ROA]]-VLOOKUP(Main_M[[#This Row],[Industry]], Mean_ROA_M, 2, FALSE))/(VLOOKUP(Main_M[[#This Row],[Industry]], Mean_ROA_M, 3, FALSE))</f>
        <v>2.0077736177338248</v>
      </c>
      <c r="S18" s="1">
        <f>(Main_M[[#This Row],[A/E]]-VLOOKUP(Main_M[[#This Row],[Industry]], Mean_AE_M, 2, FALSE))/(VLOOKUP(Main_M[[#This Row],[Industry]], Mean_AE_M, 3, FALSE))</f>
        <v>0.32663265837862027</v>
      </c>
      <c r="T18" s="1">
        <f>(Main_M[[#This Row],[P/E]]-VLOOKUP(Main_M[[#This Row],[Industry]], Mean_PE_M, 2, FALSE))/(VLOOKUP(Main_M[[#This Row],[Industry]], Mean_PE_M, 3, FALSE))</f>
        <v>45.674884508101961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9" spans="1:26" x14ac:dyDescent="0.25">
      <c r="A19" s="68" t="s">
        <v>125</v>
      </c>
      <c r="B19" s="68" t="s">
        <v>211</v>
      </c>
      <c r="C19" s="2">
        <v>8378</v>
      </c>
      <c r="D19">
        <f>RTD("tos.rtd", , "LAST", Main_M[[#This Row],[Symbol]])</f>
        <v>28</v>
      </c>
      <c r="E19">
        <v>0.28999999999999998</v>
      </c>
      <c r="F19">
        <v>20.239999999999998</v>
      </c>
      <c r="G19">
        <v>1.31</v>
      </c>
      <c r="H19" s="1">
        <f>IF(ISNUMBER(Main_M[[#This Row],[Free CF]]),IF(Main_M[[#This Row],[Free CF]]&lt;&gt;0,Main_M[[#This Row],[Current Price]]/Main_M[[#This Row],[Free CF]],""),"")</f>
        <v>96.551724137931046</v>
      </c>
      <c r="I19" s="1">
        <f>IF(ISNUMBER(Main_M[[#This Row],[BVPS]]),IF(Main_M[[#This Row],[BVPS]]&lt;&gt;0,Main_M[[#This Row],[Current Price]]/Main_M[[#This Row],[BVPS]],""),"")</f>
        <v>1.383399209486166</v>
      </c>
      <c r="J19">
        <v>6.61</v>
      </c>
      <c r="K19">
        <v>2.94</v>
      </c>
      <c r="L19">
        <v>3.01</v>
      </c>
      <c r="M19" s="1">
        <f>IF(ISNUMBER(Main_M[[#This Row],[EPS]]),IF(Main_M[[#This Row],[EPS]]&lt;&gt;0,Main_M[[#This Row],[Current Price]]/Main_M[[#This Row],[EPS]],""),"")</f>
        <v>21.374045801526716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1.4624329970963428</v>
      </c>
      <c r="P19" s="1">
        <f>(Main_M[[#This Row],[P/B]]-VLOOKUP(Main_M[[#This Row],[Industry]], Mean_PB_M, 2, FALSE))/(VLOOKUP(Main_M[[#This Row],[Industry]], Mean_PB_M, 3, FALSE))</f>
        <v>-0.54873904450023758</v>
      </c>
      <c r="Q19" s="1">
        <f>(Main_M[[#This Row],[ROE]]-VLOOKUP(Main_M[[#This Row],[Industry]], Mean_ROE_M, 2, FALSE))/(VLOOKUP(Main_M[[#This Row],[Industry]], Mean_ROE_M, 3, FALSE))</f>
        <v>-0.52060504322236745</v>
      </c>
      <c r="R19" s="1">
        <f>(Main_M[[#This Row],[ROA]]-VLOOKUP(Main_M[[#This Row],[Industry]], Mean_ROA_M, 2, FALSE))/(VLOOKUP(Main_M[[#This Row],[Industry]], Mean_ROA_M, 3, FALSE))</f>
        <v>-0.66370962078454954</v>
      </c>
      <c r="S19" s="1">
        <f>(Main_M[[#This Row],[A/E]]-VLOOKUP(Main_M[[#This Row],[Industry]], Mean_AE_M, 2, FALSE))/(VLOOKUP(Main_M[[#This Row],[Industry]], Mean_AE_M, 3, FALSE))</f>
        <v>0.14290178804064585</v>
      </c>
      <c r="T19" s="1">
        <f>(Main_M[[#This Row],[P/E]]-VLOOKUP(Main_M[[#This Row],[Industry]], Mean_PE_M, 2, FALSE))/(VLOOKUP(Main_M[[#This Row],[Industry]], Mean_PE_M, 3, FALSE))</f>
        <v>0.83902038893112119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s="68" t="s">
        <v>125</v>
      </c>
      <c r="B20" s="68" t="s">
        <v>164</v>
      </c>
      <c r="C20" s="2">
        <v>4606</v>
      </c>
      <c r="D20">
        <f>RTD("tos.rtd", , "LAST", Main_M[[#This Row],[Symbol]])</f>
        <v>44.92</v>
      </c>
      <c r="E20">
        <v>-0.67</v>
      </c>
      <c r="F20">
        <v>24.7</v>
      </c>
      <c r="G20">
        <v>4.1399999999999997</v>
      </c>
      <c r="H20" s="1">
        <f>IF(ISNUMBER(Main_M[[#This Row],[Free CF]]),IF(Main_M[[#This Row],[Free CF]]&lt;&gt;0,Main_M[[#This Row],[Current Price]]/Main_M[[#This Row],[Free CF]],""),"")</f>
        <v>-67.044776119402982</v>
      </c>
      <c r="I20" s="1">
        <f>IF(ISNUMBER(Main_M[[#This Row],[BVPS]]),IF(Main_M[[#This Row],[BVPS]]&lt;&gt;0,Main_M[[#This Row],[Current Price]]/Main_M[[#This Row],[BVPS]],""),"")</f>
        <v>1.8186234817813767</v>
      </c>
      <c r="J20">
        <v>17.829999999999998</v>
      </c>
      <c r="K20">
        <v>5.09</v>
      </c>
      <c r="L20">
        <v>2.93</v>
      </c>
      <c r="M20" s="1">
        <f>IF(ISNUMBER(Main_M[[#This Row],[EPS]]),IF(Main_M[[#This Row],[EPS]]&lt;&gt;0,Main_M[[#This Row],[Current Price]]/Main_M[[#This Row],[EPS]],""),"")</f>
        <v>10.850241545893722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-1.5860894148371558</v>
      </c>
      <c r="P20" s="1">
        <f>(Main_M[[#This Row],[P/B]]-VLOOKUP(Main_M[[#This Row],[Industry]], Mean_PB_M, 2, FALSE))/(VLOOKUP(Main_M[[#This Row],[Industry]], Mean_PB_M, 3, FALSE))</f>
        <v>1.4352673975347672</v>
      </c>
      <c r="Q20" s="1">
        <f>(Main_M[[#This Row],[ROE]]-VLOOKUP(Main_M[[#This Row],[Industry]], Mean_ROE_M, 2, FALSE))/(VLOOKUP(Main_M[[#This Row],[Industry]], Mean_ROE_M, 3, FALSE))</f>
        <v>1.4232181131686361</v>
      </c>
      <c r="R20" s="1">
        <f>(Main_M[[#This Row],[ROA]]-VLOOKUP(Main_M[[#This Row],[Industry]], Mean_ROA_M, 2, FALSE))/(VLOOKUP(Main_M[[#This Row],[Industry]], Mean_ROA_M, 3, FALSE))</f>
        <v>1.1256015825844548</v>
      </c>
      <c r="S20" s="1">
        <f>(Main_M[[#This Row],[A/E]]-VLOOKUP(Main_M[[#This Row],[Industry]], Mean_AE_M, 2, FALSE))/(VLOOKUP(Main_M[[#This Row],[Industry]], Mean_AE_M, 3, FALSE))</f>
        <v>-0.10207270574331866</v>
      </c>
      <c r="T20" s="1">
        <f>(Main_M[[#This Row],[P/E]]-VLOOKUP(Main_M[[#This Row],[Industry]], Mean_PE_M, 2, FALSE))/(VLOOKUP(Main_M[[#This Row],[Industry]], Mean_PE_M, 3, FALSE))</f>
        <v>-1.9407466056309568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s="68" t="s">
        <v>125</v>
      </c>
      <c r="B21" s="68" t="s">
        <v>165</v>
      </c>
      <c r="C21" s="2">
        <v>4667</v>
      </c>
      <c r="D21">
        <f>RTD("tos.rtd", , "LAST", Main_M[[#This Row],[Symbol]])</f>
        <v>73.61</v>
      </c>
      <c r="E21">
        <v>-2.87</v>
      </c>
      <c r="F21">
        <v>53.15</v>
      </c>
      <c r="G21">
        <v>4.2</v>
      </c>
      <c r="H21" s="1">
        <f>IF(ISNUMBER(Main_M[[#This Row],[Free CF]]),IF(Main_M[[#This Row],[Free CF]]&lt;&gt;0,Main_M[[#This Row],[Current Price]]/Main_M[[#This Row],[Free CF]],""),"")</f>
        <v>-25.648083623693378</v>
      </c>
      <c r="I21" s="1">
        <f>IF(ISNUMBER(Main_M[[#This Row],[BVPS]]),IF(Main_M[[#This Row],[BVPS]]&lt;&gt;0,Main_M[[#This Row],[Current Price]]/Main_M[[#This Row],[BVPS]],""),"")</f>
        <v>1.3849482596425211</v>
      </c>
      <c r="J21">
        <v>8.08</v>
      </c>
      <c r="K21">
        <v>3.39</v>
      </c>
      <c r="L21">
        <v>2.61</v>
      </c>
      <c r="M21" s="1">
        <f>IF(ISNUMBER(Main_M[[#This Row],[EPS]]),IF(Main_M[[#This Row],[EPS]]&lt;&gt;0,Main_M[[#This Row],[Current Price]]/Main_M[[#This Row],[EPS]],""),"")</f>
        <v>17.526190476190475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-0.81468694195673419</v>
      </c>
      <c r="P21" s="1">
        <f>(Main_M[[#This Row],[P/B]]-VLOOKUP(Main_M[[#This Row],[Industry]], Mean_PB_M, 2, FALSE))/(VLOOKUP(Main_M[[#This Row],[Industry]], Mean_PB_M, 3, FALSE))</f>
        <v>-0.5416775691072494</v>
      </c>
      <c r="Q21" s="1">
        <f>(Main_M[[#This Row],[ROE]]-VLOOKUP(Main_M[[#This Row],[Industry]], Mean_ROE_M, 2, FALSE))/(VLOOKUP(Main_M[[#This Row],[Industry]], Mean_ROE_M, 3, FALSE))</f>
        <v>-0.26593302540643388</v>
      </c>
      <c r="R21" s="1">
        <f>(Main_M[[#This Row],[ROA]]-VLOOKUP(Main_M[[#This Row],[Industry]], Mean_ROA_M, 2, FALSE))/(VLOOKUP(Main_M[[#This Row],[Industry]], Mean_ROA_M, 3, FALSE))</f>
        <v>-0.28920262473057173</v>
      </c>
      <c r="S21" s="1">
        <f>(Main_M[[#This Row],[A/E]]-VLOOKUP(Main_M[[#This Row],[Industry]], Mean_AE_M, 2, FALSE))/(VLOOKUP(Main_M[[#This Row],[Industry]], Mean_AE_M, 3, FALSE))</f>
        <v>-1.0819706808791822</v>
      </c>
      <c r="T21" s="1">
        <f>(Main_M[[#This Row],[P/E]]-VLOOKUP(Main_M[[#This Row],[Industry]], Mean_PE_M, 2, FALSE))/(VLOOKUP(Main_M[[#This Row],[Industry]], Mean_PE_M, 3, FALSE))</f>
        <v>-0.17735553116396882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s="68" t="s">
        <v>125</v>
      </c>
      <c r="B22" s="68" t="s">
        <v>162</v>
      </c>
      <c r="C22" s="2">
        <v>3512</v>
      </c>
      <c r="D22">
        <f>RTD("tos.rtd", , "LAST", Main_M[[#This Row],[Symbol]])</f>
        <v>16.84</v>
      </c>
      <c r="E22">
        <v>0.27</v>
      </c>
      <c r="F22">
        <v>13.42</v>
      </c>
      <c r="G22">
        <v>0.91</v>
      </c>
      <c r="H22" s="1">
        <f>IF(ISNUMBER(Main_M[[#This Row],[Free CF]]),IF(Main_M[[#This Row],[Free CF]]&lt;&gt;0,Main_M[[#This Row],[Current Price]]/Main_M[[#This Row],[Free CF]],""),"")</f>
        <v>62.370370370370367</v>
      </c>
      <c r="I22" s="1">
        <f>IF(ISNUMBER(Main_M[[#This Row],[BVPS]]),IF(Main_M[[#This Row],[BVPS]]&lt;&gt;0,Main_M[[#This Row],[Current Price]]/Main_M[[#This Row],[BVPS]],""),"")</f>
        <v>1.2548435171385992</v>
      </c>
      <c r="J22">
        <v>6.6</v>
      </c>
      <c r="K22">
        <v>2.42</v>
      </c>
      <c r="L22">
        <v>2.54</v>
      </c>
      <c r="M22" s="1">
        <f>IF(ISNUMBER(Main_M[[#This Row],[EPS]]),IF(Main_M[[#This Row],[EPS]]&lt;&gt;0,Main_M[[#This Row],[Current Price]]/Main_M[[#This Row],[EPS]],""),"")</f>
        <v>18.505494505494504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0.82548402284122357</v>
      </c>
      <c r="P22" s="1">
        <f>(Main_M[[#This Row],[P/B]]-VLOOKUP(Main_M[[#This Row],[Industry]], Mean_PB_M, 2, FALSE))/(VLOOKUP(Main_M[[#This Row],[Industry]], Mean_PB_M, 3, FALSE))</f>
        <v>-1.1347709779509525</v>
      </c>
      <c r="Q22" s="1">
        <f>(Main_M[[#This Row],[ROE]]-VLOOKUP(Main_M[[#This Row],[Industry]], Mean_ROE_M, 2, FALSE))/(VLOOKUP(Main_M[[#This Row],[Industry]], Mean_ROE_M, 3, FALSE))</f>
        <v>-0.5223375059285984</v>
      </c>
      <c r="R22" s="1">
        <f>(Main_M[[#This Row],[ROA]]-VLOOKUP(Main_M[[#This Row],[Industry]], Mean_ROA_M, 2, FALSE))/(VLOOKUP(Main_M[[#This Row],[Industry]], Mean_ROA_M, 3, FALSE))</f>
        <v>-1.0964732606691461</v>
      </c>
      <c r="S22" s="1">
        <f>(Main_M[[#This Row],[A/E]]-VLOOKUP(Main_M[[#This Row],[Industry]], Mean_AE_M, 2, FALSE))/(VLOOKUP(Main_M[[#This Row],[Industry]], Mean_AE_M, 3, FALSE))</f>
        <v>-1.2963233629401516</v>
      </c>
      <c r="T22" s="1">
        <f>(Main_M[[#This Row],[P/E]]-VLOOKUP(Main_M[[#This Row],[Industry]], Mean_PE_M, 2, FALSE))/(VLOOKUP(Main_M[[#This Row],[Industry]], Mean_PE_M, 3, FALSE))</f>
        <v>8.1318704138714795E-2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s="68" t="s">
        <v>125</v>
      </c>
      <c r="B23" s="68" t="s">
        <v>161</v>
      </c>
      <c r="C23" s="2">
        <v>2850</v>
      </c>
      <c r="D23">
        <f>RTD("tos.rtd", , "LAST", Main_M[[#This Row],[Symbol]])</f>
        <v>119.38</v>
      </c>
      <c r="E23">
        <v>-7.35</v>
      </c>
      <c r="F23">
        <v>62.68</v>
      </c>
      <c r="G23">
        <v>5.43</v>
      </c>
      <c r="H23" s="1">
        <f>IF(ISNUMBER(Main_M[[#This Row],[Free CF]]),IF(Main_M[[#This Row],[Free CF]]&lt;&gt;0,Main_M[[#This Row],[Current Price]]/Main_M[[#This Row],[Free CF]],""),"")</f>
        <v>-16.242176870748299</v>
      </c>
      <c r="I23" s="1">
        <f>IF(ISNUMBER(Main_M[[#This Row],[BVPS]]),IF(Main_M[[#This Row],[BVPS]]&lt;&gt;0,Main_M[[#This Row],[Current Price]]/Main_M[[#This Row],[BVPS]],""),"")</f>
        <v>1.9045947670708359</v>
      </c>
      <c r="J23">
        <v>9.0399999999999991</v>
      </c>
      <c r="K23">
        <v>4.2699999999999996</v>
      </c>
      <c r="L23">
        <v>2.5299999999999998</v>
      </c>
      <c r="M23" s="1">
        <f>IF(ISNUMBER(Main_M[[#This Row],[EPS]]),IF(Main_M[[#This Row],[EPS]]&lt;&gt;0,Main_M[[#This Row],[Current Price]]/Main_M[[#This Row],[EPS]],""),"")</f>
        <v>21.985267034990791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-0.63941352537504736</v>
      </c>
      <c r="P23" s="1">
        <f>(Main_M[[#This Row],[P/B]]-VLOOKUP(Main_M[[#This Row],[Industry]], Mean_PB_M, 2, FALSE))/(VLOOKUP(Main_M[[#This Row],[Industry]], Mean_PB_M, 3, FALSE))</f>
        <v>1.8271747306088313</v>
      </c>
      <c r="Q23" s="1">
        <f>(Main_M[[#This Row],[ROE]]-VLOOKUP(Main_M[[#This Row],[Industry]], Mean_ROE_M, 2, FALSE))/(VLOOKUP(Main_M[[#This Row],[Industry]], Mean_ROE_M, 3, FALSE))</f>
        <v>-9.9616605608273248E-2</v>
      </c>
      <c r="R23" s="1">
        <f>(Main_M[[#This Row],[ROA]]-VLOOKUP(Main_M[[#This Row],[Industry]], Mean_ROA_M, 2, FALSE))/(VLOOKUP(Main_M[[#This Row],[Industry]], Mean_ROA_M, 3, FALSE))</f>
        <v>0.44316661199720631</v>
      </c>
      <c r="S23" s="1">
        <f>(Main_M[[#This Row],[A/E]]-VLOOKUP(Main_M[[#This Row],[Industry]], Mean_AE_M, 2, FALSE))/(VLOOKUP(Main_M[[#This Row],[Industry]], Mean_AE_M, 3, FALSE))</f>
        <v>-1.326945174663148</v>
      </c>
      <c r="T23" s="1">
        <f>(Main_M[[#This Row],[P/E]]-VLOOKUP(Main_M[[#This Row],[Industry]], Mean_PE_M, 2, FALSE))/(VLOOKUP(Main_M[[#This Row],[Industry]], Mean_PE_M, 3, FALSE))</f>
        <v>1.0004689079160234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s="68" t="s">
        <v>125</v>
      </c>
      <c r="B24" s="68" t="s">
        <v>160</v>
      </c>
      <c r="C24" s="2">
        <v>4710</v>
      </c>
      <c r="D24">
        <f>RTD("tos.rtd", , "LAST", Main_M[[#This Row],[Symbol]])</f>
        <v>41.14</v>
      </c>
      <c r="E24">
        <v>2.88</v>
      </c>
      <c r="F24">
        <v>-7.06</v>
      </c>
      <c r="G24">
        <v>-2.08</v>
      </c>
      <c r="H24" s="1">
        <f>IF(ISNUMBER(Main_M[[#This Row],[Free CF]]),IF(Main_M[[#This Row],[Free CF]]&lt;&gt;0,Main_M[[#This Row],[Current Price]]/Main_M[[#This Row],[Free CF]],""),"")</f>
        <v>14.284722222222223</v>
      </c>
      <c r="I24" s="1">
        <f>IF(ISNUMBER(Main_M[[#This Row],[BVPS]]),IF(Main_M[[#This Row],[BVPS]]&lt;&gt;0,Main_M[[#This Row],[Current Price]]/Main_M[[#This Row],[BVPS]],""),"")</f>
        <v>-5.8271954674220972</v>
      </c>
      <c r="J24">
        <v>22.2</v>
      </c>
      <c r="K24">
        <v>5.98</v>
      </c>
      <c r="L24">
        <v>-26.87</v>
      </c>
      <c r="M24" s="1">
        <f>IF(ISNUMBER(Main_M[[#This Row],[EPS]]),IF(Main_M[[#This Row],[EPS]]&lt;&gt;0,Main_M[[#This Row],[Current Price]]/Main_M[[#This Row],[EPS]],""),"")</f>
        <v>-19.778846153846153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-7.0563116562093298E-2</v>
      </c>
      <c r="P24" s="1">
        <f>(Main_M[[#This Row],[P/B]]-VLOOKUP(Main_M[[#This Row],[Industry]], Mean_PB_M, 2, FALSE))/(VLOOKUP(Main_M[[#This Row],[Industry]], Mean_PB_M, 3, FALSE))</f>
        <v>-33.418841197685538</v>
      </c>
      <c r="Q24" s="1">
        <f>(Main_M[[#This Row],[ROE]]-VLOOKUP(Main_M[[#This Row],[Industry]], Mean_ROE_M, 2, FALSE))/(VLOOKUP(Main_M[[#This Row],[Industry]], Mean_ROE_M, 3, FALSE))</f>
        <v>2.1803043157915138</v>
      </c>
      <c r="R24" s="1">
        <f>(Main_M[[#This Row],[ROA]]-VLOOKUP(Main_M[[#This Row],[Industry]], Mean_ROA_M, 2, FALSE))/(VLOOKUP(Main_M[[#This Row],[Industry]], Mean_ROA_M, 3, FALSE))</f>
        <v>1.8662931970023222</v>
      </c>
      <c r="S24" s="1">
        <f>(Main_M[[#This Row],[A/E]]-VLOOKUP(Main_M[[#This Row],[Industry]], Mean_AE_M, 2, FALSE))/(VLOOKUP(Main_M[[#This Row],[Industry]], Mean_AE_M, 3, FALSE))</f>
        <v>-91.355071640270538</v>
      </c>
      <c r="T24" s="1">
        <f>(Main_M[[#This Row],[P/E]]-VLOOKUP(Main_M[[#This Row],[Industry]], Mean_PE_M, 2, FALSE))/(VLOOKUP(Main_M[[#This Row],[Industry]], Mean_PE_M, 3, FALSE))</f>
        <v>-10.031141009889387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5" spans="1:26" x14ac:dyDescent="0.25">
      <c r="A25" s="68" t="s">
        <v>144</v>
      </c>
      <c r="B25" s="68" t="s">
        <v>205</v>
      </c>
      <c r="C25" s="2">
        <v>2016</v>
      </c>
      <c r="D25">
        <f>RTD("tos.rtd", , "LAST", Main_M[[#This Row],[Symbol]])</f>
        <v>10.050000000000001</v>
      </c>
      <c r="H25" s="1" t="str">
        <f>IF(ISNUMBER(Main_M[[#This Row],[Free CF]]),IF(Main_M[[#This Row],[Free CF]]&lt;&gt;0,Main_M[[#This Row],[Current Price]]/Main_M[[#This Row],[Free CF]],""),"")</f>
        <v/>
      </c>
      <c r="I25" s="1" t="str">
        <f>IF(ISNUMBER(Main_M[[#This Row],[BVPS]]),IF(Main_M[[#This Row],[BVPS]]&lt;&gt;0,Main_M[[#This Row],[Current Price]]/Main_M[[#This Row],[BVPS]],""),"")</f>
        <v/>
      </c>
      <c r="M25" s="1" t="str">
        <f>IF(ISNUMBER(Main_M[[#This Row],[EPS]]),IF(Main_M[[#This Row],[EPS]]&lt;&gt;0,Main_M[[#This Row],[Current Price]]/Main_M[[#This Row],[EPS]],""),"")</f>
        <v/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 t="e">
        <f>(Main_M[[#This Row],[P/FCF]]-VLOOKUP(Main_M[[#This Row],[Industry]], Mean_PFCF_M, 2, FALSE))/(VLOOKUP(Main_M[[#This Row],[Industry]], Mean_PFCF_M, 3, FALSE))</f>
        <v>#VALUE!</v>
      </c>
      <c r="P25" s="1" t="e">
        <f>(Main_M[[#This Row],[P/B]]-VLOOKUP(Main_M[[#This Row],[Industry]], Mean_PB_M, 2, FALSE))/(VLOOKUP(Main_M[[#This Row],[Industry]], Mean_PB_M, 3, FALSE))</f>
        <v>#VALUE!</v>
      </c>
      <c r="Q25" s="1">
        <f>(Main_M[[#This Row],[ROE]]-VLOOKUP(Main_M[[#This Row],[Industry]], Mean_ROE_M, 2, FALSE))/(VLOOKUP(Main_M[[#This Row],[Industry]], Mean_ROE_M, 3, FALSE))</f>
        <v>-0.75832690065170272</v>
      </c>
      <c r="R25" s="1">
        <f>(Main_M[[#This Row],[ROA]]-VLOOKUP(Main_M[[#This Row],[Industry]], Mean_ROA_M, 2, FALSE))/(VLOOKUP(Main_M[[#This Row],[Industry]], Mean_ROA_M, 3, FALSE))</f>
        <v>-2.3188731945452021</v>
      </c>
      <c r="S25" s="1">
        <f>(Main_M[[#This Row],[A/E]]-VLOOKUP(Main_M[[#This Row],[Industry]], Mean_AE_M, 2, FALSE))/(VLOOKUP(Main_M[[#This Row],[Industry]], Mean_AE_M, 3, FALSE))</f>
        <v>-1.8377521709285591</v>
      </c>
      <c r="T25" s="1" t="e">
        <f>(Main_M[[#This Row],[P/E]]-VLOOKUP(Main_M[[#This Row],[Industry]], Mean_PE_M, 2, FALSE))/(VLOOKUP(Main_M[[#This Row],[Industry]], Mean_PE_M, 3, FALSE))</f>
        <v>#VALUE!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6" spans="1:26" x14ac:dyDescent="0.25">
      <c r="A26" s="68" t="s">
        <v>144</v>
      </c>
      <c r="B26" s="68" t="s">
        <v>178</v>
      </c>
      <c r="C26" s="2">
        <v>5279</v>
      </c>
      <c r="D26">
        <f>RTD("tos.rtd", , "LAST", Main_M[[#This Row],[Symbol]])</f>
        <v>31.83</v>
      </c>
      <c r="E26">
        <v>-1.53</v>
      </c>
      <c r="F26">
        <v>4.2300000000000004</v>
      </c>
      <c r="G26">
        <v>-0.74</v>
      </c>
      <c r="H26" s="1">
        <f>IF(ISNUMBER(Main_M[[#This Row],[Free CF]]),IF(Main_M[[#This Row],[Free CF]]&lt;&gt;0,Main_M[[#This Row],[Current Price]]/Main_M[[#This Row],[Free CF]],""),"")</f>
        <v>-20.803921568627448</v>
      </c>
      <c r="I26" s="1">
        <f>IF(ISNUMBER(Main_M[[#This Row],[BVPS]]),IF(Main_M[[#This Row],[BVPS]]&lt;&gt;0,Main_M[[#This Row],[Current Price]]/Main_M[[#This Row],[BVPS]],""),"")</f>
        <v>7.5248226950354598</v>
      </c>
      <c r="J26">
        <v>-0.44</v>
      </c>
      <c r="K26">
        <v>1.32</v>
      </c>
      <c r="L26">
        <v>31.31</v>
      </c>
      <c r="M26" s="1">
        <f>IF(ISNUMBER(Main_M[[#This Row],[EPS]]),IF(Main_M[[#This Row],[EPS]]&lt;&gt;0,Main_M[[#This Row],[Current Price]]/Main_M[[#This Row],[EPS]],""),"")</f>
        <v>-43.013513513513509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-1.3294197849410985</v>
      </c>
      <c r="P26" s="1">
        <f>(Main_M[[#This Row],[P/B]]-VLOOKUP(Main_M[[#This Row],[Industry]], Mean_PB_M, 2, FALSE))/(VLOOKUP(Main_M[[#This Row],[Industry]], Mean_PB_M, 3, FALSE))</f>
        <v>44.435992126790872</v>
      </c>
      <c r="Q26" s="1">
        <f>(Main_M[[#This Row],[ROE]]-VLOOKUP(Main_M[[#This Row],[Industry]], Mean_ROE_M, 2, FALSE))/(VLOOKUP(Main_M[[#This Row],[Industry]], Mean_ROE_M, 3, FALSE))</f>
        <v>-0.8504229084592515</v>
      </c>
      <c r="R26" s="1">
        <f>(Main_M[[#This Row],[ROA]]-VLOOKUP(Main_M[[#This Row],[Industry]], Mean_ROA_M, 2, FALSE))/(VLOOKUP(Main_M[[#This Row],[Industry]], Mean_ROA_M, 3, FALSE))</f>
        <v>-0.79939092476048057</v>
      </c>
      <c r="S26" s="1">
        <f>(Main_M[[#This Row],[A/E]]-VLOOKUP(Main_M[[#This Row],[Industry]], Mean_AE_M, 2, FALSE))/(VLOOKUP(Main_M[[#This Row],[Industry]], Mean_AE_M, 3, FALSE))</f>
        <v>5.9030577580095382</v>
      </c>
      <c r="T26" s="1">
        <f>(Main_M[[#This Row],[P/E]]-VLOOKUP(Main_M[[#This Row],[Industry]], Mean_PE_M, 2, FALSE))/(VLOOKUP(Main_M[[#This Row],[Industry]], Mean_PE_M, 3, FALSE))</f>
        <v>-1.5806319585003359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s="68" t="s">
        <v>144</v>
      </c>
      <c r="B27" s="68" t="s">
        <v>175</v>
      </c>
      <c r="C27" s="2">
        <v>7183</v>
      </c>
      <c r="D27">
        <f>RTD("tos.rtd", , "LAST", Main_M[[#This Row],[Symbol]])</f>
        <v>10.88</v>
      </c>
      <c r="E27">
        <v>-4.9000000000000004</v>
      </c>
      <c r="F27">
        <v>4.87</v>
      </c>
      <c r="G27">
        <v>1.84</v>
      </c>
      <c r="H27" s="1">
        <f>IF(ISNUMBER(Main_M[[#This Row],[Free CF]]),IF(Main_M[[#This Row],[Free CF]]&lt;&gt;0,Main_M[[#This Row],[Current Price]]/Main_M[[#This Row],[Free CF]],""),"")</f>
        <v>-2.2204081632653061</v>
      </c>
      <c r="I27" s="1">
        <f>IF(ISNUMBER(Main_M[[#This Row],[BVPS]]),IF(Main_M[[#This Row],[BVPS]]&lt;&gt;0,Main_M[[#This Row],[Current Price]]/Main_M[[#This Row],[BVPS]],""),"")</f>
        <v>2.2340862422997949</v>
      </c>
      <c r="J27">
        <v>5.58</v>
      </c>
      <c r="K27">
        <v>2.4</v>
      </c>
      <c r="L27">
        <v>14.02</v>
      </c>
      <c r="M27" s="1">
        <f>IF(ISNUMBER(Main_M[[#This Row],[EPS]]),IF(Main_M[[#This Row],[EPS]]&lt;&gt;0,Main_M[[#This Row],[Current Price]]/Main_M[[#This Row],[EPS]],""),"")</f>
        <v>5.9130434782608701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8.7886361437812061E-2</v>
      </c>
      <c r="P27" s="1">
        <f>(Main_M[[#This Row],[P/B]]-VLOOKUP(Main_M[[#This Row],[Industry]], Mean_PB_M, 2, FALSE))/(VLOOKUP(Main_M[[#This Row],[Industry]], Mean_PB_M, 3, FALSE))</f>
        <v>1.6524571053713593</v>
      </c>
      <c r="Q27" s="1">
        <f>(Main_M[[#This Row],[ROE]]-VLOOKUP(Main_M[[#This Row],[Industry]], Mean_ROE_M, 2, FALSE))/(VLOOKUP(Main_M[[#This Row],[Industry]], Mean_ROE_M, 3, FALSE))</f>
        <v>0.4096179256349386</v>
      </c>
      <c r="R27" s="1">
        <f>(Main_M[[#This Row],[ROA]]-VLOOKUP(Main_M[[#This Row],[Industry]], Mean_ROA_M, 2, FALSE))/(VLOOKUP(Main_M[[#This Row],[Industry]], Mean_ROA_M, 3, FALSE))</f>
        <v>0.44382184142701869</v>
      </c>
      <c r="S27" s="1">
        <f>(Main_M[[#This Row],[A/E]]-VLOOKUP(Main_M[[#This Row],[Industry]], Mean_AE_M, 2, FALSE))/(VLOOKUP(Main_M[[#This Row],[Industry]], Mean_AE_M, 3, FALSE))</f>
        <v>1.628429726347459</v>
      </c>
      <c r="T27" s="1">
        <f>(Main_M[[#This Row],[P/E]]-VLOOKUP(Main_M[[#This Row],[Industry]], Mean_PE_M, 2, FALSE))/(VLOOKUP(Main_M[[#This Row],[Industry]], Mean_PE_M, 3, FALSE))</f>
        <v>1.6127695743173236E-2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s="68" t="s">
        <v>144</v>
      </c>
      <c r="B28" s="68" t="s">
        <v>176</v>
      </c>
      <c r="C28" s="2">
        <v>2893</v>
      </c>
      <c r="D28">
        <f>RTD("tos.rtd", , "LAST", Main_M[[#This Row],[Symbol]])</f>
        <v>10.41</v>
      </c>
      <c r="E28">
        <v>0.51</v>
      </c>
      <c r="F28">
        <v>1.85</v>
      </c>
      <c r="G28">
        <v>0</v>
      </c>
      <c r="H28" s="1">
        <f>IF(ISNUMBER(Main_M[[#This Row],[Free CF]]),IF(Main_M[[#This Row],[Free CF]]&lt;&gt;0,Main_M[[#This Row],[Current Price]]/Main_M[[#This Row],[Free CF]],""),"")</f>
        <v>20.411764705882351</v>
      </c>
      <c r="I28" s="1">
        <f>IF(ISNUMBER(Main_M[[#This Row],[BVPS]]),IF(Main_M[[#This Row],[BVPS]]&lt;&gt;0,Main_M[[#This Row],[Current Price]]/Main_M[[#This Row],[BVPS]],""),"")</f>
        <v>5.6270270270270268</v>
      </c>
      <c r="J28">
        <v>2.29</v>
      </c>
      <c r="K28">
        <v>2.62</v>
      </c>
      <c r="L28">
        <v>12</v>
      </c>
      <c r="M28" s="1" t="str">
        <f>IF(ISNUMBER(Main_M[[#This Row],[EPS]]),IF(Main_M[[#This Row],[EPS]]&lt;&gt;0,Main_M[[#This Row],[Current Price]]/Main_M[[#This Row],[EPS]],""),"")</f>
        <v/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1.8139710373364764</v>
      </c>
      <c r="P28" s="1">
        <f>(Main_M[[#This Row],[P/B]]-VLOOKUP(Main_M[[#This Row],[Industry]], Mean_PB_M, 2, FALSE))/(VLOOKUP(Main_M[[#This Row],[Industry]], Mean_PB_M, 3, FALSE))</f>
        <v>29.08946935986037</v>
      </c>
      <c r="Q28" s="1">
        <f>(Main_M[[#This Row],[ROE]]-VLOOKUP(Main_M[[#This Row],[Industry]], Mean_ROE_M, 2, FALSE))/(VLOOKUP(Main_M[[#This Row],[Industry]], Mean_ROE_M, 3, FALSE))</f>
        <v>-0.27900904183514202</v>
      </c>
      <c r="R28" s="1">
        <f>(Main_M[[#This Row],[ROA]]-VLOOKUP(Main_M[[#This Row],[Industry]], Mean_ROA_M, 2, FALSE))/(VLOOKUP(Main_M[[#This Row],[Industry]], Mean_ROA_M, 3, FALSE))</f>
        <v>0.69706888639113918</v>
      </c>
      <c r="S28" s="1">
        <f>(Main_M[[#This Row],[A/E]]-VLOOKUP(Main_M[[#This Row],[Industry]], Mean_AE_M, 2, FALSE))/(VLOOKUP(Main_M[[#This Row],[Industry]], Mean_AE_M, 3, FALSE))</f>
        <v>1.1290226341579044</v>
      </c>
      <c r="T28" s="1" t="e">
        <f>(Main_M[[#This Row],[P/E]]-VLOOKUP(Main_M[[#This Row],[Industry]], Mean_PE_M, 2, FALSE))/(VLOOKUP(Main_M[[#This Row],[Industry]], Mean_PE_M, 3, FALSE))</f>
        <v>#VALUE!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9" spans="1:26" x14ac:dyDescent="0.25">
      <c r="A29" s="68" t="s">
        <v>144</v>
      </c>
      <c r="B29" s="68" t="s">
        <v>177</v>
      </c>
      <c r="C29" s="2">
        <v>6770</v>
      </c>
      <c r="D29">
        <f>RTD("tos.rtd", , "LAST", Main_M[[#This Row],[Symbol]])</f>
        <v>25.8</v>
      </c>
      <c r="E29">
        <v>-4.74</v>
      </c>
      <c r="F29">
        <v>12.06</v>
      </c>
      <c r="G29">
        <v>-0.71</v>
      </c>
      <c r="H29" s="1">
        <f>IF(ISNUMBER(Main_M[[#This Row],[Free CF]]),IF(Main_M[[#This Row],[Free CF]]&lt;&gt;0,Main_M[[#This Row],[Current Price]]/Main_M[[#This Row],[Free CF]],""),"")</f>
        <v>-5.443037974683544</v>
      </c>
      <c r="I29" s="1">
        <f>IF(ISNUMBER(Main_M[[#This Row],[BVPS]]),IF(Main_M[[#This Row],[BVPS]]&lt;&gt;0,Main_M[[#This Row],[Current Price]]/Main_M[[#This Row],[BVPS]],""),"")</f>
        <v>2.1393034825870645</v>
      </c>
      <c r="J29">
        <v>-0.15</v>
      </c>
      <c r="K29">
        <v>0.77</v>
      </c>
      <c r="L29">
        <v>10.92</v>
      </c>
      <c r="M29" s="1">
        <f>IF(ISNUMBER(Main_M[[#This Row],[EPS]]),IF(Main_M[[#This Row],[EPS]]&lt;&gt;0,Main_M[[#This Row],[Current Price]]/Main_M[[#This Row],[EPS]],""),"")</f>
        <v>-36.338028169014088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-0.15789348328783984</v>
      </c>
      <c r="P29" s="1">
        <f>(Main_M[[#This Row],[P/B]]-VLOOKUP(Main_M[[#This Row],[Industry]], Mean_PB_M, 2, FALSE))/(VLOOKUP(Main_M[[#This Row],[Industry]], Mean_PB_M, 3, FALSE))</f>
        <v>0.88599641396806439</v>
      </c>
      <c r="Q29" s="1">
        <f>(Main_M[[#This Row],[ROE]]-VLOOKUP(Main_M[[#This Row],[Industry]], Mean_ROE_M, 2, FALSE))/(VLOOKUP(Main_M[[#This Row],[Industry]], Mean_ROE_M, 3, FALSE))</f>
        <v>-0.78972326694973072</v>
      </c>
      <c r="R29" s="1">
        <f>(Main_M[[#This Row],[ROA]]-VLOOKUP(Main_M[[#This Row],[Industry]], Mean_ROA_M, 2, FALSE))/(VLOOKUP(Main_M[[#This Row],[Industry]], Mean_ROA_M, 3, FALSE))</f>
        <v>-1.4325085371707813</v>
      </c>
      <c r="S29" s="1">
        <f>(Main_M[[#This Row],[A/E]]-VLOOKUP(Main_M[[#This Row],[Industry]], Mean_AE_M, 2, FALSE))/(VLOOKUP(Main_M[[#This Row],[Industry]], Mean_AE_M, 3, FALSE))</f>
        <v>0.86201290170012257</v>
      </c>
      <c r="T29" s="1">
        <f>(Main_M[[#This Row],[P/E]]-VLOOKUP(Main_M[[#This Row],[Industry]], Mean_PE_M, 2, FALSE))/(VLOOKUP(Main_M[[#This Row],[Industry]], Mean_PE_M, 3, FALSE))</f>
        <v>-1.3627718365959367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s="68" t="s">
        <v>144</v>
      </c>
      <c r="B30" s="68" t="s">
        <v>181</v>
      </c>
      <c r="C30" s="2">
        <v>2470</v>
      </c>
      <c r="D30">
        <f>RTD("tos.rtd", , "LAST", Main_M[[#This Row],[Symbol]])</f>
        <v>6.95</v>
      </c>
      <c r="E30">
        <v>-1.43</v>
      </c>
      <c r="F30">
        <v>3.47</v>
      </c>
      <c r="G30">
        <v>0.04</v>
      </c>
      <c r="H30" s="1">
        <f>IF(ISNUMBER(Main_M[[#This Row],[Free CF]]),IF(Main_M[[#This Row],[Free CF]]&lt;&gt;0,Main_M[[#This Row],[Current Price]]/Main_M[[#This Row],[Free CF]],""),"")</f>
        <v>-4.8601398601398609</v>
      </c>
      <c r="I30" s="1">
        <f>IF(ISNUMBER(Main_M[[#This Row],[BVPS]]),IF(Main_M[[#This Row],[BVPS]]&lt;&gt;0,Main_M[[#This Row],[Current Price]]/Main_M[[#This Row],[BVPS]],""),"")</f>
        <v>2.0028818443804033</v>
      </c>
      <c r="J30">
        <v>1.68</v>
      </c>
      <c r="K30">
        <v>3.26</v>
      </c>
      <c r="L30">
        <v>8.9</v>
      </c>
      <c r="M30" s="1">
        <f>IF(ISNUMBER(Main_M[[#This Row],[EPS]]),IF(Main_M[[#This Row],[EPS]]&lt;&gt;0,Main_M[[#This Row],[Current Price]]/Main_M[[#This Row],[EPS]],""),"")</f>
        <v>173.75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-0.11343767655018269</v>
      </c>
      <c r="P30" s="1">
        <f>(Main_M[[#This Row],[P/B]]-VLOOKUP(Main_M[[#This Row],[Industry]], Mean_PB_M, 2, FALSE))/(VLOOKUP(Main_M[[#This Row],[Industry]], Mean_PB_M, 3, FALSE))</f>
        <v>-0.21717702663606922</v>
      </c>
      <c r="Q30" s="1">
        <f>(Main_M[[#This Row],[ROE]]-VLOOKUP(Main_M[[#This Row],[Industry]], Mean_ROE_M, 2, FALSE))/(VLOOKUP(Main_M[[#This Row],[Industry]], Mean_ROE_M, 3, FALSE))</f>
        <v>-0.40668759811378924</v>
      </c>
      <c r="R30" s="1">
        <f>(Main_M[[#This Row],[ROA]]-VLOOKUP(Main_M[[#This Row],[Industry]], Mean_ROA_M, 2, FALSE))/(VLOOKUP(Main_M[[#This Row],[Industry]], Mean_ROA_M, 3, FALSE))</f>
        <v>1.4337875626503978</v>
      </c>
      <c r="S30" s="1">
        <f>(Main_M[[#This Row],[A/E]]-VLOOKUP(Main_M[[#This Row],[Industry]], Mean_AE_M, 2, FALSE))/(VLOOKUP(Main_M[[#This Row],[Industry]], Mean_AE_M, 3, FALSE))</f>
        <v>0.36260580951056798</v>
      </c>
      <c r="T30" s="1">
        <f>(Main_M[[#This Row],[P/E]]-VLOOKUP(Main_M[[#This Row],[Industry]], Mean_PE_M, 2, FALSE))/(VLOOKUP(Main_M[[#This Row],[Industry]], Mean_PE_M, 3, FALSE))</f>
        <v>5.4936290190018466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1" spans="1:26" x14ac:dyDescent="0.25">
      <c r="A31" s="68" t="s">
        <v>144</v>
      </c>
      <c r="B31" s="68" t="s">
        <v>179</v>
      </c>
      <c r="C31" s="2">
        <v>3627</v>
      </c>
      <c r="D31">
        <f>RTD("tos.rtd", , "LAST", Main_M[[#This Row],[Symbol]])</f>
        <v>30.48</v>
      </c>
      <c r="E31">
        <v>4.5599999999999996</v>
      </c>
      <c r="F31">
        <v>16.489999999999998</v>
      </c>
      <c r="G31">
        <v>0.79</v>
      </c>
      <c r="H31" s="1">
        <f>IF(ISNUMBER(Main_M[[#This Row],[Free CF]]),IF(Main_M[[#This Row],[Free CF]]&lt;&gt;0,Main_M[[#This Row],[Current Price]]/Main_M[[#This Row],[Free CF]],""),"")</f>
        <v>6.6842105263157903</v>
      </c>
      <c r="I31" s="1">
        <f>IF(ISNUMBER(Main_M[[#This Row],[BVPS]]),IF(Main_M[[#This Row],[BVPS]]&lt;&gt;0,Main_M[[#This Row],[Current Price]]/Main_M[[#This Row],[BVPS]],""),"")</f>
        <v>1.8483929654335962</v>
      </c>
      <c r="J31">
        <v>-2.31</v>
      </c>
      <c r="K31">
        <v>1</v>
      </c>
      <c r="L31">
        <v>7.54</v>
      </c>
      <c r="M31" s="1">
        <f>IF(ISNUMBER(Main_M[[#This Row],[EPS]]),IF(Main_M[[#This Row],[EPS]]&lt;&gt;0,Main_M[[#This Row],[Current Price]]/Main_M[[#This Row],[EPS]],""),"")</f>
        <v>38.582278481012658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0.76701363541509071</v>
      </c>
      <c r="P31" s="1">
        <f>(Main_M[[#This Row],[P/B]]-VLOOKUP(Main_M[[#This Row],[Industry]], Mean_PB_M, 2, FALSE))/(VLOOKUP(Main_M[[#This Row],[Industry]], Mean_PB_M, 3, FALSE))</f>
        <v>-1.4664511913741305</v>
      </c>
      <c r="Q31" s="1">
        <f>(Main_M[[#This Row],[ROE]]-VLOOKUP(Main_M[[#This Row],[Industry]], Mean_ROE_M, 2, FALSE))/(VLOOKUP(Main_M[[#This Row],[Industry]], Mean_ROE_M, 3, FALSE))</f>
        <v>-1.2418309416413338</v>
      </c>
      <c r="R31" s="1">
        <f>(Main_M[[#This Row],[ROA]]-VLOOKUP(Main_M[[#This Row],[Industry]], Mean_ROA_M, 2, FALSE))/(VLOOKUP(Main_M[[#This Row],[Industry]], Mean_ROA_M, 3, FALSE))</f>
        <v>-1.1677502628901102</v>
      </c>
      <c r="S31" s="1">
        <f>(Main_M[[#This Row],[A/E]]-VLOOKUP(Main_M[[#This Row],[Industry]], Mean_AE_M, 2, FALSE))/(VLOOKUP(Main_M[[#This Row],[Industry]], Mean_AE_M, 3, FALSE))</f>
        <v>2.6371331600768735E-2</v>
      </c>
      <c r="T31" s="1">
        <f>(Main_M[[#This Row],[P/E]]-VLOOKUP(Main_M[[#This Row],[Industry]], Mean_PE_M, 2, FALSE))/(VLOOKUP(Main_M[[#This Row],[Industry]], Mean_PE_M, 3, FALSE))</f>
        <v>1.08231586827622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s="68" t="s">
        <v>144</v>
      </c>
      <c r="B32" s="68" t="s">
        <v>207</v>
      </c>
      <c r="C32" s="2">
        <v>2354</v>
      </c>
      <c r="D32">
        <f>RTD("tos.rtd", , "LAST", Main_M[[#This Row],[Symbol]])</f>
        <v>22.77</v>
      </c>
      <c r="E32">
        <v>-3.25</v>
      </c>
      <c r="F32">
        <v>10.88</v>
      </c>
      <c r="G32">
        <v>7.0000000000000007E-2</v>
      </c>
      <c r="H32" s="1">
        <f>IF(ISNUMBER(Main_M[[#This Row],[Free CF]]),IF(Main_M[[#This Row],[Free CF]]&lt;&gt;0,Main_M[[#This Row],[Current Price]]/Main_M[[#This Row],[Free CF]],""),"")</f>
        <v>-7.006153846153846</v>
      </c>
      <c r="I32" s="1">
        <f>IF(ISNUMBER(Main_M[[#This Row],[BVPS]]),IF(Main_M[[#This Row],[BVPS]]&lt;&gt;0,Main_M[[#This Row],[Current Price]]/Main_M[[#This Row],[BVPS]],""),"")</f>
        <v>2.0928308823529411</v>
      </c>
      <c r="J32">
        <v>2.02</v>
      </c>
      <c r="K32">
        <v>1.71</v>
      </c>
      <c r="L32">
        <v>4.74</v>
      </c>
      <c r="M32" s="1">
        <f>IF(ISNUMBER(Main_M[[#This Row],[EPS]]),IF(Main_M[[#This Row],[EPS]]&lt;&gt;0,Main_M[[#This Row],[Current Price]]/Main_M[[#This Row],[EPS]],""),"")</f>
        <v>325.28571428571422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-0.27710741683272289</v>
      </c>
      <c r="P32" s="1">
        <f>(Main_M[[#This Row],[P/B]]-VLOOKUP(Main_M[[#This Row],[Industry]], Mean_PB_M, 2, FALSE))/(VLOOKUP(Main_M[[#This Row],[Industry]], Mean_PB_M, 3, FALSE))</f>
        <v>0.51019577876065747</v>
      </c>
      <c r="Q32" s="1">
        <f>(Main_M[[#This Row],[ROE]]-VLOOKUP(Main_M[[#This Row],[Industry]], Mean_ROE_M, 2, FALSE))/(VLOOKUP(Main_M[[#This Row],[Industry]], Mean_ROE_M, 3, FALSE))</f>
        <v>-0.33552250117159244</v>
      </c>
      <c r="R32" s="1">
        <f>(Main_M[[#This Row],[ROA]]-VLOOKUP(Main_M[[#This Row],[Industry]], Mean_ROA_M, 2, FALSE))/(VLOOKUP(Main_M[[#This Row],[Industry]], Mean_ROA_M, 3, FALSE))</f>
        <v>-0.35045298141499481</v>
      </c>
      <c r="S32" s="1">
        <f>(Main_M[[#This Row],[A/E]]-VLOOKUP(Main_M[[#This Row],[Industry]], Mean_AE_M, 2, FALSE))/(VLOOKUP(Main_M[[#This Row],[Industry]], Mean_AE_M, 3, FALSE))</f>
        <v>-0.66587612291940601</v>
      </c>
      <c r="T32" s="1">
        <f>(Main_M[[#This Row],[P/E]]-VLOOKUP(Main_M[[#This Row],[Industry]], Mean_PE_M, 2, FALSE))/(VLOOKUP(Main_M[[#This Row],[Industry]], Mean_PE_M, 3, FALSE))</f>
        <v>10.439125486065327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3" spans="1:26" x14ac:dyDescent="0.25">
      <c r="A33" s="68" t="s">
        <v>144</v>
      </c>
      <c r="B33" s="68" t="s">
        <v>209</v>
      </c>
      <c r="C33" s="2">
        <v>3909</v>
      </c>
      <c r="D33">
        <f>RTD("tos.rtd", , "LAST", Main_M[[#This Row],[Symbol]])</f>
        <v>15.29</v>
      </c>
      <c r="E33">
        <v>2.1</v>
      </c>
      <c r="F33">
        <v>11.22</v>
      </c>
      <c r="G33">
        <v>0.69</v>
      </c>
      <c r="H33" s="1">
        <f>IF(ISNUMBER(Main_M[[#This Row],[Free CF]]),IF(Main_M[[#This Row],[Free CF]]&lt;&gt;0,Main_M[[#This Row],[Current Price]]/Main_M[[#This Row],[Free CF]],""),"")</f>
        <v>7.28095238095238</v>
      </c>
      <c r="I33" s="1">
        <f>IF(ISNUMBER(Main_M[[#This Row],[BVPS]]),IF(Main_M[[#This Row],[BVPS]]&lt;&gt;0,Main_M[[#This Row],[Current Price]]/Main_M[[#This Row],[BVPS]],""),"")</f>
        <v>1.3627450980392155</v>
      </c>
      <c r="J33">
        <v>7.09</v>
      </c>
      <c r="K33">
        <v>3.25</v>
      </c>
      <c r="L33">
        <v>3.34</v>
      </c>
      <c r="M33" s="1">
        <f>IF(ISNUMBER(Main_M[[#This Row],[EPS]]),IF(Main_M[[#This Row],[EPS]]&lt;&gt;0,Main_M[[#This Row],[Current Price]]/Main_M[[#This Row],[EPS]],""),"")</f>
        <v>22.159420289855074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0.81252526068902575</v>
      </c>
      <c r="P33" s="1">
        <f>(Main_M[[#This Row],[P/B]]-VLOOKUP(Main_M[[#This Row],[Industry]], Mean_PB_M, 2, FALSE))/(VLOOKUP(Main_M[[#This Row],[Industry]], Mean_PB_M, 3, FALSE))</f>
        <v>-5.3936421842276321</v>
      </c>
      <c r="Q33" s="1">
        <f>(Main_M[[#This Row],[ROE]]-VLOOKUP(Main_M[[#This Row],[Industry]], Mean_ROE_M, 2, FALSE))/(VLOOKUP(Main_M[[#This Row],[Industry]], Mean_ROE_M, 3, FALSE))</f>
        <v>0.7256746797017537</v>
      </c>
      <c r="R33" s="1">
        <f>(Main_M[[#This Row],[ROA]]-VLOOKUP(Main_M[[#This Row],[Industry]], Mean_ROA_M, 2, FALSE))/(VLOOKUP(Main_M[[#This Row],[Industry]], Mean_ROA_M, 3, FALSE))</f>
        <v>1.4222763333338471</v>
      </c>
      <c r="S33" s="1">
        <f>(Main_M[[#This Row],[A/E]]-VLOOKUP(Main_M[[#This Row],[Industry]], Mean_AE_M, 2, FALSE))/(VLOOKUP(Main_M[[#This Row],[Industry]], Mean_AE_M, 3, FALSE))</f>
        <v>-1.0119998501794936</v>
      </c>
      <c r="T33" s="1">
        <f>(Main_M[[#This Row],[P/E]]-VLOOKUP(Main_M[[#This Row],[Industry]], Mean_PE_M, 2, FALSE))/(VLOOKUP(Main_M[[#This Row],[Industry]], Mean_PE_M, 3, FALSE))</f>
        <v>0.5463419723118732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s="68" t="s">
        <v>144</v>
      </c>
      <c r="B34" s="68" t="s">
        <v>210</v>
      </c>
      <c r="C34" s="2">
        <v>6208</v>
      </c>
      <c r="D34">
        <f>RTD("tos.rtd", , "LAST", Main_M[[#This Row],[Symbol]])</f>
        <v>41.24</v>
      </c>
      <c r="E34">
        <v>-0.66</v>
      </c>
      <c r="F34">
        <v>20.91</v>
      </c>
      <c r="G34">
        <v>3.21</v>
      </c>
      <c r="H34" s="1">
        <f>IF(ISNUMBER(Main_M[[#This Row],[Free CF]]),IF(Main_M[[#This Row],[Free CF]]&lt;&gt;0,Main_M[[#This Row],[Current Price]]/Main_M[[#This Row],[Free CF]],""),"")</f>
        <v>-62.484848484848484</v>
      </c>
      <c r="I34" s="1">
        <f>IF(ISNUMBER(Main_M[[#This Row],[BVPS]]),IF(Main_M[[#This Row],[BVPS]]&lt;&gt;0,Main_M[[#This Row],[Current Price]]/Main_M[[#This Row],[BVPS]],""),"")</f>
        <v>1.9722620755619322</v>
      </c>
      <c r="J34">
        <v>15.28</v>
      </c>
      <c r="K34">
        <v>3.84</v>
      </c>
      <c r="L34">
        <v>3.07</v>
      </c>
      <c r="M34" s="1">
        <f>IF(ISNUMBER(Main_M[[#This Row],[EPS]]),IF(Main_M[[#This Row],[EPS]]&lt;&gt;0,Main_M[[#This Row],[Current Price]]/Main_M[[#This Row],[EPS]],""),"")</f>
        <v>12.847352024922118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-4.5082930483835577</v>
      </c>
      <c r="P34" s="1">
        <f>(Main_M[[#This Row],[P/B]]-VLOOKUP(Main_M[[#This Row],[Industry]], Mean_PB_M, 2, FALSE))/(VLOOKUP(Main_M[[#This Row],[Industry]], Mean_PB_M, 3, FALSE))</f>
        <v>-0.464783756492261</v>
      </c>
      <c r="Q34" s="1">
        <f>(Main_M[[#This Row],[ROE]]-VLOOKUP(Main_M[[#This Row],[Industry]], Mean_ROE_M, 2, FALSE))/(VLOOKUP(Main_M[[#This Row],[Industry]], Mean_ROE_M, 3, FALSE))</f>
        <v>2.4399162795740823</v>
      </c>
      <c r="R34" s="1">
        <f>(Main_M[[#This Row],[ROA]]-VLOOKUP(Main_M[[#This Row],[Industry]], Mean_ROA_M, 2, FALSE))/(VLOOKUP(Main_M[[#This Row],[Industry]], Mean_ROA_M, 3, FALSE))</f>
        <v>2.1014388630103511</v>
      </c>
      <c r="S34" s="1">
        <f>(Main_M[[#This Row],[A/E]]-VLOOKUP(Main_M[[#This Row],[Industry]], Mean_AE_M, 2, FALSE))/(VLOOKUP(Main_M[[#This Row],[Industry]], Mean_AE_M, 3, FALSE))</f>
        <v>-1.0787522832939391</v>
      </c>
      <c r="T34" s="1">
        <f>(Main_M[[#This Row],[P/E]]-VLOOKUP(Main_M[[#This Row],[Industry]], Mean_PE_M, 2, FALSE))/(VLOOKUP(Main_M[[#This Row],[Industry]], Mean_PE_M, 3, FALSE))</f>
        <v>0.24243473221103959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s="68" t="s">
        <v>144</v>
      </c>
      <c r="B35" s="68" t="s">
        <v>180</v>
      </c>
      <c r="C35" s="2">
        <v>4509</v>
      </c>
      <c r="D35">
        <f>RTD("tos.rtd", , "LAST", Main_M[[#This Row],[Symbol]])</f>
        <v>77.83</v>
      </c>
      <c r="E35">
        <v>-3.19</v>
      </c>
      <c r="F35">
        <v>40.57</v>
      </c>
      <c r="G35">
        <v>2.06</v>
      </c>
      <c r="H35" s="1">
        <f>IF(ISNUMBER(Main_M[[#This Row],[Free CF]]),IF(Main_M[[#This Row],[Free CF]]&lt;&gt;0,Main_M[[#This Row],[Current Price]]/Main_M[[#This Row],[Free CF]],""),"")</f>
        <v>-24.398119122257054</v>
      </c>
      <c r="I35" s="1">
        <f>IF(ISNUMBER(Main_M[[#This Row],[BVPS]]),IF(Main_M[[#This Row],[BVPS]]&lt;&gt;0,Main_M[[#This Row],[Current Price]]/Main_M[[#This Row],[BVPS]],""),"")</f>
        <v>1.9184126201626817</v>
      </c>
      <c r="J35">
        <v>5.19</v>
      </c>
      <c r="K35">
        <v>1.8</v>
      </c>
      <c r="L35">
        <v>2.37</v>
      </c>
      <c r="M35" s="1">
        <f>IF(ISNUMBER(Main_M[[#This Row],[EPS]]),IF(Main_M[[#This Row],[EPS]]&lt;&gt;0,Main_M[[#This Row],[Current Price]]/Main_M[[#This Row],[EPS]],""),"")</f>
        <v>37.78155339805825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-1.6035379332665611</v>
      </c>
      <c r="P35" s="1">
        <f>(Main_M[[#This Row],[P/B]]-VLOOKUP(Main_M[[#This Row],[Industry]], Mean_PB_M, 2, FALSE))/(VLOOKUP(Main_M[[#This Row],[Industry]], Mean_PB_M, 3, FALSE))</f>
        <v>-0.90023732359764008</v>
      </c>
      <c r="Q35" s="1">
        <f>(Main_M[[#This Row],[ROE]]-VLOOKUP(Main_M[[#This Row],[Industry]], Mean_ROE_M, 2, FALSE))/(VLOOKUP(Main_M[[#This Row],[Industry]], Mean_ROE_M, 3, FALSE))</f>
        <v>0.32798737326006588</v>
      </c>
      <c r="R35" s="1">
        <f>(Main_M[[#This Row],[ROA]]-VLOOKUP(Main_M[[#This Row],[Industry]], Mean_ROA_M, 2, FALSE))/(VLOOKUP(Main_M[[#This Row],[Industry]], Mean_ROA_M, 3, FALSE))</f>
        <v>-0.24685191756603642</v>
      </c>
      <c r="S35" s="1">
        <f>(Main_M[[#This Row],[A/E]]-VLOOKUP(Main_M[[#This Row],[Industry]], Mean_AE_M, 2, FALSE))/(VLOOKUP(Main_M[[#This Row],[Industry]], Mean_AE_M, 3, FALSE))</f>
        <v>-1.2518141469239825</v>
      </c>
      <c r="T35" s="1">
        <f>(Main_M[[#This Row],[P/E]]-VLOOKUP(Main_M[[#This Row],[Industry]], Mean_PE_M, 2, FALSE))/(VLOOKUP(Main_M[[#This Row],[Industry]], Mean_PE_M, 3, FALSE))</f>
        <v>1.0561835265539661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s="68" t="s">
        <v>127</v>
      </c>
      <c r="B36" s="68" t="s">
        <v>206</v>
      </c>
      <c r="C36" s="2">
        <v>4212</v>
      </c>
      <c r="D36">
        <f>RTD("tos.rtd", , "LAST", Main_M[[#This Row],[Symbol]])</f>
        <v>36.96</v>
      </c>
      <c r="E36">
        <v>3.02</v>
      </c>
      <c r="F36">
        <v>29.24</v>
      </c>
      <c r="G36">
        <v>2.64</v>
      </c>
      <c r="H36" s="1">
        <f>IF(ISNUMBER(Main_M[[#This Row],[Free CF]]),IF(Main_M[[#This Row],[Free CF]]&lt;&gt;0,Main_M[[#This Row],[Current Price]]/Main_M[[#This Row],[Free CF]],""),"")</f>
        <v>12.23841059602649</v>
      </c>
      <c r="I36" s="1">
        <f>IF(ISNUMBER(Main_M[[#This Row],[BVPS]]),IF(Main_M[[#This Row],[BVPS]]&lt;&gt;0,Main_M[[#This Row],[Current Price]]/Main_M[[#This Row],[BVPS]],""),"")</f>
        <v>1.2640218878248974</v>
      </c>
      <c r="J36">
        <v>8.08</v>
      </c>
      <c r="K36">
        <v>2.83</v>
      </c>
      <c r="L36">
        <v>5.73</v>
      </c>
      <c r="M36" s="1">
        <f>IF(ISNUMBER(Main_M[[#This Row],[EPS]]),IF(Main_M[[#This Row],[EPS]]&lt;&gt;0,Main_M[[#This Row],[Current Price]]/Main_M[[#This Row],[EPS]],""),"")</f>
        <v>14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0.37686833444215223</v>
      </c>
      <c r="P36" s="1">
        <f>(Main_M[[#This Row],[P/B]]-VLOOKUP(Main_M[[#This Row],[Industry]], Mean_PB_M, 2, FALSE))/(VLOOKUP(Main_M[[#This Row],[Industry]], Mean_PB_M, 3, FALSE))</f>
        <v>1.5292277161445897</v>
      </c>
      <c r="Q36" s="1">
        <f>(Main_M[[#This Row],[ROE]]-VLOOKUP(Main_M[[#This Row],[Industry]], Mean_ROE_M, 2, FALSE))/(VLOOKUP(Main_M[[#This Row],[Industry]], Mean_ROE_M, 3, FALSE))</f>
        <v>0.79220282989000868</v>
      </c>
      <c r="R36" s="1">
        <f>(Main_M[[#This Row],[ROA]]-VLOOKUP(Main_M[[#This Row],[Industry]], Mean_ROA_M, 2, FALSE))/(VLOOKUP(Main_M[[#This Row],[Industry]], Mean_ROA_M, 3, FALSE))</f>
        <v>8.7437177097833954E-2</v>
      </c>
      <c r="S36" s="1">
        <f>(Main_M[[#This Row],[A/E]]-VLOOKUP(Main_M[[#This Row],[Industry]], Mean_AE_M, 2, FALSE))/(VLOOKUP(Main_M[[#This Row],[Industry]], Mean_AE_M, 3, FALSE))</f>
        <v>1.9118579954098363</v>
      </c>
      <c r="T36" s="1">
        <f>(Main_M[[#This Row],[P/E]]-VLOOKUP(Main_M[[#This Row],[Industry]], Mean_PE_M, 2, FALSE))/(VLOOKUP(Main_M[[#This Row],[Industry]], Mean_PE_M, 3, FALSE))</f>
        <v>-0.78276404033275238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s="68" t="s">
        <v>127</v>
      </c>
      <c r="B37" s="68" t="s">
        <v>208</v>
      </c>
      <c r="C37" s="2">
        <v>7602</v>
      </c>
      <c r="D37">
        <f>RTD("tos.rtd", , "LAST", Main_M[[#This Row],[Symbol]])</f>
        <v>27.312000000000001</v>
      </c>
      <c r="E37">
        <v>0.76</v>
      </c>
      <c r="F37">
        <v>13.97</v>
      </c>
      <c r="G37">
        <v>1.02</v>
      </c>
      <c r="H37" s="1">
        <f>IF(ISNUMBER(Main_M[[#This Row],[Free CF]]),IF(Main_M[[#This Row],[Free CF]]&lt;&gt;0,Main_M[[#This Row],[Current Price]]/Main_M[[#This Row],[Free CF]],""),"")</f>
        <v>35.93684210526316</v>
      </c>
      <c r="I37" s="1">
        <f>IF(ISNUMBER(Main_M[[#This Row],[BVPS]]),IF(Main_M[[#This Row],[BVPS]]&lt;&gt;0,Main_M[[#This Row],[Current Price]]/Main_M[[#This Row],[BVPS]],""),"")</f>
        <v>1.9550465282748748</v>
      </c>
      <c r="J37">
        <v>6.72</v>
      </c>
      <c r="K37">
        <v>2.57</v>
      </c>
      <c r="L37">
        <v>4.4400000000000004</v>
      </c>
      <c r="M37" s="1">
        <f>IF(ISNUMBER(Main_M[[#This Row],[EPS]]),IF(Main_M[[#This Row],[EPS]]&lt;&gt;0,Main_M[[#This Row],[Current Price]]/Main_M[[#This Row],[EPS]],""),"")</f>
        <v>26.776470588235295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1.4237097752748986</v>
      </c>
      <c r="P37" s="1">
        <f>(Main_M[[#This Row],[P/B]]-VLOOKUP(Main_M[[#This Row],[Industry]], Mean_PB_M, 2, FALSE))/(VLOOKUP(Main_M[[#This Row],[Industry]], Mean_PB_M, 3, FALSE))</f>
        <v>9.3459873187876479</v>
      </c>
      <c r="Q37" s="1">
        <f>(Main_M[[#This Row],[ROE]]-VLOOKUP(Main_M[[#This Row],[Industry]], Mean_ROE_M, 2, FALSE))/(VLOOKUP(Main_M[[#This Row],[Industry]], Mean_ROE_M, 3, FALSE))</f>
        <v>-1.3843544401108232</v>
      </c>
      <c r="R37" s="1">
        <f>(Main_M[[#This Row],[ROA]]-VLOOKUP(Main_M[[#This Row],[Industry]], Mean_ROA_M, 2, FALSE))/(VLOOKUP(Main_M[[#This Row],[Industry]], Mean_ROA_M, 3, FALSE))</f>
        <v>-1.0492461251740073</v>
      </c>
      <c r="S37" s="1">
        <f>(Main_M[[#This Row],[A/E]]-VLOOKUP(Main_M[[#This Row],[Industry]], Mean_AE_M, 2, FALSE))/(VLOOKUP(Main_M[[#This Row],[Industry]], Mean_AE_M, 3, FALSE))</f>
        <v>0.73743094108665119</v>
      </c>
      <c r="T37" s="1">
        <f>(Main_M[[#This Row],[P/E]]-VLOOKUP(Main_M[[#This Row],[Industry]], Mean_PE_M, 2, FALSE))/(VLOOKUP(Main_M[[#This Row],[Industry]], Mean_PE_M, 3, FALSE))</f>
        <v>8.2926953519248983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8" spans="1:26" x14ac:dyDescent="0.25">
      <c r="A38" s="68" t="s">
        <v>127</v>
      </c>
      <c r="B38" s="68" t="s">
        <v>169</v>
      </c>
      <c r="C38" s="2">
        <v>4215</v>
      </c>
      <c r="D38">
        <f>RTD("tos.rtd", , "LAST", Main_M[[#This Row],[Symbol]])</f>
        <v>5.79</v>
      </c>
      <c r="E38">
        <v>-0.62</v>
      </c>
      <c r="F38">
        <v>5.87</v>
      </c>
      <c r="G38">
        <v>0.33</v>
      </c>
      <c r="H38" s="1">
        <f>IF(ISNUMBER(Main_M[[#This Row],[Free CF]]),IF(Main_M[[#This Row],[Free CF]]&lt;&gt;0,Main_M[[#This Row],[Current Price]]/Main_M[[#This Row],[Free CF]],""),"")</f>
        <v>-9.3387096774193541</v>
      </c>
      <c r="I38" s="1">
        <f>IF(ISNUMBER(Main_M[[#This Row],[BVPS]]),IF(Main_M[[#This Row],[BVPS]]&lt;&gt;0,Main_M[[#This Row],[Current Price]]/Main_M[[#This Row],[BVPS]],""),"")</f>
        <v>0.98637137989778534</v>
      </c>
      <c r="J38">
        <v>2.42</v>
      </c>
      <c r="K38">
        <v>1.88</v>
      </c>
      <c r="L38">
        <v>3.03</v>
      </c>
      <c r="M38" s="1">
        <f>IF(ISNUMBER(Main_M[[#This Row],[EPS]]),IF(Main_M[[#This Row],[EPS]]&lt;&gt;0,Main_M[[#This Row],[Current Price]]/Main_M[[#This Row],[EPS]],""),"")</f>
        <v>17.545454545454543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-0.57626747402988587</v>
      </c>
      <c r="P38" s="1">
        <f>(Main_M[[#This Row],[P/B]]-VLOOKUP(Main_M[[#This Row],[Industry]], Mean_PB_M, 2, FALSE))/(VLOOKUP(Main_M[[#This Row],[Industry]], Mean_PB_M, 3, FALSE))</f>
        <v>-1.6115101779552723</v>
      </c>
      <c r="Q38" s="1">
        <f>(Main_M[[#This Row],[ROE]]-VLOOKUP(Main_M[[#This Row],[Industry]], Mean_ROE_M, 2, FALSE))/(VLOOKUP(Main_M[[#This Row],[Industry]], Mean_ROE_M, 3, FALSE))</f>
        <v>-8.2661163967310998</v>
      </c>
      <c r="R38" s="1">
        <f>(Main_M[[#This Row],[ROA]]-VLOOKUP(Main_M[[#This Row],[Industry]], Mean_ROA_M, 2, FALSE))/(VLOOKUP(Main_M[[#This Row],[Industry]], Mean_ROA_M, 3, FALSE))</f>
        <v>-4.0658287350492754</v>
      </c>
      <c r="S38" s="1">
        <f>(Main_M[[#This Row],[A/E]]-VLOOKUP(Main_M[[#This Row],[Industry]], Mean_AE_M, 2, FALSE))/(VLOOKUP(Main_M[[#This Row],[Industry]], Mean_AE_M, 3, FALSE))</f>
        <v>-0.54624514154566794</v>
      </c>
      <c r="T38" s="1">
        <f>(Main_M[[#This Row],[P/E]]-VLOOKUP(Main_M[[#This Row],[Industry]], Mean_PE_M, 2, FALSE))/(VLOOKUP(Main_M[[#This Row],[Industry]], Mean_PE_M, 3, FALSE))</f>
        <v>1.7356645454142834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s="68" t="s">
        <v>127</v>
      </c>
      <c r="B39" s="68" t="s">
        <v>170</v>
      </c>
      <c r="C39" s="2">
        <v>3103</v>
      </c>
      <c r="D39">
        <f>RTD("tos.rtd", , "LAST", Main_M[[#This Row],[Symbol]])</f>
        <v>37.31</v>
      </c>
      <c r="E39">
        <v>0.14000000000000001</v>
      </c>
      <c r="F39">
        <v>32.880000000000003</v>
      </c>
      <c r="G39">
        <v>2.37</v>
      </c>
      <c r="H39" s="1">
        <f>IF(ISNUMBER(Main_M[[#This Row],[Free CF]]),IF(Main_M[[#This Row],[Free CF]]&lt;&gt;0,Main_M[[#This Row],[Current Price]]/Main_M[[#This Row],[Free CF]],""),"")</f>
        <v>266.5</v>
      </c>
      <c r="I39" s="1">
        <f>IF(ISNUMBER(Main_M[[#This Row],[BVPS]]),IF(Main_M[[#This Row],[BVPS]]&lt;&gt;0,Main_M[[#This Row],[Current Price]]/Main_M[[#This Row],[BVPS]],""),"")</f>
        <v>1.1347323600973236</v>
      </c>
      <c r="J39">
        <v>7.27</v>
      </c>
      <c r="K39">
        <v>2.65</v>
      </c>
      <c r="L39">
        <v>3.01</v>
      </c>
      <c r="M39" s="1">
        <f>IF(ISNUMBER(Main_M[[#This Row],[EPS]]),IF(Main_M[[#This Row],[EPS]]&lt;&gt;0,Main_M[[#This Row],[Current Price]]/Main_M[[#This Row],[EPS]],""),"")</f>
        <v>15.742616033755274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11.608479527627537</v>
      </c>
      <c r="P39" s="1">
        <f>(Main_M[[#This Row],[P/B]]-VLOOKUP(Main_M[[#This Row],[Industry]], Mean_PB_M, 2, FALSE))/(VLOOKUP(Main_M[[#This Row],[Industry]], Mean_PB_M, 3, FALSE))</f>
        <v>6.6725370746882964E-2</v>
      </c>
      <c r="Q39" s="1">
        <f>(Main_M[[#This Row],[ROE]]-VLOOKUP(Main_M[[#This Row],[Industry]], Mean_ROE_M, 2, FALSE))/(VLOOKUP(Main_M[[#This Row],[Industry]], Mean_ROE_M, 3, FALSE))</f>
        <v>-0.50412907356636971</v>
      </c>
      <c r="R39" s="1">
        <f>(Main_M[[#This Row],[ROA]]-VLOOKUP(Main_M[[#This Row],[Industry]], Mean_ROA_M, 2, FALSE))/(VLOOKUP(Main_M[[#This Row],[Industry]], Mean_ROA_M, 3, FALSE))</f>
        <v>-0.69949741678267163</v>
      </c>
      <c r="S39" s="1">
        <f>(Main_M[[#This Row],[A/E]]-VLOOKUP(Main_M[[#This Row],[Industry]], Mean_AE_M, 2, FALSE))/(VLOOKUP(Main_M[[#This Row],[Industry]], Mean_AE_M, 3, FALSE))</f>
        <v>-0.56445331293052359</v>
      </c>
      <c r="T39" s="1">
        <f>(Main_M[[#This Row],[P/E]]-VLOOKUP(Main_M[[#This Row],[Industry]], Mean_PE_M, 2, FALSE))/(VLOOKUP(Main_M[[#This Row],[Industry]], Mean_PE_M, 3, FALSE))</f>
        <v>0.45506145626454181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s="68" t="s">
        <v>127</v>
      </c>
      <c r="B40" s="68" t="s">
        <v>172</v>
      </c>
      <c r="C40" s="2">
        <v>3396</v>
      </c>
      <c r="D40">
        <f>RTD("tos.rtd", , "LAST", Main_M[[#This Row],[Symbol]])</f>
        <v>52.58</v>
      </c>
      <c r="E40">
        <v>-2.19</v>
      </c>
      <c r="F40">
        <v>47.19</v>
      </c>
      <c r="G40">
        <v>3.84</v>
      </c>
      <c r="H40" s="1">
        <f>IF(ISNUMBER(Main_M[[#This Row],[Free CF]]),IF(Main_M[[#This Row],[Free CF]]&lt;&gt;0,Main_M[[#This Row],[Current Price]]/Main_M[[#This Row],[Free CF]],""),"")</f>
        <v>-24.009132420091323</v>
      </c>
      <c r="I40" s="1">
        <f>IF(ISNUMBER(Main_M[[#This Row],[BVPS]]),IF(Main_M[[#This Row],[BVPS]]&lt;&gt;0,Main_M[[#This Row],[Current Price]]/Main_M[[#This Row],[BVPS]],""),"")</f>
        <v>1.1142191142191142</v>
      </c>
      <c r="J40">
        <v>8.27</v>
      </c>
      <c r="K40">
        <v>2.77</v>
      </c>
      <c r="L40">
        <v>2.8</v>
      </c>
      <c r="M40" s="1">
        <f>IF(ISNUMBER(Main_M[[#This Row],[EPS]]),IF(Main_M[[#This Row],[EPS]]&lt;&gt;0,Main_M[[#This Row],[Current Price]]/Main_M[[#This Row],[EPS]],""),"")</f>
        <v>13.692708333333334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-1.2243106356871651</v>
      </c>
      <c r="P40" s="1">
        <f>(Main_M[[#This Row],[P/B]]-VLOOKUP(Main_M[[#This Row],[Industry]], Mean_PB_M, 2, FALSE))/(VLOOKUP(Main_M[[#This Row],[Industry]], Mean_PB_M, 3, FALSE))</f>
        <v>-0.16531716770074345</v>
      </c>
      <c r="Q40" s="1">
        <f>(Main_M[[#This Row],[ROE]]-VLOOKUP(Main_M[[#This Row],[Industry]], Mean_ROE_M, 2, FALSE))/(VLOOKUP(Main_M[[#This Row],[Industry]], Mean_ROE_M, 3, FALSE))</f>
        <v>1.0962806837871828</v>
      </c>
      <c r="R40" s="1">
        <f>(Main_M[[#This Row],[ROA]]-VLOOKUP(Main_M[[#This Row],[Industry]], Mean_ROA_M, 2, FALSE))/(VLOOKUP(Main_M[[#This Row],[Industry]], Mean_ROA_M, 3, FALSE))</f>
        <v>-0.17487435419566791</v>
      </c>
      <c r="S40" s="1">
        <f>(Main_M[[#This Row],[A/E]]-VLOOKUP(Main_M[[#This Row],[Industry]], Mean_AE_M, 2, FALSE))/(VLOOKUP(Main_M[[#This Row],[Industry]], Mean_AE_M, 3, FALSE))</f>
        <v>-0.75563911247150717</v>
      </c>
      <c r="T40" s="1">
        <f>(Main_M[[#This Row],[P/E]]-VLOOKUP(Main_M[[#This Row],[Industry]], Mean_PE_M, 2, FALSE))/(VLOOKUP(Main_M[[#This Row],[Industry]], Mean_PE_M, 3, FALSE))</f>
        <v>-1.0010413042416497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s="68" t="s">
        <v>127</v>
      </c>
      <c r="B41" s="68" t="s">
        <v>171</v>
      </c>
      <c r="C41" s="2">
        <v>4240</v>
      </c>
      <c r="D41">
        <f>RTD("tos.rtd", , "LAST", Main_M[[#This Row],[Symbol]])</f>
        <v>57.39</v>
      </c>
      <c r="E41">
        <v>-0.1</v>
      </c>
      <c r="F41">
        <v>50.13</v>
      </c>
      <c r="G41">
        <v>3.95</v>
      </c>
      <c r="H41" s="1">
        <f>IF(ISNUMBER(Main_M[[#This Row],[Free CF]]),IF(Main_M[[#This Row],[Free CF]]&lt;&gt;0,Main_M[[#This Row],[Current Price]]/Main_M[[#This Row],[Free CF]],""),"")</f>
        <v>-573.9</v>
      </c>
      <c r="I41" s="1">
        <f>IF(ISNUMBER(Main_M[[#This Row],[BVPS]]),IF(Main_M[[#This Row],[BVPS]]&lt;&gt;0,Main_M[[#This Row],[Current Price]]/Main_M[[#This Row],[BVPS]],""),"")</f>
        <v>1.1448234590065829</v>
      </c>
      <c r="J41">
        <v>8.08</v>
      </c>
      <c r="K41">
        <v>3.23</v>
      </c>
      <c r="L41">
        <v>2.77</v>
      </c>
      <c r="M41" s="1">
        <f>IF(ISNUMBER(Main_M[[#This Row],[EPS]]),IF(Main_M[[#This Row],[EPS]]&lt;&gt;0,Main_M[[#This Row],[Current Price]]/Main_M[[#This Row],[EPS]],""),"")</f>
        <v>14.529113924050632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-25.514886486403554</v>
      </c>
      <c r="P41" s="1">
        <f>(Main_M[[#This Row],[P/B]]-VLOOKUP(Main_M[[#This Row],[Industry]], Mean_PB_M, 2, FALSE))/(VLOOKUP(Main_M[[#This Row],[Industry]], Mean_PB_M, 3, FALSE))</f>
        <v>0.18087425876455063</v>
      </c>
      <c r="Q41" s="1">
        <f>(Main_M[[#This Row],[ROE]]-VLOOKUP(Main_M[[#This Row],[Industry]], Mean_ROE_M, 2, FALSE))/(VLOOKUP(Main_M[[#This Row],[Industry]], Mean_ROE_M, 3, FALSE))</f>
        <v>0.79220282989000868</v>
      </c>
      <c r="R41" s="1">
        <f>(Main_M[[#This Row],[ROA]]-VLOOKUP(Main_M[[#This Row],[Industry]], Mean_ROA_M, 2, FALSE))/(VLOOKUP(Main_M[[#This Row],[Industry]], Mean_ROA_M, 3, FALSE))</f>
        <v>1.836180719054511</v>
      </c>
      <c r="S41" s="1">
        <f>(Main_M[[#This Row],[A/E]]-VLOOKUP(Main_M[[#This Row],[Industry]], Mean_AE_M, 2, FALSE))/(VLOOKUP(Main_M[[#This Row],[Industry]], Mean_AE_M, 3, FALSE))</f>
        <v>-0.78295136954879041</v>
      </c>
      <c r="T41" s="1">
        <f>(Main_M[[#This Row],[P/E]]-VLOOKUP(Main_M[[#This Row],[Industry]], Mean_PE_M, 2, FALSE))/(VLOOKUP(Main_M[[#This Row],[Industry]], Mean_PE_M, 3, FALSE))</f>
        <v>-0.40692065710442188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s="68" t="s">
        <v>140</v>
      </c>
      <c r="B42" s="68" t="s">
        <v>174</v>
      </c>
      <c r="C42" s="2">
        <v>2815</v>
      </c>
      <c r="D42">
        <f>RTD("tos.rtd", , "LAST", Main_M[[#This Row],[Symbol]])</f>
        <v>46.14</v>
      </c>
      <c r="E42">
        <v>-3.07</v>
      </c>
      <c r="F42">
        <v>27.35</v>
      </c>
      <c r="G42">
        <v>2.2599999999999998</v>
      </c>
      <c r="H42" s="1">
        <f>IF(ISNUMBER(Main_M[[#This Row],[Free CF]]),IF(Main_M[[#This Row],[Free CF]]&lt;&gt;0,Main_M[[#This Row],[Current Price]]/Main_M[[#This Row],[Free CF]],""),"")</f>
        <v>-15.029315960912053</v>
      </c>
      <c r="I42" s="1">
        <f>IF(ISNUMBER(Main_M[[#This Row],[BVPS]]),IF(Main_M[[#This Row],[BVPS]]&lt;&gt;0,Main_M[[#This Row],[Current Price]]/Main_M[[#This Row],[BVPS]],""),"")</f>
        <v>1.6870201096892139</v>
      </c>
      <c r="J42">
        <v>8.61</v>
      </c>
      <c r="K42">
        <v>2.59</v>
      </c>
      <c r="L42">
        <v>3.23</v>
      </c>
      <c r="M42" s="1">
        <f>IF(ISNUMBER(Main_M[[#This Row],[EPS]]),IF(Main_M[[#This Row],[EPS]]&lt;&gt;0,Main_M[[#This Row],[Current Price]]/Main_M[[#This Row],[EPS]],""),"")</f>
        <v>20.415929203539825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1.0000000000000004</v>
      </c>
      <c r="P42" s="1">
        <f>(Main_M[[#This Row],[P/B]]-VLOOKUP(Main_M[[#This Row],[Industry]], Mean_PB_M, 2, FALSE))/(VLOOKUP(Main_M[[#This Row],[Industry]], Mean_PB_M, 3, FALSE))</f>
        <v>-0.99999999999999989</v>
      </c>
      <c r="Q42" s="1">
        <f>(Main_M[[#This Row],[ROE]]-VLOOKUP(Main_M[[#This Row],[Industry]], Mean_ROE_M, 2, FALSE))/(VLOOKUP(Main_M[[#This Row],[Industry]], Mean_ROE_M, 3, FALSE))</f>
        <v>-1.0000000000000002</v>
      </c>
      <c r="R42" s="1">
        <f>(Main_M[[#This Row],[ROA]]-VLOOKUP(Main_M[[#This Row],[Industry]], Mean_ROA_M, 2, FALSE))/(VLOOKUP(Main_M[[#This Row],[Industry]], Mean_ROA_M, 3, FALSE))</f>
        <v>-1.0000000000000004</v>
      </c>
      <c r="S42" s="1">
        <f>(Main_M[[#This Row],[A/E]]-VLOOKUP(Main_M[[#This Row],[Industry]], Mean_AE_M, 2, FALSE))/(VLOOKUP(Main_M[[#This Row],[Industry]], Mean_AE_M, 3, FALSE))</f>
        <v>0.99999999999999956</v>
      </c>
      <c r="T42" s="1">
        <f>(Main_M[[#This Row],[P/E]]-VLOOKUP(Main_M[[#This Row],[Industry]], Mean_PE_M, 2, FALSE))/(VLOOKUP(Main_M[[#This Row],[Industry]], Mean_PE_M, 3, FALSE))</f>
        <v>-1.0000000000000067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s="68" t="s">
        <v>140</v>
      </c>
      <c r="B43" s="68" t="s">
        <v>173</v>
      </c>
      <c r="C43" s="2">
        <v>3037</v>
      </c>
      <c r="D43">
        <f>RTD("tos.rtd", , "LAST", Main_M[[#This Row],[Symbol]])</f>
        <v>77.5</v>
      </c>
      <c r="E43">
        <v>-1.43</v>
      </c>
      <c r="F43">
        <v>24.84</v>
      </c>
      <c r="G43">
        <v>3.24</v>
      </c>
      <c r="H43" s="1">
        <f>IF(ISNUMBER(Main_M[[#This Row],[Free CF]]),IF(Main_M[[#This Row],[Free CF]]&lt;&gt;0,Main_M[[#This Row],[Current Price]]/Main_M[[#This Row],[Free CF]],""),"")</f>
        <v>-54.1958041958042</v>
      </c>
      <c r="I43" s="1">
        <f>IF(ISNUMBER(Main_M[[#This Row],[BVPS]]),IF(Main_M[[#This Row],[BVPS]]&lt;&gt;0,Main_M[[#This Row],[Current Price]]/Main_M[[#This Row],[BVPS]],""),"")</f>
        <v>3.1199677938808374</v>
      </c>
      <c r="J43">
        <v>14</v>
      </c>
      <c r="K43">
        <v>5.01</v>
      </c>
      <c r="L43">
        <v>2.66</v>
      </c>
      <c r="M43" s="1">
        <f>IF(ISNUMBER(Main_M[[#This Row],[EPS]]),IF(Main_M[[#This Row],[EPS]]&lt;&gt;0,Main_M[[#This Row],[Current Price]]/Main_M[[#This Row],[EPS]],""),"")</f>
        <v>23.919753086419753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-1</v>
      </c>
      <c r="P43" s="1">
        <f>(Main_M[[#This Row],[P/B]]-VLOOKUP(Main_M[[#This Row],[Industry]], Mean_PB_M, 2, FALSE))/(VLOOKUP(Main_M[[#This Row],[Industry]], Mean_PB_M, 3, FALSE))</f>
        <v>1.0000000000000002</v>
      </c>
      <c r="Q43" s="1">
        <f>(Main_M[[#This Row],[ROE]]-VLOOKUP(Main_M[[#This Row],[Industry]], Mean_ROE_M, 2, FALSE))/(VLOOKUP(Main_M[[#This Row],[Industry]], Mean_ROE_M, 3, FALSE))</f>
        <v>1.0000000000000002</v>
      </c>
      <c r="R43" s="1">
        <f>(Main_M[[#This Row],[ROA]]-VLOOKUP(Main_M[[#This Row],[Industry]], Mean_ROA_M, 2, FALSE))/(VLOOKUP(Main_M[[#This Row],[Industry]], Mean_ROA_M, 3, FALSE))</f>
        <v>1.0000000000000004</v>
      </c>
      <c r="S43" s="1">
        <f>(Main_M[[#This Row],[A/E]]-VLOOKUP(Main_M[[#This Row],[Industry]], Mean_AE_M, 2, FALSE))/(VLOOKUP(Main_M[[#This Row],[Industry]], Mean_AE_M, 3, FALSE))</f>
        <v>-1.0000000000000011</v>
      </c>
      <c r="T43" s="1">
        <f>(Main_M[[#This Row],[P/E]]-VLOOKUP(Main_M[[#This Row],[Industry]], Mean_PE_M, 2, FALSE))/(VLOOKUP(Main_M[[#This Row],[Industry]], Mean_PE_M, 3, FALSE))</f>
        <v>1.0000000000000067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21"/>
  <sheetViews>
    <sheetView workbookViewId="0">
      <selection activeCell="B24" sqref="B24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8" t="s">
        <v>105</v>
      </c>
      <c r="B2" s="68" t="s">
        <v>184</v>
      </c>
      <c r="C2" s="2">
        <v>1842</v>
      </c>
      <c r="D2">
        <f>RTD("tos.rtd", , "LAST", Main_S[[#This Row],[Symbol]])</f>
        <v>10.42</v>
      </c>
      <c r="E2">
        <v>0.56999999999999995</v>
      </c>
      <c r="F2">
        <v>8.73</v>
      </c>
      <c r="G2">
        <v>-9.25</v>
      </c>
      <c r="H2" s="1">
        <f>IF(ISNUMBER(Main_S[[#This Row],[Free CF]]),IF(Main_S[[#This Row],[Free CF]]&lt;&gt;0,Main_S[[#This Row],[Current Price]]/Main_S[[#This Row],[Free CF]],""),"")</f>
        <v>18.280701754385966</v>
      </c>
      <c r="I2" s="1">
        <f>IF(ISNUMBER(Main_S[[#This Row],[BVPS]]),IF(Main_S[[#This Row],[BVPS]]&lt;&gt;0,Main_S[[#This Row],[Current Price]]/Main_S[[#This Row],[BVPS]],""),"")</f>
        <v>1.1935853379152348</v>
      </c>
      <c r="J2">
        <v>-66.650000000000006</v>
      </c>
      <c r="K2">
        <v>1.06</v>
      </c>
      <c r="L2">
        <v>5.82</v>
      </c>
      <c r="M2" s="1">
        <f>IF(ISNUMBER(Main_S[[#This Row],[EPS]]),IF(Main_S[[#This Row],[EPS]]&lt;&gt;0,Main_S[[#This Row],[Current Price]]/Main_S[[#This Row],[EPS]],""),"")</f>
        <v>-1.1264864864864865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0.73404032516228024</v>
      </c>
      <c r="P2" s="1">
        <f>(Main_S[[#This Row],[P/B]]-VLOOKUP(Main_S[[#This Row],[Industry]], Mean_PB_S, 2, FALSE))/(VLOOKUP(Main_S[[#This Row],[Industry]], Mean_PB_S, 3, FALSE))</f>
        <v>-0.83495397117162218</v>
      </c>
      <c r="Q2" s="1">
        <f>(Main_S[[#This Row],[ROE]]-VLOOKUP(Main_S[[#This Row],[Industry]], Mean_ROE_S, 2, FALSE))/(VLOOKUP(Main_S[[#This Row],[Industry]], Mean_ROE_S, 3, FALSE))</f>
        <v>-1.4101984373796863</v>
      </c>
      <c r="R2" s="1">
        <f>(Main_S[[#This Row],[ROA]]-VLOOKUP(Main_S[[#This Row],[Industry]], Mean_ROA_S, 2, FALSE))/(VLOOKUP(Main_S[[#This Row],[Industry]], Mean_ROA_S, 3, FALSE))</f>
        <v>-0.83498985123615643</v>
      </c>
      <c r="S2" s="1">
        <f>(Main_S[[#This Row],[A/E]]-VLOOKUP(Main_S[[#This Row],[Industry]], Mean_AE_S, 2, FALSE))/(VLOOKUP(Main_S[[#This Row],[Industry]], Mean_AE_S, 3, FALSE))</f>
        <v>1.3962317968435505</v>
      </c>
      <c r="T2" s="1">
        <f>(Main_S[[#This Row],[P/E]]-VLOOKUP(Main_S[[#This Row],[Industry]], Mean_PE_S, 2, FALSE))/(VLOOKUP(Main_S[[#This Row],[Industry]], Mean_PE_S, 3, FALSE))</f>
        <v>-0.97470902899493816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s="68" t="s">
        <v>105</v>
      </c>
      <c r="B3" s="68" t="s">
        <v>182</v>
      </c>
      <c r="C3" s="2">
        <v>1447</v>
      </c>
      <c r="D3">
        <f>RTD("tos.rtd", , "LAST", Main_S[[#This Row],[Symbol]])</f>
        <v>30.74</v>
      </c>
      <c r="E3">
        <v>-0.09</v>
      </c>
      <c r="F3">
        <v>1.78</v>
      </c>
      <c r="G3">
        <v>0.21</v>
      </c>
      <c r="H3" s="1">
        <f>IF(ISNUMBER(Main_S[[#This Row],[Free CF]]),IF(Main_S[[#This Row],[Free CF]]&lt;&gt;0,Main_S[[#This Row],[Current Price]]/Main_S[[#This Row],[Free CF]],""),"")</f>
        <v>-341.55555555555554</v>
      </c>
      <c r="I3" s="1">
        <f>IF(ISNUMBER(Main_S[[#This Row],[BVPS]]),IF(Main_S[[#This Row],[BVPS]]&lt;&gt;0,Main_S[[#This Row],[Current Price]]/Main_S[[#This Row],[BVPS]],""),"")</f>
        <v>17.269662921348313</v>
      </c>
      <c r="J3">
        <v>16.29</v>
      </c>
      <c r="K3">
        <v>1.92</v>
      </c>
      <c r="L3">
        <v>2.6</v>
      </c>
      <c r="M3" s="1">
        <f>IF(ISNUMBER(Main_S[[#This Row],[EPS]]),IF(Main_S[[#This Row],[EPS]]&lt;&gt;0,Main_S[[#This Row],[Current Price]]/Main_S[[#This Row],[EPS]],""),"")</f>
        <v>146.38095238095238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-1.4138671431741685</v>
      </c>
      <c r="P3" s="1">
        <f>(Main_S[[#This Row],[P/B]]-VLOOKUP(Main_S[[#This Row],[Industry]], Mean_PB_S, 2, FALSE))/(VLOOKUP(Main_S[[#This Row],[Industry]], Mean_PB_S, 3, FALSE))</f>
        <v>1.4059803490189122</v>
      </c>
      <c r="Q3" s="1">
        <f>(Main_S[[#This Row],[ROE]]-VLOOKUP(Main_S[[#This Row],[Industry]], Mean_ROE_S, 2, FALSE))/(VLOOKUP(Main_S[[#This Row],[Industry]], Mean_ROE_S, 3, FALSE))</f>
        <v>0.79732326874685389</v>
      </c>
      <c r="R3" s="1">
        <f>(Main_S[[#This Row],[ROA]]-VLOOKUP(Main_S[[#This Row],[Industry]], Mean_ROA_S, 2, FALSE))/(VLOOKUP(Main_S[[#This Row],[Industry]], Mean_ROA_S, 3, FALSE))</f>
        <v>-0.57098570709531282</v>
      </c>
      <c r="S3" s="1">
        <f>(Main_S[[#This Row],[A/E]]-VLOOKUP(Main_S[[#This Row],[Industry]], Mean_AE_S, 2, FALSE))/(VLOOKUP(Main_S[[#This Row],[Industry]], Mean_AE_S, 3, FALSE))</f>
        <v>-0.50343005632668836</v>
      </c>
      <c r="T3" s="1">
        <f>(Main_S[[#This Row],[P/E]]-VLOOKUP(Main_S[[#This Row],[Industry]], Mean_PE_S, 2, FALSE))/(VLOOKUP(Main_S[[#This Row],[Industry]], Mean_PE_S, 3, FALSE))</f>
        <v>1.3747421026441637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s="68" t="s">
        <v>105</v>
      </c>
      <c r="B4" s="68" t="s">
        <v>183</v>
      </c>
      <c r="C4" s="2">
        <v>568</v>
      </c>
      <c r="D4">
        <f>RTD("tos.rtd", , "LAST", Main_S[[#This Row],[Symbol]])</f>
        <v>22.72</v>
      </c>
      <c r="E4">
        <v>2.4700000000000002</v>
      </c>
      <c r="F4">
        <v>7.36</v>
      </c>
      <c r="G4">
        <v>0.65</v>
      </c>
      <c r="H4" s="1">
        <f>IF(ISNUMBER(Main_S[[#This Row],[Free CF]]),IF(Main_S[[#This Row],[Free CF]]&lt;&gt;0,Main_S[[#This Row],[Current Price]]/Main_S[[#This Row],[Free CF]],""),"")</f>
        <v>9.1983805668016174</v>
      </c>
      <c r="I4" s="1">
        <f>IF(ISNUMBER(Main_S[[#This Row],[BVPS]]),IF(Main_S[[#This Row],[BVPS]]&lt;&gt;0,Main_S[[#This Row],[Current Price]]/Main_S[[#This Row],[BVPS]],""),"")</f>
        <v>3.0869565217391299</v>
      </c>
      <c r="J4">
        <v>9.36</v>
      </c>
      <c r="K4">
        <v>8.36</v>
      </c>
      <c r="L4">
        <v>1.94</v>
      </c>
      <c r="M4" s="1">
        <f>IF(ISNUMBER(Main_S[[#This Row],[EPS]]),IF(Main_S[[#This Row],[EPS]]&lt;&gt;0,Main_S[[#This Row],[Current Price]]/Main_S[[#This Row],[EPS]],""),"")</f>
        <v>34.95384615384615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0.67982681801188827</v>
      </c>
      <c r="P4" s="1">
        <f>(Main_S[[#This Row],[P/B]]-VLOOKUP(Main_S[[#This Row],[Industry]], Mean_PB_S, 2, FALSE))/(VLOOKUP(Main_S[[#This Row],[Industry]], Mean_PB_S, 3, FALSE))</f>
        <v>-0.57102637784728949</v>
      </c>
      <c r="Q4" s="1">
        <f>(Main_S[[#This Row],[ROE]]-VLOOKUP(Main_S[[#This Row],[Industry]], Mean_ROE_S, 2, FALSE))/(VLOOKUP(Main_S[[#This Row],[Industry]], Mean_ROE_S, 3, FALSE))</f>
        <v>0.61287516863283265</v>
      </c>
      <c r="R4" s="1">
        <f>(Main_S[[#This Row],[ROA]]-VLOOKUP(Main_S[[#This Row],[Industry]], Mean_ROA_S, 2, FALSE))/(VLOOKUP(Main_S[[#This Row],[Industry]], Mean_ROA_S, 3, FALSE))</f>
        <v>1.4059755583314695</v>
      </c>
      <c r="S4" s="1">
        <f>(Main_S[[#This Row],[A/E]]-VLOOKUP(Main_S[[#This Row],[Industry]], Mean_AE_S, 2, FALSE))/(VLOOKUP(Main_S[[#This Row],[Industry]], Mean_AE_S, 3, FALSE))</f>
        <v>-0.89280174051686167</v>
      </c>
      <c r="T4" s="1">
        <f>(Main_S[[#This Row],[P/E]]-VLOOKUP(Main_S[[#This Row],[Industry]], Mean_PE_S, 2, FALSE))/(VLOOKUP(Main_S[[#This Row],[Industry]], Mean_PE_S, 3, FALSE))</f>
        <v>-0.40003307364922547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s="68" t="s">
        <v>125</v>
      </c>
      <c r="B5" s="68" t="s">
        <v>187</v>
      </c>
      <c r="C5" s="2">
        <v>1224</v>
      </c>
      <c r="D5">
        <f>RTD("tos.rtd", , "LAST", Main_S[[#This Row],[Symbol]])</f>
        <v>18.23</v>
      </c>
      <c r="E5">
        <v>1.71</v>
      </c>
      <c r="F5">
        <v>8.4499999999999993</v>
      </c>
      <c r="G5">
        <v>1.46</v>
      </c>
      <c r="H5" s="1">
        <f>IF(ISNUMBER(Main_S[[#This Row],[Free CF]]),IF(Main_S[[#This Row],[Free CF]]&lt;&gt;0,Main_S[[#This Row],[Current Price]]/Main_S[[#This Row],[Free CF]],""),"")</f>
        <v>10.660818713450293</v>
      </c>
      <c r="I5" s="1">
        <f>IF(ISNUMBER(Main_S[[#This Row],[BVPS]]),IF(Main_S[[#This Row],[BVPS]]&lt;&gt;0,Main_S[[#This Row],[Current Price]]/Main_S[[#This Row],[BVPS]],""),"")</f>
        <v>2.1573964497041422</v>
      </c>
      <c r="J5">
        <v>12.63</v>
      </c>
      <c r="K5">
        <v>4.84</v>
      </c>
      <c r="L5">
        <v>4.37</v>
      </c>
      <c r="M5" s="1">
        <f>IF(ISNUMBER(Main_S[[#This Row],[EPS]]),IF(Main_S[[#This Row],[EPS]]&lt;&gt;0,Main_S[[#This Row],[Current Price]]/Main_S[[#This Row],[EPS]],""),"")</f>
        <v>12.486301369863014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0.78723551349166643</v>
      </c>
      <c r="P5" s="1">
        <f>(Main_S[[#This Row],[P/B]]-VLOOKUP(Main_S[[#This Row],[Industry]], Mean_PB_S, 2, FALSE))/(VLOOKUP(Main_S[[#This Row],[Industry]], Mean_PB_S, 3, FALSE))</f>
        <v>1.6887324443330556</v>
      </c>
      <c r="Q5" s="1">
        <f>(Main_S[[#This Row],[ROE]]-VLOOKUP(Main_S[[#This Row],[Industry]], Mean_ROE_S, 2, FALSE))/(VLOOKUP(Main_S[[#This Row],[Industry]], Mean_ROE_S, 3, FALSE))</f>
        <v>0.25149218575573229</v>
      </c>
      <c r="R5" s="1">
        <f>(Main_S[[#This Row],[ROA]]-VLOOKUP(Main_S[[#This Row],[Industry]], Mean_ROA_S, 2, FALSE))/(VLOOKUP(Main_S[[#This Row],[Industry]], Mean_ROA_S, 3, FALSE))</f>
        <v>0.20879038184916326</v>
      </c>
      <c r="S5" s="1">
        <f>(Main_S[[#This Row],[A/E]]-VLOOKUP(Main_S[[#This Row],[Industry]], Mean_AE_S, 2, FALSE))/(VLOOKUP(Main_S[[#This Row],[Industry]], Mean_AE_S, 3, FALSE))</f>
        <v>1.2168260712666168</v>
      </c>
      <c r="T5" s="1">
        <f>(Main_S[[#This Row],[P/E]]-VLOOKUP(Main_S[[#This Row],[Industry]], Mean_PE_S, 2, FALSE))/(VLOOKUP(Main_S[[#This Row],[Industry]], Mean_PE_S, 3, FALSE))</f>
        <v>0.27624486738526305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s="68" t="s">
        <v>125</v>
      </c>
      <c r="B6" s="68" t="s">
        <v>185</v>
      </c>
      <c r="C6" s="2">
        <v>1651</v>
      </c>
      <c r="D6">
        <f>RTD("tos.rtd", , "LAST", Main_S[[#This Row],[Symbol]])</f>
        <v>39.97</v>
      </c>
      <c r="E6">
        <v>-4.05</v>
      </c>
      <c r="F6">
        <v>36.130000000000003</v>
      </c>
      <c r="G6">
        <v>2.61</v>
      </c>
      <c r="H6" s="1">
        <f>IF(ISNUMBER(Main_S[[#This Row],[Free CF]]),IF(Main_S[[#This Row],[Free CF]]&lt;&gt;0,Main_S[[#This Row],[Current Price]]/Main_S[[#This Row],[Free CF]],""),"")</f>
        <v>-9.8691358024691365</v>
      </c>
      <c r="I6" s="1">
        <f>IF(ISNUMBER(Main_S[[#This Row],[BVPS]]),IF(Main_S[[#This Row],[BVPS]]&lt;&gt;0,Main_S[[#This Row],[Current Price]]/Main_S[[#This Row],[BVPS]],""),"")</f>
        <v>1.1062828674231939</v>
      </c>
      <c r="J6">
        <v>7.36</v>
      </c>
      <c r="K6">
        <v>2.74</v>
      </c>
      <c r="L6">
        <v>3.92</v>
      </c>
      <c r="M6" s="1">
        <f>IF(ISNUMBER(Main_S[[#This Row],[EPS]]),IF(Main_S[[#This Row],[EPS]]&lt;&gt;0,Main_S[[#This Row],[Current Price]]/Main_S[[#This Row],[EPS]],""),"")</f>
        <v>15.314176245210728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-1.6554024225060293</v>
      </c>
      <c r="P6" s="1">
        <f>(Main_S[[#This Row],[P/B]]-VLOOKUP(Main_S[[#This Row],[Industry]], Mean_PB_S, 2, FALSE))/(VLOOKUP(Main_S[[#This Row],[Industry]], Mean_PB_S, 3, FALSE))</f>
        <v>-0.72986748084472441</v>
      </c>
      <c r="Q6" s="1">
        <f>(Main_S[[#This Row],[ROE]]-VLOOKUP(Main_S[[#This Row],[Industry]], Mean_ROE_S, 2, FALSE))/(VLOOKUP(Main_S[[#This Row],[Industry]], Mean_ROE_S, 3, FALSE))</f>
        <v>-0.55665648432518777</v>
      </c>
      <c r="R6" s="1">
        <f>(Main_S[[#This Row],[ROA]]-VLOOKUP(Main_S[[#This Row],[Industry]], Mean_ROA_S, 2, FALSE))/(VLOOKUP(Main_S[[#This Row],[Industry]], Mean_ROA_S, 3, FALSE))</f>
        <v>-1.1721853721138067</v>
      </c>
      <c r="S6" s="1">
        <f>(Main_S[[#This Row],[A/E]]-VLOOKUP(Main_S[[#This Row],[Industry]], Mean_AE_S, 2, FALSE))/(VLOOKUP(Main_S[[#This Row],[Industry]], Mean_AE_S, 3, FALSE))</f>
        <v>0.42035809734664908</v>
      </c>
      <c r="T6" s="1">
        <f>(Main_S[[#This Row],[P/E]]-VLOOKUP(Main_S[[#This Row],[Industry]], Mean_PE_S, 2, FALSE))/(VLOOKUP(Main_S[[#This Row],[Industry]], Mean_PE_S, 3, FALSE))</f>
        <v>1.0630297548049259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s="68" t="s">
        <v>125</v>
      </c>
      <c r="B7" s="68" t="s">
        <v>200</v>
      </c>
      <c r="C7" s="2">
        <v>1317</v>
      </c>
      <c r="D7">
        <f>RTD("tos.rtd", , "LAST", Main_S[[#This Row],[Symbol]])</f>
        <v>5.8</v>
      </c>
      <c r="E7">
        <v>0.54</v>
      </c>
      <c r="F7">
        <v>4.34</v>
      </c>
      <c r="G7">
        <v>0.06</v>
      </c>
      <c r="H7" s="1">
        <f>IF(ISNUMBER(Main_S[[#This Row],[Free CF]]),IF(Main_S[[#This Row],[Free CF]]&lt;&gt;0,Main_S[[#This Row],[Current Price]]/Main_S[[#This Row],[Free CF]],""),"")</f>
        <v>10.74074074074074</v>
      </c>
      <c r="I7" s="1">
        <f>IF(ISNUMBER(Main_S[[#This Row],[BVPS]]),IF(Main_S[[#This Row],[BVPS]]&lt;&gt;0,Main_S[[#This Row],[Current Price]]/Main_S[[#This Row],[BVPS]],""),"")</f>
        <v>1.336405529953917</v>
      </c>
      <c r="J7">
        <v>3.26</v>
      </c>
      <c r="K7">
        <v>3.69</v>
      </c>
      <c r="L7">
        <v>3.62</v>
      </c>
      <c r="M7" s="1">
        <f>IF(ISNUMBER(Main_S[[#This Row],[EPS]]),IF(Main_S[[#This Row],[EPS]]&lt;&gt;0,Main_S[[#This Row],[Current Price]]/Main_S[[#This Row],[EPS]],""),"")</f>
        <v>96.666666666666671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0.79674457380790387</v>
      </c>
      <c r="P7" s="1">
        <f>(Main_S[[#This Row],[P/B]]-VLOOKUP(Main_S[[#This Row],[Industry]], Mean_PB_S, 2, FALSE))/(VLOOKUP(Main_S[[#This Row],[Industry]], Mean_PB_S, 3, FALSE))</f>
        <v>-0.20035795517506788</v>
      </c>
      <c r="Q7" s="1">
        <f>(Main_S[[#This Row],[ROE]]-VLOOKUP(Main_S[[#This Row],[Industry]], Mean_ROE_S, 2, FALSE))/(VLOOKUP(Main_S[[#This Row],[Industry]], Mean_ROE_S, 3, FALSE))</f>
        <v>-1.1853869487145183</v>
      </c>
      <c r="R7" s="1">
        <f>(Main_S[[#This Row],[ROA]]-VLOOKUP(Main_S[[#This Row],[Industry]], Mean_ROA_S, 2, FALSE))/(VLOOKUP(Main_S[[#This Row],[Industry]], Mean_ROA_S, 3, FALSE))</f>
        <v>-0.5474582453210346</v>
      </c>
      <c r="S7" s="1">
        <f>(Main_S[[#This Row],[A/E]]-VLOOKUP(Main_S[[#This Row],[Industry]], Mean_AE_S, 2, FALSE))/(VLOOKUP(Main_S[[#This Row],[Industry]], Mean_AE_S, 3, FALSE))</f>
        <v>-0.11062055193332879</v>
      </c>
      <c r="T7" s="1">
        <f>(Main_S[[#This Row],[P/E]]-VLOOKUP(Main_S[[#This Row],[Industry]], Mean_PE_S, 2, FALSE))/(VLOOKUP(Main_S[[#This Row],[Industry]], Mean_PE_S, 3, FALSE))</f>
        <v>23.697309147977919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" spans="1:26" x14ac:dyDescent="0.25">
      <c r="A8" s="68" t="s">
        <v>125</v>
      </c>
      <c r="B8" s="68" t="s">
        <v>186</v>
      </c>
      <c r="C8" s="2">
        <v>413</v>
      </c>
      <c r="D8">
        <f>RTD("tos.rtd", , "LAST", Main_S[[#This Row],[Symbol]])</f>
        <v>11.89</v>
      </c>
      <c r="E8">
        <v>2.56</v>
      </c>
      <c r="F8">
        <v>10.87</v>
      </c>
      <c r="G8">
        <v>1.78</v>
      </c>
      <c r="H8" s="1">
        <f>IF(ISNUMBER(Main_S[[#This Row],[Free CF]]),IF(Main_S[[#This Row],[Free CF]]&lt;&gt;0,Main_S[[#This Row],[Current Price]]/Main_S[[#This Row],[Free CF]],""),"")</f>
        <v>4.64453125</v>
      </c>
      <c r="I8" s="1">
        <f>IF(ISNUMBER(Main_S[[#This Row],[BVPS]]),IF(Main_S[[#This Row],[BVPS]]&lt;&gt;0,Main_S[[#This Row],[Current Price]]/Main_S[[#This Row],[BVPS]],""),"")</f>
        <v>1.0938362465501381</v>
      </c>
      <c r="J8">
        <v>20.71</v>
      </c>
      <c r="K8">
        <v>6.82</v>
      </c>
      <c r="L8">
        <v>2.82</v>
      </c>
      <c r="M8" s="1">
        <f>IF(ISNUMBER(Main_S[[#This Row],[EPS]]),IF(Main_S[[#This Row],[EPS]]&lt;&gt;0,Main_S[[#This Row],[Current Price]]/Main_S[[#This Row],[EPS]],""),"")</f>
        <v>6.6797752808988768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7.142233520645884E-2</v>
      </c>
      <c r="P8" s="1">
        <f>(Main_S[[#This Row],[P/B]]-VLOOKUP(Main_S[[#This Row],[Industry]], Mean_PB_S, 2, FALSE))/(VLOOKUP(Main_S[[#This Row],[Industry]], Mean_PB_S, 3, FALSE))</f>
        <v>-0.75850700831326279</v>
      </c>
      <c r="Q8" s="1">
        <f>(Main_S[[#This Row],[ROE]]-VLOOKUP(Main_S[[#This Row],[Industry]], Mean_ROE_S, 2, FALSE))/(VLOOKUP(Main_S[[#This Row],[Industry]], Mean_ROE_S, 3, FALSE))</f>
        <v>1.4905512472839739</v>
      </c>
      <c r="R8" s="1">
        <f>(Main_S[[#This Row],[ROA]]-VLOOKUP(Main_S[[#This Row],[Industry]], Mean_ROA_S, 2, FALSE))/(VLOOKUP(Main_S[[#This Row],[Industry]], Mean_ROA_S, 3, FALSE))</f>
        <v>1.5108532355856783</v>
      </c>
      <c r="S8" s="1">
        <f>(Main_S[[#This Row],[A/E]]-VLOOKUP(Main_S[[#This Row],[Industry]], Mean_AE_S, 2, FALSE))/(VLOOKUP(Main_S[[#This Row],[Industry]], Mean_AE_S, 3, FALSE))</f>
        <v>-1.5265636166799377</v>
      </c>
      <c r="T8" s="1">
        <f>(Main_S[[#This Row],[P/E]]-VLOOKUP(Main_S[[#This Row],[Industry]], Mean_PE_S, 2, FALSE))/(VLOOKUP(Main_S[[#This Row],[Industry]], Mean_PE_S, 3, FALSE))</f>
        <v>-1.3392746221901888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s="68" t="s">
        <v>144</v>
      </c>
      <c r="B9" s="68" t="s">
        <v>198</v>
      </c>
      <c r="C9" s="2">
        <v>829</v>
      </c>
      <c r="D9">
        <f>RTD("tos.rtd", , "LAST", Main_S[[#This Row],[Symbol]])</f>
        <v>8.67</v>
      </c>
      <c r="E9">
        <v>5.84</v>
      </c>
      <c r="F9">
        <v>33.159999999999997</v>
      </c>
      <c r="G9">
        <v>-2.0499999999999998</v>
      </c>
      <c r="H9" s="1">
        <f>IF(ISNUMBER(Main_S[[#This Row],[Free CF]]),IF(Main_S[[#This Row],[Free CF]]&lt;&gt;0,Main_S[[#This Row],[Current Price]]/Main_S[[#This Row],[Free CF]],""),"")</f>
        <v>1.4845890410958904</v>
      </c>
      <c r="I9" s="1">
        <f>IF(ISNUMBER(Main_S[[#This Row],[BVPS]]),IF(Main_S[[#This Row],[BVPS]]&lt;&gt;0,Main_S[[#This Row],[Current Price]]/Main_S[[#This Row],[BVPS]],""),"")</f>
        <v>0.26145958986731005</v>
      </c>
      <c r="J9">
        <v>-5.83</v>
      </c>
      <c r="K9">
        <v>0.41</v>
      </c>
      <c r="L9">
        <v>6.87</v>
      </c>
      <c r="M9" s="1">
        <f>IF(ISNUMBER(Main_S[[#This Row],[EPS]]),IF(Main_S[[#This Row],[EPS]]&lt;&gt;0,Main_S[[#This Row],[Current Price]]/Main_S[[#This Row],[EPS]],""),"")</f>
        <v>-4.229268292682927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1.1703956904495227</v>
      </c>
      <c r="P9" s="1">
        <f>(Main_S[[#This Row],[P/B]]-VLOOKUP(Main_S[[#This Row],[Industry]], Mean_PB_S, 2, FALSE))/(VLOOKUP(Main_S[[#This Row],[Industry]], Mean_PB_S, 3, FALSE))</f>
        <v>-0.92838771559755306</v>
      </c>
      <c r="Q9" s="1">
        <f>(Main_S[[#This Row],[ROE]]-VLOOKUP(Main_S[[#This Row],[Industry]], Mean_ROE_S, 2, FALSE))/(VLOOKUP(Main_S[[#This Row],[Industry]], Mean_ROE_S, 3, FALSE))</f>
        <v>-1.3649430986692361</v>
      </c>
      <c r="R9" s="1">
        <f>(Main_S[[#This Row],[ROA]]-VLOOKUP(Main_S[[#This Row],[Industry]], Mean_ROA_S, 2, FALSE))/(VLOOKUP(Main_S[[#This Row],[Industry]], Mean_ROA_S, 3, FALSE))</f>
        <v>-1.0829695409864535</v>
      </c>
      <c r="S9" s="1">
        <f>(Main_S[[#This Row],[A/E]]-VLOOKUP(Main_S[[#This Row],[Industry]], Mean_AE_S, 2, FALSE))/(VLOOKUP(Main_S[[#This Row],[Industry]], Mean_AE_S, 3, FALSE))</f>
        <v>7.2376970554557536</v>
      </c>
      <c r="T9" s="1">
        <f>(Main_S[[#This Row],[P/E]]-VLOOKUP(Main_S[[#This Row],[Industry]], Mean_PE_S, 2, FALSE))/(VLOOKUP(Main_S[[#This Row],[Industry]], Mean_PE_S, 3, FALSE))</f>
        <v>-0.65700081124345244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s="68" t="s">
        <v>144</v>
      </c>
      <c r="B10" s="68" t="s">
        <v>196</v>
      </c>
      <c r="C10" s="2">
        <v>381</v>
      </c>
      <c r="D10">
        <f>RTD("tos.rtd", , "LAST", Main_S[[#This Row],[Symbol]])</f>
        <v>8.84</v>
      </c>
      <c r="E10">
        <v>-0.92</v>
      </c>
      <c r="F10">
        <v>0.71</v>
      </c>
      <c r="G10">
        <v>-1.39</v>
      </c>
      <c r="H10" s="1">
        <f>IF(ISNUMBER(Main_S[[#This Row],[Free CF]]),IF(Main_S[[#This Row],[Free CF]]&lt;&gt;0,Main_S[[#This Row],[Current Price]]/Main_S[[#This Row],[Free CF]],""),"")</f>
        <v>-9.6086956521739122</v>
      </c>
      <c r="I10" s="1">
        <f>IF(ISNUMBER(Main_S[[#This Row],[BVPS]]),IF(Main_S[[#This Row],[BVPS]]&lt;&gt;0,Main_S[[#This Row],[Current Price]]/Main_S[[#This Row],[BVPS]],""),"")</f>
        <v>12.450704225352114</v>
      </c>
      <c r="J10">
        <v>-31.06</v>
      </c>
      <c r="K10">
        <v>-6.05</v>
      </c>
      <c r="L10">
        <v>2.84</v>
      </c>
      <c r="M10" s="1">
        <f>IF(ISNUMBER(Main_S[[#This Row],[EPS]]),IF(Main_S[[#This Row],[EPS]]&lt;&gt;0,Main_S[[#This Row],[Current Price]]/Main_S[[#This Row],[EPS]],""),"")</f>
        <v>-6.3597122302158278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0.10228338785210507</v>
      </c>
      <c r="P10" s="1">
        <f>(Main_S[[#This Row],[P/B]]-VLOOKUP(Main_S[[#This Row],[Industry]], Mean_PB_S, 2, FALSE))/(VLOOKUP(Main_S[[#This Row],[Industry]], Mean_PB_S, 3, FALSE))</f>
        <v>1.4801567509847247</v>
      </c>
      <c r="Q10" s="1">
        <f>(Main_S[[#This Row],[ROE]]-VLOOKUP(Main_S[[#This Row],[Industry]], Mean_ROE_S, 2, FALSE))/(VLOOKUP(Main_S[[#This Row],[Industry]], Mean_ROE_S, 3, FALSE))</f>
        <v>-6.355887211629355</v>
      </c>
      <c r="R10" s="1">
        <f>(Main_S[[#This Row],[ROA]]-VLOOKUP(Main_S[[#This Row],[Industry]], Mean_ROA_S, 2, FALSE))/(VLOOKUP(Main_S[[#This Row],[Industry]], Mean_ROA_S, 3, FALSE))</f>
        <v>-4.6614775894634297</v>
      </c>
      <c r="S10" s="1">
        <f>(Main_S[[#This Row],[A/E]]-VLOOKUP(Main_S[[#This Row],[Industry]], Mean_AE_S, 2, FALSE))/(VLOOKUP(Main_S[[#This Row],[Industry]], Mean_AE_S, 3, FALSE))</f>
        <v>1.157880664942635</v>
      </c>
      <c r="T10" s="1">
        <f>(Main_S[[#This Row],[P/E]]-VLOOKUP(Main_S[[#This Row],[Industry]], Mean_PE_S, 2, FALSE))/(VLOOKUP(Main_S[[#This Row],[Industry]], Mean_PE_S, 3, FALSE))</f>
        <v>-0.76351816664914673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s="68" t="s">
        <v>144</v>
      </c>
      <c r="B11" s="68" t="s">
        <v>195</v>
      </c>
      <c r="C11" s="2">
        <v>1833</v>
      </c>
      <c r="D11">
        <f>RTD("tos.rtd", , "LAST", Main_S[[#This Row],[Symbol]])</f>
        <v>36.71</v>
      </c>
      <c r="E11">
        <v>-0.52</v>
      </c>
      <c r="F11">
        <v>29.37</v>
      </c>
      <c r="G11">
        <v>11.35</v>
      </c>
      <c r="H11" s="1">
        <f>IF(ISNUMBER(Main_S[[#This Row],[Free CF]]),IF(Main_S[[#This Row],[Free CF]]&lt;&gt;0,Main_S[[#This Row],[Current Price]]/Main_S[[#This Row],[Free CF]],""),"")</f>
        <v>-70.59615384615384</v>
      </c>
      <c r="I11" s="1">
        <f>IF(ISNUMBER(Main_S[[#This Row],[BVPS]]),IF(Main_S[[#This Row],[BVPS]]&lt;&gt;0,Main_S[[#This Row],[Current Price]]/Main_S[[#This Row],[BVPS]],""),"")</f>
        <v>1.2499148791283623</v>
      </c>
      <c r="J11">
        <v>28.8</v>
      </c>
      <c r="K11">
        <v>0.89</v>
      </c>
      <c r="L11">
        <v>2.62</v>
      </c>
      <c r="M11" s="1">
        <f>IF(ISNUMBER(Main_S[[#This Row],[EPS]]),IF(Main_S[[#This Row],[EPS]]&lt;&gt;0,Main_S[[#This Row],[Current Price]]/Main_S[[#This Row],[EPS]],""),"")</f>
        <v>3.2343612334801763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-5.7698686574890177</v>
      </c>
      <c r="P11" s="1">
        <f>(Main_S[[#This Row],[P/B]]-VLOOKUP(Main_S[[#This Row],[Industry]], Mean_PB_S, 2, FALSE))/(VLOOKUP(Main_S[[#This Row],[Industry]], Mean_PB_S, 3, FALSE))</f>
        <v>-0.73307302723015511</v>
      </c>
      <c r="Q11" s="1">
        <f>(Main_S[[#This Row],[ROE]]-VLOOKUP(Main_S[[#This Row],[Industry]], Mean_ROE_S, 2, FALSE))/(VLOOKUP(Main_S[[#This Row],[Industry]], Mean_ROE_S, 3, FALSE))</f>
        <v>5.4854887139272339</v>
      </c>
      <c r="R11" s="1">
        <f>(Main_S[[#This Row],[ROA]]-VLOOKUP(Main_S[[#This Row],[Industry]], Mean_ROA_S, 2, FALSE))/(VLOOKUP(Main_S[[#This Row],[Industry]], Mean_ROA_S, 3, FALSE))</f>
        <v>-0.81707420611509896</v>
      </c>
      <c r="S11" s="1">
        <f>(Main_S[[#This Row],[A/E]]-VLOOKUP(Main_S[[#This Row],[Industry]], Mean_AE_S, 2, FALSE))/(VLOOKUP(Main_S[[#This Row],[Industry]], Mean_AE_S, 3, FALSE))</f>
        <v>0.8259800183141276</v>
      </c>
      <c r="T11" s="1">
        <f>(Main_S[[#This Row],[P/E]]-VLOOKUP(Main_S[[#This Row],[Industry]], Mean_PE_S, 2, FALSE))/(VLOOKUP(Main_S[[#This Row],[Industry]], Mean_PE_S, 3, FALSE))</f>
        <v>-0.2838362961633783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s="68" t="s">
        <v>144</v>
      </c>
      <c r="B12" s="68" t="s">
        <v>194</v>
      </c>
      <c r="C12" s="2">
        <v>1967</v>
      </c>
      <c r="D12">
        <f>RTD("tos.rtd", , "LAST", Main_S[[#This Row],[Symbol]])</f>
        <v>12.15</v>
      </c>
      <c r="E12">
        <v>0.11</v>
      </c>
      <c r="F12">
        <v>1.26</v>
      </c>
      <c r="G12">
        <v>0.06</v>
      </c>
      <c r="H12" s="1">
        <f>IF(ISNUMBER(Main_S[[#This Row],[Free CF]]),IF(Main_S[[#This Row],[Free CF]]&lt;&gt;0,Main_S[[#This Row],[Current Price]]/Main_S[[#This Row],[Free CF]],""),"")</f>
        <v>110.45454545454545</v>
      </c>
      <c r="I12" s="1">
        <f>IF(ISNUMBER(Main_S[[#This Row],[BVPS]]),IF(Main_S[[#This Row],[BVPS]]&lt;&gt;0,Main_S[[#This Row],[Current Price]]/Main_S[[#This Row],[BVPS]],""),"")</f>
        <v>9.6428571428571423</v>
      </c>
      <c r="J12">
        <v>6.14</v>
      </c>
      <c r="K12">
        <v>4.84</v>
      </c>
      <c r="L12">
        <v>1.46</v>
      </c>
      <c r="M12" s="1">
        <f>IF(ISNUMBER(Main_S[[#This Row],[EPS]]),IF(Main_S[[#This Row],[EPS]]&lt;&gt;0,Main_S[[#This Row],[Current Price]]/Main_S[[#This Row],[EPS]],""),"")</f>
        <v>202.5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11.662522619214267</v>
      </c>
      <c r="P12" s="1">
        <f>(Main_S[[#This Row],[P/B]]-VLOOKUP(Main_S[[#This Row],[Industry]], Mean_PB_S, 2, FALSE))/(VLOOKUP(Main_S[[#This Row],[Industry]], Mean_PB_S, 3, FALSE))</f>
        <v>0.92533774818410719</v>
      </c>
      <c r="Q12" s="1">
        <f>(Main_S[[#This Row],[ROE]]-VLOOKUP(Main_S[[#This Row],[Industry]], Mean_ROE_S, 2, FALSE))/(VLOOKUP(Main_S[[#This Row],[Industry]], Mean_ROE_S, 3, FALSE))</f>
        <v>1.0029364507613083</v>
      </c>
      <c r="R12" s="1">
        <f>(Main_S[[#This Row],[ROA]]-VLOOKUP(Main_S[[#This Row],[Industry]], Mean_ROA_S, 2, FALSE))/(VLOOKUP(Main_S[[#This Row],[Industry]], Mean_ROA_S, 3, FALSE))</f>
        <v>1.3710228204304207</v>
      </c>
      <c r="S12" s="1">
        <f>(Main_S[[#This Row],[A/E]]-VLOOKUP(Main_S[[#This Row],[Industry]], Mean_AE_S, 2, FALSE))/(VLOOKUP(Main_S[[#This Row],[Industry]], Mean_AE_S, 3, FALSE))</f>
        <v>-0.92404157299982226</v>
      </c>
      <c r="T12" s="1">
        <f>(Main_S[[#This Row],[P/E]]-VLOOKUP(Main_S[[#This Row],[Industry]], Mean_PE_S, 2, FALSE))/(VLOOKUP(Main_S[[#This Row],[Industry]], Mean_PE_S, 3, FALSE))</f>
        <v>9.678992807528207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" spans="1:26" x14ac:dyDescent="0.25">
      <c r="A13" s="68" t="s">
        <v>144</v>
      </c>
      <c r="B13" s="68" t="s">
        <v>197</v>
      </c>
      <c r="C13" s="2">
        <v>262</v>
      </c>
      <c r="D13">
        <f>RTD("tos.rtd", , "LAST", Main_S[[#This Row],[Symbol]])</f>
        <v>2.15</v>
      </c>
      <c r="E13">
        <v>-0.09</v>
      </c>
      <c r="F13">
        <v>1.8</v>
      </c>
      <c r="G13">
        <v>0.05</v>
      </c>
      <c r="H13" s="1">
        <f>IF(ISNUMBER(Main_S[[#This Row],[Free CF]]),IF(Main_S[[#This Row],[Free CF]]&lt;&gt;0,Main_S[[#This Row],[Current Price]]/Main_S[[#This Row],[Free CF]],""),"")</f>
        <v>-23.888888888888889</v>
      </c>
      <c r="I13" s="1">
        <f>IF(ISNUMBER(Main_S[[#This Row],[BVPS]]),IF(Main_S[[#This Row],[BVPS]]&lt;&gt;0,Main_S[[#This Row],[Current Price]]/Main_S[[#This Row],[BVPS]],""),"")</f>
        <v>1.1944444444444444</v>
      </c>
      <c r="J13">
        <v>2.9</v>
      </c>
      <c r="K13">
        <v>3.32</v>
      </c>
      <c r="L13">
        <v>1.37</v>
      </c>
      <c r="M13" s="1">
        <f>IF(ISNUMBER(Main_S[[#This Row],[EPS]]),IF(Main_S[[#This Row],[EPS]]&lt;&gt;0,Main_S[[#This Row],[Current Price]]/Main_S[[#This Row],[EPS]],""),"")</f>
        <v>42.999999999999993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-1.2726790783016277</v>
      </c>
      <c r="P13" s="1">
        <f>(Main_S[[#This Row],[P/B]]-VLOOKUP(Main_S[[#This Row],[Industry]], Mean_PB_S, 2, FALSE))/(VLOOKUP(Main_S[[#This Row],[Industry]], Mean_PB_S, 3, FALSE))</f>
        <v>-0.74403375634112268</v>
      </c>
      <c r="Q13" s="1">
        <f>(Main_S[[#This Row],[ROE]]-VLOOKUP(Main_S[[#This Row],[Industry]], Mean_ROE_S, 2, FALSE))/(VLOOKUP(Main_S[[#This Row],[Industry]], Mean_ROE_S, 3, FALSE))</f>
        <v>0.36200664790792786</v>
      </c>
      <c r="R13" s="1">
        <f>(Main_S[[#This Row],[ROA]]-VLOOKUP(Main_S[[#This Row],[Industry]], Mean_ROA_S, 2, FALSE))/(VLOOKUP(Main_S[[#This Row],[Industry]], Mean_ROA_S, 3, FALSE))</f>
        <v>0.5290209266711321</v>
      </c>
      <c r="S13" s="1">
        <f>(Main_S[[#This Row],[A/E]]-VLOOKUP(Main_S[[#This Row],[Industry]], Mean_AE_S, 2, FALSE))/(VLOOKUP(Main_S[[#This Row],[Industry]], Mean_AE_S, 3, FALSE))</f>
        <v>-1.0598191102569388</v>
      </c>
      <c r="T13" s="1">
        <f>(Main_S[[#This Row],[P/E]]-VLOOKUP(Main_S[[#This Row],[Industry]], Mean_PE_S, 2, FALSE))/(VLOOKUP(Main_S[[#This Row],[Industry]], Mean_PE_S, 3, FALSE))</f>
        <v>1.7043552740559775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s="68" t="s">
        <v>127</v>
      </c>
      <c r="B14" s="68" t="s">
        <v>188</v>
      </c>
      <c r="C14" s="2">
        <v>891</v>
      </c>
      <c r="D14">
        <f>RTD("tos.rtd", , "LAST", Main_S[[#This Row],[Symbol]])</f>
        <v>53.05</v>
      </c>
      <c r="E14">
        <v>-1.92</v>
      </c>
      <c r="F14">
        <v>32.86</v>
      </c>
      <c r="G14">
        <v>2.93</v>
      </c>
      <c r="H14" s="1">
        <f>IF(ISNUMBER(Main_S[[#This Row],[Free CF]]),IF(Main_S[[#This Row],[Free CF]]&lt;&gt;0,Main_S[[#This Row],[Current Price]]/Main_S[[#This Row],[Free CF]],""),"")</f>
        <v>-27.630208333333332</v>
      </c>
      <c r="I14" s="1">
        <f>IF(ISNUMBER(Main_S[[#This Row],[BVPS]]),IF(Main_S[[#This Row],[BVPS]]&lt;&gt;0,Main_S[[#This Row],[Current Price]]/Main_S[[#This Row],[BVPS]],""),"")</f>
        <v>1.61442483262325</v>
      </c>
      <c r="J14">
        <v>9.07</v>
      </c>
      <c r="K14">
        <v>3.29</v>
      </c>
      <c r="L14">
        <v>3.54</v>
      </c>
      <c r="M14" s="1">
        <f>IF(ISNUMBER(Main_S[[#This Row],[EPS]]),IF(Main_S[[#This Row],[EPS]]&lt;&gt;0,Main_S[[#This Row],[Current Price]]/Main_S[[#This Row],[EPS]],""),"")</f>
        <v>18.10580204778157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 t="e">
        <f>(Main_S[[#This Row],[P/FCF]]-VLOOKUP(Main_S[[#This Row],[Industry]], Mean_PFCF_S, 2, FALSE))/(VLOOKUP(Main_S[[#This Row],[Industry]], Mean_PFCF_S, 3, FALSE))</f>
        <v>#DIV/0!</v>
      </c>
      <c r="P14" s="1" t="e">
        <f>(Main_S[[#This Row],[P/B]]-VLOOKUP(Main_S[[#This Row],[Industry]], Mean_PB_S, 2, FALSE))/(VLOOKUP(Main_S[[#This Row],[Industry]], Mean_PB_S, 3, FALSE))</f>
        <v>#DIV/0!</v>
      </c>
      <c r="Q14" s="1" t="e">
        <f>(Main_S[[#This Row],[ROE]]-VLOOKUP(Main_S[[#This Row],[Industry]], Mean_ROE_S, 2, FALSE))/(VLOOKUP(Main_S[[#This Row],[Industry]], Mean_ROE_S, 3, FALSE))</f>
        <v>#DIV/0!</v>
      </c>
      <c r="R14" s="1" t="e">
        <f>(Main_S[[#This Row],[ROA]]-VLOOKUP(Main_S[[#This Row],[Industry]], Mean_ROA_S, 2, FALSE))/(VLOOKUP(Main_S[[#This Row],[Industry]], Mean_ROA_S, 3, FALSE))</f>
        <v>#DIV/0!</v>
      </c>
      <c r="S14" s="1" t="e">
        <f>(Main_S[[#This Row],[A/E]]-VLOOKUP(Main_S[[#This Row],[Industry]], Mean_AE_S, 2, FALSE))/(VLOOKUP(Main_S[[#This Row],[Industry]], Mean_AE_S, 3, FALSE))</f>
        <v>#DIV/0!</v>
      </c>
      <c r="T14" s="1" t="e">
        <f>(Main_S[[#This Row],[P/E]]-VLOOKUP(Main_S[[#This Row],[Industry]], Mean_PE_S, 2, FALSE))/(VLOOKUP(Main_S[[#This Row],[Industry]], Mean_PE_S, 3, FALSE))</f>
        <v>#DIV/0!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s="68" t="s">
        <v>140</v>
      </c>
      <c r="B15" s="68" t="s">
        <v>191</v>
      </c>
      <c r="C15" s="2">
        <v>279</v>
      </c>
      <c r="D15">
        <f>RTD("tos.rtd", , "LAST", Main_S[[#This Row],[Symbol]])</f>
        <v>10.52</v>
      </c>
      <c r="E15">
        <v>-0.85</v>
      </c>
      <c r="F15">
        <v>2.81</v>
      </c>
      <c r="G15">
        <v>0.23</v>
      </c>
      <c r="H15" s="1">
        <f>IF(ISNUMBER(Main_S[[#This Row],[Free CF]]),IF(Main_S[[#This Row],[Free CF]]&lt;&gt;0,Main_S[[#This Row],[Current Price]]/Main_S[[#This Row],[Free CF]],""),"")</f>
        <v>-12.376470588235295</v>
      </c>
      <c r="I15" s="1">
        <f>IF(ISNUMBER(Main_S[[#This Row],[BVPS]]),IF(Main_S[[#This Row],[BVPS]]&lt;&gt;0,Main_S[[#This Row],[Current Price]]/Main_S[[#This Row],[BVPS]],""),"")</f>
        <v>3.7437722419928825</v>
      </c>
      <c r="J15">
        <v>9.11</v>
      </c>
      <c r="K15">
        <v>1.42</v>
      </c>
      <c r="L15">
        <v>5.75</v>
      </c>
      <c r="M15" s="1">
        <f>IF(ISNUMBER(Main_S[[#This Row],[EPS]]),IF(Main_S[[#This Row],[EPS]]&lt;&gt;0,Main_S[[#This Row],[Current Price]]/Main_S[[#This Row],[EPS]],""),"")</f>
        <v>45.739130434782602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-6.0560001283104766E-3</v>
      </c>
      <c r="P15" s="1">
        <f>(Main_S[[#This Row],[P/B]]-VLOOKUP(Main_S[[#This Row],[Industry]], Mean_PB_S, 2, FALSE))/(VLOOKUP(Main_S[[#This Row],[Industry]], Mean_PB_S, 3, FALSE))</f>
        <v>5.4749660103126239</v>
      </c>
      <c r="Q15" s="1">
        <f>(Main_S[[#This Row],[ROE]]-VLOOKUP(Main_S[[#This Row],[Industry]], Mean_ROE_S, 2, FALSE))/(VLOOKUP(Main_S[[#This Row],[Industry]], Mean_ROE_S, 3, FALSE))</f>
        <v>8.6768580354632266E-2</v>
      </c>
      <c r="R15" s="1">
        <f>(Main_S[[#This Row],[ROA]]-VLOOKUP(Main_S[[#This Row],[Industry]], Mean_ROA_S, 2, FALSE))/(VLOOKUP(Main_S[[#This Row],[Industry]], Mean_ROA_S, 3, FALSE))</f>
        <v>-1.7518192481081529</v>
      </c>
      <c r="S15" s="1">
        <f>(Main_S[[#This Row],[A/E]]-VLOOKUP(Main_S[[#This Row],[Industry]], Mean_AE_S, 2, FALSE))/(VLOOKUP(Main_S[[#This Row],[Industry]], Mean_AE_S, 3, FALSE))</f>
        <v>3.5042821714412518</v>
      </c>
      <c r="T15" s="1">
        <f>(Main_S[[#This Row],[P/E]]-VLOOKUP(Main_S[[#This Row],[Industry]], Mean_PE_S, 2, FALSE))/(VLOOKUP(Main_S[[#This Row],[Industry]], Mean_PE_S, 3, FALSE))</f>
        <v>5.7314708385045314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6" spans="1:26" x14ac:dyDescent="0.25">
      <c r="A16" s="68" t="s">
        <v>140</v>
      </c>
      <c r="B16" s="68" t="s">
        <v>201</v>
      </c>
      <c r="C16" s="2">
        <v>1794</v>
      </c>
      <c r="D16">
        <f>RTD("tos.rtd", , "LAST", Main_S[[#This Row],[Symbol]])</f>
        <v>52.57</v>
      </c>
      <c r="E16">
        <v>-5.26</v>
      </c>
      <c r="F16">
        <v>40.880000000000003</v>
      </c>
      <c r="G16">
        <v>2.98</v>
      </c>
      <c r="H16" s="1">
        <f>IF(ISNUMBER(Main_S[[#This Row],[Free CF]]),IF(Main_S[[#This Row],[Free CF]]&lt;&gt;0,Main_S[[#This Row],[Current Price]]/Main_S[[#This Row],[Free CF]],""),"")</f>
        <v>-9.9942965779467681</v>
      </c>
      <c r="I16" s="1">
        <f>IF(ISNUMBER(Main_S[[#This Row],[BVPS]]),IF(Main_S[[#This Row],[BVPS]]&lt;&gt;0,Main_S[[#This Row],[Current Price]]/Main_S[[#This Row],[BVPS]],""),"")</f>
        <v>1.2859589041095889</v>
      </c>
      <c r="J16">
        <v>7.49</v>
      </c>
      <c r="K16">
        <v>2.56</v>
      </c>
      <c r="L16">
        <v>3.38</v>
      </c>
      <c r="M16" s="1">
        <f>IF(ISNUMBER(Main_S[[#This Row],[EPS]]),IF(Main_S[[#This Row],[EPS]]&lt;&gt;0,Main_S[[#This Row],[Current Price]]/Main_S[[#This Row],[EPS]],""),"")</f>
        <v>17.640939597315437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0.1598062208040632</v>
      </c>
      <c r="P16" s="1">
        <f>(Main_S[[#This Row],[P/B]]-VLOOKUP(Main_S[[#This Row],[Industry]], Mean_PB_S, 2, FALSE))/(VLOOKUP(Main_S[[#This Row],[Industry]], Mean_PB_S, 3, FALSE))</f>
        <v>-1.541956516366805</v>
      </c>
      <c r="Q16" s="1">
        <f>(Main_S[[#This Row],[ROE]]-VLOOKUP(Main_S[[#This Row],[Industry]], Mean_ROE_S, 2, FALSE))/(VLOOKUP(Main_S[[#This Row],[Industry]], Mean_ROE_S, 3, FALSE))</f>
        <v>-1.3602250979123121</v>
      </c>
      <c r="R16" s="1">
        <f>(Main_S[[#This Row],[ROA]]-VLOOKUP(Main_S[[#This Row],[Industry]], Mean_ROA_S, 2, FALSE))/(VLOOKUP(Main_S[[#This Row],[Industry]], Mean_ROA_S, 3, FALSE))</f>
        <v>-0.27250521637237929</v>
      </c>
      <c r="S16" s="1">
        <f>(Main_S[[#This Row],[A/E]]-VLOOKUP(Main_S[[#This Row],[Industry]], Mean_AE_S, 2, FALSE))/(VLOOKUP(Main_S[[#This Row],[Industry]], Mean_AE_S, 3, FALSE))</f>
        <v>0.99769804277452145</v>
      </c>
      <c r="T16" s="1">
        <f>(Main_S[[#This Row],[P/E]]-VLOOKUP(Main_S[[#This Row],[Industry]], Mean_PE_S, 2, FALSE))/(VLOOKUP(Main_S[[#This Row],[Industry]], Mean_PE_S, 3, FALSE))</f>
        <v>-0.81686897534313496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s="68" t="s">
        <v>140</v>
      </c>
      <c r="B17" s="68" t="s">
        <v>189</v>
      </c>
      <c r="C17" s="2">
        <v>356</v>
      </c>
      <c r="D17">
        <f>RTD("tos.rtd", , "LAST", Main_S[[#This Row],[Symbol]])</f>
        <v>33.58</v>
      </c>
      <c r="E17">
        <v>-1.19</v>
      </c>
      <c r="F17">
        <v>23.45</v>
      </c>
      <c r="G17">
        <v>2.08</v>
      </c>
      <c r="H17" s="1">
        <f>IF(ISNUMBER(Main_S[[#This Row],[Free CF]]),IF(Main_S[[#This Row],[Free CF]]&lt;&gt;0,Main_S[[#This Row],[Current Price]]/Main_S[[#This Row],[Free CF]],""),"")</f>
        <v>-28.218487394957982</v>
      </c>
      <c r="I17" s="1">
        <f>IF(ISNUMBER(Main_S[[#This Row],[BVPS]]),IF(Main_S[[#This Row],[BVPS]]&lt;&gt;0,Main_S[[#This Row],[Current Price]]/Main_S[[#This Row],[BVPS]],""),"")</f>
        <v>1.4319829424307036</v>
      </c>
      <c r="J17">
        <v>9.0399999999999991</v>
      </c>
      <c r="K17">
        <v>2.72</v>
      </c>
      <c r="L17">
        <v>3.35</v>
      </c>
      <c r="M17" s="1">
        <f>IF(ISNUMBER(Main_S[[#This Row],[EPS]]),IF(Main_S[[#This Row],[EPS]]&lt;&gt;0,Main_S[[#This Row],[Current Price]]/Main_S[[#This Row],[EPS]],""),"")</f>
        <v>16.144230769230766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-1.1090787349338018</v>
      </c>
      <c r="P17" s="1">
        <f>(Main_S[[#This Row],[P/B]]-VLOOKUP(Main_S[[#This Row],[Industry]], Mean_PB_S, 2, FALSE))/(VLOOKUP(Main_S[[#This Row],[Industry]], Mean_PB_S, 3, FALSE))</f>
        <v>-1.1250658810451801</v>
      </c>
      <c r="Q17" s="1">
        <f>(Main_S[[#This Row],[ROE]]-VLOOKUP(Main_S[[#This Row],[Industry]], Mean_ROE_S, 2, FALSE))/(VLOOKUP(Main_S[[#This Row],[Industry]], Mean_ROE_S, 3, FALSE))</f>
        <v>2.4244162157912166E-2</v>
      </c>
      <c r="R17" s="1">
        <f>(Main_S[[#This Row],[ROA]]-VLOOKUP(Main_S[[#This Row],[Industry]], Mean_ROA_S, 2, FALSE))/(VLOOKUP(Main_S[[#This Row],[Industry]], Mean_ROA_S, 3, FALSE))</f>
        <v>-6.4882194374375798E-2</v>
      </c>
      <c r="S17" s="1">
        <f>(Main_S[[#This Row],[A/E]]-VLOOKUP(Main_S[[#This Row],[Industry]], Mean_AE_S, 2, FALSE))/(VLOOKUP(Main_S[[#This Row],[Industry]], Mean_AE_S, 3, FALSE))</f>
        <v>0.96596912975342375</v>
      </c>
      <c r="T17" s="1">
        <f>(Main_S[[#This Row],[P/E]]-VLOOKUP(Main_S[[#This Row],[Industry]], Mean_PE_S, 2, FALSE))/(VLOOKUP(Main_S[[#This Row],[Industry]], Mean_PE_S, 3, FALSE))</f>
        <v>-1.1656799740788677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s="68" t="s">
        <v>140</v>
      </c>
      <c r="B18" s="68" t="s">
        <v>192</v>
      </c>
      <c r="C18" s="2">
        <v>1038</v>
      </c>
      <c r="D18">
        <f>RTD("tos.rtd", , "LAST", Main_S[[#This Row],[Symbol]])</f>
        <v>56.29</v>
      </c>
      <c r="E18">
        <v>-0.75</v>
      </c>
      <c r="F18">
        <v>25.09</v>
      </c>
      <c r="G18">
        <v>2.4</v>
      </c>
      <c r="H18" s="1">
        <f>IF(ISNUMBER(Main_S[[#This Row],[Free CF]]),IF(Main_S[[#This Row],[Free CF]]&lt;&gt;0,Main_S[[#This Row],[Current Price]]/Main_S[[#This Row],[Free CF]],""),"")</f>
        <v>-75.053333333333327</v>
      </c>
      <c r="I18" s="1">
        <f>IF(ISNUMBER(Main_S[[#This Row],[BVPS]]),IF(Main_S[[#This Row],[BVPS]]&lt;&gt;0,Main_S[[#This Row],[Current Price]]/Main_S[[#This Row],[BVPS]],""),"")</f>
        <v>2.2435233160621761</v>
      </c>
      <c r="J18">
        <v>9.8000000000000007</v>
      </c>
      <c r="K18">
        <v>2.96</v>
      </c>
      <c r="L18">
        <v>2.85</v>
      </c>
      <c r="M18" s="1">
        <f>IF(ISNUMBER(Main_S[[#This Row],[EPS]]),IF(Main_S[[#This Row],[EPS]]&lt;&gt;0,Main_S[[#This Row],[Current Price]]/Main_S[[#This Row],[EPS]],""),"")</f>
        <v>23.454166666666666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-4.3700208536934753</v>
      </c>
      <c r="P18" s="1">
        <f>(Main_S[[#This Row],[P/B]]-VLOOKUP(Main_S[[#This Row],[Industry]], Mean_PB_S, 2, FALSE))/(VLOOKUP(Main_S[[#This Row],[Industry]], Mean_PB_S, 3, FALSE))</f>
        <v>1.1918374578994788</v>
      </c>
      <c r="Q18" s="1">
        <f>(Main_S[[#This Row],[ROE]]-VLOOKUP(Main_S[[#This Row],[Industry]], Mean_ROE_S, 2, FALSE))/(VLOOKUP(Main_S[[#This Row],[Industry]], Mean_ROE_S, 3, FALSE))</f>
        <v>0.70308070257944333</v>
      </c>
      <c r="R18" s="1">
        <f>(Main_S[[#This Row],[ROA]]-VLOOKUP(Main_S[[#This Row],[Industry]], Mean_ROA_S, 2, FALSE))/(VLOOKUP(Main_S[[#This Row],[Industry]], Mean_ROA_S, 3, FALSE))</f>
        <v>0.24655233862262885</v>
      </c>
      <c r="S18" s="1">
        <f>(Main_S[[#This Row],[A/E]]-VLOOKUP(Main_S[[#This Row],[Industry]], Mean_AE_S, 2, FALSE))/(VLOOKUP(Main_S[[#This Row],[Industry]], Mean_AE_S, 3, FALSE))</f>
        <v>0.43715391273512622</v>
      </c>
      <c r="T18" s="1">
        <f>(Main_S[[#This Row],[P/E]]-VLOOKUP(Main_S[[#This Row],[Industry]], Mean_PE_S, 2, FALSE))/(VLOOKUP(Main_S[[#This Row],[Industry]], Mean_PE_S, 3, FALSE))</f>
        <v>0.53791526985494786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s="68" t="s">
        <v>140</v>
      </c>
      <c r="B19" s="68" t="s">
        <v>193</v>
      </c>
      <c r="C19" s="2">
        <v>470</v>
      </c>
      <c r="D19">
        <f>RTD("tos.rtd", , "LAST", Main_S[[#This Row],[Symbol]])</f>
        <v>32.19</v>
      </c>
      <c r="E19">
        <v>-1.35</v>
      </c>
      <c r="F19">
        <v>16.12</v>
      </c>
      <c r="G19">
        <v>1.37</v>
      </c>
      <c r="H19" s="1">
        <f>IF(ISNUMBER(Main_S[[#This Row],[Free CF]]),IF(Main_S[[#This Row],[Free CF]]&lt;&gt;0,Main_S[[#This Row],[Current Price]]/Main_S[[#This Row],[Free CF]],""),"")</f>
        <v>-23.844444444444441</v>
      </c>
      <c r="I19" s="1">
        <f>IF(ISNUMBER(Main_S[[#This Row],[BVPS]]),IF(Main_S[[#This Row],[BVPS]]&lt;&gt;0,Main_S[[#This Row],[Current Price]]/Main_S[[#This Row],[BVPS]],""),"")</f>
        <v>1.9968982630272951</v>
      </c>
      <c r="J19">
        <v>8.6300000000000008</v>
      </c>
      <c r="K19">
        <v>2.91</v>
      </c>
      <c r="L19">
        <v>2.76</v>
      </c>
      <c r="M19" s="1">
        <f>IF(ISNUMBER(Main_S[[#This Row],[EPS]]),IF(Main_S[[#This Row],[EPS]]&lt;&gt;0,Main_S[[#This Row],[Current Price]]/Main_S[[#This Row],[EPS]],""),"")</f>
        <v>23.496350364963501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-0.80452983334541706</v>
      </c>
      <c r="P19" s="1">
        <f>(Main_S[[#This Row],[P/B]]-VLOOKUP(Main_S[[#This Row],[Industry]], Mean_PB_S, 2, FALSE))/(VLOOKUP(Main_S[[#This Row],[Industry]], Mean_PB_S, 3, FALSE))</f>
        <v>0.48773643297203639</v>
      </c>
      <c r="Q19" s="1">
        <f>(Main_S[[#This Row],[ROE]]-VLOOKUP(Main_S[[#This Row],[Industry]], Mean_ROE_S, 2, FALSE))/(VLOOKUP(Main_S[[#This Row],[Industry]], Mean_ROE_S, 3, FALSE))</f>
        <v>-0.34197028728001688</v>
      </c>
      <c r="R19" s="1">
        <f>(Main_S[[#This Row],[ROA]]-VLOOKUP(Main_S[[#This Row],[Industry]], Mean_ROA_S, 2, FALSE))/(VLOOKUP(Main_S[[#This Row],[Industry]], Mean_ROA_S, 3, FALSE))</f>
        <v>0.18167014424825306</v>
      </c>
      <c r="S19" s="1">
        <f>(Main_S[[#This Row],[A/E]]-VLOOKUP(Main_S[[#This Row],[Industry]], Mean_AE_S, 2, FALSE))/(VLOOKUP(Main_S[[#This Row],[Industry]], Mean_AE_S, 3, FALSE))</f>
        <v>0.34196717367183233</v>
      </c>
      <c r="T19" s="1">
        <f>(Main_S[[#This Row],[P/E]]-VLOOKUP(Main_S[[#This Row],[Industry]], Mean_PE_S, 2, FALSE))/(VLOOKUP(Main_S[[#This Row],[Industry]], Mean_PE_S, 3, FALSE))</f>
        <v>0.54774626547492788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s="68" t="s">
        <v>140</v>
      </c>
      <c r="B20" s="68" t="s">
        <v>190</v>
      </c>
      <c r="C20" s="2">
        <v>430</v>
      </c>
      <c r="D20">
        <f>RTD("tos.rtd", , "LAST", Main_S[[#This Row],[Symbol]])</f>
        <v>28.31</v>
      </c>
      <c r="E20">
        <v>2.1800000000000002</v>
      </c>
      <c r="F20">
        <v>13.4</v>
      </c>
      <c r="G20">
        <v>1</v>
      </c>
      <c r="H20" s="1">
        <f>IF(ISNUMBER(Main_S[[#This Row],[Free CF]]),IF(Main_S[[#This Row],[Free CF]]&lt;&gt;0,Main_S[[#This Row],[Current Price]]/Main_S[[#This Row],[Free CF]],""),"")</f>
        <v>12.986238532110089</v>
      </c>
      <c r="I20" s="1">
        <f>IF(ISNUMBER(Main_S[[#This Row],[BVPS]]),IF(Main_S[[#This Row],[BVPS]]&lt;&gt;0,Main_S[[#This Row],[Current Price]]/Main_S[[#This Row],[BVPS]],""),"")</f>
        <v>2.1126865671641788</v>
      </c>
      <c r="J20">
        <v>7.9</v>
      </c>
      <c r="K20">
        <v>4.05</v>
      </c>
      <c r="L20">
        <v>1.17</v>
      </c>
      <c r="M20" s="1">
        <f>IF(ISNUMBER(Main_S[[#This Row],[EPS]]),IF(Main_S[[#This Row],[EPS]]&lt;&gt;0,Main_S[[#This Row],[Current Price]]/Main_S[[#This Row],[EPS]],""),"")</f>
        <v>28.31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1.7598583476034666</v>
      </c>
      <c r="P20" s="1">
        <f>(Main_S[[#This Row],[P/B]]-VLOOKUP(Main_S[[#This Row],[Industry]], Mean_PB_S, 2, FALSE))/(VLOOKUP(Main_S[[#This Row],[Industry]], Mean_PB_S, 3, FALSE))</f>
        <v>0.81830570245277978</v>
      </c>
      <c r="Q20" s="1">
        <f>(Main_S[[#This Row],[ROE]]-VLOOKUP(Main_S[[#This Row],[Industry]], Mean_ROE_S, 2, FALSE))/(VLOOKUP(Main_S[[#This Row],[Industry]], Mean_ROE_S, 3, FALSE))</f>
        <v>-0.99401064847438136</v>
      </c>
      <c r="R20" s="1">
        <f>(Main_S[[#This Row],[ROA]]-VLOOKUP(Main_S[[#This Row],[Industry]], Mean_ROA_S, 2, FALSE))/(VLOOKUP(Main_S[[#This Row],[Industry]], Mean_ROA_S, 3, FALSE))</f>
        <v>1.6609841759840263</v>
      </c>
      <c r="S20" s="1">
        <f>(Main_S[[#This Row],[A/E]]-VLOOKUP(Main_S[[#This Row],[Industry]], Mean_AE_S, 2, FALSE))/(VLOOKUP(Main_S[[#This Row],[Industry]], Mean_AE_S, 3, FALSE))</f>
        <v>-1.3396652164463538</v>
      </c>
      <c r="T20" s="1">
        <f>(Main_S[[#This Row],[P/E]]-VLOOKUP(Main_S[[#This Row],[Industry]], Mean_PE_S, 2, FALSE))/(VLOOKUP(Main_S[[#This Row],[Industry]], Mean_PE_S, 3, FALSE))</f>
        <v>1.6695769818138237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s="68" t="s">
        <v>140</v>
      </c>
      <c r="B21" s="68" t="s">
        <v>202</v>
      </c>
      <c r="C21" s="2">
        <v>256</v>
      </c>
      <c r="D21">
        <f>RTD("tos.rtd", , "LAST", Main_S[[#This Row],[Symbol]])</f>
        <v>10.52</v>
      </c>
      <c r="E21">
        <v>0.04</v>
      </c>
      <c r="F21">
        <v>5.58</v>
      </c>
      <c r="G21">
        <v>0.59</v>
      </c>
      <c r="H21" s="1">
        <f>IF(ISNUMBER(Main_S[[#This Row],[Free CF]]),IF(Main_S[[#This Row],[Free CF]]&lt;&gt;0,Main_S[[#This Row],[Current Price]]/Main_S[[#This Row],[Free CF]],""),"")</f>
        <v>263</v>
      </c>
      <c r="I21" s="1">
        <f>IF(ISNUMBER(Main_S[[#This Row],[BVPS]]),IF(Main_S[[#This Row],[BVPS]]&lt;&gt;0,Main_S[[#This Row],[Current Price]]/Main_S[[#This Row],[BVPS]],""),"")</f>
        <v>1.8853046594982077</v>
      </c>
      <c r="J21">
        <v>11.12</v>
      </c>
      <c r="K21">
        <v>4.93</v>
      </c>
      <c r="L21">
        <v>1.1100000000000001</v>
      </c>
      <c r="M21" s="1">
        <f>IF(ISNUMBER(Main_S[[#This Row],[EPS]]),IF(Main_S[[#This Row],[EPS]]&lt;&gt;0,Main_S[[#This Row],[Current Price]]/Main_S[[#This Row],[EPS]],""),"")</f>
        <v>17.83050847457627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19.167418652443828</v>
      </c>
      <c r="P21" s="1">
        <f>(Main_S[[#This Row],[P/B]]-VLOOKUP(Main_S[[#This Row],[Industry]], Mean_PB_S, 2, FALSE))/(VLOOKUP(Main_S[[#This Row],[Industry]], Mean_PB_S, 3, FALSE))</f>
        <v>0.16914280408769006</v>
      </c>
      <c r="Q21" s="1">
        <f>(Main_S[[#This Row],[ROE]]-VLOOKUP(Main_S[[#This Row],[Industry]], Mean_ROE_S, 2, FALSE))/(VLOOKUP(Main_S[[#This Row],[Industry]], Mean_ROE_S, 3, FALSE))</f>
        <v>1.8821125885747305</v>
      </c>
      <c r="R21" s="1">
        <f>(Main_S[[#This Row],[ROA]]-VLOOKUP(Main_S[[#This Row],[Industry]], Mean_ROA_S, 2, FALSE))/(VLOOKUP(Main_S[[#This Row],[Industry]], Mean_ROA_S, 3, FALSE))</f>
        <v>2.8029107969730442</v>
      </c>
      <c r="S21" s="1">
        <f>(Main_S[[#This Row],[A/E]]-VLOOKUP(Main_S[[#This Row],[Industry]], Mean_AE_S, 2, FALSE))/(VLOOKUP(Main_S[[#This Row],[Industry]], Mean_AE_S, 3, FALSE))</f>
        <v>-1.4031230424885492</v>
      </c>
      <c r="T21" s="1">
        <f>(Main_S[[#This Row],[P/E]]-VLOOKUP(Main_S[[#This Row],[Industry]], Mean_PE_S, 2, FALSE))/(VLOOKUP(Main_S[[#This Row],[Industry]], Mean_PE_S, 3, FALSE))</f>
        <v>-0.77268956772169362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5"/>
  <sheetViews>
    <sheetView topLeftCell="A5" workbookViewId="0">
      <selection activeCell="B24" sqref="B24"/>
    </sheetView>
  </sheetViews>
  <sheetFormatPr defaultRowHeight="15" x14ac:dyDescent="0.25"/>
  <cols>
    <col min="1" max="1" width="49.140625" bestFit="1" customWidth="1"/>
    <col min="2" max="3" width="61.5703125" bestFit="1" customWidth="1"/>
    <col min="4" max="4" width="45.140625" bestFit="1" customWidth="1"/>
    <col min="5" max="5" width="45.42578125" bestFit="1" customWidth="1"/>
    <col min="6" max="7" width="59.5703125" bestFit="1" customWidth="1"/>
    <col min="8" max="8" width="39" bestFit="1" customWidth="1"/>
    <col min="9" max="9" width="39.28515625" bestFit="1" customWidth="1"/>
    <col min="10" max="11" width="60.140625" bestFit="1" customWidth="1"/>
    <col min="12" max="12" width="40.7109375" bestFit="1" customWidth="1"/>
    <col min="13" max="13" width="41" bestFit="1" customWidth="1"/>
    <col min="14" max="15" width="60.28515625" bestFit="1" customWidth="1"/>
    <col min="16" max="16" width="41.140625" bestFit="1" customWidth="1"/>
    <col min="17" max="17" width="41.42578125" bestFit="1" customWidth="1"/>
    <col min="18" max="19" width="59.42578125" bestFit="1" customWidth="1"/>
    <col min="20" max="20" width="38.5703125" bestFit="1" customWidth="1"/>
    <col min="21" max="21" width="38.85546875" bestFit="1" customWidth="1"/>
    <col min="22" max="23" width="59.4257812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105</v>
      </c>
      <c r="B3" s="1" cm="1">
        <f t="array" ref="B3">_xlfn.QUARTILE.INC(IF(Quartile_L[[#This Row],[Industry]]=Main_L[Industry],Main_L[P/FCF]),1)</f>
        <v>-32.104543149548221</v>
      </c>
      <c r="C3" s="1" cm="1">
        <f t="array" ref="C3">_xlfn.QUARTILE.INC(IF(Quartile_L[[#This Row],[Industry]]=Main_L[Industry],Main_L[P/FCF]),3)</f>
        <v>-14.399983560001161</v>
      </c>
      <c r="D3" s="1">
        <f>Quartile_L[[#This Row],[P/FCF Q1]]-1.5*(Quartile_L[[#This Row],[P/FCF Q3]]-Quartile_L[[#This Row],[P/FCF Q1]])</f>
        <v>-58.66138253386881</v>
      </c>
      <c r="E3" s="1">
        <f>Quartile_L[[#This Row],[P/FCF Q3]]+1.5*(Quartile_L[[#This Row],[P/FCF Q3]]-Quartile_L[[#This Row],[P/FCF Q1]])</f>
        <v>12.156855824319429</v>
      </c>
      <c r="F3" s="1" cm="1">
        <f t="array" ref="F3">_xlfn.QUARTILE.INC(IF(Quartile_L[[#This Row],[Industry]]=Main_L[Industry],Main_L[P/B]),1)</f>
        <v>1.5304231322189421</v>
      </c>
      <c r="G3" s="1" cm="1">
        <f t="array" ref="G3">_xlfn.QUARTILE.INC(IF(Quartile_L[[#This Row],[Industry]]=Main_L[Industry],Main_L[P/B]),3)</f>
        <v>2.0803180649756881</v>
      </c>
      <c r="H3" s="1">
        <f>Quartile_L[[#This Row],[P/B Q1]]-1.5*(Quartile_L[[#This Row],[P/B Q3]]-Quartile_L[[#This Row],[P/B Q1]])</f>
        <v>0.70558073308382319</v>
      </c>
      <c r="I3" s="1">
        <f>Quartile_L[[#This Row],[P/B Q3]]+1.5*(Quartile_L[[#This Row],[P/B Q3]]-Quartile_L[[#This Row],[P/B Q1]])</f>
        <v>2.9051604641108071</v>
      </c>
      <c r="J3" s="1" cm="1">
        <f t="array" ref="J3">_xlfn.QUARTILE.INC(IF(Quartile_L[[#This Row],[Industry]]=Main_L[Industry],Main_L[ROE]),1)</f>
        <v>7.46</v>
      </c>
      <c r="K3" s="1" cm="1">
        <f t="array" ref="K3">_xlfn.QUARTILE.INC(IF(Quartile_L[[#This Row],[Industry]]=Main_L[Industry],Main_L[ROE]),3)</f>
        <v>10.42</v>
      </c>
      <c r="L3" s="1">
        <f>Quartile_L[[#This Row],[ROE Q1]]-1.5*(Quartile_L[[#This Row],[ROE Q3]]-Quartile_L[[#This Row],[ROE Q1]])</f>
        <v>3.0200000000000005</v>
      </c>
      <c r="M3" s="1">
        <f>Quartile_L[[#This Row],[ROE Q3]]+1.5*(Quartile_L[[#This Row],[ROE Q3]]-Quartile_L[[#This Row],[ROE Q1]])</f>
        <v>14.86</v>
      </c>
      <c r="N3" s="1" cm="1">
        <f t="array" ref="N3">_xlfn.QUARTILE.INC(IF(Quartile_L[[#This Row],[Industry]]=Main_L[Industry],Main_L[ROA]),1)</f>
        <v>2.73</v>
      </c>
      <c r="O3" s="1" cm="1">
        <f t="array" ref="O3">_xlfn.QUARTILE.INC(IF(Quartile_L[[#This Row],[Industry]]=Main_L[Industry],Main_L[ROA]),3)</f>
        <v>3.02</v>
      </c>
      <c r="P3" s="1">
        <f>Quartile_L[[#This Row],[ROA Q1]]-1.5*(Quartile_L[[#This Row],[ROA Q3]]-Quartile_L[[#This Row],[ROA Q1]])</f>
        <v>2.2949999999999999</v>
      </c>
      <c r="Q3" s="1">
        <f>Quartile_L[[#This Row],[ROA Q3]]+1.5*(Quartile_L[[#This Row],[ROA Q3]]-Quartile_L[[#This Row],[ROA Q1]])</f>
        <v>3.4550000000000001</v>
      </c>
      <c r="R3" s="1" cm="1">
        <f t="array" ref="R3">_xlfn.QUARTILE.INC(IF(Quartile_L[[#This Row],[Industry]]=Main_L[Industry],Main_L[P/E]),1)</f>
        <v>17.208775190765017</v>
      </c>
      <c r="S3" s="1" cm="1">
        <f t="array" ref="S3">_xlfn.QUARTILE.INC(IF(Quartile_L[[#This Row],[Industry]]=Main_L[Industry],Main_L[P/E]),3)</f>
        <v>25.084406596051998</v>
      </c>
      <c r="T3" s="1">
        <f>Quartile_L[[#This Row],[P/E Q1]]-1.5*(Quartile_L[[#This Row],[P/E Q3]]-Quartile_L[[#This Row],[P/E Q1]])</f>
        <v>5.3953280828345456</v>
      </c>
      <c r="U3" s="1">
        <f>Quartile_L[[#This Row],[P/E Q3]]+1.5*(Quartile_L[[#This Row],[P/E Q3]]-Quartile_L[[#This Row],[P/E Q1]])</f>
        <v>36.89785370398247</v>
      </c>
      <c r="V3" s="1" cm="1">
        <f t="array" ref="V3">_xlfn.QUARTILE.INC(IF(Quartile_L[[#This Row],[Industry]]=Main_L[Industry],Main_L[A/E]),1)</f>
        <v>3.54</v>
      </c>
      <c r="W3" s="1" cm="1">
        <f t="array" ref="W3">_xlfn.QUARTILE.INC(IF(Quartile_L[[#This Row],[Industry]]=Main_L[Industry],Main_L[A/E]),3)</f>
        <v>4.38</v>
      </c>
      <c r="X3" s="1">
        <f>Quartile_L[[#This Row],[A/E Q1]]-1.5*(Quartile_L[[#This Row],[A/E Q3]]-Quartile_L[[#This Row],[A/E Q1]])</f>
        <v>2.2800000000000002</v>
      </c>
      <c r="Y3" s="1">
        <f>Quartile_L[[#This Row],[A/E Q3]]+1.5*(Quartile_L[[#This Row],[A/E Q3]]-Quartile_L[[#This Row],[A/E Q1]])</f>
        <v>5.64</v>
      </c>
    </row>
    <row r="4" spans="1:25" x14ac:dyDescent="0.25">
      <c r="A4" t="s">
        <v>144</v>
      </c>
      <c r="B4" s="1" cm="1">
        <f t="array" ref="B4">_xlfn.QUARTILE.INC(IF(Quartile_L[[#This Row],[Industry]]=Main_L[Industry],Main_L[P/FCF]),1)</f>
        <v>247.92321862927457</v>
      </c>
      <c r="C4" s="1" cm="1">
        <f t="array" ref="C4">_xlfn.QUARTILE.INC(IF(Quartile_L[[#This Row],[Industry]]=Main_L[Industry],Main_L[P/FCF]),3)</f>
        <v>673.49164758906852</v>
      </c>
      <c r="D4" s="1">
        <f>Quartile_L[[#This Row],[P/FCF Q1]]-1.5*(Quartile_L[[#This Row],[P/FCF Q3]]-Quartile_L[[#This Row],[P/FCF Q1]])</f>
        <v>-390.42942481041638</v>
      </c>
      <c r="E4" s="1">
        <f>Quartile_L[[#This Row],[P/FCF Q3]]+1.5*(Quartile_L[[#This Row],[P/FCF Q3]]-Quartile_L[[#This Row],[P/FCF Q1]])</f>
        <v>1311.8442910287595</v>
      </c>
      <c r="F4" s="1" cm="1">
        <f t="array" ref="F4">_xlfn.QUARTILE.INC(IF(Quartile_L[[#This Row],[Industry]]=Main_L[Industry],Main_L[P/B]),1)</f>
        <v>13.56176667896368</v>
      </c>
      <c r="G4" s="1" cm="1">
        <f t="array" ref="G4">_xlfn.QUARTILE.INC(IF(Quartile_L[[#This Row],[Industry]]=Main_L[Industry],Main_L[P/B]),3)</f>
        <v>20.861158116335702</v>
      </c>
      <c r="H4" s="1">
        <f>Quartile_L[[#This Row],[P/B Q1]]-1.5*(Quartile_L[[#This Row],[P/B Q3]]-Quartile_L[[#This Row],[P/B Q1]])</f>
        <v>2.6126795229056494</v>
      </c>
      <c r="I4" s="1">
        <f>Quartile_L[[#This Row],[P/B Q3]]+1.5*(Quartile_L[[#This Row],[P/B Q3]]-Quartile_L[[#This Row],[P/B Q1]])</f>
        <v>31.810245272393733</v>
      </c>
      <c r="J4" s="1" cm="1">
        <f t="array" ref="J4">_xlfn.QUARTILE.INC(IF(Quartile_L[[#This Row],[Industry]]=Main_L[Industry],Main_L[ROE]),1)</f>
        <v>31.667499999999997</v>
      </c>
      <c r="K4" s="1" cm="1">
        <f t="array" ref="K4">_xlfn.QUARTILE.INC(IF(Quartile_L[[#This Row],[Industry]]=Main_L[Industry],Main_L[ROE]),3)</f>
        <v>38.342500000000001</v>
      </c>
      <c r="L4" s="1">
        <f>Quartile_L[[#This Row],[ROE Q1]]-1.5*(Quartile_L[[#This Row],[ROE Q3]]-Quartile_L[[#This Row],[ROE Q1]])</f>
        <v>21.65499999999999</v>
      </c>
      <c r="M4" s="1">
        <f>Quartile_L[[#This Row],[ROE Q3]]+1.5*(Quartile_L[[#This Row],[ROE Q3]]-Quartile_L[[#This Row],[ROE Q1]])</f>
        <v>48.355000000000004</v>
      </c>
      <c r="N4" s="1" cm="1">
        <f t="array" ref="N4">_xlfn.QUARTILE.INC(IF(Quartile_L[[#This Row],[Industry]]=Main_L[Industry],Main_L[ROA]),1)</f>
        <v>2.2574999999999998</v>
      </c>
      <c r="O4" s="1" cm="1">
        <f t="array" ref="O4">_xlfn.QUARTILE.INC(IF(Quartile_L[[#This Row],[Industry]]=Main_L[Industry],Main_L[ROA]),3)</f>
        <v>4.9524999999999997</v>
      </c>
      <c r="P4" s="1">
        <f>Quartile_L[[#This Row],[ROA Q1]]-1.5*(Quartile_L[[#This Row],[ROA Q3]]-Quartile_L[[#This Row],[ROA Q1]])</f>
        <v>-1.7849999999999997</v>
      </c>
      <c r="Q4" s="1">
        <f>Quartile_L[[#This Row],[ROA Q3]]+1.5*(Quartile_L[[#This Row],[ROA Q3]]-Quartile_L[[#This Row],[ROA Q1]])</f>
        <v>8.9949999999999992</v>
      </c>
      <c r="R4" s="1" cm="1">
        <f t="array" ref="R4">_xlfn.QUARTILE.INC(IF(Quartile_L[[#This Row],[Industry]]=Main_L[Industry],Main_L[P/E]),1)</f>
        <v>24.501908405263201</v>
      </c>
      <c r="S4" s="1" cm="1">
        <f t="array" ref="S4">_xlfn.QUARTILE.INC(IF(Quartile_L[[#This Row],[Industry]]=Main_L[Industry],Main_L[P/E]),3)</f>
        <v>25.865317430803515</v>
      </c>
      <c r="T4" s="1">
        <f>Quartile_L[[#This Row],[P/E Q1]]-1.5*(Quartile_L[[#This Row],[P/E Q3]]-Quartile_L[[#This Row],[P/E Q1]])</f>
        <v>22.45679486695273</v>
      </c>
      <c r="U4" s="1">
        <f>Quartile_L[[#This Row],[P/E Q3]]+1.5*(Quartile_L[[#This Row],[P/E Q3]]-Quartile_L[[#This Row],[P/E Q1]])</f>
        <v>27.910430969113985</v>
      </c>
      <c r="V4" s="1" cm="1">
        <f t="array" ref="V4">_xlfn.QUARTILE.INC(IF(Quartile_L[[#This Row],[Industry]]=Main_L[Industry],Main_L[A/E]),1)</f>
        <v>7.7949999999999999</v>
      </c>
      <c r="W4" s="1" cm="1">
        <f t="array" ref="W4">_xlfn.QUARTILE.INC(IF(Quartile_L[[#This Row],[Industry]]=Main_L[Industry],Main_L[A/E]),3)</f>
        <v>13.445</v>
      </c>
      <c r="X4" s="1">
        <f>Quartile_L[[#This Row],[A/E Q1]]-1.5*(Quartile_L[[#This Row],[A/E Q3]]-Quartile_L[[#This Row],[A/E Q1]])</f>
        <v>-0.68000000000000149</v>
      </c>
      <c r="Y4" s="1">
        <f>Quartile_L[[#This Row],[A/E Q3]]+1.5*(Quartile_L[[#This Row],[A/E Q3]]-Quartile_L[[#This Row],[A/E Q1]])</f>
        <v>21.92</v>
      </c>
    </row>
    <row r="5" spans="1:25" x14ac:dyDescent="0.25">
      <c r="A5" t="s">
        <v>127</v>
      </c>
      <c r="B5" s="1" cm="1">
        <f t="array" ref="B5">_xlfn.QUARTILE.INC(IF(Quartile_L[[#This Row],[Industry]]=Main_L[Industry],Main_L[P/FCF]),1)</f>
        <v>-41.990238626108194</v>
      </c>
      <c r="C5" s="1" cm="1">
        <f t="array" ref="C5">_xlfn.QUARTILE.INC(IF(Quartile_L[[#This Row],[Industry]]=Main_L[Industry],Main_L[P/FCF]),3)</f>
        <v>-7.1991757026589829</v>
      </c>
      <c r="D5" s="1">
        <f>Quartile_L[[#This Row],[P/FCF Q1]]-1.5*(Quartile_L[[#This Row],[P/FCF Q3]]-Quartile_L[[#This Row],[P/FCF Q1]])</f>
        <v>-94.176833011282014</v>
      </c>
      <c r="E5" s="1">
        <f>Quartile_L[[#This Row],[P/FCF Q3]]+1.5*(Quartile_L[[#This Row],[P/FCF Q3]]-Quartile_L[[#This Row],[P/FCF Q1]])</f>
        <v>44.987418682514836</v>
      </c>
      <c r="F5" s="1" cm="1">
        <f t="array" ref="F5">_xlfn.QUARTILE.INC(IF(Quartile_L[[#This Row],[Industry]]=Main_L[Industry],Main_L[P/B]),1)</f>
        <v>2.0116211318507569</v>
      </c>
      <c r="G5" s="1" cm="1">
        <f t="array" ref="G5">_xlfn.QUARTILE.INC(IF(Quartile_L[[#This Row],[Industry]]=Main_L[Industry],Main_L[P/B]),3)</f>
        <v>2.5713593516708815</v>
      </c>
      <c r="H5" s="1">
        <f>Quartile_L[[#This Row],[P/B Q1]]-1.5*(Quartile_L[[#This Row],[P/B Q3]]-Quartile_L[[#This Row],[P/B Q1]])</f>
        <v>1.1720138021205699</v>
      </c>
      <c r="I5" s="1">
        <f>Quartile_L[[#This Row],[P/B Q3]]+1.5*(Quartile_L[[#This Row],[P/B Q3]]-Quartile_L[[#This Row],[P/B Q1]])</f>
        <v>3.4109666814010682</v>
      </c>
      <c r="J5" s="1" cm="1">
        <f t="array" ref="J5">_xlfn.QUARTILE.INC(IF(Quartile_L[[#This Row],[Industry]]=Main_L[Industry],Main_L[ROE]),1)</f>
        <v>8.3524999999999991</v>
      </c>
      <c r="K5" s="1" cm="1">
        <f t="array" ref="K5">_xlfn.QUARTILE.INC(IF(Quartile_L[[#This Row],[Industry]]=Main_L[Industry],Main_L[ROE]),3)</f>
        <v>11.272500000000001</v>
      </c>
      <c r="L5" s="1">
        <f>Quartile_L[[#This Row],[ROE Q1]]-1.5*(Quartile_L[[#This Row],[ROE Q3]]-Quartile_L[[#This Row],[ROE Q1]])</f>
        <v>3.9724999999999966</v>
      </c>
      <c r="M5" s="1">
        <f>Quartile_L[[#This Row],[ROE Q3]]+1.5*(Quartile_L[[#This Row],[ROE Q3]]-Quartile_L[[#This Row],[ROE Q1]])</f>
        <v>15.652500000000003</v>
      </c>
      <c r="N5" s="1" cm="1">
        <f t="array" ref="N5">_xlfn.QUARTILE.INC(IF(Quartile_L[[#This Row],[Industry]]=Main_L[Industry],Main_L[ROA]),1)</f>
        <v>2.8975</v>
      </c>
      <c r="O5" s="1" cm="1">
        <f t="array" ref="O5">_xlfn.QUARTILE.INC(IF(Quartile_L[[#This Row],[Industry]]=Main_L[Industry],Main_L[ROA]),3)</f>
        <v>3.09</v>
      </c>
      <c r="P5" s="1">
        <f>Quartile_L[[#This Row],[ROA Q1]]-1.5*(Quartile_L[[#This Row],[ROA Q3]]-Quartile_L[[#This Row],[ROA Q1]])</f>
        <v>2.6087500000000001</v>
      </c>
      <c r="Q5" s="1">
        <f>Quartile_L[[#This Row],[ROA Q3]]+1.5*(Quartile_L[[#This Row],[ROA Q3]]-Quartile_L[[#This Row],[ROA Q1]])</f>
        <v>3.3787499999999997</v>
      </c>
      <c r="R5" s="1" cm="1">
        <f t="array" ref="R5">_xlfn.QUARTILE.INC(IF(Quartile_L[[#This Row],[Industry]]=Main_L[Industry],Main_L[P/E]),1)</f>
        <v>19.968706476948039</v>
      </c>
      <c r="S5" s="1" cm="1">
        <f t="array" ref="S5">_xlfn.QUARTILE.INC(IF(Quartile_L[[#This Row],[Industry]]=Main_L[Industry],Main_L[P/E]),3)</f>
        <v>22.502215330084184</v>
      </c>
      <c r="T5" s="1">
        <f>Quartile_L[[#This Row],[P/E Q1]]-1.5*(Quartile_L[[#This Row],[P/E Q3]]-Quartile_L[[#This Row],[P/E Q1]])</f>
        <v>16.168443197243825</v>
      </c>
      <c r="U5" s="1">
        <f>Quartile_L[[#This Row],[P/E Q3]]+1.5*(Quartile_L[[#This Row],[P/E Q3]]-Quartile_L[[#This Row],[P/E Q1]])</f>
        <v>26.302478609788402</v>
      </c>
      <c r="V5" s="1" cm="1">
        <f t="array" ref="V5">_xlfn.QUARTILE.INC(IF(Quartile_L[[#This Row],[Industry]]=Main_L[Industry],Main_L[A/E]),1)</f>
        <v>3.3475000000000001</v>
      </c>
      <c r="W5" s="1" cm="1">
        <f t="array" ref="W5">_xlfn.QUARTILE.INC(IF(Quartile_L[[#This Row],[Industry]]=Main_L[Industry],Main_L[A/E]),3)</f>
        <v>4.085</v>
      </c>
      <c r="X5" s="1">
        <f>Quartile_L[[#This Row],[A/E Q1]]-1.5*(Quartile_L[[#This Row],[A/E Q3]]-Quartile_L[[#This Row],[A/E Q1]])</f>
        <v>2.2412500000000004</v>
      </c>
      <c r="Y5" s="1">
        <f>Quartile_L[[#This Row],[A/E Q3]]+1.5*(Quartile_L[[#This Row],[A/E Q3]]-Quartile_L[[#This Row],[A/E Q1]])</f>
        <v>5.1912500000000001</v>
      </c>
    </row>
    <row r="6" spans="1:25" x14ac:dyDescent="0.25">
      <c r="A6" t="s">
        <v>140</v>
      </c>
      <c r="B6" s="1" cm="1">
        <f t="array" ref="B6">_xlfn.QUARTILE.INC(IF(Quartile_L[[#This Row],[Industry]]=Main_L[Industry],Main_L[P/FCF]),1)</f>
        <v>-38.09184914841849</v>
      </c>
      <c r="C6" s="1" cm="1">
        <f t="array" ref="C6">_xlfn.QUARTILE.INC(IF(Quartile_L[[#This Row],[Industry]]=Main_L[Industry],Main_L[P/FCF]),3)</f>
        <v>-27.03232533889468</v>
      </c>
      <c r="D6" s="1">
        <f>Quartile_L[[#This Row],[P/FCF Q1]]-1.5*(Quartile_L[[#This Row],[P/FCF Q3]]-Quartile_L[[#This Row],[P/FCF Q1]])</f>
        <v>-54.681134862704205</v>
      </c>
      <c r="E6" s="1">
        <f>Quartile_L[[#This Row],[P/FCF Q3]]+1.5*(Quartile_L[[#This Row],[P/FCF Q3]]-Quartile_L[[#This Row],[P/FCF Q1]])</f>
        <v>-10.443039624608964</v>
      </c>
      <c r="F6" s="1" cm="1">
        <f t="array" ref="F6">_xlfn.QUARTILE.INC(IF(Quartile_L[[#This Row],[Industry]]=Main_L[Industry],Main_L[P/B]),1)</f>
        <v>1.8398043209554149</v>
      </c>
      <c r="G6" s="1" cm="1">
        <f t="array" ref="G6">_xlfn.QUARTILE.INC(IF(Quartile_L[[#This Row],[Industry]]=Main_L[Industry],Main_L[P/B]),3)</f>
        <v>2.3225130409393691</v>
      </c>
      <c r="H6" s="1">
        <f>Quartile_L[[#This Row],[P/B Q1]]-1.5*(Quartile_L[[#This Row],[P/B Q3]]-Quartile_L[[#This Row],[P/B Q1]])</f>
        <v>1.1157412409794838</v>
      </c>
      <c r="I6" s="1">
        <f>Quartile_L[[#This Row],[P/B Q3]]+1.5*(Quartile_L[[#This Row],[P/B Q3]]-Quartile_L[[#This Row],[P/B Q1]])</f>
        <v>3.0465761209153004</v>
      </c>
      <c r="J6" s="1" cm="1">
        <f t="array" ref="J6">_xlfn.QUARTILE.INC(IF(Quartile_L[[#This Row],[Industry]]=Main_L[Industry],Main_L[ROE]),1)</f>
        <v>10.105</v>
      </c>
      <c r="K6" s="1" cm="1">
        <f t="array" ref="K6">_xlfn.QUARTILE.INC(IF(Quartile_L[[#This Row],[Industry]]=Main_L[Industry],Main_L[ROE]),3)</f>
        <v>20.035</v>
      </c>
      <c r="L6" s="1">
        <f>Quartile_L[[#This Row],[ROE Q1]]-1.5*(Quartile_L[[#This Row],[ROE Q3]]-Quartile_L[[#This Row],[ROE Q1]])</f>
        <v>-4.7899999999999991</v>
      </c>
      <c r="M6" s="1">
        <f>Quartile_L[[#This Row],[ROE Q3]]+1.5*(Quartile_L[[#This Row],[ROE Q3]]-Quartile_L[[#This Row],[ROE Q1]])</f>
        <v>34.93</v>
      </c>
      <c r="N6" s="1" cm="1">
        <f t="array" ref="N6">_xlfn.QUARTILE.INC(IF(Quartile_L[[#This Row],[Industry]]=Main_L[Industry],Main_L[ROA]),1)</f>
        <v>3.26</v>
      </c>
      <c r="O6" s="1" cm="1">
        <f t="array" ref="O6">_xlfn.QUARTILE.INC(IF(Quartile_L[[#This Row],[Industry]]=Main_L[Industry],Main_L[ROA]),3)</f>
        <v>8.6150000000000002</v>
      </c>
      <c r="P6" s="1">
        <f>Quartile_L[[#This Row],[ROA Q1]]-1.5*(Quartile_L[[#This Row],[ROA Q3]]-Quartile_L[[#This Row],[ROA Q1]])</f>
        <v>-4.7725000000000009</v>
      </c>
      <c r="Q6" s="1">
        <f>Quartile_L[[#This Row],[ROA Q3]]+1.5*(Quartile_L[[#This Row],[ROA Q3]]-Quartile_L[[#This Row],[ROA Q1]])</f>
        <v>16.647500000000001</v>
      </c>
      <c r="R6" s="1" cm="1">
        <f t="array" ref="R6">_xlfn.QUARTILE.INC(IF(Quartile_L[[#This Row],[Industry]]=Main_L[Industry],Main_L[P/E]),1)</f>
        <v>12.358111114914593</v>
      </c>
      <c r="S6" s="1" cm="1">
        <f t="array" ref="S6">_xlfn.QUARTILE.INC(IF(Quartile_L[[#This Row],[Industry]]=Main_L[Industry],Main_L[P/E]),3)</f>
        <v>21.228666879038123</v>
      </c>
      <c r="T6" s="1">
        <f>Quartile_L[[#This Row],[P/E Q1]]-1.5*(Quartile_L[[#This Row],[P/E Q3]]-Quartile_L[[#This Row],[P/E Q1]])</f>
        <v>-0.94772253127070272</v>
      </c>
      <c r="U6" s="1">
        <f>Quartile_L[[#This Row],[P/E Q3]]+1.5*(Quartile_L[[#This Row],[P/E Q3]]-Quartile_L[[#This Row],[P/E Q1]])</f>
        <v>34.534500525223422</v>
      </c>
      <c r="V6" s="1" cm="1">
        <f t="array" ref="V6">_xlfn.QUARTILE.INC(IF(Quartile_L[[#This Row],[Industry]]=Main_L[Industry],Main_L[A/E]),1)</f>
        <v>2.5350000000000001</v>
      </c>
      <c r="W6" s="1" cm="1">
        <f t="array" ref="W6">_xlfn.QUARTILE.INC(IF(Quartile_L[[#This Row],[Industry]]=Main_L[Industry],Main_L[A/E]),3)</f>
        <v>2.9950000000000001</v>
      </c>
      <c r="X6" s="1">
        <f>Quartile_L[[#This Row],[A/E Q1]]-1.5*(Quartile_L[[#This Row],[A/E Q3]]-Quartile_L[[#This Row],[A/E Q1]])</f>
        <v>1.8450000000000002</v>
      </c>
      <c r="Y6" s="1">
        <f>Quartile_L[[#This Row],[A/E Q3]]+1.5*(Quartile_L[[#This Row],[A/E Q3]]-Quartile_L[[#This Row],[A/E Q1]])</f>
        <v>3.6850000000000001</v>
      </c>
    </row>
    <row r="7" spans="1:25" x14ac:dyDescent="0.25">
      <c r="A7" t="s">
        <v>125</v>
      </c>
      <c r="B7" s="1" cm="1">
        <f t="array" ref="B7">_xlfn.QUARTILE.INC(IF(Quartile_L[[#This Row],[Industry]]=Main_L[Industry],Main_L[P/FCF]),1)</f>
        <v>-18.178229665071772</v>
      </c>
      <c r="C7" s="1" cm="1">
        <f t="array" ref="C7">_xlfn.QUARTILE.INC(IF(Quartile_L[[#This Row],[Industry]]=Main_L[Industry],Main_L[P/FCF]),3)</f>
        <v>-18.178229665071772</v>
      </c>
      <c r="D7" s="1">
        <f>Quartile_L[[#This Row],[P/FCF Q1]]-1.5*(Quartile_L[[#This Row],[P/FCF Q3]]-Quartile_L[[#This Row],[P/FCF Q1]])</f>
        <v>-18.178229665071772</v>
      </c>
      <c r="E7" s="1">
        <f>Quartile_L[[#This Row],[P/FCF Q3]]+1.5*(Quartile_L[[#This Row],[P/FCF Q3]]-Quartile_L[[#This Row],[P/FCF Q1]])</f>
        <v>-18.178229665071772</v>
      </c>
      <c r="F7" s="1" cm="1">
        <f t="array" ref="F7">_xlfn.QUARTILE.INC(IF(Quartile_L[[#This Row],[Industry]]=Main_L[Industry],Main_L[P/B]),1)</f>
        <v>1.8373836295490269</v>
      </c>
      <c r="G7" s="1" cm="1">
        <f t="array" ref="G7">_xlfn.QUARTILE.INC(IF(Quartile_L[[#This Row],[Industry]]=Main_L[Industry],Main_L[P/B]),3)</f>
        <v>1.8373836295490269</v>
      </c>
      <c r="H7" s="1">
        <f>Quartile_L[[#This Row],[P/B Q1]]-1.5*(Quartile_L[[#This Row],[P/B Q3]]-Quartile_L[[#This Row],[P/B Q1]])</f>
        <v>1.8373836295490269</v>
      </c>
      <c r="I7" s="1">
        <f>Quartile_L[[#This Row],[P/B Q3]]+1.5*(Quartile_L[[#This Row],[P/B Q3]]-Quartile_L[[#This Row],[P/B Q1]])</f>
        <v>1.8373836295490269</v>
      </c>
      <c r="J7" s="1" cm="1">
        <f t="array" ref="J7">_xlfn.QUARTILE.INC(IF(Quartile_L[[#This Row],[Industry]]=Main_L[Industry],Main_L[ROE]),1)</f>
        <v>9.19</v>
      </c>
      <c r="K7" s="1" cm="1">
        <f t="array" ref="K7">_xlfn.QUARTILE.INC(IF(Quartile_L[[#This Row],[Industry]]=Main_L[Industry],Main_L[ROE]),3)</f>
        <v>9.19</v>
      </c>
      <c r="L7" s="1">
        <f>Quartile_L[[#This Row],[ROE Q1]]-1.5*(Quartile_L[[#This Row],[ROE Q3]]-Quartile_L[[#This Row],[ROE Q1]])</f>
        <v>9.19</v>
      </c>
      <c r="M7" s="1">
        <f>Quartile_L[[#This Row],[ROE Q3]]+1.5*(Quartile_L[[#This Row],[ROE Q3]]-Quartile_L[[#This Row],[ROE Q1]])</f>
        <v>9.19</v>
      </c>
      <c r="N7" s="1" cm="1">
        <f t="array" ref="N7">_xlfn.QUARTILE.INC(IF(Quartile_L[[#This Row],[Industry]]=Main_L[Industry],Main_L[ROA]),1)</f>
        <v>3.64</v>
      </c>
      <c r="O7" s="1" cm="1">
        <f t="array" ref="O7">_xlfn.QUARTILE.INC(IF(Quartile_L[[#This Row],[Industry]]=Main_L[Industry],Main_L[ROA]),3)</f>
        <v>3.64</v>
      </c>
      <c r="P7" s="1">
        <f>Quartile_L[[#This Row],[ROA Q1]]-1.5*(Quartile_L[[#This Row],[ROA Q3]]-Quartile_L[[#This Row],[ROA Q1]])</f>
        <v>3.64</v>
      </c>
      <c r="Q7" s="1">
        <f>Quartile_L[[#This Row],[ROA Q3]]+1.5*(Quartile_L[[#This Row],[ROA Q3]]-Quartile_L[[#This Row],[ROA Q1]])</f>
        <v>3.64</v>
      </c>
      <c r="R7" s="1" cm="1">
        <f t="array" ref="R7">_xlfn.QUARTILE.INC(IF(Quartile_L[[#This Row],[Industry]]=Main_L[Industry],Main_L[P/E]),1)</f>
        <v>20.961379310344828</v>
      </c>
      <c r="S7" s="1" cm="1">
        <f t="array" ref="S7">_xlfn.QUARTILE.INC(IF(Quartile_L[[#This Row],[Industry]]=Main_L[Industry],Main_L[P/E]),3)</f>
        <v>20.961379310344828</v>
      </c>
      <c r="T7" s="1">
        <f>Quartile_L[[#This Row],[P/E Q1]]-1.5*(Quartile_L[[#This Row],[P/E Q3]]-Quartile_L[[#This Row],[P/E Q1]])</f>
        <v>20.961379310344828</v>
      </c>
      <c r="U7" s="1">
        <f>Quartile_L[[#This Row],[P/E Q3]]+1.5*(Quartile_L[[#This Row],[P/E Q3]]-Quartile_L[[#This Row],[P/E Q1]])</f>
        <v>20.961379310344828</v>
      </c>
      <c r="V7" s="1" cm="1">
        <f t="array" ref="V7">_xlfn.QUARTILE.INC(IF(Quartile_L[[#This Row],[Industry]]=Main_L[Industry],Main_L[A/E]),1)</f>
        <v>2.0499999999999998</v>
      </c>
      <c r="W7" s="1" cm="1">
        <f t="array" ref="W7">_xlfn.QUARTILE.INC(IF(Quartile_L[[#This Row],[Industry]]=Main_L[Industry],Main_L[A/E]),3)</f>
        <v>2.0499999999999998</v>
      </c>
      <c r="X7" s="1">
        <f>Quartile_L[[#This Row],[A/E Q1]]-1.5*(Quartile_L[[#This Row],[A/E Q3]]-Quartile_L[[#This Row],[A/E Q1]])</f>
        <v>2.0499999999999998</v>
      </c>
      <c r="Y7" s="1">
        <f>Quartile_L[[#This Row],[A/E Q3]]+1.5*(Quartile_L[[#This Row],[A/E Q3]]-Quartile_L[[#This Row],[A/E Q1]])</f>
        <v>2.0499999999999998</v>
      </c>
    </row>
    <row r="10" spans="1:25" x14ac:dyDescent="0.25">
      <c r="A10" t="s">
        <v>22</v>
      </c>
    </row>
    <row r="11" spans="1:25" x14ac:dyDescent="0.25">
      <c r="A11" t="s">
        <v>1</v>
      </c>
      <c r="B11" t="s">
        <v>2</v>
      </c>
      <c r="C11" t="s">
        <v>3</v>
      </c>
      <c r="D11" t="s">
        <v>4</v>
      </c>
      <c r="E11" t="s">
        <v>5</v>
      </c>
      <c r="F11" t="s">
        <v>72</v>
      </c>
      <c r="G11" t="s">
        <v>73</v>
      </c>
      <c r="H11" t="s">
        <v>74</v>
      </c>
      <c r="I11" t="s">
        <v>75</v>
      </c>
      <c r="J11" t="s">
        <v>6</v>
      </c>
      <c r="K11" t="s">
        <v>7</v>
      </c>
      <c r="L11" t="s">
        <v>8</v>
      </c>
      <c r="M11" t="s">
        <v>9</v>
      </c>
      <c r="N11" t="s">
        <v>10</v>
      </c>
      <c r="O11" t="s">
        <v>11</v>
      </c>
      <c r="P11" t="s">
        <v>12</v>
      </c>
      <c r="Q11" t="s">
        <v>13</v>
      </c>
      <c r="R11" t="s">
        <v>14</v>
      </c>
      <c r="S11" t="s">
        <v>15</v>
      </c>
      <c r="T11" t="s">
        <v>16</v>
      </c>
      <c r="U11" t="s">
        <v>17</v>
      </c>
      <c r="V11" t="s">
        <v>18</v>
      </c>
      <c r="W11" t="s">
        <v>19</v>
      </c>
      <c r="X11" t="s">
        <v>20</v>
      </c>
      <c r="Y11" t="s">
        <v>21</v>
      </c>
    </row>
    <row r="12" spans="1:25" x14ac:dyDescent="0.25">
      <c r="A12" t="s">
        <v>105</v>
      </c>
      <c r="B12" s="1" cm="1">
        <f t="array" ref="B12">_xlfn.QUARTILE.INC(IF(Quartile_M[[#This Row],[Industry]]=Main_M[Industry],Main_M[P/FCF]),1)</f>
        <v>-47.82411764705882</v>
      </c>
      <c r="C12" s="1" cm="1">
        <f t="array" ref="C12">_xlfn.QUARTILE.INC(IF(Quartile_M[[#This Row],[Industry]]=Main_M[Industry],Main_M[P/FCF]),3)</f>
        <v>64.239130434782624</v>
      </c>
      <c r="D12" s="1">
        <f>Quartile_M[[#This Row],[P/FCF Q1]]-1.5*(Quartile_M[[#This Row],[P/FCF Q3]]-Quartile_M[[#This Row],[P/FCF Q1]])</f>
        <v>-215.91898976982097</v>
      </c>
      <c r="E12" s="1">
        <f>Quartile_M[[#This Row],[P/FCF Q3]]+1.5*(Quartile_M[[#This Row],[P/FCF Q3]]-Quartile_M[[#This Row],[P/FCF Q1]])</f>
        <v>232.33400255754478</v>
      </c>
      <c r="F12" s="1" cm="1">
        <f t="array" ref="F12">_xlfn.QUARTILE.INC(IF(Quartile_M[[#This Row],[Industry]]=Main_M[Industry],Main_M[P/B]),1)</f>
        <v>1.867312348668281</v>
      </c>
      <c r="G12" s="1" cm="1">
        <f t="array" ref="G12">_xlfn.QUARTILE.INC(IF(Quartile_M[[#This Row],[Industry]]=Main_M[Industry],Main_M[P/B]),3)</f>
        <v>5.67741935483871</v>
      </c>
      <c r="H12" s="1">
        <f>Quartile_M[[#This Row],[P/B Q1]]-1.5*(Quartile_M[[#This Row],[P/B Q3]]-Quartile_M[[#This Row],[P/B Q1]])</f>
        <v>-3.847848160587362</v>
      </c>
      <c r="I12" s="1">
        <f>Quartile_M[[#This Row],[P/B Q3]]+1.5*(Quartile_M[[#This Row],[P/B Q3]]-Quartile_M[[#This Row],[P/B Q1]])</f>
        <v>11.392579864094353</v>
      </c>
      <c r="J12" s="1" cm="1">
        <f t="array" ref="J12">_xlfn.QUARTILE.INC(IF(Quartile_M[[#This Row],[Industry]]=Main_M[Industry],Main_M[ROE]),1)</f>
        <v>8.33</v>
      </c>
      <c r="K12" s="1" cm="1">
        <f t="array" ref="K12">_xlfn.QUARTILE.INC(IF(Quartile_M[[#This Row],[Industry]]=Main_M[Industry],Main_M[ROE]),3)</f>
        <v>10.72</v>
      </c>
      <c r="L12" s="1">
        <f>Quartile_M[[#This Row],[ROE Q1]]-1.5*(Quartile_M[[#This Row],[ROE Q3]]-Quartile_M[[#This Row],[ROE Q1]])</f>
        <v>4.7449999999999992</v>
      </c>
      <c r="M12" s="1">
        <f>Quartile_M[[#This Row],[ROE Q3]]+1.5*(Quartile_M[[#This Row],[ROE Q3]]-Quartile_M[[#This Row],[ROE Q1]])</f>
        <v>14.305000000000001</v>
      </c>
      <c r="N12" s="1" cm="1">
        <f t="array" ref="N12">_xlfn.QUARTILE.INC(IF(Quartile_M[[#This Row],[Industry]]=Main_M[Industry],Main_M[ROA]),1)</f>
        <v>2.27</v>
      </c>
      <c r="O12" s="1" cm="1">
        <f t="array" ref="O12">_xlfn.QUARTILE.INC(IF(Quartile_M[[#This Row],[Industry]]=Main_M[Industry],Main_M[ROA]),3)</f>
        <v>4.4400000000000004</v>
      </c>
      <c r="P12" s="1">
        <f>Quartile_M[[#This Row],[ROA Q1]]-1.5*(Quartile_M[[#This Row],[ROA Q3]]-Quartile_M[[#This Row],[ROA Q1]])</f>
        <v>-0.98500000000000076</v>
      </c>
      <c r="Q12" s="1">
        <f>Quartile_M[[#This Row],[ROA Q3]]+1.5*(Quartile_M[[#This Row],[ROA Q3]]-Quartile_M[[#This Row],[ROA Q1]])</f>
        <v>7.6950000000000012</v>
      </c>
      <c r="R12" s="1" cm="1">
        <f t="array" ref="R12">_xlfn.QUARTILE.INC(IF(Quartile_M[[#This Row],[Industry]]=Main_M[Industry],Main_M[P/E]),1)</f>
        <v>13.494301994301996</v>
      </c>
      <c r="S12" s="1" cm="1">
        <f t="array" ref="S12">_xlfn.QUARTILE.INC(IF(Quartile_M[[#This Row],[Industry]]=Main_M[Industry],Main_M[P/E]),3)</f>
        <v>33.458883928571424</v>
      </c>
      <c r="T12" s="1">
        <f>Quartile_M[[#This Row],[P/E Q1]]-1.5*(Quartile_M[[#This Row],[P/E Q3]]-Quartile_M[[#This Row],[P/E Q1]])</f>
        <v>-16.452570907102146</v>
      </c>
      <c r="U12" s="1">
        <f>Quartile_M[[#This Row],[P/E Q3]]+1.5*(Quartile_M[[#This Row],[P/E Q3]]-Quartile_M[[#This Row],[P/E Q1]])</f>
        <v>63.405756829975566</v>
      </c>
      <c r="V12" s="1" cm="1">
        <f t="array" ref="V12">_xlfn.QUARTILE.INC(IF(Quartile_M[[#This Row],[Industry]]=Main_M[Industry],Main_M[A/E]),1)</f>
        <v>2.2599999999999998</v>
      </c>
      <c r="W12" s="1" cm="1">
        <f t="array" ref="W12">_xlfn.QUARTILE.INC(IF(Quartile_M[[#This Row],[Industry]]=Main_M[Industry],Main_M[A/E]),3)</f>
        <v>2.87</v>
      </c>
      <c r="X12" s="1">
        <f>Quartile_M[[#This Row],[A/E Q1]]-1.5*(Quartile_M[[#This Row],[A/E Q3]]-Quartile_M[[#This Row],[A/E Q1]])</f>
        <v>1.3449999999999993</v>
      </c>
      <c r="Y12" s="1">
        <f>Quartile_M[[#This Row],[A/E Q3]]+1.5*(Quartile_M[[#This Row],[A/E Q3]]-Quartile_M[[#This Row],[A/E Q1]])</f>
        <v>3.7850000000000006</v>
      </c>
    </row>
    <row r="13" spans="1:25" x14ac:dyDescent="0.25">
      <c r="A13" t="s">
        <v>144</v>
      </c>
      <c r="B13" s="1" cm="1">
        <f t="array" ref="B13">_xlfn.QUARTILE.INC(IF(Quartile_M[[#This Row],[Industry]]=Main_M[Industry],Main_M[P/FCF]),1)</f>
        <v>-17.354479638009046</v>
      </c>
      <c r="C13" s="1" cm="1">
        <f t="array" ref="C13">_xlfn.QUARTILE.INC(IF(Quartile_M[[#This Row],[Industry]]=Main_M[Industry],Main_M[P/FCF]),3)</f>
        <v>4.4580558539205155</v>
      </c>
      <c r="D13" s="1">
        <f>Quartile_M[[#This Row],[P/FCF Q1]]-1.5*(Quartile_M[[#This Row],[P/FCF Q3]]-Quartile_M[[#This Row],[P/FCF Q1]])</f>
        <v>-50.073282875903388</v>
      </c>
      <c r="E13" s="1">
        <f>Quartile_M[[#This Row],[P/FCF Q3]]+1.5*(Quartile_M[[#This Row],[P/FCF Q3]]-Quartile_M[[#This Row],[P/FCF Q1]])</f>
        <v>37.176859091814855</v>
      </c>
      <c r="F13" s="1" cm="1">
        <f t="array" ref="F13">_xlfn.QUARTILE.INC(IF(Quartile_M[[#This Row],[Industry]]=Main_M[Industry],Main_M[P/B]),1)</f>
        <v>1.9318749840124942</v>
      </c>
      <c r="G13" s="1" cm="1">
        <f t="array" ref="G13">_xlfn.QUARTILE.INC(IF(Quartile_M[[#This Row],[Industry]]=Main_M[Industry],Main_M[P/B]),3)</f>
        <v>2.2103905523716123</v>
      </c>
      <c r="H13" s="1">
        <f>Quartile_M[[#This Row],[P/B Q1]]-1.5*(Quartile_M[[#This Row],[P/B Q3]]-Quartile_M[[#This Row],[P/B Q1]])</f>
        <v>1.5141016314738172</v>
      </c>
      <c r="I13" s="1">
        <f>Quartile_M[[#This Row],[P/B Q3]]+1.5*(Quartile_M[[#This Row],[P/B Q3]]-Quartile_M[[#This Row],[P/B Q1]])</f>
        <v>2.6281639049102896</v>
      </c>
      <c r="J13" s="1" cm="1">
        <f t="array" ref="J13">_xlfn.QUARTILE.INC(IF(Quartile_M[[#This Row],[Industry]]=Main_M[Industry],Main_M[ROE]),1)</f>
        <v>-7.4999999999999997E-2</v>
      </c>
      <c r="K13" s="1" cm="1">
        <f t="array" ref="K13">_xlfn.QUARTILE.INC(IF(Quartile_M[[#This Row],[Industry]]=Main_M[Industry],Main_M[ROE]),3)</f>
        <v>5.3849999999999998</v>
      </c>
      <c r="L13" s="1">
        <f>Quartile_M[[#This Row],[ROE Q1]]-1.5*(Quartile_M[[#This Row],[ROE Q3]]-Quartile_M[[#This Row],[ROE Q1]])</f>
        <v>-8.2649999999999988</v>
      </c>
      <c r="M13" s="1">
        <f>Quartile_M[[#This Row],[ROE Q3]]+1.5*(Quartile_M[[#This Row],[ROE Q3]]-Quartile_M[[#This Row],[ROE Q1]])</f>
        <v>13.574999999999999</v>
      </c>
      <c r="N13" s="1" cm="1">
        <f t="array" ref="N13">_xlfn.QUARTILE.INC(IF(Quartile_M[[#This Row],[Industry]]=Main_M[Industry],Main_M[ROA]),1)</f>
        <v>1.1600000000000001</v>
      </c>
      <c r="O13" s="1" cm="1">
        <f t="array" ref="O13">_xlfn.QUARTILE.INC(IF(Quartile_M[[#This Row],[Industry]]=Main_M[Industry],Main_M[ROA]),3)</f>
        <v>2.9350000000000001</v>
      </c>
      <c r="P13" s="1">
        <f>Quartile_M[[#This Row],[ROA Q1]]-1.5*(Quartile_M[[#This Row],[ROA Q3]]-Quartile_M[[#This Row],[ROA Q1]])</f>
        <v>-1.5024999999999995</v>
      </c>
      <c r="Q13" s="1">
        <f>Quartile_M[[#This Row],[ROA Q3]]+1.5*(Quartile_M[[#This Row],[ROA Q3]]-Quartile_M[[#This Row],[ROA Q1]])</f>
        <v>5.5975000000000001</v>
      </c>
      <c r="R13" s="1" cm="1">
        <f t="array" ref="R13">_xlfn.QUARTILE.INC(IF(Quartile_M[[#This Row],[Industry]]=Main_M[Industry],Main_M[P/E]),1)</f>
        <v>5.9130434782608701</v>
      </c>
      <c r="S13" s="1" cm="1">
        <f t="array" ref="S13">_xlfn.QUARTILE.INC(IF(Quartile_M[[#This Row],[Industry]]=Main_M[Industry],Main_M[P/E]),3)</f>
        <v>38.582278481012658</v>
      </c>
      <c r="T13" s="1">
        <f>Quartile_M[[#This Row],[P/E Q1]]-1.5*(Quartile_M[[#This Row],[P/E Q3]]-Quartile_M[[#This Row],[P/E Q1]])</f>
        <v>-43.090809025866818</v>
      </c>
      <c r="U13" s="1">
        <f>Quartile_M[[#This Row],[P/E Q3]]+1.5*(Quartile_M[[#This Row],[P/E Q3]]-Quartile_M[[#This Row],[P/E Q1]])</f>
        <v>87.586130985140343</v>
      </c>
      <c r="V13" s="1" cm="1">
        <f t="array" ref="V13">_xlfn.QUARTILE.INC(IF(Quartile_M[[#This Row],[Industry]]=Main_M[Industry],Main_M[A/E]),1)</f>
        <v>3.2050000000000001</v>
      </c>
      <c r="W13" s="1" cm="1">
        <f t="array" ref="W13">_xlfn.QUARTILE.INC(IF(Quartile_M[[#This Row],[Industry]]=Main_M[Industry],Main_M[A/E]),3)</f>
        <v>11.46</v>
      </c>
      <c r="X13" s="1">
        <f>Quartile_M[[#This Row],[A/E Q1]]-1.5*(Quartile_M[[#This Row],[A/E Q3]]-Quartile_M[[#This Row],[A/E Q1]])</f>
        <v>-9.1775000000000002</v>
      </c>
      <c r="Y13" s="1">
        <f>Quartile_M[[#This Row],[A/E Q3]]+1.5*(Quartile_M[[#This Row],[A/E Q3]]-Quartile_M[[#This Row],[A/E Q1]])</f>
        <v>23.842500000000001</v>
      </c>
    </row>
    <row r="14" spans="1:25" x14ac:dyDescent="0.25">
      <c r="A14" t="s">
        <v>127</v>
      </c>
      <c r="B14" s="1" cm="1">
        <f t="array" ref="B14">_xlfn.QUARTILE.INC(IF(Quartile_M[[#This Row],[Industry]]=Main_M[Industry],Main_M[P/FCF]),1)</f>
        <v>-20.341526734423329</v>
      </c>
      <c r="C14" s="1" cm="1">
        <f t="array" ref="C14">_xlfn.QUARTILE.INC(IF(Quartile_M[[#This Row],[Industry]]=Main_M[Industry],Main_M[P/FCF]),3)</f>
        <v>30.012234227953993</v>
      </c>
      <c r="D14" s="1">
        <f>Quartile_M[[#This Row],[P/FCF Q1]]-1.5*(Quartile_M[[#This Row],[P/FCF Q3]]-Quartile_M[[#This Row],[P/FCF Q1]])</f>
        <v>-95.872168177989309</v>
      </c>
      <c r="E14" s="1">
        <f>Quartile_M[[#This Row],[P/FCF Q3]]+1.5*(Quartile_M[[#This Row],[P/FCF Q3]]-Quartile_M[[#This Row],[P/FCF Q1]])</f>
        <v>105.54287567151998</v>
      </c>
      <c r="F14" s="1" cm="1">
        <f t="array" ref="F14">_xlfn.QUARTILE.INC(IF(Quartile_M[[#This Row],[Industry]]=Main_M[Industry],Main_M[P/B]),1)</f>
        <v>1.1193474256886666</v>
      </c>
      <c r="G14" s="1" cm="1">
        <f t="array" ref="G14">_xlfn.QUARTILE.INC(IF(Quartile_M[[#This Row],[Industry]]=Main_M[Industry],Main_M[P/B]),3)</f>
        <v>1.2342222806203189</v>
      </c>
      <c r="H14" s="1">
        <f>Quartile_M[[#This Row],[P/B Q1]]-1.5*(Quartile_M[[#This Row],[P/B Q3]]-Quartile_M[[#This Row],[P/B Q1]])</f>
        <v>0.94703514329118821</v>
      </c>
      <c r="I14" s="1">
        <f>Quartile_M[[#This Row],[P/B Q3]]+1.5*(Quartile_M[[#This Row],[P/B Q3]]-Quartile_M[[#This Row],[P/B Q1]])</f>
        <v>1.4065345630177974</v>
      </c>
      <c r="J14" s="1" cm="1">
        <f t="array" ref="J14">_xlfn.QUARTILE.INC(IF(Quartile_M[[#This Row],[Industry]]=Main_M[Industry],Main_M[ROE]),1)</f>
        <v>6.8574999999999999</v>
      </c>
      <c r="K14" s="1" cm="1">
        <f t="array" ref="K14">_xlfn.QUARTILE.INC(IF(Quartile_M[[#This Row],[Industry]]=Main_M[Industry],Main_M[ROE]),3)</f>
        <v>8.08</v>
      </c>
      <c r="L14" s="1">
        <f>Quartile_M[[#This Row],[ROE Q1]]-1.5*(Quartile_M[[#This Row],[ROE Q3]]-Quartile_M[[#This Row],[ROE Q1]])</f>
        <v>5.0237499999999997</v>
      </c>
      <c r="M14" s="1">
        <f>Quartile_M[[#This Row],[ROE Q3]]+1.5*(Quartile_M[[#This Row],[ROE Q3]]-Quartile_M[[#This Row],[ROE Q1]])</f>
        <v>9.9137500000000003</v>
      </c>
      <c r="N14" s="1" cm="1">
        <f t="array" ref="N14">_xlfn.QUARTILE.INC(IF(Quartile_M[[#This Row],[Industry]]=Main_M[Industry],Main_M[ROA]),1)</f>
        <v>2.59</v>
      </c>
      <c r="O14" s="1" cm="1">
        <f t="array" ref="O14">_xlfn.QUARTILE.INC(IF(Quartile_M[[#This Row],[Industry]]=Main_M[Industry],Main_M[ROA]),3)</f>
        <v>2.8149999999999999</v>
      </c>
      <c r="P14" s="1">
        <f>Quartile_M[[#This Row],[ROA Q1]]-1.5*(Quartile_M[[#This Row],[ROA Q3]]-Quartile_M[[#This Row],[ROA Q1]])</f>
        <v>2.2524999999999995</v>
      </c>
      <c r="Q14" s="1">
        <f>Quartile_M[[#This Row],[ROA Q3]]+1.5*(Quartile_M[[#This Row],[ROA Q3]]-Quartile_M[[#This Row],[ROA Q1]])</f>
        <v>3.1524999999999999</v>
      </c>
      <c r="R14" s="1" cm="1">
        <f t="array" ref="R14">_xlfn.QUARTILE.INC(IF(Quartile_M[[#This Row],[Industry]]=Main_M[Industry],Main_M[P/E]),1)</f>
        <v>14.132278481012658</v>
      </c>
      <c r="S14" s="1" cm="1">
        <f t="array" ref="S14">_xlfn.QUARTILE.INC(IF(Quartile_M[[#This Row],[Industry]]=Main_M[Industry],Main_M[P/E]),3)</f>
        <v>17.094744917529727</v>
      </c>
      <c r="T14" s="1">
        <f>Quartile_M[[#This Row],[P/E Q1]]-1.5*(Quartile_M[[#This Row],[P/E Q3]]-Quartile_M[[#This Row],[P/E Q1]])</f>
        <v>9.6885788262370554</v>
      </c>
      <c r="U14" s="1">
        <f>Quartile_M[[#This Row],[P/E Q3]]+1.5*(Quartile_M[[#This Row],[P/E Q3]]-Quartile_M[[#This Row],[P/E Q1]])</f>
        <v>21.53844457230533</v>
      </c>
      <c r="V14" s="1" cm="1">
        <f t="array" ref="V14">_xlfn.QUARTILE.INC(IF(Quartile_M[[#This Row],[Industry]]=Main_M[Industry],Main_M[A/E]),1)</f>
        <v>2.8525</v>
      </c>
      <c r="W14" s="1" cm="1">
        <f t="array" ref="W14">_xlfn.QUARTILE.INC(IF(Quartile_M[[#This Row],[Industry]]=Main_M[Industry],Main_M[A/E]),3)</f>
        <v>4.0875000000000004</v>
      </c>
      <c r="X14" s="1">
        <f>Quartile_M[[#This Row],[A/E Q1]]-1.5*(Quartile_M[[#This Row],[A/E Q3]]-Quartile_M[[#This Row],[A/E Q1]])</f>
        <v>0.99999999999999956</v>
      </c>
      <c r="Y14" s="1">
        <f>Quartile_M[[#This Row],[A/E Q3]]+1.5*(Quartile_M[[#This Row],[A/E Q3]]-Quartile_M[[#This Row],[A/E Q1]])</f>
        <v>5.9400000000000013</v>
      </c>
    </row>
    <row r="15" spans="1:25" x14ac:dyDescent="0.25">
      <c r="A15" t="s">
        <v>140</v>
      </c>
      <c r="B15" s="1" cm="1">
        <f t="array" ref="B15">_xlfn.QUARTILE.INC(IF(Quartile_M[[#This Row],[Industry]]=Main_M[Industry],Main_M[P/FCF]),1)</f>
        <v>-44.404182137081165</v>
      </c>
      <c r="C15" s="1" cm="1">
        <f t="array" ref="C15">_xlfn.QUARTILE.INC(IF(Quartile_M[[#This Row],[Industry]]=Main_M[Industry],Main_M[P/FCF]),3)</f>
        <v>-24.820938019635086</v>
      </c>
      <c r="D15" s="1">
        <f>Quartile_M[[#This Row],[P/FCF Q1]]-1.5*(Quartile_M[[#This Row],[P/FCF Q3]]-Quartile_M[[#This Row],[P/FCF Q1]])</f>
        <v>-73.779048313250286</v>
      </c>
      <c r="E15" s="1">
        <f>Quartile_M[[#This Row],[P/FCF Q3]]+1.5*(Quartile_M[[#This Row],[P/FCF Q3]]-Quartile_M[[#This Row],[P/FCF Q1]])</f>
        <v>4.553928156534031</v>
      </c>
      <c r="F15" s="1" cm="1">
        <f t="array" ref="F15">_xlfn.QUARTILE.INC(IF(Quartile_M[[#This Row],[Industry]]=Main_M[Industry],Main_M[P/B]),1)</f>
        <v>2.0452570307371198</v>
      </c>
      <c r="G15" s="1" cm="1">
        <f t="array" ref="G15">_xlfn.QUARTILE.INC(IF(Quartile_M[[#This Row],[Industry]]=Main_M[Industry],Main_M[P/B]),3)</f>
        <v>2.7617308728329313</v>
      </c>
      <c r="H15" s="1">
        <f>Quartile_M[[#This Row],[P/B Q1]]-1.5*(Quartile_M[[#This Row],[P/B Q3]]-Quartile_M[[#This Row],[P/B Q1]])</f>
        <v>0.97054626759340268</v>
      </c>
      <c r="I15" s="1">
        <f>Quartile_M[[#This Row],[P/B Q3]]+1.5*(Quartile_M[[#This Row],[P/B Q3]]-Quartile_M[[#This Row],[P/B Q1]])</f>
        <v>3.8364416359766484</v>
      </c>
      <c r="J15" s="1" cm="1">
        <f t="array" ref="J15">_xlfn.QUARTILE.INC(IF(Quartile_M[[#This Row],[Industry]]=Main_M[Industry],Main_M[ROE]),1)</f>
        <v>9.9574999999999996</v>
      </c>
      <c r="K15" s="1" cm="1">
        <f t="array" ref="K15">_xlfn.QUARTILE.INC(IF(Quartile_M[[#This Row],[Industry]]=Main_M[Industry],Main_M[ROE]),3)</f>
        <v>12.6525</v>
      </c>
      <c r="L15" s="1">
        <f>Quartile_M[[#This Row],[ROE Q1]]-1.5*(Quartile_M[[#This Row],[ROE Q3]]-Quartile_M[[#This Row],[ROE Q1]])</f>
        <v>5.9149999999999991</v>
      </c>
      <c r="M15" s="1">
        <f>Quartile_M[[#This Row],[ROE Q3]]+1.5*(Quartile_M[[#This Row],[ROE Q3]]-Quartile_M[[#This Row],[ROE Q1]])</f>
        <v>16.695</v>
      </c>
      <c r="N15" s="1" cm="1">
        <f t="array" ref="N15">_xlfn.QUARTILE.INC(IF(Quartile_M[[#This Row],[Industry]]=Main_M[Industry],Main_M[ROA]),1)</f>
        <v>3.1949999999999998</v>
      </c>
      <c r="O15" s="1" cm="1">
        <f t="array" ref="O15">_xlfn.QUARTILE.INC(IF(Quartile_M[[#This Row],[Industry]]=Main_M[Industry],Main_M[ROA]),3)</f>
        <v>4.4049999999999994</v>
      </c>
      <c r="P15" s="1">
        <f>Quartile_M[[#This Row],[ROA Q1]]-1.5*(Quartile_M[[#This Row],[ROA Q3]]-Quartile_M[[#This Row],[ROA Q1]])</f>
        <v>1.3800000000000006</v>
      </c>
      <c r="Q15" s="1">
        <f>Quartile_M[[#This Row],[ROA Q3]]+1.5*(Quartile_M[[#This Row],[ROA Q3]]-Quartile_M[[#This Row],[ROA Q1]])</f>
        <v>6.2199999999999989</v>
      </c>
      <c r="R15" s="1" cm="1">
        <f t="array" ref="R15">_xlfn.QUARTILE.INC(IF(Quartile_M[[#This Row],[Industry]]=Main_M[Industry],Main_M[P/E]),1)</f>
        <v>21.291885174259807</v>
      </c>
      <c r="S15" s="1" cm="1">
        <f t="array" ref="S15">_xlfn.QUARTILE.INC(IF(Quartile_M[[#This Row],[Industry]]=Main_M[Industry],Main_M[P/E]),3)</f>
        <v>23.043797115699771</v>
      </c>
      <c r="T15" s="1">
        <f>Quartile_M[[#This Row],[P/E Q1]]-1.5*(Quartile_M[[#This Row],[P/E Q3]]-Quartile_M[[#This Row],[P/E Q1]])</f>
        <v>18.664017262099861</v>
      </c>
      <c r="U15" s="1">
        <f>Quartile_M[[#This Row],[P/E Q3]]+1.5*(Quartile_M[[#This Row],[P/E Q3]]-Quartile_M[[#This Row],[P/E Q1]])</f>
        <v>25.671665027859717</v>
      </c>
      <c r="V15" s="1" cm="1">
        <f t="array" ref="V15">_xlfn.QUARTILE.INC(IF(Quartile_M[[#This Row],[Industry]]=Main_M[Industry],Main_M[A/E]),1)</f>
        <v>2.8025000000000002</v>
      </c>
      <c r="W15" s="1" cm="1">
        <f t="array" ref="W15">_xlfn.QUARTILE.INC(IF(Quartile_M[[#This Row],[Industry]]=Main_M[Industry],Main_M[A/E]),3)</f>
        <v>3.0874999999999999</v>
      </c>
      <c r="X15" s="1">
        <f>Quartile_M[[#This Row],[A/E Q1]]-1.5*(Quartile_M[[#This Row],[A/E Q3]]-Quartile_M[[#This Row],[A/E Q1]])</f>
        <v>2.3750000000000009</v>
      </c>
      <c r="Y15" s="1">
        <f>Quartile_M[[#This Row],[A/E Q3]]+1.5*(Quartile_M[[#This Row],[A/E Q3]]-Quartile_M[[#This Row],[A/E Q1]])</f>
        <v>3.5149999999999997</v>
      </c>
    </row>
    <row r="16" spans="1:25" x14ac:dyDescent="0.25">
      <c r="A16" t="s">
        <v>125</v>
      </c>
      <c r="B16" s="1" cm="1">
        <f t="array" ref="B16">_xlfn.QUARTILE.INC(IF(Quartile_M[[#This Row],[Industry]]=Main_M[Industry],Main_M[P/FCF]),1)</f>
        <v>-23.296606935457106</v>
      </c>
      <c r="C16" s="1" cm="1">
        <f t="array" ref="C16">_xlfn.QUARTILE.INC(IF(Quartile_M[[#This Row],[Industry]]=Main_M[Industry],Main_M[P/FCF]),3)</f>
        <v>53.476086048454462</v>
      </c>
      <c r="D16" s="1">
        <f>Quartile_M[[#This Row],[P/FCF Q1]]-1.5*(Quartile_M[[#This Row],[P/FCF Q3]]-Quartile_M[[#This Row],[P/FCF Q1]])</f>
        <v>-138.45564641132447</v>
      </c>
      <c r="E16" s="1">
        <f>Quartile_M[[#This Row],[P/FCF Q3]]+1.5*(Quartile_M[[#This Row],[P/FCF Q3]]-Quartile_M[[#This Row],[P/FCF Q1]])</f>
        <v>168.63512552432184</v>
      </c>
      <c r="F16" s="1" cm="1">
        <f t="array" ref="F16">_xlfn.QUARTILE.INC(IF(Quartile_M[[#This Row],[Industry]]=Main_M[Industry],Main_M[P/B]),1)</f>
        <v>1.3463918077915957</v>
      </c>
      <c r="G16" s="1" cm="1">
        <f t="array" ref="G16">_xlfn.QUARTILE.INC(IF(Quartile_M[[#This Row],[Industry]]=Main_M[Industry],Main_M[P/B]),3)</f>
        <v>1.7440489121490406</v>
      </c>
      <c r="H16" s="1">
        <f>Quartile_M[[#This Row],[P/B Q1]]-1.5*(Quartile_M[[#This Row],[P/B Q3]]-Quartile_M[[#This Row],[P/B Q1]])</f>
        <v>0.74990615125542848</v>
      </c>
      <c r="I16" s="1">
        <f>Quartile_M[[#This Row],[P/B Q3]]+1.5*(Quartile_M[[#This Row],[P/B Q3]]-Quartile_M[[#This Row],[P/B Q1]])</f>
        <v>2.3405345686852077</v>
      </c>
      <c r="J16" s="1" cm="1">
        <f t="array" ref="J16">_xlfn.QUARTILE.INC(IF(Quartile_M[[#This Row],[Industry]]=Main_M[Industry],Main_M[ROE]),1)</f>
        <v>6.6025</v>
      </c>
      <c r="K16" s="1" cm="1">
        <f t="array" ref="K16">_xlfn.QUARTILE.INC(IF(Quartile_M[[#This Row],[Industry]]=Main_M[Industry],Main_M[ROE]),3)</f>
        <v>10.375</v>
      </c>
      <c r="L16" s="1">
        <f>Quartile_M[[#This Row],[ROE Q1]]-1.5*(Quartile_M[[#This Row],[ROE Q3]]-Quartile_M[[#This Row],[ROE Q1]])</f>
        <v>0.94375000000000053</v>
      </c>
      <c r="M16" s="1">
        <f>Quartile_M[[#This Row],[ROE Q3]]+1.5*(Quartile_M[[#This Row],[ROE Q3]]-Quartile_M[[#This Row],[ROE Q1]])</f>
        <v>16.033749999999998</v>
      </c>
      <c r="N16" s="1" cm="1">
        <f t="array" ref="N16">_xlfn.QUARTILE.INC(IF(Quartile_M[[#This Row],[Industry]]=Main_M[Industry],Main_M[ROA]),1)</f>
        <v>2.94</v>
      </c>
      <c r="O16" s="1" cm="1">
        <f t="array" ref="O16">_xlfn.QUARTILE.INC(IF(Quartile_M[[#This Row],[Industry]]=Main_M[Industry],Main_M[ROA]),3)</f>
        <v>5.0575000000000001</v>
      </c>
      <c r="P16" s="1">
        <f>Quartile_M[[#This Row],[ROA Q1]]-1.5*(Quartile_M[[#This Row],[ROA Q3]]-Quartile_M[[#This Row],[ROA Q1]])</f>
        <v>-0.23625000000000052</v>
      </c>
      <c r="Q16" s="1">
        <f>Quartile_M[[#This Row],[ROA Q3]]+1.5*(Quartile_M[[#This Row],[ROA Q3]]-Quartile_M[[#This Row],[ROA Q1]])</f>
        <v>8.2337500000000006</v>
      </c>
      <c r="R16" s="1" cm="1">
        <f t="array" ref="R16">_xlfn.QUARTILE.INC(IF(Quartile_M[[#This Row],[Industry]]=Main_M[Industry],Main_M[P/E]),1)</f>
        <v>15.213864692218351</v>
      </c>
      <c r="S16" s="1" cm="1">
        <f t="array" ref="S16">_xlfn.QUARTILE.INC(IF(Quartile_M[[#This Row],[Industry]]=Main_M[Industry],Main_M[P/E]),3)</f>
        <v>21.832461726624771</v>
      </c>
      <c r="T16" s="1">
        <f>Quartile_M[[#This Row],[P/E Q1]]-1.5*(Quartile_M[[#This Row],[P/E Q3]]-Quartile_M[[#This Row],[P/E Q1]])</f>
        <v>5.2859691406087208</v>
      </c>
      <c r="U16" s="1">
        <f>Quartile_M[[#This Row],[P/E Q3]]+1.5*(Quartile_M[[#This Row],[P/E Q3]]-Quartile_M[[#This Row],[P/E Q1]])</f>
        <v>31.760357278234402</v>
      </c>
      <c r="V16" s="1" cm="1">
        <f t="array" ref="V16">_xlfn.QUARTILE.INC(IF(Quartile_M[[#This Row],[Industry]]=Main_M[Industry],Main_M[A/E]),1)</f>
        <v>2.5575000000000001</v>
      </c>
      <c r="W16" s="1" cm="1">
        <f t="array" ref="W16">_xlfn.QUARTILE.INC(IF(Quartile_M[[#This Row],[Industry]]=Main_M[Industry],Main_M[A/E]),3)</f>
        <v>3.1225000000000001</v>
      </c>
      <c r="X16" s="1">
        <f>Quartile_M[[#This Row],[A/E Q1]]-1.5*(Quartile_M[[#This Row],[A/E Q3]]-Quartile_M[[#This Row],[A/E Q1]])</f>
        <v>1.7100000000000002</v>
      </c>
      <c r="Y16" s="1">
        <f>Quartile_M[[#This Row],[A/E Q3]]+1.5*(Quartile_M[[#This Row],[A/E Q3]]-Quartile_M[[#This Row],[A/E Q1]])</f>
        <v>3.9699999999999998</v>
      </c>
    </row>
    <row r="19" spans="1:25" x14ac:dyDescent="0.25">
      <c r="A19" t="s">
        <v>23</v>
      </c>
    </row>
    <row r="20" spans="1:25" x14ac:dyDescent="0.25">
      <c r="A20" t="s">
        <v>1</v>
      </c>
      <c r="B20" t="s">
        <v>2</v>
      </c>
      <c r="C20" t="s">
        <v>3</v>
      </c>
      <c r="D20" t="s">
        <v>4</v>
      </c>
      <c r="E20" t="s">
        <v>5</v>
      </c>
      <c r="F20" t="s">
        <v>72</v>
      </c>
      <c r="G20" t="s">
        <v>73</v>
      </c>
      <c r="H20" t="s">
        <v>74</v>
      </c>
      <c r="I20" t="s">
        <v>75</v>
      </c>
      <c r="J20" t="s">
        <v>6</v>
      </c>
      <c r="K20" t="s">
        <v>7</v>
      </c>
      <c r="L20" t="s">
        <v>8</v>
      </c>
      <c r="M20" t="s">
        <v>9</v>
      </c>
      <c r="N20" t="s">
        <v>10</v>
      </c>
      <c r="O20" t="s">
        <v>11</v>
      </c>
      <c r="P20" t="s">
        <v>12</v>
      </c>
      <c r="Q20" t="s">
        <v>13</v>
      </c>
      <c r="R20" t="s">
        <v>14</v>
      </c>
      <c r="S20" t="s">
        <v>15</v>
      </c>
      <c r="T20" t="s">
        <v>16</v>
      </c>
      <c r="U20" t="s">
        <v>17</v>
      </c>
      <c r="V20" t="s">
        <v>18</v>
      </c>
      <c r="W20" t="s">
        <v>19</v>
      </c>
      <c r="X20" t="s">
        <v>20</v>
      </c>
      <c r="Y20" t="s">
        <v>21</v>
      </c>
    </row>
    <row r="21" spans="1:25" x14ac:dyDescent="0.25">
      <c r="A21" t="s">
        <v>105</v>
      </c>
      <c r="B21" s="1" cm="1">
        <f t="array" ref="B21">_xlfn.QUARTILE.INC(IF(Quartile_S[[#This Row],[Industry]]=Main_S[Industry],Main_S[P/FCF]),1)</f>
        <v>-166.17858749437696</v>
      </c>
      <c r="C21" s="1" cm="1">
        <f t="array" ref="C21">_xlfn.QUARTILE.INC(IF(Quartile_S[[#This Row],[Industry]]=Main_S[Industry],Main_S[P/FCF]),3)</f>
        <v>13.739541160593792</v>
      </c>
      <c r="D21" s="1">
        <f>Quartile_S[[#This Row],[P/FCF Q1]]-1.5*(Quartile_S[[#This Row],[P/FCF Q3]]-Quartile_S[[#This Row],[P/FCF Q1]])</f>
        <v>-436.05578047683309</v>
      </c>
      <c r="E21" s="1">
        <f>Quartile_S[[#This Row],[P/FCF Q3]]+1.5*(Quartile_S[[#This Row],[P/FCF Q3]]-Quartile_S[[#This Row],[P/FCF Q1]])</f>
        <v>283.61673414304988</v>
      </c>
      <c r="F21" s="1" cm="1">
        <f t="array" ref="F21">_xlfn.QUARTILE.INC(IF(Quartile_S[[#This Row],[Industry]]=Main_S[Industry],Main_S[P/B]),1)</f>
        <v>2.1402709298271825</v>
      </c>
      <c r="G21" s="1" cm="1">
        <f t="array" ref="G21">_xlfn.QUARTILE.INC(IF(Quartile_S[[#This Row],[Industry]]=Main_S[Industry],Main_S[P/B]),3)</f>
        <v>10.178309721543723</v>
      </c>
      <c r="H21" s="1">
        <f>Quartile_S[[#This Row],[P/B Q1]]-1.5*(Quartile_S[[#This Row],[P/B Q3]]-Quartile_S[[#This Row],[P/B Q1]])</f>
        <v>-9.9167872577476288</v>
      </c>
      <c r="I21" s="1">
        <f>Quartile_S[[#This Row],[P/B Q3]]+1.5*(Quartile_S[[#This Row],[P/B Q3]]-Quartile_S[[#This Row],[P/B Q1]])</f>
        <v>22.235367909118537</v>
      </c>
      <c r="J21" s="1" cm="1">
        <f t="array" ref="J21">_xlfn.QUARTILE.INC(IF(Quartile_S[[#This Row],[Industry]]=Main_S[Industry],Main_S[ROE]),1)</f>
        <v>-28.645000000000003</v>
      </c>
      <c r="K21" s="1" cm="1">
        <f t="array" ref="K21">_xlfn.QUARTILE.INC(IF(Quartile_S[[#This Row],[Industry]]=Main_S[Industry],Main_S[ROE]),3)</f>
        <v>12.824999999999999</v>
      </c>
      <c r="L21" s="1">
        <f>Quartile_S[[#This Row],[ROE Q1]]-1.5*(Quartile_S[[#This Row],[ROE Q3]]-Quartile_S[[#This Row],[ROE Q1]])</f>
        <v>-90.85</v>
      </c>
      <c r="M21" s="1">
        <f>Quartile_S[[#This Row],[ROE Q3]]+1.5*(Quartile_S[[#This Row],[ROE Q3]]-Quartile_S[[#This Row],[ROE Q1]])</f>
        <v>75.03</v>
      </c>
      <c r="N21" s="1" cm="1">
        <f t="array" ref="N21">_xlfn.QUARTILE.INC(IF(Quartile_S[[#This Row],[Industry]]=Main_S[Industry],Main_S[ROA]),1)</f>
        <v>1.49</v>
      </c>
      <c r="O21" s="1" cm="1">
        <f t="array" ref="O21">_xlfn.QUARTILE.INC(IF(Quartile_S[[#This Row],[Industry]]=Main_S[Industry],Main_S[ROA]),3)</f>
        <v>5.14</v>
      </c>
      <c r="P21" s="1">
        <f>Quartile_S[[#This Row],[ROA Q1]]-1.5*(Quartile_S[[#This Row],[ROA Q3]]-Quartile_S[[#This Row],[ROA Q1]])</f>
        <v>-3.9849999999999994</v>
      </c>
      <c r="Q21" s="1">
        <f>Quartile_S[[#This Row],[ROA Q3]]+1.5*(Quartile_S[[#This Row],[ROA Q3]]-Quartile_S[[#This Row],[ROA Q1]])</f>
        <v>10.614999999999998</v>
      </c>
      <c r="R21" s="1" cm="1">
        <f t="array" ref="R21">_xlfn.QUARTILE.INC(IF(Quartile_S[[#This Row],[Industry]]=Main_S[Industry],Main_S[P/E]),1)</f>
        <v>16.913679833679829</v>
      </c>
      <c r="S21" s="1" cm="1">
        <f t="array" ref="S21">_xlfn.QUARTILE.INC(IF(Quartile_S[[#This Row],[Industry]]=Main_S[Industry],Main_S[P/E]),3)</f>
        <v>90.667399267399276</v>
      </c>
      <c r="T21" s="1">
        <f>Quartile_S[[#This Row],[P/E Q1]]-1.5*(Quartile_S[[#This Row],[P/E Q3]]-Quartile_S[[#This Row],[P/E Q1]])</f>
        <v>-93.716899316899344</v>
      </c>
      <c r="U21" s="1">
        <f>Quartile_S[[#This Row],[P/E Q3]]+1.5*(Quartile_S[[#This Row],[P/E Q3]]-Quartile_S[[#This Row],[P/E Q1]])</f>
        <v>201.29797841797847</v>
      </c>
      <c r="V21" s="1" cm="1">
        <f t="array" ref="V21">_xlfn.QUARTILE.INC(IF(Quartile_S[[#This Row],[Industry]]=Main_S[Industry],Main_S[A/E]),1)</f>
        <v>2.27</v>
      </c>
      <c r="W21" s="1" cm="1">
        <f t="array" ref="W21">_xlfn.QUARTILE.INC(IF(Quartile_S[[#This Row],[Industry]]=Main_S[Industry],Main_S[A/E]),3)</f>
        <v>4.21</v>
      </c>
      <c r="X21" s="1">
        <f>Quartile_S[[#This Row],[A/E Q1]]-1.5*(Quartile_S[[#This Row],[A/E Q3]]-Quartile_S[[#This Row],[A/E Q1]])</f>
        <v>-0.64000000000000012</v>
      </c>
      <c r="Y21" s="1">
        <f>Quartile_S[[#This Row],[A/E Q3]]+1.5*(Quartile_S[[#This Row],[A/E Q3]]-Quartile_S[[#This Row],[A/E Q1]])</f>
        <v>7.12</v>
      </c>
    </row>
    <row r="22" spans="1:25" x14ac:dyDescent="0.25">
      <c r="A22" t="s">
        <v>144</v>
      </c>
      <c r="B22" s="1" cm="1">
        <f t="array" ref="B22">_xlfn.QUARTILE.INC(IF(Quartile_S[[#This Row],[Industry]]=Main_S[Industry],Main_S[P/FCF]),1)</f>
        <v>-23.888888888888889</v>
      </c>
      <c r="C22" s="1" cm="1">
        <f t="array" ref="C22">_xlfn.QUARTILE.INC(IF(Quartile_S[[#This Row],[Industry]]=Main_S[Industry],Main_S[P/FCF]),3)</f>
        <v>1.4845890410958904</v>
      </c>
      <c r="D22" s="1">
        <f>Quartile_S[[#This Row],[P/FCF Q1]]-1.5*(Quartile_S[[#This Row],[P/FCF Q3]]-Quartile_S[[#This Row],[P/FCF Q1]])</f>
        <v>-61.949105783866059</v>
      </c>
      <c r="E22" s="1">
        <f>Quartile_S[[#This Row],[P/FCF Q3]]+1.5*(Quartile_S[[#This Row],[P/FCF Q3]]-Quartile_S[[#This Row],[P/FCF Q1]])</f>
        <v>39.544805936073061</v>
      </c>
      <c r="F22" s="1" cm="1">
        <f t="array" ref="F22">_xlfn.QUARTILE.INC(IF(Quartile_S[[#This Row],[Industry]]=Main_S[Industry],Main_S[P/B]),1)</f>
        <v>1.1944444444444444</v>
      </c>
      <c r="G22" s="1" cm="1">
        <f t="array" ref="G22">_xlfn.QUARTILE.INC(IF(Quartile_S[[#This Row],[Industry]]=Main_S[Industry],Main_S[P/B]),3)</f>
        <v>9.6428571428571423</v>
      </c>
      <c r="H22" s="1">
        <f>Quartile_S[[#This Row],[P/B Q1]]-1.5*(Quartile_S[[#This Row],[P/B Q3]]-Quartile_S[[#This Row],[P/B Q1]])</f>
        <v>-11.478174603174603</v>
      </c>
      <c r="I22" s="1">
        <f>Quartile_S[[#This Row],[P/B Q3]]+1.5*(Quartile_S[[#This Row],[P/B Q3]]-Quartile_S[[#This Row],[P/B Q1]])</f>
        <v>22.31547619047619</v>
      </c>
      <c r="J22" s="1" cm="1">
        <f t="array" ref="J22">_xlfn.QUARTILE.INC(IF(Quartile_S[[#This Row],[Industry]]=Main_S[Industry],Main_S[ROE]),1)</f>
        <v>-5.83</v>
      </c>
      <c r="K22" s="1" cm="1">
        <f t="array" ref="K22">_xlfn.QUARTILE.INC(IF(Quartile_S[[#This Row],[Industry]]=Main_S[Industry],Main_S[ROE]),3)</f>
        <v>6.14</v>
      </c>
      <c r="L22" s="1">
        <f>Quartile_S[[#This Row],[ROE Q1]]-1.5*(Quartile_S[[#This Row],[ROE Q3]]-Quartile_S[[#This Row],[ROE Q1]])</f>
        <v>-23.784999999999997</v>
      </c>
      <c r="M22" s="1">
        <f>Quartile_S[[#This Row],[ROE Q3]]+1.5*(Quartile_S[[#This Row],[ROE Q3]]-Quartile_S[[#This Row],[ROE Q1]])</f>
        <v>24.094999999999999</v>
      </c>
      <c r="N22" s="1" cm="1">
        <f t="array" ref="N22">_xlfn.QUARTILE.INC(IF(Quartile_S[[#This Row],[Industry]]=Main_S[Industry],Main_S[ROA]),1)</f>
        <v>0.41</v>
      </c>
      <c r="O22" s="1" cm="1">
        <f t="array" ref="O22">_xlfn.QUARTILE.INC(IF(Quartile_S[[#This Row],[Industry]]=Main_S[Industry],Main_S[ROA]),3)</f>
        <v>3.32</v>
      </c>
      <c r="P22" s="1">
        <f>Quartile_S[[#This Row],[ROA Q1]]-1.5*(Quartile_S[[#This Row],[ROA Q3]]-Quartile_S[[#This Row],[ROA Q1]])</f>
        <v>-3.9549999999999992</v>
      </c>
      <c r="Q22" s="1">
        <f>Quartile_S[[#This Row],[ROA Q3]]+1.5*(Quartile_S[[#This Row],[ROA Q3]]-Quartile_S[[#This Row],[ROA Q1]])</f>
        <v>7.6849999999999987</v>
      </c>
      <c r="R22" s="1" cm="1">
        <f t="array" ref="R22">_xlfn.QUARTILE.INC(IF(Quartile_S[[#This Row],[Industry]]=Main_S[Industry],Main_S[P/E]),1)</f>
        <v>-4.229268292682927</v>
      </c>
      <c r="S22" s="1" cm="1">
        <f t="array" ref="S22">_xlfn.QUARTILE.INC(IF(Quartile_S[[#This Row],[Industry]]=Main_S[Industry],Main_S[P/E]),3)</f>
        <v>42.999999999999993</v>
      </c>
      <c r="T22" s="1">
        <f>Quartile_S[[#This Row],[P/E Q1]]-1.5*(Quartile_S[[#This Row],[P/E Q3]]-Quartile_S[[#This Row],[P/E Q1]])</f>
        <v>-75.073170731707307</v>
      </c>
      <c r="U22" s="1">
        <f>Quartile_S[[#This Row],[P/E Q3]]+1.5*(Quartile_S[[#This Row],[P/E Q3]]-Quartile_S[[#This Row],[P/E Q1]])</f>
        <v>113.84390243902436</v>
      </c>
      <c r="V22" s="1" cm="1">
        <f t="array" ref="V22">_xlfn.QUARTILE.INC(IF(Quartile_S[[#This Row],[Industry]]=Main_S[Industry],Main_S[A/E]),1)</f>
        <v>1.46</v>
      </c>
      <c r="W22" s="1" cm="1">
        <f t="array" ref="W22">_xlfn.QUARTILE.INC(IF(Quartile_S[[#This Row],[Industry]]=Main_S[Industry],Main_S[A/E]),3)</f>
        <v>2.84</v>
      </c>
      <c r="X22" s="1">
        <f>Quartile_S[[#This Row],[A/E Q1]]-1.5*(Quartile_S[[#This Row],[A/E Q3]]-Quartile_S[[#This Row],[A/E Q1]])</f>
        <v>-0.60999999999999988</v>
      </c>
      <c r="Y22" s="1">
        <f>Quartile_S[[#This Row],[A/E Q3]]+1.5*(Quartile_S[[#This Row],[A/E Q3]]-Quartile_S[[#This Row],[A/E Q1]])</f>
        <v>4.91</v>
      </c>
    </row>
    <row r="23" spans="1:25" x14ac:dyDescent="0.25">
      <c r="A23" t="s">
        <v>127</v>
      </c>
      <c r="B23" s="1" cm="1">
        <f t="array" ref="B23">_xlfn.QUARTILE.INC(IF(Quartile_S[[#This Row],[Industry]]=Main_S[Industry],Main_S[P/FCF]),1)</f>
        <v>-27.630208333333332</v>
      </c>
      <c r="C23" s="1" cm="1">
        <f t="array" ref="C23">_xlfn.QUARTILE.INC(IF(Quartile_S[[#This Row],[Industry]]=Main_S[Industry],Main_S[P/FCF]),3)</f>
        <v>-27.630208333333332</v>
      </c>
      <c r="D23" s="1">
        <f>Quartile_S[[#This Row],[P/FCF Q1]]-1.5*(Quartile_S[[#This Row],[P/FCF Q3]]-Quartile_S[[#This Row],[P/FCF Q1]])</f>
        <v>-27.630208333333332</v>
      </c>
      <c r="E23" s="1">
        <f>Quartile_S[[#This Row],[P/FCF Q3]]+1.5*(Quartile_S[[#This Row],[P/FCF Q3]]-Quartile_S[[#This Row],[P/FCF Q1]])</f>
        <v>-27.630208333333332</v>
      </c>
      <c r="F23" s="1" cm="1">
        <f t="array" ref="F23">_xlfn.QUARTILE.INC(IF(Quartile_S[[#This Row],[Industry]]=Main_S[Industry],Main_S[P/B]),1)</f>
        <v>1.61442483262325</v>
      </c>
      <c r="G23" s="1" cm="1">
        <f t="array" ref="G23">_xlfn.QUARTILE.INC(IF(Quartile_S[[#This Row],[Industry]]=Main_S[Industry],Main_S[P/B]),3)</f>
        <v>1.61442483262325</v>
      </c>
      <c r="H23" s="1">
        <f>Quartile_S[[#This Row],[P/B Q1]]-1.5*(Quartile_S[[#This Row],[P/B Q3]]-Quartile_S[[#This Row],[P/B Q1]])</f>
        <v>1.61442483262325</v>
      </c>
      <c r="I23" s="1">
        <f>Quartile_S[[#This Row],[P/B Q3]]+1.5*(Quartile_S[[#This Row],[P/B Q3]]-Quartile_S[[#This Row],[P/B Q1]])</f>
        <v>1.61442483262325</v>
      </c>
      <c r="J23" s="1" cm="1">
        <f t="array" ref="J23">_xlfn.QUARTILE.INC(IF(Quartile_S[[#This Row],[Industry]]=Main_S[Industry],Main_S[ROE]),1)</f>
        <v>9.07</v>
      </c>
      <c r="K23" s="1" cm="1">
        <f t="array" ref="K23">_xlfn.QUARTILE.INC(IF(Quartile_S[[#This Row],[Industry]]=Main_S[Industry],Main_S[ROE]),3)</f>
        <v>9.07</v>
      </c>
      <c r="L23" s="1">
        <f>Quartile_S[[#This Row],[ROE Q1]]-1.5*(Quartile_S[[#This Row],[ROE Q3]]-Quartile_S[[#This Row],[ROE Q1]])</f>
        <v>9.07</v>
      </c>
      <c r="M23" s="1">
        <f>Quartile_S[[#This Row],[ROE Q3]]+1.5*(Quartile_S[[#This Row],[ROE Q3]]-Quartile_S[[#This Row],[ROE Q1]])</f>
        <v>9.07</v>
      </c>
      <c r="N23" s="1" cm="1">
        <f t="array" ref="N23">_xlfn.QUARTILE.INC(IF(Quartile_S[[#This Row],[Industry]]=Main_S[Industry],Main_S[ROA]),1)</f>
        <v>3.29</v>
      </c>
      <c r="O23" s="1" cm="1">
        <f t="array" ref="O23">_xlfn.QUARTILE.INC(IF(Quartile_S[[#This Row],[Industry]]=Main_S[Industry],Main_S[ROA]),3)</f>
        <v>3.29</v>
      </c>
      <c r="P23" s="1">
        <f>Quartile_S[[#This Row],[ROA Q1]]-1.5*(Quartile_S[[#This Row],[ROA Q3]]-Quartile_S[[#This Row],[ROA Q1]])</f>
        <v>3.29</v>
      </c>
      <c r="Q23" s="1">
        <f>Quartile_S[[#This Row],[ROA Q3]]+1.5*(Quartile_S[[#This Row],[ROA Q3]]-Quartile_S[[#This Row],[ROA Q1]])</f>
        <v>3.29</v>
      </c>
      <c r="R23" s="1" cm="1">
        <f t="array" ref="R23">_xlfn.QUARTILE.INC(IF(Quartile_S[[#This Row],[Industry]]=Main_S[Industry],Main_S[P/E]),1)</f>
        <v>18.10580204778157</v>
      </c>
      <c r="S23" s="1" cm="1">
        <f t="array" ref="S23">_xlfn.QUARTILE.INC(IF(Quartile_S[[#This Row],[Industry]]=Main_S[Industry],Main_S[P/E]),3)</f>
        <v>18.10580204778157</v>
      </c>
      <c r="T23" s="1">
        <f>Quartile_S[[#This Row],[P/E Q1]]-1.5*(Quartile_S[[#This Row],[P/E Q3]]-Quartile_S[[#This Row],[P/E Q1]])</f>
        <v>18.10580204778157</v>
      </c>
      <c r="U23" s="1">
        <f>Quartile_S[[#This Row],[P/E Q3]]+1.5*(Quartile_S[[#This Row],[P/E Q3]]-Quartile_S[[#This Row],[P/E Q1]])</f>
        <v>18.10580204778157</v>
      </c>
      <c r="V23" s="1" cm="1">
        <f t="array" ref="V23">_xlfn.QUARTILE.INC(IF(Quartile_S[[#This Row],[Industry]]=Main_S[Industry],Main_S[A/E]),1)</f>
        <v>3.54</v>
      </c>
      <c r="W23" s="1" cm="1">
        <f t="array" ref="W23">_xlfn.QUARTILE.INC(IF(Quartile_S[[#This Row],[Industry]]=Main_S[Industry],Main_S[A/E]),3)</f>
        <v>3.54</v>
      </c>
      <c r="X23" s="1">
        <f>Quartile_S[[#This Row],[A/E Q1]]-1.5*(Quartile_S[[#This Row],[A/E Q3]]-Quartile_S[[#This Row],[A/E Q1]])</f>
        <v>3.54</v>
      </c>
      <c r="Y23" s="1">
        <f>Quartile_S[[#This Row],[A/E Q3]]+1.5*(Quartile_S[[#This Row],[A/E Q3]]-Quartile_S[[#This Row],[A/E Q1]])</f>
        <v>3.54</v>
      </c>
    </row>
    <row r="24" spans="1:25" x14ac:dyDescent="0.25">
      <c r="A24" t="s">
        <v>140</v>
      </c>
      <c r="B24" s="1" cm="1">
        <f t="array" ref="B24">_xlfn.QUARTILE.INC(IF(Quartile_S[[#This Row],[Industry]]=Main_S[Industry],Main_S[P/FCF]),1)</f>
        <v>-26.031465919701212</v>
      </c>
      <c r="C24" s="1" cm="1">
        <f t="array" ref="C24">_xlfn.QUARTILE.INC(IF(Quartile_S[[#This Row],[Industry]]=Main_S[Industry],Main_S[P/FCF]),3)</f>
        <v>1.4959709770816598</v>
      </c>
      <c r="D24" s="1">
        <f>Quartile_S[[#This Row],[P/FCF Q1]]-1.5*(Quartile_S[[#This Row],[P/FCF Q3]]-Quartile_S[[#This Row],[P/FCF Q1]])</f>
        <v>-67.322621264875522</v>
      </c>
      <c r="E24" s="1">
        <f>Quartile_S[[#This Row],[P/FCF Q3]]+1.5*(Quartile_S[[#This Row],[P/FCF Q3]]-Quartile_S[[#This Row],[P/FCF Q1]])</f>
        <v>42.787126322255972</v>
      </c>
      <c r="F24" s="1" cm="1">
        <f t="array" ref="F24">_xlfn.QUARTILE.INC(IF(Quartile_S[[#This Row],[Industry]]=Main_S[Industry],Main_S[P/B]),1)</f>
        <v>1.6586438009644557</v>
      </c>
      <c r="G24" s="1" cm="1">
        <f t="array" ref="G24">_xlfn.QUARTILE.INC(IF(Quartile_S[[#This Row],[Industry]]=Main_S[Industry],Main_S[P/B]),3)</f>
        <v>2.1781049416131775</v>
      </c>
      <c r="H24" s="1">
        <f>Quartile_S[[#This Row],[P/B Q1]]-1.5*(Quartile_S[[#This Row],[P/B Q3]]-Quartile_S[[#This Row],[P/B Q1]])</f>
        <v>0.87945208999137314</v>
      </c>
      <c r="I24" s="1">
        <f>Quartile_S[[#This Row],[P/B Q3]]+1.5*(Quartile_S[[#This Row],[P/B Q3]]-Quartile_S[[#This Row],[P/B Q1]])</f>
        <v>2.9572966525862601</v>
      </c>
      <c r="J24" s="1" cm="1">
        <f t="array" ref="J24">_xlfn.QUARTILE.INC(IF(Quartile_S[[#This Row],[Industry]]=Main_S[Industry],Main_S[ROE]),1)</f>
        <v>8.2650000000000006</v>
      </c>
      <c r="K24" s="1" cm="1">
        <f t="array" ref="K24">_xlfn.QUARTILE.INC(IF(Quartile_S[[#This Row],[Industry]]=Main_S[Industry],Main_S[ROE]),3)</f>
        <v>9.4550000000000001</v>
      </c>
      <c r="L24" s="1">
        <f>Quartile_S[[#This Row],[ROE Q1]]-1.5*(Quartile_S[[#This Row],[ROE Q3]]-Quartile_S[[#This Row],[ROE Q1]])</f>
        <v>6.4800000000000013</v>
      </c>
      <c r="M24" s="1">
        <f>Quartile_S[[#This Row],[ROE Q3]]+1.5*(Quartile_S[[#This Row],[ROE Q3]]-Quartile_S[[#This Row],[ROE Q1]])</f>
        <v>11.239999999999998</v>
      </c>
      <c r="N24" s="1" cm="1">
        <f t="array" ref="N24">_xlfn.QUARTILE.INC(IF(Quartile_S[[#This Row],[Industry]]=Main_S[Industry],Main_S[ROA]),1)</f>
        <v>2.64</v>
      </c>
      <c r="O24" s="1" cm="1">
        <f t="array" ref="O24">_xlfn.QUARTILE.INC(IF(Quartile_S[[#This Row],[Industry]]=Main_S[Industry],Main_S[ROA]),3)</f>
        <v>3.5049999999999999</v>
      </c>
      <c r="P24" s="1">
        <f>Quartile_S[[#This Row],[ROA Q1]]-1.5*(Quartile_S[[#This Row],[ROA Q3]]-Quartile_S[[#This Row],[ROA Q1]])</f>
        <v>1.3425000000000005</v>
      </c>
      <c r="Q24" s="1">
        <f>Quartile_S[[#This Row],[ROA Q3]]+1.5*(Quartile_S[[#This Row],[ROA Q3]]-Quartile_S[[#This Row],[ROA Q1]])</f>
        <v>4.8024999999999993</v>
      </c>
      <c r="R24" s="1" cm="1">
        <f t="array" ref="R24">_xlfn.QUARTILE.INC(IF(Quartile_S[[#This Row],[Industry]]=Main_S[Industry],Main_S[P/E]),1)</f>
        <v>17.735724035945854</v>
      </c>
      <c r="S24" s="1" cm="1">
        <f t="array" ref="S24">_xlfn.QUARTILE.INC(IF(Quartile_S[[#This Row],[Industry]]=Main_S[Industry],Main_S[P/E]),3)</f>
        <v>25.90317518248175</v>
      </c>
      <c r="T24" s="1">
        <f>Quartile_S[[#This Row],[P/E Q1]]-1.5*(Quartile_S[[#This Row],[P/E Q3]]-Quartile_S[[#This Row],[P/E Q1]])</f>
        <v>5.4845473161420095</v>
      </c>
      <c r="U24" s="1">
        <f>Quartile_S[[#This Row],[P/E Q3]]+1.5*(Quartile_S[[#This Row],[P/E Q3]]-Quartile_S[[#This Row],[P/E Q1]])</f>
        <v>38.154351902285597</v>
      </c>
      <c r="V24" s="1" cm="1">
        <f t="array" ref="V24">_xlfn.QUARTILE.INC(IF(Quartile_S[[#This Row],[Industry]]=Main_S[Industry],Main_S[A/E]),1)</f>
        <v>1.9649999999999999</v>
      </c>
      <c r="W24" s="1" cm="1">
        <f t="array" ref="W24">_xlfn.QUARTILE.INC(IF(Quartile_S[[#This Row],[Industry]]=Main_S[Industry],Main_S[A/E]),3)</f>
        <v>3.3650000000000002</v>
      </c>
      <c r="X24" s="1">
        <f>Quartile_S[[#This Row],[A/E Q1]]-1.5*(Quartile_S[[#This Row],[A/E Q3]]-Quartile_S[[#This Row],[A/E Q1]])</f>
        <v>-0.13500000000000068</v>
      </c>
      <c r="Y24" s="1">
        <f>Quartile_S[[#This Row],[A/E Q3]]+1.5*(Quartile_S[[#This Row],[A/E Q3]]-Quartile_S[[#This Row],[A/E Q1]])</f>
        <v>5.4650000000000007</v>
      </c>
    </row>
    <row r="25" spans="1:25" x14ac:dyDescent="0.25">
      <c r="A25" t="s">
        <v>125</v>
      </c>
      <c r="B25" s="1" cm="1">
        <f t="array" ref="B25">_xlfn.QUARTILE.INC(IF(Quartile_S[[#This Row],[Industry]]=Main_S[Industry],Main_S[P/FCF]),1)</f>
        <v>1.0161144868827154</v>
      </c>
      <c r="C25" s="1" cm="1">
        <f t="array" ref="C25">_xlfn.QUARTILE.INC(IF(Quartile_S[[#This Row],[Industry]]=Main_S[Industry],Main_S[P/FCF]),3)</f>
        <v>10.680799220272906</v>
      </c>
      <c r="D25" s="1">
        <f>Quartile_S[[#This Row],[P/FCF Q1]]-1.5*(Quartile_S[[#This Row],[P/FCF Q3]]-Quartile_S[[#This Row],[P/FCF Q1]])</f>
        <v>-13.480912613202571</v>
      </c>
      <c r="E25" s="1">
        <f>Quartile_S[[#This Row],[P/FCF Q3]]+1.5*(Quartile_S[[#This Row],[P/FCF Q3]]-Quartile_S[[#This Row],[P/FCF Q1]])</f>
        <v>25.177826320358193</v>
      </c>
      <c r="F25" s="1" cm="1">
        <f t="array" ref="F25">_xlfn.QUARTILE.INC(IF(Quartile_S[[#This Row],[Industry]]=Main_S[Industry],Main_S[P/B]),1)</f>
        <v>1.10317121220493</v>
      </c>
      <c r="G25" s="1" cm="1">
        <f t="array" ref="G25">_xlfn.QUARTILE.INC(IF(Quartile_S[[#This Row],[Industry]]=Main_S[Industry],Main_S[P/B]),3)</f>
        <v>1.5416532598914734</v>
      </c>
      <c r="H25" s="1">
        <f>Quartile_S[[#This Row],[P/B Q1]]-1.5*(Quartile_S[[#This Row],[P/B Q3]]-Quartile_S[[#This Row],[P/B Q1]])</f>
        <v>0.44544814067511485</v>
      </c>
      <c r="I25" s="1">
        <f>Quartile_S[[#This Row],[P/B Q3]]+1.5*(Quartile_S[[#This Row],[P/B Q3]]-Quartile_S[[#This Row],[P/B Q1]])</f>
        <v>2.1993763314212886</v>
      </c>
      <c r="J25" s="1" cm="1">
        <f t="array" ref="J25">_xlfn.QUARTILE.INC(IF(Quartile_S[[#This Row],[Industry]]=Main_S[Industry],Main_S[ROE]),1)</f>
        <v>6.335</v>
      </c>
      <c r="K25" s="1" cm="1">
        <f t="array" ref="K25">_xlfn.QUARTILE.INC(IF(Quartile_S[[#This Row],[Industry]]=Main_S[Industry],Main_S[ROE]),3)</f>
        <v>14.65</v>
      </c>
      <c r="L25" s="1">
        <f>Quartile_S[[#This Row],[ROE Q1]]-1.5*(Quartile_S[[#This Row],[ROE Q3]]-Quartile_S[[#This Row],[ROE Q1]])</f>
        <v>-6.137500000000002</v>
      </c>
      <c r="M25" s="1">
        <f>Quartile_S[[#This Row],[ROE Q3]]+1.5*(Quartile_S[[#This Row],[ROE Q3]]-Quartile_S[[#This Row],[ROE Q1]])</f>
        <v>27.122500000000002</v>
      </c>
      <c r="N25" s="1" cm="1">
        <f t="array" ref="N25">_xlfn.QUARTILE.INC(IF(Quartile_S[[#This Row],[Industry]]=Main_S[Industry],Main_S[ROA]),1)</f>
        <v>3.4525000000000001</v>
      </c>
      <c r="O25" s="1" cm="1">
        <f t="array" ref="O25">_xlfn.QUARTILE.INC(IF(Quartile_S[[#This Row],[Industry]]=Main_S[Industry],Main_S[ROA]),3)</f>
        <v>5.335</v>
      </c>
      <c r="P25" s="1">
        <f>Quartile_S[[#This Row],[ROA Q1]]-1.5*(Quartile_S[[#This Row],[ROA Q3]]-Quartile_S[[#This Row],[ROA Q1]])</f>
        <v>0.62875000000000059</v>
      </c>
      <c r="Q25" s="1">
        <f>Quartile_S[[#This Row],[ROA Q3]]+1.5*(Quartile_S[[#This Row],[ROA Q3]]-Quartile_S[[#This Row],[ROA Q1]])</f>
        <v>8.1587499999999995</v>
      </c>
      <c r="R25" s="1" cm="1">
        <f t="array" ref="R25">_xlfn.QUARTILE.INC(IF(Quartile_S[[#This Row],[Industry]]=Main_S[Industry],Main_S[P/E]),1)</f>
        <v>11.034669847621981</v>
      </c>
      <c r="S25" s="1" cm="1">
        <f t="array" ref="S25">_xlfn.QUARTILE.INC(IF(Quartile_S[[#This Row],[Industry]]=Main_S[Industry],Main_S[P/E]),3)</f>
        <v>35.652298850574709</v>
      </c>
      <c r="T25" s="1">
        <f>Quartile_S[[#This Row],[P/E Q1]]-1.5*(Quartile_S[[#This Row],[P/E Q3]]-Quartile_S[[#This Row],[P/E Q1]])</f>
        <v>-25.891773656807114</v>
      </c>
      <c r="U25" s="1">
        <f>Quartile_S[[#This Row],[P/E Q3]]+1.5*(Quartile_S[[#This Row],[P/E Q3]]-Quartile_S[[#This Row],[P/E Q1]])</f>
        <v>72.578742355003811</v>
      </c>
      <c r="V25" s="1" cm="1">
        <f t="array" ref="V25">_xlfn.QUARTILE.INC(IF(Quartile_S[[#This Row],[Industry]]=Main_S[Industry],Main_S[A/E]),1)</f>
        <v>3.42</v>
      </c>
      <c r="W25" s="1" cm="1">
        <f t="array" ref="W25">_xlfn.QUARTILE.INC(IF(Quartile_S[[#This Row],[Industry]]=Main_S[Industry],Main_S[A/E]),3)</f>
        <v>4.0324999999999998</v>
      </c>
      <c r="X25" s="1">
        <f>Quartile_S[[#This Row],[A/E Q1]]-1.5*(Quartile_S[[#This Row],[A/E Q3]]-Quartile_S[[#This Row],[A/E Q1]])</f>
        <v>2.5012500000000002</v>
      </c>
      <c r="Y25" s="1">
        <f>Quartile_S[[#This Row],[A/E Q3]]+1.5*(Quartile_S[[#This Row],[A/E Q3]]-Quartile_S[[#This Row],[A/E Q1]])</f>
        <v>4.9512499999999999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29"/>
  <sheetViews>
    <sheetView workbookViewId="0">
      <selection activeCell="I29" sqref="I29"/>
    </sheetView>
  </sheetViews>
  <sheetFormatPr defaultRowHeight="15" x14ac:dyDescent="0.25"/>
  <cols>
    <col min="1" max="1" width="49.140625" bestFit="1" customWidth="1"/>
    <col min="2" max="2" width="16.28515625" bestFit="1" customWidth="1"/>
    <col min="3" max="3" width="16.85546875" bestFit="1" customWidth="1"/>
    <col min="5" max="5" width="49.140625" bestFit="1" customWidth="1"/>
    <col min="6" max="6" width="14" bestFit="1" customWidth="1"/>
    <col min="7" max="7" width="14.5703125" bestFit="1" customWidth="1"/>
    <col min="9" max="9" width="49.140625" bestFit="1" customWidth="1"/>
    <col min="10" max="10" width="14" bestFit="1" customWidth="1"/>
    <col min="11" max="11" width="14.5703125" bestFit="1" customWidth="1"/>
  </cols>
  <sheetData>
    <row r="1" spans="1:11" x14ac:dyDescent="0.25">
      <c r="A1" s="24" t="s">
        <v>55</v>
      </c>
      <c r="B1" s="24"/>
      <c r="C1" s="24"/>
      <c r="E1" s="24" t="s">
        <v>80</v>
      </c>
      <c r="F1" s="24"/>
      <c r="G1" s="24"/>
      <c r="I1" s="24" t="s">
        <v>56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-21.156436553724951</v>
      </c>
      <c r="C5" s="1">
        <v>15.118794052507754</v>
      </c>
      <c r="E5" s="6" t="s">
        <v>105</v>
      </c>
      <c r="F5" s="1">
        <v>1.6901478068895972</v>
      </c>
      <c r="G5" s="1">
        <v>0.46944149281313707</v>
      </c>
      <c r="I5" s="6" t="s">
        <v>105</v>
      </c>
      <c r="J5" s="1">
        <v>9.002352941176472</v>
      </c>
      <c r="K5" s="1">
        <v>1.873325226660939</v>
      </c>
    </row>
    <row r="6" spans="1:11" x14ac:dyDescent="0.25">
      <c r="A6" s="6" t="s">
        <v>125</v>
      </c>
      <c r="B6" s="1">
        <v>-18.178229665071772</v>
      </c>
      <c r="C6" s="1">
        <v>0</v>
      </c>
      <c r="E6" s="6" t="s">
        <v>125</v>
      </c>
      <c r="F6" s="1">
        <v>1.8373836295490269</v>
      </c>
      <c r="G6" s="1">
        <v>0</v>
      </c>
      <c r="I6" s="6" t="s">
        <v>125</v>
      </c>
      <c r="J6" s="1">
        <v>9.19</v>
      </c>
      <c r="K6" s="1">
        <v>0</v>
      </c>
    </row>
    <row r="7" spans="1:11" x14ac:dyDescent="0.25">
      <c r="A7" s="6" t="s">
        <v>144</v>
      </c>
      <c r="B7" s="1">
        <v>460.70743310917152</v>
      </c>
      <c r="C7" s="1">
        <v>425.56842895979395</v>
      </c>
      <c r="E7" s="6" t="s">
        <v>144</v>
      </c>
      <c r="F7" s="1">
        <v>17.21146239764969</v>
      </c>
      <c r="G7" s="1">
        <v>7.2993914373720212</v>
      </c>
      <c r="I7" s="6" t="s">
        <v>144</v>
      </c>
      <c r="J7" s="1">
        <v>35.004999999999995</v>
      </c>
      <c r="K7" s="1">
        <v>6.675000000000014</v>
      </c>
    </row>
    <row r="8" spans="1:11" x14ac:dyDescent="0.25">
      <c r="A8" s="6" t="s">
        <v>127</v>
      </c>
      <c r="B8" s="1">
        <v>-18.819588345197335</v>
      </c>
      <c r="C8" s="1">
        <v>26.071101235341427</v>
      </c>
      <c r="E8" s="6" t="s">
        <v>127</v>
      </c>
      <c r="F8" s="1">
        <v>2.2341574060686176</v>
      </c>
      <c r="G8" s="1">
        <v>0.49713912163692547</v>
      </c>
      <c r="I8" s="6" t="s">
        <v>127</v>
      </c>
      <c r="J8" s="1">
        <v>9.6533333333333324</v>
      </c>
      <c r="K8" s="1">
        <v>2.272345826575604</v>
      </c>
    </row>
    <row r="9" spans="1:11" x14ac:dyDescent="0.25">
      <c r="A9" s="6" t="s">
        <v>140</v>
      </c>
      <c r="B9" s="1">
        <v>-32.077105781485336</v>
      </c>
      <c r="C9" s="1">
        <v>9.1336575775980506</v>
      </c>
      <c r="E9" s="6" t="s">
        <v>140</v>
      </c>
      <c r="F9" s="1">
        <v>2.0892413848946254</v>
      </c>
      <c r="G9" s="1">
        <v>0.39479249366870434</v>
      </c>
      <c r="I9" s="6" t="s">
        <v>140</v>
      </c>
      <c r="J9" s="1">
        <v>16.616666666666667</v>
      </c>
      <c r="K9" s="1">
        <v>9.2127098197122326</v>
      </c>
    </row>
    <row r="21" spans="1:11" x14ac:dyDescent="0.25">
      <c r="A21" s="24" t="s">
        <v>57</v>
      </c>
      <c r="B21" s="24"/>
      <c r="C21" s="24"/>
      <c r="E21" s="24" t="s">
        <v>58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2.8237500000000004</v>
      </c>
      <c r="C25" s="1">
        <v>0.18999588811339801</v>
      </c>
      <c r="E25" s="6" t="s">
        <v>105</v>
      </c>
      <c r="F25" s="1">
        <v>3.7711764705882351</v>
      </c>
      <c r="G25" s="1">
        <v>0.55722930492741884</v>
      </c>
      <c r="I25" s="6" t="s">
        <v>105</v>
      </c>
      <c r="J25" s="1">
        <v>20.453623228497896</v>
      </c>
      <c r="K25" s="1">
        <v>6.0554129694866354</v>
      </c>
    </row>
    <row r="26" spans="1:11" x14ac:dyDescent="0.25">
      <c r="A26" s="6" t="s">
        <v>125</v>
      </c>
      <c r="B26" s="1">
        <v>3.64</v>
      </c>
      <c r="C26" s="1">
        <v>0</v>
      </c>
      <c r="E26" s="6" t="s">
        <v>125</v>
      </c>
      <c r="F26" s="1">
        <v>2.0499999999999998</v>
      </c>
      <c r="G26" s="1">
        <v>0</v>
      </c>
      <c r="I26" s="6" t="s">
        <v>125</v>
      </c>
      <c r="J26" s="1">
        <v>20.961379310344828</v>
      </c>
      <c r="K26" s="1">
        <v>0</v>
      </c>
    </row>
    <row r="27" spans="1:11" x14ac:dyDescent="0.25">
      <c r="A27" s="6" t="s">
        <v>144</v>
      </c>
      <c r="B27" s="1">
        <v>3.605</v>
      </c>
      <c r="C27" s="1">
        <v>2.6949999999999998</v>
      </c>
      <c r="E27" s="6" t="s">
        <v>144</v>
      </c>
      <c r="F27" s="1">
        <v>10.62</v>
      </c>
      <c r="G27" s="1">
        <v>5.6500000000000012</v>
      </c>
      <c r="I27" s="6" t="s">
        <v>144</v>
      </c>
      <c r="J27" s="1">
        <v>25.183612918033358</v>
      </c>
      <c r="K27" s="1">
        <v>1.3634090255402957</v>
      </c>
    </row>
    <row r="28" spans="1:11" x14ac:dyDescent="0.25">
      <c r="A28" s="6" t="s">
        <v>127</v>
      </c>
      <c r="B28" s="1">
        <v>2.9945454545454542</v>
      </c>
      <c r="C28" s="1">
        <v>0.14157321500415487</v>
      </c>
      <c r="E28" s="6" t="s">
        <v>127</v>
      </c>
      <c r="F28" s="1">
        <v>3.6572727272727268</v>
      </c>
      <c r="G28" s="1">
        <v>0.48783549591474412</v>
      </c>
      <c r="I28" s="6" t="s">
        <v>127</v>
      </c>
      <c r="J28" s="1">
        <v>20.443944204756338</v>
      </c>
      <c r="K28" s="1">
        <v>2.1699946532854315</v>
      </c>
    </row>
    <row r="29" spans="1:11" x14ac:dyDescent="0.25">
      <c r="A29" s="6" t="s">
        <v>140</v>
      </c>
      <c r="B29" s="1">
        <v>6.7566666666666668</v>
      </c>
      <c r="C29" s="1">
        <v>4.9482948802817148</v>
      </c>
      <c r="E29" s="6" t="s">
        <v>140</v>
      </c>
      <c r="F29" s="1">
        <v>2.74</v>
      </c>
      <c r="G29" s="1">
        <v>0.38218669085496021</v>
      </c>
      <c r="I29" s="6" t="s">
        <v>140</v>
      </c>
      <c r="J29" s="1">
        <v>16.727508199256963</v>
      </c>
      <c r="K29" s="1">
        <v>7.2451750804022677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29"/>
  <sheetViews>
    <sheetView workbookViewId="0">
      <selection activeCell="G13" sqref="G13"/>
    </sheetView>
  </sheetViews>
  <sheetFormatPr defaultRowHeight="15" x14ac:dyDescent="0.25"/>
  <cols>
    <col min="1" max="1" width="49.140625" bestFit="1" customWidth="1"/>
    <col min="2" max="2" width="14.85546875" bestFit="1" customWidth="1"/>
    <col min="3" max="3" width="15.42578125" bestFit="1" customWidth="1"/>
    <col min="5" max="5" width="49.140625" bestFit="1" customWidth="1"/>
    <col min="6" max="6" width="14" bestFit="1" customWidth="1"/>
    <col min="7" max="7" width="14.5703125" bestFit="1" customWidth="1"/>
    <col min="9" max="9" width="49.1406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60</v>
      </c>
      <c r="B1" s="24"/>
      <c r="C1" s="24"/>
      <c r="E1" s="24" t="s">
        <v>79</v>
      </c>
      <c r="F1" s="24"/>
      <c r="G1" s="24"/>
      <c r="I1" s="24" t="s">
        <v>62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-20.121136136390547</v>
      </c>
      <c r="C5" s="1">
        <v>60.655433778634588</v>
      </c>
      <c r="E5" s="6" t="s">
        <v>105</v>
      </c>
      <c r="F5" s="1">
        <v>2.4834876170796925</v>
      </c>
      <c r="G5" s="1">
        <v>1.5525675605291471</v>
      </c>
      <c r="I5" s="6" t="s">
        <v>105</v>
      </c>
      <c r="J5" s="1">
        <v>10.252727272727272</v>
      </c>
      <c r="K5" s="1">
        <v>4.6924118452688948</v>
      </c>
    </row>
    <row r="6" spans="1:11" x14ac:dyDescent="0.25">
      <c r="A6" s="6" t="s">
        <v>125</v>
      </c>
      <c r="B6" s="1">
        <v>18.071435047957095</v>
      </c>
      <c r="C6" s="1">
        <v>53.664194698694828</v>
      </c>
      <c r="E6" s="6" t="s">
        <v>125</v>
      </c>
      <c r="F6" s="1">
        <v>1.5037740965140638</v>
      </c>
      <c r="G6" s="1">
        <v>0.21936636044830532</v>
      </c>
      <c r="I6" s="6" t="s">
        <v>125</v>
      </c>
      <c r="J6" s="1">
        <v>9.6149999999999984</v>
      </c>
      <c r="K6" s="1">
        <v>5.7721300227905479</v>
      </c>
    </row>
    <row r="7" spans="1:11" x14ac:dyDescent="0.25">
      <c r="A7" s="6" t="s">
        <v>144</v>
      </c>
      <c r="B7" s="1">
        <v>-3.3727614357751707</v>
      </c>
      <c r="C7" s="1">
        <v>13.111855510428247</v>
      </c>
      <c r="E7" s="6" t="s">
        <v>144</v>
      </c>
      <c r="F7" s="1">
        <v>2.0297385875397738</v>
      </c>
      <c r="G7" s="1">
        <v>0.12366291027814473</v>
      </c>
      <c r="I7" s="6" t="s">
        <v>144</v>
      </c>
      <c r="J7" s="1">
        <v>3.6229999999999998</v>
      </c>
      <c r="K7" s="1">
        <v>4.7776229445195861</v>
      </c>
    </row>
    <row r="8" spans="1:11" x14ac:dyDescent="0.25">
      <c r="A8" s="6" t="s">
        <v>127</v>
      </c>
      <c r="B8" s="1">
        <v>3.706852650944743</v>
      </c>
      <c r="C8" s="1">
        <v>22.638033406840414</v>
      </c>
      <c r="E8" s="6" t="s">
        <v>127</v>
      </c>
      <c r="F8" s="1">
        <v>1.1288336402091406</v>
      </c>
      <c r="G8" s="1">
        <v>8.840295411110291E-2</v>
      </c>
      <c r="I8" s="6" t="s">
        <v>127</v>
      </c>
      <c r="J8" s="1">
        <v>7.585</v>
      </c>
      <c r="K8" s="1">
        <v>0.62483997951475012</v>
      </c>
    </row>
    <row r="9" spans="1:11" x14ac:dyDescent="0.25">
      <c r="A9" s="6" t="s">
        <v>140</v>
      </c>
      <c r="B9" s="1">
        <v>-34.612560078358129</v>
      </c>
      <c r="C9" s="1">
        <v>19.583244117446071</v>
      </c>
      <c r="E9" s="6" t="s">
        <v>140</v>
      </c>
      <c r="F9" s="1">
        <v>2.4034939517850256</v>
      </c>
      <c r="G9" s="1">
        <v>0.71647384209581177</v>
      </c>
      <c r="I9" s="6" t="s">
        <v>140</v>
      </c>
      <c r="J9" s="1">
        <v>11.305</v>
      </c>
      <c r="K9" s="1">
        <v>2.6949999999999998</v>
      </c>
    </row>
    <row r="21" spans="1:11" x14ac:dyDescent="0.25">
      <c r="A21" s="24" t="s">
        <v>64</v>
      </c>
      <c r="B21" s="24"/>
      <c r="C21" s="24"/>
      <c r="E21" s="24" t="s">
        <v>66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3.4214285714285717</v>
      </c>
      <c r="C25" s="1">
        <v>0.83565933885300525</v>
      </c>
      <c r="E25" s="6" t="s">
        <v>105</v>
      </c>
      <c r="F25" s="1">
        <v>2.4663636363636359</v>
      </c>
      <c r="G25" s="1">
        <v>0.41145579078267625</v>
      </c>
      <c r="I25" s="6" t="s">
        <v>105</v>
      </c>
      <c r="J25" s="1">
        <v>26.011051433622743</v>
      </c>
      <c r="K25" s="1">
        <v>18.275077945019838</v>
      </c>
    </row>
    <row r="26" spans="1:11" x14ac:dyDescent="0.25">
      <c r="A26" s="6" t="s">
        <v>125</v>
      </c>
      <c r="B26" s="1">
        <v>3.7375000000000003</v>
      </c>
      <c r="C26" s="1">
        <v>1.2015796894089037</v>
      </c>
      <c r="E26" s="6" t="s">
        <v>125</v>
      </c>
      <c r="F26" s="1">
        <v>2.9633333333333334</v>
      </c>
      <c r="G26" s="1">
        <v>0.32656460990812036</v>
      </c>
      <c r="I26" s="6" t="s">
        <v>125</v>
      </c>
      <c r="J26" s="1">
        <v>18.197633405498824</v>
      </c>
      <c r="K26" s="1">
        <v>3.7858584105143334</v>
      </c>
    </row>
    <row r="27" spans="1:11" x14ac:dyDescent="0.25">
      <c r="A27" s="6" t="s">
        <v>144</v>
      </c>
      <c r="B27" s="1">
        <v>2.0144444444444445</v>
      </c>
      <c r="C27" s="1">
        <v>0.8687169480345539</v>
      </c>
      <c r="E27" s="6" t="s">
        <v>144</v>
      </c>
      <c r="F27" s="1">
        <v>7.4333333333333327</v>
      </c>
      <c r="G27" s="1">
        <v>4.0447963827339679</v>
      </c>
      <c r="I27" s="6" t="s">
        <v>144</v>
      </c>
      <c r="J27" s="1">
        <v>5.4188722842259116</v>
      </c>
      <c r="K27" s="1">
        <v>30.641153076324521</v>
      </c>
    </row>
    <row r="28" spans="1:11" x14ac:dyDescent="0.25">
      <c r="A28" s="6" t="s">
        <v>127</v>
      </c>
      <c r="B28" s="1">
        <v>2.81</v>
      </c>
      <c r="C28" s="1">
        <v>0.2287356552879321</v>
      </c>
      <c r="E28" s="6" t="s">
        <v>127</v>
      </c>
      <c r="F28" s="1">
        <v>3.6300000000000003</v>
      </c>
      <c r="G28" s="1">
        <v>1.0984079387914125</v>
      </c>
      <c r="I28" s="6" t="s">
        <v>127</v>
      </c>
      <c r="J28" s="1">
        <v>15.101978567318756</v>
      </c>
      <c r="K28" s="1">
        <v>1.4078042814157714</v>
      </c>
    </row>
    <row r="29" spans="1:11" x14ac:dyDescent="0.25">
      <c r="A29" s="6" t="s">
        <v>140</v>
      </c>
      <c r="B29" s="1">
        <v>3.8</v>
      </c>
      <c r="C29" s="1">
        <v>1.2099999999999993</v>
      </c>
      <c r="E29" s="6" t="s">
        <v>140</v>
      </c>
      <c r="F29" s="1">
        <v>2.9450000000000003</v>
      </c>
      <c r="G29" s="1">
        <v>0.28499999999999981</v>
      </c>
      <c r="I29" s="6" t="s">
        <v>140</v>
      </c>
      <c r="J29" s="1">
        <v>22.167841144979789</v>
      </c>
      <c r="K29" s="1">
        <v>1.7519119414399522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29"/>
  <sheetViews>
    <sheetView workbookViewId="0">
      <selection activeCell="F12" sqref="F12"/>
    </sheetView>
  </sheetViews>
  <sheetFormatPr defaultRowHeight="15" x14ac:dyDescent="0.25"/>
  <cols>
    <col min="1" max="1" width="49.140625" bestFit="1" customWidth="1"/>
    <col min="2" max="2" width="16.28515625" bestFit="1" customWidth="1"/>
    <col min="3" max="3" width="16.85546875" bestFit="1" customWidth="1"/>
    <col min="5" max="5" width="49.140625" bestFit="1" customWidth="1"/>
    <col min="6" max="6" width="14" bestFit="1" customWidth="1"/>
    <col min="7" max="7" width="14.5703125" bestFit="1" customWidth="1"/>
    <col min="9" max="9" width="49.1406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61</v>
      </c>
      <c r="B1" s="24"/>
      <c r="C1" s="24"/>
      <c r="E1" s="24" t="s">
        <v>81</v>
      </c>
      <c r="F1" s="24"/>
      <c r="G1" s="24"/>
      <c r="I1" s="24" t="s">
        <v>63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-104.69215774478931</v>
      </c>
      <c r="C5" s="1">
        <v>167.52875187339154</v>
      </c>
      <c r="E5" s="6" t="s">
        <v>105</v>
      </c>
      <c r="F5" s="1">
        <v>7.1834015936675586</v>
      </c>
      <c r="G5" s="1">
        <v>7.1738280941969856</v>
      </c>
      <c r="I5" s="6" t="s">
        <v>105</v>
      </c>
      <c r="J5" s="1">
        <v>-13.66666666666667</v>
      </c>
      <c r="K5" s="1">
        <v>37.571544492548554</v>
      </c>
    </row>
    <row r="6" spans="1:11" x14ac:dyDescent="0.25">
      <c r="A6" s="6" t="s">
        <v>125</v>
      </c>
      <c r="B6" s="1">
        <v>4.0442387254304748</v>
      </c>
      <c r="C6" s="1">
        <v>8.4048291453125117</v>
      </c>
      <c r="E6" s="6" t="s">
        <v>125</v>
      </c>
      <c r="F6" s="1">
        <v>1.4234802734078478</v>
      </c>
      <c r="G6" s="1">
        <v>0.43459588803372923</v>
      </c>
      <c r="I6" s="6" t="s">
        <v>125</v>
      </c>
      <c r="J6" s="1">
        <v>10.99</v>
      </c>
      <c r="K6" s="1">
        <v>6.5210773649758211</v>
      </c>
    </row>
    <row r="7" spans="1:11" x14ac:dyDescent="0.25">
      <c r="A7" s="6" t="s">
        <v>144</v>
      </c>
      <c r="B7" s="1">
        <v>-10.67099849998897</v>
      </c>
      <c r="C7" s="1">
        <v>10.38587858813473</v>
      </c>
      <c r="E7" s="6" t="s">
        <v>144</v>
      </c>
      <c r="F7" s="1">
        <v>4.9598760563298736</v>
      </c>
      <c r="G7" s="1">
        <v>5.060834377196004</v>
      </c>
      <c r="I7" s="6" t="s">
        <v>144</v>
      </c>
      <c r="J7" s="1">
        <v>1.0699999999999998</v>
      </c>
      <c r="K7" s="1">
        <v>5.0551557839496892</v>
      </c>
    </row>
    <row r="8" spans="1:11" x14ac:dyDescent="0.25">
      <c r="A8" s="6" t="s">
        <v>127</v>
      </c>
      <c r="B8" s="1">
        <v>-27.630208333333332</v>
      </c>
      <c r="C8" s="1">
        <v>0</v>
      </c>
      <c r="E8" s="6" t="s">
        <v>127</v>
      </c>
      <c r="F8" s="1">
        <v>1.61442483262325</v>
      </c>
      <c r="G8" s="1">
        <v>0</v>
      </c>
      <c r="I8" s="6" t="s">
        <v>127</v>
      </c>
      <c r="J8" s="1">
        <v>9.07</v>
      </c>
      <c r="K8" s="1">
        <v>0</v>
      </c>
    </row>
    <row r="9" spans="1:11" x14ac:dyDescent="0.25">
      <c r="A9" s="6" t="s">
        <v>140</v>
      </c>
      <c r="B9" s="1">
        <v>-12.28949209469488</v>
      </c>
      <c r="C9" s="1">
        <v>14.362366528661163</v>
      </c>
      <c r="E9" s="6" t="s">
        <v>140</v>
      </c>
      <c r="F9" s="1">
        <v>1.8260591087153584</v>
      </c>
      <c r="G9" s="1">
        <v>0.35026941348408874</v>
      </c>
      <c r="I9" s="6" t="s">
        <v>140</v>
      </c>
      <c r="J9" s="1">
        <v>9.0128571428571416</v>
      </c>
      <c r="K9" s="1">
        <v>1.1195625968043368</v>
      </c>
    </row>
    <row r="21" spans="1:11" x14ac:dyDescent="0.25">
      <c r="A21" s="24" t="s">
        <v>65</v>
      </c>
      <c r="B21" s="24"/>
      <c r="C21" s="24"/>
      <c r="E21" s="24" t="s">
        <v>67</v>
      </c>
      <c r="F21" s="24"/>
      <c r="G21" s="24"/>
      <c r="I21" s="24" t="s">
        <v>68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3.78</v>
      </c>
      <c r="C25" s="1">
        <v>3.2575246225725856</v>
      </c>
      <c r="E25" s="6" t="s">
        <v>105</v>
      </c>
      <c r="F25" s="1">
        <v>3.4533333333333331</v>
      </c>
      <c r="G25" s="1">
        <v>1.6950385115257871</v>
      </c>
      <c r="I25" s="6" t="s">
        <v>105</v>
      </c>
      <c r="J25" s="1">
        <v>60.069437349437344</v>
      </c>
      <c r="K25" s="1">
        <v>62.783786766626569</v>
      </c>
    </row>
    <row r="26" spans="1:11" x14ac:dyDescent="0.25">
      <c r="A26" s="6" t="s">
        <v>125</v>
      </c>
      <c r="B26" s="1">
        <v>4.5225</v>
      </c>
      <c r="C26" s="1">
        <v>1.5206639175044561</v>
      </c>
      <c r="E26" s="6" t="s">
        <v>125</v>
      </c>
      <c r="F26" s="1">
        <v>3.6825000000000001</v>
      </c>
      <c r="G26" s="1">
        <v>0.56499446899947547</v>
      </c>
      <c r="I26" s="6" t="s">
        <v>125</v>
      </c>
      <c r="J26" s="1">
        <v>11.493417631990873</v>
      </c>
      <c r="K26" s="1">
        <v>3.5942160564649424</v>
      </c>
    </row>
    <row r="27" spans="1:11" x14ac:dyDescent="0.25">
      <c r="A27" s="6" t="s">
        <v>144</v>
      </c>
      <c r="B27" s="1">
        <v>2.3649999999999998</v>
      </c>
      <c r="C27" s="1">
        <v>1.8052215930461284</v>
      </c>
      <c r="E27" s="6" t="s">
        <v>144</v>
      </c>
      <c r="F27" s="1">
        <v>2.0724999999999998</v>
      </c>
      <c r="G27" s="1">
        <v>0.66284896469708687</v>
      </c>
      <c r="I27" s="6" t="s">
        <v>144</v>
      </c>
      <c r="J27" s="1">
        <v>8.9113451776453534</v>
      </c>
      <c r="K27" s="1">
        <v>20.000909048282757</v>
      </c>
    </row>
    <row r="28" spans="1:11" x14ac:dyDescent="0.25">
      <c r="A28" s="6" t="s">
        <v>127</v>
      </c>
      <c r="B28" s="1">
        <v>3.29</v>
      </c>
      <c r="C28" s="1">
        <v>0</v>
      </c>
      <c r="E28" s="6" t="s">
        <v>127</v>
      </c>
      <c r="F28" s="1">
        <v>3.54</v>
      </c>
      <c r="G28" s="1">
        <v>0</v>
      </c>
      <c r="I28" s="6" t="s">
        <v>127</v>
      </c>
      <c r="J28" s="1">
        <v>18.10580204778157</v>
      </c>
      <c r="K28" s="1">
        <v>0</v>
      </c>
    </row>
    <row r="29" spans="1:11" x14ac:dyDescent="0.25">
      <c r="A29" s="6" t="s">
        <v>140</v>
      </c>
      <c r="B29" s="1">
        <v>2.77</v>
      </c>
      <c r="C29" s="1">
        <v>0.7706274499825877</v>
      </c>
      <c r="E29" s="6" t="s">
        <v>140</v>
      </c>
      <c r="F29" s="1">
        <v>2.4366666666666665</v>
      </c>
      <c r="G29" s="1">
        <v>0.94550985657944764</v>
      </c>
      <c r="I29" s="6" t="s">
        <v>140</v>
      </c>
      <c r="J29" s="1">
        <v>21.146032645458771</v>
      </c>
      <c r="K29" s="1">
        <v>4.2908877114239523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1" sqref="I2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Large Cap"</f>
        <v>Utilities - Large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x14ac:dyDescent="0.25">
      <c r="C2" s="34" t="s">
        <v>104</v>
      </c>
      <c r="D2" s="35"/>
      <c r="E2" s="35"/>
      <c r="F2" s="35"/>
      <c r="G2" s="35"/>
      <c r="H2" s="36"/>
      <c r="I2" s="42" t="s">
        <v>69</v>
      </c>
      <c r="J2" s="43"/>
      <c r="K2" s="43"/>
      <c r="L2" s="43"/>
      <c r="M2" s="44"/>
      <c r="N2" s="45" t="s">
        <v>86</v>
      </c>
      <c r="O2" s="46"/>
      <c r="P2" s="46"/>
      <c r="Q2" s="46"/>
      <c r="R2" s="46"/>
      <c r="S2" s="47"/>
      <c r="T2" s="40" t="str">
        <f>"Max Score:"&amp;IFERROR(CHAR(10)&amp;MAX($T$9:$T$1048576)&amp;"/5", CHAR(10)&amp;"0/5")</f>
        <v>Max Score:
0/5</v>
      </c>
    </row>
    <row r="3" spans="1:20" s="10" customFormat="1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199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6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0</v>
      </c>
      <c r="C6" s="37"/>
      <c r="D6" s="38"/>
      <c r="E6" s="38"/>
      <c r="F6" s="38"/>
      <c r="G6" s="38"/>
      <c r="H6" s="39"/>
      <c r="I6" s="51"/>
      <c r="J6" s="49"/>
      <c r="K6" s="49"/>
      <c r="L6" s="57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_xlfn._xlws.FILTER(_xlfn._xlws.FILTER(Main_L[], Main_L[Preliminary Criteria]="YES"), COUNTIF($A$8:$S$8,Main_L[#Headers]))</f>
        <v>#VALUE!</v>
      </c>
      <c r="C9" s="9"/>
      <c r="T9" t="e" vm="2">
        <f t="shared" ref="T9" si="0">SUM(IF($I9&lt;(0.7*VLOOKUP($A9, Mean_PB_L, 2, FALSE)),1,0), IF($J9&gt;VLOOKUP($A9, Mean_ROE_L, 2, FALSE),1,0), IF($K9&gt;VLOOKUP($A9, Mean_ROA_L, 2,FALSE),1,0), IF($M9&lt;VLOOKUP($A9, Mean_PE_L, 2, FALSE),1,0), IF(AND($M9&gt;1,$M9&lt;25),1,0))</f>
        <v>#VALUE!</v>
      </c>
    </row>
  </sheetData>
  <autoFilter ref="A8:T8" xr:uid="{97C29769-BCC2-47EA-9108-B1B7CE962C71}"/>
  <mergeCells count="15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  <mergeCell ref="L4:L6"/>
  </mergeCells>
  <phoneticPr fontId="6" type="noConversion"/>
  <conditionalFormatting sqref="I9:I1048576">
    <cfRule type="expression" dxfId="119" priority="1">
      <formula>$I9 &lt; (0.7*VLOOKUP($A9, Mean_PB_L, 2, FALSE))</formula>
    </cfRule>
  </conditionalFormatting>
  <conditionalFormatting sqref="J9:J1048576">
    <cfRule type="expression" dxfId="118" priority="3">
      <formula>$J9 &gt; VLOOKUP($A9, Mean_ROE_L, 2, FALSE)</formula>
    </cfRule>
  </conditionalFormatting>
  <conditionalFormatting sqref="K9:K1048576">
    <cfRule type="expression" dxfId="117" priority="4">
      <formula>$K9 &gt; VLOOKUP($A9, Mean_ROA_L, 2, FALSE)</formula>
    </cfRule>
  </conditionalFormatting>
  <conditionalFormatting sqref="M9:M1048576">
    <cfRule type="expression" dxfId="116" priority="5">
      <formula>AND($M9&gt;1, $M9&lt;25, $M9 &lt; VLOOKUP($A9, Mean_PE_L, 2, FALSE))</formula>
    </cfRule>
    <cfRule type="expression" dxfId="115" priority="6">
      <formula>AND($M9&gt;1, $M9&lt;25)</formula>
    </cfRule>
    <cfRule type="expression" dxfId="114" priority="9">
      <formula xml:space="preserve"> $M9 &lt; VLOOKUP($A9, Mean_PE_L, 2, FALSE)</formula>
    </cfRule>
  </conditionalFormatting>
  <conditionalFormatting sqref="N9:N1048576">
    <cfRule type="expression" dxfId="113" priority="10">
      <formula>$N9&lt;0</formula>
    </cfRule>
  </conditionalFormatting>
  <conditionalFormatting sqref="O9:O1048576">
    <cfRule type="expression" dxfId="112" priority="11">
      <formula>$O9&lt;0</formula>
    </cfRule>
  </conditionalFormatting>
  <conditionalFormatting sqref="P9:P1048576">
    <cfRule type="expression" dxfId="111" priority="12">
      <formula>$P9&gt;0</formula>
    </cfRule>
  </conditionalFormatting>
  <conditionalFormatting sqref="Q9:Q1048576">
    <cfRule type="expression" dxfId="110" priority="14">
      <formula>$Q9&gt;0</formula>
    </cfRule>
  </conditionalFormatting>
  <conditionalFormatting sqref="R9:R1048576">
    <cfRule type="expression" dxfId="109" priority="15">
      <formula>$R9&lt;0</formula>
    </cfRule>
  </conditionalFormatting>
  <conditionalFormatting sqref="S9:S1048576">
    <cfRule type="expression" dxfId="10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H21" sqref="H2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Mid Cap"</f>
        <v>Utilities - Mid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0/5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199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6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0</v>
      </c>
      <c r="C6" s="37"/>
      <c r="D6" s="38"/>
      <c r="E6" s="38"/>
      <c r="F6" s="38"/>
      <c r="G6" s="38"/>
      <c r="H6" s="39"/>
      <c r="I6" s="51"/>
      <c r="J6" s="49"/>
      <c r="K6" s="49"/>
      <c r="L6" s="57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_xlfn._xlws.FILTER(_xlfn._xlws.FILTER(Main_M[], Main_M[Preliminary Criteria]="YES"), COUNTIF($A$8:$S$8,Main_M[#Headers]))</f>
        <v>#VALUE!</v>
      </c>
      <c r="T9" t="e" vm="2">
        <f t="shared" ref="T9" si="0">SUM(IF($I9 &lt; (0.7*VLOOKUP($A9, Mean_PB_M, 2, FALSE)),1,0), IF($J9&gt;VLOOKUP($A9, Mean_ROE_M, 2, FALSE),1,0), IF($K9&gt;VLOOKUP($A9, Mean_ROA_M, 2,FALSE),1,0), IF($M9&lt;VLOOKUP($A9, Mean_PE_M, 2, FALSE),1,0), IF(AND($M9&gt;1,$M9&lt;25),1,0))</f>
        <v>#VALUE!</v>
      </c>
    </row>
  </sheetData>
  <autoFilter ref="A8:T8" xr:uid="{0BF3C1E5-2754-4118-8E3A-5ED7654E3417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07" priority="1">
      <formula>$I9 &lt; (0.7*VLOOKUP($A9, Mean_PB_M, 2, FALSE))</formula>
    </cfRule>
  </conditionalFormatting>
  <conditionalFormatting sqref="J9:J1048576">
    <cfRule type="expression" dxfId="106" priority="3">
      <formula>$J9 &gt; VLOOKUP($A9, Mean_ROE_M, 2, FALSE)</formula>
    </cfRule>
  </conditionalFormatting>
  <conditionalFormatting sqref="K9:K1048576">
    <cfRule type="expression" dxfId="105" priority="4">
      <formula>$K9 &gt; VLOOKUP($A9, Mean_ROA_M, 2, FALSE)</formula>
    </cfRule>
  </conditionalFormatting>
  <conditionalFormatting sqref="M9:M1048576">
    <cfRule type="expression" dxfId="104" priority="5">
      <formula>AND($M9&gt;1, $M9&lt;25, $M9 &lt; VLOOKUP($A9, Mean_PE_M, 2, FALSE))</formula>
    </cfRule>
    <cfRule type="expression" dxfId="103" priority="6">
      <formula>AND($M9&gt;1, $M9&lt;25)</formula>
    </cfRule>
    <cfRule type="expression" dxfId="102" priority="7">
      <formula xml:space="preserve"> $M9 &lt; VLOOKUP($A9, Mean_PE_M, 2, FALSE)</formula>
    </cfRule>
  </conditionalFormatting>
  <conditionalFormatting sqref="N9:N1048576">
    <cfRule type="expression" dxfId="101" priority="8">
      <formula>$N9&lt;0</formula>
    </cfRule>
  </conditionalFormatting>
  <conditionalFormatting sqref="O9:O1048576">
    <cfRule type="expression" dxfId="100" priority="9">
      <formula>$O9&lt;0</formula>
    </cfRule>
  </conditionalFormatting>
  <conditionalFormatting sqref="P9:P1048576">
    <cfRule type="expression" dxfId="99" priority="10">
      <formula>$P9&gt;0</formula>
    </cfRule>
  </conditionalFormatting>
  <conditionalFormatting sqref="Q9:Q1048576">
    <cfRule type="expression" dxfId="98" priority="11">
      <formula>$Q9&gt;0</formula>
    </cfRule>
  </conditionalFormatting>
  <conditionalFormatting sqref="R9:R1048576">
    <cfRule type="expression" dxfId="97" priority="12">
      <formula>$R9&lt;0</formula>
    </cfRule>
  </conditionalFormatting>
  <conditionalFormatting sqref="S9:S1048576">
    <cfRule type="expression" dxfId="9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J23" sqref="J23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Small Cap"</f>
        <v>Utilities - Small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0/5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199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6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0</v>
      </c>
      <c r="C6" s="37"/>
      <c r="D6" s="38"/>
      <c r="E6" s="38"/>
      <c r="F6" s="38"/>
      <c r="G6" s="38"/>
      <c r="H6" s="39"/>
      <c r="I6" s="51"/>
      <c r="J6" s="49"/>
      <c r="K6" s="49"/>
      <c r="L6" s="57"/>
      <c r="M6" s="18" t="s">
        <v>85</v>
      </c>
      <c r="N6" s="54"/>
      <c r="O6" s="30"/>
      <c r="P6" s="30"/>
      <c r="Q6" s="30"/>
      <c r="R6" s="30"/>
      <c r="S6" s="33"/>
      <c r="T6" s="41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_xlfn._xlws.FILTER(_xlfn._xlws.FILTER(Main_S[], Main_S[Preliminary Criteria]="YES"), COUNTIF($A$8:$S$8,Main_S[#Headers]))</f>
        <v>#VALUE!</v>
      </c>
      <c r="T9" t="e" vm="2">
        <f>SUM(IF($I9 &lt; (0.7*VLOOKUP($A9, Mean_PB_S, 2, FALSE)),1,0), IF($J9&gt;VLOOKUP($A9, Mean_ROE_S, 2, FALSE),1,0), IF($K9&gt;VLOOKUP($A9, Mean_ROA_S, 2,FALSE),1,0), IF($M9&lt;VLOOKUP($A9, Mean_PE_S, 2, FALSE),1,0), IF(AND($M9&gt;1,$M9&lt;25),1,0))</f>
        <v>#VALUE!</v>
      </c>
    </row>
  </sheetData>
  <autoFilter ref="A8:T8" xr:uid="{F6F40F71-5FB0-44DA-81D2-9D55F6DCA29E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95" priority="1">
      <formula>$I9 &lt; (0.7*VLOOKUP($A9, Mean_PB_S, 2, FALSE))</formula>
    </cfRule>
  </conditionalFormatting>
  <conditionalFormatting sqref="J9:J1048576">
    <cfRule type="expression" dxfId="94" priority="3">
      <formula>$J9 &gt; VLOOKUP($A9, Mean_ROE_S, 2, FALSE)</formula>
    </cfRule>
  </conditionalFormatting>
  <conditionalFormatting sqref="K9:K1048576">
    <cfRule type="expression" dxfId="93" priority="4">
      <formula>$K9 &gt; VLOOKUP($A9, Mean_ROA_S, 2, FALSE)</formula>
    </cfRule>
  </conditionalFormatting>
  <conditionalFormatting sqref="M9:M1048576">
    <cfRule type="expression" dxfId="92" priority="5">
      <formula>AND($M9&gt;1, $M9&lt;25, $M9 &lt; VLOOKUP($A9, Mean_PE_S, 2, FALSE))</formula>
    </cfRule>
    <cfRule type="expression" dxfId="91" priority="6">
      <formula>AND($M9&gt;1, $M9&lt;25)</formula>
    </cfRule>
    <cfRule type="expression" dxfId="90" priority="7">
      <formula xml:space="preserve"> $M9 &lt; VLOOKUP($A9, Mean_PE_S, 2, FALSE)</formula>
    </cfRule>
  </conditionalFormatting>
  <conditionalFormatting sqref="N9:N1048576">
    <cfRule type="expression" dxfId="89" priority="8">
      <formula>$N9&lt;0</formula>
    </cfRule>
  </conditionalFormatting>
  <conditionalFormatting sqref="O9:O1048576">
    <cfRule type="expression" dxfId="88" priority="9">
      <formula>$O9&lt;0</formula>
    </cfRule>
  </conditionalFormatting>
  <conditionalFormatting sqref="P9:P1048576">
    <cfRule type="expression" dxfId="87" priority="10">
      <formula>$P9&gt;0</formula>
    </cfRule>
  </conditionalFormatting>
  <conditionalFormatting sqref="Q9:Q1048576">
    <cfRule type="expression" dxfId="86" priority="11">
      <formula>$Q9&gt;0</formula>
    </cfRule>
  </conditionalFormatting>
  <conditionalFormatting sqref="R9:R1048576">
    <cfRule type="expression" dxfId="85" priority="12">
      <formula>$R9&lt;0</formula>
    </cfRule>
  </conditionalFormatting>
  <conditionalFormatting sqref="S9:S1048576">
    <cfRule type="expression" dxfId="8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Khoi Le</cp:lastModifiedBy>
  <dcterms:created xsi:type="dcterms:W3CDTF">2024-11-08T05:29:25Z</dcterms:created>
  <dcterms:modified xsi:type="dcterms:W3CDTF">2025-06-09T20:53:16Z</dcterms:modified>
</cp:coreProperties>
</file>
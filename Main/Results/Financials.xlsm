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B7F48BB4-1FDC-4E38-B8B1-10F28F19AD71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Main_L!$A$1:$M$158</definedName>
    <definedName name="ExternalData_1" localSheetId="2" hidden="1">Main_M!$A$1:$M$184</definedName>
    <definedName name="ExternalData_1" localSheetId="3" hidden="1">Main_S!$A$1:$M$291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302" r:id="rId12"/>
    <pivotCache cacheId="362" r:id="rId13"/>
    <pivotCache cacheId="42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12" l="1"/>
  <c r="T11" i="12"/>
  <c r="T12" i="12"/>
  <c r="Y28" i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M28" i="1"/>
  <c r="M27" i="1"/>
  <c r="M26" i="1"/>
  <c r="M25" i="1"/>
  <c r="M24" i="1"/>
  <c r="M23" i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Y18" i="1"/>
  <c r="Y17" i="1"/>
  <c r="Y16" i="1"/>
  <c r="Y15" i="1"/>
  <c r="Y14" i="1"/>
  <c r="Y13" i="1"/>
  <c r="X18" i="1"/>
  <c r="X17" i="1"/>
  <c r="X16" i="1"/>
  <c r="X15" i="1"/>
  <c r="X14" i="1"/>
  <c r="X13" i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Q18" i="1"/>
  <c r="Q17" i="1"/>
  <c r="Q16" i="1"/>
  <c r="Q15" i="1"/>
  <c r="Q14" i="1"/>
  <c r="Q13" i="1"/>
  <c r="P18" i="1"/>
  <c r="P17" i="1"/>
  <c r="P16" i="1"/>
  <c r="P15" i="1"/>
  <c r="P14" i="1"/>
  <c r="P13" i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M18" i="1"/>
  <c r="M17" i="1"/>
  <c r="M16" i="1"/>
  <c r="M15" i="1"/>
  <c r="M14" i="1"/>
  <c r="M13" i="1"/>
  <c r="L18" i="1"/>
  <c r="L17" i="1"/>
  <c r="L16" i="1"/>
  <c r="L15" i="1"/>
  <c r="L14" i="1"/>
  <c r="L13" i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8" i="1" a="1"/>
  <c r="V8" i="1" s="1"/>
  <c r="V7" i="1" a="1"/>
  <c r="V7" i="1" s="1"/>
  <c r="V6" i="1" a="1"/>
  <c r="V6" i="1"/>
  <c r="V5" i="1" a="1"/>
  <c r="V5" i="1" s="1"/>
  <c r="V4" i="1" a="1"/>
  <c r="V4" i="1" s="1"/>
  <c r="V3" i="1" a="1"/>
  <c r="V3" i="1" s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8" i="1"/>
  <c r="M7" i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266" i="4"/>
  <c r="T266" i="4" s="1"/>
  <c r="M258" i="4"/>
  <c r="M255" i="4"/>
  <c r="M254" i="4"/>
  <c r="M237" i="4"/>
  <c r="M236" i="4"/>
  <c r="M229" i="4"/>
  <c r="M212" i="4"/>
  <c r="T212" i="4" s="1"/>
  <c r="M210" i="4"/>
  <c r="M206" i="4"/>
  <c r="T206" i="4" s="1"/>
  <c r="M186" i="4"/>
  <c r="M184" i="4"/>
  <c r="M183" i="4"/>
  <c r="M177" i="4"/>
  <c r="M175" i="4"/>
  <c r="M170" i="4"/>
  <c r="T170" i="4" s="1"/>
  <c r="M155" i="4"/>
  <c r="M151" i="4"/>
  <c r="M149" i="4"/>
  <c r="T149" i="4" s="1"/>
  <c r="M147" i="4"/>
  <c r="T147" i="4" s="1"/>
  <c r="M137" i="4"/>
  <c r="M134" i="4"/>
  <c r="M133" i="4"/>
  <c r="M126" i="4"/>
  <c r="T126" i="4" s="1"/>
  <c r="M117" i="4"/>
  <c r="M107" i="4"/>
  <c r="M91" i="4"/>
  <c r="T91" i="4" s="1"/>
  <c r="M89" i="4"/>
  <c r="T89" i="4" s="1"/>
  <c r="M51" i="4"/>
  <c r="T51" i="4" s="1"/>
  <c r="M46" i="4"/>
  <c r="T46" i="4" s="1"/>
  <c r="M35" i="4"/>
  <c r="M31" i="4"/>
  <c r="M14" i="4"/>
  <c r="M10" i="4"/>
  <c r="I248" i="4"/>
  <c r="P248" i="4" s="1"/>
  <c r="I237" i="4"/>
  <c r="I236" i="4"/>
  <c r="I229" i="4"/>
  <c r="I223" i="4"/>
  <c r="I219" i="4"/>
  <c r="I216" i="4"/>
  <c r="P216" i="4" s="1"/>
  <c r="I184" i="4"/>
  <c r="I183" i="4"/>
  <c r="P183" i="4" s="1"/>
  <c r="I160" i="4"/>
  <c r="I159" i="4"/>
  <c r="I149" i="4"/>
  <c r="P149" i="4" s="1"/>
  <c r="I147" i="4"/>
  <c r="I137" i="4"/>
  <c r="I133" i="4"/>
  <c r="I124" i="4"/>
  <c r="I122" i="4"/>
  <c r="I120" i="4"/>
  <c r="I107" i="4"/>
  <c r="I102" i="4"/>
  <c r="I89" i="4"/>
  <c r="P89" i="4" s="1"/>
  <c r="I67" i="4"/>
  <c r="N67" i="4" s="1"/>
  <c r="I39" i="4"/>
  <c r="P39" i="4" s="1"/>
  <c r="I2" i="4"/>
  <c r="H258" i="4"/>
  <c r="H255" i="4"/>
  <c r="H254" i="4"/>
  <c r="O254" i="4" s="1"/>
  <c r="H251" i="4"/>
  <c r="H243" i="4"/>
  <c r="H237" i="4"/>
  <c r="H236" i="4"/>
  <c r="H229" i="4"/>
  <c r="N229" i="4" s="1"/>
  <c r="H212" i="4"/>
  <c r="N212" i="4" s="1"/>
  <c r="H210" i="4"/>
  <c r="N210" i="4" s="1"/>
  <c r="H206" i="4"/>
  <c r="O206" i="4" s="1"/>
  <c r="H203" i="4"/>
  <c r="H186" i="4"/>
  <c r="H184" i="4"/>
  <c r="H183" i="4"/>
  <c r="H177" i="4"/>
  <c r="H175" i="4"/>
  <c r="H170" i="4"/>
  <c r="H159" i="4"/>
  <c r="O159" i="4" s="1"/>
  <c r="H155" i="4"/>
  <c r="H151" i="4"/>
  <c r="N151" i="4" s="1"/>
  <c r="H149" i="4"/>
  <c r="H147" i="4"/>
  <c r="O147" i="4" s="1"/>
  <c r="H134" i="4"/>
  <c r="H133" i="4"/>
  <c r="N133" i="4" s="1"/>
  <c r="H132" i="4"/>
  <c r="H126" i="4"/>
  <c r="H117" i="4"/>
  <c r="H107" i="4"/>
  <c r="N107" i="4" s="1"/>
  <c r="H91" i="4"/>
  <c r="H89" i="4"/>
  <c r="H67" i="4"/>
  <c r="O67" i="4" s="1"/>
  <c r="H63" i="4"/>
  <c r="H51" i="4"/>
  <c r="H50" i="4"/>
  <c r="N50" i="4" s="1"/>
  <c r="H39" i="4"/>
  <c r="N39" i="4" s="1"/>
  <c r="H35" i="4"/>
  <c r="O35" i="4" s="1"/>
  <c r="H32" i="4"/>
  <c r="O32" i="4" s="1"/>
  <c r="H31" i="4"/>
  <c r="H30" i="4"/>
  <c r="H14" i="4"/>
  <c r="O14" i="4" s="1"/>
  <c r="H10" i="4"/>
  <c r="H6" i="4"/>
  <c r="O6" i="4" s="1"/>
  <c r="H3" i="4"/>
  <c r="H2" i="4"/>
  <c r="D291" i="4"/>
  <c r="I291" i="4" s="1"/>
  <c r="D290" i="4"/>
  <c r="I290" i="4" s="1"/>
  <c r="D289" i="4"/>
  <c r="H289" i="4" s="1"/>
  <c r="O289" i="4" s="1"/>
  <c r="D288" i="4"/>
  <c r="M288" i="4" s="1"/>
  <c r="T288" i="4" s="1"/>
  <c r="D287" i="4"/>
  <c r="D286" i="4"/>
  <c r="I286" i="4" s="1"/>
  <c r="P286" i="4" s="1"/>
  <c r="D285" i="4"/>
  <c r="D284" i="4"/>
  <c r="D283" i="4"/>
  <c r="I283" i="4" s="1"/>
  <c r="P283" i="4" s="1"/>
  <c r="D282" i="4"/>
  <c r="I282" i="4" s="1"/>
  <c r="P282" i="4" s="1"/>
  <c r="D281" i="4"/>
  <c r="I281" i="4" s="1"/>
  <c r="P281" i="4" s="1"/>
  <c r="D280" i="4"/>
  <c r="I280" i="4" s="1"/>
  <c r="P280" i="4" s="1"/>
  <c r="D279" i="4"/>
  <c r="I279" i="4" s="1"/>
  <c r="P279" i="4" s="1"/>
  <c r="D278" i="4"/>
  <c r="I278" i="4" s="1"/>
  <c r="P278" i="4" s="1"/>
  <c r="D277" i="4"/>
  <c r="I277" i="4" s="1"/>
  <c r="P277" i="4" s="1"/>
  <c r="D276" i="4"/>
  <c r="I276" i="4" s="1"/>
  <c r="P276" i="4" s="1"/>
  <c r="D275" i="4"/>
  <c r="I275" i="4" s="1"/>
  <c r="P275" i="4" s="1"/>
  <c r="D274" i="4"/>
  <c r="D273" i="4"/>
  <c r="M273" i="4" s="1"/>
  <c r="T273" i="4" s="1"/>
  <c r="D272" i="4"/>
  <c r="I272" i="4" s="1"/>
  <c r="P272" i="4" s="1"/>
  <c r="D271" i="4"/>
  <c r="I271" i="4" s="1"/>
  <c r="D270" i="4"/>
  <c r="I270" i="4" s="1"/>
  <c r="P270" i="4" s="1"/>
  <c r="D269" i="4"/>
  <c r="M269" i="4" s="1"/>
  <c r="T269" i="4" s="1"/>
  <c r="D268" i="4"/>
  <c r="I268" i="4" s="1"/>
  <c r="D267" i="4"/>
  <c r="H267" i="4" s="1"/>
  <c r="O267" i="4" s="1"/>
  <c r="D266" i="4"/>
  <c r="I266" i="4" s="1"/>
  <c r="D265" i="4"/>
  <c r="D264" i="4"/>
  <c r="D263" i="4"/>
  <c r="D262" i="4"/>
  <c r="D261" i="4"/>
  <c r="I261" i="4" s="1"/>
  <c r="P261" i="4" s="1"/>
  <c r="D260" i="4"/>
  <c r="I260" i="4" s="1"/>
  <c r="P260" i="4" s="1"/>
  <c r="D259" i="4"/>
  <c r="D258" i="4"/>
  <c r="I258" i="4" s="1"/>
  <c r="D257" i="4"/>
  <c r="D256" i="4"/>
  <c r="I256" i="4" s="1"/>
  <c r="P256" i="4" s="1"/>
  <c r="D255" i="4"/>
  <c r="I255" i="4" s="1"/>
  <c r="N255" i="4" s="1"/>
  <c r="D254" i="4"/>
  <c r="I254" i="4" s="1"/>
  <c r="D253" i="4"/>
  <c r="D252" i="4"/>
  <c r="D251" i="4"/>
  <c r="I251" i="4" s="1"/>
  <c r="D250" i="4"/>
  <c r="I250" i="4" s="1"/>
  <c r="P250" i="4" s="1"/>
  <c r="D249" i="4"/>
  <c r="H249" i="4" s="1"/>
  <c r="O249" i="4" s="1"/>
  <c r="D248" i="4"/>
  <c r="M248" i="4" s="1"/>
  <c r="T248" i="4" s="1"/>
  <c r="D247" i="4"/>
  <c r="H247" i="4" s="1"/>
  <c r="O247" i="4" s="1"/>
  <c r="D246" i="4"/>
  <c r="I246" i="4" s="1"/>
  <c r="P246" i="4" s="1"/>
  <c r="D245" i="4"/>
  <c r="D244" i="4"/>
  <c r="D243" i="4"/>
  <c r="M243" i="4" s="1"/>
  <c r="D242" i="4"/>
  <c r="I242" i="4" s="1"/>
  <c r="P242" i="4" s="1"/>
  <c r="D241" i="4"/>
  <c r="I241" i="4" s="1"/>
  <c r="P241" i="4" s="1"/>
  <c r="D240" i="4"/>
  <c r="D239" i="4"/>
  <c r="M239" i="4" s="1"/>
  <c r="T239" i="4" s="1"/>
  <c r="D238" i="4"/>
  <c r="I238" i="4" s="1"/>
  <c r="D237" i="4"/>
  <c r="D236" i="4"/>
  <c r="D235" i="4"/>
  <c r="I235" i="4" s="1"/>
  <c r="D234" i="4"/>
  <c r="M234" i="4" s="1"/>
  <c r="T234" i="4" s="1"/>
  <c r="D233" i="4"/>
  <c r="M233" i="4" s="1"/>
  <c r="T233" i="4" s="1"/>
  <c r="D232" i="4"/>
  <c r="D231" i="4"/>
  <c r="I231" i="4" s="1"/>
  <c r="P231" i="4" s="1"/>
  <c r="D230" i="4"/>
  <c r="I230" i="4" s="1"/>
  <c r="P230" i="4" s="1"/>
  <c r="D229" i="4"/>
  <c r="D228" i="4"/>
  <c r="H228" i="4" s="1"/>
  <c r="O228" i="4" s="1"/>
  <c r="D227" i="4"/>
  <c r="D226" i="4"/>
  <c r="I226" i="4" s="1"/>
  <c r="D225" i="4"/>
  <c r="D224" i="4"/>
  <c r="D223" i="4"/>
  <c r="D222" i="4"/>
  <c r="I222" i="4" s="1"/>
  <c r="P222" i="4" s="1"/>
  <c r="D221" i="4"/>
  <c r="I221" i="4" s="1"/>
  <c r="P221" i="4" s="1"/>
  <c r="D220" i="4"/>
  <c r="I220" i="4" s="1"/>
  <c r="P220" i="4" s="1"/>
  <c r="D219" i="4"/>
  <c r="D218" i="4"/>
  <c r="I218" i="4" s="1"/>
  <c r="P218" i="4" s="1"/>
  <c r="D217" i="4"/>
  <c r="D216" i="4"/>
  <c r="D215" i="4"/>
  <c r="I215" i="4" s="1"/>
  <c r="P215" i="4" s="1"/>
  <c r="D214" i="4"/>
  <c r="D213" i="4"/>
  <c r="D212" i="4"/>
  <c r="I212" i="4" s="1"/>
  <c r="P212" i="4" s="1"/>
  <c r="D211" i="4"/>
  <c r="I211" i="4" s="1"/>
  <c r="P211" i="4" s="1"/>
  <c r="D210" i="4"/>
  <c r="I210" i="4" s="1"/>
  <c r="D209" i="4"/>
  <c r="I209" i="4" s="1"/>
  <c r="D208" i="4"/>
  <c r="M208" i="4" s="1"/>
  <c r="T208" i="4" s="1"/>
  <c r="D207" i="4"/>
  <c r="D206" i="4"/>
  <c r="I206" i="4" s="1"/>
  <c r="D205" i="4"/>
  <c r="D204" i="4"/>
  <c r="D203" i="4"/>
  <c r="D202" i="4"/>
  <c r="D201" i="4"/>
  <c r="D200" i="4"/>
  <c r="I200" i="4" s="1"/>
  <c r="P200" i="4" s="1"/>
  <c r="D199" i="4"/>
  <c r="D198" i="4"/>
  <c r="I198" i="4" s="1"/>
  <c r="P198" i="4" s="1"/>
  <c r="D197" i="4"/>
  <c r="M197" i="4" s="1"/>
  <c r="T197" i="4" s="1"/>
  <c r="D196" i="4"/>
  <c r="D195" i="4"/>
  <c r="I195" i="4" s="1"/>
  <c r="D194" i="4"/>
  <c r="D193" i="4"/>
  <c r="D192" i="4"/>
  <c r="D191" i="4"/>
  <c r="I191" i="4" s="1"/>
  <c r="P191" i="4" s="1"/>
  <c r="D190" i="4"/>
  <c r="I190" i="4" s="1"/>
  <c r="D189" i="4"/>
  <c r="M189" i="4" s="1"/>
  <c r="D188" i="4"/>
  <c r="M188" i="4" s="1"/>
  <c r="T188" i="4" s="1"/>
  <c r="D187" i="4"/>
  <c r="I187" i="4" s="1"/>
  <c r="D186" i="4"/>
  <c r="I186" i="4" s="1"/>
  <c r="D185" i="4"/>
  <c r="D184" i="4"/>
  <c r="D183" i="4"/>
  <c r="D182" i="4"/>
  <c r="I182" i="4" s="1"/>
  <c r="P182" i="4" s="1"/>
  <c r="D181" i="4"/>
  <c r="I181" i="4" s="1"/>
  <c r="P181" i="4" s="1"/>
  <c r="D180" i="4"/>
  <c r="I180" i="4" s="1"/>
  <c r="P180" i="4" s="1"/>
  <c r="D179" i="4"/>
  <c r="H179" i="4" s="1"/>
  <c r="O179" i="4" s="1"/>
  <c r="D178" i="4"/>
  <c r="I178" i="4" s="1"/>
  <c r="P178" i="4" s="1"/>
  <c r="D177" i="4"/>
  <c r="I177" i="4" s="1"/>
  <c r="D176" i="4"/>
  <c r="D175" i="4"/>
  <c r="I175" i="4" s="1"/>
  <c r="P175" i="4" s="1"/>
  <c r="D174" i="4"/>
  <c r="D173" i="4"/>
  <c r="M173" i="4" s="1"/>
  <c r="T173" i="4" s="1"/>
  <c r="D172" i="4"/>
  <c r="D171" i="4"/>
  <c r="I171" i="4" s="1"/>
  <c r="D170" i="4"/>
  <c r="I170" i="4" s="1"/>
  <c r="D169" i="4"/>
  <c r="H169" i="4" s="1"/>
  <c r="O169" i="4" s="1"/>
  <c r="D168" i="4"/>
  <c r="H168" i="4" s="1"/>
  <c r="O168" i="4" s="1"/>
  <c r="D167" i="4"/>
  <c r="D166" i="4"/>
  <c r="I166" i="4" s="1"/>
  <c r="P166" i="4" s="1"/>
  <c r="D165" i="4"/>
  <c r="D164" i="4"/>
  <c r="D163" i="4"/>
  <c r="H163" i="4" s="1"/>
  <c r="O163" i="4" s="1"/>
  <c r="D162" i="4"/>
  <c r="I162" i="4" s="1"/>
  <c r="P162" i="4" s="1"/>
  <c r="D161" i="4"/>
  <c r="I161" i="4" s="1"/>
  <c r="P161" i="4" s="1"/>
  <c r="D160" i="4"/>
  <c r="D159" i="4"/>
  <c r="M159" i="4" s="1"/>
  <c r="D158" i="4"/>
  <c r="M158" i="4" s="1"/>
  <c r="T158" i="4" s="1"/>
  <c r="D157" i="4"/>
  <c r="D156" i="4"/>
  <c r="D155" i="4"/>
  <c r="I155" i="4" s="1"/>
  <c r="D154" i="4"/>
  <c r="D153" i="4"/>
  <c r="D152" i="4"/>
  <c r="D151" i="4"/>
  <c r="I151" i="4" s="1"/>
  <c r="P151" i="4" s="1"/>
  <c r="D150" i="4"/>
  <c r="I150" i="4" s="1"/>
  <c r="P150" i="4" s="1"/>
  <c r="D149" i="4"/>
  <c r="D148" i="4"/>
  <c r="M148" i="4" s="1"/>
  <c r="T148" i="4" s="1"/>
  <c r="D147" i="4"/>
  <c r="D146" i="4"/>
  <c r="I146" i="4" s="1"/>
  <c r="P146" i="4" s="1"/>
  <c r="D145" i="4"/>
  <c r="D144" i="4"/>
  <c r="D143" i="4"/>
  <c r="D142" i="4"/>
  <c r="D141" i="4"/>
  <c r="D140" i="4"/>
  <c r="D139" i="4"/>
  <c r="D138" i="4"/>
  <c r="H138" i="4" s="1"/>
  <c r="O138" i="4" s="1"/>
  <c r="D137" i="4"/>
  <c r="H137" i="4" s="1"/>
  <c r="D136" i="4"/>
  <c r="D135" i="4"/>
  <c r="I135" i="4" s="1"/>
  <c r="P135" i="4" s="1"/>
  <c r="D134" i="4"/>
  <c r="I134" i="4" s="1"/>
  <c r="N134" i="4" s="1"/>
  <c r="D133" i="4"/>
  <c r="D132" i="4"/>
  <c r="D131" i="4"/>
  <c r="I131" i="4" s="1"/>
  <c r="D130" i="4"/>
  <c r="I130" i="4" s="1"/>
  <c r="D129" i="4"/>
  <c r="M129" i="4" s="1"/>
  <c r="D128" i="4"/>
  <c r="M128" i="4" s="1"/>
  <c r="T128" i="4" s="1"/>
  <c r="D127" i="4"/>
  <c r="D126" i="4"/>
  <c r="I126" i="4" s="1"/>
  <c r="D125" i="4"/>
  <c r="I125" i="4" s="1"/>
  <c r="P125" i="4" s="1"/>
  <c r="D124" i="4"/>
  <c r="D123" i="4"/>
  <c r="M123" i="4" s="1"/>
  <c r="D122" i="4"/>
  <c r="D121" i="4"/>
  <c r="I121" i="4" s="1"/>
  <c r="P121" i="4" s="1"/>
  <c r="D120" i="4"/>
  <c r="D119" i="4"/>
  <c r="D118" i="4"/>
  <c r="H118" i="4" s="1"/>
  <c r="D117" i="4"/>
  <c r="I117" i="4" s="1"/>
  <c r="D116" i="4"/>
  <c r="D115" i="4"/>
  <c r="I115" i="4" s="1"/>
  <c r="P115" i="4" s="1"/>
  <c r="D114" i="4"/>
  <c r="D113" i="4"/>
  <c r="D112" i="4"/>
  <c r="D111" i="4"/>
  <c r="I111" i="4" s="1"/>
  <c r="P111" i="4" s="1"/>
  <c r="D110" i="4"/>
  <c r="I110" i="4" s="1"/>
  <c r="D109" i="4"/>
  <c r="I109" i="4" s="1"/>
  <c r="D108" i="4"/>
  <c r="I108" i="4" s="1"/>
  <c r="D107" i="4"/>
  <c r="D106" i="4"/>
  <c r="I106" i="4" s="1"/>
  <c r="P106" i="4" s="1"/>
  <c r="D105" i="4"/>
  <c r="D104" i="4"/>
  <c r="D103" i="4"/>
  <c r="H103" i="4" s="1"/>
  <c r="O103" i="4" s="1"/>
  <c r="D102" i="4"/>
  <c r="D101" i="4"/>
  <c r="I101" i="4" s="1"/>
  <c r="P101" i="4" s="1"/>
  <c r="D100" i="4"/>
  <c r="I100" i="4" s="1"/>
  <c r="P100" i="4" s="1"/>
  <c r="D99" i="4"/>
  <c r="I99" i="4" s="1"/>
  <c r="P99" i="4" s="1"/>
  <c r="D98" i="4"/>
  <c r="M98" i="4" s="1"/>
  <c r="D97" i="4"/>
  <c r="D96" i="4"/>
  <c r="I96" i="4" s="1"/>
  <c r="P96" i="4" s="1"/>
  <c r="D95" i="4"/>
  <c r="I95" i="4" s="1"/>
  <c r="P95" i="4" s="1"/>
  <c r="D94" i="4"/>
  <c r="D93" i="4"/>
  <c r="H93" i="4" s="1"/>
  <c r="O93" i="4" s="1"/>
  <c r="D92" i="4"/>
  <c r="M92" i="4" s="1"/>
  <c r="T92" i="4" s="1"/>
  <c r="D91" i="4"/>
  <c r="I91" i="4" s="1"/>
  <c r="D90" i="4"/>
  <c r="I90" i="4" s="1"/>
  <c r="D89" i="4"/>
  <c r="D88" i="4"/>
  <c r="I88" i="4" s="1"/>
  <c r="D87" i="4"/>
  <c r="M87" i="4" s="1"/>
  <c r="T87" i="4" s="1"/>
  <c r="D86" i="4"/>
  <c r="I86" i="4" s="1"/>
  <c r="P86" i="4" s="1"/>
  <c r="D85" i="4"/>
  <c r="D84" i="4"/>
  <c r="D83" i="4"/>
  <c r="D82" i="4"/>
  <c r="D81" i="4"/>
  <c r="D80" i="4"/>
  <c r="D79" i="4"/>
  <c r="D78" i="4"/>
  <c r="H78" i="4" s="1"/>
  <c r="D77" i="4"/>
  <c r="I77" i="4" s="1"/>
  <c r="P77" i="4" s="1"/>
  <c r="D76" i="4"/>
  <c r="D75" i="4"/>
  <c r="I75" i="4" s="1"/>
  <c r="P75" i="4" s="1"/>
  <c r="D74" i="4"/>
  <c r="D73" i="4"/>
  <c r="D72" i="4"/>
  <c r="D71" i="4"/>
  <c r="I71" i="4" s="1"/>
  <c r="P71" i="4" s="1"/>
  <c r="D70" i="4"/>
  <c r="I70" i="4" s="1"/>
  <c r="P70" i="4" s="1"/>
  <c r="D69" i="4"/>
  <c r="M69" i="4" s="1"/>
  <c r="T69" i="4" s="1"/>
  <c r="D68" i="4"/>
  <c r="M68" i="4" s="1"/>
  <c r="T68" i="4" s="1"/>
  <c r="D67" i="4"/>
  <c r="M67" i="4" s="1"/>
  <c r="D66" i="4"/>
  <c r="I66" i="4" s="1"/>
  <c r="P66" i="4" s="1"/>
  <c r="D65" i="4"/>
  <c r="D64" i="4"/>
  <c r="D63" i="4"/>
  <c r="M63" i="4" s="1"/>
  <c r="D62" i="4"/>
  <c r="I62" i="4" s="1"/>
  <c r="P62" i="4" s="1"/>
  <c r="D61" i="4"/>
  <c r="I61" i="4" s="1"/>
  <c r="P61" i="4" s="1"/>
  <c r="D60" i="4"/>
  <c r="I60" i="4" s="1"/>
  <c r="P60" i="4" s="1"/>
  <c r="D59" i="4"/>
  <c r="I59" i="4" s="1"/>
  <c r="P59" i="4" s="1"/>
  <c r="D58" i="4"/>
  <c r="I58" i="4" s="1"/>
  <c r="P58" i="4" s="1"/>
  <c r="D57" i="4"/>
  <c r="H57" i="4" s="1"/>
  <c r="D56" i="4"/>
  <c r="D55" i="4"/>
  <c r="I55" i="4" s="1"/>
  <c r="P55" i="4" s="1"/>
  <c r="D54" i="4"/>
  <c r="D53" i="4"/>
  <c r="M53" i="4" s="1"/>
  <c r="T53" i="4" s="1"/>
  <c r="D52" i="4"/>
  <c r="D51" i="4"/>
  <c r="I51" i="4" s="1"/>
  <c r="D50" i="4"/>
  <c r="I50" i="4" s="1"/>
  <c r="P50" i="4" s="1"/>
  <c r="D49" i="4"/>
  <c r="I49" i="4" s="1"/>
  <c r="D48" i="4"/>
  <c r="I48" i="4" s="1"/>
  <c r="P48" i="4" s="1"/>
  <c r="D47" i="4"/>
  <c r="D46" i="4"/>
  <c r="I46" i="4" s="1"/>
  <c r="P46" i="4" s="1"/>
  <c r="D45" i="4"/>
  <c r="D44" i="4"/>
  <c r="D43" i="4"/>
  <c r="M43" i="4" s="1"/>
  <c r="D42" i="4"/>
  <c r="D41" i="4"/>
  <c r="I41" i="4" s="1"/>
  <c r="P41" i="4" s="1"/>
  <c r="D40" i="4"/>
  <c r="I40" i="4" s="1"/>
  <c r="P40" i="4" s="1"/>
  <c r="D39" i="4"/>
  <c r="M39" i="4" s="1"/>
  <c r="D38" i="4"/>
  <c r="M38" i="4" s="1"/>
  <c r="D37" i="4"/>
  <c r="D36" i="4"/>
  <c r="I36" i="4" s="1"/>
  <c r="P36" i="4" s="1"/>
  <c r="D35" i="4"/>
  <c r="I35" i="4" s="1"/>
  <c r="D34" i="4"/>
  <c r="D33" i="4"/>
  <c r="H33" i="4" s="1"/>
  <c r="D32" i="4"/>
  <c r="D31" i="4"/>
  <c r="I31" i="4" s="1"/>
  <c r="D30" i="4"/>
  <c r="I30" i="4" s="1"/>
  <c r="P30" i="4" s="1"/>
  <c r="D29" i="4"/>
  <c r="H29" i="4" s="1"/>
  <c r="O29" i="4" s="1"/>
  <c r="D28" i="4"/>
  <c r="H28" i="4" s="1"/>
  <c r="D27" i="4"/>
  <c r="D26" i="4"/>
  <c r="I26" i="4" s="1"/>
  <c r="P26" i="4" s="1"/>
  <c r="D25" i="4"/>
  <c r="D24" i="4"/>
  <c r="D23" i="4"/>
  <c r="D22" i="4"/>
  <c r="D21" i="4"/>
  <c r="D20" i="4"/>
  <c r="D19" i="4"/>
  <c r="M19" i="4" s="1"/>
  <c r="T19" i="4" s="1"/>
  <c r="D18" i="4"/>
  <c r="I18" i="4" s="1"/>
  <c r="P18" i="4" s="1"/>
  <c r="D17" i="4"/>
  <c r="D16" i="4"/>
  <c r="D15" i="4"/>
  <c r="I15" i="4" s="1"/>
  <c r="P15" i="4" s="1"/>
  <c r="D14" i="4"/>
  <c r="I14" i="4" s="1"/>
  <c r="D13" i="4"/>
  <c r="D12" i="4"/>
  <c r="M12" i="4" s="1"/>
  <c r="T12" i="4" s="1"/>
  <c r="D11" i="4"/>
  <c r="I11" i="4" s="1"/>
  <c r="P11" i="4" s="1"/>
  <c r="D10" i="4"/>
  <c r="I10" i="4" s="1"/>
  <c r="D9" i="4"/>
  <c r="M9" i="4" s="1"/>
  <c r="D8" i="4"/>
  <c r="M8" i="4" s="1"/>
  <c r="T8" i="4" s="1"/>
  <c r="D7" i="4"/>
  <c r="D6" i="4"/>
  <c r="I6" i="4" s="1"/>
  <c r="D5" i="4"/>
  <c r="I5" i="4" s="1"/>
  <c r="P5" i="4" s="1"/>
  <c r="D4" i="4"/>
  <c r="I4" i="4" s="1"/>
  <c r="P4" i="4" s="1"/>
  <c r="D3" i="4"/>
  <c r="M3" i="4" s="1"/>
  <c r="D2" i="4"/>
  <c r="M2" i="4" s="1"/>
  <c r="M176" i="3"/>
  <c r="M123" i="3"/>
  <c r="T123" i="3" s="1"/>
  <c r="M104" i="3"/>
  <c r="T104" i="3" s="1"/>
  <c r="M84" i="3"/>
  <c r="T84" i="3" s="1"/>
  <c r="M75" i="3"/>
  <c r="T75" i="3" s="1"/>
  <c r="M2" i="3"/>
  <c r="T2" i="3" s="1"/>
  <c r="I176" i="3"/>
  <c r="I114" i="3"/>
  <c r="P114" i="3" s="1"/>
  <c r="I94" i="3"/>
  <c r="I93" i="3"/>
  <c r="I75" i="3"/>
  <c r="P75" i="3" s="1"/>
  <c r="I71" i="3"/>
  <c r="I68" i="3"/>
  <c r="P68" i="3" s="1"/>
  <c r="I67" i="3"/>
  <c r="P67" i="3" s="1"/>
  <c r="I34" i="3"/>
  <c r="I2" i="3"/>
  <c r="P2" i="3" s="1"/>
  <c r="H176" i="3"/>
  <c r="H173" i="3"/>
  <c r="H104" i="3"/>
  <c r="O104" i="3" s="1"/>
  <c r="H94" i="3"/>
  <c r="H93" i="3"/>
  <c r="O93" i="3" s="1"/>
  <c r="H75" i="3"/>
  <c r="H71" i="3"/>
  <c r="H68" i="3"/>
  <c r="H67" i="3"/>
  <c r="H54" i="3"/>
  <c r="O54" i="3" s="1"/>
  <c r="H3" i="3"/>
  <c r="H2" i="3"/>
  <c r="O2" i="3" s="1"/>
  <c r="D184" i="3"/>
  <c r="H184" i="3" s="1"/>
  <c r="O184" i="3" s="1"/>
  <c r="D183" i="3"/>
  <c r="H183" i="3" s="1"/>
  <c r="O183" i="3" s="1"/>
  <c r="D182" i="3"/>
  <c r="M182" i="3" s="1"/>
  <c r="T182" i="3" s="1"/>
  <c r="D181" i="3"/>
  <c r="D180" i="3"/>
  <c r="D179" i="3"/>
  <c r="D178" i="3"/>
  <c r="D177" i="3"/>
  <c r="H177" i="3" s="1"/>
  <c r="O177" i="3" s="1"/>
  <c r="D176" i="3"/>
  <c r="D175" i="3"/>
  <c r="H175" i="3" s="1"/>
  <c r="O175" i="3" s="1"/>
  <c r="D174" i="3"/>
  <c r="M174" i="3" s="1"/>
  <c r="D173" i="3"/>
  <c r="M173" i="3" s="1"/>
  <c r="D172" i="3"/>
  <c r="D171" i="3"/>
  <c r="D170" i="3"/>
  <c r="D169" i="3"/>
  <c r="D168" i="3"/>
  <c r="D167" i="3"/>
  <c r="I167" i="3" s="1"/>
  <c r="P167" i="3" s="1"/>
  <c r="D166" i="3"/>
  <c r="I166" i="3" s="1"/>
  <c r="P166" i="3" s="1"/>
  <c r="D165" i="3"/>
  <c r="I165" i="3" s="1"/>
  <c r="P165" i="3" s="1"/>
  <c r="D164" i="3"/>
  <c r="H164" i="3" s="1"/>
  <c r="D163" i="3"/>
  <c r="H163" i="3" s="1"/>
  <c r="O163" i="3" s="1"/>
  <c r="D162" i="3"/>
  <c r="H162" i="3" s="1"/>
  <c r="D161" i="3"/>
  <c r="D160" i="3"/>
  <c r="D159" i="3"/>
  <c r="I159" i="3" s="1"/>
  <c r="P159" i="3" s="1"/>
  <c r="D158" i="3"/>
  <c r="H158" i="3" s="1"/>
  <c r="O158" i="3" s="1"/>
  <c r="D157" i="3"/>
  <c r="H157" i="3" s="1"/>
  <c r="O157" i="3" s="1"/>
  <c r="D156" i="3"/>
  <c r="D155" i="3"/>
  <c r="H155" i="3" s="1"/>
  <c r="D154" i="3"/>
  <c r="M154" i="3" s="1"/>
  <c r="T154" i="3" s="1"/>
  <c r="D153" i="3"/>
  <c r="M153" i="3" s="1"/>
  <c r="T153" i="3" s="1"/>
  <c r="D152" i="3"/>
  <c r="H152" i="3" s="1"/>
  <c r="D151" i="3"/>
  <c r="D150" i="3"/>
  <c r="H150" i="3" s="1"/>
  <c r="D149" i="3"/>
  <c r="H149" i="3" s="1"/>
  <c r="O149" i="3" s="1"/>
  <c r="D148" i="3"/>
  <c r="H148" i="3" s="1"/>
  <c r="O148" i="3" s="1"/>
  <c r="D147" i="3"/>
  <c r="I147" i="3" s="1"/>
  <c r="P147" i="3" s="1"/>
  <c r="D146" i="3"/>
  <c r="D145" i="3"/>
  <c r="D144" i="3"/>
  <c r="I144" i="3" s="1"/>
  <c r="P144" i="3" s="1"/>
  <c r="D143" i="3"/>
  <c r="I143" i="3" s="1"/>
  <c r="P143" i="3" s="1"/>
  <c r="D142" i="3"/>
  <c r="I142" i="3" s="1"/>
  <c r="P142" i="3" s="1"/>
  <c r="D141" i="3"/>
  <c r="D140" i="3"/>
  <c r="D139" i="3"/>
  <c r="D138" i="3"/>
  <c r="D137" i="3"/>
  <c r="H137" i="3" s="1"/>
  <c r="O137" i="3" s="1"/>
  <c r="D136" i="3"/>
  <c r="D135" i="3"/>
  <c r="H135" i="3" s="1"/>
  <c r="O135" i="3" s="1"/>
  <c r="D134" i="3"/>
  <c r="M134" i="3" s="1"/>
  <c r="T134" i="3" s="1"/>
  <c r="D133" i="3"/>
  <c r="M133" i="3" s="1"/>
  <c r="T133" i="3" s="1"/>
  <c r="D132" i="3"/>
  <c r="I132" i="3" s="1"/>
  <c r="P132" i="3" s="1"/>
  <c r="D131" i="3"/>
  <c r="H131" i="3" s="1"/>
  <c r="O131" i="3" s="1"/>
  <c r="D130" i="3"/>
  <c r="D129" i="3"/>
  <c r="D128" i="3"/>
  <c r="H128" i="3" s="1"/>
  <c r="O128" i="3" s="1"/>
  <c r="D127" i="3"/>
  <c r="I127" i="3" s="1"/>
  <c r="P127" i="3" s="1"/>
  <c r="D126" i="3"/>
  <c r="I126" i="3" s="1"/>
  <c r="P126" i="3" s="1"/>
  <c r="D125" i="3"/>
  <c r="D124" i="3"/>
  <c r="I124" i="3" s="1"/>
  <c r="P124" i="3" s="1"/>
  <c r="D123" i="3"/>
  <c r="D122" i="3"/>
  <c r="D121" i="3"/>
  <c r="D120" i="3"/>
  <c r="D119" i="3"/>
  <c r="D118" i="3"/>
  <c r="D117" i="3"/>
  <c r="M117" i="3" s="1"/>
  <c r="T117" i="3" s="1"/>
  <c r="D116" i="3"/>
  <c r="D115" i="3"/>
  <c r="H115" i="3" s="1"/>
  <c r="O115" i="3" s="1"/>
  <c r="D114" i="3"/>
  <c r="M114" i="3" s="1"/>
  <c r="T114" i="3" s="1"/>
  <c r="D113" i="3"/>
  <c r="M113" i="3" s="1"/>
  <c r="T113" i="3" s="1"/>
  <c r="D112" i="3"/>
  <c r="D111" i="3"/>
  <c r="I111" i="3" s="1"/>
  <c r="P111" i="3" s="1"/>
  <c r="D110" i="3"/>
  <c r="I110" i="3" s="1"/>
  <c r="P110" i="3" s="1"/>
  <c r="D109" i="3"/>
  <c r="I109" i="3" s="1"/>
  <c r="P109" i="3" s="1"/>
  <c r="D108" i="3"/>
  <c r="D107" i="3"/>
  <c r="M107" i="3" s="1"/>
  <c r="T107" i="3" s="1"/>
  <c r="D106" i="3"/>
  <c r="M106" i="3" s="1"/>
  <c r="T106" i="3" s="1"/>
  <c r="D105" i="3"/>
  <c r="M105" i="3" s="1"/>
  <c r="T105" i="3" s="1"/>
  <c r="D104" i="3"/>
  <c r="I104" i="3" s="1"/>
  <c r="P104" i="3" s="1"/>
  <c r="D103" i="3"/>
  <c r="M103" i="3" s="1"/>
  <c r="T103" i="3" s="1"/>
  <c r="D102" i="3"/>
  <c r="I102" i="3" s="1"/>
  <c r="P102" i="3" s="1"/>
  <c r="D101" i="3"/>
  <c r="D100" i="3"/>
  <c r="D99" i="3"/>
  <c r="D98" i="3"/>
  <c r="D97" i="3"/>
  <c r="M97" i="3" s="1"/>
  <c r="T97" i="3" s="1"/>
  <c r="D96" i="3"/>
  <c r="M96" i="3" s="1"/>
  <c r="T96" i="3" s="1"/>
  <c r="D95" i="3"/>
  <c r="H95" i="3" s="1"/>
  <c r="O95" i="3" s="1"/>
  <c r="D94" i="3"/>
  <c r="M94" i="3" s="1"/>
  <c r="D93" i="3"/>
  <c r="M93" i="3" s="1"/>
  <c r="D92" i="3"/>
  <c r="D91" i="3"/>
  <c r="D90" i="3"/>
  <c r="D89" i="3"/>
  <c r="D88" i="3"/>
  <c r="D87" i="3"/>
  <c r="H87" i="3" s="1"/>
  <c r="D86" i="3"/>
  <c r="H86" i="3" s="1"/>
  <c r="O86" i="3" s="1"/>
  <c r="D85" i="3"/>
  <c r="D84" i="3"/>
  <c r="H84" i="3" s="1"/>
  <c r="O84" i="3" s="1"/>
  <c r="D83" i="3"/>
  <c r="H83" i="3" s="1"/>
  <c r="O83" i="3" s="1"/>
  <c r="D82" i="3"/>
  <c r="H82" i="3" s="1"/>
  <c r="O82" i="3" s="1"/>
  <c r="D81" i="3"/>
  <c r="D80" i="3"/>
  <c r="D79" i="3"/>
  <c r="D78" i="3"/>
  <c r="D77" i="3"/>
  <c r="M77" i="3" s="1"/>
  <c r="T77" i="3" s="1"/>
  <c r="D76" i="3"/>
  <c r="I76" i="3" s="1"/>
  <c r="P76" i="3" s="1"/>
  <c r="D75" i="3"/>
  <c r="D74" i="3"/>
  <c r="M74" i="3" s="1"/>
  <c r="D73" i="3"/>
  <c r="M73" i="3" s="1"/>
  <c r="D72" i="3"/>
  <c r="H72" i="3" s="1"/>
  <c r="D71" i="3"/>
  <c r="M71" i="3" s="1"/>
  <c r="D70" i="3"/>
  <c r="D69" i="3"/>
  <c r="M69" i="3" s="1"/>
  <c r="T69" i="3" s="1"/>
  <c r="D68" i="3"/>
  <c r="M68" i="3" s="1"/>
  <c r="D67" i="3"/>
  <c r="M67" i="3" s="1"/>
  <c r="D66" i="3"/>
  <c r="M66" i="3" s="1"/>
  <c r="T66" i="3" s="1"/>
  <c r="D65" i="3"/>
  <c r="M65" i="3" s="1"/>
  <c r="T65" i="3" s="1"/>
  <c r="D64" i="3"/>
  <c r="H64" i="3" s="1"/>
  <c r="O64" i="3" s="1"/>
  <c r="D63" i="3"/>
  <c r="I63" i="3" s="1"/>
  <c r="P63" i="3" s="1"/>
  <c r="D62" i="3"/>
  <c r="I62" i="3" s="1"/>
  <c r="P62" i="3" s="1"/>
  <c r="D61" i="3"/>
  <c r="D60" i="3"/>
  <c r="D59" i="3"/>
  <c r="D58" i="3"/>
  <c r="D57" i="3"/>
  <c r="M57" i="3" s="1"/>
  <c r="T57" i="3" s="1"/>
  <c r="D56" i="3"/>
  <c r="D55" i="3"/>
  <c r="H55" i="3" s="1"/>
  <c r="O55" i="3" s="1"/>
  <c r="D54" i="3"/>
  <c r="M54" i="3" s="1"/>
  <c r="T54" i="3" s="1"/>
  <c r="D53" i="3"/>
  <c r="M53" i="3" s="1"/>
  <c r="T53" i="3" s="1"/>
  <c r="D52" i="3"/>
  <c r="M52" i="3" s="1"/>
  <c r="T52" i="3" s="1"/>
  <c r="D51" i="3"/>
  <c r="D50" i="3"/>
  <c r="D49" i="3"/>
  <c r="D48" i="3"/>
  <c r="M48" i="3" s="1"/>
  <c r="T48" i="3" s="1"/>
  <c r="D47" i="3"/>
  <c r="M47" i="3" s="1"/>
  <c r="T47" i="3" s="1"/>
  <c r="D46" i="3"/>
  <c r="M46" i="3" s="1"/>
  <c r="T46" i="3" s="1"/>
  <c r="D45" i="3"/>
  <c r="D44" i="3"/>
  <c r="M44" i="3" s="1"/>
  <c r="T44" i="3" s="1"/>
  <c r="D43" i="3"/>
  <c r="M43" i="3" s="1"/>
  <c r="T43" i="3" s="1"/>
  <c r="D42" i="3"/>
  <c r="M42" i="3" s="1"/>
  <c r="T42" i="3" s="1"/>
  <c r="D41" i="3"/>
  <c r="H41" i="3" s="1"/>
  <c r="D40" i="3"/>
  <c r="H40" i="3" s="1"/>
  <c r="D39" i="3"/>
  <c r="D38" i="3"/>
  <c r="H38" i="3" s="1"/>
  <c r="D37" i="3"/>
  <c r="M37" i="3" s="1"/>
  <c r="T37" i="3" s="1"/>
  <c r="D36" i="3"/>
  <c r="D35" i="3"/>
  <c r="H35" i="3" s="1"/>
  <c r="O35" i="3" s="1"/>
  <c r="D34" i="3"/>
  <c r="M34" i="3" s="1"/>
  <c r="T34" i="3" s="1"/>
  <c r="D33" i="3"/>
  <c r="M33" i="3" s="1"/>
  <c r="T33" i="3" s="1"/>
  <c r="D32" i="3"/>
  <c r="D31" i="3"/>
  <c r="D30" i="3"/>
  <c r="D29" i="3"/>
  <c r="D28" i="3"/>
  <c r="D27" i="3"/>
  <c r="I27" i="3" s="1"/>
  <c r="P27" i="3" s="1"/>
  <c r="D26" i="3"/>
  <c r="I26" i="3" s="1"/>
  <c r="P26" i="3" s="1"/>
  <c r="D25" i="3"/>
  <c r="D24" i="3"/>
  <c r="M24" i="3" s="1"/>
  <c r="T24" i="3" s="1"/>
  <c r="D23" i="3"/>
  <c r="M23" i="3" s="1"/>
  <c r="T23" i="3" s="1"/>
  <c r="D22" i="3"/>
  <c r="I22" i="3" s="1"/>
  <c r="P22" i="3" s="1"/>
  <c r="D21" i="3"/>
  <c r="M21" i="3" s="1"/>
  <c r="T21" i="3" s="1"/>
  <c r="D20" i="3"/>
  <c r="D19" i="3"/>
  <c r="D18" i="3"/>
  <c r="D17" i="3"/>
  <c r="M17" i="3" s="1"/>
  <c r="T17" i="3" s="1"/>
  <c r="D16" i="3"/>
  <c r="D15" i="3"/>
  <c r="H15" i="3" s="1"/>
  <c r="O15" i="3" s="1"/>
  <c r="D14" i="3"/>
  <c r="M14" i="3" s="1"/>
  <c r="T14" i="3" s="1"/>
  <c r="D13" i="3"/>
  <c r="M13" i="3" s="1"/>
  <c r="T13" i="3" s="1"/>
  <c r="D12" i="3"/>
  <c r="D11" i="3"/>
  <c r="D10" i="3"/>
  <c r="D9" i="3"/>
  <c r="D8" i="3"/>
  <c r="D7" i="3"/>
  <c r="I7" i="3" s="1"/>
  <c r="P7" i="3" s="1"/>
  <c r="D6" i="3"/>
  <c r="I6" i="3" s="1"/>
  <c r="P6" i="3" s="1"/>
  <c r="D5" i="3"/>
  <c r="I5" i="3" s="1"/>
  <c r="P5" i="3" s="1"/>
  <c r="D4" i="3"/>
  <c r="I4" i="3" s="1"/>
  <c r="P4" i="3" s="1"/>
  <c r="D3" i="3"/>
  <c r="I3" i="3" s="1"/>
  <c r="D2" i="3"/>
  <c r="M139" i="2"/>
  <c r="T139" i="2" s="1"/>
  <c r="M121" i="2"/>
  <c r="T121" i="2" s="1"/>
  <c r="M120" i="2"/>
  <c r="T120" i="2" s="1"/>
  <c r="M117" i="2"/>
  <c r="T117" i="2" s="1"/>
  <c r="M80" i="2"/>
  <c r="T80" i="2" s="1"/>
  <c r="M40" i="2"/>
  <c r="M37" i="2"/>
  <c r="M18" i="2"/>
  <c r="I154" i="2"/>
  <c r="I139" i="2"/>
  <c r="I117" i="2"/>
  <c r="I98" i="2"/>
  <c r="I71" i="2"/>
  <c r="P71" i="2" s="1"/>
  <c r="I37" i="2"/>
  <c r="I18" i="2"/>
  <c r="I2" i="2"/>
  <c r="P2" i="2" s="1"/>
  <c r="H154" i="2"/>
  <c r="H150" i="2"/>
  <c r="H139" i="2"/>
  <c r="H117" i="2"/>
  <c r="H37" i="2"/>
  <c r="H21" i="2"/>
  <c r="H18" i="2"/>
  <c r="O18" i="2" s="1"/>
  <c r="D158" i="2"/>
  <c r="I158" i="2" s="1"/>
  <c r="D157" i="2"/>
  <c r="I157" i="2" s="1"/>
  <c r="P157" i="2" s="1"/>
  <c r="D156" i="2"/>
  <c r="M156" i="2" s="1"/>
  <c r="T156" i="2" s="1"/>
  <c r="D155" i="2"/>
  <c r="I155" i="2" s="1"/>
  <c r="P155" i="2" s="1"/>
  <c r="D154" i="2"/>
  <c r="M154" i="2" s="1"/>
  <c r="D153" i="2"/>
  <c r="H153" i="2" s="1"/>
  <c r="O153" i="2" s="1"/>
  <c r="D152" i="2"/>
  <c r="D151" i="2"/>
  <c r="M151" i="2" s="1"/>
  <c r="T151" i="2" s="1"/>
  <c r="D150" i="2"/>
  <c r="D149" i="2"/>
  <c r="H149" i="2" s="1"/>
  <c r="O149" i="2" s="1"/>
  <c r="D148" i="2"/>
  <c r="H148" i="2" s="1"/>
  <c r="D147" i="2"/>
  <c r="M147" i="2" s="1"/>
  <c r="T147" i="2" s="1"/>
  <c r="D146" i="2"/>
  <c r="D145" i="2"/>
  <c r="D144" i="2"/>
  <c r="D143" i="2"/>
  <c r="I143" i="2" s="1"/>
  <c r="P143" i="2" s="1"/>
  <c r="D142" i="2"/>
  <c r="H142" i="2" s="1"/>
  <c r="O142" i="2" s="1"/>
  <c r="D141" i="2"/>
  <c r="M141" i="2" s="1"/>
  <c r="T141" i="2" s="1"/>
  <c r="D140" i="2"/>
  <c r="M140" i="2" s="1"/>
  <c r="T140" i="2" s="1"/>
  <c r="D139" i="2"/>
  <c r="D138" i="2"/>
  <c r="D137" i="2"/>
  <c r="H137" i="2" s="1"/>
  <c r="O137" i="2" s="1"/>
  <c r="D136" i="2"/>
  <c r="M136" i="2" s="1"/>
  <c r="T136" i="2" s="1"/>
  <c r="D135" i="2"/>
  <c r="D134" i="2"/>
  <c r="D133" i="2"/>
  <c r="D132" i="2"/>
  <c r="I132" i="2" s="1"/>
  <c r="P132" i="2" s="1"/>
  <c r="D131" i="2"/>
  <c r="M131" i="2" s="1"/>
  <c r="T131" i="2" s="1"/>
  <c r="D130" i="2"/>
  <c r="D129" i="2"/>
  <c r="I129" i="2" s="1"/>
  <c r="P129" i="2" s="1"/>
  <c r="D128" i="2"/>
  <c r="D127" i="2"/>
  <c r="I127" i="2" s="1"/>
  <c r="P127" i="2" s="1"/>
  <c r="D126" i="2"/>
  <c r="I126" i="2" s="1"/>
  <c r="P126" i="2" s="1"/>
  <c r="D125" i="2"/>
  <c r="D124" i="2"/>
  <c r="D123" i="2"/>
  <c r="D122" i="2"/>
  <c r="H122" i="2" s="1"/>
  <c r="O122" i="2" s="1"/>
  <c r="D121" i="2"/>
  <c r="D120" i="2"/>
  <c r="D119" i="2"/>
  <c r="M119" i="2" s="1"/>
  <c r="T119" i="2" s="1"/>
  <c r="D118" i="2"/>
  <c r="D117" i="2"/>
  <c r="D116" i="2"/>
  <c r="M116" i="2" s="1"/>
  <c r="T116" i="2" s="1"/>
  <c r="D115" i="2"/>
  <c r="D114" i="2"/>
  <c r="I114" i="2" s="1"/>
  <c r="P114" i="2" s="1"/>
  <c r="D113" i="2"/>
  <c r="D112" i="2"/>
  <c r="D111" i="2"/>
  <c r="M111" i="2" s="1"/>
  <c r="T111" i="2" s="1"/>
  <c r="D110" i="2"/>
  <c r="H110" i="2" s="1"/>
  <c r="D109" i="2"/>
  <c r="D108" i="2"/>
  <c r="M108" i="2" s="1"/>
  <c r="T108" i="2" s="1"/>
  <c r="D107" i="2"/>
  <c r="H107" i="2" s="1"/>
  <c r="D106" i="2"/>
  <c r="D105" i="2"/>
  <c r="D104" i="2"/>
  <c r="D103" i="2"/>
  <c r="D102" i="2"/>
  <c r="H102" i="2" s="1"/>
  <c r="O102" i="2" s="1"/>
  <c r="D101" i="2"/>
  <c r="D100" i="2"/>
  <c r="D99" i="2"/>
  <c r="M99" i="2" s="1"/>
  <c r="T99" i="2" s="1"/>
  <c r="D98" i="2"/>
  <c r="M98" i="2" s="1"/>
  <c r="T98" i="2" s="1"/>
  <c r="D97" i="2"/>
  <c r="I97" i="2" s="1"/>
  <c r="D96" i="2"/>
  <c r="H96" i="2" s="1"/>
  <c r="D95" i="2"/>
  <c r="D94" i="2"/>
  <c r="H94" i="2" s="1"/>
  <c r="O94" i="2" s="1"/>
  <c r="D93" i="2"/>
  <c r="D92" i="2"/>
  <c r="D91" i="2"/>
  <c r="D90" i="2"/>
  <c r="D89" i="2"/>
  <c r="D88" i="2"/>
  <c r="D87" i="2"/>
  <c r="D86" i="2"/>
  <c r="I86" i="2" s="1"/>
  <c r="P86" i="2" s="1"/>
  <c r="D85" i="2"/>
  <c r="M85" i="2" s="1"/>
  <c r="T85" i="2" s="1"/>
  <c r="D84" i="2"/>
  <c r="M84" i="2" s="1"/>
  <c r="T84" i="2" s="1"/>
  <c r="D83" i="2"/>
  <c r="M83" i="2" s="1"/>
  <c r="T83" i="2" s="1"/>
  <c r="D82" i="2"/>
  <c r="D81" i="2"/>
  <c r="M81" i="2" s="1"/>
  <c r="T81" i="2" s="1"/>
  <c r="D80" i="2"/>
  <c r="D79" i="2"/>
  <c r="I79" i="2" s="1"/>
  <c r="P79" i="2" s="1"/>
  <c r="D78" i="2"/>
  <c r="D77" i="2"/>
  <c r="I77" i="2" s="1"/>
  <c r="P77" i="2" s="1"/>
  <c r="D76" i="2"/>
  <c r="M76" i="2" s="1"/>
  <c r="T76" i="2" s="1"/>
  <c r="D75" i="2"/>
  <c r="D74" i="2"/>
  <c r="D73" i="2"/>
  <c r="D72" i="2"/>
  <c r="I72" i="2" s="1"/>
  <c r="P72" i="2" s="1"/>
  <c r="D71" i="2"/>
  <c r="D70" i="2"/>
  <c r="I70" i="2" s="1"/>
  <c r="P70" i="2" s="1"/>
  <c r="D69" i="2"/>
  <c r="D68" i="2"/>
  <c r="D67" i="2"/>
  <c r="D66" i="2"/>
  <c r="D65" i="2"/>
  <c r="D64" i="2"/>
  <c r="D63" i="2"/>
  <c r="H63" i="2" s="1"/>
  <c r="D62" i="2"/>
  <c r="D61" i="2"/>
  <c r="M61" i="2" s="1"/>
  <c r="T61" i="2" s="1"/>
  <c r="D60" i="2"/>
  <c r="M60" i="2" s="1"/>
  <c r="T60" i="2" s="1"/>
  <c r="D59" i="2"/>
  <c r="I59" i="2" s="1"/>
  <c r="P59" i="2" s="1"/>
  <c r="D58" i="2"/>
  <c r="D57" i="2"/>
  <c r="H57" i="2" s="1"/>
  <c r="D56" i="2"/>
  <c r="I56" i="2" s="1"/>
  <c r="P56" i="2" s="1"/>
  <c r="D55" i="2"/>
  <c r="D54" i="2"/>
  <c r="I54" i="2" s="1"/>
  <c r="P54" i="2" s="1"/>
  <c r="D53" i="2"/>
  <c r="D52" i="2"/>
  <c r="D51" i="2"/>
  <c r="H51" i="2" s="1"/>
  <c r="O51" i="2" s="1"/>
  <c r="D50" i="2"/>
  <c r="M50" i="2" s="1"/>
  <c r="T50" i="2" s="1"/>
  <c r="D49" i="2"/>
  <c r="I49" i="2" s="1"/>
  <c r="P49" i="2" s="1"/>
  <c r="D48" i="2"/>
  <c r="D47" i="2"/>
  <c r="D46" i="2"/>
  <c r="D45" i="2"/>
  <c r="D44" i="2"/>
  <c r="D43" i="2"/>
  <c r="M43" i="2" s="1"/>
  <c r="T43" i="2" s="1"/>
  <c r="D42" i="2"/>
  <c r="D41" i="2"/>
  <c r="D40" i="2"/>
  <c r="D39" i="2"/>
  <c r="I39" i="2" s="1"/>
  <c r="P39" i="2" s="1"/>
  <c r="D38" i="2"/>
  <c r="D37" i="2"/>
  <c r="D36" i="2"/>
  <c r="I36" i="2" s="1"/>
  <c r="P36" i="2" s="1"/>
  <c r="D35" i="2"/>
  <c r="D34" i="2"/>
  <c r="D33" i="2"/>
  <c r="D32" i="2"/>
  <c r="I32" i="2" s="1"/>
  <c r="P32" i="2" s="1"/>
  <c r="D31" i="2"/>
  <c r="M31" i="2" s="1"/>
  <c r="T31" i="2" s="1"/>
  <c r="D30" i="2"/>
  <c r="H30" i="2" s="1"/>
  <c r="D29" i="2"/>
  <c r="D28" i="2"/>
  <c r="I28" i="2" s="1"/>
  <c r="P28" i="2" s="1"/>
  <c r="D27" i="2"/>
  <c r="I27" i="2" s="1"/>
  <c r="P27" i="2" s="1"/>
  <c r="D26" i="2"/>
  <c r="D25" i="2"/>
  <c r="D24" i="2"/>
  <c r="D23" i="2"/>
  <c r="H23" i="2" s="1"/>
  <c r="O23" i="2" s="1"/>
  <c r="D22" i="2"/>
  <c r="D21" i="2"/>
  <c r="I21" i="2" s="1"/>
  <c r="P21" i="2" s="1"/>
  <c r="D20" i="2"/>
  <c r="M20" i="2" s="1"/>
  <c r="T20" i="2" s="1"/>
  <c r="D19" i="2"/>
  <c r="D18" i="2"/>
  <c r="D17" i="2"/>
  <c r="H17" i="2" s="1"/>
  <c r="O17" i="2" s="1"/>
  <c r="D16" i="2"/>
  <c r="M16" i="2" s="1"/>
  <c r="T16" i="2" s="1"/>
  <c r="D15" i="2"/>
  <c r="D14" i="2"/>
  <c r="M14" i="2" s="1"/>
  <c r="T14" i="2" s="1"/>
  <c r="D13" i="2"/>
  <c r="D12" i="2"/>
  <c r="D11" i="2"/>
  <c r="H11" i="2" s="1"/>
  <c r="O11" i="2" s="1"/>
  <c r="D10" i="2"/>
  <c r="M10" i="2" s="1"/>
  <c r="T10" i="2" s="1"/>
  <c r="D9" i="2"/>
  <c r="M9" i="2" s="1"/>
  <c r="T9" i="2" s="1"/>
  <c r="D8" i="2"/>
  <c r="D7" i="2"/>
  <c r="D6" i="2"/>
  <c r="D5" i="2"/>
  <c r="D4" i="2"/>
  <c r="D3" i="2"/>
  <c r="D2" i="2"/>
  <c r="N236" i="4"/>
  <c r="N10" i="4"/>
  <c r="N14" i="4"/>
  <c r="N35" i="4"/>
  <c r="N51" i="4"/>
  <c r="N147" i="4"/>
  <c r="N251" i="4"/>
  <c r="N89" i="4"/>
  <c r="N91" i="4"/>
  <c r="N254" i="4"/>
  <c r="N155" i="4"/>
  <c r="N117" i="4"/>
  <c r="N159" i="4"/>
  <c r="N126" i="4"/>
  <c r="N170" i="4"/>
  <c r="N206" i="4"/>
  <c r="O236" i="4"/>
  <c r="O183" i="4"/>
  <c r="O2" i="4"/>
  <c r="O184" i="4"/>
  <c r="O133" i="4"/>
  <c r="O134" i="4"/>
  <c r="O3" i="4"/>
  <c r="O10" i="4"/>
  <c r="O137" i="4"/>
  <c r="O39" i="4"/>
  <c r="O51" i="4"/>
  <c r="O63" i="4"/>
  <c r="O78" i="4"/>
  <c r="O149" i="4"/>
  <c r="O251" i="4"/>
  <c r="O89" i="4"/>
  <c r="O91" i="4"/>
  <c r="O151" i="4"/>
  <c r="O255" i="4"/>
  <c r="O155" i="4"/>
  <c r="O212" i="4"/>
  <c r="O117" i="4"/>
  <c r="O126" i="4"/>
  <c r="O170" i="4"/>
  <c r="O229" i="4"/>
  <c r="P236" i="4"/>
  <c r="P133" i="4"/>
  <c r="P237" i="4"/>
  <c r="P134" i="4"/>
  <c r="P186" i="4"/>
  <c r="P238" i="4"/>
  <c r="P6" i="4"/>
  <c r="P10" i="4"/>
  <c r="P14" i="4"/>
  <c r="P137" i="4"/>
  <c r="P31" i="4"/>
  <c r="P35" i="4"/>
  <c r="P190" i="4"/>
  <c r="P49" i="4"/>
  <c r="P51" i="4"/>
  <c r="P147" i="4"/>
  <c r="P251" i="4"/>
  <c r="P271" i="4"/>
  <c r="P90" i="4"/>
  <c r="P209" i="4"/>
  <c r="P91" i="4"/>
  <c r="P254" i="4"/>
  <c r="P102" i="4"/>
  <c r="P255" i="4"/>
  <c r="P107" i="4"/>
  <c r="P108" i="4"/>
  <c r="P109" i="4"/>
  <c r="P110" i="4"/>
  <c r="P155" i="4"/>
  <c r="P210" i="4"/>
  <c r="P117" i="4"/>
  <c r="P159" i="4"/>
  <c r="P258" i="4"/>
  <c r="P160" i="4"/>
  <c r="P120" i="4"/>
  <c r="P122" i="4"/>
  <c r="P126" i="4"/>
  <c r="P219" i="4"/>
  <c r="P130" i="4"/>
  <c r="P170" i="4"/>
  <c r="P171" i="4"/>
  <c r="P131" i="4"/>
  <c r="P223" i="4"/>
  <c r="P266" i="4"/>
  <c r="P226" i="4"/>
  <c r="P177" i="4"/>
  <c r="P229" i="4"/>
  <c r="P206" i="4"/>
  <c r="P290" i="4"/>
  <c r="P291" i="4"/>
  <c r="P235" i="4"/>
  <c r="Q236" i="4"/>
  <c r="Q183" i="4"/>
  <c r="Q2" i="4"/>
  <c r="Q184" i="4"/>
  <c r="Q133" i="4"/>
  <c r="Q237" i="4"/>
  <c r="Q134" i="4"/>
  <c r="Q3" i="4"/>
  <c r="Q185" i="4"/>
  <c r="Q186" i="4"/>
  <c r="Q238" i="4"/>
  <c r="Q187" i="4"/>
  <c r="Q4" i="4"/>
  <c r="Q5" i="4"/>
  <c r="Q188" i="4"/>
  <c r="Q135" i="4"/>
  <c r="Q239" i="4"/>
  <c r="Q240" i="4"/>
  <c r="Q6" i="4"/>
  <c r="Q241" i="4"/>
  <c r="Q7" i="4"/>
  <c r="Q8" i="4"/>
  <c r="Q242" i="4"/>
  <c r="Q243" i="4"/>
  <c r="Q189" i="4"/>
  <c r="Q9" i="4"/>
  <c r="Q10" i="4"/>
  <c r="Q11" i="4"/>
  <c r="Q12" i="4"/>
  <c r="Q13" i="4"/>
  <c r="Q244" i="4"/>
  <c r="Q14" i="4"/>
  <c r="Q15" i="4"/>
  <c r="Q16" i="4"/>
  <c r="Q17" i="4"/>
  <c r="Q136" i="4"/>
  <c r="Q18" i="4"/>
  <c r="Q19" i="4"/>
  <c r="Q20" i="4"/>
  <c r="Q21" i="4"/>
  <c r="Q22" i="4"/>
  <c r="Q23" i="4"/>
  <c r="Q24" i="4"/>
  <c r="Q25" i="4"/>
  <c r="Q137" i="4"/>
  <c r="Q26" i="4"/>
  <c r="Q27" i="4"/>
  <c r="Q28" i="4"/>
  <c r="Q29" i="4"/>
  <c r="Q30" i="4"/>
  <c r="Q31" i="4"/>
  <c r="Q138" i="4"/>
  <c r="Q32" i="4"/>
  <c r="Q33" i="4"/>
  <c r="Q34" i="4"/>
  <c r="Q35" i="4"/>
  <c r="Q139" i="4"/>
  <c r="Q190" i="4"/>
  <c r="Q36" i="4"/>
  <c r="Q37" i="4"/>
  <c r="Q191" i="4"/>
  <c r="Q38" i="4"/>
  <c r="Q39" i="4"/>
  <c r="Q40" i="4"/>
  <c r="Q245" i="4"/>
  <c r="Q41" i="4"/>
  <c r="Q269" i="4"/>
  <c r="Q192" i="4"/>
  <c r="Q42" i="4"/>
  <c r="Q43" i="4"/>
  <c r="Q44" i="4"/>
  <c r="Q45" i="4"/>
  <c r="Q46" i="4"/>
  <c r="Q47" i="4"/>
  <c r="Q48" i="4"/>
  <c r="Q49" i="4"/>
  <c r="Q50" i="4"/>
  <c r="Q246" i="4"/>
  <c r="Q51" i="4"/>
  <c r="Q140" i="4"/>
  <c r="Q141" i="4"/>
  <c r="Q52" i="4"/>
  <c r="Q53" i="4"/>
  <c r="Q54" i="4"/>
  <c r="Q247" i="4"/>
  <c r="Q55" i="4"/>
  <c r="Q56" i="4"/>
  <c r="Q57" i="4"/>
  <c r="Q58" i="4"/>
  <c r="Q248" i="4"/>
  <c r="Q193" i="4"/>
  <c r="Q142" i="4"/>
  <c r="Q59" i="4"/>
  <c r="Q143" i="4"/>
  <c r="Q60" i="4"/>
  <c r="Q61" i="4"/>
  <c r="Q194" i="4"/>
  <c r="Q144" i="4"/>
  <c r="Q145" i="4"/>
  <c r="Q146" i="4"/>
  <c r="Q62" i="4"/>
  <c r="Q63" i="4"/>
  <c r="Q207" i="4"/>
  <c r="Q64" i="4"/>
  <c r="Q65" i="4"/>
  <c r="Q66" i="4"/>
  <c r="Q67" i="4"/>
  <c r="Q68" i="4"/>
  <c r="Q69" i="4"/>
  <c r="Q70" i="4"/>
  <c r="Q249" i="4"/>
  <c r="Q71" i="4"/>
  <c r="Q72" i="4"/>
  <c r="Q250" i="4"/>
  <c r="Q73" i="4"/>
  <c r="Q74" i="4"/>
  <c r="Q147" i="4"/>
  <c r="Q75" i="4"/>
  <c r="Q76" i="4"/>
  <c r="Q148" i="4"/>
  <c r="Q77" i="4"/>
  <c r="Q270" i="4"/>
  <c r="Q78" i="4"/>
  <c r="Q79" i="4"/>
  <c r="Q149" i="4"/>
  <c r="Q80" i="4"/>
  <c r="Q251" i="4"/>
  <c r="Q252" i="4"/>
  <c r="Q271" i="4"/>
  <c r="Q81" i="4"/>
  <c r="Q82" i="4"/>
  <c r="Q83" i="4"/>
  <c r="Q84" i="4"/>
  <c r="Q85" i="4"/>
  <c r="Q253" i="4"/>
  <c r="Q86" i="4"/>
  <c r="Q208" i="4"/>
  <c r="Q87" i="4"/>
  <c r="Q88" i="4"/>
  <c r="Q195" i="4"/>
  <c r="Q272" i="4"/>
  <c r="Q150" i="4"/>
  <c r="Q89" i="4"/>
  <c r="Q90" i="4"/>
  <c r="Q209" i="4"/>
  <c r="Q91" i="4"/>
  <c r="Q92" i="4"/>
  <c r="Q93" i="4"/>
  <c r="Q151" i="4"/>
  <c r="Q152" i="4"/>
  <c r="Q273" i="4"/>
  <c r="Q94" i="4"/>
  <c r="Q153" i="4"/>
  <c r="Q95" i="4"/>
  <c r="Q254" i="4"/>
  <c r="Q196" i="4"/>
  <c r="Q96" i="4"/>
  <c r="Q97" i="4"/>
  <c r="Q98" i="4"/>
  <c r="Q197" i="4"/>
  <c r="Q99" i="4"/>
  <c r="Q100" i="4"/>
  <c r="Q101" i="4"/>
  <c r="Q102" i="4"/>
  <c r="Q103" i="4"/>
  <c r="Q255" i="4"/>
  <c r="Q274" i="4"/>
  <c r="Q104" i="4"/>
  <c r="Q105" i="4"/>
  <c r="Q106" i="4"/>
  <c r="Q154" i="4"/>
  <c r="Q256" i="4"/>
  <c r="Q107" i="4"/>
  <c r="Q108" i="4"/>
  <c r="Q109" i="4"/>
  <c r="Q110" i="4"/>
  <c r="Q275" i="4"/>
  <c r="Q257" i="4"/>
  <c r="Q111" i="4"/>
  <c r="Q112" i="4"/>
  <c r="Q113" i="4"/>
  <c r="Q276" i="4"/>
  <c r="Q155" i="4"/>
  <c r="Q277" i="4"/>
  <c r="Q114" i="4"/>
  <c r="Q210" i="4"/>
  <c r="Q115" i="4"/>
  <c r="Q278" i="4"/>
  <c r="Q156" i="4"/>
  <c r="Q211" i="4"/>
  <c r="Q212" i="4"/>
  <c r="Q157" i="4"/>
  <c r="Q279" i="4"/>
  <c r="Q158" i="4"/>
  <c r="Q280" i="4"/>
  <c r="Q116" i="4"/>
  <c r="Q117" i="4"/>
  <c r="Q281" i="4"/>
  <c r="Q213" i="4"/>
  <c r="Q159" i="4"/>
  <c r="Q258" i="4"/>
  <c r="Q160" i="4"/>
  <c r="Q118" i="4"/>
  <c r="Q119" i="4"/>
  <c r="Q161" i="4"/>
  <c r="Q214" i="4"/>
  <c r="Q259" i="4"/>
  <c r="Q120" i="4"/>
  <c r="Q121" i="4"/>
  <c r="Q198" i="4"/>
  <c r="Q162" i="4"/>
  <c r="Q163" i="4"/>
  <c r="Q282" i="4"/>
  <c r="Q122" i="4"/>
  <c r="Q283" i="4"/>
  <c r="Q123" i="4"/>
  <c r="Q199" i="4"/>
  <c r="Q284" i="4"/>
  <c r="Q124" i="4"/>
  <c r="Q164" i="4"/>
  <c r="Q285" i="4"/>
  <c r="Q125" i="4"/>
  <c r="Q126" i="4"/>
  <c r="Q286" i="4"/>
  <c r="Q165" i="4"/>
  <c r="Q166" i="4"/>
  <c r="Q215" i="4"/>
  <c r="Q167" i="4"/>
  <c r="Q168" i="4"/>
  <c r="Q200" i="4"/>
  <c r="Q216" i="4"/>
  <c r="Q217" i="4"/>
  <c r="Q218" i="4"/>
  <c r="Q127" i="4"/>
  <c r="Q260" i="4"/>
  <c r="Q219" i="4"/>
  <c r="Q128" i="4"/>
  <c r="Q129" i="4"/>
  <c r="Q261" i="4"/>
  <c r="Q287" i="4"/>
  <c r="Q288" i="4"/>
  <c r="Q169" i="4"/>
  <c r="Q220" i="4"/>
  <c r="Q130" i="4"/>
  <c r="Q262" i="4"/>
  <c r="Q263" i="4"/>
  <c r="Q170" i="4"/>
  <c r="Q171" i="4"/>
  <c r="Q264" i="4"/>
  <c r="Q201" i="4"/>
  <c r="Q221" i="4"/>
  <c r="Q222" i="4"/>
  <c r="Q131" i="4"/>
  <c r="Q202" i="4"/>
  <c r="Q172" i="4"/>
  <c r="Q173" i="4"/>
  <c r="Q265" i="4"/>
  <c r="Q223" i="4"/>
  <c r="Q224" i="4"/>
  <c r="Q266" i="4"/>
  <c r="Q174" i="4"/>
  <c r="Q225" i="4"/>
  <c r="Q203" i="4"/>
  <c r="Q175" i="4"/>
  <c r="Q226" i="4"/>
  <c r="Q176" i="4"/>
  <c r="Q227" i="4"/>
  <c r="Q228" i="4"/>
  <c r="Q204" i="4"/>
  <c r="Q177" i="4"/>
  <c r="Q178" i="4"/>
  <c r="Q267" i="4"/>
  <c r="Q229" i="4"/>
  <c r="Q179" i="4"/>
  <c r="Q180" i="4"/>
  <c r="Q132" i="4"/>
  <c r="Q289" i="4"/>
  <c r="Q230" i="4"/>
  <c r="Q231" i="4"/>
  <c r="Q232" i="4"/>
  <c r="Q268" i="4"/>
  <c r="Q233" i="4"/>
  <c r="Q181" i="4"/>
  <c r="Q182" i="4"/>
  <c r="Q205" i="4"/>
  <c r="Q206" i="4"/>
  <c r="Q234" i="4"/>
  <c r="Q290" i="4"/>
  <c r="Q291" i="4"/>
  <c r="Q235" i="4"/>
  <c r="R236" i="4"/>
  <c r="R183" i="4"/>
  <c r="R2" i="4"/>
  <c r="R184" i="4"/>
  <c r="R133" i="4"/>
  <c r="R237" i="4"/>
  <c r="R134" i="4"/>
  <c r="R3" i="4"/>
  <c r="R185" i="4"/>
  <c r="R186" i="4"/>
  <c r="R238" i="4"/>
  <c r="R187" i="4"/>
  <c r="R4" i="4"/>
  <c r="R5" i="4"/>
  <c r="R188" i="4"/>
  <c r="R135" i="4"/>
  <c r="R239" i="4"/>
  <c r="R240" i="4"/>
  <c r="R6" i="4"/>
  <c r="R241" i="4"/>
  <c r="R7" i="4"/>
  <c r="R8" i="4"/>
  <c r="R242" i="4"/>
  <c r="R243" i="4"/>
  <c r="R189" i="4"/>
  <c r="R9" i="4"/>
  <c r="R10" i="4"/>
  <c r="R11" i="4"/>
  <c r="R12" i="4"/>
  <c r="R13" i="4"/>
  <c r="R244" i="4"/>
  <c r="R14" i="4"/>
  <c r="R15" i="4"/>
  <c r="R16" i="4"/>
  <c r="R17" i="4"/>
  <c r="R136" i="4"/>
  <c r="R18" i="4"/>
  <c r="R19" i="4"/>
  <c r="R20" i="4"/>
  <c r="R21" i="4"/>
  <c r="R22" i="4"/>
  <c r="R23" i="4"/>
  <c r="R24" i="4"/>
  <c r="R25" i="4"/>
  <c r="R137" i="4"/>
  <c r="R26" i="4"/>
  <c r="R27" i="4"/>
  <c r="R28" i="4"/>
  <c r="R29" i="4"/>
  <c r="R30" i="4"/>
  <c r="R31" i="4"/>
  <c r="R138" i="4"/>
  <c r="R32" i="4"/>
  <c r="R33" i="4"/>
  <c r="R34" i="4"/>
  <c r="R35" i="4"/>
  <c r="R139" i="4"/>
  <c r="R190" i="4"/>
  <c r="R36" i="4"/>
  <c r="R37" i="4"/>
  <c r="R191" i="4"/>
  <c r="R38" i="4"/>
  <c r="R39" i="4"/>
  <c r="R40" i="4"/>
  <c r="R245" i="4"/>
  <c r="R41" i="4"/>
  <c r="R269" i="4"/>
  <c r="R192" i="4"/>
  <c r="R42" i="4"/>
  <c r="R43" i="4"/>
  <c r="R44" i="4"/>
  <c r="R45" i="4"/>
  <c r="R46" i="4"/>
  <c r="R47" i="4"/>
  <c r="R48" i="4"/>
  <c r="R49" i="4"/>
  <c r="R50" i="4"/>
  <c r="R246" i="4"/>
  <c r="R51" i="4"/>
  <c r="R140" i="4"/>
  <c r="R141" i="4"/>
  <c r="R52" i="4"/>
  <c r="R53" i="4"/>
  <c r="R54" i="4"/>
  <c r="R247" i="4"/>
  <c r="R55" i="4"/>
  <c r="R56" i="4"/>
  <c r="R57" i="4"/>
  <c r="R58" i="4"/>
  <c r="R248" i="4"/>
  <c r="R193" i="4"/>
  <c r="R142" i="4"/>
  <c r="R59" i="4"/>
  <c r="R143" i="4"/>
  <c r="R60" i="4"/>
  <c r="R61" i="4"/>
  <c r="R194" i="4"/>
  <c r="R144" i="4"/>
  <c r="R145" i="4"/>
  <c r="R146" i="4"/>
  <c r="R62" i="4"/>
  <c r="R63" i="4"/>
  <c r="R207" i="4"/>
  <c r="R64" i="4"/>
  <c r="R65" i="4"/>
  <c r="R66" i="4"/>
  <c r="R67" i="4"/>
  <c r="R68" i="4"/>
  <c r="R69" i="4"/>
  <c r="R70" i="4"/>
  <c r="R249" i="4"/>
  <c r="R71" i="4"/>
  <c r="R72" i="4"/>
  <c r="R250" i="4"/>
  <c r="R73" i="4"/>
  <c r="R74" i="4"/>
  <c r="R147" i="4"/>
  <c r="R75" i="4"/>
  <c r="R76" i="4"/>
  <c r="R148" i="4"/>
  <c r="R77" i="4"/>
  <c r="R270" i="4"/>
  <c r="R78" i="4"/>
  <c r="R79" i="4"/>
  <c r="R149" i="4"/>
  <c r="R80" i="4"/>
  <c r="R251" i="4"/>
  <c r="R252" i="4"/>
  <c r="R271" i="4"/>
  <c r="R81" i="4"/>
  <c r="R82" i="4"/>
  <c r="R83" i="4"/>
  <c r="R84" i="4"/>
  <c r="R85" i="4"/>
  <c r="R253" i="4"/>
  <c r="R86" i="4"/>
  <c r="R208" i="4"/>
  <c r="R87" i="4"/>
  <c r="R88" i="4"/>
  <c r="R195" i="4"/>
  <c r="R272" i="4"/>
  <c r="R150" i="4"/>
  <c r="R89" i="4"/>
  <c r="R90" i="4"/>
  <c r="R209" i="4"/>
  <c r="R91" i="4"/>
  <c r="R92" i="4"/>
  <c r="R93" i="4"/>
  <c r="R151" i="4"/>
  <c r="R152" i="4"/>
  <c r="R273" i="4"/>
  <c r="R94" i="4"/>
  <c r="R153" i="4"/>
  <c r="R95" i="4"/>
  <c r="R254" i="4"/>
  <c r="R196" i="4"/>
  <c r="R96" i="4"/>
  <c r="R97" i="4"/>
  <c r="R98" i="4"/>
  <c r="R197" i="4"/>
  <c r="R99" i="4"/>
  <c r="R100" i="4"/>
  <c r="R101" i="4"/>
  <c r="R102" i="4"/>
  <c r="R103" i="4"/>
  <c r="R255" i="4"/>
  <c r="R274" i="4"/>
  <c r="R104" i="4"/>
  <c r="R105" i="4"/>
  <c r="R106" i="4"/>
  <c r="R154" i="4"/>
  <c r="R256" i="4"/>
  <c r="R107" i="4"/>
  <c r="R108" i="4"/>
  <c r="R109" i="4"/>
  <c r="R110" i="4"/>
  <c r="R275" i="4"/>
  <c r="R257" i="4"/>
  <c r="R111" i="4"/>
  <c r="R112" i="4"/>
  <c r="R113" i="4"/>
  <c r="R276" i="4"/>
  <c r="R155" i="4"/>
  <c r="R277" i="4"/>
  <c r="R114" i="4"/>
  <c r="R210" i="4"/>
  <c r="R115" i="4"/>
  <c r="R278" i="4"/>
  <c r="R156" i="4"/>
  <c r="R211" i="4"/>
  <c r="R212" i="4"/>
  <c r="R157" i="4"/>
  <c r="R279" i="4"/>
  <c r="R158" i="4"/>
  <c r="R280" i="4"/>
  <c r="R116" i="4"/>
  <c r="R117" i="4"/>
  <c r="R281" i="4"/>
  <c r="R213" i="4"/>
  <c r="R159" i="4"/>
  <c r="R258" i="4"/>
  <c r="R160" i="4"/>
  <c r="R118" i="4"/>
  <c r="R119" i="4"/>
  <c r="R161" i="4"/>
  <c r="R214" i="4"/>
  <c r="R259" i="4"/>
  <c r="R120" i="4"/>
  <c r="R121" i="4"/>
  <c r="R198" i="4"/>
  <c r="R162" i="4"/>
  <c r="R163" i="4"/>
  <c r="R282" i="4"/>
  <c r="R122" i="4"/>
  <c r="R283" i="4"/>
  <c r="R123" i="4"/>
  <c r="R199" i="4"/>
  <c r="R284" i="4"/>
  <c r="R124" i="4"/>
  <c r="R164" i="4"/>
  <c r="R285" i="4"/>
  <c r="R125" i="4"/>
  <c r="R126" i="4"/>
  <c r="R286" i="4"/>
  <c r="R165" i="4"/>
  <c r="R166" i="4"/>
  <c r="R215" i="4"/>
  <c r="R167" i="4"/>
  <c r="R168" i="4"/>
  <c r="R200" i="4"/>
  <c r="R216" i="4"/>
  <c r="R217" i="4"/>
  <c r="R218" i="4"/>
  <c r="R127" i="4"/>
  <c r="R260" i="4"/>
  <c r="R219" i="4"/>
  <c r="R128" i="4"/>
  <c r="R129" i="4"/>
  <c r="R261" i="4"/>
  <c r="R287" i="4"/>
  <c r="R288" i="4"/>
  <c r="R169" i="4"/>
  <c r="R220" i="4"/>
  <c r="R130" i="4"/>
  <c r="R262" i="4"/>
  <c r="R263" i="4"/>
  <c r="R170" i="4"/>
  <c r="R171" i="4"/>
  <c r="R264" i="4"/>
  <c r="R201" i="4"/>
  <c r="R221" i="4"/>
  <c r="R222" i="4"/>
  <c r="R131" i="4"/>
  <c r="R202" i="4"/>
  <c r="R172" i="4"/>
  <c r="R173" i="4"/>
  <c r="R265" i="4"/>
  <c r="R223" i="4"/>
  <c r="R224" i="4"/>
  <c r="R266" i="4"/>
  <c r="R174" i="4"/>
  <c r="R225" i="4"/>
  <c r="R203" i="4"/>
  <c r="R175" i="4"/>
  <c r="R226" i="4"/>
  <c r="R176" i="4"/>
  <c r="R227" i="4"/>
  <c r="R228" i="4"/>
  <c r="R204" i="4"/>
  <c r="R177" i="4"/>
  <c r="R178" i="4"/>
  <c r="R267" i="4"/>
  <c r="R229" i="4"/>
  <c r="R179" i="4"/>
  <c r="R180" i="4"/>
  <c r="R132" i="4"/>
  <c r="R289" i="4"/>
  <c r="R230" i="4"/>
  <c r="R231" i="4"/>
  <c r="R232" i="4"/>
  <c r="R268" i="4"/>
  <c r="R233" i="4"/>
  <c r="R181" i="4"/>
  <c r="R182" i="4"/>
  <c r="R205" i="4"/>
  <c r="R206" i="4"/>
  <c r="R234" i="4"/>
  <c r="R290" i="4"/>
  <c r="R291" i="4"/>
  <c r="R235" i="4"/>
  <c r="S236" i="4"/>
  <c r="S183" i="4"/>
  <c r="S2" i="4"/>
  <c r="S184" i="4"/>
  <c r="S133" i="4"/>
  <c r="S237" i="4"/>
  <c r="S134" i="4"/>
  <c r="S3" i="4"/>
  <c r="S185" i="4"/>
  <c r="S186" i="4"/>
  <c r="S238" i="4"/>
  <c r="S187" i="4"/>
  <c r="S4" i="4"/>
  <c r="S5" i="4"/>
  <c r="S188" i="4"/>
  <c r="S135" i="4"/>
  <c r="S239" i="4"/>
  <c r="S240" i="4"/>
  <c r="S6" i="4"/>
  <c r="S241" i="4"/>
  <c r="S7" i="4"/>
  <c r="S8" i="4"/>
  <c r="S242" i="4"/>
  <c r="S243" i="4"/>
  <c r="S189" i="4"/>
  <c r="S9" i="4"/>
  <c r="S10" i="4"/>
  <c r="S11" i="4"/>
  <c r="S12" i="4"/>
  <c r="S13" i="4"/>
  <c r="S244" i="4"/>
  <c r="S14" i="4"/>
  <c r="S15" i="4"/>
  <c r="S16" i="4"/>
  <c r="S17" i="4"/>
  <c r="S136" i="4"/>
  <c r="S18" i="4"/>
  <c r="S19" i="4"/>
  <c r="S20" i="4"/>
  <c r="S21" i="4"/>
  <c r="S22" i="4"/>
  <c r="S23" i="4"/>
  <c r="S24" i="4"/>
  <c r="S25" i="4"/>
  <c r="S137" i="4"/>
  <c r="S26" i="4"/>
  <c r="S27" i="4"/>
  <c r="S28" i="4"/>
  <c r="S29" i="4"/>
  <c r="S30" i="4"/>
  <c r="S31" i="4"/>
  <c r="S138" i="4"/>
  <c r="S32" i="4"/>
  <c r="S33" i="4"/>
  <c r="S34" i="4"/>
  <c r="S35" i="4"/>
  <c r="S139" i="4"/>
  <c r="S190" i="4"/>
  <c r="S36" i="4"/>
  <c r="S37" i="4"/>
  <c r="S191" i="4"/>
  <c r="S38" i="4"/>
  <c r="S39" i="4"/>
  <c r="S40" i="4"/>
  <c r="S245" i="4"/>
  <c r="S41" i="4"/>
  <c r="S269" i="4"/>
  <c r="S192" i="4"/>
  <c r="S42" i="4"/>
  <c r="S43" i="4"/>
  <c r="S44" i="4"/>
  <c r="S45" i="4"/>
  <c r="S46" i="4"/>
  <c r="S47" i="4"/>
  <c r="S48" i="4"/>
  <c r="S49" i="4"/>
  <c r="S50" i="4"/>
  <c r="S246" i="4"/>
  <c r="S51" i="4"/>
  <c r="S140" i="4"/>
  <c r="S141" i="4"/>
  <c r="S52" i="4"/>
  <c r="S53" i="4"/>
  <c r="S54" i="4"/>
  <c r="S247" i="4"/>
  <c r="S55" i="4"/>
  <c r="S56" i="4"/>
  <c r="S57" i="4"/>
  <c r="S58" i="4"/>
  <c r="S248" i="4"/>
  <c r="S193" i="4"/>
  <c r="S142" i="4"/>
  <c r="S59" i="4"/>
  <c r="S143" i="4"/>
  <c r="S60" i="4"/>
  <c r="S61" i="4"/>
  <c r="S194" i="4"/>
  <c r="S144" i="4"/>
  <c r="S145" i="4"/>
  <c r="S146" i="4"/>
  <c r="S62" i="4"/>
  <c r="S63" i="4"/>
  <c r="S207" i="4"/>
  <c r="S64" i="4"/>
  <c r="S65" i="4"/>
  <c r="S66" i="4"/>
  <c r="S67" i="4"/>
  <c r="S68" i="4"/>
  <c r="S69" i="4"/>
  <c r="S70" i="4"/>
  <c r="S249" i="4"/>
  <c r="S71" i="4"/>
  <c r="S72" i="4"/>
  <c r="S250" i="4"/>
  <c r="S73" i="4"/>
  <c r="S74" i="4"/>
  <c r="S147" i="4"/>
  <c r="S75" i="4"/>
  <c r="S76" i="4"/>
  <c r="S148" i="4"/>
  <c r="S77" i="4"/>
  <c r="S270" i="4"/>
  <c r="S78" i="4"/>
  <c r="S79" i="4"/>
  <c r="S149" i="4"/>
  <c r="S80" i="4"/>
  <c r="S251" i="4"/>
  <c r="S252" i="4"/>
  <c r="S271" i="4"/>
  <c r="S81" i="4"/>
  <c r="S82" i="4"/>
  <c r="S83" i="4"/>
  <c r="S84" i="4"/>
  <c r="S85" i="4"/>
  <c r="S253" i="4"/>
  <c r="S86" i="4"/>
  <c r="S208" i="4"/>
  <c r="S87" i="4"/>
  <c r="S88" i="4"/>
  <c r="S195" i="4"/>
  <c r="S272" i="4"/>
  <c r="S150" i="4"/>
  <c r="S89" i="4"/>
  <c r="S90" i="4"/>
  <c r="S209" i="4"/>
  <c r="S91" i="4"/>
  <c r="S92" i="4"/>
  <c r="S93" i="4"/>
  <c r="S151" i="4"/>
  <c r="S152" i="4"/>
  <c r="S273" i="4"/>
  <c r="S94" i="4"/>
  <c r="S153" i="4"/>
  <c r="S95" i="4"/>
  <c r="S254" i="4"/>
  <c r="S196" i="4"/>
  <c r="S96" i="4"/>
  <c r="S97" i="4"/>
  <c r="S98" i="4"/>
  <c r="S197" i="4"/>
  <c r="S99" i="4"/>
  <c r="S100" i="4"/>
  <c r="S101" i="4"/>
  <c r="S102" i="4"/>
  <c r="S103" i="4"/>
  <c r="S255" i="4"/>
  <c r="S274" i="4"/>
  <c r="S104" i="4"/>
  <c r="S105" i="4"/>
  <c r="S106" i="4"/>
  <c r="S154" i="4"/>
  <c r="S256" i="4"/>
  <c r="S107" i="4"/>
  <c r="S108" i="4"/>
  <c r="S109" i="4"/>
  <c r="S110" i="4"/>
  <c r="S275" i="4"/>
  <c r="S257" i="4"/>
  <c r="S111" i="4"/>
  <c r="S112" i="4"/>
  <c r="S113" i="4"/>
  <c r="S276" i="4"/>
  <c r="S155" i="4"/>
  <c r="S277" i="4"/>
  <c r="S114" i="4"/>
  <c r="S210" i="4"/>
  <c r="S115" i="4"/>
  <c r="S278" i="4"/>
  <c r="S156" i="4"/>
  <c r="S211" i="4"/>
  <c r="S212" i="4"/>
  <c r="S157" i="4"/>
  <c r="S279" i="4"/>
  <c r="S158" i="4"/>
  <c r="S280" i="4"/>
  <c r="S116" i="4"/>
  <c r="S117" i="4"/>
  <c r="S281" i="4"/>
  <c r="S213" i="4"/>
  <c r="S159" i="4"/>
  <c r="S258" i="4"/>
  <c r="S160" i="4"/>
  <c r="S118" i="4"/>
  <c r="S119" i="4"/>
  <c r="S161" i="4"/>
  <c r="S214" i="4"/>
  <c r="S259" i="4"/>
  <c r="S120" i="4"/>
  <c r="S121" i="4"/>
  <c r="S198" i="4"/>
  <c r="S162" i="4"/>
  <c r="S163" i="4"/>
  <c r="S282" i="4"/>
  <c r="S122" i="4"/>
  <c r="S283" i="4"/>
  <c r="S123" i="4"/>
  <c r="S199" i="4"/>
  <c r="S284" i="4"/>
  <c r="S124" i="4"/>
  <c r="S164" i="4"/>
  <c r="S285" i="4"/>
  <c r="S125" i="4"/>
  <c r="S126" i="4"/>
  <c r="S286" i="4"/>
  <c r="S165" i="4"/>
  <c r="S166" i="4"/>
  <c r="S215" i="4"/>
  <c r="S167" i="4"/>
  <c r="S168" i="4"/>
  <c r="S200" i="4"/>
  <c r="S216" i="4"/>
  <c r="S217" i="4"/>
  <c r="S218" i="4"/>
  <c r="S127" i="4"/>
  <c r="S260" i="4"/>
  <c r="S219" i="4"/>
  <c r="S128" i="4"/>
  <c r="S129" i="4"/>
  <c r="S261" i="4"/>
  <c r="S287" i="4"/>
  <c r="S288" i="4"/>
  <c r="S169" i="4"/>
  <c r="S220" i="4"/>
  <c r="S130" i="4"/>
  <c r="S262" i="4"/>
  <c r="S263" i="4"/>
  <c r="S170" i="4"/>
  <c r="S171" i="4"/>
  <c r="S264" i="4"/>
  <c r="S201" i="4"/>
  <c r="S221" i="4"/>
  <c r="S222" i="4"/>
  <c r="S131" i="4"/>
  <c r="S202" i="4"/>
  <c r="S172" i="4"/>
  <c r="S173" i="4"/>
  <c r="S265" i="4"/>
  <c r="S223" i="4"/>
  <c r="S224" i="4"/>
  <c r="S266" i="4"/>
  <c r="S174" i="4"/>
  <c r="S225" i="4"/>
  <c r="S203" i="4"/>
  <c r="S175" i="4"/>
  <c r="S226" i="4"/>
  <c r="S176" i="4"/>
  <c r="S227" i="4"/>
  <c r="S228" i="4"/>
  <c r="S204" i="4"/>
  <c r="S177" i="4"/>
  <c r="S178" i="4"/>
  <c r="S267" i="4"/>
  <c r="S229" i="4"/>
  <c r="S179" i="4"/>
  <c r="S180" i="4"/>
  <c r="S132" i="4"/>
  <c r="S289" i="4"/>
  <c r="S230" i="4"/>
  <c r="S231" i="4"/>
  <c r="S232" i="4"/>
  <c r="S268" i="4"/>
  <c r="S233" i="4"/>
  <c r="S181" i="4"/>
  <c r="S182" i="4"/>
  <c r="S205" i="4"/>
  <c r="S206" i="4"/>
  <c r="S234" i="4"/>
  <c r="S290" i="4"/>
  <c r="S291" i="4"/>
  <c r="S235" i="4"/>
  <c r="T236" i="4"/>
  <c r="T183" i="4"/>
  <c r="T2" i="4"/>
  <c r="T184" i="4"/>
  <c r="T133" i="4"/>
  <c r="T237" i="4"/>
  <c r="T134" i="4"/>
  <c r="T3" i="4"/>
  <c r="T186" i="4"/>
  <c r="T243" i="4"/>
  <c r="T189" i="4"/>
  <c r="T9" i="4"/>
  <c r="T10" i="4"/>
  <c r="T14" i="4"/>
  <c r="T137" i="4"/>
  <c r="T31" i="4"/>
  <c r="T35" i="4"/>
  <c r="T38" i="4"/>
  <c r="T39" i="4"/>
  <c r="T43" i="4"/>
  <c r="T63" i="4"/>
  <c r="T67" i="4"/>
  <c r="T151" i="4"/>
  <c r="T254" i="4"/>
  <c r="T98" i="4"/>
  <c r="T255" i="4"/>
  <c r="T107" i="4"/>
  <c r="T155" i="4"/>
  <c r="T210" i="4"/>
  <c r="T117" i="4"/>
  <c r="T159" i="4"/>
  <c r="T258" i="4"/>
  <c r="T123" i="4"/>
  <c r="T129" i="4"/>
  <c r="T175" i="4"/>
  <c r="T177" i="4"/>
  <c r="T229" i="4"/>
  <c r="N139" i="2"/>
  <c r="N18" i="2"/>
  <c r="N21" i="2"/>
  <c r="N117" i="2"/>
  <c r="N37" i="2"/>
  <c r="O139" i="2"/>
  <c r="O21" i="2"/>
  <c r="O117" i="2"/>
  <c r="O37" i="2"/>
  <c r="P139" i="2"/>
  <c r="P154" i="2"/>
  <c r="P18" i="2"/>
  <c r="P117" i="2"/>
  <c r="P37" i="2"/>
  <c r="Q118" i="2"/>
  <c r="Q119" i="2"/>
  <c r="Q51" i="2"/>
  <c r="Q120" i="2"/>
  <c r="Q121" i="2"/>
  <c r="Q2" i="2"/>
  <c r="Q122" i="2"/>
  <c r="Q52" i="2"/>
  <c r="Q101" i="2"/>
  <c r="Q95" i="2"/>
  <c r="Q123" i="2"/>
  <c r="Q124" i="2"/>
  <c r="Q125" i="2"/>
  <c r="Q126" i="2"/>
  <c r="Q53" i="2"/>
  <c r="Q127" i="2"/>
  <c r="Q128" i="2"/>
  <c r="Q54" i="2"/>
  <c r="Q96" i="2"/>
  <c r="Q129" i="2"/>
  <c r="Q130" i="2"/>
  <c r="Q131" i="2"/>
  <c r="Q132" i="2"/>
  <c r="Q3" i="2"/>
  <c r="Q55" i="2"/>
  <c r="Q133" i="2"/>
  <c r="Q102" i="2"/>
  <c r="Q56" i="2"/>
  <c r="Q57" i="2"/>
  <c r="Q134" i="2"/>
  <c r="Q135" i="2"/>
  <c r="Q136" i="2"/>
  <c r="Q137" i="2"/>
  <c r="Q97" i="2"/>
  <c r="Q103" i="2"/>
  <c r="Q58" i="2"/>
  <c r="Q59" i="2"/>
  <c r="Q60" i="2"/>
  <c r="Q138" i="2"/>
  <c r="Q4" i="2"/>
  <c r="Q139" i="2"/>
  <c r="Q61" i="2"/>
  <c r="Q140" i="2"/>
  <c r="Q141" i="2"/>
  <c r="Q62" i="2"/>
  <c r="Q104" i="2"/>
  <c r="Q142" i="2"/>
  <c r="Q143" i="2"/>
  <c r="Q105" i="2"/>
  <c r="Q63" i="2"/>
  <c r="Q5" i="2"/>
  <c r="Q64" i="2"/>
  <c r="Q65" i="2"/>
  <c r="Q144" i="2"/>
  <c r="Q66" i="2"/>
  <c r="Q67" i="2"/>
  <c r="Q145" i="2"/>
  <c r="Q146" i="2"/>
  <c r="Q106" i="2"/>
  <c r="Q147" i="2"/>
  <c r="Q68" i="2"/>
  <c r="Q69" i="2"/>
  <c r="Q148" i="2"/>
  <c r="Q6" i="2"/>
  <c r="Q107" i="2"/>
  <c r="Q70" i="2"/>
  <c r="Q108" i="2"/>
  <c r="Q109" i="2"/>
  <c r="Q71" i="2"/>
  <c r="Q98" i="2"/>
  <c r="Q149" i="2"/>
  <c r="Q72" i="2"/>
  <c r="Q7" i="2"/>
  <c r="Q150" i="2"/>
  <c r="Q8" i="2"/>
  <c r="Q73" i="2"/>
  <c r="Q74" i="2"/>
  <c r="Q151" i="2"/>
  <c r="Q110" i="2"/>
  <c r="Q152" i="2"/>
  <c r="Q153" i="2"/>
  <c r="Q111" i="2"/>
  <c r="Q75" i="2"/>
  <c r="Q76" i="2"/>
  <c r="Q112" i="2"/>
  <c r="Q113" i="2"/>
  <c r="Q77" i="2"/>
  <c r="Q154" i="2"/>
  <c r="Q78" i="2"/>
  <c r="Q9" i="2"/>
  <c r="Q10" i="2"/>
  <c r="Q11" i="2"/>
  <c r="Q155" i="2"/>
  <c r="Q114" i="2"/>
  <c r="Q115" i="2"/>
  <c r="Q99" i="2"/>
  <c r="Q79" i="2"/>
  <c r="Q80" i="2"/>
  <c r="Q158" i="2"/>
  <c r="Q12" i="2"/>
  <c r="Q156" i="2"/>
  <c r="Q81" i="2"/>
  <c r="Q82" i="2"/>
  <c r="Q13" i="2"/>
  <c r="Q83" i="2"/>
  <c r="Q14" i="2"/>
  <c r="Q15" i="2"/>
  <c r="Q16" i="2"/>
  <c r="Q116" i="2"/>
  <c r="Q17" i="2"/>
  <c r="Q18" i="2"/>
  <c r="Q157" i="2"/>
  <c r="Q84" i="2"/>
  <c r="Q19" i="2"/>
  <c r="Q20" i="2"/>
  <c r="Q21" i="2"/>
  <c r="Q22" i="2"/>
  <c r="Q117" i="2"/>
  <c r="Q23" i="2"/>
  <c r="Q24" i="2"/>
  <c r="Q25" i="2"/>
  <c r="Q26" i="2"/>
  <c r="Q27" i="2"/>
  <c r="Q85" i="2"/>
  <c r="Q28" i="2"/>
  <c r="Q29" i="2"/>
  <c r="Q86" i="2"/>
  <c r="Q100" i="2"/>
  <c r="Q30" i="2"/>
  <c r="Q31" i="2"/>
  <c r="Q32" i="2"/>
  <c r="Q33" i="2"/>
  <c r="Q87" i="2"/>
  <c r="Q34" i="2"/>
  <c r="Q88" i="2"/>
  <c r="Q89" i="2"/>
  <c r="Q35" i="2"/>
  <c r="Q90" i="2"/>
  <c r="Q36" i="2"/>
  <c r="Q37" i="2"/>
  <c r="Q38" i="2"/>
  <c r="Q39" i="2"/>
  <c r="Q40" i="2"/>
  <c r="Q41" i="2"/>
  <c r="Q42" i="2"/>
  <c r="Q43" i="2"/>
  <c r="Q91" i="2"/>
  <c r="Q44" i="2"/>
  <c r="Q45" i="2"/>
  <c r="Q46" i="2"/>
  <c r="Q47" i="2"/>
  <c r="Q92" i="2"/>
  <c r="Q93" i="2"/>
  <c r="Q48" i="2"/>
  <c r="Q49" i="2"/>
  <c r="Q94" i="2"/>
  <c r="Q50" i="2"/>
  <c r="R118" i="2"/>
  <c r="R119" i="2"/>
  <c r="R51" i="2"/>
  <c r="R120" i="2"/>
  <c r="R121" i="2"/>
  <c r="R2" i="2"/>
  <c r="R122" i="2"/>
  <c r="R52" i="2"/>
  <c r="R101" i="2"/>
  <c r="R95" i="2"/>
  <c r="R123" i="2"/>
  <c r="R124" i="2"/>
  <c r="R125" i="2"/>
  <c r="R126" i="2"/>
  <c r="R53" i="2"/>
  <c r="R127" i="2"/>
  <c r="R128" i="2"/>
  <c r="R54" i="2"/>
  <c r="R96" i="2"/>
  <c r="R129" i="2"/>
  <c r="R130" i="2"/>
  <c r="R131" i="2"/>
  <c r="R132" i="2"/>
  <c r="R3" i="2"/>
  <c r="R55" i="2"/>
  <c r="R133" i="2"/>
  <c r="R102" i="2"/>
  <c r="R56" i="2"/>
  <c r="R57" i="2"/>
  <c r="R134" i="2"/>
  <c r="R135" i="2"/>
  <c r="R136" i="2"/>
  <c r="R137" i="2"/>
  <c r="R97" i="2"/>
  <c r="R103" i="2"/>
  <c r="R58" i="2"/>
  <c r="R59" i="2"/>
  <c r="R60" i="2"/>
  <c r="R138" i="2"/>
  <c r="R4" i="2"/>
  <c r="R139" i="2"/>
  <c r="R61" i="2"/>
  <c r="R140" i="2"/>
  <c r="R141" i="2"/>
  <c r="R62" i="2"/>
  <c r="R104" i="2"/>
  <c r="R142" i="2"/>
  <c r="R143" i="2"/>
  <c r="R105" i="2"/>
  <c r="R63" i="2"/>
  <c r="R5" i="2"/>
  <c r="R64" i="2"/>
  <c r="R65" i="2"/>
  <c r="R144" i="2"/>
  <c r="R66" i="2"/>
  <c r="R67" i="2"/>
  <c r="R145" i="2"/>
  <c r="R146" i="2"/>
  <c r="R106" i="2"/>
  <c r="R147" i="2"/>
  <c r="R68" i="2"/>
  <c r="R69" i="2"/>
  <c r="R148" i="2"/>
  <c r="R6" i="2"/>
  <c r="R107" i="2"/>
  <c r="R70" i="2"/>
  <c r="R108" i="2"/>
  <c r="R109" i="2"/>
  <c r="R71" i="2"/>
  <c r="R98" i="2"/>
  <c r="R149" i="2"/>
  <c r="R72" i="2"/>
  <c r="R7" i="2"/>
  <c r="R150" i="2"/>
  <c r="R8" i="2"/>
  <c r="R73" i="2"/>
  <c r="R74" i="2"/>
  <c r="R151" i="2"/>
  <c r="R110" i="2"/>
  <c r="R152" i="2"/>
  <c r="R153" i="2"/>
  <c r="R111" i="2"/>
  <c r="R75" i="2"/>
  <c r="R76" i="2"/>
  <c r="R112" i="2"/>
  <c r="R113" i="2"/>
  <c r="R77" i="2"/>
  <c r="R154" i="2"/>
  <c r="R78" i="2"/>
  <c r="R9" i="2"/>
  <c r="R10" i="2"/>
  <c r="R11" i="2"/>
  <c r="R155" i="2"/>
  <c r="R114" i="2"/>
  <c r="R115" i="2"/>
  <c r="R99" i="2"/>
  <c r="R79" i="2"/>
  <c r="R80" i="2"/>
  <c r="R158" i="2"/>
  <c r="R12" i="2"/>
  <c r="R156" i="2"/>
  <c r="R81" i="2"/>
  <c r="R82" i="2"/>
  <c r="R13" i="2"/>
  <c r="R83" i="2"/>
  <c r="R14" i="2"/>
  <c r="R15" i="2"/>
  <c r="R16" i="2"/>
  <c r="R116" i="2"/>
  <c r="R17" i="2"/>
  <c r="R18" i="2"/>
  <c r="R157" i="2"/>
  <c r="R84" i="2"/>
  <c r="R19" i="2"/>
  <c r="R20" i="2"/>
  <c r="R21" i="2"/>
  <c r="R22" i="2"/>
  <c r="R117" i="2"/>
  <c r="R23" i="2"/>
  <c r="R24" i="2"/>
  <c r="R25" i="2"/>
  <c r="R26" i="2"/>
  <c r="R27" i="2"/>
  <c r="R85" i="2"/>
  <c r="R28" i="2"/>
  <c r="R29" i="2"/>
  <c r="R86" i="2"/>
  <c r="R100" i="2"/>
  <c r="R30" i="2"/>
  <c r="R31" i="2"/>
  <c r="R32" i="2"/>
  <c r="R33" i="2"/>
  <c r="R87" i="2"/>
  <c r="R34" i="2"/>
  <c r="R88" i="2"/>
  <c r="R89" i="2"/>
  <c r="R35" i="2"/>
  <c r="R90" i="2"/>
  <c r="R36" i="2"/>
  <c r="R37" i="2"/>
  <c r="R38" i="2"/>
  <c r="R39" i="2"/>
  <c r="R40" i="2"/>
  <c r="R41" i="2"/>
  <c r="R42" i="2"/>
  <c r="R43" i="2"/>
  <c r="R91" i="2"/>
  <c r="R44" i="2"/>
  <c r="R45" i="2"/>
  <c r="R46" i="2"/>
  <c r="R47" i="2"/>
  <c r="R92" i="2"/>
  <c r="R93" i="2"/>
  <c r="R48" i="2"/>
  <c r="R49" i="2"/>
  <c r="R94" i="2"/>
  <c r="R50" i="2"/>
  <c r="S118" i="2"/>
  <c r="S119" i="2"/>
  <c r="S51" i="2"/>
  <c r="S120" i="2"/>
  <c r="S121" i="2"/>
  <c r="S2" i="2"/>
  <c r="S122" i="2"/>
  <c r="S52" i="2"/>
  <c r="S101" i="2"/>
  <c r="S95" i="2"/>
  <c r="S123" i="2"/>
  <c r="S124" i="2"/>
  <c r="S125" i="2"/>
  <c r="S126" i="2"/>
  <c r="S53" i="2"/>
  <c r="S127" i="2"/>
  <c r="S128" i="2"/>
  <c r="S54" i="2"/>
  <c r="S96" i="2"/>
  <c r="S129" i="2"/>
  <c r="S130" i="2"/>
  <c r="S131" i="2"/>
  <c r="S132" i="2"/>
  <c r="S3" i="2"/>
  <c r="S55" i="2"/>
  <c r="S133" i="2"/>
  <c r="S102" i="2"/>
  <c r="S56" i="2"/>
  <c r="S57" i="2"/>
  <c r="S134" i="2"/>
  <c r="S135" i="2"/>
  <c r="S136" i="2"/>
  <c r="S137" i="2"/>
  <c r="S97" i="2"/>
  <c r="S103" i="2"/>
  <c r="S58" i="2"/>
  <c r="S59" i="2"/>
  <c r="S60" i="2"/>
  <c r="S138" i="2"/>
  <c r="S4" i="2"/>
  <c r="S139" i="2"/>
  <c r="S61" i="2"/>
  <c r="S140" i="2"/>
  <c r="S141" i="2"/>
  <c r="S62" i="2"/>
  <c r="S104" i="2"/>
  <c r="S142" i="2"/>
  <c r="S143" i="2"/>
  <c r="S105" i="2"/>
  <c r="S63" i="2"/>
  <c r="S5" i="2"/>
  <c r="S64" i="2"/>
  <c r="S65" i="2"/>
  <c r="S144" i="2"/>
  <c r="S66" i="2"/>
  <c r="S67" i="2"/>
  <c r="S145" i="2"/>
  <c r="S146" i="2"/>
  <c r="S106" i="2"/>
  <c r="S147" i="2"/>
  <c r="S68" i="2"/>
  <c r="S69" i="2"/>
  <c r="S148" i="2"/>
  <c r="S6" i="2"/>
  <c r="S107" i="2"/>
  <c r="S70" i="2"/>
  <c r="S108" i="2"/>
  <c r="S109" i="2"/>
  <c r="S71" i="2"/>
  <c r="S98" i="2"/>
  <c r="S149" i="2"/>
  <c r="S72" i="2"/>
  <c r="S7" i="2"/>
  <c r="S150" i="2"/>
  <c r="S8" i="2"/>
  <c r="S73" i="2"/>
  <c r="S74" i="2"/>
  <c r="S151" i="2"/>
  <c r="S110" i="2"/>
  <c r="S152" i="2"/>
  <c r="S153" i="2"/>
  <c r="S111" i="2"/>
  <c r="S75" i="2"/>
  <c r="S76" i="2"/>
  <c r="S112" i="2"/>
  <c r="S113" i="2"/>
  <c r="S77" i="2"/>
  <c r="S154" i="2"/>
  <c r="S78" i="2"/>
  <c r="S9" i="2"/>
  <c r="S10" i="2"/>
  <c r="S11" i="2"/>
  <c r="S155" i="2"/>
  <c r="S114" i="2"/>
  <c r="S115" i="2"/>
  <c r="S99" i="2"/>
  <c r="S79" i="2"/>
  <c r="S80" i="2"/>
  <c r="S158" i="2"/>
  <c r="S12" i="2"/>
  <c r="S156" i="2"/>
  <c r="S81" i="2"/>
  <c r="S82" i="2"/>
  <c r="S13" i="2"/>
  <c r="S83" i="2"/>
  <c r="S14" i="2"/>
  <c r="S15" i="2"/>
  <c r="S16" i="2"/>
  <c r="S116" i="2"/>
  <c r="S17" i="2"/>
  <c r="S18" i="2"/>
  <c r="S157" i="2"/>
  <c r="S84" i="2"/>
  <c r="S19" i="2"/>
  <c r="S20" i="2"/>
  <c r="S21" i="2"/>
  <c r="S22" i="2"/>
  <c r="S117" i="2"/>
  <c r="S23" i="2"/>
  <c r="S24" i="2"/>
  <c r="S25" i="2"/>
  <c r="S26" i="2"/>
  <c r="S27" i="2"/>
  <c r="S85" i="2"/>
  <c r="S28" i="2"/>
  <c r="S29" i="2"/>
  <c r="S86" i="2"/>
  <c r="S100" i="2"/>
  <c r="S30" i="2"/>
  <c r="S31" i="2"/>
  <c r="S32" i="2"/>
  <c r="S33" i="2"/>
  <c r="S87" i="2"/>
  <c r="S34" i="2"/>
  <c r="S88" i="2"/>
  <c r="S89" i="2"/>
  <c r="S35" i="2"/>
  <c r="S90" i="2"/>
  <c r="S36" i="2"/>
  <c r="S37" i="2"/>
  <c r="S38" i="2"/>
  <c r="S39" i="2"/>
  <c r="S40" i="2"/>
  <c r="S41" i="2"/>
  <c r="S42" i="2"/>
  <c r="S43" i="2"/>
  <c r="S91" i="2"/>
  <c r="S44" i="2"/>
  <c r="S45" i="2"/>
  <c r="S46" i="2"/>
  <c r="S47" i="2"/>
  <c r="S92" i="2"/>
  <c r="S93" i="2"/>
  <c r="S48" i="2"/>
  <c r="S49" i="2"/>
  <c r="S94" i="2"/>
  <c r="S50" i="2"/>
  <c r="T154" i="2"/>
  <c r="T18" i="2"/>
  <c r="T37" i="2"/>
  <c r="T40" i="2"/>
  <c r="N3" i="3"/>
  <c r="N93" i="3"/>
  <c r="N94" i="3"/>
  <c r="N176" i="3"/>
  <c r="O3" i="3"/>
  <c r="O164" i="3"/>
  <c r="O87" i="3"/>
  <c r="O94" i="3"/>
  <c r="O173" i="3"/>
  <c r="O176" i="3"/>
  <c r="P3" i="3"/>
  <c r="P93" i="3"/>
  <c r="P94" i="3"/>
  <c r="P176" i="3"/>
  <c r="P71" i="3"/>
  <c r="Q2" i="3"/>
  <c r="Q75" i="3"/>
  <c r="Q150" i="3"/>
  <c r="Q110" i="3"/>
  <c r="Q151" i="3"/>
  <c r="Q123" i="3"/>
  <c r="Q3" i="3"/>
  <c r="Q111" i="3"/>
  <c r="Q152" i="3"/>
  <c r="Q153" i="3"/>
  <c r="Q112" i="3"/>
  <c r="Q76" i="3"/>
  <c r="Q124" i="3"/>
  <c r="Q154" i="3"/>
  <c r="Q113" i="3"/>
  <c r="Q155" i="3"/>
  <c r="Q156" i="3"/>
  <c r="Q157" i="3"/>
  <c r="Q77" i="3"/>
  <c r="Q78" i="3"/>
  <c r="Q79" i="3"/>
  <c r="Q4" i="3"/>
  <c r="Q80" i="3"/>
  <c r="Q114" i="3"/>
  <c r="Q125" i="3"/>
  <c r="Q158" i="3"/>
  <c r="Q159" i="3"/>
  <c r="Q160" i="3"/>
  <c r="Q115" i="3"/>
  <c r="Q81" i="3"/>
  <c r="Q116" i="3"/>
  <c r="Q5" i="3"/>
  <c r="Q6" i="3"/>
  <c r="Q82" i="3"/>
  <c r="Q117" i="3"/>
  <c r="Q7" i="3"/>
  <c r="Q126" i="3"/>
  <c r="Q8" i="3"/>
  <c r="Q127" i="3"/>
  <c r="Q161" i="3"/>
  <c r="Q9" i="3"/>
  <c r="Q10" i="3"/>
  <c r="Q162" i="3"/>
  <c r="Q83" i="3"/>
  <c r="Q84" i="3"/>
  <c r="Q11" i="3"/>
  <c r="Q12" i="3"/>
  <c r="Q13" i="3"/>
  <c r="Q14" i="3"/>
  <c r="Q15" i="3"/>
  <c r="Q16" i="3"/>
  <c r="Q17" i="3"/>
  <c r="Q163" i="3"/>
  <c r="Q164" i="3"/>
  <c r="Q18" i="3"/>
  <c r="Q19" i="3"/>
  <c r="Q165" i="3"/>
  <c r="Q85" i="3"/>
  <c r="Q86" i="3"/>
  <c r="Q20" i="3"/>
  <c r="Q87" i="3"/>
  <c r="Q166" i="3"/>
  <c r="Q88" i="3"/>
  <c r="Q21" i="3"/>
  <c r="Q22" i="3"/>
  <c r="Q167" i="3"/>
  <c r="Q168" i="3"/>
  <c r="Q128" i="3"/>
  <c r="Q169" i="3"/>
  <c r="Q129" i="3"/>
  <c r="Q23" i="3"/>
  <c r="Q24" i="3"/>
  <c r="Q25" i="3"/>
  <c r="Q26" i="3"/>
  <c r="Q27" i="3"/>
  <c r="Q89" i="3"/>
  <c r="Q28" i="3"/>
  <c r="Q90" i="3"/>
  <c r="Q130" i="3"/>
  <c r="Q29" i="3"/>
  <c r="Q170" i="3"/>
  <c r="Q30" i="3"/>
  <c r="Q31" i="3"/>
  <c r="Q32" i="3"/>
  <c r="Q33" i="3"/>
  <c r="Q34" i="3"/>
  <c r="Q91" i="3"/>
  <c r="Q171" i="3"/>
  <c r="Q35" i="3"/>
  <c r="Q92" i="3"/>
  <c r="Q36" i="3"/>
  <c r="Q37" i="3"/>
  <c r="Q38" i="3"/>
  <c r="Q39" i="3"/>
  <c r="Q40" i="3"/>
  <c r="Q131" i="3"/>
  <c r="Q93" i="3"/>
  <c r="Q41" i="3"/>
  <c r="Q42" i="3"/>
  <c r="Q43" i="3"/>
  <c r="Q44" i="3"/>
  <c r="Q45" i="3"/>
  <c r="Q94" i="3"/>
  <c r="Q46" i="3"/>
  <c r="Q132" i="3"/>
  <c r="Q47" i="3"/>
  <c r="Q172" i="3"/>
  <c r="Q95" i="3"/>
  <c r="Q181" i="3"/>
  <c r="Q96" i="3"/>
  <c r="Q48" i="3"/>
  <c r="Q49" i="3"/>
  <c r="Q182" i="3"/>
  <c r="Q50" i="3"/>
  <c r="Q51" i="3"/>
  <c r="Q52" i="3"/>
  <c r="Q53" i="3"/>
  <c r="Q118" i="3"/>
  <c r="Q54" i="3"/>
  <c r="Q173" i="3"/>
  <c r="Q97" i="3"/>
  <c r="Q55" i="3"/>
  <c r="Q98" i="3"/>
  <c r="Q133" i="3"/>
  <c r="Q134" i="3"/>
  <c r="Q56" i="3"/>
  <c r="Q119" i="3"/>
  <c r="Q57" i="3"/>
  <c r="Q58" i="3"/>
  <c r="Q59" i="3"/>
  <c r="Q135" i="3"/>
  <c r="Q174" i="3"/>
  <c r="Q120" i="3"/>
  <c r="Q60" i="3"/>
  <c r="Q61" i="3"/>
  <c r="Q62" i="3"/>
  <c r="Q136" i="3"/>
  <c r="Q63" i="3"/>
  <c r="Q183" i="3"/>
  <c r="Q99" i="3"/>
  <c r="Q100" i="3"/>
  <c r="Q64" i="3"/>
  <c r="Q65" i="3"/>
  <c r="Q175" i="3"/>
  <c r="Q137" i="3"/>
  <c r="Q101" i="3"/>
  <c r="Q138" i="3"/>
  <c r="Q66" i="3"/>
  <c r="Q139" i="3"/>
  <c r="Q184" i="3"/>
  <c r="Q176" i="3"/>
  <c r="Q67" i="3"/>
  <c r="Q102" i="3"/>
  <c r="Q140" i="3"/>
  <c r="Q121" i="3"/>
  <c r="Q103" i="3"/>
  <c r="Q141" i="3"/>
  <c r="Q177" i="3"/>
  <c r="Q68" i="3"/>
  <c r="Q104" i="3"/>
  <c r="Q142" i="3"/>
  <c r="Q143" i="3"/>
  <c r="Q105" i="3"/>
  <c r="Q178" i="3"/>
  <c r="Q179" i="3"/>
  <c r="Q106" i="3"/>
  <c r="Q107" i="3"/>
  <c r="Q108" i="3"/>
  <c r="Q144" i="3"/>
  <c r="Q69" i="3"/>
  <c r="Q122" i="3"/>
  <c r="Q70" i="3"/>
  <c r="Q145" i="3"/>
  <c r="Q146" i="3"/>
  <c r="Q180" i="3"/>
  <c r="Q147" i="3"/>
  <c r="Q71" i="3"/>
  <c r="Q109" i="3"/>
  <c r="Q72" i="3"/>
  <c r="Q73" i="3"/>
  <c r="Q74" i="3"/>
  <c r="Q148" i="3"/>
  <c r="Q149" i="3"/>
  <c r="R2" i="3"/>
  <c r="R75" i="3"/>
  <c r="R150" i="3"/>
  <c r="R110" i="3"/>
  <c r="R151" i="3"/>
  <c r="R123" i="3"/>
  <c r="R3" i="3"/>
  <c r="R111" i="3"/>
  <c r="R152" i="3"/>
  <c r="R153" i="3"/>
  <c r="R112" i="3"/>
  <c r="R76" i="3"/>
  <c r="R124" i="3"/>
  <c r="R154" i="3"/>
  <c r="R113" i="3"/>
  <c r="R155" i="3"/>
  <c r="R156" i="3"/>
  <c r="R157" i="3"/>
  <c r="R77" i="3"/>
  <c r="R78" i="3"/>
  <c r="R79" i="3"/>
  <c r="R4" i="3"/>
  <c r="R80" i="3"/>
  <c r="R114" i="3"/>
  <c r="R125" i="3"/>
  <c r="R158" i="3"/>
  <c r="R159" i="3"/>
  <c r="R160" i="3"/>
  <c r="R115" i="3"/>
  <c r="R81" i="3"/>
  <c r="R116" i="3"/>
  <c r="R5" i="3"/>
  <c r="R6" i="3"/>
  <c r="R82" i="3"/>
  <c r="R117" i="3"/>
  <c r="R7" i="3"/>
  <c r="R126" i="3"/>
  <c r="R8" i="3"/>
  <c r="R127" i="3"/>
  <c r="R161" i="3"/>
  <c r="R9" i="3"/>
  <c r="R10" i="3"/>
  <c r="R162" i="3"/>
  <c r="R83" i="3"/>
  <c r="R84" i="3"/>
  <c r="R11" i="3"/>
  <c r="R12" i="3"/>
  <c r="R13" i="3"/>
  <c r="R14" i="3"/>
  <c r="R15" i="3"/>
  <c r="R16" i="3"/>
  <c r="R17" i="3"/>
  <c r="R163" i="3"/>
  <c r="R164" i="3"/>
  <c r="R18" i="3"/>
  <c r="R19" i="3"/>
  <c r="R165" i="3"/>
  <c r="R85" i="3"/>
  <c r="R86" i="3"/>
  <c r="R20" i="3"/>
  <c r="R87" i="3"/>
  <c r="R166" i="3"/>
  <c r="R88" i="3"/>
  <c r="R21" i="3"/>
  <c r="R22" i="3"/>
  <c r="R167" i="3"/>
  <c r="R168" i="3"/>
  <c r="R128" i="3"/>
  <c r="R169" i="3"/>
  <c r="R129" i="3"/>
  <c r="R23" i="3"/>
  <c r="R24" i="3"/>
  <c r="R25" i="3"/>
  <c r="R26" i="3"/>
  <c r="R27" i="3"/>
  <c r="R89" i="3"/>
  <c r="R28" i="3"/>
  <c r="R90" i="3"/>
  <c r="R130" i="3"/>
  <c r="R29" i="3"/>
  <c r="R170" i="3"/>
  <c r="R30" i="3"/>
  <c r="R31" i="3"/>
  <c r="R32" i="3"/>
  <c r="R33" i="3"/>
  <c r="R34" i="3"/>
  <c r="R91" i="3"/>
  <c r="R171" i="3"/>
  <c r="R35" i="3"/>
  <c r="R92" i="3"/>
  <c r="R36" i="3"/>
  <c r="R37" i="3"/>
  <c r="R38" i="3"/>
  <c r="R39" i="3"/>
  <c r="R40" i="3"/>
  <c r="R131" i="3"/>
  <c r="R93" i="3"/>
  <c r="R41" i="3"/>
  <c r="R42" i="3"/>
  <c r="R43" i="3"/>
  <c r="R44" i="3"/>
  <c r="R45" i="3"/>
  <c r="R94" i="3"/>
  <c r="R46" i="3"/>
  <c r="R132" i="3"/>
  <c r="R47" i="3"/>
  <c r="R172" i="3"/>
  <c r="R95" i="3"/>
  <c r="R181" i="3"/>
  <c r="R96" i="3"/>
  <c r="R48" i="3"/>
  <c r="R49" i="3"/>
  <c r="R182" i="3"/>
  <c r="R50" i="3"/>
  <c r="R51" i="3"/>
  <c r="R52" i="3"/>
  <c r="R53" i="3"/>
  <c r="R118" i="3"/>
  <c r="R54" i="3"/>
  <c r="R173" i="3"/>
  <c r="R97" i="3"/>
  <c r="R55" i="3"/>
  <c r="R98" i="3"/>
  <c r="R133" i="3"/>
  <c r="R134" i="3"/>
  <c r="R56" i="3"/>
  <c r="R119" i="3"/>
  <c r="R57" i="3"/>
  <c r="R58" i="3"/>
  <c r="R59" i="3"/>
  <c r="R135" i="3"/>
  <c r="R174" i="3"/>
  <c r="R120" i="3"/>
  <c r="R60" i="3"/>
  <c r="R61" i="3"/>
  <c r="R62" i="3"/>
  <c r="R136" i="3"/>
  <c r="R63" i="3"/>
  <c r="R183" i="3"/>
  <c r="R99" i="3"/>
  <c r="R100" i="3"/>
  <c r="R64" i="3"/>
  <c r="R65" i="3"/>
  <c r="R175" i="3"/>
  <c r="R137" i="3"/>
  <c r="R101" i="3"/>
  <c r="R138" i="3"/>
  <c r="R66" i="3"/>
  <c r="R139" i="3"/>
  <c r="R184" i="3"/>
  <c r="R176" i="3"/>
  <c r="R67" i="3"/>
  <c r="R102" i="3"/>
  <c r="R140" i="3"/>
  <c r="R121" i="3"/>
  <c r="R103" i="3"/>
  <c r="R141" i="3"/>
  <c r="R177" i="3"/>
  <c r="R68" i="3"/>
  <c r="R104" i="3"/>
  <c r="R142" i="3"/>
  <c r="R143" i="3"/>
  <c r="R105" i="3"/>
  <c r="R178" i="3"/>
  <c r="R179" i="3"/>
  <c r="R106" i="3"/>
  <c r="R107" i="3"/>
  <c r="R108" i="3"/>
  <c r="R144" i="3"/>
  <c r="R69" i="3"/>
  <c r="R122" i="3"/>
  <c r="R70" i="3"/>
  <c r="R145" i="3"/>
  <c r="R146" i="3"/>
  <c r="R180" i="3"/>
  <c r="R147" i="3"/>
  <c r="R71" i="3"/>
  <c r="R109" i="3"/>
  <c r="R72" i="3"/>
  <c r="R73" i="3"/>
  <c r="R74" i="3"/>
  <c r="R148" i="3"/>
  <c r="R149" i="3"/>
  <c r="S2" i="3"/>
  <c r="S75" i="3"/>
  <c r="S150" i="3"/>
  <c r="S110" i="3"/>
  <c r="S151" i="3"/>
  <c r="S123" i="3"/>
  <c r="S3" i="3"/>
  <c r="S111" i="3"/>
  <c r="S152" i="3"/>
  <c r="S153" i="3"/>
  <c r="S112" i="3"/>
  <c r="S76" i="3"/>
  <c r="S124" i="3"/>
  <c r="S154" i="3"/>
  <c r="S113" i="3"/>
  <c r="S155" i="3"/>
  <c r="S156" i="3"/>
  <c r="S157" i="3"/>
  <c r="S77" i="3"/>
  <c r="S78" i="3"/>
  <c r="S79" i="3"/>
  <c r="S4" i="3"/>
  <c r="S80" i="3"/>
  <c r="S114" i="3"/>
  <c r="S125" i="3"/>
  <c r="S158" i="3"/>
  <c r="S159" i="3"/>
  <c r="S160" i="3"/>
  <c r="S115" i="3"/>
  <c r="S81" i="3"/>
  <c r="S116" i="3"/>
  <c r="S5" i="3"/>
  <c r="S6" i="3"/>
  <c r="S82" i="3"/>
  <c r="S117" i="3"/>
  <c r="S7" i="3"/>
  <c r="S126" i="3"/>
  <c r="S8" i="3"/>
  <c r="S127" i="3"/>
  <c r="S161" i="3"/>
  <c r="S9" i="3"/>
  <c r="S10" i="3"/>
  <c r="S162" i="3"/>
  <c r="S83" i="3"/>
  <c r="S84" i="3"/>
  <c r="S11" i="3"/>
  <c r="S12" i="3"/>
  <c r="S13" i="3"/>
  <c r="S14" i="3"/>
  <c r="S15" i="3"/>
  <c r="S16" i="3"/>
  <c r="S17" i="3"/>
  <c r="S163" i="3"/>
  <c r="S164" i="3"/>
  <c r="S18" i="3"/>
  <c r="S19" i="3"/>
  <c r="S165" i="3"/>
  <c r="S85" i="3"/>
  <c r="S86" i="3"/>
  <c r="S20" i="3"/>
  <c r="S87" i="3"/>
  <c r="S166" i="3"/>
  <c r="S88" i="3"/>
  <c r="S21" i="3"/>
  <c r="S22" i="3"/>
  <c r="S167" i="3"/>
  <c r="S168" i="3"/>
  <c r="S128" i="3"/>
  <c r="S169" i="3"/>
  <c r="S129" i="3"/>
  <c r="S23" i="3"/>
  <c r="S24" i="3"/>
  <c r="S25" i="3"/>
  <c r="S26" i="3"/>
  <c r="S27" i="3"/>
  <c r="S89" i="3"/>
  <c r="S28" i="3"/>
  <c r="S90" i="3"/>
  <c r="S130" i="3"/>
  <c r="S29" i="3"/>
  <c r="S170" i="3"/>
  <c r="S30" i="3"/>
  <c r="S31" i="3"/>
  <c r="S32" i="3"/>
  <c r="S33" i="3"/>
  <c r="S34" i="3"/>
  <c r="S91" i="3"/>
  <c r="S171" i="3"/>
  <c r="S35" i="3"/>
  <c r="S92" i="3"/>
  <c r="S36" i="3"/>
  <c r="S37" i="3"/>
  <c r="S38" i="3"/>
  <c r="S39" i="3"/>
  <c r="S40" i="3"/>
  <c r="S131" i="3"/>
  <c r="S93" i="3"/>
  <c r="S41" i="3"/>
  <c r="S42" i="3"/>
  <c r="S43" i="3"/>
  <c r="S44" i="3"/>
  <c r="S45" i="3"/>
  <c r="S94" i="3"/>
  <c r="S46" i="3"/>
  <c r="S132" i="3"/>
  <c r="S47" i="3"/>
  <c r="S172" i="3"/>
  <c r="S95" i="3"/>
  <c r="S181" i="3"/>
  <c r="S96" i="3"/>
  <c r="S48" i="3"/>
  <c r="S49" i="3"/>
  <c r="S182" i="3"/>
  <c r="S50" i="3"/>
  <c r="S51" i="3"/>
  <c r="S52" i="3"/>
  <c r="S53" i="3"/>
  <c r="S118" i="3"/>
  <c r="S54" i="3"/>
  <c r="S173" i="3"/>
  <c r="S97" i="3"/>
  <c r="S55" i="3"/>
  <c r="S98" i="3"/>
  <c r="S133" i="3"/>
  <c r="S134" i="3"/>
  <c r="S56" i="3"/>
  <c r="S119" i="3"/>
  <c r="S57" i="3"/>
  <c r="S58" i="3"/>
  <c r="S59" i="3"/>
  <c r="S135" i="3"/>
  <c r="S174" i="3"/>
  <c r="S120" i="3"/>
  <c r="S60" i="3"/>
  <c r="S61" i="3"/>
  <c r="S62" i="3"/>
  <c r="S136" i="3"/>
  <c r="S63" i="3"/>
  <c r="S183" i="3"/>
  <c r="S99" i="3"/>
  <c r="S100" i="3"/>
  <c r="S64" i="3"/>
  <c r="S65" i="3"/>
  <c r="S175" i="3"/>
  <c r="S137" i="3"/>
  <c r="S101" i="3"/>
  <c r="S138" i="3"/>
  <c r="S66" i="3"/>
  <c r="S139" i="3"/>
  <c r="S184" i="3"/>
  <c r="S176" i="3"/>
  <c r="S67" i="3"/>
  <c r="S102" i="3"/>
  <c r="S140" i="3"/>
  <c r="S121" i="3"/>
  <c r="S103" i="3"/>
  <c r="S141" i="3"/>
  <c r="S177" i="3"/>
  <c r="S68" i="3"/>
  <c r="S104" i="3"/>
  <c r="S142" i="3"/>
  <c r="S143" i="3"/>
  <c r="S105" i="3"/>
  <c r="S178" i="3"/>
  <c r="S179" i="3"/>
  <c r="S106" i="3"/>
  <c r="S107" i="3"/>
  <c r="S108" i="3"/>
  <c r="S144" i="3"/>
  <c r="S69" i="3"/>
  <c r="S122" i="3"/>
  <c r="S70" i="3"/>
  <c r="S145" i="3"/>
  <c r="S146" i="3"/>
  <c r="S180" i="3"/>
  <c r="S147" i="3"/>
  <c r="S71" i="3"/>
  <c r="S109" i="3"/>
  <c r="S72" i="3"/>
  <c r="S73" i="3"/>
  <c r="S74" i="3"/>
  <c r="S148" i="3"/>
  <c r="S149" i="3"/>
  <c r="T93" i="3"/>
  <c r="T94" i="3"/>
  <c r="T173" i="3"/>
  <c r="T174" i="3"/>
  <c r="T176" i="3"/>
  <c r="T67" i="3"/>
  <c r="T68" i="3"/>
  <c r="T71" i="3"/>
  <c r="T73" i="3"/>
  <c r="T74" i="3"/>
  <c r="X226" i="4"/>
  <c r="X148" i="4"/>
  <c r="C1" i="12" a="1"/>
  <c r="C1" i="12" s="1"/>
  <c r="C1" i="11" a="1"/>
  <c r="C1" i="11" s="1"/>
  <c r="C1" i="9" a="1"/>
  <c r="C1" i="9" s="1"/>
  <c r="I33" i="3" l="1"/>
  <c r="P33" i="3" s="1"/>
  <c r="M48" i="4"/>
  <c r="T48" i="4" s="1"/>
  <c r="I14" i="3"/>
  <c r="P14" i="3" s="1"/>
  <c r="M49" i="4"/>
  <c r="T49" i="4" s="1"/>
  <c r="I83" i="3"/>
  <c r="P83" i="3" s="1"/>
  <c r="H23" i="3"/>
  <c r="O23" i="3" s="1"/>
  <c r="H63" i="3"/>
  <c r="O63" i="3" s="1"/>
  <c r="I43" i="3"/>
  <c r="P43" i="3" s="1"/>
  <c r="H250" i="4"/>
  <c r="I182" i="3"/>
  <c r="P182" i="3" s="1"/>
  <c r="M111" i="4"/>
  <c r="T111" i="4" s="1"/>
  <c r="M226" i="4"/>
  <c r="T226" i="4" s="1"/>
  <c r="M83" i="3"/>
  <c r="T83" i="3" s="1"/>
  <c r="M130" i="4"/>
  <c r="T130" i="4" s="1"/>
  <c r="M70" i="4"/>
  <c r="T70" i="4" s="1"/>
  <c r="H182" i="3"/>
  <c r="O182" i="3" s="1"/>
  <c r="M137" i="2"/>
  <c r="T137" i="2" s="1"/>
  <c r="H127" i="3"/>
  <c r="O127" i="3" s="1"/>
  <c r="I84" i="3"/>
  <c r="P84" i="3" s="1"/>
  <c r="N149" i="4"/>
  <c r="M135" i="3"/>
  <c r="T135" i="3" s="1"/>
  <c r="M164" i="3"/>
  <c r="T164" i="3" s="1"/>
  <c r="M90" i="4"/>
  <c r="T90" i="4" s="1"/>
  <c r="H107" i="3"/>
  <c r="O107" i="3" s="1"/>
  <c r="M124" i="3"/>
  <c r="T124" i="3" s="1"/>
  <c r="O155" i="3"/>
  <c r="O50" i="4"/>
  <c r="I95" i="3"/>
  <c r="P95" i="3" s="1"/>
  <c r="H268" i="4"/>
  <c r="O268" i="4" s="1"/>
  <c r="I106" i="3"/>
  <c r="P106" i="3" s="1"/>
  <c r="H43" i="4"/>
  <c r="O43" i="4" s="1"/>
  <c r="M106" i="4"/>
  <c r="T106" i="4" s="1"/>
  <c r="I107" i="3"/>
  <c r="P107" i="3" s="1"/>
  <c r="M195" i="4"/>
  <c r="T195" i="4" s="1"/>
  <c r="N6" i="4"/>
  <c r="I164" i="3"/>
  <c r="P164" i="3" s="1"/>
  <c r="H90" i="4"/>
  <c r="H24" i="3"/>
  <c r="O24" i="3" s="1"/>
  <c r="H65" i="3"/>
  <c r="O65" i="3" s="1"/>
  <c r="I44" i="3"/>
  <c r="P44" i="3" s="1"/>
  <c r="I24" i="3"/>
  <c r="P24" i="3" s="1"/>
  <c r="I155" i="3"/>
  <c r="P155" i="3" s="1"/>
  <c r="H76" i="2"/>
  <c r="O76" i="2" s="1"/>
  <c r="I47" i="3"/>
  <c r="P47" i="3" s="1"/>
  <c r="I123" i="4"/>
  <c r="P123" i="4" s="1"/>
  <c r="M146" i="4"/>
  <c r="T146" i="4" s="1"/>
  <c r="I135" i="3"/>
  <c r="P135" i="3" s="1"/>
  <c r="H98" i="2"/>
  <c r="O98" i="2" s="1"/>
  <c r="M56" i="2"/>
  <c r="T56" i="2" s="1"/>
  <c r="I57" i="3"/>
  <c r="P57" i="3" s="1"/>
  <c r="I228" i="4"/>
  <c r="N228" i="4" s="1"/>
  <c r="I289" i="4"/>
  <c r="P289" i="4" s="1"/>
  <c r="M158" i="3"/>
  <c r="T158" i="3" s="1"/>
  <c r="M271" i="4"/>
  <c r="T271" i="4" s="1"/>
  <c r="I69" i="3"/>
  <c r="P69" i="3" s="1"/>
  <c r="I158" i="3"/>
  <c r="P158" i="3" s="1"/>
  <c r="M289" i="4"/>
  <c r="T289" i="4" s="1"/>
  <c r="H157" i="2"/>
  <c r="M175" i="3"/>
  <c r="T175" i="3" s="1"/>
  <c r="M131" i="4"/>
  <c r="T131" i="4" s="1"/>
  <c r="M209" i="4"/>
  <c r="T209" i="4" s="1"/>
  <c r="M290" i="4"/>
  <c r="T290" i="4" s="1"/>
  <c r="N182" i="3"/>
  <c r="I128" i="4"/>
  <c r="H188" i="4"/>
  <c r="O188" i="4" s="1"/>
  <c r="I129" i="4"/>
  <c r="M50" i="4"/>
  <c r="T50" i="4" s="1"/>
  <c r="M215" i="4"/>
  <c r="T215" i="4" s="1"/>
  <c r="H129" i="4"/>
  <c r="O129" i="4" s="1"/>
  <c r="H189" i="4"/>
  <c r="O189" i="4" s="1"/>
  <c r="I15" i="3"/>
  <c r="M35" i="3"/>
  <c r="T35" i="3" s="1"/>
  <c r="H46" i="4"/>
  <c r="H130" i="4"/>
  <c r="H190" i="4"/>
  <c r="O190" i="4" s="1"/>
  <c r="M228" i="4"/>
  <c r="T228" i="4" s="1"/>
  <c r="I51" i="2"/>
  <c r="P51" i="2" s="1"/>
  <c r="I23" i="3"/>
  <c r="P23" i="3" s="1"/>
  <c r="M63" i="3"/>
  <c r="T63" i="3" s="1"/>
  <c r="H48" i="4"/>
  <c r="O48" i="4" s="1"/>
  <c r="H131" i="4"/>
  <c r="I8" i="4"/>
  <c r="P8" i="4" s="1"/>
  <c r="I249" i="4"/>
  <c r="M59" i="4"/>
  <c r="T59" i="4" s="1"/>
  <c r="H49" i="4"/>
  <c r="O49" i="4" s="1"/>
  <c r="I29" i="4"/>
  <c r="P29" i="4" s="1"/>
  <c r="I148" i="4"/>
  <c r="P148" i="4" s="1"/>
  <c r="M231" i="4"/>
  <c r="T231" i="4" s="1"/>
  <c r="H209" i="4"/>
  <c r="N209" i="4" s="1"/>
  <c r="M88" i="4"/>
  <c r="T88" i="4" s="1"/>
  <c r="I102" i="2"/>
  <c r="N102" i="2" s="1"/>
  <c r="H56" i="2"/>
  <c r="O56" i="2" s="1"/>
  <c r="M157" i="2"/>
  <c r="T157" i="2" s="1"/>
  <c r="I35" i="3"/>
  <c r="I113" i="3"/>
  <c r="P113" i="3" s="1"/>
  <c r="M87" i="3"/>
  <c r="T87" i="3" s="1"/>
  <c r="H59" i="4"/>
  <c r="O59" i="4" s="1"/>
  <c r="H211" i="4"/>
  <c r="O211" i="4" s="1"/>
  <c r="I43" i="4"/>
  <c r="P43" i="4" s="1"/>
  <c r="M171" i="4"/>
  <c r="T171" i="4" s="1"/>
  <c r="H113" i="3"/>
  <c r="H148" i="4"/>
  <c r="H114" i="3"/>
  <c r="O114" i="3" s="1"/>
  <c r="I115" i="3"/>
  <c r="P115" i="3" s="1"/>
  <c r="H66" i="4"/>
  <c r="O66" i="4" s="1"/>
  <c r="I68" i="4"/>
  <c r="P68" i="4" s="1"/>
  <c r="M6" i="4"/>
  <c r="T6" i="4" s="1"/>
  <c r="M249" i="4"/>
  <c r="T249" i="4" s="1"/>
  <c r="I137" i="2"/>
  <c r="H124" i="3"/>
  <c r="I46" i="3"/>
  <c r="P46" i="3" s="1"/>
  <c r="I133" i="3"/>
  <c r="P133" i="3" s="1"/>
  <c r="M115" i="3"/>
  <c r="T115" i="3" s="1"/>
  <c r="H231" i="4"/>
  <c r="O231" i="4" s="1"/>
  <c r="I69" i="4"/>
  <c r="P69" i="4" s="1"/>
  <c r="M251" i="4"/>
  <c r="T251" i="4" s="1"/>
  <c r="H69" i="4"/>
  <c r="M11" i="4"/>
  <c r="T11" i="4" s="1"/>
  <c r="H9" i="4"/>
  <c r="O9" i="4" s="1"/>
  <c r="H75" i="4"/>
  <c r="O75" i="4" s="1"/>
  <c r="I98" i="4"/>
  <c r="P98" i="4" s="1"/>
  <c r="I188" i="4"/>
  <c r="P188" i="4" s="1"/>
  <c r="H4" i="3"/>
  <c r="H153" i="3"/>
  <c r="I65" i="3"/>
  <c r="P65" i="3" s="1"/>
  <c r="M127" i="3"/>
  <c r="T127" i="3" s="1"/>
  <c r="H86" i="4"/>
  <c r="I189" i="4"/>
  <c r="P189" i="4" s="1"/>
  <c r="M17" i="2"/>
  <c r="T17" i="2" s="1"/>
  <c r="H5" i="3"/>
  <c r="O5" i="3" s="1"/>
  <c r="H154" i="3"/>
  <c r="O154" i="3" s="1"/>
  <c r="I154" i="3"/>
  <c r="P154" i="3" s="1"/>
  <c r="H11" i="4"/>
  <c r="O11" i="4" s="1"/>
  <c r="H171" i="4"/>
  <c r="M26" i="4"/>
  <c r="T26" i="4" s="1"/>
  <c r="M191" i="4"/>
  <c r="T191" i="4" s="1"/>
  <c r="O162" i="3"/>
  <c r="H151" i="2"/>
  <c r="O151" i="2" s="1"/>
  <c r="M64" i="3"/>
  <c r="T64" i="3" s="1"/>
  <c r="M36" i="2"/>
  <c r="T36" i="2" s="1"/>
  <c r="I64" i="3"/>
  <c r="P64" i="3" s="1"/>
  <c r="H43" i="3"/>
  <c r="M57" i="2"/>
  <c r="T57" i="2" s="1"/>
  <c r="H31" i="2"/>
  <c r="O31" i="2" s="1"/>
  <c r="H44" i="3"/>
  <c r="O44" i="3" s="1"/>
  <c r="I57" i="2"/>
  <c r="P57" i="2" s="1"/>
  <c r="I162" i="3"/>
  <c r="P162" i="3" s="1"/>
  <c r="N95" i="3"/>
  <c r="I163" i="3"/>
  <c r="P163" i="3" s="1"/>
  <c r="M109" i="4"/>
  <c r="T109" i="4" s="1"/>
  <c r="H111" i="2"/>
  <c r="O111" i="2" s="1"/>
  <c r="M162" i="3"/>
  <c r="T162" i="3" s="1"/>
  <c r="M163" i="3"/>
  <c r="T163" i="3" s="1"/>
  <c r="H246" i="4"/>
  <c r="N246" i="4" s="1"/>
  <c r="H119" i="2"/>
  <c r="N119" i="2" s="1"/>
  <c r="H117" i="3"/>
  <c r="O117" i="3" s="1"/>
  <c r="I117" i="3"/>
  <c r="P117" i="3" s="1"/>
  <c r="M27" i="3"/>
  <c r="T27" i="3" s="1"/>
  <c r="H16" i="2"/>
  <c r="O16" i="2" s="1"/>
  <c r="H17" i="3"/>
  <c r="O17" i="3" s="1"/>
  <c r="M59" i="2"/>
  <c r="T59" i="2" s="1"/>
  <c r="M55" i="3"/>
  <c r="T55" i="3" s="1"/>
  <c r="M18" i="4"/>
  <c r="T18" i="4" s="1"/>
  <c r="H7" i="3"/>
  <c r="O7" i="3" s="1"/>
  <c r="H59" i="2"/>
  <c r="N59" i="2" s="1"/>
  <c r="I37" i="3"/>
  <c r="P37" i="3" s="1"/>
  <c r="H42" i="3"/>
  <c r="O42" i="3" s="1"/>
  <c r="H77" i="2"/>
  <c r="O77" i="2" s="1"/>
  <c r="M77" i="2"/>
  <c r="T77" i="2" s="1"/>
  <c r="H269" i="4"/>
  <c r="O269" i="4" s="1"/>
  <c r="I269" i="4"/>
  <c r="P269" i="4" s="1"/>
  <c r="I184" i="3"/>
  <c r="N184" i="3" s="1"/>
  <c r="M184" i="3"/>
  <c r="T184" i="3" s="1"/>
  <c r="H14" i="2"/>
  <c r="O14" i="2" s="1"/>
  <c r="I97" i="3"/>
  <c r="P97" i="3" s="1"/>
  <c r="N2" i="3"/>
  <c r="I17" i="2"/>
  <c r="P17" i="2" s="1"/>
  <c r="I94" i="2"/>
  <c r="M94" i="2"/>
  <c r="T94" i="2" s="1"/>
  <c r="H97" i="2"/>
  <c r="O97" i="2" s="1"/>
  <c r="M97" i="2"/>
  <c r="T97" i="2" s="1"/>
  <c r="M126" i="3"/>
  <c r="T126" i="3" s="1"/>
  <c r="H126" i="3"/>
  <c r="O126" i="3" s="1"/>
  <c r="I183" i="3"/>
  <c r="P183" i="3" s="1"/>
  <c r="I119" i="2"/>
  <c r="P119" i="2" s="1"/>
  <c r="M143" i="2"/>
  <c r="T143" i="2" s="1"/>
  <c r="M272" i="4"/>
  <c r="T272" i="4" s="1"/>
  <c r="H291" i="4"/>
  <c r="N291" i="4" s="1"/>
  <c r="H272" i="4"/>
  <c r="H288" i="4"/>
  <c r="O288" i="4" s="1"/>
  <c r="H134" i="3"/>
  <c r="I134" i="3"/>
  <c r="P134" i="3" s="1"/>
  <c r="M76" i="3"/>
  <c r="T76" i="3" s="1"/>
  <c r="H178" i="4"/>
  <c r="O178" i="4" s="1"/>
  <c r="H136" i="2"/>
  <c r="M178" i="4"/>
  <c r="T178" i="4" s="1"/>
  <c r="I136" i="2"/>
  <c r="P136" i="2" s="1"/>
  <c r="O38" i="3"/>
  <c r="M15" i="2"/>
  <c r="T15" i="2" s="1"/>
  <c r="I15" i="2"/>
  <c r="P15" i="2" s="1"/>
  <c r="H15" i="2"/>
  <c r="M75" i="2"/>
  <c r="T75" i="2" s="1"/>
  <c r="I75" i="2"/>
  <c r="P75" i="2" s="1"/>
  <c r="H75" i="2"/>
  <c r="M116" i="3"/>
  <c r="T116" i="3" s="1"/>
  <c r="I116" i="3"/>
  <c r="P116" i="3" s="1"/>
  <c r="H116" i="3"/>
  <c r="O116" i="3" s="1"/>
  <c r="N98" i="2"/>
  <c r="P98" i="2"/>
  <c r="P102" i="2"/>
  <c r="H25" i="3"/>
  <c r="I25" i="3"/>
  <c r="P25" i="3" s="1"/>
  <c r="M25" i="3"/>
  <c r="T25" i="3" s="1"/>
  <c r="M45" i="3"/>
  <c r="T45" i="3" s="1"/>
  <c r="H45" i="3"/>
  <c r="I45" i="3"/>
  <c r="P45" i="3" s="1"/>
  <c r="H85" i="3"/>
  <c r="O85" i="3" s="1"/>
  <c r="M85" i="3"/>
  <c r="T85" i="3" s="1"/>
  <c r="I105" i="3"/>
  <c r="P105" i="3" s="1"/>
  <c r="H105" i="3"/>
  <c r="O105" i="3" s="1"/>
  <c r="I125" i="3"/>
  <c r="P125" i="3" s="1"/>
  <c r="M125" i="3"/>
  <c r="T125" i="3" s="1"/>
  <c r="H125" i="3"/>
  <c r="N250" i="4"/>
  <c r="O250" i="4"/>
  <c r="M135" i="2"/>
  <c r="T135" i="2" s="1"/>
  <c r="H135" i="2"/>
  <c r="I135" i="2"/>
  <c r="P135" i="2" s="1"/>
  <c r="M136" i="3"/>
  <c r="T136" i="3" s="1"/>
  <c r="H136" i="3"/>
  <c r="I136" i="3"/>
  <c r="P136" i="3" s="1"/>
  <c r="O75" i="3"/>
  <c r="N75" i="3"/>
  <c r="H10" i="3"/>
  <c r="O10" i="3" s="1"/>
  <c r="M10" i="3"/>
  <c r="T10" i="3" s="1"/>
  <c r="M70" i="3"/>
  <c r="T70" i="3" s="1"/>
  <c r="H70" i="3"/>
  <c r="I70" i="3"/>
  <c r="P70" i="3" s="1"/>
  <c r="M7" i="4"/>
  <c r="T7" i="4" s="1"/>
  <c r="I7" i="4"/>
  <c r="P7" i="4" s="1"/>
  <c r="H7" i="4"/>
  <c r="H27" i="4"/>
  <c r="M27" i="4"/>
  <c r="T27" i="4" s="1"/>
  <c r="M47" i="4"/>
  <c r="T47" i="4" s="1"/>
  <c r="H47" i="4"/>
  <c r="I47" i="4"/>
  <c r="P47" i="4" s="1"/>
  <c r="H87" i="4"/>
  <c r="O87" i="4" s="1"/>
  <c r="I87" i="4"/>
  <c r="P87" i="4" s="1"/>
  <c r="M127" i="4"/>
  <c r="T127" i="4" s="1"/>
  <c r="I127" i="4"/>
  <c r="P127" i="4" s="1"/>
  <c r="H127" i="4"/>
  <c r="O127" i="4" s="1"/>
  <c r="M167" i="4"/>
  <c r="T167" i="4" s="1"/>
  <c r="I167" i="4"/>
  <c r="P167" i="4" s="1"/>
  <c r="H227" i="4"/>
  <c r="O227" i="4" s="1"/>
  <c r="I227" i="4"/>
  <c r="P227" i="4" s="1"/>
  <c r="M227" i="4"/>
  <c r="T227" i="4" s="1"/>
  <c r="I267" i="4"/>
  <c r="N267" i="4" s="1"/>
  <c r="M267" i="4"/>
  <c r="T267" i="4" s="1"/>
  <c r="H287" i="4"/>
  <c r="M287" i="4"/>
  <c r="T287" i="4" s="1"/>
  <c r="I287" i="4"/>
  <c r="P287" i="4" s="1"/>
  <c r="I207" i="4"/>
  <c r="P207" i="4" s="1"/>
  <c r="M207" i="4"/>
  <c r="T207" i="4" s="1"/>
  <c r="H207" i="4"/>
  <c r="O207" i="4" s="1"/>
  <c r="I8" i="3"/>
  <c r="P8" i="3" s="1"/>
  <c r="M8" i="3"/>
  <c r="T8" i="3" s="1"/>
  <c r="H8" i="3"/>
  <c r="H187" i="4"/>
  <c r="O187" i="4" s="1"/>
  <c r="M187" i="4"/>
  <c r="T187" i="4" s="1"/>
  <c r="N59" i="4"/>
  <c r="M247" i="4"/>
  <c r="T247" i="4" s="1"/>
  <c r="N97" i="2"/>
  <c r="P97" i="2"/>
  <c r="M18" i="3"/>
  <c r="T18" i="3" s="1"/>
  <c r="I18" i="3"/>
  <c r="P18" i="3" s="1"/>
  <c r="H18" i="3"/>
  <c r="M38" i="3"/>
  <c r="T38" i="3" s="1"/>
  <c r="I38" i="3"/>
  <c r="P38" i="3" s="1"/>
  <c r="M58" i="3"/>
  <c r="T58" i="3" s="1"/>
  <c r="I58" i="3"/>
  <c r="P58" i="3" s="1"/>
  <c r="H58" i="3"/>
  <c r="M78" i="3"/>
  <c r="T78" i="3" s="1"/>
  <c r="H78" i="3"/>
  <c r="I78" i="3"/>
  <c r="P78" i="3" s="1"/>
  <c r="H98" i="3"/>
  <c r="O98" i="3" s="1"/>
  <c r="I98" i="3"/>
  <c r="P98" i="3" s="1"/>
  <c r="M98" i="3"/>
  <c r="T98" i="3" s="1"/>
  <c r="M118" i="3"/>
  <c r="T118" i="3" s="1"/>
  <c r="I118" i="3"/>
  <c r="P118" i="3" s="1"/>
  <c r="H118" i="3"/>
  <c r="H138" i="3"/>
  <c r="M138" i="3"/>
  <c r="T138" i="3" s="1"/>
  <c r="I138" i="3"/>
  <c r="P138" i="3" s="1"/>
  <c r="I178" i="3"/>
  <c r="P178" i="3" s="1"/>
  <c r="M178" i="3"/>
  <c r="T178" i="3" s="1"/>
  <c r="I34" i="4"/>
  <c r="P34" i="4" s="1"/>
  <c r="M34" i="4"/>
  <c r="T34" i="4" s="1"/>
  <c r="H34" i="4"/>
  <c r="O34" i="4" s="1"/>
  <c r="I54" i="4"/>
  <c r="P54" i="4" s="1"/>
  <c r="M54" i="4"/>
  <c r="T54" i="4" s="1"/>
  <c r="H54" i="4"/>
  <c r="I74" i="4"/>
  <c r="P74" i="4" s="1"/>
  <c r="H74" i="4"/>
  <c r="M74" i="4"/>
  <c r="T74" i="4" s="1"/>
  <c r="I94" i="4"/>
  <c r="P94" i="4" s="1"/>
  <c r="H94" i="4"/>
  <c r="M94" i="4"/>
  <c r="T94" i="4" s="1"/>
  <c r="I114" i="4"/>
  <c r="P114" i="4" s="1"/>
  <c r="H114" i="4"/>
  <c r="M114" i="4"/>
  <c r="T114" i="4" s="1"/>
  <c r="I154" i="4"/>
  <c r="P154" i="4" s="1"/>
  <c r="H154" i="4"/>
  <c r="M154" i="4"/>
  <c r="T154" i="4" s="1"/>
  <c r="I174" i="4"/>
  <c r="P174" i="4" s="1"/>
  <c r="M174" i="4"/>
  <c r="T174" i="4" s="1"/>
  <c r="H174" i="4"/>
  <c r="I194" i="4"/>
  <c r="P194" i="4" s="1"/>
  <c r="H194" i="4"/>
  <c r="M194" i="4"/>
  <c r="T194" i="4" s="1"/>
  <c r="I214" i="4"/>
  <c r="P214" i="4" s="1"/>
  <c r="H214" i="4"/>
  <c r="N214" i="4" s="1"/>
  <c r="M214" i="4"/>
  <c r="T214" i="4" s="1"/>
  <c r="I234" i="4"/>
  <c r="P234" i="4" s="1"/>
  <c r="H234" i="4"/>
  <c r="I274" i="4"/>
  <c r="P274" i="4" s="1"/>
  <c r="H274" i="4"/>
  <c r="M274" i="4"/>
  <c r="T274" i="4" s="1"/>
  <c r="M58" i="2"/>
  <c r="T58" i="2" s="1"/>
  <c r="H58" i="2"/>
  <c r="H16" i="3"/>
  <c r="I16" i="3"/>
  <c r="P16" i="3" s="1"/>
  <c r="H38" i="2"/>
  <c r="I38" i="2"/>
  <c r="P38" i="2" s="1"/>
  <c r="H39" i="2"/>
  <c r="M39" i="2"/>
  <c r="T39" i="2" s="1"/>
  <c r="N75" i="4"/>
  <c r="N231" i="4"/>
  <c r="I27" i="4"/>
  <c r="P27" i="4" s="1"/>
  <c r="M115" i="2"/>
  <c r="T115" i="2" s="1"/>
  <c r="H115" i="2"/>
  <c r="O115" i="2" s="1"/>
  <c r="I115" i="2"/>
  <c r="P115" i="2" s="1"/>
  <c r="H118" i="2"/>
  <c r="I118" i="2"/>
  <c r="P118" i="2" s="1"/>
  <c r="M118" i="2"/>
  <c r="T118" i="2" s="1"/>
  <c r="I58" i="2"/>
  <c r="P58" i="2" s="1"/>
  <c r="I17" i="4"/>
  <c r="P17" i="4" s="1"/>
  <c r="M17" i="4"/>
  <c r="T17" i="4" s="1"/>
  <c r="H17" i="4"/>
  <c r="M37" i="4"/>
  <c r="T37" i="4" s="1"/>
  <c r="H37" i="4"/>
  <c r="I37" i="4"/>
  <c r="P37" i="4" s="1"/>
  <c r="M97" i="4"/>
  <c r="T97" i="4" s="1"/>
  <c r="H97" i="4"/>
  <c r="O97" i="4" s="1"/>
  <c r="M217" i="4"/>
  <c r="T217" i="4" s="1"/>
  <c r="I217" i="4"/>
  <c r="P217" i="4" s="1"/>
  <c r="H217" i="4"/>
  <c r="O217" i="4" s="1"/>
  <c r="M257" i="4"/>
  <c r="T257" i="4" s="1"/>
  <c r="I257" i="4"/>
  <c r="P257" i="4" s="1"/>
  <c r="H257" i="4"/>
  <c r="N11" i="4"/>
  <c r="H36" i="3"/>
  <c r="I36" i="3"/>
  <c r="P36" i="3" s="1"/>
  <c r="M156" i="3"/>
  <c r="T156" i="3" s="1"/>
  <c r="I156" i="3"/>
  <c r="P156" i="3" s="1"/>
  <c r="I138" i="2"/>
  <c r="P138" i="2" s="1"/>
  <c r="M138" i="2"/>
  <c r="T138" i="2" s="1"/>
  <c r="H138" i="2"/>
  <c r="I19" i="2"/>
  <c r="P19" i="2" s="1"/>
  <c r="H19" i="2"/>
  <c r="M19" i="2"/>
  <c r="T19" i="2" s="1"/>
  <c r="H156" i="3"/>
  <c r="M36" i="3"/>
  <c r="T36" i="3" s="1"/>
  <c r="N127" i="3"/>
  <c r="M55" i="2"/>
  <c r="T55" i="2" s="1"/>
  <c r="H55" i="2"/>
  <c r="O55" i="2" s="1"/>
  <c r="I55" i="2"/>
  <c r="P55" i="2" s="1"/>
  <c r="M95" i="2"/>
  <c r="T95" i="2" s="1"/>
  <c r="H95" i="2"/>
  <c r="O95" i="2" s="1"/>
  <c r="M155" i="2"/>
  <c r="T155" i="2" s="1"/>
  <c r="H155" i="2"/>
  <c r="O155" i="2" s="1"/>
  <c r="H56" i="3"/>
  <c r="I56" i="3"/>
  <c r="P56" i="3" s="1"/>
  <c r="M56" i="3"/>
  <c r="T56" i="3" s="1"/>
  <c r="N83" i="3"/>
  <c r="I78" i="2"/>
  <c r="P78" i="2" s="1"/>
  <c r="M78" i="2"/>
  <c r="T78" i="2" s="1"/>
  <c r="H78" i="2"/>
  <c r="M158" i="2"/>
  <c r="T158" i="2" s="1"/>
  <c r="H158" i="2"/>
  <c r="O158" i="2" s="1"/>
  <c r="M38" i="2"/>
  <c r="T38" i="2" s="1"/>
  <c r="N63" i="3"/>
  <c r="H2" i="2"/>
  <c r="M2" i="2"/>
  <c r="T2" i="2" s="1"/>
  <c r="H22" i="2"/>
  <c r="O22" i="2" s="1"/>
  <c r="I22" i="2"/>
  <c r="P22" i="2" s="1"/>
  <c r="M22" i="2"/>
  <c r="T22" i="2" s="1"/>
  <c r="H42" i="2"/>
  <c r="M42" i="2"/>
  <c r="T42" i="2" s="1"/>
  <c r="I42" i="2"/>
  <c r="P42" i="2" s="1"/>
  <c r="H62" i="2"/>
  <c r="O62" i="2" s="1"/>
  <c r="M62" i="2"/>
  <c r="T62" i="2" s="1"/>
  <c r="H82" i="2"/>
  <c r="O82" i="2" s="1"/>
  <c r="I82" i="2"/>
  <c r="P82" i="2" s="1"/>
  <c r="M82" i="2"/>
  <c r="T82" i="2" s="1"/>
  <c r="H79" i="4"/>
  <c r="O79" i="4" s="1"/>
  <c r="M79" i="4"/>
  <c r="T79" i="4" s="1"/>
  <c r="I79" i="4"/>
  <c r="P79" i="4" s="1"/>
  <c r="I119" i="4"/>
  <c r="P119" i="4" s="1"/>
  <c r="M119" i="4"/>
  <c r="T119" i="4" s="1"/>
  <c r="H139" i="4"/>
  <c r="I139" i="4"/>
  <c r="P139" i="4" s="1"/>
  <c r="M139" i="4"/>
  <c r="T139" i="4" s="1"/>
  <c r="I199" i="4"/>
  <c r="P199" i="4" s="1"/>
  <c r="H199" i="4"/>
  <c r="M199" i="4"/>
  <c r="T199" i="4" s="1"/>
  <c r="I259" i="4"/>
  <c r="P259" i="4" s="1"/>
  <c r="H259" i="4"/>
  <c r="O259" i="4" s="1"/>
  <c r="M259" i="4"/>
  <c r="T259" i="4" s="1"/>
  <c r="I247" i="4"/>
  <c r="I96" i="2"/>
  <c r="P96" i="2" s="1"/>
  <c r="I156" i="2"/>
  <c r="H62" i="3"/>
  <c r="H106" i="3"/>
  <c r="O106" i="3" s="1"/>
  <c r="I66" i="3"/>
  <c r="P66" i="3" s="1"/>
  <c r="M26" i="3"/>
  <c r="T26" i="3" s="1"/>
  <c r="M102" i="3"/>
  <c r="T102" i="3" s="1"/>
  <c r="H8" i="4"/>
  <c r="H88" i="4"/>
  <c r="O88" i="4" s="1"/>
  <c r="H128" i="4"/>
  <c r="O128" i="4" s="1"/>
  <c r="H208" i="4"/>
  <c r="H290" i="4"/>
  <c r="O290" i="4" s="1"/>
  <c r="I288" i="4"/>
  <c r="P288" i="4" s="1"/>
  <c r="M211" i="4"/>
  <c r="T211" i="4" s="1"/>
  <c r="M250" i="4"/>
  <c r="T250" i="4" s="1"/>
  <c r="M291" i="4"/>
  <c r="T291" i="4" s="1"/>
  <c r="I99" i="2"/>
  <c r="P99" i="2" s="1"/>
  <c r="H6" i="3"/>
  <c r="M135" i="4"/>
  <c r="T135" i="4" s="1"/>
  <c r="M122" i="2"/>
  <c r="T122" i="2" s="1"/>
  <c r="H66" i="3"/>
  <c r="M138" i="4"/>
  <c r="T138" i="4" s="1"/>
  <c r="H15" i="4"/>
  <c r="I78" i="4"/>
  <c r="M95" i="4"/>
  <c r="T95" i="4" s="1"/>
  <c r="H55" i="4"/>
  <c r="H95" i="4"/>
  <c r="O95" i="4" s="1"/>
  <c r="H215" i="4"/>
  <c r="H79" i="2"/>
  <c r="O79" i="2" s="1"/>
  <c r="M21" i="2"/>
  <c r="T21" i="2" s="1"/>
  <c r="M79" i="2"/>
  <c r="T79" i="2" s="1"/>
  <c r="H22" i="3"/>
  <c r="H69" i="3"/>
  <c r="H174" i="3"/>
  <c r="O174" i="3" s="1"/>
  <c r="I42" i="3"/>
  <c r="P42" i="3" s="1"/>
  <c r="M62" i="3"/>
  <c r="T62" i="3" s="1"/>
  <c r="H18" i="4"/>
  <c r="H135" i="4"/>
  <c r="I9" i="4"/>
  <c r="I138" i="4"/>
  <c r="P138" i="4" s="1"/>
  <c r="I208" i="4"/>
  <c r="P208" i="4" s="1"/>
  <c r="M15" i="4"/>
  <c r="T15" i="4" s="1"/>
  <c r="M55" i="4"/>
  <c r="T55" i="4" s="1"/>
  <c r="H156" i="2"/>
  <c r="O156" i="2" s="1"/>
  <c r="I122" i="2"/>
  <c r="P122" i="2" s="1"/>
  <c r="I82" i="3"/>
  <c r="P82" i="3" s="1"/>
  <c r="H26" i="4"/>
  <c r="H58" i="4"/>
  <c r="O58" i="4" s="1"/>
  <c r="H98" i="4"/>
  <c r="H146" i="4"/>
  <c r="H226" i="4"/>
  <c r="H266" i="4"/>
  <c r="M58" i="4"/>
  <c r="T58" i="4" s="1"/>
  <c r="M108" i="4"/>
  <c r="T108" i="4" s="1"/>
  <c r="M190" i="4"/>
  <c r="T190" i="4" s="1"/>
  <c r="M230" i="4"/>
  <c r="T230" i="4" s="1"/>
  <c r="M268" i="4"/>
  <c r="T268" i="4" s="1"/>
  <c r="O57" i="2"/>
  <c r="H99" i="2"/>
  <c r="I131" i="2"/>
  <c r="P131" i="2" s="1"/>
  <c r="M142" i="2"/>
  <c r="T142" i="2" s="1"/>
  <c r="H106" i="4"/>
  <c r="H230" i="4"/>
  <c r="I28" i="4"/>
  <c r="P28" i="4" s="1"/>
  <c r="M66" i="4"/>
  <c r="T66" i="4" s="1"/>
  <c r="M110" i="4"/>
  <c r="T110" i="4" s="1"/>
  <c r="M150" i="4"/>
  <c r="T150" i="4" s="1"/>
  <c r="M270" i="4"/>
  <c r="T270" i="4" s="1"/>
  <c r="O96" i="2"/>
  <c r="H132" i="3"/>
  <c r="I13" i="3"/>
  <c r="P13" i="3" s="1"/>
  <c r="N48" i="4"/>
  <c r="H110" i="4"/>
  <c r="H150" i="4"/>
  <c r="H191" i="4"/>
  <c r="H270" i="4"/>
  <c r="I158" i="4"/>
  <c r="P158" i="4" s="1"/>
  <c r="M71" i="4"/>
  <c r="T71" i="4" s="1"/>
  <c r="M235" i="4"/>
  <c r="T235" i="4" s="1"/>
  <c r="H36" i="2"/>
  <c r="I16" i="2"/>
  <c r="M96" i="2"/>
  <c r="T96" i="2" s="1"/>
  <c r="H133" i="3"/>
  <c r="M82" i="3"/>
  <c r="T82" i="3" s="1"/>
  <c r="H68" i="4"/>
  <c r="O68" i="4" s="1"/>
  <c r="H111" i="4"/>
  <c r="H235" i="4"/>
  <c r="H271" i="4"/>
  <c r="M28" i="4"/>
  <c r="T28" i="4" s="1"/>
  <c r="M115" i="4"/>
  <c r="T115" i="4" s="1"/>
  <c r="M198" i="4"/>
  <c r="T198" i="4" s="1"/>
  <c r="H195" i="4"/>
  <c r="O195" i="4" s="1"/>
  <c r="I38" i="4"/>
  <c r="P38" i="4" s="1"/>
  <c r="M29" i="4"/>
  <c r="T29" i="4" s="1"/>
  <c r="M75" i="4"/>
  <c r="T75" i="4" s="1"/>
  <c r="M166" i="4"/>
  <c r="T166" i="4" s="1"/>
  <c r="M275" i="4"/>
  <c r="T275" i="4" s="1"/>
  <c r="H97" i="3"/>
  <c r="H70" i="4"/>
  <c r="H115" i="4"/>
  <c r="H198" i="4"/>
  <c r="M30" i="4"/>
  <c r="T30" i="4" s="1"/>
  <c r="M78" i="4"/>
  <c r="T78" i="4" s="1"/>
  <c r="M168" i="4"/>
  <c r="T168" i="4" s="1"/>
  <c r="M238" i="4"/>
  <c r="T238" i="4" s="1"/>
  <c r="M286" i="4"/>
  <c r="T286" i="4" s="1"/>
  <c r="M51" i="2"/>
  <c r="T51" i="2" s="1"/>
  <c r="H46" i="3"/>
  <c r="O46" i="3" s="1"/>
  <c r="I17" i="3"/>
  <c r="M22" i="3"/>
  <c r="T22" i="3" s="1"/>
  <c r="M155" i="3"/>
  <c r="T155" i="3" s="1"/>
  <c r="H38" i="4"/>
  <c r="H71" i="4"/>
  <c r="H238" i="4"/>
  <c r="H275" i="4"/>
  <c r="O275" i="4" s="1"/>
  <c r="M169" i="4"/>
  <c r="T169" i="4" s="1"/>
  <c r="M54" i="2"/>
  <c r="T54" i="2" s="1"/>
  <c r="M114" i="2"/>
  <c r="T114" i="2" s="1"/>
  <c r="H47" i="3"/>
  <c r="H102" i="3"/>
  <c r="I153" i="3"/>
  <c r="P153" i="3" s="1"/>
  <c r="M86" i="3"/>
  <c r="T86" i="3" s="1"/>
  <c r="H166" i="4"/>
  <c r="H286" i="4"/>
  <c r="M86" i="4"/>
  <c r="T86" i="4" s="1"/>
  <c r="M246" i="4"/>
  <c r="T246" i="4" s="1"/>
  <c r="H178" i="3"/>
  <c r="O178" i="3" s="1"/>
  <c r="I31" i="2"/>
  <c r="P31" i="2" s="1"/>
  <c r="I95" i="2"/>
  <c r="P95" i="2" s="1"/>
  <c r="O107" i="2"/>
  <c r="O110" i="2"/>
  <c r="O40" i="3"/>
  <c r="O63" i="2"/>
  <c r="O41" i="3"/>
  <c r="N107" i="3"/>
  <c r="H108" i="2"/>
  <c r="O108" i="2" s="1"/>
  <c r="N68" i="3"/>
  <c r="O68" i="3"/>
  <c r="I84" i="2"/>
  <c r="P84" i="2" s="1"/>
  <c r="H84" i="2"/>
  <c r="I5" i="2"/>
  <c r="P5" i="2" s="1"/>
  <c r="H5" i="2"/>
  <c r="I125" i="2"/>
  <c r="P125" i="2" s="1"/>
  <c r="M125" i="2"/>
  <c r="T125" i="2" s="1"/>
  <c r="H125" i="2"/>
  <c r="M46" i="2"/>
  <c r="T46" i="2" s="1"/>
  <c r="I46" i="2"/>
  <c r="P46" i="2" s="1"/>
  <c r="H46" i="2"/>
  <c r="H106" i="2"/>
  <c r="M106" i="2"/>
  <c r="T106" i="2" s="1"/>
  <c r="I106" i="2"/>
  <c r="P106" i="2" s="1"/>
  <c r="M67" i="2"/>
  <c r="T67" i="2" s="1"/>
  <c r="I67" i="2"/>
  <c r="P67" i="2" s="1"/>
  <c r="H67" i="2"/>
  <c r="O150" i="3"/>
  <c r="I148" i="2"/>
  <c r="P148" i="2" s="1"/>
  <c r="M148" i="2"/>
  <c r="T148" i="2" s="1"/>
  <c r="M109" i="2"/>
  <c r="T109" i="2" s="1"/>
  <c r="I109" i="2"/>
  <c r="P109" i="2" s="1"/>
  <c r="M90" i="2"/>
  <c r="T90" i="2" s="1"/>
  <c r="I90" i="2"/>
  <c r="P90" i="2" s="1"/>
  <c r="H90" i="2"/>
  <c r="I13" i="2"/>
  <c r="P13" i="2" s="1"/>
  <c r="M13" i="2"/>
  <c r="T13" i="2" s="1"/>
  <c r="I33" i="2"/>
  <c r="P33" i="2" s="1"/>
  <c r="M33" i="2"/>
  <c r="T33" i="2" s="1"/>
  <c r="H33" i="2"/>
  <c r="H53" i="2"/>
  <c r="I53" i="2"/>
  <c r="P53" i="2" s="1"/>
  <c r="M73" i="2"/>
  <c r="T73" i="2" s="1"/>
  <c r="H73" i="2"/>
  <c r="I73" i="2"/>
  <c r="P73" i="2" s="1"/>
  <c r="I93" i="2"/>
  <c r="P93" i="2" s="1"/>
  <c r="H93" i="2"/>
  <c r="M93" i="2"/>
  <c r="T93" i="2" s="1"/>
  <c r="I113" i="2"/>
  <c r="P113" i="2" s="1"/>
  <c r="M113" i="2"/>
  <c r="T113" i="2" s="1"/>
  <c r="M133" i="2"/>
  <c r="T133" i="2" s="1"/>
  <c r="H133" i="2"/>
  <c r="I133" i="2"/>
  <c r="P133" i="2" s="1"/>
  <c r="M153" i="2"/>
  <c r="T153" i="2" s="1"/>
  <c r="I153" i="2"/>
  <c r="H109" i="2"/>
  <c r="O109" i="2" s="1"/>
  <c r="P124" i="4"/>
  <c r="O175" i="4"/>
  <c r="N175" i="4"/>
  <c r="M19" i="3"/>
  <c r="T19" i="3" s="1"/>
  <c r="I19" i="3"/>
  <c r="P19" i="3" s="1"/>
  <c r="H19" i="3"/>
  <c r="M39" i="3"/>
  <c r="T39" i="3" s="1"/>
  <c r="I39" i="3"/>
  <c r="P39" i="3" s="1"/>
  <c r="I59" i="3"/>
  <c r="P59" i="3" s="1"/>
  <c r="H59" i="3"/>
  <c r="M59" i="3"/>
  <c r="T59" i="3" s="1"/>
  <c r="M79" i="3"/>
  <c r="T79" i="3" s="1"/>
  <c r="I79" i="3"/>
  <c r="P79" i="3" s="1"/>
  <c r="H79" i="3"/>
  <c r="H99" i="3"/>
  <c r="I99" i="3"/>
  <c r="P99" i="3" s="1"/>
  <c r="M99" i="3"/>
  <c r="T99" i="3" s="1"/>
  <c r="M119" i="3"/>
  <c r="T119" i="3" s="1"/>
  <c r="H119" i="3"/>
  <c r="I119" i="3"/>
  <c r="P119" i="3" s="1"/>
  <c r="H139" i="3"/>
  <c r="I139" i="3"/>
  <c r="P139" i="3" s="1"/>
  <c r="M139" i="3"/>
  <c r="T139" i="3" s="1"/>
  <c r="H159" i="3"/>
  <c r="M159" i="3"/>
  <c r="T159" i="3" s="1"/>
  <c r="I179" i="3"/>
  <c r="P179" i="3" s="1"/>
  <c r="M179" i="3"/>
  <c r="T179" i="3" s="1"/>
  <c r="H179" i="3"/>
  <c r="H39" i="3"/>
  <c r="O71" i="3"/>
  <c r="N71" i="3"/>
  <c r="N177" i="4"/>
  <c r="O177" i="4"/>
  <c r="N2" i="4"/>
  <c r="P2" i="4"/>
  <c r="P184" i="4"/>
  <c r="N184" i="4"/>
  <c r="I61" i="3"/>
  <c r="P61" i="3" s="1"/>
  <c r="H61" i="3"/>
  <c r="I4" i="2"/>
  <c r="P4" i="2" s="1"/>
  <c r="M4" i="2"/>
  <c r="T4" i="2" s="1"/>
  <c r="H4" i="2"/>
  <c r="I105" i="2"/>
  <c r="P105" i="2" s="1"/>
  <c r="H105" i="2"/>
  <c r="M105" i="2"/>
  <c r="T105" i="2" s="1"/>
  <c r="M7" i="2"/>
  <c r="T7" i="2" s="1"/>
  <c r="H7" i="2"/>
  <c r="I7" i="2"/>
  <c r="P7" i="2" s="1"/>
  <c r="M87" i="2"/>
  <c r="T87" i="2" s="1"/>
  <c r="H87" i="2"/>
  <c r="I87" i="2"/>
  <c r="P87" i="2" s="1"/>
  <c r="H147" i="2"/>
  <c r="I147" i="2"/>
  <c r="P147" i="2" s="1"/>
  <c r="M8" i="2"/>
  <c r="T8" i="2" s="1"/>
  <c r="I8" i="2"/>
  <c r="P8" i="2" s="1"/>
  <c r="H8" i="2"/>
  <c r="M128" i="2"/>
  <c r="T128" i="2" s="1"/>
  <c r="H128" i="2"/>
  <c r="H29" i="2"/>
  <c r="I29" i="2"/>
  <c r="P29" i="2" s="1"/>
  <c r="M29" i="2"/>
  <c r="T29" i="2" s="1"/>
  <c r="M110" i="2"/>
  <c r="T110" i="2" s="1"/>
  <c r="I110" i="2"/>
  <c r="P110" i="2" s="1"/>
  <c r="N154" i="2"/>
  <c r="O154" i="2"/>
  <c r="I108" i="2"/>
  <c r="O153" i="3"/>
  <c r="I180" i="3"/>
  <c r="P180" i="3" s="1"/>
  <c r="M180" i="3"/>
  <c r="T180" i="3" s="1"/>
  <c r="H180" i="3"/>
  <c r="O180" i="3" s="1"/>
  <c r="P187" i="4"/>
  <c r="N187" i="4"/>
  <c r="I81" i="3"/>
  <c r="P81" i="3" s="1"/>
  <c r="M81" i="3"/>
  <c r="T81" i="3" s="1"/>
  <c r="H81" i="3"/>
  <c r="M5" i="2"/>
  <c r="T5" i="2" s="1"/>
  <c r="N183" i="4"/>
  <c r="O257" i="4"/>
  <c r="N78" i="4"/>
  <c r="P78" i="4"/>
  <c r="M66" i="2"/>
  <c r="T66" i="2" s="1"/>
  <c r="I66" i="2"/>
  <c r="P66" i="2" s="1"/>
  <c r="H66" i="2"/>
  <c r="O148" i="2"/>
  <c r="M129" i="2"/>
  <c r="T129" i="2" s="1"/>
  <c r="H129" i="2"/>
  <c r="M30" i="2"/>
  <c r="T30" i="2" s="1"/>
  <c r="I30" i="2"/>
  <c r="P30" i="2" s="1"/>
  <c r="I80" i="3"/>
  <c r="P80" i="3" s="1"/>
  <c r="M80" i="3"/>
  <c r="T80" i="3" s="1"/>
  <c r="I41" i="3"/>
  <c r="P41" i="3" s="1"/>
  <c r="M41" i="3"/>
  <c r="T41" i="3" s="1"/>
  <c r="I181" i="3"/>
  <c r="P181" i="3" s="1"/>
  <c r="M181" i="3"/>
  <c r="T181" i="3" s="1"/>
  <c r="H181" i="3"/>
  <c r="N132" i="4"/>
  <c r="O132" i="4"/>
  <c r="P129" i="4"/>
  <c r="H80" i="3"/>
  <c r="M61" i="3"/>
  <c r="T61" i="3" s="1"/>
  <c r="O17" i="4"/>
  <c r="N17" i="4"/>
  <c r="I64" i="2"/>
  <c r="P64" i="2" s="1"/>
  <c r="M64" i="2"/>
  <c r="T64" i="2" s="1"/>
  <c r="I144" i="2"/>
  <c r="P144" i="2" s="1"/>
  <c r="H144" i="2"/>
  <c r="M144" i="2"/>
  <c r="T144" i="2" s="1"/>
  <c r="I25" i="2"/>
  <c r="P25" i="2" s="1"/>
  <c r="H25" i="2"/>
  <c r="M25" i="2"/>
  <c r="T25" i="2" s="1"/>
  <c r="I85" i="2"/>
  <c r="P85" i="2" s="1"/>
  <c r="H85" i="2"/>
  <c r="I145" i="2"/>
  <c r="P145" i="2" s="1"/>
  <c r="H145" i="2"/>
  <c r="M145" i="2"/>
  <c r="T145" i="2" s="1"/>
  <c r="M6" i="2"/>
  <c r="T6" i="2" s="1"/>
  <c r="H6" i="2"/>
  <c r="I6" i="2"/>
  <c r="P6" i="2" s="1"/>
  <c r="H146" i="2"/>
  <c r="I146" i="2"/>
  <c r="P146" i="2" s="1"/>
  <c r="M146" i="2"/>
  <c r="T146" i="2" s="1"/>
  <c r="M48" i="2"/>
  <c r="T48" i="2" s="1"/>
  <c r="H48" i="2"/>
  <c r="I48" i="2"/>
  <c r="P48" i="2" s="1"/>
  <c r="M88" i="2"/>
  <c r="T88" i="2" s="1"/>
  <c r="I88" i="2"/>
  <c r="P88" i="2" s="1"/>
  <c r="H88" i="2"/>
  <c r="O150" i="2"/>
  <c r="N150" i="2"/>
  <c r="M69" i="2"/>
  <c r="T69" i="2" s="1"/>
  <c r="H69" i="2"/>
  <c r="I69" i="2"/>
  <c r="P69" i="2" s="1"/>
  <c r="M70" i="2"/>
  <c r="T70" i="2" s="1"/>
  <c r="H70" i="2"/>
  <c r="M53" i="2"/>
  <c r="T53" i="2" s="1"/>
  <c r="I140" i="3"/>
  <c r="P140" i="3" s="1"/>
  <c r="H140" i="3"/>
  <c r="M140" i="3"/>
  <c r="T140" i="3" s="1"/>
  <c r="I121" i="3"/>
  <c r="P121" i="3" s="1"/>
  <c r="M121" i="3"/>
  <c r="T121" i="3" s="1"/>
  <c r="H121" i="3"/>
  <c r="P158" i="2"/>
  <c r="H13" i="2"/>
  <c r="N122" i="2"/>
  <c r="I104" i="2"/>
  <c r="P104" i="2" s="1"/>
  <c r="H104" i="2"/>
  <c r="M104" i="2"/>
  <c r="T104" i="2" s="1"/>
  <c r="I45" i="2"/>
  <c r="P45" i="2" s="1"/>
  <c r="M45" i="2"/>
  <c r="T45" i="2" s="1"/>
  <c r="H45" i="2"/>
  <c r="M26" i="2"/>
  <c r="T26" i="2" s="1"/>
  <c r="H26" i="2"/>
  <c r="M86" i="2"/>
  <c r="T86" i="2" s="1"/>
  <c r="H86" i="2"/>
  <c r="O19" i="2"/>
  <c r="M68" i="2"/>
  <c r="T68" i="2" s="1"/>
  <c r="I68" i="2"/>
  <c r="P68" i="2" s="1"/>
  <c r="H68" i="2"/>
  <c r="I9" i="2"/>
  <c r="P9" i="2" s="1"/>
  <c r="H9" i="2"/>
  <c r="M149" i="2"/>
  <c r="T149" i="2" s="1"/>
  <c r="I149" i="2"/>
  <c r="P149" i="2" s="1"/>
  <c r="H50" i="2"/>
  <c r="I50" i="2"/>
  <c r="P50" i="2" s="1"/>
  <c r="H113" i="2"/>
  <c r="I20" i="3"/>
  <c r="P20" i="3" s="1"/>
  <c r="M20" i="3"/>
  <c r="T20" i="3" s="1"/>
  <c r="H20" i="3"/>
  <c r="I100" i="3"/>
  <c r="P100" i="3" s="1"/>
  <c r="H100" i="3"/>
  <c r="M100" i="3"/>
  <c r="T100" i="3" s="1"/>
  <c r="I141" i="3"/>
  <c r="P141" i="3" s="1"/>
  <c r="H141" i="3"/>
  <c r="M141" i="3"/>
  <c r="T141" i="3" s="1"/>
  <c r="O210" i="4"/>
  <c r="H64" i="2"/>
  <c r="O64" i="2" s="1"/>
  <c r="M4" i="4"/>
  <c r="T4" i="4" s="1"/>
  <c r="H4" i="4"/>
  <c r="M24" i="4"/>
  <c r="T24" i="4" s="1"/>
  <c r="H24" i="4"/>
  <c r="I24" i="4"/>
  <c r="P24" i="4" s="1"/>
  <c r="M44" i="4"/>
  <c r="T44" i="4" s="1"/>
  <c r="H44" i="4"/>
  <c r="I44" i="4"/>
  <c r="P44" i="4" s="1"/>
  <c r="M64" i="4"/>
  <c r="T64" i="4" s="1"/>
  <c r="H64" i="4"/>
  <c r="I64" i="4"/>
  <c r="P64" i="4" s="1"/>
  <c r="M84" i="4"/>
  <c r="T84" i="4" s="1"/>
  <c r="H84" i="4"/>
  <c r="I84" i="4"/>
  <c r="P84" i="4" s="1"/>
  <c r="M104" i="4"/>
  <c r="T104" i="4" s="1"/>
  <c r="H104" i="4"/>
  <c r="I104" i="4"/>
  <c r="P104" i="4" s="1"/>
  <c r="I44" i="2"/>
  <c r="P44" i="2" s="1"/>
  <c r="M44" i="2"/>
  <c r="T44" i="2" s="1"/>
  <c r="H44" i="2"/>
  <c r="I65" i="2"/>
  <c r="P65" i="2" s="1"/>
  <c r="M65" i="2"/>
  <c r="T65" i="2" s="1"/>
  <c r="H65" i="2"/>
  <c r="M27" i="2"/>
  <c r="T27" i="2" s="1"/>
  <c r="H27" i="2"/>
  <c r="M107" i="2"/>
  <c r="T107" i="2" s="1"/>
  <c r="I107" i="2"/>
  <c r="P107" i="2" s="1"/>
  <c r="M49" i="2"/>
  <c r="T49" i="2" s="1"/>
  <c r="H49" i="2"/>
  <c r="M130" i="2"/>
  <c r="T130" i="2" s="1"/>
  <c r="H130" i="2"/>
  <c r="I130" i="2"/>
  <c r="P130" i="2" s="1"/>
  <c r="O67" i="3"/>
  <c r="N67" i="3"/>
  <c r="I40" i="3"/>
  <c r="P40" i="3" s="1"/>
  <c r="M40" i="3"/>
  <c r="T40" i="3" s="1"/>
  <c r="I120" i="3"/>
  <c r="P120" i="3" s="1"/>
  <c r="M120" i="3"/>
  <c r="T120" i="3" s="1"/>
  <c r="H120" i="3"/>
  <c r="O72" i="3"/>
  <c r="P128" i="4"/>
  <c r="I21" i="3"/>
  <c r="P21" i="3" s="1"/>
  <c r="H21" i="3"/>
  <c r="I101" i="3"/>
  <c r="P101" i="3" s="1"/>
  <c r="M101" i="3"/>
  <c r="T101" i="3" s="1"/>
  <c r="H101" i="3"/>
  <c r="I24" i="2"/>
  <c r="P24" i="2" s="1"/>
  <c r="M24" i="2"/>
  <c r="T24" i="2" s="1"/>
  <c r="H24" i="2"/>
  <c r="I124" i="2"/>
  <c r="P124" i="2" s="1"/>
  <c r="H124" i="2"/>
  <c r="M124" i="2"/>
  <c r="T124" i="2" s="1"/>
  <c r="M126" i="2"/>
  <c r="T126" i="2" s="1"/>
  <c r="H126" i="2"/>
  <c r="N126" i="2" s="1"/>
  <c r="M47" i="2"/>
  <c r="T47" i="2" s="1"/>
  <c r="H47" i="2"/>
  <c r="I47" i="2"/>
  <c r="P47" i="2" s="1"/>
  <c r="M127" i="2"/>
  <c r="T127" i="2" s="1"/>
  <c r="H127" i="2"/>
  <c r="N127" i="2" s="1"/>
  <c r="M28" i="2"/>
  <c r="T28" i="2" s="1"/>
  <c r="H28" i="2"/>
  <c r="P94" i="2"/>
  <c r="N94" i="2"/>
  <c r="M89" i="2"/>
  <c r="T89" i="2" s="1"/>
  <c r="I89" i="2"/>
  <c r="P89" i="2" s="1"/>
  <c r="H89" i="2"/>
  <c r="I10" i="2"/>
  <c r="P10" i="2" s="1"/>
  <c r="H10" i="2"/>
  <c r="M150" i="2"/>
  <c r="T150" i="2" s="1"/>
  <c r="I150" i="2"/>
  <c r="P150" i="2" s="1"/>
  <c r="O30" i="2"/>
  <c r="I60" i="3"/>
  <c r="P60" i="3" s="1"/>
  <c r="H60" i="3"/>
  <c r="M60" i="3"/>
  <c r="T60" i="3" s="1"/>
  <c r="I160" i="3"/>
  <c r="P160" i="3" s="1"/>
  <c r="H160" i="3"/>
  <c r="M160" i="3"/>
  <c r="T160" i="3" s="1"/>
  <c r="O152" i="3"/>
  <c r="I161" i="3"/>
  <c r="P161" i="3" s="1"/>
  <c r="H161" i="3"/>
  <c r="M161" i="3"/>
  <c r="T161" i="3" s="1"/>
  <c r="P34" i="3"/>
  <c r="I3" i="2"/>
  <c r="M3" i="2"/>
  <c r="H3" i="2"/>
  <c r="I23" i="2"/>
  <c r="P23" i="2" s="1"/>
  <c r="M23" i="2"/>
  <c r="T23" i="2" s="1"/>
  <c r="I43" i="2"/>
  <c r="P43" i="2" s="1"/>
  <c r="H43" i="2"/>
  <c r="I63" i="2"/>
  <c r="P63" i="2" s="1"/>
  <c r="M63" i="2"/>
  <c r="T63" i="2" s="1"/>
  <c r="I83" i="2"/>
  <c r="P83" i="2" s="1"/>
  <c r="H83" i="2"/>
  <c r="I103" i="2"/>
  <c r="P103" i="2" s="1"/>
  <c r="M103" i="2"/>
  <c r="T103" i="2" s="1"/>
  <c r="H103" i="2"/>
  <c r="I123" i="2"/>
  <c r="P123" i="2" s="1"/>
  <c r="H123" i="2"/>
  <c r="M123" i="2"/>
  <c r="T123" i="2" s="1"/>
  <c r="I26" i="2"/>
  <c r="P26" i="2" s="1"/>
  <c r="I128" i="2"/>
  <c r="P128" i="2" s="1"/>
  <c r="N31" i="4"/>
  <c r="O31" i="4"/>
  <c r="O57" i="4"/>
  <c r="N258" i="4"/>
  <c r="O258" i="4"/>
  <c r="N249" i="4"/>
  <c r="P249" i="4"/>
  <c r="M124" i="4"/>
  <c r="T124" i="4" s="1"/>
  <c r="H124" i="4"/>
  <c r="O124" i="4" s="1"/>
  <c r="M144" i="4"/>
  <c r="T144" i="4" s="1"/>
  <c r="H144" i="4"/>
  <c r="I144" i="4"/>
  <c r="P144" i="4" s="1"/>
  <c r="M164" i="4"/>
  <c r="T164" i="4" s="1"/>
  <c r="H164" i="4"/>
  <c r="I164" i="4"/>
  <c r="P164" i="4" s="1"/>
  <c r="M204" i="4"/>
  <c r="T204" i="4" s="1"/>
  <c r="H204" i="4"/>
  <c r="I204" i="4"/>
  <c r="P204" i="4" s="1"/>
  <c r="M224" i="4"/>
  <c r="T224" i="4" s="1"/>
  <c r="H224" i="4"/>
  <c r="I224" i="4"/>
  <c r="P224" i="4" s="1"/>
  <c r="M244" i="4"/>
  <c r="T244" i="4" s="1"/>
  <c r="H244" i="4"/>
  <c r="I244" i="4"/>
  <c r="P244" i="4" s="1"/>
  <c r="M264" i="4"/>
  <c r="T264" i="4" s="1"/>
  <c r="H264" i="4"/>
  <c r="I264" i="4"/>
  <c r="P264" i="4" s="1"/>
  <c r="M284" i="4"/>
  <c r="T284" i="4" s="1"/>
  <c r="H284" i="4"/>
  <c r="I284" i="4"/>
  <c r="P284" i="4" s="1"/>
  <c r="O186" i="4"/>
  <c r="N186" i="4"/>
  <c r="I12" i="2"/>
  <c r="P12" i="2" s="1"/>
  <c r="M12" i="2"/>
  <c r="T12" i="2" s="1"/>
  <c r="M32" i="2"/>
  <c r="T32" i="2" s="1"/>
  <c r="H32" i="2"/>
  <c r="H52" i="2"/>
  <c r="M52" i="2"/>
  <c r="T52" i="2" s="1"/>
  <c r="M72" i="2"/>
  <c r="T72" i="2" s="1"/>
  <c r="H72" i="2"/>
  <c r="I92" i="2"/>
  <c r="P92" i="2" s="1"/>
  <c r="M92" i="2"/>
  <c r="T92" i="2" s="1"/>
  <c r="M112" i="2"/>
  <c r="T112" i="2" s="1"/>
  <c r="H112" i="2"/>
  <c r="I112" i="2"/>
  <c r="P112" i="2" s="1"/>
  <c r="M132" i="2"/>
  <c r="T132" i="2" s="1"/>
  <c r="H132" i="2"/>
  <c r="M152" i="2"/>
  <c r="T152" i="2" s="1"/>
  <c r="I152" i="2"/>
  <c r="P152" i="2" s="1"/>
  <c r="H152" i="2"/>
  <c r="H114" i="2"/>
  <c r="M5" i="4"/>
  <c r="T5" i="4" s="1"/>
  <c r="H5" i="4"/>
  <c r="M25" i="4"/>
  <c r="T25" i="4" s="1"/>
  <c r="H25" i="4"/>
  <c r="O25" i="4" s="1"/>
  <c r="I25" i="4"/>
  <c r="M45" i="4"/>
  <c r="T45" i="4" s="1"/>
  <c r="H45" i="4"/>
  <c r="I45" i="4"/>
  <c r="P45" i="4" s="1"/>
  <c r="M65" i="4"/>
  <c r="T65" i="4" s="1"/>
  <c r="H65" i="4"/>
  <c r="I65" i="4"/>
  <c r="P65" i="4" s="1"/>
  <c r="M85" i="4"/>
  <c r="T85" i="4" s="1"/>
  <c r="H85" i="4"/>
  <c r="I85" i="4"/>
  <c r="P85" i="4" s="1"/>
  <c r="M105" i="4"/>
  <c r="T105" i="4" s="1"/>
  <c r="H105" i="4"/>
  <c r="I105" i="4"/>
  <c r="P105" i="4" s="1"/>
  <c r="M125" i="4"/>
  <c r="T125" i="4" s="1"/>
  <c r="H125" i="4"/>
  <c r="M145" i="4"/>
  <c r="T145" i="4" s="1"/>
  <c r="H145" i="4"/>
  <c r="I145" i="4"/>
  <c r="P145" i="4" s="1"/>
  <c r="M165" i="4"/>
  <c r="T165" i="4" s="1"/>
  <c r="H165" i="4"/>
  <c r="I165" i="4"/>
  <c r="P165" i="4" s="1"/>
  <c r="M185" i="4"/>
  <c r="T185" i="4" s="1"/>
  <c r="H185" i="4"/>
  <c r="I185" i="4"/>
  <c r="P185" i="4" s="1"/>
  <c r="M205" i="4"/>
  <c r="T205" i="4" s="1"/>
  <c r="H205" i="4"/>
  <c r="I205" i="4"/>
  <c r="P205" i="4" s="1"/>
  <c r="M225" i="4"/>
  <c r="T225" i="4" s="1"/>
  <c r="H225" i="4"/>
  <c r="M245" i="4"/>
  <c r="T245" i="4" s="1"/>
  <c r="H245" i="4"/>
  <c r="O245" i="4" s="1"/>
  <c r="I245" i="4"/>
  <c r="M265" i="4"/>
  <c r="T265" i="4" s="1"/>
  <c r="H265" i="4"/>
  <c r="I265" i="4"/>
  <c r="P265" i="4" s="1"/>
  <c r="M285" i="4"/>
  <c r="T285" i="4" s="1"/>
  <c r="H285" i="4"/>
  <c r="I285" i="4"/>
  <c r="P285" i="4" s="1"/>
  <c r="N30" i="4"/>
  <c r="O30" i="4"/>
  <c r="O98" i="4"/>
  <c r="N88" i="4"/>
  <c r="P88" i="4"/>
  <c r="I34" i="2"/>
  <c r="P34" i="2" s="1"/>
  <c r="H34" i="2"/>
  <c r="M74" i="2"/>
  <c r="T74" i="2" s="1"/>
  <c r="H74" i="2"/>
  <c r="I74" i="2"/>
  <c r="P74" i="2" s="1"/>
  <c r="M134" i="2"/>
  <c r="T134" i="2" s="1"/>
  <c r="I134" i="2"/>
  <c r="P134" i="2" s="1"/>
  <c r="N268" i="4"/>
  <c r="P268" i="4"/>
  <c r="O33" i="4"/>
  <c r="O107" i="4"/>
  <c r="N66" i="4"/>
  <c r="N39" i="2"/>
  <c r="O39" i="2"/>
  <c r="I52" i="2"/>
  <c r="P52" i="2" s="1"/>
  <c r="M34" i="2"/>
  <c r="T34" i="2" s="1"/>
  <c r="N46" i="3"/>
  <c r="I14" i="2"/>
  <c r="O69" i="4"/>
  <c r="N69" i="4"/>
  <c r="N137" i="2"/>
  <c r="P137" i="2"/>
  <c r="M9" i="3"/>
  <c r="T9" i="3" s="1"/>
  <c r="H9" i="3"/>
  <c r="I9" i="3"/>
  <c r="M29" i="3"/>
  <c r="T29" i="3" s="1"/>
  <c r="I29" i="3"/>
  <c r="P29" i="3" s="1"/>
  <c r="H29" i="3"/>
  <c r="M49" i="3"/>
  <c r="T49" i="3" s="1"/>
  <c r="I49" i="3"/>
  <c r="P49" i="3" s="1"/>
  <c r="H49" i="3"/>
  <c r="O49" i="3" s="1"/>
  <c r="M89" i="3"/>
  <c r="T89" i="3" s="1"/>
  <c r="I89" i="3"/>
  <c r="P89" i="3" s="1"/>
  <c r="H89" i="3"/>
  <c r="M109" i="3"/>
  <c r="T109" i="3" s="1"/>
  <c r="H109" i="3"/>
  <c r="M129" i="3"/>
  <c r="T129" i="3" s="1"/>
  <c r="H129" i="3"/>
  <c r="I129" i="3"/>
  <c r="P129" i="3" s="1"/>
  <c r="M149" i="3"/>
  <c r="T149" i="3" s="1"/>
  <c r="I149" i="3"/>
  <c r="P149" i="3" s="1"/>
  <c r="M169" i="3"/>
  <c r="T169" i="3" s="1"/>
  <c r="I169" i="3"/>
  <c r="P169" i="3" s="1"/>
  <c r="H169" i="3"/>
  <c r="O28" i="4"/>
  <c r="I30" i="3"/>
  <c r="P30" i="3" s="1"/>
  <c r="H30" i="3"/>
  <c r="M30" i="3"/>
  <c r="T30" i="3" s="1"/>
  <c r="I50" i="3"/>
  <c r="P50" i="3" s="1"/>
  <c r="M50" i="3"/>
  <c r="T50" i="3" s="1"/>
  <c r="H50" i="3"/>
  <c r="M90" i="3"/>
  <c r="T90" i="3" s="1"/>
  <c r="I90" i="3"/>
  <c r="P90" i="3" s="1"/>
  <c r="H90" i="3"/>
  <c r="H110" i="3"/>
  <c r="M110" i="3"/>
  <c r="T110" i="3" s="1"/>
  <c r="H130" i="3"/>
  <c r="M130" i="3"/>
  <c r="T130" i="3" s="1"/>
  <c r="I130" i="3"/>
  <c r="P130" i="3" s="1"/>
  <c r="I150" i="3"/>
  <c r="P150" i="3" s="1"/>
  <c r="M150" i="3"/>
  <c r="T150" i="3" s="1"/>
  <c r="M170" i="3"/>
  <c r="T170" i="3" s="1"/>
  <c r="I170" i="3"/>
  <c r="P170" i="3" s="1"/>
  <c r="H170" i="3"/>
  <c r="I10" i="3"/>
  <c r="I12" i="4"/>
  <c r="P12" i="4" s="1"/>
  <c r="H12" i="4"/>
  <c r="I32" i="4"/>
  <c r="P32" i="4" s="1"/>
  <c r="M32" i="4"/>
  <c r="T32" i="4" s="1"/>
  <c r="I52" i="4"/>
  <c r="P52" i="4" s="1"/>
  <c r="H52" i="4"/>
  <c r="M52" i="4"/>
  <c r="T52" i="4" s="1"/>
  <c r="I72" i="4"/>
  <c r="P72" i="4" s="1"/>
  <c r="M72" i="4"/>
  <c r="T72" i="4" s="1"/>
  <c r="H72" i="4"/>
  <c r="I92" i="4"/>
  <c r="H92" i="4"/>
  <c r="O92" i="4" s="1"/>
  <c r="I112" i="4"/>
  <c r="P112" i="4" s="1"/>
  <c r="H112" i="4"/>
  <c r="M112" i="4"/>
  <c r="T112" i="4" s="1"/>
  <c r="I132" i="4"/>
  <c r="P132" i="4" s="1"/>
  <c r="M132" i="4"/>
  <c r="T132" i="4" s="1"/>
  <c r="I152" i="4"/>
  <c r="P152" i="4" s="1"/>
  <c r="M152" i="4"/>
  <c r="T152" i="4" s="1"/>
  <c r="H152" i="4"/>
  <c r="I172" i="4"/>
  <c r="P172" i="4" s="1"/>
  <c r="H172" i="4"/>
  <c r="M172" i="4"/>
  <c r="T172" i="4" s="1"/>
  <c r="I192" i="4"/>
  <c r="P192" i="4" s="1"/>
  <c r="M192" i="4"/>
  <c r="T192" i="4" s="1"/>
  <c r="H192" i="4"/>
  <c r="I232" i="4"/>
  <c r="H232" i="4"/>
  <c r="O232" i="4" s="1"/>
  <c r="M232" i="4"/>
  <c r="T232" i="4" s="1"/>
  <c r="I252" i="4"/>
  <c r="P252" i="4" s="1"/>
  <c r="M252" i="4"/>
  <c r="T252" i="4" s="1"/>
  <c r="H252" i="4"/>
  <c r="O27" i="4"/>
  <c r="N58" i="4"/>
  <c r="H134" i="2"/>
  <c r="O134" i="2" s="1"/>
  <c r="H11" i="3"/>
  <c r="O11" i="3" s="1"/>
  <c r="M11" i="3"/>
  <c r="T11" i="3" s="1"/>
  <c r="I31" i="3"/>
  <c r="P31" i="3" s="1"/>
  <c r="H31" i="3"/>
  <c r="M31" i="3"/>
  <c r="T31" i="3" s="1"/>
  <c r="I51" i="3"/>
  <c r="P51" i="3" s="1"/>
  <c r="M51" i="3"/>
  <c r="T51" i="3" s="1"/>
  <c r="H51" i="3"/>
  <c r="O51" i="3" s="1"/>
  <c r="M91" i="3"/>
  <c r="T91" i="3" s="1"/>
  <c r="H91" i="3"/>
  <c r="I91" i="3"/>
  <c r="P91" i="3" s="1"/>
  <c r="H111" i="3"/>
  <c r="M111" i="3"/>
  <c r="T111" i="3" s="1"/>
  <c r="M131" i="3"/>
  <c r="T131" i="3" s="1"/>
  <c r="I131" i="3"/>
  <c r="P131" i="3" s="1"/>
  <c r="M151" i="3"/>
  <c r="T151" i="3" s="1"/>
  <c r="I151" i="3"/>
  <c r="P151" i="3" s="1"/>
  <c r="H151" i="3"/>
  <c r="M171" i="3"/>
  <c r="T171" i="3" s="1"/>
  <c r="I171" i="3"/>
  <c r="P171" i="3" s="1"/>
  <c r="H171" i="3"/>
  <c r="I11" i="3"/>
  <c r="I13" i="4"/>
  <c r="P13" i="4" s="1"/>
  <c r="H13" i="4"/>
  <c r="M13" i="4"/>
  <c r="T13" i="4" s="1"/>
  <c r="I33" i="4"/>
  <c r="P33" i="4" s="1"/>
  <c r="M33" i="4"/>
  <c r="T33" i="4" s="1"/>
  <c r="I53" i="4"/>
  <c r="P53" i="4" s="1"/>
  <c r="H53" i="4"/>
  <c r="I73" i="4"/>
  <c r="P73" i="4" s="1"/>
  <c r="M73" i="4"/>
  <c r="T73" i="4" s="1"/>
  <c r="I93" i="4"/>
  <c r="M93" i="4"/>
  <c r="T93" i="4" s="1"/>
  <c r="I113" i="4"/>
  <c r="P113" i="4" s="1"/>
  <c r="H113" i="4"/>
  <c r="M113" i="4"/>
  <c r="T113" i="4" s="1"/>
  <c r="I153" i="4"/>
  <c r="P153" i="4" s="1"/>
  <c r="M153" i="4"/>
  <c r="T153" i="4" s="1"/>
  <c r="H153" i="4"/>
  <c r="I173" i="4"/>
  <c r="P173" i="4" s="1"/>
  <c r="H173" i="4"/>
  <c r="I193" i="4"/>
  <c r="P193" i="4" s="1"/>
  <c r="H193" i="4"/>
  <c r="M193" i="4"/>
  <c r="T193" i="4" s="1"/>
  <c r="I213" i="4"/>
  <c r="P213" i="4" s="1"/>
  <c r="H213" i="4"/>
  <c r="M213" i="4"/>
  <c r="T213" i="4" s="1"/>
  <c r="I233" i="4"/>
  <c r="H233" i="4"/>
  <c r="O233" i="4" s="1"/>
  <c r="I253" i="4"/>
  <c r="P253" i="4" s="1"/>
  <c r="H253" i="4"/>
  <c r="M253" i="4"/>
  <c r="T253" i="4" s="1"/>
  <c r="I273" i="4"/>
  <c r="P273" i="4" s="1"/>
  <c r="H273" i="4"/>
  <c r="N3" i="4"/>
  <c r="H73" i="4"/>
  <c r="H12" i="2"/>
  <c r="H54" i="2"/>
  <c r="H92" i="2"/>
  <c r="I225" i="4"/>
  <c r="P225" i="4" s="1"/>
  <c r="I11" i="2"/>
  <c r="P11" i="2" s="1"/>
  <c r="M11" i="2"/>
  <c r="T11" i="2" s="1"/>
  <c r="M71" i="2"/>
  <c r="T71" i="2" s="1"/>
  <c r="H71" i="2"/>
  <c r="M91" i="2"/>
  <c r="T91" i="2" s="1"/>
  <c r="I91" i="2"/>
  <c r="P91" i="2" s="1"/>
  <c r="H91" i="2"/>
  <c r="I28" i="3"/>
  <c r="P28" i="3" s="1"/>
  <c r="H28" i="3"/>
  <c r="H88" i="3"/>
  <c r="I88" i="3"/>
  <c r="P88" i="3" s="1"/>
  <c r="M108" i="3"/>
  <c r="T108" i="3" s="1"/>
  <c r="H108" i="3"/>
  <c r="I108" i="3"/>
  <c r="P108" i="3" s="1"/>
  <c r="I148" i="3"/>
  <c r="M148" i="3"/>
  <c r="T148" i="3" s="1"/>
  <c r="H168" i="3"/>
  <c r="M168" i="3"/>
  <c r="T168" i="3" s="1"/>
  <c r="M35" i="2"/>
  <c r="T35" i="2" s="1"/>
  <c r="I35" i="2"/>
  <c r="P35" i="2" s="1"/>
  <c r="I12" i="3"/>
  <c r="P12" i="3" s="1"/>
  <c r="H12" i="3"/>
  <c r="M12" i="3"/>
  <c r="T12" i="3" s="1"/>
  <c r="I32" i="3"/>
  <c r="P32" i="3" s="1"/>
  <c r="H32" i="3"/>
  <c r="I52" i="3"/>
  <c r="P52" i="3" s="1"/>
  <c r="H52" i="3"/>
  <c r="I72" i="3"/>
  <c r="P72" i="3" s="1"/>
  <c r="M72" i="3"/>
  <c r="T72" i="3" s="1"/>
  <c r="I92" i="3"/>
  <c r="P92" i="3" s="1"/>
  <c r="M92" i="3"/>
  <c r="T92" i="3" s="1"/>
  <c r="I112" i="3"/>
  <c r="P112" i="3" s="1"/>
  <c r="H112" i="3"/>
  <c r="M112" i="3"/>
  <c r="T112" i="3" s="1"/>
  <c r="I152" i="3"/>
  <c r="P152" i="3" s="1"/>
  <c r="M152" i="3"/>
  <c r="T152" i="3" s="1"/>
  <c r="I172" i="3"/>
  <c r="P172" i="3" s="1"/>
  <c r="H172" i="3"/>
  <c r="H48" i="3"/>
  <c r="I128" i="3"/>
  <c r="M28" i="3"/>
  <c r="T28" i="3" s="1"/>
  <c r="M172" i="3"/>
  <c r="T172" i="3" s="1"/>
  <c r="O237" i="4"/>
  <c r="N237" i="4"/>
  <c r="I116" i="2"/>
  <c r="P116" i="2" s="1"/>
  <c r="H116" i="2"/>
  <c r="I111" i="2"/>
  <c r="I48" i="3"/>
  <c r="P48" i="3" s="1"/>
  <c r="M16" i="4"/>
  <c r="T16" i="4" s="1"/>
  <c r="H16" i="4"/>
  <c r="I16" i="4"/>
  <c r="P16" i="4" s="1"/>
  <c r="M36" i="4"/>
  <c r="T36" i="4" s="1"/>
  <c r="H36" i="4"/>
  <c r="M56" i="4"/>
  <c r="T56" i="4" s="1"/>
  <c r="H56" i="4"/>
  <c r="I56" i="4"/>
  <c r="P56" i="4" s="1"/>
  <c r="M76" i="4"/>
  <c r="T76" i="4" s="1"/>
  <c r="H76" i="4"/>
  <c r="I76" i="4"/>
  <c r="P76" i="4" s="1"/>
  <c r="M96" i="4"/>
  <c r="T96" i="4" s="1"/>
  <c r="H96" i="4"/>
  <c r="M116" i="4"/>
  <c r="T116" i="4" s="1"/>
  <c r="H116" i="4"/>
  <c r="I116" i="4"/>
  <c r="P116" i="4" s="1"/>
  <c r="M136" i="4"/>
  <c r="T136" i="4" s="1"/>
  <c r="H136" i="4"/>
  <c r="I136" i="4"/>
  <c r="P136" i="4" s="1"/>
  <c r="M156" i="4"/>
  <c r="T156" i="4" s="1"/>
  <c r="H156" i="4"/>
  <c r="I156" i="4"/>
  <c r="P156" i="4" s="1"/>
  <c r="M176" i="4"/>
  <c r="T176" i="4" s="1"/>
  <c r="H176" i="4"/>
  <c r="I176" i="4"/>
  <c r="P176" i="4" s="1"/>
  <c r="M196" i="4"/>
  <c r="T196" i="4" s="1"/>
  <c r="H196" i="4"/>
  <c r="I196" i="4"/>
  <c r="P196" i="4" s="1"/>
  <c r="M216" i="4"/>
  <c r="T216" i="4" s="1"/>
  <c r="H216" i="4"/>
  <c r="M256" i="4"/>
  <c r="T256" i="4" s="1"/>
  <c r="H256" i="4"/>
  <c r="M276" i="4"/>
  <c r="T276" i="4" s="1"/>
  <c r="H276" i="4"/>
  <c r="M32" i="3"/>
  <c r="T32" i="3" s="1"/>
  <c r="M128" i="3"/>
  <c r="T128" i="3" s="1"/>
  <c r="I57" i="4"/>
  <c r="P57" i="4" s="1"/>
  <c r="M57" i="4"/>
  <c r="T57" i="4" s="1"/>
  <c r="H77" i="4"/>
  <c r="M77" i="4"/>
  <c r="T77" i="4" s="1"/>
  <c r="O243" i="4"/>
  <c r="N243" i="4"/>
  <c r="H35" i="2"/>
  <c r="H131" i="2"/>
  <c r="I76" i="2"/>
  <c r="I151" i="2"/>
  <c r="P151" i="2" s="1"/>
  <c r="H92" i="3"/>
  <c r="I168" i="3"/>
  <c r="P168" i="3" s="1"/>
  <c r="M88" i="3"/>
  <c r="T88" i="3" s="1"/>
  <c r="M132" i="3"/>
  <c r="T132" i="3" s="1"/>
  <c r="N104" i="3"/>
  <c r="N34" i="4"/>
  <c r="I3" i="4"/>
  <c r="I97" i="4"/>
  <c r="P97" i="4" s="1"/>
  <c r="N137" i="4"/>
  <c r="M157" i="4"/>
  <c r="T157" i="4" s="1"/>
  <c r="H157" i="4"/>
  <c r="H197" i="4"/>
  <c r="I197" i="4"/>
  <c r="P197" i="4" s="1"/>
  <c r="M277" i="4"/>
  <c r="T277" i="4" s="1"/>
  <c r="H277" i="4"/>
  <c r="O118" i="4"/>
  <c r="M122" i="3"/>
  <c r="T122" i="3" s="1"/>
  <c r="H122" i="3"/>
  <c r="I122" i="3"/>
  <c r="P122" i="3" s="1"/>
  <c r="H142" i="3"/>
  <c r="M142" i="3"/>
  <c r="T142" i="3" s="1"/>
  <c r="H26" i="3"/>
  <c r="N26" i="3" s="1"/>
  <c r="I85" i="3"/>
  <c r="M147" i="3"/>
  <c r="T147" i="3" s="1"/>
  <c r="I118" i="4"/>
  <c r="P118" i="4" s="1"/>
  <c r="M118" i="4"/>
  <c r="T118" i="4" s="1"/>
  <c r="M218" i="4"/>
  <c r="T218" i="4" s="1"/>
  <c r="H218" i="4"/>
  <c r="M278" i="4"/>
  <c r="T278" i="4" s="1"/>
  <c r="H278" i="4"/>
  <c r="H119" i="4"/>
  <c r="H143" i="2"/>
  <c r="H103" i="3"/>
  <c r="I103" i="3"/>
  <c r="P103" i="3" s="1"/>
  <c r="H123" i="3"/>
  <c r="I123" i="3"/>
  <c r="P123" i="3" s="1"/>
  <c r="H143" i="3"/>
  <c r="M143" i="3"/>
  <c r="T143" i="3" s="1"/>
  <c r="H27" i="3"/>
  <c r="O27" i="3" s="1"/>
  <c r="I86" i="3"/>
  <c r="M3" i="3"/>
  <c r="I19" i="4"/>
  <c r="P19" i="4" s="1"/>
  <c r="H19" i="4"/>
  <c r="N79" i="4"/>
  <c r="M99" i="4"/>
  <c r="T99" i="4" s="1"/>
  <c r="H99" i="4"/>
  <c r="I179" i="4"/>
  <c r="P179" i="4" s="1"/>
  <c r="M179" i="4"/>
  <c r="T179" i="4" s="1"/>
  <c r="M219" i="4"/>
  <c r="T219" i="4" s="1"/>
  <c r="H219" i="4"/>
  <c r="I239" i="4"/>
  <c r="P239" i="4" s="1"/>
  <c r="H239" i="4"/>
  <c r="M279" i="4"/>
  <c r="T279" i="4" s="1"/>
  <c r="H279" i="4"/>
  <c r="H123" i="4"/>
  <c r="H20" i="2"/>
  <c r="I20" i="2"/>
  <c r="P20" i="2" s="1"/>
  <c r="H40" i="2"/>
  <c r="O40" i="2" s="1"/>
  <c r="I40" i="2"/>
  <c r="H60" i="2"/>
  <c r="I60" i="2"/>
  <c r="P60" i="2" s="1"/>
  <c r="H80" i="2"/>
  <c r="I80" i="2"/>
  <c r="P80" i="2" s="1"/>
  <c r="H100" i="2"/>
  <c r="I100" i="2"/>
  <c r="P100" i="2" s="1"/>
  <c r="H120" i="2"/>
  <c r="O120" i="2" s="1"/>
  <c r="I120" i="2"/>
  <c r="H140" i="2"/>
  <c r="I140" i="2"/>
  <c r="P140" i="2" s="1"/>
  <c r="I62" i="2"/>
  <c r="I142" i="2"/>
  <c r="M100" i="2"/>
  <c r="T100" i="2" s="1"/>
  <c r="H144" i="3"/>
  <c r="M144" i="3"/>
  <c r="T144" i="3" s="1"/>
  <c r="I87" i="3"/>
  <c r="M4" i="3"/>
  <c r="T4" i="3" s="1"/>
  <c r="M183" i="3"/>
  <c r="T183" i="3" s="1"/>
  <c r="M20" i="4"/>
  <c r="T20" i="4" s="1"/>
  <c r="H20" i="4"/>
  <c r="I20" i="4"/>
  <c r="P20" i="4" s="1"/>
  <c r="M40" i="4"/>
  <c r="T40" i="4" s="1"/>
  <c r="H40" i="4"/>
  <c r="M60" i="4"/>
  <c r="T60" i="4" s="1"/>
  <c r="H60" i="4"/>
  <c r="O60" i="4" s="1"/>
  <c r="M80" i="4"/>
  <c r="T80" i="4" s="1"/>
  <c r="H80" i="4"/>
  <c r="I80" i="4"/>
  <c r="P80" i="4" s="1"/>
  <c r="M100" i="4"/>
  <c r="T100" i="4" s="1"/>
  <c r="H100" i="4"/>
  <c r="M120" i="4"/>
  <c r="T120" i="4" s="1"/>
  <c r="H120" i="4"/>
  <c r="M140" i="4"/>
  <c r="T140" i="4" s="1"/>
  <c r="H140" i="4"/>
  <c r="I140" i="4"/>
  <c r="P140" i="4" s="1"/>
  <c r="M160" i="4"/>
  <c r="T160" i="4" s="1"/>
  <c r="H160" i="4"/>
  <c r="N160" i="4" s="1"/>
  <c r="M180" i="4"/>
  <c r="T180" i="4" s="1"/>
  <c r="H180" i="4"/>
  <c r="M200" i="4"/>
  <c r="T200" i="4" s="1"/>
  <c r="H200" i="4"/>
  <c r="M220" i="4"/>
  <c r="T220" i="4" s="1"/>
  <c r="H220" i="4"/>
  <c r="M240" i="4"/>
  <c r="T240" i="4" s="1"/>
  <c r="H240" i="4"/>
  <c r="I240" i="4"/>
  <c r="P240" i="4" s="1"/>
  <c r="M260" i="4"/>
  <c r="T260" i="4" s="1"/>
  <c r="H260" i="4"/>
  <c r="M280" i="4"/>
  <c r="T280" i="4" s="1"/>
  <c r="H280" i="4"/>
  <c r="H158" i="4"/>
  <c r="I157" i="4"/>
  <c r="P157" i="4" s="1"/>
  <c r="I243" i="4"/>
  <c r="P243" i="4" s="1"/>
  <c r="H41" i="2"/>
  <c r="I41" i="2"/>
  <c r="P41" i="2" s="1"/>
  <c r="H61" i="2"/>
  <c r="I61" i="2"/>
  <c r="P61" i="2" s="1"/>
  <c r="H81" i="2"/>
  <c r="I81" i="2"/>
  <c r="P81" i="2" s="1"/>
  <c r="H101" i="2"/>
  <c r="I101" i="2"/>
  <c r="P101" i="2" s="1"/>
  <c r="H121" i="2"/>
  <c r="I121" i="2"/>
  <c r="P121" i="2" s="1"/>
  <c r="H141" i="2"/>
  <c r="I141" i="2"/>
  <c r="P141" i="2" s="1"/>
  <c r="M101" i="2"/>
  <c r="T101" i="2" s="1"/>
  <c r="H145" i="3"/>
  <c r="M145" i="3"/>
  <c r="T145" i="3" s="1"/>
  <c r="I145" i="3"/>
  <c r="P145" i="3" s="1"/>
  <c r="H165" i="3"/>
  <c r="M165" i="3"/>
  <c r="T165" i="3" s="1"/>
  <c r="M5" i="3"/>
  <c r="T5" i="3" s="1"/>
  <c r="M21" i="4"/>
  <c r="T21" i="4" s="1"/>
  <c r="H21" i="4"/>
  <c r="I21" i="4"/>
  <c r="P21" i="4" s="1"/>
  <c r="M41" i="4"/>
  <c r="T41" i="4" s="1"/>
  <c r="H41" i="4"/>
  <c r="M61" i="4"/>
  <c r="T61" i="4" s="1"/>
  <c r="H61" i="4"/>
  <c r="M81" i="4"/>
  <c r="T81" i="4" s="1"/>
  <c r="H81" i="4"/>
  <c r="I81" i="4"/>
  <c r="P81" i="4" s="1"/>
  <c r="M101" i="4"/>
  <c r="T101" i="4" s="1"/>
  <c r="H101" i="4"/>
  <c r="M121" i="4"/>
  <c r="T121" i="4" s="1"/>
  <c r="H121" i="4"/>
  <c r="M141" i="4"/>
  <c r="T141" i="4" s="1"/>
  <c r="H141" i="4"/>
  <c r="I141" i="4"/>
  <c r="P141" i="4" s="1"/>
  <c r="M161" i="4"/>
  <c r="T161" i="4" s="1"/>
  <c r="H161" i="4"/>
  <c r="M181" i="4"/>
  <c r="T181" i="4" s="1"/>
  <c r="H181" i="4"/>
  <c r="M201" i="4"/>
  <c r="T201" i="4" s="1"/>
  <c r="H201" i="4"/>
  <c r="I201" i="4"/>
  <c r="P201" i="4" s="1"/>
  <c r="M221" i="4"/>
  <c r="T221" i="4" s="1"/>
  <c r="H221" i="4"/>
  <c r="M241" i="4"/>
  <c r="T241" i="4" s="1"/>
  <c r="H241" i="4"/>
  <c r="M261" i="4"/>
  <c r="T261" i="4" s="1"/>
  <c r="H261" i="4"/>
  <c r="M281" i="4"/>
  <c r="T281" i="4" s="1"/>
  <c r="H281" i="4"/>
  <c r="N127" i="4"/>
  <c r="N269" i="4"/>
  <c r="I63" i="4"/>
  <c r="P63" i="4" s="1"/>
  <c r="M41" i="2"/>
  <c r="T41" i="2" s="1"/>
  <c r="M102" i="2"/>
  <c r="T102" i="2" s="1"/>
  <c r="M146" i="3"/>
  <c r="T146" i="3" s="1"/>
  <c r="I146" i="3"/>
  <c r="P146" i="3" s="1"/>
  <c r="H166" i="3"/>
  <c r="M166" i="3"/>
  <c r="T166" i="3" s="1"/>
  <c r="H146" i="3"/>
  <c r="N24" i="3"/>
  <c r="M6" i="3"/>
  <c r="T6" i="3" s="1"/>
  <c r="M22" i="4"/>
  <c r="T22" i="4" s="1"/>
  <c r="H22" i="4"/>
  <c r="I22" i="4"/>
  <c r="P22" i="4" s="1"/>
  <c r="M42" i="4"/>
  <c r="T42" i="4" s="1"/>
  <c r="H42" i="4"/>
  <c r="I42" i="4"/>
  <c r="P42" i="4" s="1"/>
  <c r="M62" i="4"/>
  <c r="T62" i="4" s="1"/>
  <c r="H62" i="4"/>
  <c r="H167" i="3"/>
  <c r="M167" i="3"/>
  <c r="T167" i="3" s="1"/>
  <c r="H147" i="3"/>
  <c r="M7" i="3"/>
  <c r="T7" i="3" s="1"/>
  <c r="M23" i="4"/>
  <c r="T23" i="4" s="1"/>
  <c r="I23" i="4"/>
  <c r="P23" i="4" s="1"/>
  <c r="H23" i="4"/>
  <c r="M83" i="4"/>
  <c r="T83" i="4" s="1"/>
  <c r="I83" i="4"/>
  <c r="H83" i="4"/>
  <c r="O83" i="4" s="1"/>
  <c r="M103" i="4"/>
  <c r="T103" i="4" s="1"/>
  <c r="I103" i="4"/>
  <c r="P103" i="4" s="1"/>
  <c r="M143" i="4"/>
  <c r="T143" i="4" s="1"/>
  <c r="H143" i="4"/>
  <c r="I143" i="4"/>
  <c r="P143" i="4" s="1"/>
  <c r="M163" i="4"/>
  <c r="T163" i="4" s="1"/>
  <c r="I163" i="4"/>
  <c r="M203" i="4"/>
  <c r="T203" i="4" s="1"/>
  <c r="I203" i="4"/>
  <c r="P203" i="4" s="1"/>
  <c r="M223" i="4"/>
  <c r="T223" i="4" s="1"/>
  <c r="H223" i="4"/>
  <c r="M263" i="4"/>
  <c r="T263" i="4" s="1"/>
  <c r="H263" i="4"/>
  <c r="I263" i="4"/>
  <c r="P263" i="4" s="1"/>
  <c r="M283" i="4"/>
  <c r="T283" i="4" s="1"/>
  <c r="H283" i="4"/>
  <c r="M82" i="4"/>
  <c r="T82" i="4" s="1"/>
  <c r="H82" i="4"/>
  <c r="M102" i="4"/>
  <c r="T102" i="4" s="1"/>
  <c r="H102" i="4"/>
  <c r="M122" i="4"/>
  <c r="T122" i="4" s="1"/>
  <c r="H122" i="4"/>
  <c r="M142" i="4"/>
  <c r="T142" i="4" s="1"/>
  <c r="H142" i="4"/>
  <c r="M162" i="4"/>
  <c r="T162" i="4" s="1"/>
  <c r="H162" i="4"/>
  <c r="M182" i="4"/>
  <c r="T182" i="4" s="1"/>
  <c r="H182" i="4"/>
  <c r="N182" i="4" s="1"/>
  <c r="M202" i="4"/>
  <c r="T202" i="4" s="1"/>
  <c r="H202" i="4"/>
  <c r="M222" i="4"/>
  <c r="T222" i="4" s="1"/>
  <c r="H222" i="4"/>
  <c r="M242" i="4"/>
  <c r="T242" i="4" s="1"/>
  <c r="H242" i="4"/>
  <c r="M262" i="4"/>
  <c r="T262" i="4" s="1"/>
  <c r="H262" i="4"/>
  <c r="M282" i="4"/>
  <c r="T282" i="4" s="1"/>
  <c r="H282" i="4"/>
  <c r="H73" i="3"/>
  <c r="I73" i="3"/>
  <c r="P73" i="3" s="1"/>
  <c r="I96" i="3"/>
  <c r="H108" i="4"/>
  <c r="H248" i="4"/>
  <c r="I168" i="4"/>
  <c r="P168" i="4" s="1"/>
  <c r="I262" i="4"/>
  <c r="P262" i="4" s="1"/>
  <c r="H53" i="3"/>
  <c r="H74" i="3"/>
  <c r="H96" i="3"/>
  <c r="O96" i="3" s="1"/>
  <c r="I74" i="3"/>
  <c r="P74" i="3" s="1"/>
  <c r="H109" i="4"/>
  <c r="O109" i="4" s="1"/>
  <c r="H167" i="4"/>
  <c r="I169" i="4"/>
  <c r="I202" i="4"/>
  <c r="P202" i="4" s="1"/>
  <c r="N135" i="3"/>
  <c r="H33" i="3"/>
  <c r="M15" i="3"/>
  <c r="T15" i="3" s="1"/>
  <c r="I82" i="4"/>
  <c r="P82" i="4" s="1"/>
  <c r="I142" i="4"/>
  <c r="P142" i="4" s="1"/>
  <c r="H13" i="3"/>
  <c r="H34" i="3"/>
  <c r="O34" i="3" s="1"/>
  <c r="H76" i="3"/>
  <c r="I53" i="3"/>
  <c r="P53" i="3" s="1"/>
  <c r="I173" i="3"/>
  <c r="M16" i="3"/>
  <c r="T16" i="3" s="1"/>
  <c r="M95" i="3"/>
  <c r="T95" i="3" s="1"/>
  <c r="M137" i="3"/>
  <c r="T137" i="3" s="1"/>
  <c r="I137" i="3"/>
  <c r="M157" i="3"/>
  <c r="T157" i="3" s="1"/>
  <c r="I157" i="3"/>
  <c r="M177" i="3"/>
  <c r="T177" i="3" s="1"/>
  <c r="I177" i="3"/>
  <c r="H14" i="3"/>
  <c r="H57" i="3"/>
  <c r="H77" i="3"/>
  <c r="I54" i="3"/>
  <c r="I77" i="3"/>
  <c r="P77" i="3" s="1"/>
  <c r="I174" i="3"/>
  <c r="H37" i="3"/>
  <c r="I55" i="3"/>
  <c r="I175" i="3"/>
  <c r="N211" i="4"/>
  <c r="P195" i="4"/>
  <c r="P67" i="4"/>
  <c r="O203" i="4"/>
  <c r="O182" i="4"/>
  <c r="Y183" i="4"/>
  <c r="Y184" i="4"/>
  <c r="Y195" i="4"/>
  <c r="Y203" i="4"/>
  <c r="Y200" i="4"/>
  <c r="Y245" i="4"/>
  <c r="Y259" i="4"/>
  <c r="Y246" i="4"/>
  <c r="Y80" i="4"/>
  <c r="Y3" i="4"/>
  <c r="Y81" i="4"/>
  <c r="Y21" i="4"/>
  <c r="Y9" i="4"/>
  <c r="Y82" i="4"/>
  <c r="Y12" i="4"/>
  <c r="Y87" i="4"/>
  <c r="Y13" i="4"/>
  <c r="Y88" i="4"/>
  <c r="Y98" i="4"/>
  <c r="Y36" i="4"/>
  <c r="Y100" i="4"/>
  <c r="Y101" i="4"/>
  <c r="Y22" i="4"/>
  <c r="Y67" i="4"/>
  <c r="Y38" i="4"/>
  <c r="Y68" i="4"/>
  <c r="Y39" i="4"/>
  <c r="Y102" i="4"/>
  <c r="Y111" i="4"/>
  <c r="Y44" i="4"/>
  <c r="Y119" i="4"/>
  <c r="Y63" i="4"/>
  <c r="Y2" i="4"/>
  <c r="Y40" i="4"/>
  <c r="Y48" i="4"/>
  <c r="Y120" i="4"/>
  <c r="Y41" i="4"/>
  <c r="Y118" i="4"/>
  <c r="Y51" i="4"/>
  <c r="Y57" i="4"/>
  <c r="X142" i="4"/>
  <c r="X133" i="4"/>
  <c r="X230" i="4"/>
  <c r="X137" i="4"/>
  <c r="Y237" i="4"/>
  <c r="X168" i="4"/>
  <c r="W199" i="4"/>
  <c r="W100" i="4"/>
  <c r="W256" i="4"/>
  <c r="X291" i="4"/>
  <c r="W247" i="4"/>
  <c r="Y279" i="4"/>
  <c r="Y282" i="4"/>
  <c r="Y269" i="4"/>
  <c r="Y274" i="4"/>
  <c r="Y280" i="4"/>
  <c r="Y285" i="4"/>
  <c r="Y270" i="4"/>
  <c r="Y281" i="4"/>
  <c r="Y275" i="4"/>
  <c r="Y289" i="4"/>
  <c r="Y276" i="4"/>
  <c r="Y277" i="4"/>
  <c r="Y286" i="4"/>
  <c r="Y283" i="4"/>
  <c r="Y284" i="4"/>
  <c r="Y273" i="4"/>
  <c r="Y291" i="4"/>
  <c r="Y287" i="4"/>
  <c r="Y271" i="4"/>
  <c r="Y290" i="4"/>
  <c r="Y278" i="4"/>
  <c r="Y288" i="4"/>
  <c r="Y272" i="4"/>
  <c r="Y244" i="4"/>
  <c r="X222" i="4"/>
  <c r="X167" i="4"/>
  <c r="X140" i="4"/>
  <c r="X135" i="4"/>
  <c r="X165" i="4"/>
  <c r="Y253" i="4"/>
  <c r="X164" i="4"/>
  <c r="X152" i="4"/>
  <c r="X134" i="4"/>
  <c r="X151" i="4"/>
  <c r="W185" i="4"/>
  <c r="W205" i="4"/>
  <c r="W66" i="4"/>
  <c r="W124" i="4"/>
  <c r="X153" i="4"/>
  <c r="Y256" i="4"/>
  <c r="Y267" i="4"/>
  <c r="Y250" i="4"/>
  <c r="Y241" i="4"/>
  <c r="Y262" i="4"/>
  <c r="Y263" i="4"/>
  <c r="Y236" i="4"/>
  <c r="Y258" i="4"/>
  <c r="Y264" i="4"/>
  <c r="Y247" i="4"/>
  <c r="Y268" i="4"/>
  <c r="Y238" i="4"/>
  <c r="Y249" i="4"/>
  <c r="Y254" i="4"/>
  <c r="Y240" i="4"/>
  <c r="Y243" i="4"/>
  <c r="Y239" i="4"/>
  <c r="Y242" i="4"/>
  <c r="Y265" i="4"/>
  <c r="Y251" i="4"/>
  <c r="Y266" i="4"/>
  <c r="Y248" i="4"/>
  <c r="Y252" i="4"/>
  <c r="Y261" i="4"/>
  <c r="Y14" i="4"/>
  <c r="Y45" i="4"/>
  <c r="Y71" i="4"/>
  <c r="Y83" i="4"/>
  <c r="Y94" i="4"/>
  <c r="Y4" i="4"/>
  <c r="Y15" i="4"/>
  <c r="Y32" i="4"/>
  <c r="Y46" i="4"/>
  <c r="Y59" i="4"/>
  <c r="Y72" i="4"/>
  <c r="Y84" i="4"/>
  <c r="Y107" i="4"/>
  <c r="Y131" i="4"/>
  <c r="Y5" i="4"/>
  <c r="Y16" i="4"/>
  <c r="Y33" i="4"/>
  <c r="Y47" i="4"/>
  <c r="Y85" i="4"/>
  <c r="Y95" i="4"/>
  <c r="Y108" i="4"/>
  <c r="Y122" i="4"/>
  <c r="Y127" i="4"/>
  <c r="Y35" i="4"/>
  <c r="Y49" i="4"/>
  <c r="Y61" i="4"/>
  <c r="Y74" i="4"/>
  <c r="Y86" i="4"/>
  <c r="Y110" i="4"/>
  <c r="Y116" i="4"/>
  <c r="Y123" i="4"/>
  <c r="Y132" i="4"/>
  <c r="Y6" i="4"/>
  <c r="Y24" i="4"/>
  <c r="Y76" i="4"/>
  <c r="Y89" i="4"/>
  <c r="Y124" i="4"/>
  <c r="Y25" i="4"/>
  <c r="Y60" i="4"/>
  <c r="Y90" i="4"/>
  <c r="Y104" i="4"/>
  <c r="Y130" i="4"/>
  <c r="Y7" i="4"/>
  <c r="Y42" i="4"/>
  <c r="Y77" i="4"/>
  <c r="Y105" i="4"/>
  <c r="Y117" i="4"/>
  <c r="Y8" i="4"/>
  <c r="Y26" i="4"/>
  <c r="Y43" i="4"/>
  <c r="Y91" i="4"/>
  <c r="Y106" i="4"/>
  <c r="Y125" i="4"/>
  <c r="Y29" i="4"/>
  <c r="Y50" i="4"/>
  <c r="Y62" i="4"/>
  <c r="Y23" i="4"/>
  <c r="Y69" i="4"/>
  <c r="Y112" i="4"/>
  <c r="Y121" i="4"/>
  <c r="Y114" i="4"/>
  <c r="Y79" i="4"/>
  <c r="Y27" i="4"/>
  <c r="Y70" i="4"/>
  <c r="Y92" i="4"/>
  <c r="Y113" i="4"/>
  <c r="Y54" i="4"/>
  <c r="Y34" i="4"/>
  <c r="Y28" i="4"/>
  <c r="Y52" i="4"/>
  <c r="Y93" i="4"/>
  <c r="Y31" i="4"/>
  <c r="Y30" i="4"/>
  <c r="Y53" i="4"/>
  <c r="Y73" i="4"/>
  <c r="Y75" i="4"/>
  <c r="Y115" i="4"/>
  <c r="Y97" i="4"/>
  <c r="Y55" i="4"/>
  <c r="Y78" i="4"/>
  <c r="Y96" i="4"/>
  <c r="Y126" i="4"/>
  <c r="Y56" i="4"/>
  <c r="Y10" i="4"/>
  <c r="Y37" i="4"/>
  <c r="Y58" i="4"/>
  <c r="Y11" i="4"/>
  <c r="Y99" i="4"/>
  <c r="Y129" i="4"/>
  <c r="Y109" i="4"/>
  <c r="Y66" i="4"/>
  <c r="Y20" i="4"/>
  <c r="X158" i="4"/>
  <c r="W230" i="4"/>
  <c r="W234" i="4"/>
  <c r="W224" i="4"/>
  <c r="W209" i="4"/>
  <c r="W210" i="4"/>
  <c r="X215" i="4"/>
  <c r="X235" i="4"/>
  <c r="X150" i="4"/>
  <c r="X160" i="4"/>
  <c r="X169" i="4"/>
  <c r="X155" i="4"/>
  <c r="X181" i="4"/>
  <c r="X175" i="4"/>
  <c r="X182" i="4"/>
  <c r="X166" i="4"/>
  <c r="X176" i="4"/>
  <c r="X139" i="4"/>
  <c r="X141" i="4"/>
  <c r="X162" i="4"/>
  <c r="X156" i="4"/>
  <c r="X136" i="4"/>
  <c r="X163" i="4"/>
  <c r="X177" i="4"/>
  <c r="X171" i="4"/>
  <c r="X143" i="4"/>
  <c r="X178" i="4"/>
  <c r="X154" i="4"/>
  <c r="X159" i="4"/>
  <c r="X179" i="4"/>
  <c r="X144" i="4"/>
  <c r="X161" i="4"/>
  <c r="X180" i="4"/>
  <c r="X145" i="4"/>
  <c r="X170" i="4"/>
  <c r="X146" i="4"/>
  <c r="X149" i="4"/>
  <c r="Y187" i="4"/>
  <c r="Y202" i="4"/>
  <c r="Y196" i="4"/>
  <c r="Y193" i="4"/>
  <c r="Y192" i="4"/>
  <c r="Y194" i="4"/>
  <c r="Y204" i="4"/>
  <c r="Y189" i="4"/>
  <c r="Y185" i="4"/>
  <c r="Y186" i="4"/>
  <c r="Y198" i="4"/>
  <c r="Y190" i="4"/>
  <c r="Y188" i="4"/>
  <c r="Y201" i="4"/>
  <c r="Y199" i="4"/>
  <c r="Y205" i="4"/>
  <c r="Y206" i="4"/>
  <c r="Y197" i="4"/>
  <c r="Y191" i="4"/>
  <c r="Y257" i="4"/>
  <c r="X255" i="4"/>
  <c r="Y128" i="4"/>
  <c r="Y65" i="4"/>
  <c r="Y19" i="4"/>
  <c r="X174" i="4"/>
  <c r="Y260" i="4"/>
  <c r="Y255" i="4"/>
  <c r="Y64" i="4"/>
  <c r="Y18" i="4"/>
  <c r="X173" i="4"/>
  <c r="X157" i="4"/>
  <c r="X225" i="4"/>
  <c r="X233" i="4"/>
  <c r="X207" i="4"/>
  <c r="X220" i="4"/>
  <c r="X210" i="4"/>
  <c r="X214" i="4"/>
  <c r="X218" i="4"/>
  <c r="X223" i="4"/>
  <c r="X224" i="4"/>
  <c r="X234" i="4"/>
  <c r="X219" i="4"/>
  <c r="X208" i="4"/>
  <c r="X212" i="4"/>
  <c r="X227" i="4"/>
  <c r="X216" i="4"/>
  <c r="X217" i="4"/>
  <c r="X213" i="4"/>
  <c r="X229" i="4"/>
  <c r="X209" i="4"/>
  <c r="X231" i="4"/>
  <c r="X221" i="4"/>
  <c r="X232" i="4"/>
  <c r="X228" i="4"/>
  <c r="X138" i="4"/>
  <c r="W231" i="4"/>
  <c r="Y103" i="4"/>
  <c r="Y17" i="4"/>
  <c r="X172" i="4"/>
  <c r="X211" i="4"/>
  <c r="X147" i="4"/>
  <c r="Y137" i="4"/>
  <c r="Y19" i="2"/>
  <c r="X110" i="2"/>
  <c r="Y97" i="2"/>
  <c r="W110" i="2"/>
  <c r="Y9" i="2"/>
  <c r="Y158" i="2"/>
  <c r="W16" i="2"/>
  <c r="Y152" i="2"/>
  <c r="W158" i="2"/>
  <c r="W84" i="2"/>
  <c r="X100" i="2"/>
  <c r="X41" i="2"/>
  <c r="Y46" i="2"/>
  <c r="Y45" i="2"/>
  <c r="Y80" i="2"/>
  <c r="Y31" i="2"/>
  <c r="Y114" i="2"/>
  <c r="Y30" i="2"/>
  <c r="Y17" i="2"/>
  <c r="W30" i="2"/>
  <c r="W17" i="2"/>
  <c r="W5" i="2"/>
  <c r="W33" i="2"/>
  <c r="W34" i="2"/>
  <c r="W20" i="2"/>
  <c r="W27" i="2"/>
  <c r="W22" i="2"/>
  <c r="W6" i="2"/>
  <c r="W24" i="2"/>
  <c r="W2" i="2"/>
  <c r="W29" i="2"/>
  <c r="W52" i="2"/>
  <c r="W56" i="2"/>
  <c r="W71" i="2"/>
  <c r="W78" i="2"/>
  <c r="W64" i="2"/>
  <c r="W72" i="2"/>
  <c r="W92" i="2"/>
  <c r="W65" i="2"/>
  <c r="W67" i="2"/>
  <c r="W73" i="2"/>
  <c r="W59" i="2"/>
  <c r="W60" i="2"/>
  <c r="W83" i="2"/>
  <c r="W91" i="2"/>
  <c r="W70" i="2"/>
  <c r="W86" i="2"/>
  <c r="W105" i="2"/>
  <c r="W106" i="2"/>
  <c r="W108" i="2"/>
  <c r="Y126" i="2"/>
  <c r="Y144" i="2"/>
  <c r="Y150" i="2"/>
  <c r="Y122" i="2"/>
  <c r="Y127" i="2"/>
  <c r="Y146" i="2"/>
  <c r="Y151" i="2"/>
  <c r="Y128" i="2"/>
  <c r="Y145" i="2"/>
  <c r="Y138" i="2"/>
  <c r="Y129" i="2"/>
  <c r="Y147" i="2"/>
  <c r="Y130" i="2"/>
  <c r="Y156" i="2"/>
  <c r="Y131" i="2"/>
  <c r="Y141" i="2"/>
  <c r="Y142" i="2"/>
  <c r="Y132" i="2"/>
  <c r="Y140" i="2"/>
  <c r="Y148" i="2"/>
  <c r="Y120" i="2"/>
  <c r="Y121" i="2"/>
  <c r="Y133" i="2"/>
  <c r="Y134" i="2"/>
  <c r="Y143" i="2"/>
  <c r="Y154" i="2"/>
  <c r="Y123" i="2"/>
  <c r="Y125" i="2"/>
  <c r="Y157" i="2"/>
  <c r="Y155" i="2"/>
  <c r="Y95" i="2"/>
  <c r="Y100" i="2"/>
  <c r="Y53" i="2"/>
  <c r="Y66" i="2"/>
  <c r="Y88" i="2"/>
  <c r="Y54" i="2"/>
  <c r="Y73" i="2"/>
  <c r="Y94" i="2"/>
  <c r="Y90" i="2"/>
  <c r="Y77" i="2"/>
  <c r="Y59" i="2"/>
  <c r="Y74" i="2"/>
  <c r="Y79" i="2"/>
  <c r="Y60" i="2"/>
  <c r="Y57" i="2"/>
  <c r="Y68" i="2"/>
  <c r="Y61" i="2"/>
  <c r="Y69" i="2"/>
  <c r="Y81" i="2"/>
  <c r="Y85" i="2"/>
  <c r="Y55" i="2"/>
  <c r="Y83" i="2"/>
  <c r="Y63" i="2"/>
  <c r="Y70" i="2"/>
  <c r="Y52" i="2"/>
  <c r="Y56" i="2"/>
  <c r="Y65" i="2"/>
  <c r="Y84" i="2"/>
  <c r="Y93" i="2"/>
  <c r="Y71" i="2"/>
  <c r="Y64" i="2"/>
  <c r="Y72" i="2"/>
  <c r="Y92" i="2"/>
  <c r="Y87" i="2"/>
  <c r="Y101" i="2"/>
  <c r="Y111" i="2"/>
  <c r="Y108" i="2"/>
  <c r="Y107" i="2"/>
  <c r="Y112" i="2"/>
  <c r="Y109" i="2"/>
  <c r="X123" i="2"/>
  <c r="X135" i="2"/>
  <c r="X149" i="2"/>
  <c r="X124" i="2"/>
  <c r="X136" i="2"/>
  <c r="X157" i="2"/>
  <c r="X125" i="2"/>
  <c r="X137" i="2"/>
  <c r="X155" i="2"/>
  <c r="X126" i="2"/>
  <c r="X144" i="2"/>
  <c r="X150" i="2"/>
  <c r="X133" i="2"/>
  <c r="X127" i="2"/>
  <c r="X153" i="2"/>
  <c r="X142" i="2"/>
  <c r="X128" i="2"/>
  <c r="X145" i="2"/>
  <c r="X146" i="2"/>
  <c r="X151" i="2"/>
  <c r="X118" i="2"/>
  <c r="X141" i="2"/>
  <c r="X138" i="2"/>
  <c r="X139" i="2"/>
  <c r="X122" i="2"/>
  <c r="X129" i="2"/>
  <c r="X147" i="2"/>
  <c r="X152" i="2"/>
  <c r="X130" i="2"/>
  <c r="X156" i="2"/>
  <c r="X119" i="2"/>
  <c r="X131" i="2"/>
  <c r="X132" i="2"/>
  <c r="X140" i="2"/>
  <c r="X148" i="2"/>
  <c r="X120" i="2"/>
  <c r="X121" i="2"/>
  <c r="X143" i="2"/>
  <c r="X154" i="2"/>
  <c r="X134" i="2"/>
  <c r="X97" i="2"/>
  <c r="X99" i="2"/>
  <c r="X96" i="2"/>
  <c r="X11" i="2"/>
  <c r="X33" i="2"/>
  <c r="X3" i="2"/>
  <c r="X19" i="2"/>
  <c r="X34" i="2"/>
  <c r="X29" i="2"/>
  <c r="X4" i="2"/>
  <c r="X37" i="2"/>
  <c r="X13" i="2"/>
  <c r="X2" i="2"/>
  <c r="X43" i="2"/>
  <c r="X26" i="2"/>
  <c r="X39" i="2"/>
  <c r="X14" i="2"/>
  <c r="X27" i="2"/>
  <c r="X45" i="2"/>
  <c r="X17" i="2"/>
  <c r="X46" i="2"/>
  <c r="X104" i="2"/>
  <c r="X106" i="2"/>
  <c r="X64" i="2"/>
  <c r="X72" i="2"/>
  <c r="X92" i="2"/>
  <c r="X65" i="2"/>
  <c r="X84" i="2"/>
  <c r="X87" i="2"/>
  <c r="X93" i="2"/>
  <c r="X66" i="2"/>
  <c r="X88" i="2"/>
  <c r="X76" i="2"/>
  <c r="X53" i="2"/>
  <c r="X58" i="2"/>
  <c r="X67" i="2"/>
  <c r="X73" i="2"/>
  <c r="X89" i="2"/>
  <c r="X94" i="2"/>
  <c r="X59" i="2"/>
  <c r="X74" i="2"/>
  <c r="X79" i="2"/>
  <c r="X85" i="2"/>
  <c r="X91" i="2"/>
  <c r="X54" i="2"/>
  <c r="X60" i="2"/>
  <c r="X80" i="2"/>
  <c r="X90" i="2"/>
  <c r="X68" i="2"/>
  <c r="X86" i="2"/>
  <c r="X61" i="2"/>
  <c r="X69" i="2"/>
  <c r="X81" i="2"/>
  <c r="X51" i="2"/>
  <c r="X75" i="2"/>
  <c r="X82" i="2"/>
  <c r="X70" i="2"/>
  <c r="X55" i="2"/>
  <c r="X62" i="2"/>
  <c r="X83" i="2"/>
  <c r="X52" i="2"/>
  <c r="X56" i="2"/>
  <c r="X77" i="2"/>
  <c r="X57" i="2"/>
  <c r="X71" i="2"/>
  <c r="X78" i="2"/>
  <c r="X63" i="2"/>
  <c r="X158" i="2"/>
  <c r="Y7" i="2"/>
  <c r="Y33" i="2"/>
  <c r="Y11" i="2"/>
  <c r="Y47" i="2"/>
  <c r="Y32" i="2"/>
  <c r="Y18" i="2"/>
  <c r="Y10" i="2"/>
  <c r="Y5" i="2"/>
  <c r="Y44" i="2"/>
  <c r="Y16" i="2"/>
  <c r="Y43" i="2"/>
  <c r="Y29" i="2"/>
  <c r="Y14" i="2"/>
  <c r="Y2" i="2"/>
  <c r="Y42" i="2"/>
  <c r="Y28" i="2"/>
  <c r="Y40" i="2"/>
  <c r="Y27" i="2"/>
  <c r="Y39" i="2"/>
  <c r="Y26" i="2"/>
  <c r="Y41" i="2"/>
  <c r="Y6" i="2"/>
  <c r="Y38" i="2"/>
  <c r="Y25" i="2"/>
  <c r="Y15" i="2"/>
  <c r="Y37" i="2"/>
  <c r="Y24" i="2"/>
  <c r="Y12" i="2"/>
  <c r="Y4" i="2"/>
  <c r="Y13" i="2"/>
  <c r="Y3" i="2"/>
  <c r="Y36" i="2"/>
  <c r="Y23" i="2"/>
  <c r="Y50" i="2"/>
  <c r="Y35" i="2"/>
  <c r="Y22" i="2"/>
  <c r="Y21" i="2"/>
  <c r="Y49" i="2"/>
  <c r="Y20" i="2"/>
  <c r="Y8" i="2"/>
  <c r="Y48" i="2"/>
  <c r="Y34" i="2"/>
  <c r="Y181" i="3"/>
  <c r="Y91" i="3"/>
  <c r="Y107" i="3"/>
  <c r="W125" i="3"/>
  <c r="W181" i="3"/>
  <c r="X116" i="3"/>
  <c r="Y66" i="3"/>
  <c r="X128" i="3"/>
  <c r="Y117" i="3"/>
  <c r="W96" i="3"/>
  <c r="W112" i="3"/>
  <c r="Y34" i="3"/>
  <c r="Y33" i="3"/>
  <c r="X176" i="3"/>
  <c r="X174" i="3"/>
  <c r="X159" i="3"/>
  <c r="X163" i="3"/>
  <c r="X154" i="3"/>
  <c r="X164" i="3"/>
  <c r="X180" i="3"/>
  <c r="X157" i="3"/>
  <c r="X177" i="3"/>
  <c r="X178" i="3"/>
  <c r="X168" i="3"/>
  <c r="X175" i="3"/>
  <c r="X150" i="3"/>
  <c r="X162" i="3"/>
  <c r="X151" i="3"/>
  <c r="X179" i="3"/>
  <c r="X172" i="3"/>
  <c r="X158" i="3"/>
  <c r="X167" i="3"/>
  <c r="X117" i="3"/>
  <c r="W122" i="3"/>
  <c r="Y184" i="3"/>
  <c r="Y182" i="3"/>
  <c r="Y183" i="3"/>
  <c r="Y12" i="3"/>
  <c r="Y95" i="3"/>
  <c r="Y108" i="3"/>
  <c r="Y100" i="3"/>
  <c r="Y96" i="3"/>
  <c r="Y87" i="3"/>
  <c r="Y81" i="3"/>
  <c r="Y92" i="3"/>
  <c r="Y76" i="3"/>
  <c r="Y102" i="3"/>
  <c r="Y82" i="3"/>
  <c r="Y89" i="3"/>
  <c r="Y103" i="3"/>
  <c r="Y97" i="3"/>
  <c r="Y93" i="3"/>
  <c r="Y85" i="3"/>
  <c r="Y90" i="3"/>
  <c r="Y109" i="3"/>
  <c r="Y77" i="3"/>
  <c r="Y86" i="3"/>
  <c r="Y78" i="3"/>
  <c r="Y99" i="3"/>
  <c r="Y104" i="3"/>
  <c r="Y79" i="3"/>
  <c r="Y75" i="3"/>
  <c r="Y80" i="3"/>
  <c r="Y88" i="3"/>
  <c r="Y94" i="3"/>
  <c r="Y98" i="3"/>
  <c r="Y105" i="3"/>
  <c r="Y83" i="3"/>
  <c r="X135" i="3"/>
  <c r="X145" i="3"/>
  <c r="X143" i="3"/>
  <c r="X148" i="3"/>
  <c r="X138" i="3"/>
  <c r="X125" i="3"/>
  <c r="X134" i="3"/>
  <c r="X137" i="3"/>
  <c r="X123" i="3"/>
  <c r="Y84" i="3"/>
  <c r="W120" i="3"/>
  <c r="Y106" i="3"/>
  <c r="X171" i="3"/>
  <c r="Y115" i="3"/>
  <c r="Y114" i="3"/>
  <c r="Y112" i="3"/>
  <c r="Y116" i="3"/>
  <c r="Y122" i="3"/>
  <c r="Y120" i="3"/>
  <c r="Y113" i="3"/>
  <c r="Y118" i="3"/>
  <c r="Y101" i="3"/>
  <c r="Y13" i="3"/>
  <c r="Y57" i="3"/>
  <c r="Y35" i="3"/>
  <c r="Y58" i="3"/>
  <c r="Y15" i="3"/>
  <c r="Y59" i="3"/>
  <c r="Y69" i="3"/>
  <c r="Y16" i="3"/>
  <c r="Y23" i="3"/>
  <c r="Y36" i="3"/>
  <c r="Y48" i="3"/>
  <c r="Y5" i="3"/>
  <c r="Y17" i="3"/>
  <c r="Y24" i="3"/>
  <c r="Y37" i="3"/>
  <c r="Y49" i="3"/>
  <c r="Y67" i="3"/>
  <c r="Y70" i="3"/>
  <c r="Y6" i="3"/>
  <c r="Y39" i="3"/>
  <c r="Y50" i="3"/>
  <c r="Y60" i="3"/>
  <c r="Y2" i="3"/>
  <c r="Y21" i="3"/>
  <c r="Y18" i="3"/>
  <c r="Y27" i="3"/>
  <c r="Y40" i="3"/>
  <c r="Y51" i="3"/>
  <c r="Y61" i="3"/>
  <c r="Y44" i="3"/>
  <c r="Y7" i="3"/>
  <c r="Y19" i="3"/>
  <c r="Y52" i="3"/>
  <c r="Y62" i="3"/>
  <c r="Y28" i="3"/>
  <c r="Y53" i="3"/>
  <c r="Y63" i="3"/>
  <c r="Y42" i="3"/>
  <c r="Y54" i="3"/>
  <c r="Y68" i="3"/>
  <c r="Y72" i="3"/>
  <c r="Y9" i="3"/>
  <c r="Y74" i="3"/>
  <c r="Y20" i="3"/>
  <c r="Y29" i="3"/>
  <c r="Y43" i="3"/>
  <c r="Y73" i="3"/>
  <c r="Y32" i="3"/>
  <c r="Y4" i="3"/>
  <c r="Y10" i="3"/>
  <c r="Y30" i="3"/>
  <c r="Y45" i="3"/>
  <c r="Y55" i="3"/>
  <c r="Y64" i="3"/>
  <c r="Y119" i="3"/>
  <c r="X184" i="3"/>
  <c r="Y56" i="3"/>
  <c r="W113" i="3"/>
  <c r="W117" i="3"/>
  <c r="W121" i="3"/>
  <c r="W118" i="3"/>
  <c r="W119" i="3"/>
  <c r="W110" i="3"/>
  <c r="W114" i="3"/>
  <c r="W111" i="3"/>
  <c r="X144" i="3"/>
  <c r="Y156" i="3"/>
  <c r="A2" i="15" a="1"/>
  <c r="A2" i="15" s="1"/>
  <c r="N154" i="3" l="1"/>
  <c r="N164" i="3"/>
  <c r="N227" i="4"/>
  <c r="N49" i="4"/>
  <c r="N190" i="4"/>
  <c r="N29" i="4"/>
  <c r="N84" i="3"/>
  <c r="N114" i="3"/>
  <c r="N180" i="3"/>
  <c r="N23" i="3"/>
  <c r="N44" i="3"/>
  <c r="N126" i="3"/>
  <c r="N68" i="4"/>
  <c r="N257" i="4"/>
  <c r="N98" i="3"/>
  <c r="N289" i="4"/>
  <c r="N56" i="2"/>
  <c r="N79" i="2"/>
  <c r="N129" i="4"/>
  <c r="O127" i="2"/>
  <c r="O209" i="4"/>
  <c r="N5" i="3"/>
  <c r="N65" i="3"/>
  <c r="P228" i="4"/>
  <c r="N90" i="4"/>
  <c r="O90" i="4"/>
  <c r="N189" i="4"/>
  <c r="N155" i="3"/>
  <c r="O59" i="2"/>
  <c r="O291" i="4"/>
  <c r="N31" i="2"/>
  <c r="N188" i="4"/>
  <c r="N117" i="3"/>
  <c r="N17" i="2"/>
  <c r="N124" i="3"/>
  <c r="O124" i="3"/>
  <c r="N158" i="3"/>
  <c r="N43" i="4"/>
  <c r="N116" i="3"/>
  <c r="O86" i="4"/>
  <c r="N86" i="4"/>
  <c r="N97" i="4"/>
  <c r="P267" i="4"/>
  <c r="O214" i="4"/>
  <c r="N183" i="3"/>
  <c r="O4" i="3"/>
  <c r="N4" i="3"/>
  <c r="N51" i="2"/>
  <c r="N156" i="2"/>
  <c r="O148" i="4"/>
  <c r="N148" i="4"/>
  <c r="O113" i="3"/>
  <c r="N113" i="3"/>
  <c r="N131" i="4"/>
  <c r="O131" i="4"/>
  <c r="N217" i="4"/>
  <c r="O157" i="2"/>
  <c r="N157" i="2"/>
  <c r="N60" i="4"/>
  <c r="O26" i="3"/>
  <c r="P35" i="3"/>
  <c r="N35" i="3"/>
  <c r="O130" i="4"/>
  <c r="N130" i="4"/>
  <c r="O46" i="4"/>
  <c r="N46" i="4"/>
  <c r="N64" i="2"/>
  <c r="N178" i="4"/>
  <c r="N106" i="3"/>
  <c r="N98" i="4"/>
  <c r="O246" i="4"/>
  <c r="O171" i="4"/>
  <c r="N171" i="4"/>
  <c r="N77" i="2"/>
  <c r="N15" i="3"/>
  <c r="P15" i="3"/>
  <c r="N115" i="3"/>
  <c r="N163" i="3"/>
  <c r="N43" i="3"/>
  <c r="O43" i="3"/>
  <c r="N105" i="3"/>
  <c r="N64" i="3"/>
  <c r="N11" i="2"/>
  <c r="N162" i="3"/>
  <c r="N57" i="2"/>
  <c r="N95" i="2"/>
  <c r="O119" i="2"/>
  <c r="N7" i="3"/>
  <c r="O126" i="2"/>
  <c r="N28" i="4"/>
  <c r="P184" i="3"/>
  <c r="N195" i="4"/>
  <c r="O272" i="4"/>
  <c r="N272" i="4"/>
  <c r="N134" i="3"/>
  <c r="O134" i="3"/>
  <c r="N115" i="2"/>
  <c r="O136" i="2"/>
  <c r="N136" i="2"/>
  <c r="N115" i="4"/>
  <c r="O115" i="4"/>
  <c r="N16" i="2"/>
  <c r="P16" i="2"/>
  <c r="N106" i="4"/>
  <c r="O106" i="4"/>
  <c r="O156" i="3"/>
  <c r="N156" i="3"/>
  <c r="O174" i="4"/>
  <c r="N174" i="4"/>
  <c r="O154" i="4"/>
  <c r="N154" i="4"/>
  <c r="S15" i="1" a="1"/>
  <c r="S15" i="1" s="1"/>
  <c r="N290" i="4"/>
  <c r="P156" i="2"/>
  <c r="N55" i="2"/>
  <c r="O70" i="4"/>
  <c r="N70" i="4"/>
  <c r="O36" i="2"/>
  <c r="N36" i="2"/>
  <c r="N15" i="4"/>
  <c r="O15" i="4"/>
  <c r="O62" i="3"/>
  <c r="N62" i="3"/>
  <c r="N153" i="3"/>
  <c r="P17" i="3"/>
  <c r="N17" i="3"/>
  <c r="N207" i="4"/>
  <c r="N259" i="4"/>
  <c r="N82" i="2"/>
  <c r="N42" i="3"/>
  <c r="N97" i="3"/>
  <c r="O97" i="3"/>
  <c r="N18" i="3"/>
  <c r="O18" i="3"/>
  <c r="N25" i="3"/>
  <c r="O25" i="3"/>
  <c r="O238" i="4"/>
  <c r="N238" i="4"/>
  <c r="O191" i="4"/>
  <c r="N191" i="4"/>
  <c r="N18" i="4"/>
  <c r="O18" i="4"/>
  <c r="N6" i="3"/>
  <c r="O6" i="3"/>
  <c r="N275" i="4"/>
  <c r="O56" i="3"/>
  <c r="N56" i="3"/>
  <c r="N16" i="3"/>
  <c r="O16" i="3"/>
  <c r="N135" i="2"/>
  <c r="O135" i="2"/>
  <c r="N19" i="2"/>
  <c r="N71" i="4"/>
  <c r="O71" i="4"/>
  <c r="O150" i="4"/>
  <c r="N150" i="4"/>
  <c r="P247" i="4"/>
  <c r="N247" i="4"/>
  <c r="O58" i="2"/>
  <c r="N58" i="2"/>
  <c r="N114" i="4"/>
  <c r="O114" i="4"/>
  <c r="N138" i="3"/>
  <c r="O138" i="3"/>
  <c r="O47" i="4"/>
  <c r="N47" i="4"/>
  <c r="N66" i="3"/>
  <c r="O66" i="3"/>
  <c r="N87" i="4"/>
  <c r="N138" i="4"/>
  <c r="N38" i="4"/>
  <c r="O38" i="4"/>
  <c r="N110" i="4"/>
  <c r="O110" i="4"/>
  <c r="N96" i="2"/>
  <c r="O118" i="3"/>
  <c r="N118" i="3"/>
  <c r="N270" i="4"/>
  <c r="O270" i="4"/>
  <c r="O135" i="4"/>
  <c r="N135" i="4"/>
  <c r="N109" i="4"/>
  <c r="N22" i="2"/>
  <c r="N42" i="2"/>
  <c r="O42" i="2"/>
  <c r="O99" i="2"/>
  <c r="N99" i="2"/>
  <c r="N266" i="4"/>
  <c r="O266" i="4"/>
  <c r="N69" i="3"/>
  <c r="O69" i="3"/>
  <c r="O274" i="4"/>
  <c r="N274" i="4"/>
  <c r="N94" i="4"/>
  <c r="O94" i="4"/>
  <c r="N158" i="2"/>
  <c r="N27" i="4"/>
  <c r="O125" i="3"/>
  <c r="N125" i="3"/>
  <c r="O286" i="4"/>
  <c r="N286" i="4"/>
  <c r="N271" i="4"/>
  <c r="O271" i="4"/>
  <c r="N132" i="3"/>
  <c r="O132" i="3"/>
  <c r="N146" i="4"/>
  <c r="O146" i="4"/>
  <c r="O199" i="4"/>
  <c r="N199" i="4"/>
  <c r="O36" i="3"/>
  <c r="N36" i="3"/>
  <c r="O118" i="2"/>
  <c r="N118" i="2"/>
  <c r="N234" i="4"/>
  <c r="O234" i="4"/>
  <c r="N288" i="4"/>
  <c r="N75" i="2"/>
  <c r="O75" i="2"/>
  <c r="N287" i="4"/>
  <c r="O287" i="4"/>
  <c r="N138" i="2"/>
  <c r="O138" i="2"/>
  <c r="N111" i="4"/>
  <c r="O111" i="4"/>
  <c r="O2" i="2"/>
  <c r="N2" i="2"/>
  <c r="O136" i="3"/>
  <c r="N136" i="3"/>
  <c r="N235" i="4"/>
  <c r="O235" i="4"/>
  <c r="O26" i="4"/>
  <c r="N26" i="4"/>
  <c r="O54" i="4"/>
  <c r="N54" i="4"/>
  <c r="O78" i="3"/>
  <c r="N78" i="3"/>
  <c r="O8" i="3"/>
  <c r="N8" i="3"/>
  <c r="O70" i="3"/>
  <c r="N70" i="3"/>
  <c r="N15" i="2"/>
  <c r="O15" i="2"/>
  <c r="N102" i="3"/>
  <c r="O102" i="3"/>
  <c r="N215" i="4"/>
  <c r="O215" i="4"/>
  <c r="N8" i="4"/>
  <c r="O8" i="4"/>
  <c r="O139" i="4"/>
  <c r="N139" i="4"/>
  <c r="N82" i="3"/>
  <c r="N37" i="4"/>
  <c r="O37" i="4"/>
  <c r="O226" i="4"/>
  <c r="N226" i="4"/>
  <c r="B24" i="1" a="1"/>
  <c r="B24" i="1" s="1"/>
  <c r="N128" i="4"/>
  <c r="N47" i="3"/>
  <c r="O47" i="3"/>
  <c r="N9" i="4"/>
  <c r="P9" i="4"/>
  <c r="O166" i="4"/>
  <c r="N166" i="4"/>
  <c r="N134" i="2"/>
  <c r="B25" i="1" a="1"/>
  <c r="B25" i="1" s="1"/>
  <c r="O58" i="3"/>
  <c r="N58" i="3"/>
  <c r="N27" i="3"/>
  <c r="N178" i="3"/>
  <c r="N133" i="3"/>
  <c r="O133" i="3"/>
  <c r="O55" i="4"/>
  <c r="N55" i="4"/>
  <c r="O194" i="4"/>
  <c r="N194" i="4"/>
  <c r="N45" i="3"/>
  <c r="O45" i="3"/>
  <c r="N38" i="3"/>
  <c r="N38" i="2"/>
  <c r="O38" i="2"/>
  <c r="O22" i="3"/>
  <c r="N22" i="3"/>
  <c r="N7" i="4"/>
  <c r="O7" i="4"/>
  <c r="O208" i="4"/>
  <c r="N208" i="4"/>
  <c r="O74" i="4"/>
  <c r="N74" i="4"/>
  <c r="G23" i="1" a="1"/>
  <c r="G23" i="1" s="1"/>
  <c r="N49" i="3"/>
  <c r="N155" i="2"/>
  <c r="N95" i="4"/>
  <c r="O198" i="4"/>
  <c r="N198" i="4"/>
  <c r="N230" i="4"/>
  <c r="O230" i="4"/>
  <c r="O78" i="2"/>
  <c r="N78" i="2"/>
  <c r="C3" i="1" a="1"/>
  <c r="C3" i="1" s="1"/>
  <c r="S4" i="1" a="1"/>
  <c r="S4" i="1" s="1"/>
  <c r="B23" i="1" a="1"/>
  <c r="B23" i="1" s="1"/>
  <c r="C18" i="1" a="1"/>
  <c r="C18" i="1" s="1"/>
  <c r="F8" i="1" a="1"/>
  <c r="F8" i="1" s="1"/>
  <c r="G3" i="1" a="1"/>
  <c r="G3" i="1" s="1"/>
  <c r="N103" i="2"/>
  <c r="O103" i="2"/>
  <c r="O160" i="3"/>
  <c r="N160" i="3"/>
  <c r="O27" i="2"/>
  <c r="N27" i="2"/>
  <c r="N44" i="4"/>
  <c r="O44" i="4"/>
  <c r="O113" i="2"/>
  <c r="N113" i="2"/>
  <c r="O45" i="2"/>
  <c r="N45" i="2"/>
  <c r="O145" i="2"/>
  <c r="N145" i="2"/>
  <c r="O181" i="3"/>
  <c r="N181" i="3"/>
  <c r="N147" i="2"/>
  <c r="O147" i="2"/>
  <c r="N142" i="4"/>
  <c r="O142" i="4"/>
  <c r="O122" i="3"/>
  <c r="N122" i="3"/>
  <c r="N168" i="3"/>
  <c r="O168" i="3"/>
  <c r="O50" i="3"/>
  <c r="N50" i="3"/>
  <c r="N265" i="4"/>
  <c r="O265" i="4"/>
  <c r="O152" i="2"/>
  <c r="N152" i="2"/>
  <c r="N248" i="4"/>
  <c r="O248" i="4"/>
  <c r="N61" i="4"/>
  <c r="O61" i="4"/>
  <c r="O260" i="4"/>
  <c r="N260" i="4"/>
  <c r="N120" i="2"/>
  <c r="P120" i="2"/>
  <c r="N278" i="4"/>
  <c r="O278" i="4"/>
  <c r="S6" i="1" a="1"/>
  <c r="S6" i="1" s="1"/>
  <c r="G4" i="1" a="1"/>
  <c r="G4" i="1" s="1"/>
  <c r="O196" i="4"/>
  <c r="N196" i="4"/>
  <c r="N56" i="4"/>
  <c r="O56" i="4"/>
  <c r="N92" i="2"/>
  <c r="O92" i="2"/>
  <c r="N213" i="4"/>
  <c r="O213" i="4"/>
  <c r="N47" i="2"/>
  <c r="O47" i="2"/>
  <c r="F24" i="1" a="1"/>
  <c r="F24" i="1" s="1"/>
  <c r="O19" i="3"/>
  <c r="N19" i="3"/>
  <c r="N84" i="2"/>
  <c r="O84" i="2"/>
  <c r="G5" i="1" a="1"/>
  <c r="G5" i="1" s="1"/>
  <c r="P148" i="3"/>
  <c r="N148" i="3"/>
  <c r="O54" i="2"/>
  <c r="N54" i="2"/>
  <c r="N129" i="3"/>
  <c r="O129" i="3"/>
  <c r="N245" i="4"/>
  <c r="P245" i="4"/>
  <c r="O105" i="4"/>
  <c r="N105" i="4"/>
  <c r="O144" i="4"/>
  <c r="N144" i="4"/>
  <c r="N72" i="3"/>
  <c r="O65" i="2"/>
  <c r="N65" i="2"/>
  <c r="N69" i="2"/>
  <c r="O69" i="2"/>
  <c r="N85" i="2"/>
  <c r="O85" i="2"/>
  <c r="N87" i="2"/>
  <c r="O87" i="2"/>
  <c r="N80" i="4"/>
  <c r="O80" i="4"/>
  <c r="N76" i="3"/>
  <c r="O76" i="3"/>
  <c r="N143" i="4"/>
  <c r="O143" i="4"/>
  <c r="N41" i="4"/>
  <c r="O41" i="4"/>
  <c r="N99" i="4"/>
  <c r="O99" i="4"/>
  <c r="O218" i="4"/>
  <c r="N218" i="4"/>
  <c r="N277" i="4"/>
  <c r="O277" i="4"/>
  <c r="N131" i="2"/>
  <c r="O131" i="2"/>
  <c r="O12" i="2"/>
  <c r="N12" i="2"/>
  <c r="N13" i="4"/>
  <c r="O13" i="4"/>
  <c r="C16" i="1" a="1"/>
  <c r="C16" i="1" s="1"/>
  <c r="O132" i="2"/>
  <c r="N132" i="2"/>
  <c r="N83" i="2"/>
  <c r="O83" i="2"/>
  <c r="O60" i="3"/>
  <c r="N60" i="3"/>
  <c r="N24" i="4"/>
  <c r="O24" i="4"/>
  <c r="F26" i="1" a="1"/>
  <c r="F26" i="1" s="1"/>
  <c r="N159" i="3"/>
  <c r="O159" i="3"/>
  <c r="N93" i="2"/>
  <c r="O93" i="2"/>
  <c r="O166" i="3"/>
  <c r="N166" i="3"/>
  <c r="S7" i="1" a="1"/>
  <c r="S7" i="1" s="1"/>
  <c r="P175" i="3"/>
  <c r="N175" i="3"/>
  <c r="N96" i="3"/>
  <c r="P96" i="3"/>
  <c r="S8" i="1" a="1"/>
  <c r="S8" i="1" s="1"/>
  <c r="N36" i="4"/>
  <c r="O36" i="4"/>
  <c r="N112" i="3"/>
  <c r="O112" i="3"/>
  <c r="O31" i="3"/>
  <c r="N31" i="3"/>
  <c r="P55" i="3"/>
  <c r="N55" i="3"/>
  <c r="N102" i="4"/>
  <c r="O102" i="4"/>
  <c r="N141" i="2"/>
  <c r="O141" i="2"/>
  <c r="O240" i="4"/>
  <c r="N240" i="4"/>
  <c r="N100" i="2"/>
  <c r="O100" i="2"/>
  <c r="F6" i="1" a="1"/>
  <c r="F6" i="1" s="1"/>
  <c r="O35" i="2"/>
  <c r="N35" i="2"/>
  <c r="O176" i="4"/>
  <c r="N176" i="4"/>
  <c r="N108" i="3"/>
  <c r="O108" i="3"/>
  <c r="O73" i="4"/>
  <c r="N73" i="4"/>
  <c r="N193" i="4"/>
  <c r="O193" i="4"/>
  <c r="O172" i="4"/>
  <c r="N172" i="4"/>
  <c r="N12" i="4"/>
  <c r="O12" i="4"/>
  <c r="O30" i="3"/>
  <c r="N30" i="3"/>
  <c r="N109" i="3"/>
  <c r="O109" i="3"/>
  <c r="P14" i="2"/>
  <c r="N14" i="2"/>
  <c r="N284" i="4"/>
  <c r="O284" i="4"/>
  <c r="O120" i="3"/>
  <c r="N120" i="3"/>
  <c r="N50" i="2"/>
  <c r="O50" i="2"/>
  <c r="N104" i="2"/>
  <c r="O104" i="2"/>
  <c r="G26" i="1" a="1"/>
  <c r="G26" i="1" s="1"/>
  <c r="N150" i="3"/>
  <c r="N70" i="2"/>
  <c r="O70" i="2"/>
  <c r="N11" i="3"/>
  <c r="P11" i="3"/>
  <c r="O225" i="4"/>
  <c r="N225" i="4"/>
  <c r="N85" i="4"/>
  <c r="O85" i="4"/>
  <c r="O44" i="2"/>
  <c r="N44" i="2"/>
  <c r="N4" i="4"/>
  <c r="O4" i="4"/>
  <c r="C28" i="1" a="1"/>
  <c r="C28" i="1" s="1"/>
  <c r="O25" i="2"/>
  <c r="N25" i="2"/>
  <c r="N7" i="2"/>
  <c r="O7" i="2"/>
  <c r="F25" i="1" a="1"/>
  <c r="F25" i="1" s="1"/>
  <c r="N67" i="2"/>
  <c r="O67" i="2"/>
  <c r="O241" i="4"/>
  <c r="N241" i="4"/>
  <c r="N108" i="4"/>
  <c r="O108" i="4"/>
  <c r="O22" i="4"/>
  <c r="N22" i="4"/>
  <c r="N174" i="3"/>
  <c r="P174" i="3"/>
  <c r="N282" i="4"/>
  <c r="O282" i="4"/>
  <c r="O82" i="4"/>
  <c r="N82" i="4"/>
  <c r="O21" i="4"/>
  <c r="N21" i="4"/>
  <c r="O121" i="2"/>
  <c r="N121" i="2"/>
  <c r="O220" i="4"/>
  <c r="N220" i="4"/>
  <c r="O40" i="4"/>
  <c r="N40" i="4"/>
  <c r="O80" i="2"/>
  <c r="N80" i="2"/>
  <c r="N19" i="4"/>
  <c r="O19" i="4"/>
  <c r="O197" i="4"/>
  <c r="N197" i="4"/>
  <c r="O16" i="4"/>
  <c r="N16" i="4"/>
  <c r="C25" i="1" a="1"/>
  <c r="C25" i="1" s="1"/>
  <c r="N173" i="4"/>
  <c r="O173" i="4"/>
  <c r="O171" i="3"/>
  <c r="N171" i="3"/>
  <c r="O152" i="4"/>
  <c r="N152" i="4"/>
  <c r="N10" i="3"/>
  <c r="P10" i="3"/>
  <c r="N89" i="3"/>
  <c r="O89" i="3"/>
  <c r="O74" i="2"/>
  <c r="N74" i="2"/>
  <c r="O112" i="2"/>
  <c r="N112" i="2"/>
  <c r="N34" i="3"/>
  <c r="O124" i="2"/>
  <c r="N124" i="2"/>
  <c r="N88" i="2"/>
  <c r="O88" i="2"/>
  <c r="N108" i="2"/>
  <c r="P108" i="2"/>
  <c r="F27" i="1" a="1"/>
  <c r="F27" i="1" s="1"/>
  <c r="N139" i="3"/>
  <c r="O139" i="3"/>
  <c r="O73" i="2"/>
  <c r="N73" i="2"/>
  <c r="N151" i="2"/>
  <c r="O81" i="4"/>
  <c r="N81" i="4"/>
  <c r="N232" i="4"/>
  <c r="P232" i="4"/>
  <c r="N140" i="2"/>
  <c r="O140" i="2"/>
  <c r="S23" i="1" a="1"/>
  <c r="S23" i="1" s="1"/>
  <c r="N181" i="4"/>
  <c r="O181" i="4"/>
  <c r="N157" i="4"/>
  <c r="O157" i="4"/>
  <c r="C15" i="1" a="1"/>
  <c r="C15" i="1" s="1"/>
  <c r="N203" i="4"/>
  <c r="N156" i="4"/>
  <c r="O156" i="4"/>
  <c r="O88" i="3"/>
  <c r="N88" i="3"/>
  <c r="C26" i="1" a="1"/>
  <c r="C26" i="1" s="1"/>
  <c r="O170" i="3"/>
  <c r="N170" i="3"/>
  <c r="G15" i="1" a="1"/>
  <c r="G15" i="1" s="1"/>
  <c r="N264" i="4"/>
  <c r="O264" i="4"/>
  <c r="O43" i="2"/>
  <c r="N43" i="2"/>
  <c r="N9" i="2"/>
  <c r="O9" i="2"/>
  <c r="G24" i="1" a="1"/>
  <c r="G24" i="1" s="1"/>
  <c r="N23" i="2"/>
  <c r="O5" i="2"/>
  <c r="N5" i="2"/>
  <c r="P173" i="3"/>
  <c r="N173" i="3"/>
  <c r="O145" i="3"/>
  <c r="N145" i="3"/>
  <c r="O221" i="4"/>
  <c r="N221" i="4"/>
  <c r="N60" i="2"/>
  <c r="O60" i="2"/>
  <c r="S17" i="1" a="1"/>
  <c r="S17" i="1" s="1"/>
  <c r="R13" i="1" a="1"/>
  <c r="R13" i="1" s="1"/>
  <c r="S18" i="1" a="1"/>
  <c r="S18" i="1" s="1"/>
  <c r="T3" i="3"/>
  <c r="R14" i="1" a="1"/>
  <c r="R14" i="1" s="1"/>
  <c r="S16" i="1" a="1"/>
  <c r="S16" i="1" s="1"/>
  <c r="F5" i="1" a="1"/>
  <c r="F5" i="1" s="1"/>
  <c r="N28" i="3"/>
  <c r="O28" i="3"/>
  <c r="C27" i="1" a="1"/>
  <c r="C27" i="1" s="1"/>
  <c r="N153" i="4"/>
  <c r="O153" i="4"/>
  <c r="F18" i="1" a="1"/>
  <c r="F18" i="1" s="1"/>
  <c r="O34" i="2"/>
  <c r="N34" i="2"/>
  <c r="N205" i="4"/>
  <c r="O205" i="4"/>
  <c r="O65" i="4"/>
  <c r="N65" i="4"/>
  <c r="N24" i="2"/>
  <c r="O24" i="2"/>
  <c r="N13" i="2"/>
  <c r="O13" i="2"/>
  <c r="O144" i="2"/>
  <c r="N144" i="2"/>
  <c r="O105" i="2"/>
  <c r="N105" i="2"/>
  <c r="G28" i="1" a="1"/>
  <c r="G28" i="1" s="1"/>
  <c r="O119" i="3"/>
  <c r="N119" i="3"/>
  <c r="S24" i="1" a="1"/>
  <c r="S24" i="1" s="1"/>
  <c r="O33" i="3"/>
  <c r="N33" i="3"/>
  <c r="B14" i="1" a="1"/>
  <c r="B14" i="1" s="1"/>
  <c r="S25" i="1" a="1"/>
  <c r="S25" i="1" s="1"/>
  <c r="C5" i="1" a="1"/>
  <c r="C5" i="1" s="1"/>
  <c r="N161" i="4"/>
  <c r="O161" i="4"/>
  <c r="N20" i="4"/>
  <c r="O20" i="4"/>
  <c r="N40" i="2"/>
  <c r="P40" i="2"/>
  <c r="R15" i="1" a="1"/>
  <c r="R15" i="1" s="1"/>
  <c r="O77" i="4"/>
  <c r="N77" i="4"/>
  <c r="P111" i="2"/>
  <c r="N111" i="2"/>
  <c r="O52" i="3"/>
  <c r="N52" i="3"/>
  <c r="B27" i="1" a="1"/>
  <c r="B27" i="1" s="1"/>
  <c r="N151" i="3"/>
  <c r="O151" i="3"/>
  <c r="G16" i="1" a="1"/>
  <c r="G16" i="1" s="1"/>
  <c r="N10" i="2"/>
  <c r="O10" i="2"/>
  <c r="N68" i="2"/>
  <c r="O68" i="2"/>
  <c r="O53" i="2"/>
  <c r="N53" i="2"/>
  <c r="O122" i="4"/>
  <c r="N122" i="4"/>
  <c r="N13" i="3"/>
  <c r="O13" i="3"/>
  <c r="N54" i="3"/>
  <c r="P54" i="3"/>
  <c r="N83" i="4"/>
  <c r="P83" i="4"/>
  <c r="B6" i="1" a="1"/>
  <c r="B6" i="1" s="1"/>
  <c r="O81" i="2"/>
  <c r="N81" i="2"/>
  <c r="R4" i="1" a="1"/>
  <c r="R4" i="1" s="1"/>
  <c r="N136" i="4"/>
  <c r="O136" i="4"/>
  <c r="N116" i="2"/>
  <c r="O116" i="2"/>
  <c r="O91" i="2"/>
  <c r="N91" i="2"/>
  <c r="B28" i="1" a="1"/>
  <c r="B28" i="1" s="1"/>
  <c r="G17" i="1" a="1"/>
  <c r="G17" i="1" s="1"/>
  <c r="N72" i="2"/>
  <c r="O72" i="2"/>
  <c r="O244" i="4"/>
  <c r="N244" i="4"/>
  <c r="N48" i="2"/>
  <c r="O48" i="2"/>
  <c r="O4" i="2"/>
  <c r="N4" i="2"/>
  <c r="F23" i="1" a="1"/>
  <c r="F23" i="1" s="1"/>
  <c r="N33" i="2"/>
  <c r="O33" i="2"/>
  <c r="N41" i="3"/>
  <c r="N62" i="4"/>
  <c r="O62" i="4"/>
  <c r="N119" i="4"/>
  <c r="O119" i="4"/>
  <c r="O57" i="3"/>
  <c r="N57" i="3"/>
  <c r="P86" i="3"/>
  <c r="N86" i="3"/>
  <c r="R17" i="1" a="1"/>
  <c r="R17" i="1" s="1"/>
  <c r="O32" i="3"/>
  <c r="N32" i="3"/>
  <c r="C23" i="1" a="1"/>
  <c r="C23" i="1" s="1"/>
  <c r="N168" i="4"/>
  <c r="F17" i="1" a="1"/>
  <c r="F17" i="1" s="1"/>
  <c r="O185" i="4"/>
  <c r="N185" i="4"/>
  <c r="N45" i="4"/>
  <c r="O45" i="4"/>
  <c r="N57" i="4"/>
  <c r="C4" i="1" a="1"/>
  <c r="C4" i="1" s="1"/>
  <c r="O3" i="2"/>
  <c r="N3" i="2"/>
  <c r="B8" i="1" a="1"/>
  <c r="B8" i="1" s="1"/>
  <c r="O89" i="2"/>
  <c r="N89" i="2"/>
  <c r="N103" i="4"/>
  <c r="O104" i="4"/>
  <c r="N104" i="4"/>
  <c r="N179" i="4"/>
  <c r="N131" i="3"/>
  <c r="N63" i="2"/>
  <c r="N100" i="4"/>
  <c r="O100" i="4"/>
  <c r="N164" i="4"/>
  <c r="O164" i="4"/>
  <c r="N42" i="4"/>
  <c r="O42" i="4"/>
  <c r="N37" i="3"/>
  <c r="O37" i="3"/>
  <c r="N109" i="2"/>
  <c r="O23" i="4"/>
  <c r="N23" i="4"/>
  <c r="C7" i="1" a="1"/>
  <c r="C7" i="1" s="1"/>
  <c r="C8" i="1" a="1"/>
  <c r="C8" i="1" s="1"/>
  <c r="R18" i="1" a="1"/>
  <c r="R18" i="1" s="1"/>
  <c r="P3" i="4"/>
  <c r="F28" i="1" a="1"/>
  <c r="F28" i="1" s="1"/>
  <c r="O92" i="3"/>
  <c r="N92" i="3"/>
  <c r="C24" i="1" a="1"/>
  <c r="C24" i="1" s="1"/>
  <c r="N113" i="4"/>
  <c r="O113" i="4"/>
  <c r="O112" i="4"/>
  <c r="N112" i="4"/>
  <c r="F13" i="1" a="1"/>
  <c r="F13" i="1" s="1"/>
  <c r="N29" i="3"/>
  <c r="O29" i="3"/>
  <c r="N63" i="4"/>
  <c r="R7" i="1" a="1"/>
  <c r="R7" i="1" s="1"/>
  <c r="R6" i="1" a="1"/>
  <c r="R6" i="1" s="1"/>
  <c r="T3" i="2"/>
  <c r="N130" i="2"/>
  <c r="O130" i="2"/>
  <c r="N141" i="3"/>
  <c r="O141" i="3"/>
  <c r="N121" i="3"/>
  <c r="O121" i="3"/>
  <c r="N149" i="2"/>
  <c r="G25" i="1" a="1"/>
  <c r="G25" i="1" s="1"/>
  <c r="N99" i="3"/>
  <c r="O99" i="3"/>
  <c r="O106" i="2"/>
  <c r="N106" i="2"/>
  <c r="N192" i="4"/>
  <c r="O192" i="4"/>
  <c r="N73" i="3"/>
  <c r="O73" i="3"/>
  <c r="C6" i="1" a="1"/>
  <c r="C6" i="1" s="1"/>
  <c r="N180" i="4"/>
  <c r="O180" i="4"/>
  <c r="S27" i="1" a="1"/>
  <c r="S27" i="1" s="1"/>
  <c r="B26" i="1" a="1"/>
  <c r="B26" i="1" s="1"/>
  <c r="G6" i="1" a="1"/>
  <c r="G6" i="1" s="1"/>
  <c r="G8" i="1" a="1"/>
  <c r="G8" i="1" s="1"/>
  <c r="P3" i="2"/>
  <c r="N29" i="2"/>
  <c r="O29" i="2"/>
  <c r="G27" i="1" a="1"/>
  <c r="G27" i="1" s="1"/>
  <c r="O79" i="3"/>
  <c r="N79" i="3"/>
  <c r="N124" i="4"/>
  <c r="O46" i="2"/>
  <c r="N46" i="2"/>
  <c r="N219" i="4"/>
  <c r="O219" i="4"/>
  <c r="N233" i="4"/>
  <c r="P233" i="4"/>
  <c r="P163" i="4"/>
  <c r="N163" i="4"/>
  <c r="O146" i="3"/>
  <c r="N146" i="3"/>
  <c r="N262" i="4"/>
  <c r="O262" i="4"/>
  <c r="B15" i="1" a="1"/>
  <c r="B15" i="1" s="1"/>
  <c r="R27" i="1" a="1"/>
  <c r="R27" i="1" s="1"/>
  <c r="N61" i="2"/>
  <c r="O61" i="2"/>
  <c r="R23" i="1" a="1"/>
  <c r="R23" i="1" s="1"/>
  <c r="O121" i="4"/>
  <c r="N121" i="4"/>
  <c r="C13" i="1" a="1"/>
  <c r="C13" i="1" s="1"/>
  <c r="O41" i="2"/>
  <c r="N41" i="2"/>
  <c r="O123" i="4"/>
  <c r="N123" i="4"/>
  <c r="S14" i="1" a="1"/>
  <c r="S14" i="1" s="1"/>
  <c r="P76" i="2"/>
  <c r="N76" i="2"/>
  <c r="O276" i="4"/>
  <c r="N276" i="4"/>
  <c r="N12" i="3"/>
  <c r="O12" i="3"/>
  <c r="N252" i="4"/>
  <c r="O252" i="4"/>
  <c r="N130" i="3"/>
  <c r="O130" i="3"/>
  <c r="F15" i="1" a="1"/>
  <c r="F15" i="1" s="1"/>
  <c r="N33" i="4"/>
  <c r="N165" i="4"/>
  <c r="O165" i="4"/>
  <c r="N32" i="2"/>
  <c r="O32" i="2"/>
  <c r="B4" i="1" a="1"/>
  <c r="B4" i="1" s="1"/>
  <c r="N30" i="2"/>
  <c r="O84" i="4"/>
  <c r="N84" i="4"/>
  <c r="O129" i="2"/>
  <c r="N129" i="2"/>
  <c r="N81" i="3"/>
  <c r="O81" i="3"/>
  <c r="O128" i="2"/>
  <c r="N128" i="2"/>
  <c r="N40" i="3"/>
  <c r="O179" i="3"/>
  <c r="N179" i="3"/>
  <c r="R28" i="1" a="1"/>
  <c r="R28" i="1" s="1"/>
  <c r="N242" i="4"/>
  <c r="O242" i="4"/>
  <c r="B16" i="1" a="1"/>
  <c r="B16" i="1" s="1"/>
  <c r="P169" i="4"/>
  <c r="N169" i="4"/>
  <c r="O222" i="4"/>
  <c r="N222" i="4"/>
  <c r="B18" i="1" a="1"/>
  <c r="B18" i="1" s="1"/>
  <c r="N116" i="4"/>
  <c r="O116" i="4"/>
  <c r="F14" i="1" a="1"/>
  <c r="F14" i="1" s="1"/>
  <c r="N25" i="4"/>
  <c r="P25" i="4"/>
  <c r="R24" i="1" a="1"/>
  <c r="R24" i="1" s="1"/>
  <c r="C14" i="1" a="1"/>
  <c r="C14" i="1" s="1"/>
  <c r="B3" i="1" a="1"/>
  <c r="B3" i="1" s="1"/>
  <c r="O140" i="4"/>
  <c r="N140" i="4"/>
  <c r="O144" i="3"/>
  <c r="N144" i="3"/>
  <c r="N279" i="4"/>
  <c r="O279" i="4"/>
  <c r="N123" i="3"/>
  <c r="O123" i="3"/>
  <c r="P85" i="3"/>
  <c r="N85" i="3"/>
  <c r="R8" i="1" a="1"/>
  <c r="R8" i="1" s="1"/>
  <c r="F4" i="1" a="1"/>
  <c r="F4" i="1" s="1"/>
  <c r="N96" i="4"/>
  <c r="O96" i="4"/>
  <c r="P93" i="4"/>
  <c r="N93" i="4"/>
  <c r="N111" i="3"/>
  <c r="O111" i="3"/>
  <c r="N92" i="4"/>
  <c r="P92" i="4"/>
  <c r="F16" i="1" a="1"/>
  <c r="F16" i="1" s="1"/>
  <c r="P9" i="3"/>
  <c r="G18" i="1" a="1"/>
  <c r="G18" i="1" s="1"/>
  <c r="G13" i="1" a="1"/>
  <c r="G13" i="1" s="1"/>
  <c r="G14" i="1" a="1"/>
  <c r="G14" i="1" s="1"/>
  <c r="N101" i="3"/>
  <c r="O101" i="3"/>
  <c r="N49" i="2"/>
  <c r="O49" i="2"/>
  <c r="N100" i="3"/>
  <c r="O100" i="3"/>
  <c r="O146" i="2"/>
  <c r="N146" i="2"/>
  <c r="N80" i="3"/>
  <c r="O80" i="3"/>
  <c r="O61" i="3"/>
  <c r="N61" i="3"/>
  <c r="P153" i="2"/>
  <c r="N153" i="2"/>
  <c r="N110" i="2"/>
  <c r="O125" i="4"/>
  <c r="N125" i="4"/>
  <c r="S5" i="1" a="1"/>
  <c r="S5" i="1" s="1"/>
  <c r="N201" i="4"/>
  <c r="O201" i="4"/>
  <c r="O200" i="4"/>
  <c r="N200" i="4"/>
  <c r="R16" i="1" a="1"/>
  <c r="R16" i="1" s="1"/>
  <c r="N51" i="3"/>
  <c r="N14" i="3"/>
  <c r="O14" i="3"/>
  <c r="O283" i="4"/>
  <c r="N283" i="4"/>
  <c r="P177" i="3"/>
  <c r="N177" i="3"/>
  <c r="O141" i="4"/>
  <c r="N141" i="4"/>
  <c r="N167" i="4"/>
  <c r="O167" i="4"/>
  <c r="P87" i="3"/>
  <c r="N87" i="3"/>
  <c r="N143" i="3"/>
  <c r="O143" i="3"/>
  <c r="N224" i="4"/>
  <c r="O224" i="4"/>
  <c r="O160" i="4"/>
  <c r="N263" i="4"/>
  <c r="O263" i="4"/>
  <c r="P137" i="3"/>
  <c r="N137" i="3"/>
  <c r="O223" i="4"/>
  <c r="N223" i="4"/>
  <c r="O167" i="3"/>
  <c r="N167" i="3"/>
  <c r="R25" i="1" a="1"/>
  <c r="R25" i="1" s="1"/>
  <c r="O281" i="4"/>
  <c r="N281" i="4"/>
  <c r="N101" i="4"/>
  <c r="O101" i="4"/>
  <c r="R3" i="1" a="1"/>
  <c r="R3" i="1" s="1"/>
  <c r="G7" i="1" a="1"/>
  <c r="G7" i="1" s="1"/>
  <c r="O256" i="4"/>
  <c r="N256" i="4"/>
  <c r="N128" i="3"/>
  <c r="P128" i="3"/>
  <c r="N253" i="4"/>
  <c r="O253" i="4"/>
  <c r="O72" i="4"/>
  <c r="N72" i="4"/>
  <c r="N110" i="3"/>
  <c r="O110" i="3"/>
  <c r="N169" i="3"/>
  <c r="O169" i="3"/>
  <c r="O9" i="3"/>
  <c r="N9" i="3"/>
  <c r="C17" i="1" a="1"/>
  <c r="C17" i="1" s="1"/>
  <c r="O5" i="4"/>
  <c r="N5" i="4"/>
  <c r="N204" i="4"/>
  <c r="O204" i="4"/>
  <c r="O161" i="3"/>
  <c r="N161" i="3"/>
  <c r="N28" i="2"/>
  <c r="O28" i="2"/>
  <c r="N86" i="2"/>
  <c r="O86" i="2"/>
  <c r="N140" i="3"/>
  <c r="O140" i="3"/>
  <c r="O8" i="2"/>
  <c r="N8" i="2"/>
  <c r="N90" i="2"/>
  <c r="O90" i="2"/>
  <c r="N125" i="2"/>
  <c r="O125" i="2"/>
  <c r="N114" i="2"/>
  <c r="O114" i="2"/>
  <c r="O52" i="4"/>
  <c r="N52" i="4"/>
  <c r="B7" i="1" a="1"/>
  <c r="B7" i="1" s="1"/>
  <c r="N101" i="2"/>
  <c r="O101" i="2"/>
  <c r="N77" i="3"/>
  <c r="O77" i="3"/>
  <c r="S28" i="1" a="1"/>
  <c r="S28" i="1" s="1"/>
  <c r="B17" i="1" a="1"/>
  <c r="B17" i="1" s="1"/>
  <c r="N20" i="2"/>
  <c r="O20" i="2"/>
  <c r="S13" i="1" a="1"/>
  <c r="S13" i="1" s="1"/>
  <c r="N71" i="2"/>
  <c r="O71" i="2"/>
  <c r="N273" i="4"/>
  <c r="O273" i="4"/>
  <c r="N52" i="2"/>
  <c r="O52" i="2"/>
  <c r="P157" i="3"/>
  <c r="N157" i="3"/>
  <c r="O202" i="4"/>
  <c r="N202" i="4"/>
  <c r="N147" i="3"/>
  <c r="O147" i="3"/>
  <c r="N74" i="3"/>
  <c r="O74" i="3"/>
  <c r="B13" i="1" a="1"/>
  <c r="B13" i="1" s="1"/>
  <c r="R26" i="1" a="1"/>
  <c r="R26" i="1" s="1"/>
  <c r="N165" i="3"/>
  <c r="O165" i="3"/>
  <c r="O120" i="4"/>
  <c r="N120" i="4"/>
  <c r="P142" i="2"/>
  <c r="N142" i="2"/>
  <c r="O239" i="4"/>
  <c r="N239" i="4"/>
  <c r="O103" i="3"/>
  <c r="N103" i="3"/>
  <c r="R5" i="1" a="1"/>
  <c r="R5" i="1" s="1"/>
  <c r="F3" i="1" a="1"/>
  <c r="F3" i="1" s="1"/>
  <c r="O48" i="3"/>
  <c r="N48" i="3"/>
  <c r="O91" i="3"/>
  <c r="N91" i="3"/>
  <c r="N90" i="3"/>
  <c r="O90" i="3"/>
  <c r="O285" i="4"/>
  <c r="N285" i="4"/>
  <c r="N145" i="4"/>
  <c r="O145" i="4"/>
  <c r="N152" i="3"/>
  <c r="N64" i="4"/>
  <c r="O64" i="4"/>
  <c r="O20" i="3"/>
  <c r="N20" i="3"/>
  <c r="N6" i="2"/>
  <c r="O6" i="2"/>
  <c r="N148" i="2"/>
  <c r="O59" i="3"/>
  <c r="N59" i="3"/>
  <c r="N280" i="4"/>
  <c r="O280" i="4"/>
  <c r="S26" i="1" a="1"/>
  <c r="S26" i="1" s="1"/>
  <c r="O53" i="3"/>
  <c r="N53" i="3"/>
  <c r="O162" i="4"/>
  <c r="N162" i="4"/>
  <c r="B5" i="1" a="1"/>
  <c r="B5" i="1" s="1"/>
  <c r="O261" i="4"/>
  <c r="N261" i="4"/>
  <c r="N158" i="4"/>
  <c r="O158" i="4"/>
  <c r="N62" i="2"/>
  <c r="P62" i="2"/>
  <c r="O143" i="2"/>
  <c r="N143" i="2"/>
  <c r="N142" i="3"/>
  <c r="O142" i="3"/>
  <c r="S3" i="1" a="1"/>
  <c r="S3" i="1" s="1"/>
  <c r="F7" i="1" a="1"/>
  <c r="F7" i="1" s="1"/>
  <c r="O216" i="4"/>
  <c r="N216" i="4"/>
  <c r="O76" i="4"/>
  <c r="N76" i="4"/>
  <c r="O172" i="3"/>
  <c r="N172" i="3"/>
  <c r="N118" i="4"/>
  <c r="N149" i="3"/>
  <c r="O53" i="4"/>
  <c r="N53" i="4"/>
  <c r="N32" i="4"/>
  <c r="N123" i="2"/>
  <c r="O123" i="2"/>
  <c r="O21" i="3"/>
  <c r="N21" i="3"/>
  <c r="O26" i="2"/>
  <c r="N26" i="2"/>
  <c r="N66" i="2"/>
  <c r="O66" i="2"/>
  <c r="N39" i="3"/>
  <c r="O39" i="3"/>
  <c r="O133" i="2"/>
  <c r="N133" i="2"/>
  <c r="N107" i="2"/>
  <c r="W114" i="4"/>
  <c r="W36" i="4"/>
  <c r="W155" i="4"/>
  <c r="W245" i="4"/>
  <c r="X281" i="4"/>
  <c r="W262" i="4"/>
  <c r="X283" i="4"/>
  <c r="W239" i="4"/>
  <c r="W56" i="4"/>
  <c r="Y138" i="4"/>
  <c r="W244" i="4"/>
  <c r="W186" i="4"/>
  <c r="Y142" i="4"/>
  <c r="W240" i="4"/>
  <c r="W238" i="4"/>
  <c r="W226" i="4"/>
  <c r="W257" i="4"/>
  <c r="X271" i="4"/>
  <c r="W228" i="4"/>
  <c r="W169" i="4"/>
  <c r="X269" i="4"/>
  <c r="W220" i="4"/>
  <c r="W259" i="4"/>
  <c r="X282" i="4"/>
  <c r="W29" i="4"/>
  <c r="W211" i="4"/>
  <c r="W252" i="4"/>
  <c r="W233" i="4"/>
  <c r="W248" i="4"/>
  <c r="X290" i="4"/>
  <c r="W118" i="4"/>
  <c r="W170" i="4"/>
  <c r="W208" i="4"/>
  <c r="W255" i="4"/>
  <c r="X278" i="4"/>
  <c r="W110" i="4"/>
  <c r="W154" i="4"/>
  <c r="W148" i="4"/>
  <c r="W232" i="4"/>
  <c r="W253" i="4"/>
  <c r="X286" i="4"/>
  <c r="W86" i="4"/>
  <c r="W145" i="4"/>
  <c r="W176" i="4"/>
  <c r="W162" i="4"/>
  <c r="W214" i="4"/>
  <c r="W268" i="4"/>
  <c r="W237" i="4"/>
  <c r="X279" i="4"/>
  <c r="W221" i="4"/>
  <c r="W265" i="4"/>
  <c r="X276" i="4"/>
  <c r="W32" i="4"/>
  <c r="X277" i="4"/>
  <c r="W46" i="4"/>
  <c r="W215" i="4"/>
  <c r="W251" i="4"/>
  <c r="X270" i="4"/>
  <c r="X284" i="4"/>
  <c r="W229" i="4"/>
  <c r="W261" i="4"/>
  <c r="W218" i="4"/>
  <c r="W174" i="4"/>
  <c r="Y169" i="4"/>
  <c r="W222" i="4"/>
  <c r="X272" i="4"/>
  <c r="Y140" i="4"/>
  <c r="W249" i="4"/>
  <c r="W242" i="4"/>
  <c r="X288" i="4"/>
  <c r="X253" i="4"/>
  <c r="X274" i="4"/>
  <c r="W243" i="4"/>
  <c r="W264" i="4"/>
  <c r="Y150" i="4"/>
  <c r="W254" i="4"/>
  <c r="W217" i="4"/>
  <c r="W258" i="4"/>
  <c r="X275" i="4"/>
  <c r="X260" i="4"/>
  <c r="Y165" i="4"/>
  <c r="W266" i="4"/>
  <c r="W250" i="4"/>
  <c r="X287" i="4"/>
  <c r="W236" i="4"/>
  <c r="X273" i="4"/>
  <c r="W246" i="4"/>
  <c r="W260" i="4"/>
  <c r="Y151" i="4"/>
  <c r="W263" i="4"/>
  <c r="W267" i="4"/>
  <c r="X280" i="4"/>
  <c r="W212" i="4"/>
  <c r="Y149" i="4"/>
  <c r="W235" i="4"/>
  <c r="W241" i="4"/>
  <c r="X289" i="4"/>
  <c r="W216" i="4"/>
  <c r="X285" i="4"/>
  <c r="W73" i="4"/>
  <c r="W18" i="4"/>
  <c r="W115" i="4"/>
  <c r="W19" i="4"/>
  <c r="W69" i="4"/>
  <c r="W9" i="4"/>
  <c r="W50" i="4"/>
  <c r="W61" i="4"/>
  <c r="W4" i="4"/>
  <c r="W197" i="4"/>
  <c r="W98" i="4"/>
  <c r="W177" i="4"/>
  <c r="W173" i="4"/>
  <c r="X238" i="4"/>
  <c r="X249" i="4"/>
  <c r="W12" i="4"/>
  <c r="W35" i="4"/>
  <c r="W119" i="4"/>
  <c r="W40" i="4"/>
  <c r="W34" i="4"/>
  <c r="W93" i="4"/>
  <c r="W127" i="4"/>
  <c r="W71" i="4"/>
  <c r="W189" i="4"/>
  <c r="W53" i="4"/>
  <c r="W161" i="4"/>
  <c r="W179" i="4"/>
  <c r="W203" i="4"/>
  <c r="X265" i="4"/>
  <c r="W49" i="4"/>
  <c r="W109" i="4"/>
  <c r="X254" i="4"/>
  <c r="W21" i="4"/>
  <c r="W204" i="4"/>
  <c r="W79" i="4"/>
  <c r="W196" i="4"/>
  <c r="W158" i="4"/>
  <c r="W62" i="4"/>
  <c r="W133" i="4"/>
  <c r="W168" i="4"/>
  <c r="Y177" i="4"/>
  <c r="W57" i="4"/>
  <c r="W68" i="4"/>
  <c r="W122" i="4"/>
  <c r="W141" i="4"/>
  <c r="X263" i="4"/>
  <c r="W75" i="4"/>
  <c r="W67" i="4"/>
  <c r="Y156" i="4"/>
  <c r="W88" i="4"/>
  <c r="W54" i="4"/>
  <c r="W48" i="4"/>
  <c r="W108" i="4"/>
  <c r="W14" i="4"/>
  <c r="W202" i="4"/>
  <c r="W139" i="4"/>
  <c r="W143" i="4"/>
  <c r="X259" i="4"/>
  <c r="X257" i="4"/>
  <c r="X264" i="4"/>
  <c r="X250" i="4"/>
  <c r="W74" i="4"/>
  <c r="W2" i="4"/>
  <c r="Y133" i="4"/>
  <c r="Y161" i="4"/>
  <c r="Y134" i="4"/>
  <c r="Y145" i="4"/>
  <c r="Y146" i="4"/>
  <c r="Y174" i="4"/>
  <c r="Y178" i="4"/>
  <c r="Y167" i="4"/>
  <c r="Y159" i="4"/>
  <c r="Y160" i="4"/>
  <c r="Y175" i="4"/>
  <c r="Y166" i="4"/>
  <c r="Y176" i="4"/>
  <c r="Y168" i="4"/>
  <c r="Y180" i="4"/>
  <c r="Y154" i="4"/>
  <c r="Y144" i="4"/>
  <c r="W106" i="4"/>
  <c r="W45" i="4"/>
  <c r="W99" i="4"/>
  <c r="W22" i="4"/>
  <c r="Y139" i="4"/>
  <c r="Y164" i="4"/>
  <c r="W38" i="4"/>
  <c r="W37" i="4"/>
  <c r="W27" i="4"/>
  <c r="W95" i="4"/>
  <c r="W31" i="4"/>
  <c r="W187" i="4"/>
  <c r="X246" i="4"/>
  <c r="W166" i="4"/>
  <c r="W153" i="4"/>
  <c r="X245" i="4"/>
  <c r="X237" i="4"/>
  <c r="W58" i="4"/>
  <c r="W279" i="4"/>
  <c r="W282" i="4"/>
  <c r="W286" i="4"/>
  <c r="W275" i="4"/>
  <c r="W289" i="4"/>
  <c r="W273" i="4"/>
  <c r="W271" i="4"/>
  <c r="W287" i="4"/>
  <c r="W274" i="4"/>
  <c r="W288" i="4"/>
  <c r="W272" i="4"/>
  <c r="W276" i="4"/>
  <c r="W283" i="4"/>
  <c r="W269" i="4"/>
  <c r="W291" i="4"/>
  <c r="W270" i="4"/>
  <c r="W285" i="4"/>
  <c r="W280" i="4"/>
  <c r="W278" i="4"/>
  <c r="W281" i="4"/>
  <c r="W284" i="4"/>
  <c r="W290" i="4"/>
  <c r="W277" i="4"/>
  <c r="W112" i="4"/>
  <c r="W13" i="4"/>
  <c r="W8" i="4"/>
  <c r="W85" i="4"/>
  <c r="W192" i="4"/>
  <c r="W160" i="4"/>
  <c r="W163" i="4"/>
  <c r="X262" i="4"/>
  <c r="X243" i="4"/>
  <c r="X247" i="4"/>
  <c r="W64" i="4"/>
  <c r="W201" i="4"/>
  <c r="W175" i="4"/>
  <c r="Y147" i="4"/>
  <c r="W113" i="4"/>
  <c r="W184" i="4"/>
  <c r="X267" i="4"/>
  <c r="W165" i="4"/>
  <c r="W121" i="4"/>
  <c r="W194" i="4"/>
  <c r="W89" i="4"/>
  <c r="W151" i="4"/>
  <c r="W103" i="4"/>
  <c r="W102" i="4"/>
  <c r="W90" i="4"/>
  <c r="W94" i="4"/>
  <c r="X268" i="4"/>
  <c r="W39" i="4"/>
  <c r="X8" i="4"/>
  <c r="X23" i="4"/>
  <c r="X38" i="4"/>
  <c r="X52" i="4"/>
  <c r="X63" i="4"/>
  <c r="X100" i="4"/>
  <c r="X125" i="4"/>
  <c r="X2" i="4"/>
  <c r="X24" i="4"/>
  <c r="X39" i="4"/>
  <c r="X53" i="4"/>
  <c r="X78" i="4"/>
  <c r="X89" i="4"/>
  <c r="X101" i="4"/>
  <c r="X118" i="4"/>
  <c r="X126" i="4"/>
  <c r="X25" i="4"/>
  <c r="X40" i="4"/>
  <c r="X54" i="4"/>
  <c r="X64" i="4"/>
  <c r="X79" i="4"/>
  <c r="X90" i="4"/>
  <c r="X102" i="4"/>
  <c r="X119" i="4"/>
  <c r="X130" i="4"/>
  <c r="X9" i="4"/>
  <c r="X26" i="4"/>
  <c r="X41" i="4"/>
  <c r="X55" i="4"/>
  <c r="X66" i="4"/>
  <c r="X80" i="4"/>
  <c r="X91" i="4"/>
  <c r="X15" i="4"/>
  <c r="X69" i="4"/>
  <c r="X84" i="4"/>
  <c r="X96" i="4"/>
  <c r="X113" i="4"/>
  <c r="X121" i="4"/>
  <c r="X16" i="4"/>
  <c r="X70" i="4"/>
  <c r="X85" i="4"/>
  <c r="X97" i="4"/>
  <c r="X114" i="4"/>
  <c r="X127" i="4"/>
  <c r="X17" i="4"/>
  <c r="X36" i="4"/>
  <c r="X56" i="4"/>
  <c r="X98" i="4"/>
  <c r="X115" i="4"/>
  <c r="X18" i="4"/>
  <c r="X72" i="4"/>
  <c r="X128" i="4"/>
  <c r="X37" i="4"/>
  <c r="X57" i="4"/>
  <c r="X71" i="4"/>
  <c r="X86" i="4"/>
  <c r="X4" i="4"/>
  <c r="X58" i="4"/>
  <c r="X99" i="4"/>
  <c r="X20" i="4"/>
  <c r="X73" i="4"/>
  <c r="X88" i="4"/>
  <c r="X33" i="4"/>
  <c r="X59" i="4"/>
  <c r="X103" i="4"/>
  <c r="X117" i="4"/>
  <c r="X7" i="4"/>
  <c r="X34" i="4"/>
  <c r="X104" i="4"/>
  <c r="X43" i="4"/>
  <c r="X35" i="4"/>
  <c r="X60" i="4"/>
  <c r="X105" i="4"/>
  <c r="X129" i="4"/>
  <c r="X10" i="4"/>
  <c r="X61" i="4"/>
  <c r="X81" i="4"/>
  <c r="X106" i="4"/>
  <c r="X82" i="4"/>
  <c r="X12" i="4"/>
  <c r="X83" i="4"/>
  <c r="X108" i="4"/>
  <c r="X11" i="4"/>
  <c r="X120" i="4"/>
  <c r="X13" i="4"/>
  <c r="X42" i="4"/>
  <c r="X87" i="4"/>
  <c r="X107" i="4"/>
  <c r="X132" i="4"/>
  <c r="X19" i="4"/>
  <c r="X45" i="4"/>
  <c r="X65" i="4"/>
  <c r="X110" i="4"/>
  <c r="X123" i="4"/>
  <c r="X21" i="4"/>
  <c r="X46" i="4"/>
  <c r="X67" i="4"/>
  <c r="X92" i="4"/>
  <c r="X28" i="4"/>
  <c r="X32" i="4"/>
  <c r="X47" i="4"/>
  <c r="X124" i="4"/>
  <c r="X29" i="4"/>
  <c r="X75" i="4"/>
  <c r="X131" i="4"/>
  <c r="X30" i="4"/>
  <c r="X76" i="4"/>
  <c r="X109" i="4"/>
  <c r="X31" i="4"/>
  <c r="X77" i="4"/>
  <c r="X116" i="4"/>
  <c r="X93" i="4"/>
  <c r="X48" i="4"/>
  <c r="X6" i="4"/>
  <c r="X122" i="4"/>
  <c r="X44" i="4"/>
  <c r="X62" i="4"/>
  <c r="X22" i="4"/>
  <c r="X49" i="4"/>
  <c r="X3" i="4"/>
  <c r="X50" i="4"/>
  <c r="X5" i="4"/>
  <c r="X68" i="4"/>
  <c r="X94" i="4"/>
  <c r="X51" i="4"/>
  <c r="X14" i="4"/>
  <c r="X111" i="4"/>
  <c r="X95" i="4"/>
  <c r="X27" i="4"/>
  <c r="X74" i="4"/>
  <c r="X112" i="4"/>
  <c r="W15" i="4"/>
  <c r="W183" i="4"/>
  <c r="W134" i="4"/>
  <c r="Y182" i="4"/>
  <c r="W77" i="4"/>
  <c r="W126" i="4"/>
  <c r="W152" i="4"/>
  <c r="W117" i="4"/>
  <c r="W92" i="4"/>
  <c r="X252" i="4"/>
  <c r="Y155" i="4"/>
  <c r="W10" i="4"/>
  <c r="W195" i="4"/>
  <c r="W164" i="4"/>
  <c r="W200" i="4"/>
  <c r="Y158" i="4"/>
  <c r="W111" i="4"/>
  <c r="W191" i="4"/>
  <c r="W180" i="4"/>
  <c r="Y217" i="4"/>
  <c r="Y222" i="4"/>
  <c r="Y218" i="4"/>
  <c r="Y229" i="4"/>
  <c r="Y219" i="4"/>
  <c r="Y212" i="4"/>
  <c r="Y220" i="4"/>
  <c r="Y227" i="4"/>
  <c r="Y228" i="4"/>
  <c r="Y209" i="4"/>
  <c r="Y232" i="4"/>
  <c r="Y223" i="4"/>
  <c r="Y234" i="4"/>
  <c r="Y233" i="4"/>
  <c r="Y221" i="4"/>
  <c r="Y210" i="4"/>
  <c r="Y215" i="4"/>
  <c r="Y211" i="4"/>
  <c r="Y207" i="4"/>
  <c r="Y216" i="4"/>
  <c r="Y231" i="4"/>
  <c r="Y226" i="4"/>
  <c r="Y230" i="4"/>
  <c r="Y213" i="4"/>
  <c r="Y224" i="4"/>
  <c r="Y225" i="4"/>
  <c r="Y208" i="4"/>
  <c r="Y214" i="4"/>
  <c r="Y235" i="4"/>
  <c r="Y162" i="4"/>
  <c r="Y143" i="4"/>
  <c r="W129" i="4"/>
  <c r="W60" i="4"/>
  <c r="W51" i="4"/>
  <c r="W7" i="4"/>
  <c r="W107" i="4"/>
  <c r="W193" i="4"/>
  <c r="W97" i="4"/>
  <c r="W172" i="4"/>
  <c r="W171" i="4"/>
  <c r="W101" i="4"/>
  <c r="X251" i="4"/>
  <c r="W82" i="4"/>
  <c r="W52" i="4"/>
  <c r="W125" i="4"/>
  <c r="W81" i="4"/>
  <c r="W136" i="4"/>
  <c r="W156" i="4"/>
  <c r="Y148" i="4"/>
  <c r="W24" i="4"/>
  <c r="W206" i="4"/>
  <c r="W157" i="4"/>
  <c r="W96" i="4"/>
  <c r="W41" i="4"/>
  <c r="W142" i="4"/>
  <c r="W78" i="4"/>
  <c r="X244" i="4"/>
  <c r="W26" i="4"/>
  <c r="W150" i="4"/>
  <c r="W225" i="4"/>
  <c r="W223" i="4"/>
  <c r="Y170" i="4"/>
  <c r="Y153" i="4"/>
  <c r="W42" i="4"/>
  <c r="W207" i="4"/>
  <c r="W11" i="4"/>
  <c r="W130" i="4"/>
  <c r="W30" i="4"/>
  <c r="W132" i="4"/>
  <c r="W84" i="4"/>
  <c r="W188" i="4"/>
  <c r="W167" i="4"/>
  <c r="W144" i="4"/>
  <c r="W159" i="4"/>
  <c r="W128" i="4"/>
  <c r="X241" i="4"/>
  <c r="W25" i="4"/>
  <c r="W137" i="4"/>
  <c r="W135" i="4"/>
  <c r="W76" i="4"/>
  <c r="W91" i="4"/>
  <c r="X240" i="4"/>
  <c r="X242" i="4"/>
  <c r="Y181" i="4"/>
  <c r="X236" i="4"/>
  <c r="W33" i="4"/>
  <c r="Y135" i="4"/>
  <c r="W65" i="4"/>
  <c r="X248" i="4"/>
  <c r="Y152" i="4"/>
  <c r="W105" i="4"/>
  <c r="W5" i="4"/>
  <c r="W149" i="4"/>
  <c r="Y141" i="4"/>
  <c r="Y163" i="4"/>
  <c r="W213" i="4"/>
  <c r="W70" i="4"/>
  <c r="W120" i="4"/>
  <c r="W80" i="4"/>
  <c r="W123" i="4"/>
  <c r="W72" i="4"/>
  <c r="W190" i="4"/>
  <c r="W182" i="4"/>
  <c r="W146" i="4"/>
  <c r="X239" i="4"/>
  <c r="X261" i="4"/>
  <c r="W28" i="4"/>
  <c r="W20" i="4"/>
  <c r="W83" i="4"/>
  <c r="Y173" i="4"/>
  <c r="W47" i="4"/>
  <c r="Y136" i="4"/>
  <c r="W6" i="4"/>
  <c r="W198" i="4"/>
  <c r="W147" i="4"/>
  <c r="X183" i="4"/>
  <c r="X203" i="4"/>
  <c r="X184" i="4"/>
  <c r="X206" i="4"/>
  <c r="X185" i="4"/>
  <c r="X186" i="4"/>
  <c r="X190" i="4"/>
  <c r="X198" i="4"/>
  <c r="X205" i="4"/>
  <c r="X187" i="4"/>
  <c r="X197" i="4"/>
  <c r="X188" i="4"/>
  <c r="X193" i="4"/>
  <c r="X189" i="4"/>
  <c r="X195" i="4"/>
  <c r="X191" i="4"/>
  <c r="X192" i="4"/>
  <c r="X194" i="4"/>
  <c r="X201" i="4"/>
  <c r="X199" i="4"/>
  <c r="X204" i="4"/>
  <c r="X200" i="4"/>
  <c r="X196" i="4"/>
  <c r="X202" i="4"/>
  <c r="W16" i="4"/>
  <c r="W138" i="4"/>
  <c r="Y179" i="4"/>
  <c r="W43" i="4"/>
  <c r="W44" i="4"/>
  <c r="W3" i="4"/>
  <c r="X256" i="4"/>
  <c r="Y171" i="4"/>
  <c r="W87" i="4"/>
  <c r="W131" i="4"/>
  <c r="W140" i="4"/>
  <c r="W55" i="4"/>
  <c r="X258" i="4"/>
  <c r="W23" i="4"/>
  <c r="Y172" i="4"/>
  <c r="Y157" i="4"/>
  <c r="W219" i="4"/>
  <c r="W17" i="4"/>
  <c r="W104" i="4"/>
  <c r="W63" i="4"/>
  <c r="W116" i="4"/>
  <c r="W59" i="4"/>
  <c r="W181" i="4"/>
  <c r="W178" i="4"/>
  <c r="X266" i="4"/>
  <c r="W227" i="4"/>
  <c r="W117" i="2"/>
  <c r="W12" i="2"/>
  <c r="W11" i="2"/>
  <c r="W115" i="2"/>
  <c r="W4" i="2"/>
  <c r="W47" i="2"/>
  <c r="W103" i="2"/>
  <c r="W38" i="2"/>
  <c r="W32" i="2"/>
  <c r="W114" i="2"/>
  <c r="W36" i="2"/>
  <c r="W18" i="2"/>
  <c r="W116" i="2"/>
  <c r="W23" i="2"/>
  <c r="W10" i="2"/>
  <c r="Y96" i="2"/>
  <c r="W101" i="2"/>
  <c r="W50" i="2"/>
  <c r="W46" i="2"/>
  <c r="Y98" i="2"/>
  <c r="W109" i="2"/>
  <c r="W35" i="2"/>
  <c r="W31" i="2"/>
  <c r="Y99" i="2"/>
  <c r="W3" i="2"/>
  <c r="W21" i="2"/>
  <c r="W9" i="2"/>
  <c r="W43" i="2"/>
  <c r="W41" i="2"/>
  <c r="W45" i="2"/>
  <c r="X12" i="2"/>
  <c r="Y137" i="2"/>
  <c r="Y119" i="2"/>
  <c r="W102" i="2"/>
  <c r="W80" i="2"/>
  <c r="W14" i="2"/>
  <c r="W49" i="2"/>
  <c r="X6" i="2"/>
  <c r="Y136" i="2"/>
  <c r="Y153" i="2"/>
  <c r="W104" i="2"/>
  <c r="W54" i="2"/>
  <c r="W40" i="2"/>
  <c r="W25" i="2"/>
  <c r="W113" i="2"/>
  <c r="X21" i="2"/>
  <c r="Y124" i="2"/>
  <c r="Y139" i="2"/>
  <c r="W112" i="2"/>
  <c r="W51" i="2"/>
  <c r="W15" i="2"/>
  <c r="W48" i="2"/>
  <c r="W107" i="2"/>
  <c r="W39" i="2"/>
  <c r="X20" i="2"/>
  <c r="Y149" i="2"/>
  <c r="Y118" i="2"/>
  <c r="W111" i="2"/>
  <c r="W68" i="2"/>
  <c r="W26" i="2"/>
  <c r="W19" i="2"/>
  <c r="X8" i="2"/>
  <c r="Y135" i="2"/>
  <c r="W89" i="2"/>
  <c r="W37" i="2"/>
  <c r="W7" i="2"/>
  <c r="X108" i="2"/>
  <c r="X117" i="2"/>
  <c r="X113" i="2"/>
  <c r="X103" i="2"/>
  <c r="X49" i="2"/>
  <c r="Y113" i="2"/>
  <c r="W79" i="2"/>
  <c r="W85" i="2"/>
  <c r="X114" i="2"/>
  <c r="X48" i="2"/>
  <c r="Y104" i="2"/>
  <c r="W74" i="2"/>
  <c r="W63" i="2"/>
  <c r="X115" i="2"/>
  <c r="X15" i="2"/>
  <c r="X24" i="2"/>
  <c r="X7" i="2"/>
  <c r="Y105" i="2"/>
  <c r="W77" i="2"/>
  <c r="W94" i="2"/>
  <c r="W57" i="2"/>
  <c r="X116" i="2"/>
  <c r="X25" i="2"/>
  <c r="Y102" i="2"/>
  <c r="W62" i="2"/>
  <c r="X30" i="2"/>
  <c r="X47" i="2"/>
  <c r="W58" i="2"/>
  <c r="X105" i="2"/>
  <c r="X31" i="2"/>
  <c r="X36" i="2"/>
  <c r="X32" i="2"/>
  <c r="Y110" i="2"/>
  <c r="Y62" i="2"/>
  <c r="Y89" i="2"/>
  <c r="W55" i="2"/>
  <c r="W88" i="2"/>
  <c r="X9" i="2"/>
  <c r="X23" i="2"/>
  <c r="X18" i="2"/>
  <c r="W82" i="2"/>
  <c r="W66" i="2"/>
  <c r="Y106" i="2"/>
  <c r="X109" i="2"/>
  <c r="X44" i="2"/>
  <c r="X38" i="2"/>
  <c r="X10" i="2"/>
  <c r="Y116" i="2"/>
  <c r="Y91" i="2"/>
  <c r="Y67" i="2"/>
  <c r="W81" i="2"/>
  <c r="W53" i="2"/>
  <c r="X112" i="2"/>
  <c r="X16" i="2"/>
  <c r="X50" i="2"/>
  <c r="X5" i="2"/>
  <c r="Y117" i="2"/>
  <c r="Y76" i="2"/>
  <c r="Y58" i="2"/>
  <c r="W69" i="2"/>
  <c r="W90" i="2"/>
  <c r="X107" i="2"/>
  <c r="X42" i="2"/>
  <c r="X35" i="2"/>
  <c r="X95" i="2"/>
  <c r="Y115" i="2"/>
  <c r="Y82" i="2"/>
  <c r="Y78" i="2"/>
  <c r="W61" i="2"/>
  <c r="W93" i="2"/>
  <c r="X102" i="2"/>
  <c r="X111" i="2"/>
  <c r="X28" i="2"/>
  <c r="X22" i="2"/>
  <c r="X98" i="2"/>
  <c r="Y103" i="2"/>
  <c r="Y75" i="2"/>
  <c r="Y86" i="2"/>
  <c r="W76" i="2"/>
  <c r="W87" i="2"/>
  <c r="W42" i="2"/>
  <c r="W8" i="2"/>
  <c r="W44" i="2"/>
  <c r="X101" i="2"/>
  <c r="X40" i="2"/>
  <c r="Y51" i="2"/>
  <c r="W75" i="2"/>
  <c r="W28" i="2"/>
  <c r="W13" i="2"/>
  <c r="W100" i="2"/>
  <c r="W95" i="2"/>
  <c r="W98" i="2"/>
  <c r="W97" i="2"/>
  <c r="W99" i="2"/>
  <c r="W96" i="2"/>
  <c r="W143" i="2"/>
  <c r="W154" i="2"/>
  <c r="W157" i="2"/>
  <c r="W134" i="2"/>
  <c r="W139" i="2"/>
  <c r="W123" i="2"/>
  <c r="W135" i="2"/>
  <c r="W149" i="2"/>
  <c r="W130" i="2"/>
  <c r="W124" i="2"/>
  <c r="W136" i="2"/>
  <c r="W140" i="2"/>
  <c r="W125" i="2"/>
  <c r="W137" i="2"/>
  <c r="W155" i="2"/>
  <c r="W156" i="2"/>
  <c r="W126" i="2"/>
  <c r="W144" i="2"/>
  <c r="W150" i="2"/>
  <c r="W118" i="2"/>
  <c r="W132" i="2"/>
  <c r="W151" i="2"/>
  <c r="W127" i="2"/>
  <c r="W146" i="2"/>
  <c r="W148" i="2"/>
  <c r="W128" i="2"/>
  <c r="W145" i="2"/>
  <c r="W153" i="2"/>
  <c r="W138" i="2"/>
  <c r="W129" i="2"/>
  <c r="W147" i="2"/>
  <c r="W152" i="2"/>
  <c r="W119" i="2"/>
  <c r="W131" i="2"/>
  <c r="W121" i="2"/>
  <c r="W142" i="2"/>
  <c r="W141" i="2"/>
  <c r="W133" i="2"/>
  <c r="W122" i="2"/>
  <c r="W120" i="2"/>
  <c r="X132" i="3"/>
  <c r="X110" i="3"/>
  <c r="X149" i="3"/>
  <c r="X121" i="3"/>
  <c r="X112" i="3"/>
  <c r="X142" i="3"/>
  <c r="X139" i="3"/>
  <c r="X130" i="3"/>
  <c r="W139" i="3"/>
  <c r="Y111" i="3"/>
  <c r="X127" i="3"/>
  <c r="W128" i="3"/>
  <c r="X129" i="3"/>
  <c r="X133" i="3"/>
  <c r="W124" i="3"/>
  <c r="W123" i="3"/>
  <c r="X182" i="3"/>
  <c r="X141" i="3"/>
  <c r="W129" i="3"/>
  <c r="X136" i="3"/>
  <c r="Y22" i="3"/>
  <c r="W133" i="3"/>
  <c r="X126" i="3"/>
  <c r="W131" i="3"/>
  <c r="X147" i="3"/>
  <c r="W146" i="3"/>
  <c r="Y65" i="3"/>
  <c r="Y41" i="3"/>
  <c r="Y26" i="3"/>
  <c r="Y14" i="3"/>
  <c r="X146" i="3"/>
  <c r="W140" i="3"/>
  <c r="Y31" i="3"/>
  <c r="Y8" i="3"/>
  <c r="Y38" i="3"/>
  <c r="Y46" i="3"/>
  <c r="Y11" i="3"/>
  <c r="X140" i="3"/>
  <c r="Y71" i="3"/>
  <c r="Y25" i="3"/>
  <c r="W80" i="3"/>
  <c r="X124" i="3"/>
  <c r="W97" i="3"/>
  <c r="W149" i="3"/>
  <c r="W107" i="3"/>
  <c r="W148" i="3"/>
  <c r="W93" i="3"/>
  <c r="W143" i="3"/>
  <c r="X152" i="3"/>
  <c r="X160" i="3"/>
  <c r="X169" i="3"/>
  <c r="W100" i="3"/>
  <c r="W138" i="3"/>
  <c r="W142" i="3"/>
  <c r="X115" i="3"/>
  <c r="W145" i="3"/>
  <c r="W130" i="3"/>
  <c r="W127" i="3"/>
  <c r="X166" i="3"/>
  <c r="W141" i="3"/>
  <c r="W135" i="3"/>
  <c r="Y173" i="3"/>
  <c r="X114" i="3"/>
  <c r="X170" i="3"/>
  <c r="X153" i="3"/>
  <c r="W136" i="3"/>
  <c r="Y3" i="3"/>
  <c r="Y47" i="3"/>
  <c r="Y160" i="3"/>
  <c r="X118" i="3"/>
  <c r="X173" i="3"/>
  <c r="W126" i="3"/>
  <c r="X183" i="3"/>
  <c r="X119" i="3"/>
  <c r="X161" i="3"/>
  <c r="W144" i="3"/>
  <c r="W147" i="3"/>
  <c r="X113" i="3"/>
  <c r="W182" i="3"/>
  <c r="Y110" i="3"/>
  <c r="W183" i="3"/>
  <c r="X120" i="3"/>
  <c r="X165" i="3"/>
  <c r="W134" i="3"/>
  <c r="W105" i="3"/>
  <c r="X111" i="3"/>
  <c r="W137" i="3"/>
  <c r="W115" i="3"/>
  <c r="Y121" i="3"/>
  <c r="W76" i="3"/>
  <c r="X131" i="3"/>
  <c r="W184" i="3"/>
  <c r="X122" i="3"/>
  <c r="X156" i="3"/>
  <c r="W132" i="3"/>
  <c r="W75" i="3"/>
  <c r="W83" i="3"/>
  <c r="W116" i="3"/>
  <c r="X155" i="3"/>
  <c r="Y165" i="3"/>
  <c r="W87" i="3"/>
  <c r="Y157" i="3"/>
  <c r="W79" i="3"/>
  <c r="Y172" i="3"/>
  <c r="Y151" i="3"/>
  <c r="Y159" i="3"/>
  <c r="Y168" i="3"/>
  <c r="Y167" i="3"/>
  <c r="Y155" i="3"/>
  <c r="W92" i="3"/>
  <c r="W104" i="3"/>
  <c r="Y161" i="3"/>
  <c r="Y175" i="3"/>
  <c r="W108" i="3"/>
  <c r="W99" i="3"/>
  <c r="Y180" i="3"/>
  <c r="W95" i="3"/>
  <c r="W78" i="3"/>
  <c r="Y178" i="3"/>
  <c r="W102" i="3"/>
  <c r="W81" i="3"/>
  <c r="W86" i="3"/>
  <c r="Y177" i="3"/>
  <c r="Y170" i="3"/>
  <c r="W91" i="3"/>
  <c r="W77" i="3"/>
  <c r="Y164" i="3"/>
  <c r="W106" i="3"/>
  <c r="W109" i="3"/>
  <c r="Y154" i="3"/>
  <c r="W101" i="3"/>
  <c r="W90" i="3"/>
  <c r="Y163" i="3"/>
  <c r="W84" i="3"/>
  <c r="W85" i="3"/>
  <c r="X16" i="3"/>
  <c r="X23" i="3"/>
  <c r="X36" i="3"/>
  <c r="X48" i="3"/>
  <c r="X5" i="3"/>
  <c r="X17" i="3"/>
  <c r="X24" i="3"/>
  <c r="X37" i="3"/>
  <c r="X49" i="3"/>
  <c r="X67" i="3"/>
  <c r="X70" i="3"/>
  <c r="X6" i="3"/>
  <c r="X25" i="3"/>
  <c r="X38" i="3"/>
  <c r="X26" i="3"/>
  <c r="X39" i="3"/>
  <c r="X50" i="3"/>
  <c r="X60" i="3"/>
  <c r="X18" i="3"/>
  <c r="X27" i="3"/>
  <c r="X40" i="3"/>
  <c r="X51" i="3"/>
  <c r="X61" i="3"/>
  <c r="X7" i="3"/>
  <c r="X19" i="3"/>
  <c r="X52" i="3"/>
  <c r="X62" i="3"/>
  <c r="X28" i="3"/>
  <c r="X53" i="3"/>
  <c r="X71" i="3"/>
  <c r="X21" i="3"/>
  <c r="X8" i="3"/>
  <c r="X41" i="3"/>
  <c r="X63" i="3"/>
  <c r="X46" i="3"/>
  <c r="X42" i="3"/>
  <c r="X54" i="3"/>
  <c r="X68" i="3"/>
  <c r="X72" i="3"/>
  <c r="X20" i="3"/>
  <c r="X29" i="3"/>
  <c r="X43" i="3"/>
  <c r="X73" i="3"/>
  <c r="X2" i="3"/>
  <c r="X9" i="3"/>
  <c r="X44" i="3"/>
  <c r="X74" i="3"/>
  <c r="X4" i="3"/>
  <c r="X10" i="3"/>
  <c r="X30" i="3"/>
  <c r="X45" i="3"/>
  <c r="X55" i="3"/>
  <c r="X64" i="3"/>
  <c r="X31" i="3"/>
  <c r="X65" i="3"/>
  <c r="X32" i="3"/>
  <c r="X12" i="3"/>
  <c r="X22" i="3"/>
  <c r="X33" i="3"/>
  <c r="X11" i="3"/>
  <c r="X34" i="3"/>
  <c r="X47" i="3"/>
  <c r="X56" i="3"/>
  <c r="X3" i="3"/>
  <c r="X13" i="3"/>
  <c r="X69" i="3"/>
  <c r="X14" i="3"/>
  <c r="X15" i="3"/>
  <c r="X35" i="3"/>
  <c r="X57" i="3"/>
  <c r="X58" i="3"/>
  <c r="X59" i="3"/>
  <c r="X66" i="3"/>
  <c r="Y179" i="3"/>
  <c r="Y153" i="3"/>
  <c r="W98" i="3"/>
  <c r="W89" i="3"/>
  <c r="Y174" i="3"/>
  <c r="Y158" i="3"/>
  <c r="Y162" i="3"/>
  <c r="Y169" i="3"/>
  <c r="Y128" i="3"/>
  <c r="Y139" i="3"/>
  <c r="Y144" i="3"/>
  <c r="Y129" i="3"/>
  <c r="Y135" i="3"/>
  <c r="Y124" i="3"/>
  <c r="Y145" i="3"/>
  <c r="Y140" i="3"/>
  <c r="Y146" i="3"/>
  <c r="Y141" i="3"/>
  <c r="Y142" i="3"/>
  <c r="Y131" i="3"/>
  <c r="Y147" i="3"/>
  <c r="Y126" i="3"/>
  <c r="Y136" i="3"/>
  <c r="Y127" i="3"/>
  <c r="Y130" i="3"/>
  <c r="Y143" i="3"/>
  <c r="Y148" i="3"/>
  <c r="Y133" i="3"/>
  <c r="Y149" i="3"/>
  <c r="Y134" i="3"/>
  <c r="Y125" i="3"/>
  <c r="Y138" i="3"/>
  <c r="Y123" i="3"/>
  <c r="Y137" i="3"/>
  <c r="Y132" i="3"/>
  <c r="W94" i="3"/>
  <c r="W103" i="3"/>
  <c r="Y150" i="3"/>
  <c r="Y152" i="3"/>
  <c r="W26" i="3"/>
  <c r="W39" i="3"/>
  <c r="W50" i="3"/>
  <c r="W60" i="3"/>
  <c r="W18" i="3"/>
  <c r="W27" i="3"/>
  <c r="W40" i="3"/>
  <c r="W51" i="3"/>
  <c r="W61" i="3"/>
  <c r="W7" i="3"/>
  <c r="W19" i="3"/>
  <c r="W52" i="3"/>
  <c r="W62" i="3"/>
  <c r="W28" i="3"/>
  <c r="W53" i="3"/>
  <c r="W71" i="3"/>
  <c r="W8" i="3"/>
  <c r="W41" i="3"/>
  <c r="W63" i="3"/>
  <c r="W42" i="3"/>
  <c r="W54" i="3"/>
  <c r="W68" i="3"/>
  <c r="W72" i="3"/>
  <c r="W20" i="3"/>
  <c r="W29" i="3"/>
  <c r="W43" i="3"/>
  <c r="W73" i="3"/>
  <c r="W3" i="3"/>
  <c r="W12" i="3"/>
  <c r="W15" i="3"/>
  <c r="W69" i="3"/>
  <c r="W2" i="3"/>
  <c r="W9" i="3"/>
  <c r="W44" i="3"/>
  <c r="W74" i="3"/>
  <c r="W4" i="3"/>
  <c r="W10" i="3"/>
  <c r="W30" i="3"/>
  <c r="W45" i="3"/>
  <c r="W55" i="3"/>
  <c r="W64" i="3"/>
  <c r="W31" i="3"/>
  <c r="W65" i="3"/>
  <c r="W59" i="3"/>
  <c r="W21" i="3"/>
  <c r="W32" i="3"/>
  <c r="W46" i="3"/>
  <c r="W22" i="3"/>
  <c r="W33" i="3"/>
  <c r="W11" i="3"/>
  <c r="W34" i="3"/>
  <c r="W47" i="3"/>
  <c r="W56" i="3"/>
  <c r="W13" i="3"/>
  <c r="W57" i="3"/>
  <c r="W66" i="3"/>
  <c r="W14" i="3"/>
  <c r="W35" i="3"/>
  <c r="W58" i="3"/>
  <c r="W36" i="3"/>
  <c r="W37" i="3"/>
  <c r="W38" i="3"/>
  <c r="W48" i="3"/>
  <c r="W49" i="3"/>
  <c r="W25" i="3"/>
  <c r="W67" i="3"/>
  <c r="W5" i="3"/>
  <c r="W70" i="3"/>
  <c r="W24" i="3"/>
  <c r="W6" i="3"/>
  <c r="W16" i="3"/>
  <c r="W17" i="3"/>
  <c r="W23" i="3"/>
  <c r="W88" i="3"/>
  <c r="W82" i="3"/>
  <c r="W154" i="3"/>
  <c r="W164" i="3"/>
  <c r="W180" i="3"/>
  <c r="W155" i="3"/>
  <c r="W156" i="3"/>
  <c r="W165" i="3"/>
  <c r="W157" i="3"/>
  <c r="W177" i="3"/>
  <c r="W161" i="3"/>
  <c r="W173" i="3"/>
  <c r="W170" i="3"/>
  <c r="W166" i="3"/>
  <c r="W168" i="3"/>
  <c r="W150" i="3"/>
  <c r="W162" i="3"/>
  <c r="W175" i="3"/>
  <c r="W178" i="3"/>
  <c r="W151" i="3"/>
  <c r="W179" i="3"/>
  <c r="W159" i="3"/>
  <c r="W172" i="3"/>
  <c r="W158" i="3"/>
  <c r="W167" i="3"/>
  <c r="W160" i="3"/>
  <c r="W171" i="3"/>
  <c r="W152" i="3"/>
  <c r="W169" i="3"/>
  <c r="W153" i="3"/>
  <c r="W174" i="3"/>
  <c r="W176" i="3"/>
  <c r="W163" i="3"/>
  <c r="Y176" i="3"/>
  <c r="X76" i="3"/>
  <c r="X102" i="3"/>
  <c r="X82" i="3"/>
  <c r="X89" i="3"/>
  <c r="X103" i="3"/>
  <c r="X93" i="3"/>
  <c r="X85" i="3"/>
  <c r="X90" i="3"/>
  <c r="X109" i="3"/>
  <c r="X91" i="3"/>
  <c r="X77" i="3"/>
  <c r="X86" i="3"/>
  <c r="X83" i="3"/>
  <c r="X78" i="3"/>
  <c r="X99" i="3"/>
  <c r="X104" i="3"/>
  <c r="X79" i="3"/>
  <c r="X87" i="3"/>
  <c r="X97" i="3"/>
  <c r="X100" i="3"/>
  <c r="X107" i="3"/>
  <c r="X75" i="3"/>
  <c r="X80" i="3"/>
  <c r="X88" i="3"/>
  <c r="X94" i="3"/>
  <c r="X98" i="3"/>
  <c r="X105" i="3"/>
  <c r="X84" i="3"/>
  <c r="X101" i="3"/>
  <c r="X106" i="3"/>
  <c r="X81" i="3"/>
  <c r="X92" i="3"/>
  <c r="X95" i="3"/>
  <c r="X108" i="3"/>
  <c r="X96" i="3"/>
  <c r="Y166" i="3"/>
  <c r="Y171" i="3"/>
  <c r="X181" i="3"/>
  <c r="T24" i="1" l="1"/>
  <c r="D27" i="1"/>
  <c r="D28" i="1"/>
  <c r="E23" i="1"/>
  <c r="H4" i="1"/>
  <c r="D15" i="1"/>
  <c r="E8" i="1"/>
  <c r="H16" i="1"/>
  <c r="D25" i="1"/>
  <c r="T8" i="1"/>
  <c r="U28" i="1"/>
  <c r="T25" i="1"/>
  <c r="H23" i="1"/>
  <c r="D18" i="1"/>
  <c r="U3" i="1"/>
  <c r="D5" i="1"/>
  <c r="U13" i="1"/>
  <c r="I8" i="1"/>
  <c r="I6" i="1"/>
  <c r="H15" i="1"/>
  <c r="I27" i="1"/>
  <c r="T18" i="1"/>
  <c r="I24" i="1"/>
  <c r="I26" i="1"/>
  <c r="T15" i="1"/>
  <c r="I25" i="1"/>
  <c r="D7" i="1"/>
  <c r="E14" i="1"/>
  <c r="T6" i="1"/>
  <c r="T4" i="1"/>
  <c r="H17" i="1"/>
  <c r="E24" i="1"/>
  <c r="T26" i="1"/>
  <c r="D13" i="1"/>
  <c r="I14" i="1"/>
  <c r="D3" i="1"/>
  <c r="E25" i="1"/>
  <c r="D26" i="1"/>
  <c r="D4" i="1"/>
  <c r="I13" i="1"/>
  <c r="D17" i="1"/>
  <c r="I7" i="1"/>
  <c r="H18" i="1"/>
  <c r="H3" i="1"/>
  <c r="D6" i="1"/>
  <c r="U23" i="1"/>
  <c r="T5" i="1"/>
  <c r="U14" i="1"/>
  <c r="I28" i="1"/>
  <c r="H5" i="1"/>
  <c r="T16" i="1"/>
  <c r="D16" i="1"/>
  <c r="T17" i="1"/>
  <c r="U7" i="1"/>
  <c r="U27" i="1"/>
  <c r="H13" i="1"/>
  <c r="U16" i="1"/>
  <c r="H26" i="1"/>
  <c r="T14" i="1"/>
  <c r="E13" i="1"/>
  <c r="U18" i="1"/>
  <c r="H25" i="1"/>
  <c r="I15" i="1"/>
  <c r="U17" i="1"/>
  <c r="T13" i="1"/>
  <c r="T23" i="1"/>
  <c r="I17" i="1"/>
  <c r="E26" i="1"/>
  <c r="T28" i="1"/>
  <c r="H28" i="1"/>
  <c r="E28" i="1"/>
  <c r="U8" i="1"/>
  <c r="I4" i="1"/>
  <c r="U5" i="1"/>
  <c r="I18" i="1"/>
  <c r="T27" i="1"/>
  <c r="E16" i="1"/>
  <c r="U6" i="1"/>
  <c r="E5" i="1"/>
  <c r="H27" i="1"/>
  <c r="H8" i="1"/>
  <c r="I3" i="1"/>
  <c r="U25" i="1"/>
  <c r="H6" i="1"/>
  <c r="U4" i="1"/>
  <c r="T3" i="1"/>
  <c r="E7" i="1"/>
  <c r="D8" i="1"/>
  <c r="D14" i="1"/>
  <c r="I5" i="1"/>
  <c r="E18" i="1"/>
  <c r="I16" i="1"/>
  <c r="E15" i="1"/>
  <c r="D23" i="1"/>
  <c r="U26" i="1"/>
  <c r="E3" i="1"/>
  <c r="E4" i="1"/>
  <c r="U24" i="1"/>
  <c r="U15" i="1"/>
  <c r="H7" i="1"/>
  <c r="E17" i="1"/>
  <c r="T7" i="1"/>
  <c r="E27" i="1"/>
  <c r="D24" i="1"/>
  <c r="H14" i="1"/>
  <c r="E6" i="1"/>
  <c r="H24" i="1"/>
  <c r="I23" i="1"/>
  <c r="Z158" i="2" l="1"/>
  <c r="U16" i="3"/>
  <c r="V53" i="3"/>
  <c r="V75" i="3"/>
  <c r="V279" i="4"/>
  <c r="U110" i="3"/>
  <c r="V158" i="2"/>
  <c r="V133" i="4"/>
  <c r="Z176" i="3"/>
  <c r="U88" i="3"/>
  <c r="V118" i="4"/>
  <c r="V42" i="4"/>
  <c r="V3" i="4"/>
  <c r="V126" i="3"/>
  <c r="Z96" i="2"/>
  <c r="V165" i="3"/>
  <c r="V145" i="4"/>
  <c r="V57" i="4"/>
  <c r="V96" i="4"/>
  <c r="V134" i="4"/>
  <c r="V83" i="4"/>
  <c r="V157" i="4"/>
  <c r="V159" i="3"/>
  <c r="U19" i="3"/>
  <c r="V17" i="4"/>
  <c r="V115" i="4"/>
  <c r="V89" i="4"/>
  <c r="V168" i="4"/>
  <c r="V23" i="4"/>
  <c r="U9" i="3"/>
  <c r="V105" i="4"/>
  <c r="V101" i="4"/>
  <c r="V99" i="4"/>
  <c r="U44" i="3"/>
  <c r="U2" i="3"/>
  <c r="U43" i="3"/>
  <c r="U73" i="3"/>
  <c r="U60" i="3"/>
  <c r="V67" i="4"/>
  <c r="U50" i="3"/>
  <c r="V50" i="4"/>
  <c r="U39" i="3"/>
  <c r="V25" i="4"/>
  <c r="U71" i="3"/>
  <c r="U74" i="3"/>
  <c r="U23" i="3"/>
  <c r="V126" i="4"/>
  <c r="V22" i="4"/>
  <c r="V97" i="4"/>
  <c r="V73" i="4"/>
  <c r="V91" i="4"/>
  <c r="V56" i="4"/>
  <c r="V275" i="4"/>
  <c r="V11" i="4"/>
  <c r="V104" i="4"/>
  <c r="V271" i="4"/>
  <c r="V127" i="4"/>
  <c r="V12" i="4"/>
  <c r="V60" i="4"/>
  <c r="V66" i="4"/>
  <c r="V178" i="4"/>
  <c r="V291" i="4"/>
  <c r="V290" i="4"/>
  <c r="V61" i="4"/>
  <c r="V92" i="4"/>
  <c r="V80" i="4"/>
  <c r="V75" i="4"/>
  <c r="V5" i="4"/>
  <c r="V79" i="4"/>
  <c r="V156" i="4"/>
  <c r="V283" i="4"/>
  <c r="V81" i="4"/>
  <c r="V62" i="4"/>
  <c r="V7" i="4"/>
  <c r="V37" i="4"/>
  <c r="V44" i="4"/>
  <c r="V76" i="4"/>
  <c r="V18" i="4"/>
  <c r="V34" i="4"/>
  <c r="V64" i="4"/>
  <c r="V77" i="4"/>
  <c r="V30" i="4"/>
  <c r="V120" i="4"/>
  <c r="V20" i="4"/>
  <c r="V69" i="4"/>
  <c r="V72" i="4"/>
  <c r="V13" i="4"/>
  <c r="V54" i="4"/>
  <c r="V10" i="4"/>
  <c r="V116" i="4"/>
  <c r="V110" i="4"/>
  <c r="V86" i="4"/>
  <c r="V123" i="4"/>
  <c r="V19" i="4"/>
  <c r="V14" i="4"/>
  <c r="V128" i="4"/>
  <c r="V40" i="4"/>
  <c r="V51" i="4"/>
  <c r="V46" i="4"/>
  <c r="V78" i="4"/>
  <c r="V74" i="4"/>
  <c r="V65" i="4"/>
  <c r="V28" i="4"/>
  <c r="V53" i="4"/>
  <c r="V149" i="4"/>
  <c r="V173" i="4"/>
  <c r="V68" i="4"/>
  <c r="V161" i="4"/>
  <c r="V103" i="4"/>
  <c r="V36" i="4"/>
  <c r="V94" i="4"/>
  <c r="V39" i="4"/>
  <c r="V137" i="4"/>
  <c r="V153" i="4"/>
  <c r="V144" i="4"/>
  <c r="V284" i="4"/>
  <c r="V106" i="4"/>
  <c r="V114" i="4"/>
  <c r="V45" i="4"/>
  <c r="V8" i="4"/>
  <c r="V287" i="4"/>
  <c r="V58" i="4"/>
  <c r="V88" i="4"/>
  <c r="V27" i="4"/>
  <c r="V113" i="4"/>
  <c r="V225" i="4"/>
  <c r="V233" i="4"/>
  <c r="V207" i="4"/>
  <c r="V220" i="4"/>
  <c r="V210" i="4"/>
  <c r="V214" i="4"/>
  <c r="V216" i="4"/>
  <c r="V217" i="4"/>
  <c r="V234" i="4"/>
  <c r="V218" i="4"/>
  <c r="V223" i="4"/>
  <c r="V224" i="4"/>
  <c r="V235" i="4"/>
  <c r="V227" i="4"/>
  <c r="V211" i="4"/>
  <c r="V208" i="4"/>
  <c r="V226" i="4"/>
  <c r="V228" i="4"/>
  <c r="V212" i="4"/>
  <c r="V209" i="4"/>
  <c r="V215" i="4"/>
  <c r="V229" i="4"/>
  <c r="V230" i="4"/>
  <c r="V231" i="4"/>
  <c r="V221" i="4"/>
  <c r="V222" i="4"/>
  <c r="V213" i="4"/>
  <c r="V232" i="4"/>
  <c r="V219" i="4"/>
  <c r="V162" i="4"/>
  <c r="V164" i="4"/>
  <c r="V182" i="4"/>
  <c r="V167" i="4"/>
  <c r="V276" i="4"/>
  <c r="V148" i="4"/>
  <c r="V151" i="4"/>
  <c r="V175" i="4"/>
  <c r="V179" i="4"/>
  <c r="V286" i="4"/>
  <c r="V166" i="4"/>
  <c r="V236" i="4"/>
  <c r="V258" i="4"/>
  <c r="V268" i="4"/>
  <c r="V242" i="4"/>
  <c r="V243" i="4"/>
  <c r="V237" i="4"/>
  <c r="V255" i="4"/>
  <c r="V263" i="4"/>
  <c r="V239" i="4"/>
  <c r="V251" i="4"/>
  <c r="V259" i="4"/>
  <c r="V265" i="4"/>
  <c r="V254" i="4"/>
  <c r="V240" i="4"/>
  <c r="V252" i="4"/>
  <c r="V257" i="4"/>
  <c r="V241" i="4"/>
  <c r="V266" i="4"/>
  <c r="V260" i="4"/>
  <c r="V253" i="4"/>
  <c r="V244" i="4"/>
  <c r="V245" i="4"/>
  <c r="V267" i="4"/>
  <c r="V249" i="4"/>
  <c r="V250" i="4"/>
  <c r="V261" i="4"/>
  <c r="V264" i="4"/>
  <c r="V256" i="4"/>
  <c r="V262" i="4"/>
  <c r="V238" i="4"/>
  <c r="V248" i="4"/>
  <c r="V246" i="4"/>
  <c r="V247" i="4"/>
  <c r="Z207" i="4"/>
  <c r="Z220" i="4"/>
  <c r="Z210" i="4"/>
  <c r="Z214" i="4"/>
  <c r="Z222" i="4"/>
  <c r="Z229" i="4"/>
  <c r="Z216" i="4"/>
  <c r="Z217" i="4"/>
  <c r="Z223" i="4"/>
  <c r="Z230" i="4"/>
  <c r="Z211" i="4"/>
  <c r="Z221" i="4"/>
  <c r="Z215" i="4"/>
  <c r="Z212" i="4"/>
  <c r="Z233" i="4"/>
  <c r="Z224" i="4"/>
  <c r="Z218" i="4"/>
  <c r="Z225" i="4"/>
  <c r="Z234" i="4"/>
  <c r="Z208" i="4"/>
  <c r="Z213" i="4"/>
  <c r="Z226" i="4"/>
  <c r="Z235" i="4"/>
  <c r="Z231" i="4"/>
  <c r="Z219" i="4"/>
  <c r="Z227" i="4"/>
  <c r="Z209" i="4"/>
  <c r="Z228" i="4"/>
  <c r="Z232" i="4"/>
  <c r="V270" i="4"/>
  <c r="V143" i="4"/>
  <c r="V288" i="4"/>
  <c r="V121" i="4"/>
  <c r="V139" i="4"/>
  <c r="V21" i="4"/>
  <c r="V41" i="4"/>
  <c r="V169" i="4"/>
  <c r="Z150" i="4"/>
  <c r="Z160" i="4"/>
  <c r="Z169" i="4"/>
  <c r="Z155" i="4"/>
  <c r="Z166" i="4"/>
  <c r="Z153" i="4"/>
  <c r="Z168" i="4"/>
  <c r="Z133" i="4"/>
  <c r="Z161" i="4"/>
  <c r="Z134" i="4"/>
  <c r="Z179" i="4"/>
  <c r="Z140" i="4"/>
  <c r="Z172" i="4"/>
  <c r="Z180" i="4"/>
  <c r="Z162" i="4"/>
  <c r="Z138" i="4"/>
  <c r="Z139" i="4"/>
  <c r="Z148" i="4"/>
  <c r="Z164" i="4"/>
  <c r="Z173" i="4"/>
  <c r="Z142" i="4"/>
  <c r="Z157" i="4"/>
  <c r="Z181" i="4"/>
  <c r="Z174" i="4"/>
  <c r="Z149" i="4"/>
  <c r="Z165" i="4"/>
  <c r="Z182" i="4"/>
  <c r="Z143" i="4"/>
  <c r="Z158" i="4"/>
  <c r="Z167" i="4"/>
  <c r="Z145" i="4"/>
  <c r="Z147" i="4"/>
  <c r="Z163" i="4"/>
  <c r="Z137" i="4"/>
  <c r="Z170" i="4"/>
  <c r="Z159" i="4"/>
  <c r="Z141" i="4"/>
  <c r="Z154" i="4"/>
  <c r="Z156" i="4"/>
  <c r="Z171" i="4"/>
  <c r="Z176" i="4"/>
  <c r="Z178" i="4"/>
  <c r="Z135" i="4"/>
  <c r="Z175" i="4"/>
  <c r="Z146" i="4"/>
  <c r="Z136" i="4"/>
  <c r="Z151" i="4"/>
  <c r="Z144" i="4"/>
  <c r="Z152" i="4"/>
  <c r="Z177" i="4"/>
  <c r="Z270" i="4"/>
  <c r="Z276" i="4"/>
  <c r="Z277" i="4"/>
  <c r="Z286" i="4"/>
  <c r="Z271" i="4"/>
  <c r="Z275" i="4"/>
  <c r="Z280" i="4"/>
  <c r="Z290" i="4"/>
  <c r="Z285" i="4"/>
  <c r="Z279" i="4"/>
  <c r="Z269" i="4"/>
  <c r="Z274" i="4"/>
  <c r="Z281" i="4"/>
  <c r="Z278" i="4"/>
  <c r="Z272" i="4"/>
  <c r="Z291" i="4"/>
  <c r="Z282" i="4"/>
  <c r="Z284" i="4"/>
  <c r="Z287" i="4"/>
  <c r="Z283" i="4"/>
  <c r="Z273" i="4"/>
  <c r="Z289" i="4"/>
  <c r="Z288" i="4"/>
  <c r="V282" i="4"/>
  <c r="V272" i="4"/>
  <c r="V117" i="4"/>
  <c r="V132" i="4"/>
  <c r="V87" i="4"/>
  <c r="V95" i="4"/>
  <c r="V26" i="4"/>
  <c r="V125" i="4"/>
  <c r="V136" i="4"/>
  <c r="V177" i="4"/>
  <c r="V160" i="4"/>
  <c r="U154" i="4"/>
  <c r="U162" i="4"/>
  <c r="U178" i="4"/>
  <c r="U138" i="4"/>
  <c r="U142" i="4"/>
  <c r="U157" i="4"/>
  <c r="U163" i="4"/>
  <c r="U153" i="4"/>
  <c r="U143" i="4"/>
  <c r="U158" i="4"/>
  <c r="U179" i="4"/>
  <c r="U135" i="4"/>
  <c r="U136" i="4"/>
  <c r="U173" i="4"/>
  <c r="U166" i="4"/>
  <c r="U172" i="4"/>
  <c r="U160" i="4"/>
  <c r="U144" i="4"/>
  <c r="U167" i="4"/>
  <c r="U181" i="4"/>
  <c r="U149" i="4"/>
  <c r="U145" i="4"/>
  <c r="U151" i="4"/>
  <c r="U168" i="4"/>
  <c r="U182" i="4"/>
  <c r="U137" i="4"/>
  <c r="U146" i="4"/>
  <c r="U152" i="4"/>
  <c r="U161" i="4"/>
  <c r="U140" i="4"/>
  <c r="U175" i="4"/>
  <c r="U150" i="4"/>
  <c r="U176" i="4"/>
  <c r="U165" i="4"/>
  <c r="U177" i="4"/>
  <c r="U156" i="4"/>
  <c r="U180" i="4"/>
  <c r="U141" i="4"/>
  <c r="U159" i="4"/>
  <c r="U164" i="4"/>
  <c r="U134" i="4"/>
  <c r="U174" i="4"/>
  <c r="U147" i="4"/>
  <c r="U139" i="4"/>
  <c r="U133" i="4"/>
  <c r="U155" i="4"/>
  <c r="U169" i="4"/>
  <c r="U170" i="4"/>
  <c r="U171" i="4"/>
  <c r="U148" i="4"/>
  <c r="V135" i="4"/>
  <c r="V176" i="4"/>
  <c r="V165" i="4"/>
  <c r="Z242" i="4"/>
  <c r="Z243" i="4"/>
  <c r="Z237" i="4"/>
  <c r="Z255" i="4"/>
  <c r="Z263" i="4"/>
  <c r="Z236" i="4"/>
  <c r="Z258" i="4"/>
  <c r="Z267" i="4"/>
  <c r="Z246" i="4"/>
  <c r="Z257" i="4"/>
  <c r="Z244" i="4"/>
  <c r="Z254" i="4"/>
  <c r="Z259" i="4"/>
  <c r="Z238" i="4"/>
  <c r="Z249" i="4"/>
  <c r="Z253" i="4"/>
  <c r="Z260" i="4"/>
  <c r="Z248" i="4"/>
  <c r="Z268" i="4"/>
  <c r="Z252" i="4"/>
  <c r="Z241" i="4"/>
  <c r="Z265" i="4"/>
  <c r="Z251" i="4"/>
  <c r="Z266" i="4"/>
  <c r="Z245" i="4"/>
  <c r="Z239" i="4"/>
  <c r="Z261" i="4"/>
  <c r="Z262" i="4"/>
  <c r="Z247" i="4"/>
  <c r="Z264" i="4"/>
  <c r="Z240" i="4"/>
  <c r="Z250" i="4"/>
  <c r="Z256" i="4"/>
  <c r="V49" i="4"/>
  <c r="V180" i="4"/>
  <c r="V281" i="4"/>
  <c r="V109" i="4"/>
  <c r="V2" i="4"/>
  <c r="V289" i="4"/>
  <c r="V129" i="4"/>
  <c r="V9" i="4"/>
  <c r="V140" i="4"/>
  <c r="V122" i="4"/>
  <c r="V108" i="4"/>
  <c r="V63" i="4"/>
  <c r="V174" i="4"/>
  <c r="V269" i="4"/>
  <c r="V84" i="4"/>
  <c r="V85" i="4"/>
  <c r="V15" i="4"/>
  <c r="V59" i="4"/>
  <c r="V6" i="4"/>
  <c r="V119" i="4"/>
  <c r="V52" i="4"/>
  <c r="V170" i="4"/>
  <c r="V138" i="4"/>
  <c r="V141" i="4"/>
  <c r="V191" i="4"/>
  <c r="V183" i="4"/>
  <c r="V203" i="4"/>
  <c r="V184" i="4"/>
  <c r="V206" i="4"/>
  <c r="V205" i="4"/>
  <c r="V194" i="4"/>
  <c r="V198" i="4"/>
  <c r="V197" i="4"/>
  <c r="V187" i="4"/>
  <c r="V190" i="4"/>
  <c r="V189" i="4"/>
  <c r="V188" i="4"/>
  <c r="V195" i="4"/>
  <c r="V204" i="4"/>
  <c r="V192" i="4"/>
  <c r="V200" i="4"/>
  <c r="V196" i="4"/>
  <c r="V202" i="4"/>
  <c r="V201" i="4"/>
  <c r="V199" i="4"/>
  <c r="V193" i="4"/>
  <c r="V185" i="4"/>
  <c r="V186" i="4"/>
  <c r="V181" i="4"/>
  <c r="V32" i="4"/>
  <c r="V55" i="4"/>
  <c r="V155" i="4"/>
  <c r="V16" i="4"/>
  <c r="V172" i="4"/>
  <c r="Z183" i="4"/>
  <c r="Z184" i="4"/>
  <c r="Z200" i="4"/>
  <c r="Z202" i="4"/>
  <c r="Z196" i="4"/>
  <c r="Z206" i="4"/>
  <c r="Z193" i="4"/>
  <c r="Z190" i="4"/>
  <c r="Z189" i="4"/>
  <c r="Z197" i="4"/>
  <c r="Z191" i="4"/>
  <c r="Z205" i="4"/>
  <c r="Z194" i="4"/>
  <c r="Z192" i="4"/>
  <c r="Z203" i="4"/>
  <c r="Z185" i="4"/>
  <c r="Z195" i="4"/>
  <c r="Z201" i="4"/>
  <c r="Z198" i="4"/>
  <c r="Z186" i="4"/>
  <c r="Z187" i="4"/>
  <c r="Z188" i="4"/>
  <c r="Z204" i="4"/>
  <c r="Z199" i="4"/>
  <c r="V4" i="4"/>
  <c r="V100" i="4"/>
  <c r="V150" i="4"/>
  <c r="V33" i="4"/>
  <c r="V29" i="4"/>
  <c r="V154" i="4"/>
  <c r="V278" i="4"/>
  <c r="V31" i="4"/>
  <c r="V82" i="4"/>
  <c r="V71" i="4"/>
  <c r="V35" i="4"/>
  <c r="V112" i="4"/>
  <c r="V102" i="4"/>
  <c r="V38" i="4"/>
  <c r="V152" i="4"/>
  <c r="V146" i="4"/>
  <c r="U238" i="4"/>
  <c r="U244" i="4"/>
  <c r="U249" i="4"/>
  <c r="U256" i="4"/>
  <c r="U267" i="4"/>
  <c r="U250" i="4"/>
  <c r="U258" i="4"/>
  <c r="U268" i="4"/>
  <c r="U239" i="4"/>
  <c r="U265" i="4"/>
  <c r="U240" i="4"/>
  <c r="U257" i="4"/>
  <c r="U241" i="4"/>
  <c r="U251" i="4"/>
  <c r="U259" i="4"/>
  <c r="U242" i="4"/>
  <c r="U243" i="4"/>
  <c r="U245" i="4"/>
  <c r="U254" i="4"/>
  <c r="U260" i="4"/>
  <c r="U261" i="4"/>
  <c r="U246" i="4"/>
  <c r="U236" i="4"/>
  <c r="U247" i="4"/>
  <c r="U253" i="4"/>
  <c r="U248" i="4"/>
  <c r="U262" i="4"/>
  <c r="U263" i="4"/>
  <c r="U255" i="4"/>
  <c r="U264" i="4"/>
  <c r="U237" i="4"/>
  <c r="U266" i="4"/>
  <c r="U252" i="4"/>
  <c r="U212" i="4"/>
  <c r="U216" i="4"/>
  <c r="U221" i="4"/>
  <c r="U217" i="4"/>
  <c r="U222" i="4"/>
  <c r="U218" i="4"/>
  <c r="U229" i="4"/>
  <c r="U219" i="4"/>
  <c r="U215" i="4"/>
  <c r="U233" i="4"/>
  <c r="U223" i="4"/>
  <c r="U224" i="4"/>
  <c r="U225" i="4"/>
  <c r="U234" i="4"/>
  <c r="U226" i="4"/>
  <c r="U235" i="4"/>
  <c r="U207" i="4"/>
  <c r="U210" i="4"/>
  <c r="U227" i="4"/>
  <c r="U228" i="4"/>
  <c r="U211" i="4"/>
  <c r="U209" i="4"/>
  <c r="U213" i="4"/>
  <c r="U220" i="4"/>
  <c r="U231" i="4"/>
  <c r="U232" i="4"/>
  <c r="U214" i="4"/>
  <c r="U208" i="4"/>
  <c r="U230" i="4"/>
  <c r="U193" i="4"/>
  <c r="U187" i="4"/>
  <c r="U202" i="4"/>
  <c r="U196" i="4"/>
  <c r="U188" i="4"/>
  <c r="U194" i="4"/>
  <c r="U192" i="4"/>
  <c r="U200" i="4"/>
  <c r="U205" i="4"/>
  <c r="U189" i="4"/>
  <c r="U197" i="4"/>
  <c r="U198" i="4"/>
  <c r="U191" i="4"/>
  <c r="U204" i="4"/>
  <c r="U184" i="4"/>
  <c r="U195" i="4"/>
  <c r="U203" i="4"/>
  <c r="U199" i="4"/>
  <c r="U190" i="4"/>
  <c r="U206" i="4"/>
  <c r="U183" i="4"/>
  <c r="U201" i="4"/>
  <c r="U185" i="4"/>
  <c r="U186" i="4"/>
  <c r="V273" i="4"/>
  <c r="Z8" i="4"/>
  <c r="Z23" i="4"/>
  <c r="Z38" i="4"/>
  <c r="Z52" i="4"/>
  <c r="Z63" i="4"/>
  <c r="Z100" i="4"/>
  <c r="Z125" i="4"/>
  <c r="Z2" i="4"/>
  <c r="Z24" i="4"/>
  <c r="Z39" i="4"/>
  <c r="Z53" i="4"/>
  <c r="Z78" i="4"/>
  <c r="Z89" i="4"/>
  <c r="Z101" i="4"/>
  <c r="Z118" i="4"/>
  <c r="Z126" i="4"/>
  <c r="Z25" i="4"/>
  <c r="Z40" i="4"/>
  <c r="Z54" i="4"/>
  <c r="Z64" i="4"/>
  <c r="Z79" i="4"/>
  <c r="Z90" i="4"/>
  <c r="Z102" i="4"/>
  <c r="Z119" i="4"/>
  <c r="Z9" i="4"/>
  <c r="Z26" i="4"/>
  <c r="Z41" i="4"/>
  <c r="Z55" i="4"/>
  <c r="Z66" i="4"/>
  <c r="Z80" i="4"/>
  <c r="Z91" i="4"/>
  <c r="Z12" i="4"/>
  <c r="Z32" i="4"/>
  <c r="Z50" i="4"/>
  <c r="Z62" i="4"/>
  <c r="Z13" i="4"/>
  <c r="Z33" i="4"/>
  <c r="Z65" i="4"/>
  <c r="Z81" i="4"/>
  <c r="Z95" i="4"/>
  <c r="Z131" i="4"/>
  <c r="Z34" i="4"/>
  <c r="Z51" i="4"/>
  <c r="Z67" i="4"/>
  <c r="Z82" i="4"/>
  <c r="Z111" i="4"/>
  <c r="Z3" i="4"/>
  <c r="Z14" i="4"/>
  <c r="Z35" i="4"/>
  <c r="Z68" i="4"/>
  <c r="Z83" i="4"/>
  <c r="Z112" i="4"/>
  <c r="Z120" i="4"/>
  <c r="Z17" i="4"/>
  <c r="Z36" i="4"/>
  <c r="Z56" i="4"/>
  <c r="Z98" i="4"/>
  <c r="Z115" i="4"/>
  <c r="Z6" i="4"/>
  <c r="Z76" i="4"/>
  <c r="Z94" i="4"/>
  <c r="Z124" i="4"/>
  <c r="Z11" i="4"/>
  <c r="Z85" i="4"/>
  <c r="Z96" i="4"/>
  <c r="Z127" i="4"/>
  <c r="Z7" i="4"/>
  <c r="Z77" i="4"/>
  <c r="Z97" i="4"/>
  <c r="Z10" i="4"/>
  <c r="Z104" i="4"/>
  <c r="Z37" i="4"/>
  <c r="Z59" i="4"/>
  <c r="Z60" i="4"/>
  <c r="Z103" i="4"/>
  <c r="Z16" i="4"/>
  <c r="Z117" i="4"/>
  <c r="Z99" i="4"/>
  <c r="Z15" i="4"/>
  <c r="Z61" i="4"/>
  <c r="Z84" i="4"/>
  <c r="Z116" i="4"/>
  <c r="Z18" i="4"/>
  <c r="Z43" i="4"/>
  <c r="Z106" i="4"/>
  <c r="Z128" i="4"/>
  <c r="Z42" i="4"/>
  <c r="Z113" i="4"/>
  <c r="Z130" i="4"/>
  <c r="Z5" i="4"/>
  <c r="Z121" i="4"/>
  <c r="Z70" i="4"/>
  <c r="Z44" i="4"/>
  <c r="Z75" i="4"/>
  <c r="Z114" i="4"/>
  <c r="Z21" i="4"/>
  <c r="Z109" i="4"/>
  <c r="Z45" i="4"/>
  <c r="Z86" i="4"/>
  <c r="Z47" i="4"/>
  <c r="Z27" i="4"/>
  <c r="Z107" i="4"/>
  <c r="Z73" i="4"/>
  <c r="Z4" i="4"/>
  <c r="Z46" i="4"/>
  <c r="Z87" i="4"/>
  <c r="Z88" i="4"/>
  <c r="Z48" i="4"/>
  <c r="Z28" i="4"/>
  <c r="Z30" i="4"/>
  <c r="Z92" i="4"/>
  <c r="Z123" i="4"/>
  <c r="Z71" i="4"/>
  <c r="Z49" i="4"/>
  <c r="Z72" i="4"/>
  <c r="Z57" i="4"/>
  <c r="Z93" i="4"/>
  <c r="Z19" i="4"/>
  <c r="Z58" i="4"/>
  <c r="Z122" i="4"/>
  <c r="Z108" i="4"/>
  <c r="Z20" i="4"/>
  <c r="Z29" i="4"/>
  <c r="Z22" i="4"/>
  <c r="Z69" i="4"/>
  <c r="Z105" i="4"/>
  <c r="Z132" i="4"/>
  <c r="Z31" i="4"/>
  <c r="Z74" i="4"/>
  <c r="Z110" i="4"/>
  <c r="Z129" i="4"/>
  <c r="V171" i="4"/>
  <c r="V277" i="4"/>
  <c r="U273" i="4"/>
  <c r="U279" i="4"/>
  <c r="U282" i="4"/>
  <c r="U269" i="4"/>
  <c r="U270" i="4"/>
  <c r="U275" i="4"/>
  <c r="U276" i="4"/>
  <c r="U287" i="4"/>
  <c r="U272" i="4"/>
  <c r="U277" i="4"/>
  <c r="U286" i="4"/>
  <c r="U289" i="4"/>
  <c r="U278" i="4"/>
  <c r="U288" i="4"/>
  <c r="U280" i="4"/>
  <c r="U271" i="4"/>
  <c r="U283" i="4"/>
  <c r="U290" i="4"/>
  <c r="U284" i="4"/>
  <c r="U285" i="4"/>
  <c r="U281" i="4"/>
  <c r="U274" i="4"/>
  <c r="U291" i="4"/>
  <c r="U31" i="4"/>
  <c r="U44" i="4"/>
  <c r="U82" i="4"/>
  <c r="U14" i="4"/>
  <c r="U45" i="4"/>
  <c r="U71" i="4"/>
  <c r="U83" i="4"/>
  <c r="U94" i="4"/>
  <c r="U4" i="4"/>
  <c r="U15" i="4"/>
  <c r="U32" i="4"/>
  <c r="U46" i="4"/>
  <c r="U59" i="4"/>
  <c r="U72" i="4"/>
  <c r="U84" i="4"/>
  <c r="U107" i="4"/>
  <c r="U131" i="4"/>
  <c r="U5" i="4"/>
  <c r="U16" i="4"/>
  <c r="U33" i="4"/>
  <c r="U47" i="4"/>
  <c r="U85" i="4"/>
  <c r="U95" i="4"/>
  <c r="U108" i="4"/>
  <c r="U122" i="4"/>
  <c r="U127" i="4"/>
  <c r="U35" i="4"/>
  <c r="U49" i="4"/>
  <c r="U61" i="4"/>
  <c r="U74" i="4"/>
  <c r="U86" i="4"/>
  <c r="U110" i="4"/>
  <c r="U116" i="4"/>
  <c r="U123" i="4"/>
  <c r="U132" i="4"/>
  <c r="U22" i="4"/>
  <c r="U41" i="4"/>
  <c r="U60" i="4"/>
  <c r="U77" i="4"/>
  <c r="U91" i="4"/>
  <c r="U109" i="4"/>
  <c r="U23" i="4"/>
  <c r="U92" i="4"/>
  <c r="U24" i="4"/>
  <c r="U78" i="4"/>
  <c r="U93" i="4"/>
  <c r="U118" i="4"/>
  <c r="U43" i="4"/>
  <c r="U6" i="4"/>
  <c r="U25" i="4"/>
  <c r="U42" i="4"/>
  <c r="U79" i="4"/>
  <c r="U111" i="4"/>
  <c r="U119" i="4"/>
  <c r="U112" i="4"/>
  <c r="U8" i="4"/>
  <c r="U27" i="4"/>
  <c r="U50" i="4"/>
  <c r="U63" i="4"/>
  <c r="U96" i="4"/>
  <c r="U128" i="4"/>
  <c r="U30" i="4"/>
  <c r="U65" i="4"/>
  <c r="U81" i="4"/>
  <c r="U114" i="4"/>
  <c r="U7" i="4"/>
  <c r="U37" i="4"/>
  <c r="U125" i="4"/>
  <c r="U129" i="4"/>
  <c r="U73" i="4"/>
  <c r="U64" i="4"/>
  <c r="U126" i="4"/>
  <c r="U98" i="4"/>
  <c r="U38" i="4"/>
  <c r="U66" i="4"/>
  <c r="U89" i="4"/>
  <c r="U115" i="4"/>
  <c r="U9" i="4"/>
  <c r="U39" i="4"/>
  <c r="U67" i="4"/>
  <c r="U90" i="4"/>
  <c r="U11" i="4"/>
  <c r="U69" i="4"/>
  <c r="U13" i="4"/>
  <c r="U10" i="4"/>
  <c r="U40" i="4"/>
  <c r="U68" i="4"/>
  <c r="U117" i="4"/>
  <c r="U12" i="4"/>
  <c r="U48" i="4"/>
  <c r="U70" i="4"/>
  <c r="U97" i="4"/>
  <c r="U18" i="4"/>
  <c r="U75" i="4"/>
  <c r="U100" i="4"/>
  <c r="U19" i="4"/>
  <c r="U52" i="4"/>
  <c r="U76" i="4"/>
  <c r="U101" i="4"/>
  <c r="U130" i="4"/>
  <c r="U26" i="4"/>
  <c r="U21" i="4"/>
  <c r="U102" i="4"/>
  <c r="U103" i="4"/>
  <c r="U105" i="4"/>
  <c r="U3" i="4"/>
  <c r="U28" i="4"/>
  <c r="U29" i="4"/>
  <c r="U88" i="4"/>
  <c r="U80" i="4"/>
  <c r="U34" i="4"/>
  <c r="U87" i="4"/>
  <c r="U124" i="4"/>
  <c r="U51" i="4"/>
  <c r="U53" i="4"/>
  <c r="U36" i="4"/>
  <c r="U99" i="4"/>
  <c r="U120" i="4"/>
  <c r="U54" i="4"/>
  <c r="U55" i="4"/>
  <c r="U2" i="4"/>
  <c r="U56" i="4"/>
  <c r="U104" i="4"/>
  <c r="U113" i="4"/>
  <c r="U62" i="4"/>
  <c r="U17" i="4"/>
  <c r="U57" i="4"/>
  <c r="U58" i="4"/>
  <c r="U106" i="4"/>
  <c r="U20" i="4"/>
  <c r="U121" i="4"/>
  <c r="V159" i="4"/>
  <c r="V274" i="4"/>
  <c r="V124" i="4"/>
  <c r="V24" i="4"/>
  <c r="V285" i="4"/>
  <c r="V111" i="4"/>
  <c r="V158" i="4"/>
  <c r="V131" i="4"/>
  <c r="V47" i="4"/>
  <c r="V142" i="4"/>
  <c r="V280" i="4"/>
  <c r="V43" i="4"/>
  <c r="V130" i="4"/>
  <c r="V163" i="4"/>
  <c r="V98" i="4"/>
  <c r="V107" i="4"/>
  <c r="V93" i="4"/>
  <c r="V70" i="4"/>
  <c r="V48" i="4"/>
  <c r="V90" i="4"/>
  <c r="V147" i="4"/>
  <c r="U158" i="2"/>
  <c r="Z99" i="2"/>
  <c r="Z97" i="2"/>
  <c r="U61" i="2"/>
  <c r="U69" i="2"/>
  <c r="U81" i="2"/>
  <c r="U51" i="2"/>
  <c r="U75" i="2"/>
  <c r="U82" i="2"/>
  <c r="U59" i="2"/>
  <c r="U90" i="2"/>
  <c r="U76" i="2"/>
  <c r="U85" i="2"/>
  <c r="U53" i="2"/>
  <c r="U55" i="2"/>
  <c r="U62" i="2"/>
  <c r="U83" i="2"/>
  <c r="U70" i="2"/>
  <c r="U77" i="2"/>
  <c r="U86" i="2"/>
  <c r="U91" i="2"/>
  <c r="U52" i="2"/>
  <c r="U56" i="2"/>
  <c r="U57" i="2"/>
  <c r="U71" i="2"/>
  <c r="U78" i="2"/>
  <c r="U88" i="2"/>
  <c r="U79" i="2"/>
  <c r="U63" i="2"/>
  <c r="U92" i="2"/>
  <c r="U66" i="2"/>
  <c r="U60" i="2"/>
  <c r="U64" i="2"/>
  <c r="U72" i="2"/>
  <c r="U74" i="2"/>
  <c r="U65" i="2"/>
  <c r="U84" i="2"/>
  <c r="U87" i="2"/>
  <c r="U93" i="2"/>
  <c r="U54" i="2"/>
  <c r="U58" i="2"/>
  <c r="U67" i="2"/>
  <c r="U73" i="2"/>
  <c r="U89" i="2"/>
  <c r="U94" i="2"/>
  <c r="U80" i="2"/>
  <c r="U68" i="2"/>
  <c r="U100" i="2"/>
  <c r="U95" i="2"/>
  <c r="U98" i="2"/>
  <c r="U97" i="2"/>
  <c r="U99" i="2"/>
  <c r="U96" i="2"/>
  <c r="Z22" i="2"/>
  <c r="Z35" i="2"/>
  <c r="Z50" i="2"/>
  <c r="Z25" i="2"/>
  <c r="Z23" i="2"/>
  <c r="Z36" i="2"/>
  <c r="Z46" i="2"/>
  <c r="Z4" i="2"/>
  <c r="Z12" i="2"/>
  <c r="Z24" i="2"/>
  <c r="Z37" i="2"/>
  <c r="Z33" i="2"/>
  <c r="Z38" i="2"/>
  <c r="Z26" i="2"/>
  <c r="Z39" i="2"/>
  <c r="Z27" i="2"/>
  <c r="Z40" i="2"/>
  <c r="Z31" i="2"/>
  <c r="Z3" i="2"/>
  <c r="Z6" i="2"/>
  <c r="Z13" i="2"/>
  <c r="Z41" i="2"/>
  <c r="Z17" i="2"/>
  <c r="Z28" i="2"/>
  <c r="Z42" i="2"/>
  <c r="Z2" i="2"/>
  <c r="Z14" i="2"/>
  <c r="Z29" i="2"/>
  <c r="Z43" i="2"/>
  <c r="Z9" i="2"/>
  <c r="Z15" i="2"/>
  <c r="Z7" i="2"/>
  <c r="Z16" i="2"/>
  <c r="Z44" i="2"/>
  <c r="Z30" i="2"/>
  <c r="Z45" i="2"/>
  <c r="Z5" i="2"/>
  <c r="Z10" i="2"/>
  <c r="Z18" i="2"/>
  <c r="Z32" i="2"/>
  <c r="Z47" i="2"/>
  <c r="Z19" i="2"/>
  <c r="Z34" i="2"/>
  <c r="Z48" i="2"/>
  <c r="Z21" i="2"/>
  <c r="Z11" i="2"/>
  <c r="Z8" i="2"/>
  <c r="Z20" i="2"/>
  <c r="Z49" i="2"/>
  <c r="V55" i="2"/>
  <c r="V62" i="2"/>
  <c r="V83" i="2"/>
  <c r="V70" i="2"/>
  <c r="V77" i="2"/>
  <c r="V86" i="2"/>
  <c r="V91" i="2"/>
  <c r="V54" i="2"/>
  <c r="V52" i="2"/>
  <c r="V56" i="2"/>
  <c r="V57" i="2"/>
  <c r="V71" i="2"/>
  <c r="V78" i="2"/>
  <c r="V80" i="2"/>
  <c r="V63" i="2"/>
  <c r="V53" i="2"/>
  <c r="V64" i="2"/>
  <c r="V72" i="2"/>
  <c r="V92" i="2"/>
  <c r="V90" i="2"/>
  <c r="V65" i="2"/>
  <c r="V84" i="2"/>
  <c r="V87" i="2"/>
  <c r="V93" i="2"/>
  <c r="V60" i="2"/>
  <c r="V66" i="2"/>
  <c r="V88" i="2"/>
  <c r="V68" i="2"/>
  <c r="V58" i="2"/>
  <c r="V67" i="2"/>
  <c r="V73" i="2"/>
  <c r="V89" i="2"/>
  <c r="V94" i="2"/>
  <c r="V59" i="2"/>
  <c r="V74" i="2"/>
  <c r="V79" i="2"/>
  <c r="V61" i="2"/>
  <c r="V69" i="2"/>
  <c r="V81" i="2"/>
  <c r="V51" i="2"/>
  <c r="V75" i="2"/>
  <c r="V82" i="2"/>
  <c r="V85" i="2"/>
  <c r="V76" i="2"/>
  <c r="U26" i="2"/>
  <c r="U39" i="2"/>
  <c r="U27" i="2"/>
  <c r="U40" i="2"/>
  <c r="U35" i="2"/>
  <c r="U3" i="2"/>
  <c r="U6" i="2"/>
  <c r="U13" i="2"/>
  <c r="U41" i="2"/>
  <c r="U28" i="2"/>
  <c r="U42" i="2"/>
  <c r="U2" i="2"/>
  <c r="U14" i="2"/>
  <c r="U29" i="2"/>
  <c r="U43" i="2"/>
  <c r="U15" i="2"/>
  <c r="U20" i="2"/>
  <c r="U16" i="2"/>
  <c r="U44" i="2"/>
  <c r="U8" i="2"/>
  <c r="U49" i="2"/>
  <c r="U50" i="2"/>
  <c r="U30" i="2"/>
  <c r="U45" i="2"/>
  <c r="U33" i="2"/>
  <c r="U9" i="2"/>
  <c r="U17" i="2"/>
  <c r="U31" i="2"/>
  <c r="U46" i="2"/>
  <c r="U5" i="2"/>
  <c r="U10" i="2"/>
  <c r="U18" i="2"/>
  <c r="U32" i="2"/>
  <c r="U47" i="2"/>
  <c r="U22" i="2"/>
  <c r="U11" i="2"/>
  <c r="U7" i="2"/>
  <c r="U19" i="2"/>
  <c r="U34" i="2"/>
  <c r="U48" i="2"/>
  <c r="U21" i="2"/>
  <c r="U23" i="2"/>
  <c r="U36" i="2"/>
  <c r="U4" i="2"/>
  <c r="U12" i="2"/>
  <c r="U24" i="2"/>
  <c r="U37" i="2"/>
  <c r="U38" i="2"/>
  <c r="U25" i="2"/>
  <c r="U119" i="2"/>
  <c r="U131" i="2"/>
  <c r="U132" i="2"/>
  <c r="U140" i="2"/>
  <c r="U148" i="2"/>
  <c r="U120" i="2"/>
  <c r="U141" i="2"/>
  <c r="U121" i="2"/>
  <c r="U145" i="2"/>
  <c r="U133" i="2"/>
  <c r="U122" i="2"/>
  <c r="U142" i="2"/>
  <c r="U143" i="2"/>
  <c r="U154" i="2"/>
  <c r="U134" i="2"/>
  <c r="U151" i="2"/>
  <c r="U123" i="2"/>
  <c r="U135" i="2"/>
  <c r="U149" i="2"/>
  <c r="U124" i="2"/>
  <c r="U136" i="2"/>
  <c r="U157" i="2"/>
  <c r="U125" i="2"/>
  <c r="U137" i="2"/>
  <c r="U155" i="2"/>
  <c r="U126" i="2"/>
  <c r="U144" i="2"/>
  <c r="U150" i="2"/>
  <c r="U127" i="2"/>
  <c r="U138" i="2"/>
  <c r="U128" i="2"/>
  <c r="U129" i="2"/>
  <c r="U147" i="2"/>
  <c r="U152" i="2"/>
  <c r="U118" i="2"/>
  <c r="U139" i="2"/>
  <c r="U153" i="2"/>
  <c r="U156" i="2"/>
  <c r="U130" i="2"/>
  <c r="U146" i="2"/>
  <c r="Z100" i="2"/>
  <c r="V107" i="2"/>
  <c r="V112" i="2"/>
  <c r="V104" i="2"/>
  <c r="V113" i="2"/>
  <c r="V117" i="2"/>
  <c r="V102" i="2"/>
  <c r="V108" i="2"/>
  <c r="V116" i="2"/>
  <c r="V109" i="2"/>
  <c r="V101" i="2"/>
  <c r="V105" i="2"/>
  <c r="V114" i="2"/>
  <c r="V103" i="2"/>
  <c r="V115" i="2"/>
  <c r="V106" i="2"/>
  <c r="V110" i="2"/>
  <c r="V111" i="2"/>
  <c r="Z59" i="2"/>
  <c r="Z74" i="2"/>
  <c r="Z79" i="2"/>
  <c r="Z63" i="2"/>
  <c r="Z54" i="2"/>
  <c r="Z60" i="2"/>
  <c r="Z80" i="2"/>
  <c r="Z90" i="2"/>
  <c r="Z92" i="2"/>
  <c r="Z84" i="2"/>
  <c r="Z68" i="2"/>
  <c r="Z61" i="2"/>
  <c r="Z69" i="2"/>
  <c r="Z81" i="2"/>
  <c r="Z86" i="2"/>
  <c r="Z65" i="2"/>
  <c r="Z51" i="2"/>
  <c r="Z75" i="2"/>
  <c r="Z82" i="2"/>
  <c r="Z87" i="2"/>
  <c r="Z76" i="2"/>
  <c r="Z85" i="2"/>
  <c r="Z91" i="2"/>
  <c r="Z64" i="2"/>
  <c r="Z55" i="2"/>
  <c r="Z62" i="2"/>
  <c r="Z83" i="2"/>
  <c r="Z70" i="2"/>
  <c r="Z77" i="2"/>
  <c r="Z52" i="2"/>
  <c r="Z56" i="2"/>
  <c r="Z57" i="2"/>
  <c r="Z71" i="2"/>
  <c r="Z78" i="2"/>
  <c r="Z93" i="2"/>
  <c r="Z72" i="2"/>
  <c r="Z58" i="2"/>
  <c r="Z73" i="2"/>
  <c r="Z94" i="2"/>
  <c r="Z53" i="2"/>
  <c r="Z66" i="2"/>
  <c r="Z88" i="2"/>
  <c r="Z67" i="2"/>
  <c r="Z89" i="2"/>
  <c r="V100" i="2"/>
  <c r="V95" i="2"/>
  <c r="V98" i="2"/>
  <c r="V97" i="2"/>
  <c r="V99" i="2"/>
  <c r="V96" i="2"/>
  <c r="U111" i="2"/>
  <c r="U107" i="2"/>
  <c r="U112" i="2"/>
  <c r="U104" i="2"/>
  <c r="U113" i="2"/>
  <c r="U102" i="2"/>
  <c r="U108" i="2"/>
  <c r="U109" i="2"/>
  <c r="U101" i="2"/>
  <c r="U105" i="2"/>
  <c r="U116" i="2"/>
  <c r="U103" i="2"/>
  <c r="U115" i="2"/>
  <c r="U114" i="2"/>
  <c r="U106" i="2"/>
  <c r="U110" i="2"/>
  <c r="U117" i="2"/>
  <c r="V28" i="2"/>
  <c r="V42" i="2"/>
  <c r="V2" i="2"/>
  <c r="V14" i="2"/>
  <c r="V29" i="2"/>
  <c r="V43" i="2"/>
  <c r="V45" i="2"/>
  <c r="V37" i="2"/>
  <c r="V15" i="2"/>
  <c r="V16" i="2"/>
  <c r="V44" i="2"/>
  <c r="V30" i="2"/>
  <c r="V9" i="2"/>
  <c r="V17" i="2"/>
  <c r="V31" i="2"/>
  <c r="V46" i="2"/>
  <c r="V5" i="2"/>
  <c r="V10" i="2"/>
  <c r="V18" i="2"/>
  <c r="V32" i="2"/>
  <c r="V47" i="2"/>
  <c r="V11" i="2"/>
  <c r="V33" i="2"/>
  <c r="V12" i="2"/>
  <c r="V7" i="2"/>
  <c r="V25" i="2"/>
  <c r="V19" i="2"/>
  <c r="V34" i="2"/>
  <c r="V48" i="2"/>
  <c r="V4" i="2"/>
  <c r="V8" i="2"/>
  <c r="V20" i="2"/>
  <c r="V49" i="2"/>
  <c r="V21" i="2"/>
  <c r="V22" i="2"/>
  <c r="V35" i="2"/>
  <c r="V50" i="2"/>
  <c r="V24" i="2"/>
  <c r="V23" i="2"/>
  <c r="V36" i="2"/>
  <c r="V38" i="2"/>
  <c r="V26" i="2"/>
  <c r="V39" i="2"/>
  <c r="V27" i="2"/>
  <c r="V40" i="2"/>
  <c r="V3" i="2"/>
  <c r="V6" i="2"/>
  <c r="V13" i="2"/>
  <c r="V41" i="2"/>
  <c r="Z117" i="2"/>
  <c r="Z106" i="2"/>
  <c r="Z110" i="2"/>
  <c r="Z111" i="2"/>
  <c r="Z102" i="2"/>
  <c r="Z107" i="2"/>
  <c r="Z112" i="2"/>
  <c r="Z108" i="2"/>
  <c r="Z104" i="2"/>
  <c r="Z113" i="2"/>
  <c r="Z109" i="2"/>
  <c r="Z101" i="2"/>
  <c r="Z105" i="2"/>
  <c r="Z116" i="2"/>
  <c r="Z114" i="2"/>
  <c r="Z103" i="2"/>
  <c r="Z115" i="2"/>
  <c r="Z128" i="2"/>
  <c r="Z145" i="2"/>
  <c r="Z146" i="2"/>
  <c r="Z151" i="2"/>
  <c r="Z118" i="2"/>
  <c r="Z153" i="2"/>
  <c r="Z138" i="2"/>
  <c r="Z139" i="2"/>
  <c r="Z156" i="2"/>
  <c r="Z129" i="2"/>
  <c r="Z147" i="2"/>
  <c r="Z152" i="2"/>
  <c r="Z134" i="2"/>
  <c r="Z130" i="2"/>
  <c r="Z119" i="2"/>
  <c r="Z131" i="2"/>
  <c r="Z132" i="2"/>
  <c r="Z140" i="2"/>
  <c r="Z148" i="2"/>
  <c r="Z120" i="2"/>
  <c r="Z141" i="2"/>
  <c r="Z142" i="2"/>
  <c r="Z121" i="2"/>
  <c r="Z124" i="2"/>
  <c r="Z133" i="2"/>
  <c r="Z157" i="2"/>
  <c r="Z155" i="2"/>
  <c r="Z122" i="2"/>
  <c r="Z136" i="2"/>
  <c r="Z143" i="2"/>
  <c r="Z154" i="2"/>
  <c r="Z123" i="2"/>
  <c r="Z135" i="2"/>
  <c r="Z149" i="2"/>
  <c r="Z126" i="2"/>
  <c r="Z144" i="2"/>
  <c r="Z150" i="2"/>
  <c r="Z137" i="2"/>
  <c r="Z127" i="2"/>
  <c r="Z125" i="2"/>
  <c r="Z95" i="2"/>
  <c r="Z98" i="2"/>
  <c r="V121" i="2"/>
  <c r="V133" i="2"/>
  <c r="V122" i="2"/>
  <c r="V142" i="2"/>
  <c r="V118" i="2"/>
  <c r="V143" i="2"/>
  <c r="V154" i="2"/>
  <c r="V129" i="2"/>
  <c r="V134" i="2"/>
  <c r="V151" i="2"/>
  <c r="V156" i="2"/>
  <c r="V123" i="2"/>
  <c r="V135" i="2"/>
  <c r="V149" i="2"/>
  <c r="V130" i="2"/>
  <c r="V124" i="2"/>
  <c r="V136" i="2"/>
  <c r="V157" i="2"/>
  <c r="V153" i="2"/>
  <c r="V125" i="2"/>
  <c r="V137" i="2"/>
  <c r="V155" i="2"/>
  <c r="V126" i="2"/>
  <c r="V144" i="2"/>
  <c r="V150" i="2"/>
  <c r="V146" i="2"/>
  <c r="V139" i="2"/>
  <c r="V147" i="2"/>
  <c r="V127" i="2"/>
  <c r="V128" i="2"/>
  <c r="V145" i="2"/>
  <c r="V138" i="2"/>
  <c r="V119" i="2"/>
  <c r="V131" i="2"/>
  <c r="V152" i="2"/>
  <c r="V132" i="2"/>
  <c r="V140" i="2"/>
  <c r="V148" i="2"/>
  <c r="V120" i="2"/>
  <c r="V141" i="2"/>
  <c r="V3" i="3"/>
  <c r="U87" i="3"/>
  <c r="U122" i="3"/>
  <c r="V56" i="3"/>
  <c r="U15" i="3"/>
  <c r="U35" i="3"/>
  <c r="V47" i="3"/>
  <c r="U118" i="3"/>
  <c r="U76" i="3"/>
  <c r="U111" i="3"/>
  <c r="U14" i="3"/>
  <c r="V34" i="3"/>
  <c r="U116" i="3"/>
  <c r="U52" i="3"/>
  <c r="V10" i="3"/>
  <c r="U59" i="3"/>
  <c r="U115" i="3"/>
  <c r="U95" i="3"/>
  <c r="U25" i="3"/>
  <c r="V4" i="3"/>
  <c r="U29" i="3"/>
  <c r="U38" i="3"/>
  <c r="U41" i="3"/>
  <c r="U56" i="3"/>
  <c r="V12" i="3"/>
  <c r="U96" i="3"/>
  <c r="U34" i="3"/>
  <c r="U103" i="3"/>
  <c r="U20" i="3"/>
  <c r="U58" i="3"/>
  <c r="U80" i="3"/>
  <c r="U75" i="3"/>
  <c r="U51" i="3"/>
  <c r="U33" i="3"/>
  <c r="U79" i="3"/>
  <c r="U112" i="3"/>
  <c r="U120" i="3"/>
  <c r="U8" i="3"/>
  <c r="U72" i="3"/>
  <c r="U61" i="3"/>
  <c r="U100" i="3"/>
  <c r="U40" i="3"/>
  <c r="U21" i="3"/>
  <c r="U104" i="3"/>
  <c r="U69" i="3"/>
  <c r="V87" i="3"/>
  <c r="U93" i="3"/>
  <c r="U97" i="3"/>
  <c r="U27" i="3"/>
  <c r="U65" i="3"/>
  <c r="V163" i="3"/>
  <c r="V79" i="3"/>
  <c r="V82" i="3"/>
  <c r="V92" i="3"/>
  <c r="V151" i="3"/>
  <c r="V22" i="3"/>
  <c r="V99" i="3"/>
  <c r="V179" i="3"/>
  <c r="V77" i="3"/>
  <c r="V108" i="3"/>
  <c r="V109" i="3"/>
  <c r="V175" i="3"/>
  <c r="V74" i="3"/>
  <c r="V96" i="3"/>
  <c r="V95" i="3"/>
  <c r="V162" i="3"/>
  <c r="V44" i="3"/>
  <c r="V178" i="3"/>
  <c r="V90" i="3"/>
  <c r="V107" i="3"/>
  <c r="V85" i="3"/>
  <c r="U99" i="3"/>
  <c r="V150" i="3"/>
  <c r="V51" i="3"/>
  <c r="V9" i="3"/>
  <c r="V167" i="3"/>
  <c r="V86" i="3"/>
  <c r="U78" i="3"/>
  <c r="V166" i="3"/>
  <c r="V61" i="3"/>
  <c r="V2" i="3"/>
  <c r="V91" i="3"/>
  <c r="U89" i="3"/>
  <c r="V173" i="3"/>
  <c r="V70" i="3"/>
  <c r="V20" i="3"/>
  <c r="V106" i="3"/>
  <c r="V164" i="3"/>
  <c r="V101" i="3"/>
  <c r="U82" i="3"/>
  <c r="V180" i="3"/>
  <c r="V161" i="3"/>
  <c r="U18" i="3"/>
  <c r="U47" i="3"/>
  <c r="V67" i="3"/>
  <c r="V28" i="3"/>
  <c r="V78" i="3"/>
  <c r="V81" i="3"/>
  <c r="V156" i="3"/>
  <c r="V49" i="3"/>
  <c r="Z153" i="3"/>
  <c r="V158" i="3"/>
  <c r="V153" i="3"/>
  <c r="V84" i="3"/>
  <c r="U102" i="3"/>
  <c r="V154" i="3"/>
  <c r="U11" i="3"/>
  <c r="V37" i="3"/>
  <c r="V104" i="3"/>
  <c r="V103" i="3"/>
  <c r="V155" i="3"/>
  <c r="V83" i="3"/>
  <c r="V176" i="3"/>
  <c r="V24" i="3"/>
  <c r="U92" i="3"/>
  <c r="V169" i="3"/>
  <c r="U121" i="3"/>
  <c r="U26" i="3"/>
  <c r="U22" i="3"/>
  <c r="V17" i="3"/>
  <c r="V100" i="3"/>
  <c r="U81" i="3"/>
  <c r="V172" i="3"/>
  <c r="U117" i="3"/>
  <c r="U48" i="3"/>
  <c r="U46" i="3"/>
  <c r="V48" i="3"/>
  <c r="V76" i="3"/>
  <c r="V139" i="3"/>
  <c r="V102" i="3"/>
  <c r="V97" i="3"/>
  <c r="U108" i="3"/>
  <c r="V168" i="3"/>
  <c r="U113" i="3"/>
  <c r="U36" i="3"/>
  <c r="U32" i="3"/>
  <c r="V13" i="3"/>
  <c r="Z162" i="3"/>
  <c r="Z169" i="3"/>
  <c r="V128" i="3"/>
  <c r="Z181" i="3"/>
  <c r="Z184" i="3"/>
  <c r="Z182" i="3"/>
  <c r="Z183" i="3"/>
  <c r="Z178" i="3"/>
  <c r="Z152" i="3"/>
  <c r="V138" i="3"/>
  <c r="Z175" i="3"/>
  <c r="Z171" i="3"/>
  <c r="V123" i="3"/>
  <c r="V183" i="3"/>
  <c r="V184" i="3"/>
  <c r="V182" i="3"/>
  <c r="V181" i="3"/>
  <c r="Z150" i="3"/>
  <c r="Z160" i="3"/>
  <c r="V137" i="3"/>
  <c r="Z166" i="3"/>
  <c r="Z172" i="3"/>
  <c r="V134" i="3"/>
  <c r="Z119" i="3"/>
  <c r="Z111" i="3"/>
  <c r="Z115" i="3"/>
  <c r="Z112" i="3"/>
  <c r="Z116" i="3"/>
  <c r="Z122" i="3"/>
  <c r="Z120" i="3"/>
  <c r="Z113" i="3"/>
  <c r="Z117" i="3"/>
  <c r="Z121" i="3"/>
  <c r="Z118" i="3"/>
  <c r="Z110" i="3"/>
  <c r="Z114" i="3"/>
  <c r="V11" i="3"/>
  <c r="V73" i="3"/>
  <c r="Z173" i="3"/>
  <c r="Z168" i="3"/>
  <c r="V132" i="3"/>
  <c r="U161" i="3"/>
  <c r="U173" i="3"/>
  <c r="U156" i="3"/>
  <c r="U170" i="3"/>
  <c r="U166" i="3"/>
  <c r="U150" i="3"/>
  <c r="U162" i="3"/>
  <c r="U175" i="3"/>
  <c r="U178" i="3"/>
  <c r="U151" i="3"/>
  <c r="U179" i="3"/>
  <c r="U158" i="3"/>
  <c r="U167" i="3"/>
  <c r="U159" i="3"/>
  <c r="U168" i="3"/>
  <c r="U172" i="3"/>
  <c r="U163" i="3"/>
  <c r="U160" i="3"/>
  <c r="U171" i="3"/>
  <c r="U152" i="3"/>
  <c r="U169" i="3"/>
  <c r="U153" i="3"/>
  <c r="U176" i="3"/>
  <c r="U174" i="3"/>
  <c r="U154" i="3"/>
  <c r="U164" i="3"/>
  <c r="U165" i="3"/>
  <c r="U180" i="3"/>
  <c r="U155" i="3"/>
  <c r="U157" i="3"/>
  <c r="U177" i="3"/>
  <c r="V5" i="3"/>
  <c r="V69" i="3"/>
  <c r="V43" i="3"/>
  <c r="Z161" i="3"/>
  <c r="Z159" i="3"/>
  <c r="V125" i="3"/>
  <c r="V52" i="3"/>
  <c r="V38" i="3"/>
  <c r="V33" i="3"/>
  <c r="V29" i="3"/>
  <c r="Z157" i="3"/>
  <c r="Z167" i="3"/>
  <c r="V133" i="3"/>
  <c r="V50" i="3"/>
  <c r="V36" i="3"/>
  <c r="V46" i="3"/>
  <c r="V72" i="3"/>
  <c r="Z156" i="3"/>
  <c r="Z179" i="3"/>
  <c r="V149" i="3"/>
  <c r="Z22" i="3"/>
  <c r="Z33" i="3"/>
  <c r="Z11" i="3"/>
  <c r="Z34" i="3"/>
  <c r="Z47" i="3"/>
  <c r="Z56" i="3"/>
  <c r="Z3" i="3"/>
  <c r="Z2" i="3"/>
  <c r="Z12" i="3"/>
  <c r="Z13" i="3"/>
  <c r="Z57" i="3"/>
  <c r="Z66" i="3"/>
  <c r="Z14" i="3"/>
  <c r="Z35" i="3"/>
  <c r="Z58" i="3"/>
  <c r="Z15" i="3"/>
  <c r="Z59" i="3"/>
  <c r="Z69" i="3"/>
  <c r="Z16" i="3"/>
  <c r="Z23" i="3"/>
  <c r="Z36" i="3"/>
  <c r="Z48" i="3"/>
  <c r="Z8" i="3"/>
  <c r="Z41" i="3"/>
  <c r="Z9" i="3"/>
  <c r="Z5" i="3"/>
  <c r="Z17" i="3"/>
  <c r="Z24" i="3"/>
  <c r="Z37" i="3"/>
  <c r="Z49" i="3"/>
  <c r="Z67" i="3"/>
  <c r="Z70" i="3"/>
  <c r="Z6" i="3"/>
  <c r="Z25" i="3"/>
  <c r="Z38" i="3"/>
  <c r="Z26" i="3"/>
  <c r="Z39" i="3"/>
  <c r="Z50" i="3"/>
  <c r="Z60" i="3"/>
  <c r="Z63" i="3"/>
  <c r="Z18" i="3"/>
  <c r="Z27" i="3"/>
  <c r="Z40" i="3"/>
  <c r="Z51" i="3"/>
  <c r="Z61" i="3"/>
  <c r="Z7" i="3"/>
  <c r="Z19" i="3"/>
  <c r="Z52" i="3"/>
  <c r="Z62" i="3"/>
  <c r="Z74" i="3"/>
  <c r="Z28" i="3"/>
  <c r="Z53" i="3"/>
  <c r="Z71" i="3"/>
  <c r="Z44" i="3"/>
  <c r="Z42" i="3"/>
  <c r="Z54" i="3"/>
  <c r="Z68" i="3"/>
  <c r="Z72" i="3"/>
  <c r="Z20" i="3"/>
  <c r="Z29" i="3"/>
  <c r="Z43" i="3"/>
  <c r="Z73" i="3"/>
  <c r="Z21" i="3"/>
  <c r="Z30" i="3"/>
  <c r="Z31" i="3"/>
  <c r="Z32" i="3"/>
  <c r="Z45" i="3"/>
  <c r="Z46" i="3"/>
  <c r="Z55" i="3"/>
  <c r="Z64" i="3"/>
  <c r="Z65" i="3"/>
  <c r="Z4" i="3"/>
  <c r="Z10" i="3"/>
  <c r="V60" i="3"/>
  <c r="V23" i="3"/>
  <c r="V32" i="3"/>
  <c r="V68" i="3"/>
  <c r="Z155" i="3"/>
  <c r="Z151" i="3"/>
  <c r="V148" i="3"/>
  <c r="Z158" i="3"/>
  <c r="U106" i="3"/>
  <c r="U119" i="3"/>
  <c r="U7" i="3"/>
  <c r="U6" i="3"/>
  <c r="U31" i="3"/>
  <c r="V40" i="3"/>
  <c r="V16" i="3"/>
  <c r="V21" i="3"/>
  <c r="V54" i="3"/>
  <c r="Z170" i="3"/>
  <c r="V120" i="3"/>
  <c r="V118" i="3"/>
  <c r="V110" i="3"/>
  <c r="V114" i="3"/>
  <c r="V119" i="3"/>
  <c r="V111" i="3"/>
  <c r="V115" i="3"/>
  <c r="V112" i="3"/>
  <c r="V116" i="3"/>
  <c r="V122" i="3"/>
  <c r="V113" i="3"/>
  <c r="V121" i="3"/>
  <c r="V117" i="3"/>
  <c r="V143" i="3"/>
  <c r="Z165" i="3"/>
  <c r="U107" i="3"/>
  <c r="U101" i="3"/>
  <c r="U114" i="3"/>
  <c r="U70" i="3"/>
  <c r="U66" i="3"/>
  <c r="U64" i="3"/>
  <c r="V39" i="3"/>
  <c r="V58" i="3"/>
  <c r="V25" i="3"/>
  <c r="V42" i="3"/>
  <c r="Z180" i="3"/>
  <c r="V131" i="3"/>
  <c r="V142" i="3"/>
  <c r="V93" i="3"/>
  <c r="V105" i="3"/>
  <c r="U84" i="3"/>
  <c r="V174" i="3"/>
  <c r="V170" i="3"/>
  <c r="U67" i="3"/>
  <c r="U57" i="3"/>
  <c r="U55" i="3"/>
  <c r="V27" i="3"/>
  <c r="V35" i="3"/>
  <c r="V65" i="3"/>
  <c r="V6" i="3"/>
  <c r="Z164" i="3"/>
  <c r="V147" i="3"/>
  <c r="V130" i="3"/>
  <c r="U63" i="3"/>
  <c r="U49" i="3"/>
  <c r="U13" i="3"/>
  <c r="U45" i="3"/>
  <c r="V26" i="3"/>
  <c r="V14" i="3"/>
  <c r="V31" i="3"/>
  <c r="V63" i="3"/>
  <c r="Z154" i="3"/>
  <c r="V146" i="3"/>
  <c r="V127" i="3"/>
  <c r="V129" i="3"/>
  <c r="U91" i="3"/>
  <c r="U105" i="3"/>
  <c r="U53" i="3"/>
  <c r="U37" i="3"/>
  <c r="U62" i="3"/>
  <c r="U30" i="3"/>
  <c r="V19" i="3"/>
  <c r="V59" i="3"/>
  <c r="V64" i="3"/>
  <c r="V41" i="3"/>
  <c r="Z163" i="3"/>
  <c r="V140" i="3"/>
  <c r="V145" i="3"/>
  <c r="U109" i="3"/>
  <c r="U90" i="3"/>
  <c r="U86" i="3"/>
  <c r="U68" i="3"/>
  <c r="U10" i="3"/>
  <c r="V18" i="3"/>
  <c r="V15" i="3"/>
  <c r="V55" i="3"/>
  <c r="V8" i="3"/>
  <c r="Z174" i="3"/>
  <c r="V124" i="3"/>
  <c r="V141" i="3"/>
  <c r="U181" i="3"/>
  <c r="U184" i="3"/>
  <c r="U182" i="3"/>
  <c r="U183" i="3"/>
  <c r="U83" i="3"/>
  <c r="V94" i="3"/>
  <c r="V88" i="3"/>
  <c r="U98" i="3"/>
  <c r="V177" i="3"/>
  <c r="U12" i="3"/>
  <c r="V80" i="3"/>
  <c r="U85" i="3"/>
  <c r="U94" i="3"/>
  <c r="V171" i="3"/>
  <c r="V157" i="3"/>
  <c r="U42" i="3"/>
  <c r="U17" i="3"/>
  <c r="U3" i="3"/>
  <c r="U4" i="3"/>
  <c r="V7" i="3"/>
  <c r="V66" i="3"/>
  <c r="V45" i="3"/>
  <c r="V71" i="3"/>
  <c r="Z177" i="3"/>
  <c r="V135" i="3"/>
  <c r="V136" i="3"/>
  <c r="Z84" i="3"/>
  <c r="Z101" i="3"/>
  <c r="Z106" i="3"/>
  <c r="Z91" i="3"/>
  <c r="Z107" i="3"/>
  <c r="Z95" i="3"/>
  <c r="Z108" i="3"/>
  <c r="Z81" i="3"/>
  <c r="Z92" i="3"/>
  <c r="Z96" i="3"/>
  <c r="Z97" i="3"/>
  <c r="Z76" i="3"/>
  <c r="Z82" i="3"/>
  <c r="Z85" i="3"/>
  <c r="Z100" i="3"/>
  <c r="Z102" i="3"/>
  <c r="Z90" i="3"/>
  <c r="Z79" i="3"/>
  <c r="Z89" i="3"/>
  <c r="Z103" i="3"/>
  <c r="Z93" i="3"/>
  <c r="Z109" i="3"/>
  <c r="Z77" i="3"/>
  <c r="Z86" i="3"/>
  <c r="Z78" i="3"/>
  <c r="Z99" i="3"/>
  <c r="Z104" i="3"/>
  <c r="Z87" i="3"/>
  <c r="Z94" i="3"/>
  <c r="Z98" i="3"/>
  <c r="Z75" i="3"/>
  <c r="Z80" i="3"/>
  <c r="Z88" i="3"/>
  <c r="Z105" i="3"/>
  <c r="Z83" i="3"/>
  <c r="U142" i="3"/>
  <c r="U131" i="3"/>
  <c r="U143" i="3"/>
  <c r="U148" i="3"/>
  <c r="U149" i="3"/>
  <c r="U133" i="3"/>
  <c r="U125" i="3"/>
  <c r="U132" i="3"/>
  <c r="U134" i="3"/>
  <c r="U137" i="3"/>
  <c r="U123" i="3"/>
  <c r="U145" i="3"/>
  <c r="U138" i="3"/>
  <c r="U128" i="3"/>
  <c r="U139" i="3"/>
  <c r="U144" i="3"/>
  <c r="U129" i="3"/>
  <c r="U135" i="3"/>
  <c r="U124" i="3"/>
  <c r="U126" i="3"/>
  <c r="U147" i="3"/>
  <c r="U140" i="3"/>
  <c r="U146" i="3"/>
  <c r="U136" i="3"/>
  <c r="U127" i="3"/>
  <c r="U130" i="3"/>
  <c r="U141" i="3"/>
  <c r="V98" i="3"/>
  <c r="V152" i="3"/>
  <c r="U24" i="3"/>
  <c r="Z125" i="3"/>
  <c r="Z132" i="3"/>
  <c r="Z134" i="3"/>
  <c r="Z137" i="3"/>
  <c r="Z142" i="3"/>
  <c r="Z123" i="3"/>
  <c r="Z138" i="3"/>
  <c r="Z128" i="3"/>
  <c r="Z139" i="3"/>
  <c r="Z144" i="3"/>
  <c r="Z129" i="3"/>
  <c r="Z135" i="3"/>
  <c r="Z124" i="3"/>
  <c r="Z145" i="3"/>
  <c r="Z140" i="3"/>
  <c r="Z146" i="3"/>
  <c r="Z131" i="3"/>
  <c r="Z147" i="3"/>
  <c r="Z126" i="3"/>
  <c r="Z136" i="3"/>
  <c r="Z141" i="3"/>
  <c r="Z127" i="3"/>
  <c r="Z130" i="3"/>
  <c r="Z133" i="3"/>
  <c r="Z143" i="3"/>
  <c r="Z148" i="3"/>
  <c r="Z149" i="3"/>
  <c r="V89" i="3"/>
  <c r="U77" i="3"/>
  <c r="V160" i="3"/>
  <c r="U54" i="3"/>
  <c r="U5" i="3"/>
  <c r="U28" i="3"/>
  <c r="V62" i="3"/>
  <c r="V57" i="3"/>
  <c r="V30" i="3"/>
  <c r="V144" i="3"/>
  <c r="A9" i="9" l="1" a="1"/>
  <c r="T10" i="9" s="1"/>
  <c r="A9" i="11" a="1"/>
  <c r="A9" i="12" a="1"/>
  <c r="T10" i="11" l="1"/>
  <c r="T11" i="11"/>
  <c r="A9" i="9"/>
  <c r="T9" i="9" s="1"/>
  <c r="T2" i="9" s="1"/>
  <c r="A6" i="9"/>
  <c r="A6" i="11"/>
  <c r="A9" i="11"/>
  <c r="T9" i="11" s="1"/>
  <c r="A6" i="12"/>
  <c r="A9" i="12"/>
  <c r="T9" i="12" s="1"/>
  <c r="T2" i="11" l="1"/>
  <c r="T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<sst xmlns="http://schemas.openxmlformats.org/spreadsheetml/2006/main" count="1792" uniqueCount="742">
  <si>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</si>
  <si>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</si>
  <si>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</si>
  <si>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</si>
  <si>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</si>
  <si>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</si>
  <si>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</si>
  <si>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</si>
  <si>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</si>
  <si>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</si>
  <si>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</si>
  <si>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</si>
  <si>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</si>
  <si>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</si>
  <si>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</si>
  <si>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</si>
  <si>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</si>
  <si>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</si>
  <si>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</si>
  <si>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</si>
  <si>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</si>
  <si>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</si>
  <si>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</si>
  <si>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</si>
  <si>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</si>
  <si>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</si>
  <si>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</si>
  <si>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</si>
  <si>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</si>
  <si>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</si>
  <si>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</si>
  <si>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</si>
  <si>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</si>
  <si>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</si>
  <si>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</si>
  <si>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</si>
  <si>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</si>
  <si>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</si>
  <si>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</si>
  <si>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</si>
  <si>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</si>
  <si>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</si>
  <si>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</si>
  <si>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</si>
  <si>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</si>
  <si>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</si>
  <si>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</si>
  <si>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</si>
  <si>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</si>
  <si>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</si>
  <si>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</si>
  <si>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</si>
  <si>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</si>
  <si>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</si>
  <si>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</si>
  <si>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</si>
  <si>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</si>
  <si>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</si>
  <si>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</si>
  <si>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</si>
  <si>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</si>
  <si>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</si>
  <si>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</si>
  <si>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</si>
  <si>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</si>
  <si>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</si>
  <si>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</si>
  <si>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</si>
  <si>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</si>
  <si>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</si>
  <si>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</si>
  <si>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</si>
  <si>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</si>
  <si>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</si>
  <si>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</si>
  <si>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</si>
  <si>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</si>
  <si>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</si>
  <si>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</si>
  <si>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</si>
  <si>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</si>
  <si>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</si>
  <si>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</si>
  <si>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</si>
  <si>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</si>
  <si>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</si>
  <si>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</si>
  <si>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</si>
  <si>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</si>
  <si>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</si>
  <si>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</si>
  <si>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</si>
  <si>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</si>
  <si>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</si>
  <si>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</si>
  <si>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</si>
  <si>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</si>
  <si>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</si>
  <si>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</si>
  <si>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</si>
  <si>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</si>
  <si>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</si>
  <si>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</si>
  <si>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</si>
  <si>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</si>
  <si>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Banks</t>
  </si>
  <si>
    <t>BAC</t>
  </si>
  <si>
    <t>BAP</t>
  </si>
  <si>
    <t>BBD</t>
  </si>
  <si>
    <t>BBDO</t>
  </si>
  <si>
    <t>BBVA</t>
  </si>
  <si>
    <t>BCH</t>
  </si>
  <si>
    <t>BCS</t>
  </si>
  <si>
    <t>BMO</t>
  </si>
  <si>
    <t>BNS</t>
  </si>
  <si>
    <t>BSAC</t>
  </si>
  <si>
    <t>BSBR</t>
  </si>
  <si>
    <t>C</t>
  </si>
  <si>
    <t>CM</t>
  </si>
  <si>
    <t>FCNCA</t>
  </si>
  <si>
    <t>FITB</t>
  </si>
  <si>
    <t>HDB</t>
  </si>
  <si>
    <t>HSBC</t>
  </si>
  <si>
    <t>IBN</t>
  </si>
  <si>
    <t>ING</t>
  </si>
  <si>
    <t>ITUB</t>
  </si>
  <si>
    <t>JPM</t>
  </si>
  <si>
    <t>KB</t>
  </si>
  <si>
    <t>KEY</t>
  </si>
  <si>
    <t>LYG</t>
  </si>
  <si>
    <t>MFG</t>
  </si>
  <si>
    <t>MUFG</t>
  </si>
  <si>
    <t>NTIOF</t>
  </si>
  <si>
    <t>NU</t>
  </si>
  <si>
    <t>NWG</t>
  </si>
  <si>
    <t>PNC</t>
  </si>
  <si>
    <t>RY</t>
  </si>
  <si>
    <t>SAN</t>
  </si>
  <si>
    <t>SCBFY</t>
  </si>
  <si>
    <t>SHG</t>
  </si>
  <si>
    <t>SMFG</t>
  </si>
  <si>
    <t>TD</t>
  </si>
  <si>
    <t>USB</t>
  </si>
  <si>
    <t>WFC</t>
  </si>
  <si>
    <t>CFG</t>
  </si>
  <si>
    <t>EWBC</t>
  </si>
  <si>
    <t>HBAN</t>
  </si>
  <si>
    <t>MTB</t>
  </si>
  <si>
    <t>RF</t>
  </si>
  <si>
    <t>TFC</t>
  </si>
  <si>
    <t>Financial Services</t>
  </si>
  <si>
    <t>APO</t>
  </si>
  <si>
    <t>CRBG</t>
  </si>
  <si>
    <t>EQH</t>
  </si>
  <si>
    <t>IX</t>
  </si>
  <si>
    <t>AFRM</t>
  </si>
  <si>
    <t>CPAY</t>
  </si>
  <si>
    <t>FI</t>
  </si>
  <si>
    <t>FIS</t>
  </si>
  <si>
    <t>GPN</t>
  </si>
  <si>
    <t>JKHY</t>
  </si>
  <si>
    <t>MA</t>
  </si>
  <si>
    <t>PYPL</t>
  </si>
  <si>
    <t>TOST</t>
  </si>
  <si>
    <t>V</t>
  </si>
  <si>
    <t>XYZ</t>
  </si>
  <si>
    <t>Consumer Finance</t>
  </si>
  <si>
    <t>AXP</t>
  </si>
  <si>
    <t>COF</t>
  </si>
  <si>
    <t>KSPI</t>
  </si>
  <si>
    <t>SOFI</t>
  </si>
  <si>
    <t>SYF</t>
  </si>
  <si>
    <t>Capital Markets</t>
  </si>
  <si>
    <t>AMP</t>
  </si>
  <si>
    <t>ARCC</t>
  </si>
  <si>
    <t>ARES</t>
  </si>
  <si>
    <t>BAM</t>
  </si>
  <si>
    <t>BEN</t>
  </si>
  <si>
    <t>BK</t>
  </si>
  <si>
    <t>BLK</t>
  </si>
  <si>
    <t>BN</t>
  </si>
  <si>
    <t>BX</t>
  </si>
  <si>
    <t>CG</t>
  </si>
  <si>
    <t>KKR</t>
  </si>
  <si>
    <t>NTRS</t>
  </si>
  <si>
    <t>OWL</t>
  </si>
  <si>
    <t>SEIC</t>
  </si>
  <si>
    <t>STT</t>
  </si>
  <si>
    <t>TROW</t>
  </si>
  <si>
    <t>FUTU</t>
  </si>
  <si>
    <t>GS</t>
  </si>
  <si>
    <t>HLI</t>
  </si>
  <si>
    <t>HOOD</t>
  </si>
  <si>
    <t>IBKR</t>
  </si>
  <si>
    <t>JEF</t>
  </si>
  <si>
    <t>LPLA</t>
  </si>
  <si>
    <t>MS</t>
  </si>
  <si>
    <t>NMR</t>
  </si>
  <si>
    <t>RJF</t>
  </si>
  <si>
    <t>SCHW</t>
  </si>
  <si>
    <t>DB</t>
  </si>
  <si>
    <t>UBS</t>
  </si>
  <si>
    <t>CBOE</t>
  </si>
  <si>
    <t>CME</t>
  </si>
  <si>
    <t>COIN</t>
  </si>
  <si>
    <t>FDS</t>
  </si>
  <si>
    <t>ICE</t>
  </si>
  <si>
    <t>MCO</t>
  </si>
  <si>
    <t>MORN</t>
  </si>
  <si>
    <t>MSCI</t>
  </si>
  <si>
    <t>NDAQ</t>
  </si>
  <si>
    <t>SPGI</t>
  </si>
  <si>
    <t>TMXXF</t>
  </si>
  <si>
    <t>TW</t>
  </si>
  <si>
    <t>Insurance</t>
  </si>
  <si>
    <t>AJG</t>
  </si>
  <si>
    <t>AON</t>
  </si>
  <si>
    <t>BRO</t>
  </si>
  <si>
    <t>MMC</t>
  </si>
  <si>
    <t>WTW</t>
  </si>
  <si>
    <t>AEG</t>
  </si>
  <si>
    <t>AFL</t>
  </si>
  <si>
    <t>GL</t>
  </si>
  <si>
    <t>MET</t>
  </si>
  <si>
    <t>MFC</t>
  </si>
  <si>
    <t>PFG</t>
  </si>
  <si>
    <t>PRU</t>
  </si>
  <si>
    <t>PUK</t>
  </si>
  <si>
    <t>SLF</t>
  </si>
  <si>
    <t>UNM</t>
  </si>
  <si>
    <t>ACGL</t>
  </si>
  <si>
    <t>AFG</t>
  </si>
  <si>
    <t>AIG</t>
  </si>
  <si>
    <t>AIZ</t>
  </si>
  <si>
    <t>ALL</t>
  </si>
  <si>
    <t>CB</t>
  </si>
  <si>
    <t>CINF</t>
  </si>
  <si>
    <t>CNA</t>
  </si>
  <si>
    <t>ERIE</t>
  </si>
  <si>
    <t>FNF</t>
  </si>
  <si>
    <t>HIG</t>
  </si>
  <si>
    <t>KNSL</t>
  </si>
  <si>
    <t>L</t>
  </si>
  <si>
    <t>MKL</t>
  </si>
  <si>
    <t>PGR</t>
  </si>
  <si>
    <t>TRV</t>
  </si>
  <si>
    <t>WRB</t>
  </si>
  <si>
    <t>BNT</t>
  </si>
  <si>
    <t>RGA</t>
  </si>
  <si>
    <t>RNR</t>
  </si>
  <si>
    <t>Mortgage Real Estate Investment Trusts (REITs)</t>
  </si>
  <si>
    <t>NLY</t>
  </si>
  <si>
    <t>AVAL</t>
  </si>
  <si>
    <t>BBAR</t>
  </si>
  <si>
    <t>BMA</t>
  </si>
  <si>
    <t>CIB</t>
  </si>
  <si>
    <t>CMA</t>
  </si>
  <si>
    <t>GGAL</t>
  </si>
  <si>
    <t>IFS</t>
  </si>
  <si>
    <t>INTR</t>
  </si>
  <si>
    <t>WF</t>
  </si>
  <si>
    <t>ABCB</t>
  </si>
  <si>
    <t>ASB</t>
  </si>
  <si>
    <t>AX</t>
  </si>
  <si>
    <t>BANC</t>
  </si>
  <si>
    <t>BANF</t>
  </si>
  <si>
    <t>BANR</t>
  </si>
  <si>
    <t>BKU</t>
  </si>
  <si>
    <t>BOH</t>
  </si>
  <si>
    <t>BOKF</t>
  </si>
  <si>
    <t>BPOP</t>
  </si>
  <si>
    <t>CADE</t>
  </si>
  <si>
    <t>CATY</t>
  </si>
  <si>
    <t>CBSH</t>
  </si>
  <si>
    <t>CBU</t>
  </si>
  <si>
    <t>CFR</t>
  </si>
  <si>
    <t>COLB</t>
  </si>
  <si>
    <t>CVBF</t>
  </si>
  <si>
    <t>EBC</t>
  </si>
  <si>
    <t>FBK</t>
  </si>
  <si>
    <t>FBP</t>
  </si>
  <si>
    <t>FFBC</t>
  </si>
  <si>
    <t>FFIN</t>
  </si>
  <si>
    <t>FHB</t>
  </si>
  <si>
    <t>FHN</t>
  </si>
  <si>
    <t>FIBK</t>
  </si>
  <si>
    <t>FLG</t>
  </si>
  <si>
    <t>FNB</t>
  </si>
  <si>
    <t>FRME</t>
  </si>
  <si>
    <t>FULT</t>
  </si>
  <si>
    <t>GBCI</t>
  </si>
  <si>
    <t>HOMB</t>
  </si>
  <si>
    <t>HWC</t>
  </si>
  <si>
    <t>IBOC</t>
  </si>
  <si>
    <t>INDB</t>
  </si>
  <si>
    <t>NBTB</t>
  </si>
  <si>
    <t>ONB</t>
  </si>
  <si>
    <t>OZK</t>
  </si>
  <si>
    <t>PB</t>
  </si>
  <si>
    <t>PFS</t>
  </si>
  <si>
    <t>PNFP</t>
  </si>
  <si>
    <t>PPBI</t>
  </si>
  <si>
    <t>PRK</t>
  </si>
  <si>
    <t>RNST</t>
  </si>
  <si>
    <t>SBCF</t>
  </si>
  <si>
    <t>SFBS</t>
  </si>
  <si>
    <t>SFNC</t>
  </si>
  <si>
    <t>SNV</t>
  </si>
  <si>
    <t>SSB</t>
  </si>
  <si>
    <t>SYBT</t>
  </si>
  <si>
    <t>TBBK</t>
  </si>
  <si>
    <t>TCBI</t>
  </si>
  <si>
    <t>TFSL</t>
  </si>
  <si>
    <t>TOWN</t>
  </si>
  <si>
    <t>TRMK</t>
  </si>
  <si>
    <t>UBSI</t>
  </si>
  <si>
    <t>UCB</t>
  </si>
  <si>
    <t>UMBF</t>
  </si>
  <si>
    <t>WAFD</t>
  </si>
  <si>
    <t>WAL</t>
  </si>
  <si>
    <t>WBS</t>
  </si>
  <si>
    <t>WSBC</t>
  </si>
  <si>
    <t>WSFS</t>
  </si>
  <si>
    <t>WTFC</t>
  </si>
  <si>
    <t>ZION</t>
  </si>
  <si>
    <t>JXN</t>
  </si>
  <si>
    <t>VOYA</t>
  </si>
  <si>
    <t>BUR</t>
  </si>
  <si>
    <t>HASI</t>
  </si>
  <si>
    <t>ACT</t>
  </si>
  <si>
    <t>COOP</t>
  </si>
  <si>
    <t>ESNT</t>
  </si>
  <si>
    <t>MTG</t>
  </si>
  <si>
    <t>NMIH</t>
  </si>
  <si>
    <t>PFSI</t>
  </si>
  <si>
    <t>RDN</t>
  </si>
  <si>
    <t>WD</t>
  </si>
  <si>
    <t>AVDX</t>
  </si>
  <si>
    <t>DLO</t>
  </si>
  <si>
    <t>EEFT</t>
  </si>
  <si>
    <t>EVTC</t>
  </si>
  <si>
    <t>FOUR</t>
  </si>
  <si>
    <t>NATL</t>
  </si>
  <si>
    <t>PAGS</t>
  </si>
  <si>
    <t>PAY</t>
  </si>
  <si>
    <t>PAYO</t>
  </si>
  <si>
    <t>RELY</t>
  </si>
  <si>
    <t>STNE</t>
  </si>
  <si>
    <t>WEX</t>
  </si>
  <si>
    <t>WU</t>
  </si>
  <si>
    <t>ALLY</t>
  </si>
  <si>
    <t>BFH</t>
  </si>
  <si>
    <t>CACC</t>
  </si>
  <si>
    <t>ENVA</t>
  </si>
  <si>
    <t>FCFS</t>
  </si>
  <si>
    <t>FINV</t>
  </si>
  <si>
    <t>LU</t>
  </si>
  <si>
    <t>NNI</t>
  </si>
  <si>
    <t>OMF</t>
  </si>
  <si>
    <t>QFIN</t>
  </si>
  <si>
    <t>SLM</t>
  </si>
  <si>
    <t>UPST</t>
  </si>
  <si>
    <t>AB</t>
  </si>
  <si>
    <t>AMG</t>
  </si>
  <si>
    <t>APAM</t>
  </si>
  <si>
    <t>BXSL</t>
  </si>
  <si>
    <t>CNS</t>
  </si>
  <si>
    <t>FHI</t>
  </si>
  <si>
    <t>FSK</t>
  </si>
  <si>
    <t>GBDC</t>
  </si>
  <si>
    <t>HLNE</t>
  </si>
  <si>
    <t>HTGC</t>
  </si>
  <si>
    <t>IVZ</t>
  </si>
  <si>
    <t>JHG</t>
  </si>
  <si>
    <t>MAIN</t>
  </si>
  <si>
    <t>OBDC</t>
  </si>
  <si>
    <t>ONEXF</t>
  </si>
  <si>
    <t>STEP</t>
  </si>
  <si>
    <t>TPG</t>
  </si>
  <si>
    <t>VCTR</t>
  </si>
  <si>
    <t>BGC</t>
  </si>
  <si>
    <t>EVR</t>
  </si>
  <si>
    <t>FRHC</t>
  </si>
  <si>
    <t>LAZ</t>
  </si>
  <si>
    <t>MC</t>
  </si>
  <si>
    <t>MRX</t>
  </si>
  <si>
    <t>PIPR</t>
  </si>
  <si>
    <t>PJT</t>
  </si>
  <si>
    <t>SF</t>
  </si>
  <si>
    <t>VIRT</t>
  </si>
  <si>
    <t>XP</t>
  </si>
  <si>
    <t>MKTX</t>
  </si>
  <si>
    <t>BWIN</t>
  </si>
  <si>
    <t>GSHD</t>
  </si>
  <si>
    <t>RYAN</t>
  </si>
  <si>
    <t>BHF</t>
  </si>
  <si>
    <t>CNO</t>
  </si>
  <si>
    <t>FG</t>
  </si>
  <si>
    <t>GNW</t>
  </si>
  <si>
    <t>LNC</t>
  </si>
  <si>
    <t>OSCR</t>
  </si>
  <si>
    <t>PRI</t>
  </si>
  <si>
    <t>AGO</t>
  </si>
  <si>
    <t>AXS</t>
  </si>
  <si>
    <t>FAF</t>
  </si>
  <si>
    <t>HCXLY</t>
  </si>
  <si>
    <t>KMPR</t>
  </si>
  <si>
    <t>LMND</t>
  </si>
  <si>
    <t>MCY</t>
  </si>
  <si>
    <t>ORI</t>
  </si>
  <si>
    <t>PLMR</t>
  </si>
  <si>
    <t>RLI</t>
  </si>
  <si>
    <t>ROOT</t>
  </si>
  <si>
    <t>SIGI</t>
  </si>
  <si>
    <t>SKWD</t>
  </si>
  <si>
    <t>THG</t>
  </si>
  <si>
    <t>WTM</t>
  </si>
  <si>
    <t>ESGR</t>
  </si>
  <si>
    <t>SPNT</t>
  </si>
  <si>
    <t>ABR</t>
  </si>
  <si>
    <t>AGNC</t>
  </si>
  <si>
    <t>BXMT</t>
  </si>
  <si>
    <t>RITM</t>
  </si>
  <si>
    <t>STWD</t>
  </si>
  <si>
    <t>NTB</t>
  </si>
  <si>
    <t>SUPV</t>
  </si>
  <si>
    <t>ACNB</t>
  </si>
  <si>
    <t>AMTB</t>
  </si>
  <si>
    <t>AROW</t>
  </si>
  <si>
    <t>BFC</t>
  </si>
  <si>
    <t>BFST</t>
  </si>
  <si>
    <t>BHB</t>
  </si>
  <si>
    <t>BHLB</t>
  </si>
  <si>
    <t>BMRC</t>
  </si>
  <si>
    <t>BRKL</t>
  </si>
  <si>
    <t>BSRR</t>
  </si>
  <si>
    <t>BSVN</t>
  </si>
  <si>
    <t>BUSE</t>
  </si>
  <si>
    <t>BWB</t>
  </si>
  <si>
    <t>BWFG</t>
  </si>
  <si>
    <t>BY</t>
  </si>
  <si>
    <t>CAC</t>
  </si>
  <si>
    <t>CASH</t>
  </si>
  <si>
    <t>CBAN</t>
  </si>
  <si>
    <t>CBNK</t>
  </si>
  <si>
    <t>CCB</t>
  </si>
  <si>
    <t>CCBG</t>
  </si>
  <si>
    <t>CCNE</t>
  </si>
  <si>
    <t>CFFN</t>
  </si>
  <si>
    <t>CHCO</t>
  </si>
  <si>
    <t>CIVB</t>
  </si>
  <si>
    <t>CLBK</t>
  </si>
  <si>
    <t>CNOB</t>
  </si>
  <si>
    <t>CPF</t>
  </si>
  <si>
    <t>CTBI</t>
  </si>
  <si>
    <t>CUBI</t>
  </si>
  <si>
    <t>CWBC</t>
  </si>
  <si>
    <t>CZNC</t>
  </si>
  <si>
    <t>DCOM</t>
  </si>
  <si>
    <t>EBTC</t>
  </si>
  <si>
    <t>EFSC</t>
  </si>
  <si>
    <t>EGBN</t>
  </si>
  <si>
    <t>EQBK</t>
  </si>
  <si>
    <t>ESQ</t>
  </si>
  <si>
    <t>FBIZ</t>
  </si>
  <si>
    <t>FBNC</t>
  </si>
  <si>
    <t>FCBC</t>
  </si>
  <si>
    <t>FCF</t>
  </si>
  <si>
    <t>FFIC</t>
  </si>
  <si>
    <t>FFWM</t>
  </si>
  <si>
    <t>FISI</t>
  </si>
  <si>
    <t>FLIC</t>
  </si>
  <si>
    <t>FMAO</t>
  </si>
  <si>
    <t>FMBH</t>
  </si>
  <si>
    <t>FMNB</t>
  </si>
  <si>
    <t>FNLC</t>
  </si>
  <si>
    <t>FRBA</t>
  </si>
  <si>
    <t>FSBC</t>
  </si>
  <si>
    <t>FSBW</t>
  </si>
  <si>
    <t>GABC</t>
  </si>
  <si>
    <t>GCBC</t>
  </si>
  <si>
    <t>GNTY</t>
  </si>
  <si>
    <t>GSBC</t>
  </si>
  <si>
    <t>HAFC</t>
  </si>
  <si>
    <t>HBCP</t>
  </si>
  <si>
    <t>HBNC</t>
  </si>
  <si>
    <t>HBT</t>
  </si>
  <si>
    <t>HFWA</t>
  </si>
  <si>
    <t>HIFS</t>
  </si>
  <si>
    <t>HOPE</t>
  </si>
  <si>
    <t>HTB</t>
  </si>
  <si>
    <t>HTBK</t>
  </si>
  <si>
    <t>HTH</t>
  </si>
  <si>
    <t>IBCP</t>
  </si>
  <si>
    <t>KRNY</t>
  </si>
  <si>
    <t>LKFN</t>
  </si>
  <si>
    <t>LNKB</t>
  </si>
  <si>
    <t>LOB</t>
  </si>
  <si>
    <t>MBWM</t>
  </si>
  <si>
    <t>MCB</t>
  </si>
  <si>
    <t>MOFG</t>
  </si>
  <si>
    <t>MPB</t>
  </si>
  <si>
    <t>MSBI</t>
  </si>
  <si>
    <t>NBBK</t>
  </si>
  <si>
    <t>NBHC</t>
  </si>
  <si>
    <t>NECB</t>
  </si>
  <si>
    <t>NFBK</t>
  </si>
  <si>
    <t>NIC</t>
  </si>
  <si>
    <t>NPB</t>
  </si>
  <si>
    <t>NRIM</t>
  </si>
  <si>
    <t>NWBI</t>
  </si>
  <si>
    <t>OBK</t>
  </si>
  <si>
    <t>OBT</t>
  </si>
  <si>
    <t>OCFC</t>
  </si>
  <si>
    <t>OFG</t>
  </si>
  <si>
    <t>ORRF</t>
  </si>
  <si>
    <t>OSBC</t>
  </si>
  <si>
    <t>PBFS</t>
  </si>
  <si>
    <t>PDLB</t>
  </si>
  <si>
    <t>PEBO</t>
  </si>
  <si>
    <t>PFBC</t>
  </si>
  <si>
    <t>PFIS</t>
  </si>
  <si>
    <t>PGC</t>
  </si>
  <si>
    <t>PLBC</t>
  </si>
  <si>
    <t>QCRH</t>
  </si>
  <si>
    <t>RBB</t>
  </si>
  <si>
    <t>RBCAA</t>
  </si>
  <si>
    <t>SBSI</t>
  </si>
  <si>
    <t>SFST</t>
  </si>
  <si>
    <t>SHBI</t>
  </si>
  <si>
    <t>SMBC</t>
  </si>
  <si>
    <t>SMBK</t>
  </si>
  <si>
    <t>SPFI</t>
  </si>
  <si>
    <t>SRCE</t>
  </si>
  <si>
    <t>SSBK</t>
  </si>
  <si>
    <t>STBA</t>
  </si>
  <si>
    <t>STEL</t>
  </si>
  <si>
    <t>TCBK</t>
  </si>
  <si>
    <t>TCBX</t>
  </si>
  <si>
    <t>TFIN</t>
  </si>
  <si>
    <t>THFF</t>
  </si>
  <si>
    <t>TMP</t>
  </si>
  <si>
    <t>UNTY</t>
  </si>
  <si>
    <t>USCB</t>
  </si>
  <si>
    <t>UVSP</t>
  </si>
  <si>
    <t>VBNK</t>
  </si>
  <si>
    <t>VBTX</t>
  </si>
  <si>
    <t>WABC</t>
  </si>
  <si>
    <t>WASH</t>
  </si>
  <si>
    <t>WTBA</t>
  </si>
  <si>
    <t>NEWT</t>
  </si>
  <si>
    <t>CNNE</t>
  </si>
  <si>
    <t>CODI</t>
  </si>
  <si>
    <t>ACTG</t>
  </si>
  <si>
    <t>BLX</t>
  </si>
  <si>
    <t>AGM</t>
  </si>
  <si>
    <t>GHI</t>
  </si>
  <si>
    <t>GHLD</t>
  </si>
  <si>
    <t>MBIN</t>
  </si>
  <si>
    <t>ONIT</t>
  </si>
  <si>
    <t>RKT</t>
  </si>
  <si>
    <t>UWMC</t>
  </si>
  <si>
    <t>VEL</t>
  </si>
  <si>
    <t>CASS</t>
  </si>
  <si>
    <t>CTLP</t>
  </si>
  <si>
    <t>FLYW</t>
  </si>
  <si>
    <t>GB</t>
  </si>
  <si>
    <t>IMXI</t>
  </si>
  <si>
    <t>LSAK</t>
  </si>
  <si>
    <t>MQ</t>
  </si>
  <si>
    <t>PRTH</t>
  </si>
  <si>
    <t>PSFE</t>
  </si>
  <si>
    <t>RPAY</t>
  </si>
  <si>
    <t>SEZL</t>
  </si>
  <si>
    <t>ATLC</t>
  </si>
  <si>
    <t>DAVE</t>
  </si>
  <si>
    <t>ECPG</t>
  </si>
  <si>
    <t>EZPW</t>
  </si>
  <si>
    <t>GDOT</t>
  </si>
  <si>
    <t>JFIN</t>
  </si>
  <si>
    <t>LC</t>
  </si>
  <si>
    <t>LX</t>
  </si>
  <si>
    <t>NAVI</t>
  </si>
  <si>
    <t>NRDS</t>
  </si>
  <si>
    <t>OPFI</t>
  </si>
  <si>
    <t>PRAA</t>
  </si>
  <si>
    <t>PRG</t>
  </si>
  <si>
    <t>QD</t>
  </si>
  <si>
    <t>RM</t>
  </si>
  <si>
    <t>TREE</t>
  </si>
  <si>
    <t>WRLD</t>
  </si>
  <si>
    <t>XYF</t>
  </si>
  <si>
    <t>YRD</t>
  </si>
  <si>
    <t>AAMI</t>
  </si>
  <si>
    <t>AC</t>
  </si>
  <si>
    <t>BBDC</t>
  </si>
  <si>
    <t>BCSF</t>
  </si>
  <si>
    <t>BRDG</t>
  </si>
  <si>
    <t>CCAP</t>
  </si>
  <si>
    <t>CGBD</t>
  </si>
  <si>
    <t>CION</t>
  </si>
  <si>
    <t>CSWC</t>
  </si>
  <si>
    <t>CYFRF</t>
  </si>
  <si>
    <t>DBRG</t>
  </si>
  <si>
    <t>DHIL</t>
  </si>
  <si>
    <t>FDUS</t>
  </si>
  <si>
    <t>FRRPF</t>
  </si>
  <si>
    <t>GAIN</t>
  </si>
  <si>
    <t>GCMG</t>
  </si>
  <si>
    <t>GLAD</t>
  </si>
  <si>
    <t>GSBD</t>
  </si>
  <si>
    <t>HRZN</t>
  </si>
  <si>
    <t>MFIC</t>
  </si>
  <si>
    <t>MSIF</t>
  </si>
  <si>
    <t>NMFC</t>
  </si>
  <si>
    <t>NOAH</t>
  </si>
  <si>
    <t>OCSL</t>
  </si>
  <si>
    <t>PAX</t>
  </si>
  <si>
    <t>PFLT</t>
  </si>
  <si>
    <t>PNNT</t>
  </si>
  <si>
    <t>PSEC</t>
  </si>
  <si>
    <t>PX</t>
  </si>
  <si>
    <t>RWAY</t>
  </si>
  <si>
    <t>SAR</t>
  </si>
  <si>
    <t>SCM</t>
  </si>
  <si>
    <t>SII</t>
  </si>
  <si>
    <t>SLRC</t>
  </si>
  <si>
    <t>TCPC</t>
  </si>
  <si>
    <t>TRIN</t>
  </si>
  <si>
    <t>TSLX</t>
  </si>
  <si>
    <t>VINP</t>
  </si>
  <si>
    <t>VRTS</t>
  </si>
  <si>
    <t>WT</t>
  </si>
  <si>
    <t>OPY</t>
  </si>
  <si>
    <t>TIGR</t>
  </si>
  <si>
    <t>WTF</t>
  </si>
  <si>
    <t>CNCK</t>
  </si>
  <si>
    <t>DFIN</t>
  </si>
  <si>
    <t>VALU</t>
  </si>
  <si>
    <t>ABL</t>
  </si>
  <si>
    <t>HGTY</t>
  </si>
  <si>
    <t>HIPO</t>
  </si>
  <si>
    <t>SLQT</t>
  </si>
  <si>
    <t>TWFG</t>
  </si>
  <si>
    <t>WDH</t>
  </si>
  <si>
    <t>HMN</t>
  </si>
  <si>
    <t>ACIC</t>
  </si>
  <si>
    <t>AMBC</t>
  </si>
  <si>
    <t>AMSF</t>
  </si>
  <si>
    <t>BOW</t>
  </si>
  <si>
    <t>DGICA</t>
  </si>
  <si>
    <t>DGICB</t>
  </si>
  <si>
    <t>EIG</t>
  </si>
  <si>
    <t>FIHL</t>
  </si>
  <si>
    <t>GBLI</t>
  </si>
  <si>
    <t>HCI</t>
  </si>
  <si>
    <t>HG</t>
  </si>
  <si>
    <t>HRTG</t>
  </si>
  <si>
    <t>IGIC</t>
  </si>
  <si>
    <t>ITIC</t>
  </si>
  <si>
    <t>NODK</t>
  </si>
  <si>
    <t>PRA</t>
  </si>
  <si>
    <t>SAFT</t>
  </si>
  <si>
    <t>STC</t>
  </si>
  <si>
    <t>TIPT</t>
  </si>
  <si>
    <t>TRUP</t>
  </si>
  <si>
    <t>UFCS</t>
  </si>
  <si>
    <t>UVE</t>
  </si>
  <si>
    <t>GLRE</t>
  </si>
  <si>
    <t>ACRE</t>
  </si>
  <si>
    <t>ARI</t>
  </si>
  <si>
    <t>ARR</t>
  </si>
  <si>
    <t>BRSP</t>
  </si>
  <si>
    <t>CIM</t>
  </si>
  <si>
    <t>CMTG</t>
  </si>
  <si>
    <t>DX</t>
  </si>
  <si>
    <t>EFC</t>
  </si>
  <si>
    <t>FBRT</t>
  </si>
  <si>
    <t>IVR</t>
  </si>
  <si>
    <t>KREF</t>
  </si>
  <si>
    <t>LADR</t>
  </si>
  <si>
    <t>MFA</t>
  </si>
  <si>
    <t>NREF</t>
  </si>
  <si>
    <t>NYMT</t>
  </si>
  <si>
    <t>ORC</t>
  </si>
  <si>
    <t>PMT</t>
  </si>
  <si>
    <t>RC</t>
  </si>
  <si>
    <t>REFI</t>
  </si>
  <si>
    <t>RWT</t>
  </si>
  <si>
    <t>TRTX</t>
  </si>
  <si>
    <t>TWO</t>
  </si>
  <si>
    <t>None</t>
  </si>
  <si>
    <t>ETOR</t>
  </si>
  <si>
    <t>ELFIF</t>
  </si>
  <si>
    <t>CBCY</t>
  </si>
  <si>
    <t>IGIFF</t>
  </si>
  <si>
    <t>CIXXF</t>
  </si>
  <si>
    <t>DFYFF</t>
  </si>
  <si>
    <t>CRDIY</t>
  </si>
  <si>
    <t>KGTHY</t>
  </si>
  <si>
    <t>FFXDF</t>
  </si>
  <si>
    <t>GLXY</t>
  </si>
  <si>
    <t>EQGPF</t>
  </si>
  <si>
    <t>FRFHF</t>
  </si>
  <si>
    <t>ALIZY</t>
  </si>
  <si>
    <t>ADYEY</t>
  </si>
  <si>
    <t>IFCZF</t>
  </si>
  <si>
    <t>PWCDF</t>
  </si>
  <si>
    <t>WIZEY</t>
  </si>
  <si>
    <t>GWLIF</t>
  </si>
  <si>
    <t>NBGRY</t>
  </si>
  <si>
    <t>BOLSY</t>
  </si>
  <si>
    <t>AAVMY</t>
  </si>
  <si>
    <t>BKZHY</t>
  </si>
  <si>
    <t>AII</t>
  </si>
  <si>
    <t>ANTA</t>
  </si>
  <si>
    <t>DSBX</t>
  </si>
  <si>
    <t>SHGKY</t>
  </si>
  <si>
    <t>YB</t>
  </si>
  <si>
    <t>SVCTF</t>
  </si>
  <si>
    <t>LRCDF</t>
  </si>
  <si>
    <t>OPRT</t>
  </si>
  <si>
    <t>TPVG</t>
  </si>
  <si>
    <t>GBFH</t>
  </si>
  <si>
    <t>GCAAF</t>
  </si>
  <si>
    <t>AGFMF</t>
  </si>
  <si>
    <t>WRDLY</t>
  </si>
  <si>
    <t>AMIVF</t>
  </si>
  <si>
    <t>FNBT</t>
  </si>
  <si>
    <t>BRLGF</t>
  </si>
  <si>
    <t>ECNCF</t>
  </si>
  <si>
    <t>TRRSF</t>
  </si>
  <si>
    <t>KFS</t>
  </si>
  <si>
    <t>DFDV</t>
  </si>
  <si>
    <t>DEFT</t>
  </si>
  <si>
    <t>TBCRF</t>
  </si>
  <si>
    <t>MAMTF</t>
  </si>
  <si>
    <t>PRLPF</t>
  </si>
  <si>
    <t>INV</t>
  </si>
  <si>
    <t>LDI</t>
  </si>
  <si>
    <t>JRVR</t>
  </si>
  <si>
    <t>EHMEF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</si>
</sst>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26.62</v>
        <stp/>
        <stp>LAST</stp>
        <stp>AAVMY</stp>
        <tr r="D41" s="2"/>
      </tp>
      <tp>
        <v>17.920000000000002</v>
        <stp/>
        <stp>LAST</stp>
        <stp>VEL</stp>
        <tr r="D214" s="4"/>
      </tp>
      <tp>
        <v>72.739999999999995</v>
        <stp/>
        <stp>LAST</stp>
        <stp>WRB</stp>
        <tr r="D146" s="2"/>
      </tp>
      <tp>
        <v>301.17</v>
        <stp/>
        <stp>LAST</stp>
        <stp>WTW</stp>
        <tr r="D141" s="2"/>
      </tp>
      <tp>
        <v>6.19</v>
        <stp/>
        <stp>LAST</stp>
        <stp>WTF</stp>
        <tr r="D133" s="4"/>
      </tp>
      <tp>
        <v>1787.1</v>
        <stp/>
        <stp>LAST</stp>
        <stp>WTM</stp>
        <tr r="D150" s="3"/>
      </tp>
      <tp>
        <v>53.81</v>
        <stp/>
        <stp>LAST</stp>
        <stp>WBS</stp>
        <tr r="D11" s="3"/>
      </tp>
      <tp>
        <v>73.91</v>
        <stp/>
        <stp>LAST</stp>
        <stp>WAL</stp>
        <tr r="D74" s="3"/>
      </tp>
      <tp>
        <v>76.459999999999994</v>
        <stp/>
        <stp>LAST</stp>
        <stp>WFC</stp>
        <tr r="D14" s="2"/>
      </tp>
      <tp>
        <v>1.47</v>
        <stp/>
        <stp>LAST</stp>
        <stp>WDH</stp>
        <tr r="D262" s="4"/>
      </tp>
      <tp>
        <v>139</v>
        <stp/>
        <stp>LAST</stp>
        <stp>WEX</stp>
        <tr r="D142" s="3"/>
      </tp>
      <tp>
        <v>11.935</v>
        <stp/>
        <stp>LAST</stp>
        <stp>KGTHY</stp>
        <tr r="D121" s="3"/>
      </tp>
      <tp>
        <v>267.77999999999997</v>
        <stp/>
        <stp>LAST</stp>
        <stp>TRV</stp>
        <tr r="D124" s="2"/>
      </tp>
      <tp>
        <v>50.4</v>
        <stp/>
        <stp>LAST</stp>
        <stp>TPG</stp>
        <tr r="D95" s="3"/>
      </tp>
      <tp>
        <v>10.79</v>
        <stp/>
        <stp>LAST</stp>
        <stp>TWO</stp>
        <tr r="D270" s="4"/>
      </tp>
      <tp>
        <v>173.64</v>
        <stp/>
        <stp>LAST</stp>
        <stp>THG</stp>
        <tr r="D155" s="3"/>
      </tp>
      <tp>
        <v>62.3</v>
        <stp/>
        <stp>LAST</stp>
        <stp>TMP</stp>
        <tr r="D23" s="4"/>
      </tp>
      <tp>
        <v>40.450000000000003</v>
        <stp/>
        <stp>LAST</stp>
        <stp>TFC</stp>
        <tr r="D9" s="2"/>
      </tp>
      <tp>
        <v>44.87</v>
        <stp/>
        <stp>LAST</stp>
        <stp>USB</stp>
        <tr r="D7" s="2"/>
      </tp>
      <tp>
        <v>26.89</v>
        <stp/>
        <stp>LAST</stp>
        <stp>UVE</stp>
        <tr r="D244" s="4"/>
      </tp>
      <tp>
        <v>80.45</v>
        <stp/>
        <stp>LAST</stp>
        <stp>UNM</stp>
        <tr r="D148" s="2"/>
      </tp>
      <tp>
        <v>32.93</v>
        <stp/>
        <stp>LAST</stp>
        <stp>UBS</stp>
        <tr r="D66" s="2"/>
      </tp>
      <tp>
        <v>29.49</v>
        <stp/>
        <stp>LAST</stp>
        <stp>UCB</stp>
        <tr r="D46" s="3"/>
      </tp>
      <tp>
        <v>29.57</v>
        <stp/>
        <stp>LAST</stp>
        <stp>TRRSF</stp>
        <tr r="D263" s="4"/>
      </tp>
      <tp>
        <v>4.26</v>
        <stp/>
        <stp>LAST</stp>
        <stp>FRRPF</stp>
        <tr r="D160" s="4"/>
      </tp>
      <tp>
        <v>5.68</v>
        <stp/>
        <stp>LAST</stp>
        <stp>RWT</stp>
        <tr r="D291" s="4"/>
      </tp>
      <tp>
        <v>146.96</v>
        <stp/>
        <stp>LAST</stp>
        <stp>RJF</stp>
        <tr r="D67" s="2"/>
      </tp>
      <tp>
        <v>12.75</v>
        <stp/>
        <stp>LAST</stp>
        <stp>RKT</stp>
        <tr r="D230" s="4"/>
      </tp>
      <tp>
        <v>243.88</v>
        <stp/>
        <stp>LAST</stp>
        <stp>RNR</stp>
        <tr r="D122" s="2"/>
      </tp>
      <tp>
        <v>73.83</v>
        <stp/>
        <stp>LAST</stp>
        <stp>RLI</stp>
        <tr r="D164" s="3"/>
      </tp>
      <tp>
        <v>17.38</v>
        <stp/>
        <stp>LAST</stp>
        <stp>RBB</stp>
        <tr r="D58" s="4"/>
      </tp>
      <tp>
        <v>203.2</v>
        <stp/>
        <stp>LAST</stp>
        <stp>RGA</stp>
        <tr r="D121" s="2"/>
      </tp>
      <tp>
        <v>33.409999999999997</v>
        <stp/>
        <stp>LAST</stp>
        <stp>RDN</stp>
        <tr r="D146" s="3"/>
      </tp>
      <tp>
        <v>60.83</v>
        <stp/>
        <stp>LAST</stp>
        <stp>SYF</stp>
        <tr r="D96" s="2"/>
      </tp>
      <tp>
        <v>90.5</v>
        <stp/>
        <stp>LAST</stp>
        <stp>SSB</stp>
        <tr r="D64" s="3"/>
      </tp>
      <tp>
        <v>98.86</v>
        <stp/>
        <stp>LAST</stp>
        <stp>STT</stp>
        <tr r="D93" s="2"/>
      </tp>
      <tp>
        <v>61.61</v>
        <stp/>
        <stp>LAST</stp>
        <stp>STC</stp>
        <tr r="D248" s="4"/>
      </tp>
      <tp>
        <v>44.28</v>
        <stp/>
        <stp>LAST</stp>
        <stp>SHG</stp>
        <tr r="D38" s="2"/>
      </tp>
      <tp>
        <v>62.4</v>
        <stp/>
        <stp>LAST</stp>
        <stp>SII</stp>
        <tr r="D149" s="4"/>
      </tp>
      <tp>
        <v>49.17</v>
        <stp/>
        <stp>LAST</stp>
        <stp>SNV</stp>
        <tr r="D21" s="3"/>
      </tp>
      <tp>
        <v>65.06</v>
        <stp/>
        <stp>LAST</stp>
        <stp>SLF</stp>
        <tr r="D149" s="2"/>
      </tp>
      <tp>
        <v>31.84</v>
        <stp/>
        <stp>LAST</stp>
        <stp>SLM</stp>
        <tr r="D122" s="3"/>
      </tp>
      <tp>
        <v>13.55</v>
        <stp/>
        <stp>LAST</stp>
        <stp>SCM</stp>
        <tr r="D178" s="4"/>
      </tp>
      <tp>
        <v>24.13</v>
        <stp/>
        <stp>LAST</stp>
        <stp>SAR</stp>
        <tr r="D135" s="4"/>
      </tp>
      <tp>
        <v>8.01</v>
        <stp/>
        <stp>LAST</stp>
        <stp>SAN</stp>
        <tr r="D23" s="2"/>
      </tp>
      <tp>
        <v>105.82</v>
        <stp/>
        <stp>LAST</stp>
        <stp>PRU</stp>
        <tr r="D155" s="2"/>
      </tp>
      <tp>
        <v>29.55</v>
        <stp/>
        <stp>LAST</stp>
        <stp>PRG</stp>
        <tr r="D191" s="4"/>
      </tp>
      <tp>
        <v>23.1</v>
        <stp/>
        <stp>LAST</stp>
        <stp>PRA</stp>
        <tr r="D265" s="4"/>
      </tp>
      <tp>
        <v>162.6</v>
        <stp/>
        <stp>LAST</stp>
        <stp>PRK</stp>
        <tr r="D5" s="3"/>
      </tp>
      <tp>
        <v>262.23</v>
        <stp/>
        <stp>LAST</stp>
        <stp>PRI</stp>
        <tr r="D154" s="3"/>
      </tp>
      <tp>
        <v>23.86</v>
        <stp/>
        <stp>LAST</stp>
        <stp>PUK</stp>
        <tr r="D156" s="2"/>
      </tp>
      <tp>
        <v>155.18</v>
        <stp/>
        <stp>LAST</stp>
        <stp>PJT</stp>
        <tr r="D77" s="3"/>
      </tp>
      <tp>
        <v>178.74</v>
        <stp/>
        <stp>LAST</stp>
        <stp>PNC</stp>
        <tr r="D4" s="2"/>
      </tp>
      <tp>
        <v>12.51</v>
        <stp/>
        <stp>LAST</stp>
        <stp>PMT</stp>
        <tr r="D290" s="4"/>
      </tp>
      <tp>
        <v>13.47</v>
        <stp/>
        <stp>LAST</stp>
        <stp>PAX</stp>
        <tr r="D99" s="3"/>
      </tp>
      <tp>
        <v>36.18</v>
        <stp/>
        <stp>LAST</stp>
        <stp>PAY</stp>
        <tr r="D137" s="3"/>
      </tp>
      <tp>
        <v>16.87</v>
        <stp/>
        <stp>LAST</stp>
        <stp>PFS</stp>
        <tr r="D32" s="3"/>
      </tp>
      <tp>
        <v>76.84</v>
        <stp/>
        <stp>LAST</stp>
        <stp>PFG</stp>
        <tr r="D131" s="2"/>
      </tp>
      <tp>
        <v>271.31</v>
        <stp/>
        <stp>LAST</stp>
        <stp>PGR</stp>
        <tr r="D128" s="2"/>
      </tp>
      <tp>
        <v>28.01</v>
        <stp/>
        <stp>LAST</stp>
        <stp>PGC</stp>
        <tr r="D95" s="4"/>
      </tp>
      <tp>
        <v>15.32</v>
        <stp/>
        <stp>LAST</stp>
        <stp>WIZEY</stp>
        <tr r="D110" s="2"/>
      </tp>
      <tp>
        <v>27.28</v>
        <stp/>
        <stp>LAST</stp>
        <stp>BKZHY</stp>
        <tr r="D47" s="2"/>
      </tp>
      <tp>
        <v>40.44</v>
        <stp/>
        <stp>LAST</stp>
        <stp>TMXXF</stp>
        <tr r="D80" s="2"/>
      </tp>
      <tp>
        <v>23.02</v>
        <stp/>
        <stp>LAST</stp>
        <stp>CIXXF</stp>
        <tr r="D96" s="3"/>
      </tp>
      <tp>
        <v>17.819500000000001</v>
        <stp/>
        <stp>LAST</stp>
        <stp>FFXDF</stp>
        <tr r="D103" s="3"/>
      </tp>
      <tp>
        <v>37.32</v>
        <stp/>
        <stp>LAST</stp>
        <stp>HCXLY</stp>
        <tr r="D176" s="3"/>
      </tp>
      <tp>
        <v>65.84</v>
        <stp/>
        <stp>LAST</stp>
        <stp>XYZ</stp>
        <tr r="D114" s="2"/>
      </tp>
      <tp>
        <v>18.52</v>
        <stp/>
        <stp>LAST</stp>
        <stp>XYF</stp>
        <tr r="D192" s="4"/>
      </tp>
      <tp>
        <v>53.68</v>
        <stp/>
        <stp>LAST</stp>
        <stp>DFYFF</stp>
        <tr r="D173" s="3"/>
      </tp>
      <tp>
        <v>19.41</v>
        <stp/>
        <stp>LAST</stp>
        <stp>ADYEY</stp>
        <tr r="D101" s="2"/>
      </tp>
      <tp>
        <v>7.43</v>
        <stp/>
        <stp>LAST</stp>
        <stp>YRD</stp>
        <tr r="D195" s="4"/>
      </tp>
      <tp>
        <v>1.97</v>
        <stp/>
        <stp>LAST</stp>
        <stp>CYFRF</stp>
        <tr r="D170" s="4"/>
      </tp>
      <tp>
        <v>1656.81</v>
        <stp/>
        <stp>LAST</stp>
        <stp>FRFHF</stp>
        <tr r="D119" s="2"/>
      </tp>
      <tp>
        <v>11.63</v>
        <stp/>
        <stp>LAST</stp>
        <stp>ELFIF</stp>
        <tr r="D151" s="3"/>
      </tp>
      <tp>
        <v>8.84</v>
        <stp/>
        <stp>LAST</stp>
        <stp>AGFMF</stp>
        <tr r="D155" s="4"/>
      </tp>
      <tp>
        <v>21.41</v>
        <stp/>
        <stp>LAST</stp>
        <stp>FSK</stp>
        <tr r="D91" s="3"/>
      </tp>
      <tp>
        <v>24.17</v>
        <stp/>
        <stp>LAST</stp>
        <stp>FHB</stp>
        <tr r="D52" s="3"/>
      </tp>
      <tp>
        <v>20.260000000000002</v>
        <stp/>
        <stp>LAST</stp>
        <stp>FHN</stp>
        <tr r="D12" s="2"/>
      </tp>
      <tp>
        <v>42.06</v>
        <stp/>
        <stp>LAST</stp>
        <stp>FHI</stp>
        <tr r="D90" s="3"/>
      </tp>
      <tp>
        <v>81.69</v>
        <stp/>
        <stp>LAST</stp>
        <stp>FIS</stp>
        <tr r="D112" s="2"/>
      </tp>
      <tp>
        <v>54.84</v>
        <stp/>
        <stp>LAST</stp>
        <stp>FNF</stp>
        <tr r="D130" s="2"/>
      </tp>
      <tp>
        <v>14.1</v>
        <stp/>
        <stp>LAST</stp>
        <stp>FNB</stp>
        <tr r="D63" s="3"/>
      </tp>
      <tp>
        <v>11.85</v>
        <stp/>
        <stp>LAST</stp>
        <stp>FLG</stp>
        <tr r="D38" s="3"/>
      </tp>
      <tp>
        <v>20.260000000000002</v>
        <stp/>
        <stp>LAST</stp>
        <stp>FBP</stp>
        <tr r="D48" s="3"/>
      </tp>
      <tp>
        <v>43.79</v>
        <stp/>
        <stp>LAST</stp>
        <stp>FBK</stp>
        <tr r="D103" s="4"/>
      </tp>
      <tp>
        <v>15.88</v>
        <stp/>
        <stp>LAST</stp>
        <stp>FCF</stp>
        <tr r="D113" s="4"/>
      </tp>
      <tp>
        <v>56.32</v>
        <stp/>
        <stp>LAST</stp>
        <stp>FAF</stp>
        <tr r="D166" s="3"/>
      </tp>
      <tp>
        <v>426.76</v>
        <stp/>
        <stp>LAST</stp>
        <stp>FDS</stp>
        <tr r="D58" s="2"/>
      </tp>
      <tp>
        <v>13.9</v>
        <stp/>
        <stp>LAST</stp>
        <stp>NBGRY</stp>
        <tr r="D18" s="2"/>
      </tp>
      <tp>
        <v>67.75</v>
        <stp/>
        <stp>LAST</stp>
        <stp>EQGPF</stp>
        <tr r="D73" s="3"/>
      </tp>
      <tp>
        <v>1.39</v>
        <stp/>
        <stp>LAST</stp>
        <stp>SHGKY</stp>
        <tr r="D184" s="4"/>
      </tp>
      <tp>
        <v>78.95</v>
        <stp/>
        <stp>LAST</stp>
        <stp>GPN</stp>
        <tr r="D104" s="2"/>
      </tp>
      <tp>
        <v>11.88</v>
        <stp/>
        <stp>LAST</stp>
        <stp>GHI</stp>
        <tr r="D211" s="4"/>
      </tp>
      <tp>
        <v>6.91</v>
        <stp/>
        <stp>LAST</stp>
        <stp>GNW</stp>
        <tr r="D175" s="3"/>
      </tp>
      <tp>
        <v>18.357500000000002</v>
        <stp/>
        <stp>LAST</stp>
        <stp>CRDIY</stp>
        <tr r="D67" s="3"/>
      </tp>
      <tp>
        <v>2.84</v>
        <stp/>
        <stp>LAST</stp>
        <stp>WRDLY</stp>
        <tr r="D210" s="4"/>
      </tp>
      <tp>
        <v>10.56</v>
        <stp/>
        <stp>LAST</stp>
        <stp>DLO</stp>
        <tr r="D141" s="3"/>
      </tp>
      <tp>
        <v>79</v>
        <stp/>
        <stp>LAST</stp>
        <stp>ONEXF</stp>
        <tr r="D94" s="3"/>
      </tp>
      <tp>
        <v>90.48</v>
        <stp/>
        <stp>LAST</stp>
        <stp>ESQ</stp>
        <tr r="D35" s="4"/>
      </tp>
      <tp>
        <v>54.58</v>
        <stp/>
        <stp>LAST</stp>
        <stp>EQH</stp>
        <tr r="D108" s="2"/>
      </tp>
      <tp>
        <v>247.66</v>
        <stp/>
        <stp>LAST</stp>
        <stp>EVR</stp>
        <tr r="D78" s="3"/>
      </tp>
      <tp>
        <v>47.09</v>
        <stp/>
        <stp>LAST</stp>
        <stp>EIG</stp>
        <tr r="D247" s="4"/>
      </tp>
      <tp>
        <v>15.12</v>
        <stp/>
        <stp>LAST</stp>
        <stp>EBC</stp>
        <tr r="D58" s="3"/>
      </tp>
      <tp>
        <v>12.77</v>
        <stp/>
        <stp>LAST</stp>
        <stp>EFC</stp>
        <tr r="D289" s="4"/>
      </tp>
      <tp>
        <v>31.97</v>
        <stp/>
        <stp>LAST</stp>
        <stp>SCBFY</stp>
        <tr r="D37" s="2"/>
      </tp>
      <tp>
        <v>107.86</v>
        <stp/>
        <stp>LAST</stp>
        <stp>BRO</stp>
        <tr r="D151" s="2"/>
      </tp>
      <tp>
        <v>15.16</v>
        <stp/>
        <stp>LAST</stp>
        <stp>BWB</stp>
        <tr r="D109" s="4"/>
      </tp>
      <tp>
        <v>13.24</v>
        <stp/>
        <stp>LAST</stp>
        <stp>BUR</stp>
        <tr r="D135" s="3"/>
      </tp>
      <tp>
        <v>34.840000000000003</v>
        <stp/>
        <stp>LAST</stp>
        <stp>BKU</stp>
        <tr r="D22" s="3"/>
      </tp>
      <tp>
        <v>58.89</v>
        <stp/>
        <stp>LAST</stp>
        <stp>BHF</stp>
        <tr r="D169" s="3"/>
      </tp>
      <tp>
        <v>29.28</v>
        <stp/>
        <stp>LAST</stp>
        <stp>BHB</stp>
        <tr r="D76" s="4"/>
      </tp>
      <tp>
        <v>58.54</v>
        <stp/>
        <stp>LAST</stp>
        <stp>BNT</stp>
        <tr r="D132" s="2"/>
      </tp>
      <tp>
        <v>54.07</v>
        <stp/>
        <stp>LAST</stp>
        <stp>BNS</stp>
        <tr r="D6" s="2"/>
      </tp>
      <tp>
        <v>35.31</v>
        <stp/>
        <stp>LAST</stp>
        <stp>BOW</stp>
        <tr r="D243" s="4"/>
      </tp>
      <tp>
        <v>67.680000000000007</v>
        <stp/>
        <stp>LAST</stp>
        <stp>BOH</stp>
        <tr r="D44" s="3"/>
      </tp>
      <tp>
        <v>41.43</v>
        <stp/>
        <stp>LAST</stp>
        <stp>BLX</stp>
        <tr r="D234" s="4"/>
      </tp>
      <tp>
        <v>988.84</v>
        <stp/>
        <stp>LAST</stp>
        <stp>BLK</stp>
        <tr r="D54" s="2"/>
      </tp>
      <tp>
        <v>75.83</v>
        <stp/>
        <stp>LAST</stp>
        <stp>BMA</stp>
        <tr r="D60" s="3"/>
      </tp>
      <tp>
        <v>108.05</v>
        <stp/>
        <stp>LAST</stp>
        <stp>BMO</stp>
        <tr r="D36" s="2"/>
      </tp>
      <tp>
        <v>2.87</v>
        <stp/>
        <stp>LAST</stp>
        <stp>BBD</stp>
        <tr r="D31" s="2"/>
      </tp>
      <tp>
        <v>18.13</v>
        <stp/>
        <stp>LAST</stp>
        <stp>BCS</stp>
        <tr r="D25" s="2"/>
      </tp>
      <tp>
        <v>30.19</v>
        <stp/>
        <stp>LAST</stp>
        <stp>BCH</stp>
        <tr r="D20" s="2"/>
      </tp>
      <tp>
        <v>213.4</v>
        <stp/>
        <stp>LAST</stp>
        <stp>BAP</stp>
        <tr r="D19" s="2"/>
      </tp>
      <tp>
        <v>44.87</v>
        <stp/>
        <stp>LAST</stp>
        <stp>BAC</stp>
        <tr r="D17" s="2"/>
      </tp>
      <tp>
        <v>55.05</v>
        <stp/>
        <stp>LAST</stp>
        <stp>BAM</stp>
        <tr r="D83" s="2"/>
      </tp>
      <tp>
        <v>114.92</v>
        <stp/>
        <stp>LAST</stp>
        <stp>BFC</stp>
        <tr r="D21" s="4"/>
      </tp>
      <tp>
        <v>51.21</v>
        <stp/>
        <stp>LAST</stp>
        <stp>BFH</stp>
        <tr r="D112" s="3"/>
      </tp>
      <tp>
        <v>9.7799999999999994</v>
        <stp/>
        <stp>LAST</stp>
        <stp>BGC</stp>
        <tr r="D101" s="3"/>
      </tp>
      <tp>
        <v>21.88</v>
        <stp/>
        <stp>LAST</stp>
        <stp>BEN</stp>
        <tr r="D81" s="2"/>
      </tp>
      <tp>
        <v>5.4249999999999998</v>
        <stp/>
        <stp>LAST</stp>
        <stp>TBCRF</stp>
        <tr r="D223" s="4"/>
      </tp>
      <tp>
        <v>229.5</v>
        <stp/>
        <stp>LAST</stp>
        <stp>SVCTF</stp>
        <tr r="D134" s="4"/>
      </tp>
      <tp>
        <v>225.12</v>
        <stp/>
        <stp>LAST</stp>
        <stp>IFCZF</stp>
        <tr r="D139" s="2"/>
      </tp>
      <tp>
        <v>69.64</v>
        <stp/>
        <stp>LAST</stp>
        <stp>RBCAA</stp>
        <tr r="D13" s="4"/>
      </tp>
      <tp>
        <v>38.130000000000003</v>
        <stp/>
        <stp>LAST</stp>
        <stp>PWCDF</stp>
        <tr r="D150" s="2"/>
      </tp>
      <tp>
        <v>21.777999999999999</v>
        <stp/>
        <stp>LAST</stp>
        <stp>LRCDF</stp>
        <tr r="D3" s="4"/>
      </tp>
      <tp>
        <v>27.07</v>
        <stp/>
        <stp>LAST</stp>
        <stp>CPF</stp>
        <tr r="D74" s="4"/>
      </tp>
      <tp>
        <v>41.99</v>
        <stp/>
        <stp>LAST</stp>
        <stp>CIB</stp>
        <tr r="D2" s="3"/>
      </tp>
      <tp>
        <v>13.75</v>
        <stp/>
        <stp>LAST</stp>
        <stp>CIM</stp>
        <tr r="D278" s="4"/>
      </tp>
      <tp>
        <v>76.98</v>
        <stp/>
        <stp>LAST</stp>
        <stp>CNS</stp>
        <tr r="D105" s="3"/>
      </tp>
      <tp>
        <v>46.53</v>
        <stp/>
        <stp>LAST</stp>
        <stp>CNA</stp>
        <tr r="D145" s="2"/>
      </tp>
      <tp>
        <v>38.17</v>
        <stp/>
        <stp>LAST</stp>
        <stp>CNO</stp>
        <tr r="D163" s="3"/>
      </tp>
      <tp>
        <v>198.99</v>
        <stp/>
        <stp>LAST</stp>
        <stp>COF</stp>
        <tr r="D95" s="2"/>
      </tp>
      <tp>
        <v>268.35000000000002</v>
        <stp/>
        <stp>LAST</stp>
        <stp>CME</stp>
        <tr r="D63" s="2"/>
      </tp>
      <tp>
        <v>58.56</v>
        <stp/>
        <stp>LAST</stp>
        <stp>CMA</stp>
        <tr r="D13" s="3"/>
      </tp>
      <tp>
        <v>57.27</v>
        <stp/>
        <stp>LAST</stp>
        <stp>CBU</stp>
        <tr r="D34" s="3"/>
      </tp>
      <tp>
        <v>89.44</v>
        <stp/>
        <stp>LAST</stp>
        <stp>CCB</stp>
        <tr r="D5" s="4"/>
      </tp>
      <tp>
        <v>39.770000000000003</v>
        <stp/>
        <stp>LAST</stp>
        <stp>CAC</stp>
        <tr r="D81" s="4"/>
      </tp>
      <tp>
        <v>128.63999999999999</v>
        <stp/>
        <stp>LAST</stp>
        <stp>CFR</stp>
        <tr r="D62" s="3"/>
      </tp>
      <tp>
        <v>41.35</v>
        <stp/>
        <stp>LAST</stp>
        <stp>CFG</stp>
        <tr r="D11" s="2"/>
      </tp>
      <tp>
        <v>30.399899999999999</v>
        <stp/>
        <stp>LAST</stp>
        <stp>GCAAF</stp>
        <tr r="D151" s="4"/>
      </tp>
      <tp>
        <v>104.04</v>
        <stp/>
        <stp>LAST</stp>
        <stp>AXS</stp>
        <tr r="D156" s="3"/>
      </tp>
      <tp>
        <v>301.56</v>
        <stp/>
        <stp>LAST</stp>
        <stp>AXP</stp>
        <tr r="D97" s="2"/>
      </tp>
      <tp>
        <v>16.579999999999998</v>
        <stp/>
        <stp>LAST</stp>
        <stp>ARR</stp>
        <tr r="D269" s="4"/>
      </tp>
      <tp>
        <v>10.029999999999999</v>
        <stp/>
        <stp>LAST</stp>
        <stp>ARI</stp>
        <tr r="D276" s="4"/>
      </tp>
      <tp>
        <v>23.65</v>
        <stp/>
        <stp>LAST</stp>
        <stp>ASB</stp>
        <tr r="D39" s="3"/>
      </tp>
      <tp>
        <v>133.51</v>
        <stp/>
        <stp>LAST</stp>
        <stp>APO</stp>
        <tr r="D107" s="2"/>
      </tp>
      <tp>
        <v>317.83</v>
        <stp/>
        <stp>LAST</stp>
        <stp>AJG</stp>
        <tr r="D143" s="2"/>
      </tp>
      <tp>
        <v>198.68</v>
        <stp/>
        <stp>LAST</stp>
        <stp>AIZ</stp>
        <tr r="D127" s="2"/>
      </tp>
      <tp>
        <v>85.18</v>
        <stp/>
        <stp>LAST</stp>
        <stp>AIG</stp>
        <tr r="D153" s="2"/>
      </tp>
      <tp>
        <v>17</v>
        <stp/>
        <stp>LAST</stp>
        <stp>AII</stp>
        <tr r="D236" s="4"/>
      </tp>
      <tp>
        <v>353.83</v>
        <stp/>
        <stp>LAST</stp>
        <stp>AON</stp>
        <tr r="D140" s="2"/>
      </tp>
      <tp>
        <v>200.77</v>
        <stp/>
        <stp>LAST</stp>
        <stp>ALL</stp>
        <tr r="D126" s="2"/>
      </tp>
      <tp>
        <v>518.09</v>
        <stp/>
        <stp>LAST</stp>
        <stp>AMP</stp>
        <tr r="D52" s="2"/>
      </tp>
      <tp>
        <v>182.85</v>
        <stp/>
        <stp>LAST</stp>
        <stp>AMG</stp>
        <tr r="D76" s="3"/>
      </tp>
      <tp>
        <v>10.42</v>
        <stp/>
        <stp>LAST</stp>
        <stp>ABR</stp>
        <tr r="D274" s="4"/>
      </tp>
      <tp>
        <v>6.18</v>
        <stp/>
        <stp>LAST</stp>
        <stp>ABL</stp>
        <tr r="D267" s="4"/>
      </tp>
      <tp>
        <v>34.25</v>
        <stp/>
        <stp>LAST</stp>
        <stp>ACT</stp>
        <tr r="D129" s="3"/>
      </tp>
      <tp>
        <v>124.62</v>
        <stp/>
        <stp>LAST</stp>
        <stp>AFG</stp>
        <tr r="D136" s="2"/>
      </tp>
      <tp>
        <v>102.51</v>
        <stp/>
        <stp>LAST</stp>
        <stp>AFL</stp>
        <tr r="D152" s="2"/>
      </tp>
      <tp>
        <v>83.97</v>
        <stp/>
        <stp>LAST</stp>
        <stp>AGO</stp>
        <tr r="D170" s="3"/>
      </tp>
      <tp>
        <v>191.34</v>
        <stp/>
        <stp>LAST</stp>
        <stp>AGM</stp>
        <tr r="D124" s="3"/>
      </tp>
      <tp>
        <v>7.26</v>
        <stp/>
        <stp>LAST</stp>
        <stp>AEG</stp>
        <tr r="D157" s="2"/>
      </tp>
      <tp>
        <v>1831.72</v>
        <stp/>
        <stp>LAST</stp>
        <stp>FCNCA</stp>
        <tr r="D2" s="2"/>
      </tp>
      <tp>
        <v>1.8943000000000001</v>
        <stp/>
        <stp>LAST</stp>
        <stp>ECNCF</stp>
        <tr r="D219" s="4"/>
      </tp>
      <tp>
        <v>13.23</v>
        <stp/>
        <stp>LAST</stp>
        <stp>NPB</stp>
        <tr r="D31" s="4"/>
      </tp>
      <tp>
        <v>14.27</v>
        <stp/>
        <stp>LAST</stp>
        <stp>NWG</stp>
        <tr r="D28" s="2"/>
      </tp>
      <tp>
        <v>43.23</v>
        <stp/>
        <stp>LAST</stp>
        <stp>NTB</stp>
        <tr r="D22" s="4"/>
      </tp>
      <tp>
        <v>118.05</v>
        <stp/>
        <stp>LAST</stp>
        <stp>NIC</stp>
        <tr r="D9" s="4"/>
      </tp>
      <tp>
        <v>114.76</v>
        <stp/>
        <stp>LAST</stp>
        <stp>NNI</stp>
        <tr r="D114" s="3"/>
      </tp>
      <tp>
        <v>19.190000000000001</v>
        <stp/>
        <stp>LAST</stp>
        <stp>NLY</stp>
        <tr r="D158" s="2"/>
      </tp>
      <tp>
        <v>6.22</v>
        <stp/>
        <stp>LAST</stp>
        <stp>NMR</stp>
        <tr r="D86" s="2"/>
      </tp>
      <tp>
        <v>46</v>
        <stp/>
        <stp>LAST</stp>
        <stp>OZK</stp>
        <tr r="D17" s="3"/>
      </tp>
      <tp>
        <v>7.03</v>
        <stp/>
        <stp>LAST</stp>
        <stp>ORC</stp>
        <tr r="D284" s="4"/>
      </tp>
      <tp>
        <v>36.700000000000003</v>
        <stp/>
        <stp>LAST</stp>
        <stp>ORI</stp>
        <tr r="D167" s="3"/>
      </tp>
      <tp>
        <v>63.07</v>
        <stp/>
        <stp>LAST</stp>
        <stp>OPY</stp>
        <tr r="D182" s="4"/>
      </tp>
      <tp>
        <v>19.190000000000001</v>
        <stp/>
        <stp>LAST</stp>
        <stp>OWL</stp>
        <tr r="D79" s="2"/>
      </tp>
      <tp>
        <v>21.34</v>
        <stp/>
        <stp>LAST</stp>
        <stp>ONB</stp>
        <tr r="D55" s="3"/>
      </tp>
      <tp>
        <v>52.87</v>
        <stp/>
        <stp>LAST</stp>
        <stp>OMF</stp>
        <tr r="D113" s="3"/>
      </tp>
      <tp>
        <v>24.65</v>
        <stp/>
        <stp>LAST</stp>
        <stp>OBT</stp>
        <tr r="D67" s="4"/>
      </tp>
      <tp>
        <v>34.94</v>
        <stp/>
        <stp>LAST</stp>
        <stp>OBK</stp>
        <tr r="D53" s="4"/>
      </tp>
      <tp>
        <v>41.8</v>
        <stp/>
        <stp>LAST</stp>
        <stp>OFG</stp>
        <tr r="D30" s="4"/>
      </tp>
      <tp>
        <v>7.11</v>
        <stp/>
        <stp>LAST</stp>
        <stp>BOLSY</stp>
        <tr r="D84" s="2"/>
      </tp>
      <tp>
        <v>24.651399999999999</v>
        <stp/>
        <stp>LAST</stp>
        <stp>PRLPF</stp>
        <tr r="D203" s="4"/>
      </tp>
      <tp>
        <v>6.77</v>
        <stp/>
        <stp>LAST</stp>
        <stp>BRLGF</stp>
        <tr r="D216" s="4"/>
      </tp>
      <tp>
        <v>37.6</v>
        <stp/>
        <stp>LAST</stp>
        <stp>GWLIF</stp>
        <tr r="D154" s="2"/>
      </tp>
      <tp>
        <v>4.2</v>
        <stp/>
        <stp>LAST</stp>
        <stp>LYG</stp>
        <tr r="D24" s="2"/>
      </tp>
      <tp>
        <v>33.450000000000003</v>
        <stp/>
        <stp>LAST</stp>
        <stp>LNC</stp>
        <tr r="D180" s="3"/>
      </tp>
      <tp>
        <v>28.56</v>
        <stp/>
        <stp>LAST</stp>
        <stp>LOB</stp>
        <tr r="D7" s="4"/>
      </tp>
      <tp>
        <v>43.94</v>
        <stp/>
        <stp>LAST</stp>
        <stp>LAZ</stp>
        <tr r="D85" s="3"/>
      </tp>
      <tp>
        <v>1.3</v>
        <stp/>
        <stp>LAST</stp>
        <stp>LDI</stp>
        <tr r="D227" s="4"/>
      </tp>
      <tp>
        <v>14.19</v>
        <stp/>
        <stp>LAST</stp>
        <stp>MAMTF</stp>
        <tr r="D224" s="4"/>
      </tp>
      <tp>
        <v>112.13</v>
        <stp/>
        <stp>LAST</stp>
        <stp>EHMEF</stp>
        <tr r="D206" s="4"/>
      </tp>
      <tp>
        <v>40.69</v>
        <stp/>
        <stp>LAST</stp>
        <stp>MRX</stp>
        <tr r="D80" s="3"/>
      </tp>
      <tp>
        <v>26.64</v>
        <stp/>
        <stp>LAST</stp>
        <stp>MPB</stp>
        <tr r="D87" s="4"/>
      </tp>
      <tp>
        <v>26.05</v>
        <stp/>
        <stp>LAST</stp>
        <stp>MTG</stp>
        <tr r="D131" s="3"/>
      </tp>
      <tp>
        <v>184.29</v>
        <stp/>
        <stp>LAST</stp>
        <stp>MTB</stp>
        <tr r="D3" s="2"/>
      </tp>
      <tp>
        <v>1943.58</v>
        <stp/>
        <stp>LAST</stp>
        <stp>MKL</stp>
        <tr r="D118" s="2"/>
      </tp>
      <tp>
        <v>222.52</v>
        <stp/>
        <stp>LAST</stp>
        <stp>MMC</stp>
        <tr r="D147" s="2"/>
      </tp>
      <tp>
        <v>65.63</v>
        <stp/>
        <stp>LAST</stp>
        <stp>MCY</stp>
        <tr r="D158" s="3"/>
      </tp>
      <tp>
        <v>65.38</v>
        <stp/>
        <stp>LAST</stp>
        <stp>MCB</stp>
        <tr r="D8" s="4"/>
      </tp>
      <tp>
        <v>485.55</v>
        <stp/>
        <stp>LAST</stp>
        <stp>MCO</stp>
        <tr r="D60" s="2"/>
      </tp>
      <tp>
        <v>5.61</v>
        <stp/>
        <stp>LAST</stp>
        <stp>MFG</stp>
        <tr r="D42" s="2"/>
      </tp>
      <tp>
        <v>32.33</v>
        <stp/>
        <stp>LAST</stp>
        <stp>MFC</stp>
        <tr r="D142" s="2"/>
      </tp>
      <tp>
        <v>9.5500000000000007</v>
        <stp/>
        <stp>LAST</stp>
        <stp>MFA</stp>
        <tr r="D281" s="4"/>
      </tp>
      <tp>
        <v>79.62</v>
        <stp/>
        <stp>LAST</stp>
        <stp>MET</stp>
        <tr r="D129" s="2"/>
      </tp>
      <tp>
        <v>83.03</v>
        <stp/>
        <stp>LAST</stp>
        <stp>JXN</stp>
        <tr r="D123" s="3"/>
      </tp>
      <tp>
        <v>266.74</v>
        <stp/>
        <stp>LAST</stp>
        <stp>JPM</stp>
        <tr r="D49" s="2"/>
      </tp>
      <tp>
        <v>36.78</v>
        <stp/>
        <stp>LAST</stp>
        <stp>JHG</stp>
        <tr r="D89" s="3"/>
      </tp>
      <tp>
        <v>53.42</v>
        <stp/>
        <stp>LAST</stp>
        <stp>JEF</stp>
        <tr r="D90" s="2"/>
      </tp>
      <tp>
        <v>123.25</v>
        <stp/>
        <stp>LAST</stp>
        <stp>KKR</stp>
        <tr r="D68" s="2"/>
      </tp>
      <tp>
        <v>13.6</v>
        <stp/>
        <stp>LAST</stp>
        <stp>KFS</stp>
        <tr r="D264" s="4"/>
      </tp>
      <tp>
        <v>16.28</v>
        <stp/>
        <stp>LAST</stp>
        <stp>KEY</stp>
        <tr r="D22" s="2"/>
      </tp>
      <tp>
        <v>54.96</v>
        <stp/>
        <stp>LAST</stp>
        <stp>HWC</stp>
        <tr r="D18" s="3"/>
      </tp>
      <tp>
        <v>36.409999999999997</v>
        <stp/>
        <stp>LAST</stp>
        <stp>HTB</stp>
        <tr r="D19" s="4"/>
      </tp>
      <tp>
        <v>30.17</v>
        <stp/>
        <stp>LAST</stp>
        <stp>HTH</stp>
        <tr r="D66" s="4"/>
      </tp>
      <tp>
        <v>126.87</v>
        <stp/>
        <stp>LAST</stp>
        <stp>HIG</stp>
        <tr r="D133" s="2"/>
      </tp>
      <tp>
        <v>175.94</v>
        <stp/>
        <stp>LAST</stp>
        <stp>HLI</stp>
        <tr r="D61" s="2"/>
      </tp>
      <tp>
        <v>43</v>
        <stp/>
        <stp>LAST</stp>
        <stp>HMN</stp>
        <tr r="D240" s="4"/>
      </tp>
      <tp>
        <v>24</v>
        <stp/>
        <stp>LAST</stp>
        <stp>HBT</stp>
        <tr r="D78" s="4"/>
      </tp>
      <tp>
        <v>161.47999999999999</v>
        <stp/>
        <stp>LAST</stp>
        <stp>HCI</stp>
        <tr r="D238" s="4"/>
      </tp>
      <tp>
        <v>76.23</v>
        <stp/>
        <stp>LAST</stp>
        <stp>HDB</stp>
        <tr r="D33" s="2"/>
      </tp>
      <tp>
        <v>8.25</v>
        <stp/>
        <stp>LAST</stp>
        <stp>AMIVF</stp>
        <tr r="D212" s="4"/>
      </tp>
      <tp>
        <v>39.99</v>
        <stp/>
        <stp>LAST</stp>
        <stp>ALIZY</stp>
        <tr r="D120" s="2"/>
      </tp>
      <tp>
        <v>17.98</v>
        <stp/>
        <stp>LAST</stp>
        <stp>DGICB</stp>
        <tr r="D252" s="4"/>
      </tp>
      <tp>
        <v>19.36</v>
        <stp/>
        <stp>LAST</stp>
        <stp>DGICA</stp>
        <tr r="D251" s="4"/>
      </tp>
      <tp>
        <v>32.217500000000001</v>
        <stp/>
        <stp>LAST</stp>
        <stp>IGIFF</stp>
        <tr r="D93" s="3"/>
      </tp>
      <tp>
        <v>98.44</v>
        <stp/>
        <stp>LAST</stp>
        <stp>NTIOF</stp>
        <tr r="D50" s="2"/>
      </tp>
      <tp>
        <v>7.66</v>
        <stp/>
        <stp>LAST</stp>
        <stp>IVR</stp>
        <tr r="D271" s="4"/>
      </tp>
      <tp>
        <v>14.68</v>
        <stp/>
        <stp>LAST</stp>
        <stp>IVZ</stp>
        <tr r="D97" s="3"/>
      </tp>
      <tp>
        <v>5.69</v>
        <stp/>
        <stp>LAST</stp>
        <stp>INV</stp>
        <tr r="D175" s="4"/>
      </tp>
      <tp>
        <v>21.22</v>
        <stp/>
        <stp>LAST</stp>
        <stp>ING</stp>
        <tr r="D43" s="2"/>
      </tp>
      <tp>
        <v>33.61</v>
        <stp/>
        <stp>LAST</stp>
        <stp>IBN</stp>
        <tr r="D27" s="2"/>
      </tp>
      <tp>
        <v>175.97</v>
        <stp/>
        <stp>LAST</stp>
        <stp>ICE</stp>
        <tr r="D70" s="2"/>
      </tp>
      <tp>
        <v>35.229999999999997</v>
        <stp/>
        <stp>LAST</stp>
        <stp>IFS</stp>
        <tr r="D71" s="3"/>
      </tp>
      <tp>
        <v>13.71</v>
        <stp/>
        <stp>LAST</stp>
        <stp>EZPW</stp>
        <tr r="D196" s="4"/>
      </tp>
      <tp>
        <v>18.760000000000002</v>
        <stp/>
        <stp>LAST</stp>
        <stp>CZNC</stp>
        <tr r="D98" s="4"/>
      </tp>
      <tp>
        <v>31.94</v>
        <stp/>
        <stp>LAST</stp>
        <stp>BXSL</stp>
        <tr r="D109" s="3"/>
      </tp>
      <tp>
        <v>19.23</v>
        <stp/>
        <stp>LAST</stp>
        <stp>BXMT</stp>
        <tr r="D182" s="3"/>
      </tp>
      <tp>
        <v>73.55</v>
        <stp/>
        <stp>LAST</stp>
        <stp>PYPL</stp>
        <tr r="D109" s="2"/>
      </tp>
      <tp>
        <v>76.53</v>
        <stp/>
        <stp>LAST</stp>
        <stp>SYBT</stp>
        <tr r="D26" s="3"/>
      </tp>
      <tp>
        <v>66.260000000000005</v>
        <stp/>
        <stp>LAST</stp>
        <stp>RYAN</stp>
        <tr r="D171" s="3"/>
      </tp>
      <tp>
        <v>6.81</v>
        <stp/>
        <stp>LAST</stp>
        <stp>NYMT</stp>
        <tr r="D288" s="4"/>
      </tp>
      <tp>
        <v>5.85</v>
        <stp/>
        <stp>LAST</stp>
        <stp>JRVR</stp>
        <tr r="D268" s="4"/>
      </tp>
      <tp>
        <v>175.25</v>
        <stp/>
        <stp>LAST</stp>
        <stp>VRTS</stp>
        <tr r="D140" s="4"/>
      </tp>
      <tp>
        <v>7.93</v>
        <stp/>
        <stp>LAST</stp>
        <stp>TRTX</stp>
        <tr r="D279" s="4"/>
      </tp>
      <tp>
        <v>23.6</v>
        <stp/>
        <stp>LAST</stp>
        <stp>HRTG</stp>
        <tr r="D253" s="4"/>
      </tp>
      <tp>
        <v>8.4700000000000006</v>
        <stp/>
        <stp>LAST</stp>
        <stp>PRTH</stp>
        <tr r="D222" s="4"/>
      </tp>
      <tp>
        <v>51.02</v>
        <stp/>
        <stp>LAST</stp>
        <stp>TRUP</stp>
        <tr r="D174" s="3"/>
      </tp>
      <tp>
        <v>30.96</v>
        <stp/>
        <stp>LAST</stp>
        <stp>ORRF</stp>
        <tr r="D100" s="4"/>
      </tp>
      <tp>
        <v>5.26</v>
        <stp/>
        <stp>LAST</stp>
        <stp>BRSP</stp>
        <tr r="D283" s="4"/>
      </tp>
      <tp>
        <v>7.6</v>
        <stp/>
        <stp>LAST</stp>
        <stp>HRZN</stp>
        <tr r="D173" s="4"/>
      </tp>
      <tp>
        <v>11.1</v>
        <stp/>
        <stp>LAST</stp>
        <stp>NRDS</stp>
        <tr r="D198" s="4"/>
      </tp>
      <tp>
        <v>9.42</v>
        <stp/>
        <stp>LAST</stp>
        <stp>BRDG</stp>
        <tr r="D142" s="4"/>
      </tp>
      <tp>
        <v>172.3</v>
        <stp/>
        <stp>LAST</stp>
        <stp>ARES</stp>
        <tr r="D55" s="2"/>
      </tp>
      <tp>
        <v>15.36</v>
        <stp/>
        <stp>LAST</stp>
        <stp>NREF</stp>
        <tr r="D282" s="4"/>
      </tp>
      <tp>
        <v>9.31</v>
        <stp/>
        <stp>LAST</stp>
        <stp>KREF</stp>
        <tr r="D275" s="4"/>
      </tp>
      <tp>
        <v>36.19</v>
        <stp/>
        <stp>LAST</stp>
        <stp>TREE</stp>
        <tr r="D193" s="4"/>
      </tp>
      <tp>
        <v>14.94</v>
        <stp/>
        <stp>LAST</stp>
        <stp>FRBA</stp>
        <tr r="D116" s="4"/>
      </tp>
      <tp>
        <v>33.26</v>
        <stp/>
        <stp>LAST</stp>
        <stp>CRBG</stp>
        <tr r="D113" s="2"/>
      </tp>
      <tp>
        <v>22.21</v>
        <stp/>
        <stp>LAST</stp>
        <stp>ARCC</stp>
        <tr r="D88" s="2"/>
      </tp>
      <tp>
        <v>61.2</v>
        <stp/>
        <stp>LAST</stp>
        <stp>SRCE</stp>
        <tr r="D12" s="4"/>
      </tp>
      <tp>
        <v>14.65</v>
        <stp/>
        <stp>LAST</stp>
        <stp>PRAA</stp>
        <tr r="D204" s="4"/>
      </tp>
      <tp>
        <v>6.16</v>
        <stp/>
        <stp>LAST</stp>
        <stp>KRNY</stp>
        <tr r="D127" s="4"/>
      </tp>
      <tp>
        <v>94.98</v>
        <stp/>
        <stp>LAST</stp>
        <stp>TROW</stp>
        <tr r="D71" s="2"/>
      </tp>
      <tp>
        <v>25.96</v>
        <stp/>
        <stp>LAST</stp>
        <stp>AROW</stp>
        <tr r="D101" s="4"/>
      </tp>
      <tp>
        <v>157.61000000000001</v>
        <stp/>
        <stp>LAST</stp>
        <stp>WRLD</stp>
        <tr r="D185" s="4"/>
      </tp>
      <tp>
        <v>37.25</v>
        <stp/>
        <stp>LAST</stp>
        <stp>FRME</stp>
        <tr r="D27" s="3"/>
      </tp>
      <tp>
        <v>34.979999999999997</v>
        <stp/>
        <stp>LAST</stp>
        <stp>TRMK</stp>
        <tr r="D33" s="3"/>
      </tp>
      <tp>
        <v>10.52</v>
        <stp/>
        <stp>LAST</stp>
        <stp>BRKL</stp>
        <tr r="D115" s="4"/>
      </tp>
      <tp>
        <v>149.44</v>
        <stp/>
        <stp>LAST</stp>
        <stp>FRHC</stp>
        <tr r="D65" s="2"/>
      </tp>
      <tp>
        <v>361.69</v>
        <stp/>
        <stp>LAST</stp>
        <stp>ERIE</stp>
        <tr r="D144" s="2"/>
      </tp>
      <tp>
        <v>14.65</v>
        <stp/>
        <stp>LAST</stp>
        <stp>TRIN</stp>
        <tr r="D180" s="4"/>
      </tp>
      <tp>
        <v>89.14</v>
        <stp/>
        <stp>LAST</stp>
        <stp>NRIM</stp>
        <tr r="D83" s="4"/>
      </tp>
      <tp>
        <v>39.25</v>
        <stp/>
        <stp>LAST</stp>
        <stp>BSVN</stp>
        <tr r="D42" s="4"/>
      </tp>
      <tp>
        <v>21.35</v>
        <stp/>
        <stp>LAST</stp>
        <stp>CSWC</stp>
        <tr r="D179" s="4"/>
      </tp>
      <tp>
        <v>27.74</v>
        <stp/>
        <stp>LAST</stp>
        <stp>BSRR</stp>
        <tr r="D20" s="4"/>
      </tp>
      <tp>
        <v>85.62</v>
        <stp/>
        <stp>LAST</stp>
        <stp>KSPI</stp>
        <tr r="D98" s="2"/>
      </tp>
      <tp>
        <v>53.24</v>
        <stp/>
        <stp>LAST</stp>
        <stp>WSFS</stp>
        <tr r="D56" s="3"/>
      </tp>
      <tp>
        <v>13.02</v>
        <stp/>
        <stp>LAST</stp>
        <stp>PSFE</stp>
        <tr r="D209" s="4"/>
      </tp>
      <tp>
        <v>336.24</v>
        <stp/>
        <stp>LAST</stp>
        <stp>ESGR</stp>
        <tr r="D152" s="3"/>
      </tp>
      <tp>
        <v>3.31</v>
        <stp/>
        <stp>LAST</stp>
        <stp>PSEC</stp>
        <tr r="D154" s="4"/>
      </tp>
      <tp>
        <v>5.16</v>
        <stp/>
        <stp>LAST</stp>
        <stp>BSBR</stp>
        <tr r="D16" s="2"/>
      </tp>
      <tp>
        <v>38.31</v>
        <stp/>
        <stp>LAST</stp>
        <stp>FSBW</stp>
        <tr r="D14" s="4"/>
      </tp>
      <tp>
        <v>15</v>
        <stp/>
        <stp>LAST</stp>
        <stp>DSBX</stp>
        <tr r="D2" s="4"/>
      </tp>
      <tp>
        <v>31.24</v>
        <stp/>
        <stp>LAST</stp>
        <stp>WSBC</stp>
        <tr r="D59" s="3"/>
      </tp>
      <tp>
        <v>27.765000000000001</v>
        <stp/>
        <stp>LAST</stp>
        <stp>FSBC</stp>
        <tr r="D65" s="4"/>
      </tp>
      <tp>
        <v>56.71</v>
        <stp/>
        <stp>LAST</stp>
        <stp>GSBC</stp>
        <tr r="D17" s="4"/>
      </tp>
      <tp>
        <v>17</v>
        <stp/>
        <stp>LAST</stp>
        <stp>OSBC</stp>
        <tr r="D90" s="4"/>
      </tp>
      <tp>
        <v>60.3</v>
        <stp/>
        <stp>LAST</stp>
        <stp>HSBC</stp>
        <tr r="D15" s="2"/>
      </tp>
      <tp>
        <v>11.57</v>
        <stp/>
        <stp>LAST</stp>
        <stp>GSBD</stp>
        <tr r="D156" s="4"/>
      </tp>
      <tp>
        <v>34.71</v>
        <stp/>
        <stp>LAST</stp>
        <stp>SSBK</stp>
        <tr r="D51" s="4"/>
      </tp>
      <tp>
        <v>17.059999999999999</v>
        <stp/>
        <stp>LAST</stp>
        <stp>MSBI</stp>
        <tr r="D16" s="4"/>
      </tp>
      <tp>
        <v>14.76</v>
        <stp/>
        <stp>LAST</stp>
        <stp>OSCR</stp>
        <tr r="D168" s="3"/>
      </tp>
      <tp>
        <v>16.649999999999999</v>
        <stp/>
        <stp>LAST</stp>
        <stp>USCB</stp>
        <tr r="D91" s="4"/>
      </tp>
      <tp>
        <v>558</v>
        <stp/>
        <stp>LAST</stp>
        <stp>MSCI</stp>
        <tr r="D57" s="2"/>
      </tp>
      <tp>
        <v>24.46</v>
        <stp/>
        <stp>LAST</stp>
        <stp>BSAC</stp>
        <tr r="D21" s="2"/>
      </tp>
      <tp>
        <v>4.16</v>
        <stp/>
        <stp>LAST</stp>
        <stp>LSAK</stp>
        <tr r="D221" s="4"/>
      </tp>
      <tp>
        <v>57.52</v>
        <stp/>
        <stp>LAST</stp>
        <stp>ESNT</stp>
        <tr r="D127" s="3"/>
      </tp>
      <tp>
        <v>23.48</v>
        <stp/>
        <stp>LAST</stp>
        <stp>TSLX</stp>
        <tr r="D98" s="3"/>
      </tp>
      <tp>
        <v>108.7</v>
        <stp/>
        <stp>LAST</stp>
        <stp>GSHD</stp>
        <tr r="D172" s="3"/>
      </tp>
      <tp>
        <v>17.98</v>
        <stp/>
        <stp>LAST</stp>
        <stp>MSIF</stp>
        <tr r="D177" s="4"/>
      </tp>
      <tp>
        <v>7.29</v>
        <stp/>
        <stp>LAST</stp>
        <stp>TPVG</stp>
        <tr r="D144" s="4"/>
      </tp>
      <tp>
        <v>6.81</v>
        <stp/>
        <stp>LAST</stp>
        <stp>OPRT</stp>
        <tr r="D189" s="4"/>
      </tp>
      <tp>
        <v>57.42</v>
        <stp/>
        <stp>LAST</stp>
        <stp>UPST</stp>
        <tr r="D120" s="3"/>
      </tp>
      <tp>
        <v>36.229999999999997</v>
        <stp/>
        <stp>LAST</stp>
        <stp>SPFI</stp>
        <tr r="D50" s="4"/>
      </tp>
      <tp>
        <v>13.89</v>
        <stp/>
        <stp>LAST</stp>
        <stp>OPFI</stp>
        <tr r="D188" s="4"/>
      </tp>
      <tp>
        <v>515</v>
        <stp/>
        <stp>LAST</stp>
        <stp>SPGI</stp>
        <tr r="D56" s="2"/>
      </tp>
      <tp>
        <v>21.72</v>
        <stp/>
        <stp>LAST</stp>
        <stp>PPBI</stp>
        <tr r="D53" s="3"/>
      </tp>
      <tp>
        <v>5.23</v>
        <stp/>
        <stp>LAST</stp>
        <stp>RPAY</stp>
        <tr r="D213" s="4"/>
      </tp>
      <tp>
        <v>342.75</v>
        <stp/>
        <stp>LAST</stp>
        <stp>CPAY</stp>
        <tr r="D102" s="2"/>
      </tp>
      <tp>
        <v>41.36</v>
        <stp/>
        <stp>LAST</stp>
        <stp>APAM</stp>
        <tr r="D86" s="3"/>
      </tp>
      <tp>
        <v>19.260000000000002</v>
        <stp/>
        <stp>LAST</stp>
        <stp>SPNT</stp>
        <tr r="D179" s="3"/>
      </tp>
      <tp>
        <v>105.85</v>
        <stp/>
        <stp>LAST</stp>
        <stp>BPOP</stp>
        <tr r="D15" s="3"/>
      </tp>
      <tp>
        <v>380.39</v>
        <stp/>
        <stp>LAST</stp>
        <stp>LPLA</stp>
        <tr r="D89" s="2"/>
      </tp>
      <tp>
        <v>39.549999999999997</v>
        <stp/>
        <stp>LAST</stp>
        <stp>EQBK</stp>
        <tr r="D40" s="4"/>
      </tp>
      <tp>
        <v>37.020000000000003</v>
        <stp/>
        <stp>LAST</stp>
        <stp>EVTC</stp>
        <tr r="D132" s="3"/>
      </tp>
      <tp>
        <v>29.36</v>
        <stp/>
        <stp>LAST</stp>
        <stp>UVSP</stp>
        <tr r="D80" s="4"/>
      </tp>
      <tp>
        <v>9.7899999999999991</v>
        <stp/>
        <stp>LAST</stp>
        <stp>AVDX</stp>
        <tr r="D139" s="3"/>
      </tp>
      <tp>
        <v>19.16</v>
        <stp/>
        <stp>LAST</stp>
        <stp>CVBF</stp>
        <tr r="D57" s="3"/>
      </tp>
      <tp>
        <v>2.76</v>
        <stp/>
        <stp>LAST</stp>
        <stp>AVAL</stp>
        <tr r="D68" s="3"/>
      </tp>
      <tp>
        <v>35.58</v>
        <stp/>
        <stp>LAST</stp>
        <stp>TWFG</stp>
        <tr r="D255" s="4"/>
      </tp>
      <tp>
        <v>35</v>
        <stp/>
        <stp>LAST</stp>
        <stp>BWFG</stp>
        <tr r="D63" s="4"/>
      </tp>
      <tp>
        <v>94.77</v>
        <stp/>
        <stp>LAST</stp>
        <stp>EWBC</stp>
        <tr r="D5" s="2"/>
      </tp>
      <tp>
        <v>18.260000000000002</v>
        <stp/>
        <stp>LAST</stp>
        <stp>CWBC</stp>
        <tr r="D112" s="4"/>
      </tp>
      <tp>
        <v>12.43</v>
        <stp/>
        <stp>LAST</stp>
        <stp>NWBI</stp>
        <tr r="D111" s="4"/>
      </tp>
      <tp>
        <v>10.11</v>
        <stp/>
        <stp>LAST</stp>
        <stp>RWAY</stp>
        <tr r="D152" s="4"/>
      </tp>
      <tp>
        <v>4.24</v>
        <stp/>
        <stp>LAST</stp>
        <stp>UWMC</stp>
        <tr r="D233" s="4"/>
      </tp>
      <tp>
        <v>38.93</v>
        <stp/>
        <stp>LAST</stp>
        <stp>BWIN</stp>
        <tr r="D177" s="3"/>
      </tp>
      <tp>
        <v>20.260000000000002</v>
        <stp/>
        <stp>LAST</stp>
        <stp>STWD</stp>
        <tr r="D181" s="3"/>
      </tp>
      <tp>
        <v>6.56</v>
        <stp/>
        <stp>LAST</stp>
        <stp>ITUB</stp>
        <tr r="D29" s="2"/>
      </tp>
      <tp>
        <v>108.74</v>
        <stp/>
        <stp>LAST</stp>
        <stp>NTRS</stp>
        <tr r="D59" s="2"/>
      </tp>
      <tp>
        <v>122.14</v>
        <stp/>
        <stp>LAST</stp>
        <stp>WTFC</stp>
        <tr r="D6" s="3"/>
      </tp>
      <tp>
        <v>18.07</v>
        <stp/>
        <stp>LAST</stp>
        <stp>HTGC</stp>
        <tr r="D108" s="3"/>
      </tp>
      <tp>
        <v>58.04</v>
        <stp/>
        <stp>LAST</stp>
        <stp>STEP</stp>
        <tr r="D100" s="3"/>
      </tp>
      <tp>
        <v>27.5</v>
        <stp/>
        <stp>LAST</stp>
        <stp>STEL</stp>
        <tr r="D102" s="4"/>
      </tp>
      <tp>
        <v>19.355</v>
        <stp/>
        <stp>LAST</stp>
        <stp>WTBA</stp>
        <tr r="D106" s="4"/>
      </tp>
      <tp>
        <v>37.369999999999997</v>
        <stp/>
        <stp>LAST</stp>
        <stp>STBA</stp>
        <tr r="D45" s="4"/>
      </tp>
      <tp>
        <v>9.5399999999999991</v>
        <stp/>
        <stp>LAST</stp>
        <stp>HTBK</stp>
        <tr r="D121" s="4"/>
      </tp>
      <tp>
        <v>52.1</v>
        <stp/>
        <stp>LAST</stp>
        <stp>CTBI</stp>
        <tr r="D25" s="4"/>
      </tp>
      <tp>
        <v>13.25</v>
        <stp/>
        <stp>LAST</stp>
        <stp>STNE</stp>
        <tr r="D144" s="3"/>
      </tp>
      <tp>
        <v>75.97</v>
        <stp/>
        <stp>LAST</stp>
        <stp>ETOR</stp>
        <tr r="D75" s="3"/>
      </tp>
      <tp>
        <v>9.39</v>
        <stp/>
        <stp>LAST</stp>
        <stp>CTLP</stp>
        <tr r="D220" s="4"/>
      </tp>
      <tp>
        <v>51.91</v>
        <stp/>
        <stp>LAST</stp>
        <stp>ATLC</stp>
        <tr r="D186" s="4"/>
      </tp>
      <tp>
        <v>196.36</v>
        <stp/>
        <stp>LAST</stp>
        <stp>ITIC</stp>
        <tr r="D241" s="4"/>
      </tp>
      <tp>
        <v>108.96</v>
        <stp/>
        <stp>LAST</stp>
        <stp>FUTU</stp>
        <tr r="D53" s="2"/>
      </tp>
      <tp>
        <v>22.82</v>
        <stp/>
        <stp>LAST</stp>
        <stp>BUSE</stp>
        <tr r="D86" s="4"/>
      </tp>
      <tp>
        <v>11.9</v>
        <stp/>
        <stp>LAST</stp>
        <stp>SUPV</stp>
        <tr r="D56" s="4"/>
      </tp>
      <tp>
        <v>13.81</v>
        <stp/>
        <stp>LAST</stp>
        <stp>MUFG</stp>
        <tr r="D30" s="2"/>
      </tp>
      <tp>
        <v>52.77</v>
        <stp/>
        <stp>LAST</stp>
        <stp>CUBI</stp>
        <tr r="D34" s="4"/>
      </tp>
      <tp>
        <v>17.600000000000001</v>
        <stp/>
        <stp>LAST</stp>
        <stp>FULT</stp>
        <tr r="D61" s="3"/>
      </tp>
      <tp>
        <v>60.42</v>
        <stp/>
        <stp>LAST</stp>
        <stp>SKWD</stp>
        <tr r="D161" s="3"/>
      </tp>
      <tp>
        <v>223.25</v>
        <stp/>
        <stp>LAST</stp>
        <stp>MKTX</stp>
        <tr r="D82" s="3"/>
      </tp>
      <tp>
        <v>60.98</v>
        <stp/>
        <stp>LAST</stp>
        <stp>LKFN</stp>
        <tr r="D49" s="4"/>
      </tp>
      <tp>
        <v>179.96</v>
        <stp/>
        <stp>LAST</stp>
        <stp>JKHY</stp>
        <tr r="D111" s="2"/>
      </tp>
      <tp>
        <v>51.88</v>
        <stp/>
        <stp>LAST</stp>
        <stp>THFF</stp>
        <tr r="D32" s="4"/>
      </tp>
      <tp>
        <v>14.81</v>
        <stp/>
        <stp>LAST</stp>
        <stp>SHBI</stp>
        <tr r="D97" s="4"/>
      </tp>
      <tp>
        <v>118.64</v>
        <stp/>
        <stp>LAST</stp>
        <stp>CHCO</stp>
        <tr r="D11" s="4"/>
      </tp>
      <tp>
        <v>25.19</v>
        <stp/>
        <stp>LAST</stp>
        <stp>BHLB</stp>
        <tr r="D69" s="4"/>
      </tp>
      <tp>
        <v>14.57</v>
        <stp/>
        <stp>LAST</stp>
        <stp>GHLD</stp>
        <tr r="D229" s="4"/>
      </tp>
      <tp>
        <v>141.75</v>
        <stp/>
        <stp>LAST</stp>
        <stp>DHIL</stp>
        <tr r="D137" s="4"/>
      </tp>
      <tp>
        <v>21.99</v>
        <stp/>
        <stp>LAST</stp>
        <stp>CIVB</stp>
        <tr r="D72" s="4"/>
      </tp>
      <tp>
        <v>39.58</v>
        <stp/>
        <stp>LAST</stp>
        <stp>FITB</stp>
        <tr r="D8" s="2"/>
      </tp>
      <tp>
        <v>11.23</v>
        <stp/>
        <stp>LAST</stp>
        <stp>RITM</stp>
        <tr r="D183" s="3"/>
      </tp>
      <tp>
        <v>41.39</v>
        <stp/>
        <stp>LAST</stp>
        <stp>VIRT</stp>
        <tr r="D81" s="3"/>
      </tp>
      <tp>
        <v>26.05</v>
        <stp/>
        <stp>LAST</stp>
        <stp>FISI</stp>
        <tr r="D43" s="4"/>
      </tp>
      <tp>
        <v>263.74</v>
        <stp/>
        <stp>LAST</stp>
        <stp>PIPR</stp>
        <tr r="D79" s="3"/>
      </tp>
      <tp>
        <v>22.58</v>
        <stp/>
        <stp>LAST</stp>
        <stp>TIPT</stp>
        <tr r="D246" s="4"/>
      </tp>
      <tp>
        <v>27.75</v>
        <stp/>
        <stp>LAST</stp>
        <stp>HIPO</stp>
        <tr r="D266" s="4"/>
      </tp>
      <tp>
        <v>227.55</v>
        <stp/>
        <stp>LAST</stp>
        <stp>HIFS</stp>
        <tr r="D10" s="4"/>
      </tp>
      <tp>
        <v>8.64</v>
        <stp/>
        <stp>LAST</stp>
        <stp>TIGR</stp>
        <tr r="D139" s="4"/>
      </tp>
      <tp>
        <v>86.16</v>
        <stp/>
        <stp>LAST</stp>
        <stp>SIGI</stp>
        <tr r="D157" s="3"/>
      </tp>
      <tp>
        <v>27.86</v>
        <stp/>
        <stp>LAST</stp>
        <stp>FIBK</stp>
        <tr r="D37" s="3"/>
      </tp>
      <tp>
        <v>9.3800000000000008</v>
        <stp/>
        <stp>LAST</stp>
        <stp>VINP</stp>
        <tr r="D168" s="4"/>
      </tp>
      <tp>
        <v>8.73</v>
        <stp/>
        <stp>LAST</stp>
        <stp>FINV</stp>
        <tr r="D119" s="3"/>
      </tp>
      <tp>
        <v>148.97</v>
        <stp/>
        <stp>LAST</stp>
        <stp>CINF</stp>
        <tr r="D135" s="2"/>
      </tp>
      <tp>
        <v>49.3</v>
        <stp/>
        <stp>LAST</stp>
        <stp>ZION</stp>
        <tr r="D19" s="3"/>
      </tp>
      <tp>
        <v>9.1999999999999993</v>
        <stp/>
        <stp>LAST</stp>
        <stp>CION</stp>
        <tr r="D171" s="4"/>
      </tp>
      <tp>
        <v>17.260000000000002</v>
        <stp/>
        <stp>LAST</stp>
        <stp>FIHL</stp>
        <tr r="D254" s="4"/>
      </tp>
      <tp>
        <v>97.08</v>
        <stp/>
        <stp>LAST</stp>
        <stp>ENVA</stp>
        <tr r="D111" s="3"/>
      </tp>
      <tp>
        <v>6.8</v>
        <stp/>
        <stp>LAST</stp>
        <stp>INTR</stp>
        <tr r="D70" s="3"/>
      </tp>
      <tp>
        <v>43.25</v>
        <stp/>
        <stp>LAST</stp>
        <stp>UNTY</stp>
        <tr r="D37" s="4"/>
      </tp>
      <tp>
        <v>41.2</v>
        <stp/>
        <stp>LAST</stp>
        <stp>GNTY</stp>
        <tr r="D36" s="4"/>
      </tp>
      <tp>
        <v>12.48</v>
        <stp/>
        <stp>LAST</stp>
        <stp>ANTA</stp>
        <tr r="D183" s="4"/>
      </tp>
      <tp>
        <v>36.04</v>
        <stp/>
        <stp>LAST</stp>
        <stp>RNST</stp>
        <tr r="D47" s="3"/>
      </tp>
      <tp>
        <v>463.51</v>
        <stp/>
        <stp>LAST</stp>
        <stp>KNSL</stp>
        <tr r="D123" s="2"/>
      </tp>
      <tp>
        <v>108.02</v>
        <stp/>
        <stp>LAST</stp>
        <stp>PNFP</stp>
        <tr r="D10" s="3"/>
      </tp>
      <tp>
        <v>64.72</v>
        <stp/>
        <stp>LAST</stp>
        <stp>INDB</stp>
        <tr r="D29" s="3"/>
      </tp>
      <tp>
        <v>27.2</v>
        <stp/>
        <stp>LAST</stp>
        <stp>FNBT</stp>
        <tr r="D126" s="4"/>
      </tp>
      <tp>
        <v>5.23</v>
        <stp/>
        <stp>LAST</stp>
        <stp>CNCK</stp>
        <tr r="D147" s="4"/>
      </tp>
      <tp>
        <v>6.94</v>
        <stp/>
        <stp>LAST</stp>
        <stp>PNNT</stp>
        <tr r="D150" s="4"/>
      </tp>
      <tp>
        <v>19.66</v>
        <stp/>
        <stp>LAST</stp>
        <stp>CNNE</stp>
        <tr r="D225" s="4"/>
      </tp>
      <tp>
        <v>23.15</v>
        <stp/>
        <stp>LAST</stp>
        <stp>CNOB</stp>
        <tr r="D114" s="4"/>
      </tp>
      <tp>
        <v>24.21</v>
        <stp/>
        <stp>LAST</stp>
        <stp>FNLC</stp>
        <tr r="D84" s="4"/>
      </tp>
      <tp>
        <v>7.02</v>
        <stp/>
        <stp>LAST</stp>
        <stp>LNKB</stp>
        <tr r="D122" s="4"/>
      </tp>
      <tp>
        <v>37.270000000000003</v>
        <stp/>
        <stp>LAST</stp>
        <stp>ONIT</stp>
        <tr r="D235" s="4"/>
      </tp>
      <tp>
        <v>34.4</v>
        <stp/>
        <stp>LAST</stp>
        <stp>TOWN</stp>
        <tr r="D49" s="3"/>
      </tp>
      <tp>
        <v>95.61</v>
        <stp/>
        <stp>LAST</stp>
        <stp>FOUR</stp>
        <tr r="D130" s="3"/>
      </tp>
      <tp>
        <v>307.12</v>
        <stp/>
        <stp>LAST</stp>
        <stp>MORN</stp>
        <tr r="D62" s="2"/>
      </tp>
      <tp>
        <v>43.45</v>
        <stp/>
        <stp>LAST</stp>
        <stp>TOST</stp>
        <tr r="D116" s="2"/>
      </tp>
      <tp>
        <v>10.33</v>
        <stp/>
        <stp>LAST</stp>
        <stp>HOPE</stp>
        <tr r="D119" s="4"/>
      </tp>
      <tp>
        <v>68</v>
        <stp/>
        <stp>LAST</stp>
        <stp>VOYA</stp>
        <tr r="D126" s="3"/>
      </tp>
      <tp>
        <v>29.08</v>
        <stp/>
        <stp>LAST</stp>
        <stp>MOFG</stp>
        <tr r="D61" s="4"/>
      </tp>
      <tp>
        <v>14.1</v>
        <stp/>
        <stp>LAST</stp>
        <stp>SOFI</stp>
        <tr r="D100" s="2"/>
      </tp>
      <tp>
        <v>12.87</v>
        <stp/>
        <stp>LAST</stp>
        <stp>NODK</stp>
        <tr r="D258" s="4"/>
      </tp>
      <tp>
        <v>6.56</v>
        <stp/>
        <stp>LAST</stp>
        <stp>CODI</stp>
        <tr r="D228" s="4"/>
      </tp>
      <tp>
        <v>11.58</v>
        <stp/>
        <stp>LAST</stp>
        <stp>NOAH</stp>
        <tr r="D164" s="4"/>
      </tp>
      <tp>
        <v>132.18</v>
        <stp/>
        <stp>LAST</stp>
        <stp>COOP</stp>
        <tr r="D148" s="3"/>
      </tp>
      <tp>
        <v>152.91999999999999</v>
        <stp/>
        <stp>LAST</stp>
        <stp>ROOT</stp>
        <tr r="D159" s="3"/>
      </tp>
      <tp>
        <v>73.400000000000006</v>
        <stp/>
        <stp>LAST</stp>
        <stp>HOOD</stp>
        <tr r="D82" s="2"/>
      </tp>
      <tp>
        <v>24.01</v>
        <stp/>
        <stp>LAST</stp>
        <stp>COLB</stp>
        <tr r="D45" s="3"/>
      </tp>
      <tp>
        <v>28.57</v>
        <stp/>
        <stp>LAST</stp>
        <stp>HOMB</stp>
        <tr r="D54" s="3"/>
      </tp>
      <tp>
        <v>95.67</v>
        <stp/>
        <stp>LAST</stp>
        <stp>BOKF</stp>
        <tr r="D4" s="3"/>
      </tp>
      <tp>
        <v>256.63</v>
        <stp/>
        <stp>LAST</stp>
        <stp>COIN</stp>
        <tr r="D69" s="2"/>
      </tp>
      <tp>
        <v>16.899999999999999</v>
        <stp/>
        <stp>LAST</stp>
        <stp>SLRC</stp>
        <tr r="D136" s="4"/>
      </tp>
      <tp>
        <v>14.96</v>
        <stp/>
        <stp>LAST</stp>
        <stp>GLRE</stp>
        <tr r="D249" s="4"/>
      </tp>
      <tp>
        <v>2.2400000000000002</v>
        <stp/>
        <stp>LAST</stp>
        <stp>SLQT</stp>
        <tr r="D261" s="4"/>
      </tp>
      <tp>
        <v>20.93</v>
        <stp/>
        <stp>LAST</stp>
        <stp>GLXY</stp>
        <tr r="D104" s="3"/>
      </tp>
      <tp>
        <v>10.27</v>
        <stp/>
        <stp>LAST</stp>
        <stp>FLYW</stp>
        <tr r="D218" s="4"/>
      </tp>
      <tp>
        <v>42.95</v>
        <stp/>
        <stp>LAST</stp>
        <stp>PLBC</stp>
        <tr r="D39" s="4"/>
      </tp>
      <tp>
        <v>14.17</v>
        <stp/>
        <stp>LAST</stp>
        <stp>CLBK</stp>
        <tr r="D130" s="4"/>
      </tp>
      <tp>
        <v>26.84</v>
        <stp/>
        <stp>LAST</stp>
        <stp>GLAD</stp>
        <tr r="D138" s="4"/>
      </tp>
      <tp>
        <v>151.72999999999999</v>
        <stp/>
        <stp>LAST</stp>
        <stp>HLNE</stp>
        <tr r="D84" s="3"/>
      </tp>
      <tp>
        <v>36.6</v>
        <stp/>
        <stp>LAST</stp>
        <stp>ALLY</stp>
        <tr r="D99" s="2"/>
      </tp>
      <tp>
        <v>162.27000000000001</v>
        <stp/>
        <stp>LAST</stp>
        <stp>PLMR</stp>
        <tr r="D160" s="3"/>
      </tp>
      <tp>
        <v>11.87</v>
        <stp/>
        <stp>LAST</stp>
        <stp>FLIC</stp>
        <tr r="D124" s="4"/>
      </tp>
      <tp>
        <v>17.649999999999999</v>
        <stp/>
        <stp>LAST</stp>
        <stp>AMTB</stp>
        <tr r="D82" s="4"/>
      </tp>
      <tp>
        <v>2.98</v>
        <stp/>
        <stp>LAST</stp>
        <stp>CMTG</stp>
        <tr r="D287" s="4"/>
      </tp>
      <tp>
        <v>22.81</v>
        <stp/>
        <stp>LAST</stp>
        <stp>BMRC</stp>
        <tr r="D99" s="4"/>
      </tp>
      <tp>
        <v>45.65</v>
        <stp/>
        <stp>LAST</stp>
        <stp>AMSF</stp>
        <tr r="D259" s="4"/>
      </tp>
      <tp>
        <v>63.03</v>
        <stp/>
        <stp>LAST</stp>
        <stp>KMPR</stp>
        <tr r="D162" s="3"/>
      </tp>
      <tp>
        <v>11.59</v>
        <stp/>
        <stp>LAST</stp>
        <stp>IMXI</stp>
        <tr r="D217" s="4"/>
      </tp>
      <tp>
        <v>10.83</v>
        <stp/>
        <stp>LAST</stp>
        <stp>NMFC</stp>
        <tr r="D162" s="4"/>
      </tp>
      <tp>
        <v>15.24</v>
        <stp/>
        <stp>LAST</stp>
        <stp>SMFG</stp>
        <tr r="D35" s="2"/>
      </tp>
      <tp>
        <v>53.51</v>
        <stp/>
        <stp>LAST</stp>
        <stp>SMBC</stp>
        <tr r="D27" s="4"/>
      </tp>
      <tp>
        <v>6.77</v>
        <stp/>
        <stp>LAST</stp>
        <stp>AMBC</stp>
        <tr r="D260" s="4"/>
      </tp>
      <tp>
        <v>105.89</v>
        <stp/>
        <stp>LAST</stp>
        <stp>UMBF</stp>
        <tr r="D7" s="3"/>
      </tp>
      <tp>
        <v>32.49</v>
        <stp/>
        <stp>LAST</stp>
        <stp>SMBK</stp>
        <tr r="D59" s="4"/>
      </tp>
      <tp>
        <v>36.46</v>
        <stp/>
        <stp>LAST</stp>
        <stp>FMBH</stp>
        <tr r="D26" s="4"/>
      </tp>
      <tp>
        <v>23.51</v>
        <stp/>
        <stp>LAST</stp>
        <stp>FMAO</stp>
        <tr r="D75" s="4"/>
      </tp>
      <tp>
        <v>13.31</v>
        <stp/>
        <stp>LAST</stp>
        <stp>FMNB</stp>
        <tr r="D108" s="4"/>
      </tp>
      <tp>
        <v>40.96</v>
        <stp/>
        <stp>LAST</stp>
        <stp>LMND</stp>
        <tr r="D178" s="3"/>
      </tp>
      <tp>
        <v>39.25</v>
        <stp/>
        <stp>LAST</stp>
        <stp>NMIH</stp>
        <tr r="D128" s="3"/>
      </tp>
      <tp>
        <v>15.1</v>
        <stp/>
        <stp>LAST</stp>
        <stp>BBVA</stp>
        <tr r="D34" s="2"/>
      </tp>
      <tp>
        <v>44.64</v>
        <stp/>
        <stp>LAST</stp>
        <stp>MBWM</stp>
        <tr r="D71" s="4"/>
      </tp>
      <tp>
        <v>25.11</v>
        <stp/>
        <stp>LAST</stp>
        <stp>VBTX</stp>
        <tr r="D88" s="4"/>
      </tp>
      <tp>
        <v>40.54</v>
        <stp/>
        <stp>LAST</stp>
        <stp>EBTC</stp>
        <tr r="D47" s="4"/>
      </tp>
      <tp>
        <v>42.12</v>
        <stp/>
        <stp>LAST</stp>
        <stp>NBTB</stp>
        <tr r="D31" s="3"/>
      </tp>
      <tp>
        <v>11.13</v>
        <stp/>
        <stp>LAST</stp>
        <stp>FBRT</stp>
        <tr r="D273" s="4"/>
      </tp>
      <tp>
        <v>10.72</v>
        <stp/>
        <stp>LAST</stp>
        <stp>DBRG</stp>
        <tr r="D165" s="4"/>
      </tp>
      <tp>
        <v>36.56</v>
        <stp/>
        <stp>LAST</stp>
        <stp>UBSI</stp>
        <tr r="D36" s="3"/>
      </tp>
      <tp>
        <v>28.51</v>
        <stp/>
        <stp>LAST</stp>
        <stp>SBSI</stp>
        <tr r="D96" s="4"/>
      </tp>
      <tp>
        <v>63.51</v>
        <stp/>
        <stp>LAST</stp>
        <stp>CBSH</stp>
        <tr r="D30" s="3"/>
      </tp>
      <tp>
        <v>11.41</v>
        <stp/>
        <stp>LAST</stp>
        <stp>PBFS</stp>
        <tr r="D117" s="4"/>
      </tp>
      <tp>
        <v>39.68</v>
        <stp/>
        <stp>LAST</stp>
        <stp>GBFH</stp>
        <tr r="D93" s="4"/>
      </tp>
      <tp>
        <v>15.23</v>
        <stp/>
        <stp>LAST</stp>
        <stp>GBDC</stp>
        <tr r="D107" s="3"/>
      </tp>
      <tp>
        <v>9.1</v>
        <stp/>
        <stp>LAST</stp>
        <stp>BBDC</stp>
        <tr r="D157" s="4"/>
      </tp>
      <tp>
        <v>14.7</v>
        <stp/>
        <stp>LAST</stp>
        <stp>OBDC</stp>
        <tr r="D106" s="3"/>
      </tp>
      <tp>
        <v>2.4900000000000002</v>
        <stp/>
        <stp>LAST</stp>
        <stp>BBDO</stp>
        <tr r="D32" s="2"/>
      </tp>
      <tp>
        <v>53.45</v>
        <stp/>
        <stp>LAST</stp>
        <stp>TBBK</stp>
        <tr r="D20" s="3"/>
      </tp>
      <tp>
        <v>16.22</v>
        <stp/>
        <stp>LAST</stp>
        <stp>NBBK</stp>
        <tr r="D104" s="4"/>
      </tp>
      <tp>
        <v>50.87</v>
        <stp/>
        <stp>LAST</stp>
        <stp>HBCP</stp>
        <tr r="D29" s="4"/>
      </tp>
      <tp>
        <v>31.58</v>
        <stp/>
        <stp>LAST</stp>
        <stp>IBCP</stp>
        <tr r="D64" s="4"/>
      </tp>
      <tp>
        <v>912.01</v>
        <stp/>
        <stp>LAST</stp>
        <stp>CBCY</stp>
        <tr r="D3" s="3"/>
      </tp>
      <tp>
        <v>62.4</v>
        <stp/>
        <stp>LAST</stp>
        <stp>ABCB</stp>
        <tr r="D23" s="3"/>
      </tp>
      <tp>
        <v>26.26</v>
        <stp/>
        <stp>LAST</stp>
        <stp>SBCF</stp>
        <tr r="D50" s="3"/>
      </tp>
      <tp>
        <v>42.96</v>
        <stp/>
        <stp>LAST</stp>
        <stp>GBCI</stp>
        <tr r="D43" s="3"/>
      </tp>
      <tp>
        <v>17.71</v>
        <stp/>
        <stp>LAST</stp>
        <stp>BBAR</stp>
        <tr r="D72" s="3"/>
      </tp>
      <tp>
        <v>15.76</v>
        <stp/>
        <stp>LAST</stp>
        <stp>CBAN</stp>
        <tr r="D92" s="4"/>
      </tp>
      <tp>
        <v>16.23</v>
        <stp/>
        <stp>LAST</stp>
        <stp>HBAN</stp>
        <tr r="D13" s="2"/>
      </tp>
      <tp>
        <v>41.74</v>
        <stp/>
        <stp>LAST</stp>
        <stp>FBNC</stp>
        <tr r="D24" s="4"/>
      </tp>
      <tp>
        <v>15.08</v>
        <stp/>
        <stp>LAST</stp>
        <stp>HBNC</stp>
        <tr r="D129" s="4"/>
      </tp>
      <tp>
        <v>11.15</v>
        <stp/>
        <stp>LAST</stp>
        <stp>VBNK</stp>
        <tr r="D132" s="4"/>
      </tp>
      <tp>
        <v>31.78</v>
        <stp/>
        <stp>LAST</stp>
        <stp>CBNK</stp>
        <tr r="D48" s="4"/>
      </tp>
      <tp>
        <v>64.88</v>
        <stp/>
        <stp>LAST</stp>
        <stp>IBOC</stp>
        <tr r="D9" s="3"/>
      </tp>
      <tp>
        <v>219.55</v>
        <stp/>
        <stp>LAST</stp>
        <stp>CBOE</stp>
        <tr r="D64" s="2"/>
      </tp>
      <tp>
        <v>32.439900000000002</v>
        <stp/>
        <stp>LAST</stp>
        <stp>GBLI</stp>
        <tr r="D257" s="4"/>
      </tp>
      <tp>
        <v>204.67</v>
        <stp/>
        <stp>LAST</stp>
        <stp>IBKR</stp>
        <tr r="D51" s="2"/>
      </tp>
      <tp>
        <v>37.28</v>
        <stp/>
        <stp>LAST</stp>
        <stp>NBHC</stp>
        <tr r="D60" s="4"/>
      </tp>
      <tp>
        <v>48.19</v>
        <stp/>
        <stp>LAST</stp>
        <stp>FBIZ</stp>
        <tr r="D15" s="4"/>
      </tp>
      <tp>
        <v>32.69</v>
        <stp/>
        <stp>LAST</stp>
        <stp>MBIN</stp>
        <tr r="D232" s="4"/>
      </tp>
      <tp>
        <v>63.74</v>
        <stp/>
        <stp>LAST</stp>
        <stp>VCTR</stp>
        <tr r="D88" s="3"/>
      </tp>
      <tp>
        <v>3.82</v>
        <stp/>
        <stp>LAST</stp>
        <stp>ACTG</stp>
        <tr r="D226" s="4"/>
      </tp>
      <tp>
        <v>4.88</v>
        <stp/>
        <stp>LAST</stp>
        <stp>ACRE</stp>
        <tr r="D285" s="4"/>
      </tp>
      <tp>
        <v>67.06</v>
        <stp/>
        <stp>LAST</stp>
        <stp>QCRH</stp>
        <tr r="D4" s="4"/>
      </tp>
      <tp>
        <v>15.79</v>
        <stp/>
        <stp>LAST</stp>
        <stp>BCSF</stp>
        <tr r="D166" s="4"/>
      </tp>
      <tp>
        <v>14.45</v>
        <stp/>
        <stp>LAST</stp>
        <stp>OCSL</stp>
        <tr r="D148" s="4"/>
      </tp>
      <tp>
        <v>7.95</v>
        <stp/>
        <stp>LAST</stp>
        <stp>TCPC</stp>
        <tr r="D141" s="4"/>
      </tp>
      <tp>
        <v>38.35</v>
        <stp/>
        <stp>LAST</stp>
        <stp>ECPG</stp>
        <tr r="D190" s="4"/>
      </tp>
      <tp>
        <v>131.07</v>
        <stp/>
        <stp>LAST</stp>
        <stp>FCFS</stp>
        <tr r="D116" s="3"/>
      </tp>
      <tp>
        <v>17.36</v>
        <stp/>
        <stp>LAST</stp>
        <stp>OCFC</stp>
        <tr r="D125" s="4"/>
      </tp>
      <tp>
        <v>92.35</v>
        <stp/>
        <stp>LAST</stp>
        <stp>ACGL</stp>
        <tr r="D134" s="2"/>
      </tp>
      <tp>
        <v>31.07</v>
        <stp/>
        <stp>LAST</stp>
        <stp>TCBX</stp>
        <tr r="D89" s="4"/>
      </tp>
      <tp>
        <v>38.299999999999997</v>
        <stp/>
        <stp>LAST</stp>
        <stp>FCBC</stp>
        <tr r="D77" s="4"/>
      </tp>
      <tp>
        <v>22.21</v>
        <stp/>
        <stp>LAST</stp>
        <stp>GCBC</stp>
        <tr r="D107" s="4"/>
      </tp>
      <tp>
        <v>37.19</v>
        <stp/>
        <stp>LAST</stp>
        <stp>CCBG</stp>
        <tr r="D52" s="4"/>
      </tp>
      <tp>
        <v>40.44</v>
        <stp/>
        <stp>LAST</stp>
        <stp>TCBK</stp>
        <tr r="D62" s="4"/>
      </tp>
      <tp>
        <v>77.959999999999994</v>
        <stp/>
        <stp>LAST</stp>
        <stp>TCBI</stp>
        <tr r="D14" s="3"/>
      </tp>
      <tp>
        <v>15.07</v>
        <stp/>
        <stp>LAST</stp>
        <stp>CCAP</stp>
        <tr r="D169" s="4"/>
      </tp>
      <tp>
        <v>41.53</v>
        <stp/>
        <stp>LAST</stp>
        <stp>ACNB</stp>
        <tr r="D68" s="4"/>
      </tp>
      <tp>
        <v>21.93</v>
        <stp/>
        <stp>LAST</stp>
        <stp>CCNE</stp>
        <tr r="D85" s="4"/>
      </tp>
      <tp>
        <v>27.19</v>
        <stp/>
        <stp>LAST</stp>
        <stp>DCOM</stp>
        <tr r="D73" s="4"/>
      </tp>
      <tp>
        <v>12.63</v>
        <stp/>
        <stp>LAST</stp>
        <stp>GCMG</stp>
        <tr r="D146" s="4"/>
      </tp>
      <tp>
        <v>88.21</v>
        <stp/>
        <stp>LAST</stp>
        <stp>SCHW</stp>
        <tr r="D72" s="2"/>
      </tp>
      <tp>
        <v>10.92</v>
        <stp/>
        <stp>LAST</stp>
        <stp>ACIC</stp>
        <tr r="D250" s="4"/>
      </tp>
      <tp>
        <v>224.72</v>
        <stp/>
        <stp>LAST</stp>
        <stp>DAVE</stp>
        <tr r="D115" s="3"/>
      </tp>
      <tp>
        <v>13.58</v>
        <stp/>
        <stp>LAST</stp>
        <stp>NAVI</stp>
        <tr r="D194" s="4"/>
      </tp>
      <tp>
        <v>44.61</v>
        <stp/>
        <stp>LAST</stp>
        <stp>CATY</stp>
        <tr r="D24" s="3"/>
      </tp>
      <tp>
        <v>27.36</v>
        <stp/>
        <stp>LAST</stp>
        <stp>NATL</stp>
        <tr r="D208" s="4"/>
      </tp>
      <tp>
        <v>42.64</v>
        <stp/>
        <stp>LAST</stp>
        <stp>CASS</stp>
        <tr r="D207" s="4"/>
      </tp>
      <tp>
        <v>25.97</v>
        <stp/>
        <stp>LAST</stp>
        <stp>HASI</stp>
        <tr r="D143" s="3"/>
      </tp>
      <tp>
        <v>27.75</v>
        <stp/>
        <stp>LAST</stp>
        <stp>WASH</stp>
        <tr r="D55" s="4"/>
      </tp>
      <tp>
        <v>77.11</v>
        <stp/>
        <stp>LAST</stp>
        <stp>CASH</stp>
        <tr r="D33" s="4"/>
      </tp>
      <tp>
        <v>6.98</v>
        <stp/>
        <stp>LAST</stp>
        <stp>PAYO</stp>
        <tr r="D138" s="3"/>
      </tp>
      <tp>
        <v>79.319999999999993</v>
        <stp/>
        <stp>LAST</stp>
        <stp>SAFT</stp>
        <tr r="D242" s="4"/>
      </tp>
      <tp>
        <v>23.45</v>
        <stp/>
        <stp>LAST</stp>
        <stp>HAFC</stp>
        <tr r="D105" s="4"/>
      </tp>
      <tp>
        <v>29.03</v>
        <stp/>
        <stp>LAST</stp>
        <stp>WAFD</stp>
        <tr r="D40" s="3"/>
      </tp>
      <tp>
        <v>8.51</v>
        <stp/>
        <stp>LAST</stp>
        <stp>PAGS</stp>
        <tr r="D145" s="3"/>
      </tp>
      <tp>
        <v>10.7</v>
        <stp/>
        <stp>LAST</stp>
        <stp>LADR</stp>
        <tr r="D280" s="4"/>
      </tp>
      <tp>
        <v>31.05</v>
        <stp/>
        <stp>LAST</stp>
        <stp>CADE</stp>
        <tr r="D35" s="3"/>
      </tp>
      <tp>
        <v>48.63</v>
        <stp/>
        <stp>LAST</stp>
        <stp>WABC</stp>
        <tr r="D38" s="4"/>
      </tp>
      <tp>
        <v>38.39</v>
        <stp/>
        <stp>LAST</stp>
        <stp>GABC</stp>
        <tr r="D57" s="4"/>
      </tp>
      <tp>
        <v>506.71</v>
        <stp/>
        <stp>LAST</stp>
        <stp>CACC</stp>
        <tr r="D110" s="3"/>
      </tp>
      <tp>
        <v>62.72</v>
        <stp/>
        <stp>LAST</stp>
        <stp>BANR</stp>
        <tr r="D8" s="3"/>
      </tp>
      <tp>
        <v>13.97</v>
        <stp/>
        <stp>LAST</stp>
        <stp>BANC</stp>
        <tr r="D65" s="3"/>
      </tp>
      <tp>
        <v>122.98</v>
        <stp/>
        <stp>LAST</stp>
        <stp>BANF</stp>
        <tr r="D12" s="3"/>
      </tp>
      <tp>
        <v>37.909999999999997</v>
        <stp/>
        <stp>LAST</stp>
        <stp>VALU</stp>
        <tr r="D153" s="4"/>
      </tp>
      <tp>
        <v>31.21</v>
        <stp/>
        <stp>LAST</stp>
        <stp>AAMI</stp>
        <tr r="D158" s="4"/>
      </tp>
      <tp>
        <v>13.98</v>
        <stp/>
        <stp>LAST</stp>
        <stp>GAIN</stp>
        <tr r="D167" s="4"/>
      </tp>
      <tp>
        <v>58.31</v>
        <stp/>
        <stp>LAST</stp>
        <stp>MAIN</stp>
        <tr r="D102" s="3"/>
      </tp>
      <tp>
        <v>23.43</v>
        <stp/>
        <stp>LAST</stp>
        <stp>HFWA</stp>
        <tr r="D94" s="4"/>
      </tp>
      <tp>
        <v>5.37</v>
        <stp/>
        <stp>LAST</stp>
        <stp>FFWM</stp>
        <tr r="D131" s="4"/>
      </tp>
      <tp>
        <v>61.34</v>
        <stp/>
        <stp>LAST</stp>
        <stp>AFRM</stp>
        <tr r="D115" s="2"/>
      </tp>
      <tp>
        <v>35</v>
        <stp/>
        <stp>LAST</stp>
        <stp>SFST</stp>
        <tr r="D41" s="4"/>
      </tp>
      <tp>
        <v>23.88</v>
        <stp/>
        <stp>LAST</stp>
        <stp>BFST</stp>
        <tr r="D79" s="4"/>
      </tp>
      <tp>
        <v>53.56</v>
        <stp/>
        <stp>LAST</stp>
        <stp>EFSC</stp>
        <tr r="D18" s="4"/>
      </tp>
      <tp>
        <v>95.98</v>
        <stp/>
        <stp>LAST</stp>
        <stp>PFSI</stp>
        <tr r="D149" s="3"/>
      </tp>
      <tp>
        <v>13.3</v>
        <stp/>
        <stp>LAST</stp>
        <stp>TFSL</stp>
        <tr r="D66" s="3"/>
      </tp>
      <tp>
        <v>5.82</v>
        <stp/>
        <stp>LAST</stp>
        <stp>CFFN</stp>
        <tr r="D128" s="4"/>
      </tp>
      <tp>
        <v>23.12</v>
        <stp/>
        <stp>LAST</stp>
        <stp>DFDV</stp>
        <tr r="D201" s="4"/>
      </tp>
      <tp>
        <v>75.25</v>
        <stp/>
        <stp>LAST</stp>
        <stp>SFBS</stp>
        <tr r="D28" s="3"/>
      </tp>
      <tp>
        <v>84.5</v>
        <stp/>
        <stp>LAST</stp>
        <stp>PFBC</stp>
        <tr r="D6" s="4"/>
      </tp>
      <tp>
        <v>24.12</v>
        <stp/>
        <stp>LAST</stp>
        <stp>FFBC</stp>
        <tr r="D41" s="3"/>
      </tp>
      <tp>
        <v>12.02</v>
        <stp/>
        <stp>LAST</stp>
        <stp>NFBK</stp>
        <tr r="D118" s="4"/>
      </tp>
      <tp>
        <v>28.34</v>
        <stp/>
        <stp>LAST</stp>
        <stp>UFCS</stp>
        <tr r="D239" s="4"/>
      </tp>
      <tp>
        <v>18.98</v>
        <stp/>
        <stp>LAST</stp>
        <stp>SFNC</stp>
        <tr r="D42" s="3"/>
      </tp>
      <tp>
        <v>10.46</v>
        <stp/>
        <stp>LAST</stp>
        <stp>PFLT</stp>
        <tr r="D181" s="4"/>
      </tp>
      <tp>
        <v>48.52</v>
        <stp/>
        <stp>LAST</stp>
        <stp>PFIS</stp>
        <tr r="D44" s="4"/>
      </tp>
      <tp>
        <v>12.18</v>
        <stp/>
        <stp>LAST</stp>
        <stp>FFIC</stp>
        <tr r="D123" s="4"/>
      </tp>
      <tp>
        <v>13.09</v>
        <stp/>
        <stp>LAST</stp>
        <stp>MFIC</stp>
        <tr r="D176" s="4"/>
      </tp>
      <tp>
        <v>60.12</v>
        <stp/>
        <stp>LAST</stp>
        <stp>TFIN</stp>
        <tr r="D110" s="4"/>
      </tp>
      <tp>
        <v>42.69</v>
        <stp/>
        <stp>LAST</stp>
        <stp>QFIN</stp>
        <tr r="D117" s="3"/>
      </tp>
      <tp>
        <v>36.729999999999997</v>
        <stp/>
        <stp>LAST</stp>
        <stp>FFIN</stp>
        <tr r="D51" s="3"/>
      </tp>
      <tp>
        <v>56.56</v>
        <stp/>
        <stp>LAST</stp>
        <stp>DFIN</stp>
        <tr r="D145" s="4"/>
      </tp>
      <tp>
        <v>17.690000000000001</v>
        <stp/>
        <stp>LAST</stp>
        <stp>JFIN</stp>
        <tr r="D197" s="4"/>
      </tp>
      <tp>
        <v>9.7899999999999991</v>
        <stp/>
        <stp>LAST</stp>
        <stp>HGTY</stp>
        <tr r="D256" s="4"/>
      </tp>
      <tp>
        <v>14.14</v>
        <stp/>
        <stp>LAST</stp>
        <stp>CGBD</stp>
        <tr r="D143" s="4"/>
      </tp>
      <tp>
        <v>17.68</v>
        <stp/>
        <stp>LAST</stp>
        <stp>EGBN</stp>
        <tr r="D28" s="4"/>
      </tp>
      <tp>
        <v>54.02</v>
        <stp/>
        <stp>LAST</stp>
        <stp>GGAL</stp>
        <tr r="D69" s="3"/>
      </tp>
      <tp>
        <v>9.2100000000000009</v>
        <stp/>
        <stp>LAST</stp>
        <stp>AGNC</stp>
        <tr r="D184" s="3"/>
      </tp>
      <tp>
        <v>22.87</v>
        <stp/>
        <stp>LAST</stp>
        <stp>IGIC</stp>
        <tr r="D245" s="4"/>
      </tp>
      <tp>
        <v>20.52</v>
        <stp/>
        <stp>LAST</stp>
        <stp>FDUS</stp>
        <tr r="D174" s="4"/>
      </tp>
      <tp>
        <v>85.65</v>
        <stp/>
        <stp>LAST</stp>
        <stp>NDAQ</stp>
        <tr r="D77" s="2"/>
      </tp>
      <tp>
        <v>10.27</v>
        <stp/>
        <stp>LAST</stp>
        <stp>GDOT</stp>
        <tr r="D200" s="4"/>
      </tp>
      <tp>
        <v>13.29</v>
        <stp/>
        <stp>LAST</stp>
        <stp>PDLB</stp>
        <tr r="D120" s="4"/>
      </tp>
      <tp>
        <v>10.91</v>
        <stp/>
        <stp>LAST</stp>
        <stp>NEWT</stp>
        <tr r="D231" s="4"/>
      </tp>
      <tp>
        <v>132.16</v>
        <stp/>
        <stp>LAST</stp>
        <stp>SEZL</stp>
        <tr r="D134" s="3"/>
      </tp>
      <tp>
        <v>3.46</v>
        <stp/>
        <stp>LAST</stp>
        <stp>DEFT</stp>
        <tr r="D172" s="4"/>
      </tp>
      <tp>
        <v>111.08</v>
        <stp/>
        <stp>LAST</stp>
        <stp>EEFT</stp>
        <tr r="D125" s="3"/>
      </tp>
      <tp>
        <v>14.28</v>
        <stp/>
        <stp>LAST</stp>
        <stp>REFI</stp>
        <tr r="D277" s="4"/>
      </tp>
      <tp>
        <v>29.79</v>
        <stp/>
        <stp>LAST</stp>
        <stp>PEBO</stp>
        <tr r="D46" s="4"/>
      </tp>
      <tp>
        <v>22.52</v>
        <stp/>
        <stp>LAST</stp>
        <stp>NECB</stp>
        <tr r="D54" s="4"/>
      </tp>
      <tp>
        <v>20.309999999999999</v>
        <stp/>
        <stp>LAST</stp>
        <stp>RELY</stp>
        <tr r="D133" s="3"/>
      </tp>
      <tp>
        <v>84.53</v>
        <stp/>
        <stp>LAST</stp>
        <stp>SEIC</stp>
        <tr r="D73" s="2"/>
      </tp>
      <tp>
        <v>10.02</v>
        <stp/>
        <stp>LAST</stp>
        <stp>WT</stp>
        <tr r="D161" s="4"/>
      </tp>
      <tp>
        <v>9.2799999999999994</v>
        <stp/>
        <stp>LAST</stp>
        <stp>WU</stp>
        <tr r="D136" s="3"/>
      </tp>
      <tp>
        <v>45.23</v>
        <stp/>
        <stp>LAST</stp>
        <stp>WF</stp>
        <tr r="D40" s="2"/>
      </tp>
      <tp>
        <v>69.78</v>
        <stp/>
        <stp>LAST</stp>
        <stp>WD</stp>
        <tr r="D147" s="3"/>
      </tp>
      <tp>
        <v>137.43</v>
        <stp/>
        <stp>LAST</stp>
        <stp>TW</stp>
        <tr r="D75" s="2"/>
      </tp>
      <tp>
        <v>70.09</v>
        <stp/>
        <stp>LAST</stp>
        <stp>TD</stp>
        <tr r="D39" s="2"/>
      </tp>
      <tp>
        <v>127.61</v>
        <stp/>
        <stp>LAST</stp>
        <stp>RY</stp>
        <tr r="D45" s="2"/>
      </tp>
      <tp>
        <v>27.84</v>
        <stp/>
        <stp>LAST</stp>
        <stp>RM</stp>
        <tr r="D187" s="4"/>
      </tp>
      <tp>
        <v>4.4000000000000004</v>
        <stp/>
        <stp>LAST</stp>
        <stp>RC</stp>
        <tr r="D272" s="4"/>
      </tp>
      <tp>
        <v>22.09</v>
        <stp/>
        <stp>LAST</stp>
        <stp>RF</stp>
        <tr r="D10" s="2"/>
      </tp>
      <tp>
        <v>96.62</v>
        <stp/>
        <stp>LAST</stp>
        <stp>SF</stp>
        <tr r="D83" s="3"/>
      </tp>
      <tp>
        <v>9.89</v>
        <stp/>
        <stp>LAST</stp>
        <stp>PX</stp>
        <tr r="D163" s="4"/>
      </tp>
      <tp>
        <v>70.23</v>
        <stp/>
        <stp>LAST</stp>
        <stp>PB</stp>
        <tr r="D25" s="3"/>
      </tp>
      <tp>
        <v>2.94</v>
        <stp/>
        <stp>LAST</stp>
        <stp>QD</stp>
        <tr r="D202" s="4"/>
      </tp>
      <tp>
        <v>19.5</v>
        <stp/>
        <stp>LAST</stp>
        <stp>XP</stp>
        <tr r="D76" s="2"/>
      </tp>
      <tp>
        <v>16.78</v>
        <stp/>
        <stp>LAST</stp>
        <stp>YB</stp>
        <tr r="D237" s="4"/>
      </tp>
      <tp>
        <v>166.94</v>
        <stp/>
        <stp>LAST</stp>
        <stp>FI</stp>
        <tr r="D106" s="2"/>
      </tp>
      <tp>
        <v>32.72</v>
        <stp/>
        <stp>LAST</stp>
        <stp>FG</stp>
        <tr r="D153" s="3"/>
      </tp>
      <tp>
        <v>613.52</v>
        <stp/>
        <stp>LAST</stp>
        <stp>GS</stp>
        <tr r="D94" s="2"/>
      </tp>
      <tp>
        <v>120.66</v>
        <stp/>
        <stp>LAST</stp>
        <stp>GL</stp>
        <tr r="D137" s="2"/>
      </tp>
      <tp>
        <v>7.44</v>
        <stp/>
        <stp>LAST</stp>
        <stp>GB</stp>
        <tr r="D215" s="4"/>
      </tp>
      <tp>
        <v>12.21</v>
        <stp/>
        <stp>LAST</stp>
        <stp>DX</stp>
        <tr r="D286" s="4"/>
      </tp>
      <tp>
        <v>28.14</v>
        <stp/>
        <stp>LAST</stp>
        <stp>DB</stp>
        <tr r="D92" s="2"/>
      </tp>
      <tp>
        <v>139.97999999999999</v>
        <stp/>
        <stp>LAST</stp>
        <stp>BX</stp>
        <tr r="D74" s="2"/>
      </tp>
      <tp>
        <v>26.54</v>
        <stp/>
        <stp>LAST</stp>
        <stp>BY</stp>
        <tr r="D70" s="4"/>
      </tp>
      <tp>
        <v>90.01</v>
        <stp/>
        <stp>LAST</stp>
        <stp>BK</stp>
        <tr r="D78" s="2"/>
      </tp>
      <tp>
        <v>58.59</v>
        <stp/>
        <stp>LAST</stp>
        <stp>BN</stp>
        <tr r="D85" s="2"/>
      </tp>
      <tp>
        <v>68.709999999999994</v>
        <stp/>
        <stp>LAST</stp>
        <stp>CM</stp>
        <tr r="D44" s="2"/>
      </tp>
      <tp>
        <v>289.8</v>
        <stp/>
        <stp>LAST</stp>
        <stp>CB</stp>
        <tr r="D125" s="2"/>
      </tp>
      <tp>
        <v>46.58</v>
        <stp/>
        <stp>LAST</stp>
        <stp>CG</stp>
        <tr r="D87" s="2"/>
      </tp>
      <tp>
        <v>71.849999999999994</v>
        <stp/>
        <stp>LAST</stp>
        <stp>AX</stp>
        <tr r="D16" s="3"/>
      </tp>
      <tp>
        <v>40.72</v>
        <stp/>
        <stp>LAST</stp>
        <stp>AB</stp>
        <tr r="D92" s="3"/>
      </tp>
      <tp>
        <v>37.85</v>
        <stp/>
        <stp>LAST</stp>
        <stp>AC</stp>
        <tr r="D159" s="4"/>
      </tp>
      <tp>
        <v>11.92</v>
        <stp/>
        <stp>LAST</stp>
        <stp>NU</stp>
        <tr r="D26" s="2"/>
      </tp>
      <tp>
        <v>7.52</v>
        <stp/>
        <stp>LAST</stp>
        <stp>LX</stp>
        <tr r="D199" s="4"/>
      </tp>
      <tp>
        <v>2.88</v>
        <stp/>
        <stp>LAST</stp>
        <stp>LU</stp>
        <tr r="D118" s="3"/>
      </tp>
      <tp>
        <v>10.7</v>
        <stp/>
        <stp>LAST</stp>
        <stp>LC</stp>
        <tr r="D205" s="4"/>
      </tp>
      <tp>
        <v>131.94999999999999</v>
        <stp/>
        <stp>LAST</stp>
        <stp>MS</stp>
        <tr r="D91" s="2"/>
      </tp>
      <tp>
        <v>5.41</v>
        <stp/>
        <stp>LAST</stp>
        <stp>MQ</stp>
        <tr r="D140" s="3"/>
      </tp>
      <tp>
        <v>58.47</v>
        <stp/>
        <stp>LAST</stp>
        <stp>MC</stp>
        <tr r="D87" s="3"/>
      </tp>
      <tp>
        <v>584.33000000000004</v>
        <stp/>
        <stp>LAST</stp>
        <stp>MA</stp>
        <tr r="D103" s="2"/>
      </tp>
      <tp>
        <v>81.260000000000005</v>
        <stp/>
        <stp>LAST</stp>
        <stp>KB</stp>
        <tr r="D46" s="2"/>
      </tp>
      <tp>
        <v>21.06</v>
        <stp/>
        <stp>LAST</stp>
        <stp>HG</stp>
        <tr r="D165" s="3"/>
      </tp>
      <tp>
        <v>21.54</v>
        <stp/>
        <stp>LAST</stp>
        <stp>IX</stp>
        <tr r="D117" s="2"/>
      </tp>
      <tp>
        <v>366.66</v>
        <stp/>
        <stp>LAST</stp>
        <stp>V</stp>
        <tr r="D105" s="2"/>
      </tp>
      <tp>
        <v>78.17</v>
        <stp/>
        <stp>LAST</stp>
        <stp>C</stp>
        <tr r="D48" s="2"/>
      </tp>
      <tp>
        <v>88.36</v>
        <stp/>
        <stp>LAST</stp>
        <stp>L</stp>
        <tr r="D13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7104745368" createdVersion="8" refreshedVersion="8" minRefreshableVersion="3" recordCount="157" xr:uid="{3432845B-C090-4238-AA0B-FA56B072311B}">
  <cacheSource type="worksheet">
    <worksheetSource name="Main_L"/>
  </cacheSource>
  <cacheFields count="26">
    <cacheField name="Industry" numFmtId="0">
      <sharedItems count="58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4" maxValue="733676"/>
    </cacheField>
    <cacheField name="Current Price" numFmtId="0">
      <sharedItems containsSemiMixedTypes="0" containsString="0" containsNumber="1" minValue="2.4900000000000002" maxValue="1943.58"/>
    </cacheField>
    <cacheField name="Free CF" numFmtId="0">
      <sharedItems containsSemiMixedTypes="0" containsString="0" containsNumber="1" minValue="-79.08" maxValue="160.80000000000001"/>
    </cacheField>
    <cacheField name="BVPS" numFmtId="0">
      <sharedItems containsSemiMixedTypes="0" containsString="0" containsNumber="1" minValue="-12.35" maxValue="1596.28"/>
    </cacheField>
    <cacheField name="EPS" numFmtId="0">
      <sharedItems containsSemiMixedTypes="0" containsString="0" containsNumber="1" minValue="-0.52" maxValue="175.01"/>
    </cacheField>
    <cacheField name="P/FCF" numFmtId="2">
      <sharedItems containsMixedTypes="1" containsNumber="1" minValue="-407" maxValue="3019"/>
    </cacheField>
    <cacheField name="P/B" numFmtId="2">
      <sharedItems containsSemiMixedTypes="0" containsString="0" containsNumber="1" minValue="-45.182186234817813" maxValue="1223"/>
    </cacheField>
    <cacheField name="ROE" numFmtId="0">
      <sharedItems containsSemiMixedTypes="0" containsString="0" containsNumber="1" minValue="-141.91999999999999" maxValue="187.7"/>
    </cacheField>
    <cacheField name="ROA" numFmtId="0">
      <sharedItems containsSemiMixedTypes="0" containsString="0" containsNumber="1" minValue="-1.38" maxValue="23.36"/>
    </cacheField>
    <cacheField name="A/E" numFmtId="0">
      <sharedItems containsSemiMixedTypes="0" containsString="0" containsNumber="1" minValue="-5.58" maxValue="321.44"/>
    </cacheField>
    <cacheField name="P/E" numFmtId="2">
      <sharedItems containsSemiMixedTypes="0" containsString="0" containsNumber="1" minValue="-579.17307692307691" maxValue="3019"/>
    </cacheField>
    <cacheField name="Preliminary Criteria" numFmtId="0">
      <sharedItems/>
    </cacheField>
    <cacheField name="P/FCF Z-Score" numFmtId="2">
      <sharedItems containsMixedTypes="1" containsNumber="1" minValue="-33.519748321699936" maxValue="248.6616198192435"/>
    </cacheField>
    <cacheField name="P/B Z-Score" numFmtId="2">
      <sharedItems containsMixedTypes="1" containsNumber="1" minValue="-16.285675766097121" maxValue="2682.3861657511256"/>
    </cacheField>
    <cacheField name="ROE Z-Score" numFmtId="2">
      <sharedItems containsMixedTypes="1" containsNumber="1" minValue="-19.492187137564301" maxValue="11.432508456313858"/>
    </cacheField>
    <cacheField name="ROA Z-Score" numFmtId="2">
      <sharedItems containsMixedTypes="1" containsNumber="1" minValue="-2.0093006668269466" maxValue="10.946336636900643"/>
    </cacheField>
    <cacheField name="A/E Z-Score" numFmtId="2">
      <sharedItems containsMixedTypes="1" containsNumber="1" minValue="-2.1559356797230285" maxValue="99.13223553416131"/>
    </cacheField>
    <cacheField name="P/E Z-Score" numFmtId="2">
      <sharedItems containsMixedTypes="1" containsNumber="1" minValue="-112.91923872680289" maxValue="797.1272242190333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7106481484" createdVersion="8" refreshedVersion="8" minRefreshableVersion="3" recordCount="183" xr:uid="{A2646FF5-8A5C-4026-A340-9C8CC354FDFF}">
  <cacheSource type="worksheet">
    <worksheetSource name="Main_M"/>
  </cacheSource>
  <cacheFields count="26">
    <cacheField name="Industry" numFmtId="0">
      <sharedItems count="59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3" maxValue="9962"/>
    </cacheField>
    <cacheField name="Current Price" numFmtId="0">
      <sharedItems containsSemiMixedTypes="0" containsString="0" containsNumber="1" minValue="2.76" maxValue="1787.1"/>
    </cacheField>
    <cacheField name="Free CF" numFmtId="0">
      <sharedItems containsString="0" containsBlank="1" containsNumber="1" minValue="-50.64" maxValue="201.25"/>
    </cacheField>
    <cacheField name="BVPS" numFmtId="0">
      <sharedItems containsString="0" containsBlank="1" containsNumber="1" minValue="-3.53" maxValue="1774.85"/>
    </cacheField>
    <cacheField name="EPS" numFmtId="0">
      <sharedItems containsString="0" containsBlank="1" containsNumber="1" minValue="-3.03" maxValue="210.52"/>
    </cacheField>
    <cacheField name="P/FCF" numFmtId="2">
      <sharedItems containsMixedTypes="1" containsNumber="1" minValue="-1056" maxValue="1781.95"/>
    </cacheField>
    <cacheField name="P/B" numFmtId="2">
      <sharedItems containsMixedTypes="1" containsNumber="1" minValue="-30.793201133144478" maxValue="35.718918918918916"/>
    </cacheField>
    <cacheField name="ROE" numFmtId="0">
      <sharedItems containsSemiMixedTypes="0" containsString="0" containsNumber="1" minValue="-85.18" maxValue="137.32"/>
    </cacheField>
    <cacheField name="ROA" numFmtId="0">
      <sharedItems containsSemiMixedTypes="0" containsString="0" containsNumber="1" minValue="-7.54" maxValue="45.83"/>
    </cacheField>
    <cacheField name="A/E" numFmtId="0">
      <sharedItems containsSemiMixedTypes="0" containsString="0" containsNumber="1" minValue="-4.66" maxValue="53.13"/>
    </cacheField>
    <cacheField name="P/E" numFmtId="2">
      <sharedItems containsMixedTypes="1" containsNumber="1" minValue="-677" maxValue="978.99999999999989"/>
    </cacheField>
    <cacheField name="Preliminary Criteria" numFmtId="0">
      <sharedItems/>
    </cacheField>
    <cacheField name="P/FCF Z-Score" numFmtId="2">
      <sharedItems containsMixedTypes="1" containsNumber="1" minValue="-102.65652365927185" maxValue="286.34774320434616"/>
    </cacheField>
    <cacheField name="P/B Z-Score" numFmtId="2">
      <sharedItems containsMixedTypes="1" containsNumber="1" minValue="-19.48332188772217" maxValue="32.104290934773424"/>
    </cacheField>
    <cacheField name="ROE Z-Score" numFmtId="2">
      <sharedItems containsSemiMixedTypes="0" containsString="0" containsNumber="1" minValue="-12.983775603725183" maxValue="5.9300719552513241"/>
    </cacheField>
    <cacheField name="ROA Z-Score" numFmtId="2">
      <sharedItems containsSemiMixedTypes="0" containsString="0" containsNumber="1" minValue="-7.1340773737528682" maxValue="12.653265306869928"/>
    </cacheField>
    <cacheField name="A/E Z-Score" numFmtId="2">
      <sharedItems containsSemiMixedTypes="0" containsString="0" containsNumber="1" minValue="-5.0699701742202379" maxValue="27.151203490516881"/>
    </cacheField>
    <cacheField name="P/E Z-Score" numFmtId="2">
      <sharedItems containsMixedTypes="1" containsNumber="1" minValue="-72.105869092522539" maxValue="100.06986653330752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7108333332" createdVersion="8" refreshedVersion="8" minRefreshableVersion="3" recordCount="290" xr:uid="{FEEDC4AE-CB7E-4F82-B64E-6462C5DE2153}">
  <cacheSource type="worksheet">
    <worksheetSource name="Main_S"/>
  </cacheSource>
  <cacheFields count="26">
    <cacheField name="Industry" numFmtId="0">
      <sharedItems count="60">
        <s v="Banks"/>
        <s v="Capital Markets"/>
        <s v="Consumer Finance"/>
        <s v="Financial Services"/>
        <s v="Insurance"/>
        <s v="Mortgage Real Estate Investment Trusts (REITs)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4" maxValue="2000"/>
    </cacheField>
    <cacheField name="Current Price" numFmtId="0">
      <sharedItems containsSemiMixedTypes="0" containsString="0" containsNumber="1" minValue="1.3" maxValue="229.5"/>
    </cacheField>
    <cacheField name="Free CF" numFmtId="0">
      <sharedItems containsString="0" containsBlank="1" containsNumber="1" minValue="-65.099999999999994" maxValue="69.86"/>
    </cacheField>
    <cacheField name="BVPS" numFmtId="0">
      <sharedItems containsString="0" containsBlank="1" containsNumber="1" minValue="-1.99" maxValue="484.82"/>
    </cacheField>
    <cacheField name="EPS" numFmtId="0">
      <sharedItems containsString="0" containsBlank="1" containsNumber="1" minValue="-36.07" maxValue="16.84"/>
    </cacheField>
    <cacheField name="P/FCF" numFmtId="2">
      <sharedItems containsMixedTypes="1" containsNumber="1" minValue="-229.99999999999997" maxValue="1478.5"/>
    </cacheField>
    <cacheField name="P/B" numFmtId="2">
      <sharedItems containsMixedTypes="1" containsNumber="1" minValue="-20.047619047619047" maxValue="82.571428571428569"/>
    </cacheField>
    <cacheField name="ROE" numFmtId="0">
      <sharedItems containsSemiMixedTypes="0" containsString="0" containsNumber="1" minValue="-149.77000000000001" maxValue="230.62"/>
    </cacheField>
    <cacheField name="ROA" numFmtId="0">
      <sharedItems containsSemiMixedTypes="0" containsString="0" containsNumber="1" minValue="-36.92" maxValue="24.96"/>
    </cacheField>
    <cacheField name="A/E" numFmtId="0">
      <sharedItems containsSemiMixedTypes="0" containsString="0" containsNumber="1" minValue="-20.47" maxValue="85.21"/>
    </cacheField>
    <cacheField name="P/E" numFmtId="2">
      <sharedItems containsMixedTypes="1" containsNumber="1" minValue="-1302" maxValue="256.75"/>
    </cacheField>
    <cacheField name="Preliminary Criteria" numFmtId="0">
      <sharedItems/>
    </cacheField>
    <cacheField name="P/FCF Z-Score" numFmtId="2">
      <sharedItems containsMixedTypes="1" containsNumber="1" minValue="-33.535061237383395" maxValue="208.7774543537069"/>
    </cacheField>
    <cacheField name="P/B Z-Score" numFmtId="2">
      <sharedItems containsMixedTypes="1" containsNumber="1" minValue="-24.824693264161841" maxValue="88.688356308867071"/>
    </cacheField>
    <cacheField name="ROE Z-Score" numFmtId="2">
      <sharedItems containsSemiMixedTypes="0" containsString="0" containsNumber="1" minValue="-19.7095804420691" maxValue="31.62835202995392"/>
    </cacheField>
    <cacheField name="ROA Z-Score" numFmtId="2">
      <sharedItems containsSemiMixedTypes="0" containsString="0" containsNumber="1" minValue="-12.354764214036328" maxValue="18.701038588486519"/>
    </cacheField>
    <cacheField name="A/E Z-Score" numFmtId="2">
      <sharedItems containsSemiMixedTypes="0" containsString="0" containsNumber="1" minValue="-43.621683370847101" maxValue="56.168986830744849"/>
    </cacheField>
    <cacheField name="P/E Z-Score" numFmtId="2">
      <sharedItems containsMixedTypes="1" containsNumber="1" minValue="-279.20168062561163" maxValue="58.308451328184816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s v="FCNCA"/>
    <n v="24570"/>
    <n v="1831.72"/>
    <n v="73.819999999999993"/>
    <n v="1596.28"/>
    <n v="175.01"/>
    <n v="24.813329720942836"/>
    <n v="1.1474929210414213"/>
    <n v="11.46"/>
    <n v="1.1299999999999999"/>
    <n v="10.69"/>
    <n v="10.466373350094281"/>
    <s v="NO"/>
    <n v="2.0464151815551621"/>
    <n v="-0.25794634790538729"/>
    <n v="-5.9933575770642261E-2"/>
    <n v="0.38598942255808899"/>
    <n v="-0.67836753028407948"/>
    <n v="-0.32255057010552518"/>
    <x v="0"/>
    <x v="0"/>
    <x v="0"/>
    <x v="0"/>
    <x v="0"/>
    <x v="0"/>
  </r>
  <r>
    <x v="0"/>
    <s v="MTB"/>
    <n v="29317"/>
    <n v="184.29"/>
    <n v="19.809999999999999"/>
    <n v="163.63"/>
    <n v="14.94"/>
    <n v="9.3028773346794544"/>
    <n v="1.1262604656847766"/>
    <n v="9.41"/>
    <n v="1.24"/>
    <n v="7.91"/>
    <n v="12.335341365461847"/>
    <s v="NO"/>
    <n v="0.76890184972773612"/>
    <n v="-0.30456336675005846"/>
    <n v="-0.66871832064811398"/>
    <n v="0.60920701927233067"/>
    <n v="-1.3116407277573339"/>
    <n v="0.17284296970429383"/>
    <x v="0"/>
    <x v="0"/>
    <x v="0"/>
    <x v="0"/>
    <x v="0"/>
    <x v="0"/>
  </r>
  <r>
    <x v="0"/>
    <s v="PNC"/>
    <n v="68754"/>
    <n v="178.74"/>
    <n v="13.23"/>
    <n v="127.98"/>
    <n v="14.15"/>
    <n v="13.510204081632653"/>
    <n v="1.3966244725738397"/>
    <n v="11.33"/>
    <n v="1.0900000000000001"/>
    <n v="10.95"/>
    <n v="12.631802120141343"/>
    <s v="NO"/>
    <n v="1.1154369395325343"/>
    <n v="0.28903562085473389"/>
    <n v="-9.8539437640921171E-2"/>
    <n v="0.30481938738927428"/>
    <n v="-0.61914054059233636"/>
    <n v="0.25142363104668819"/>
    <x v="0"/>
    <x v="0"/>
    <x v="0"/>
    <x v="0"/>
    <x v="0"/>
    <x v="0"/>
  </r>
  <r>
    <x v="0"/>
    <s v="EWBC"/>
    <n v="12570"/>
    <n v="94.77"/>
    <n v="10.27"/>
    <n v="57.54"/>
    <n v="8.3800000000000008"/>
    <n v="9.2278481012658222"/>
    <n v="1.6470281543274243"/>
    <n v="15.66"/>
    <n v="1.59"/>
    <n v="9.61"/>
    <n v="11.309069212410499"/>
    <s v="NO"/>
    <n v="0.76272209148628112"/>
    <n v="0.83881062120243466"/>
    <n v="1.1873327308075918"/>
    <n v="1.3194448269994627"/>
    <n v="-0.92438733361901293"/>
    <n v="-9.9183405561611482E-2"/>
    <x v="0"/>
    <x v="0"/>
    <x v="0"/>
    <x v="0"/>
    <x v="0"/>
    <x v="0"/>
  </r>
  <r>
    <x v="0"/>
    <s v="BNS"/>
    <n v="66663"/>
    <n v="54.07"/>
    <n v="7.01"/>
    <n v="49.46"/>
    <n v="3.46"/>
    <n v="7.7132667617689021"/>
    <n v="1.0932066316215123"/>
    <n v="7.91"/>
    <n v="0.47"/>
    <n v="16.670000000000002"/>
    <n v="15.627167630057803"/>
    <s v="NO"/>
    <n v="0.63797409541506567"/>
    <n v="-0.3771348701175955"/>
    <n v="-1.1141705729974833"/>
    <n v="-0.95331615772735945"/>
    <n v="0.68385323262601527"/>
    <n v="1.0453830304481417"/>
    <x v="0"/>
    <x v="0"/>
    <x v="0"/>
    <x v="0"/>
    <x v="0"/>
    <x v="0"/>
  </r>
  <r>
    <x v="0"/>
    <s v="USB"/>
    <n v="67914"/>
    <n v="44.87"/>
    <n v="5.1100000000000003"/>
    <n v="34.15"/>
    <n v="4.04"/>
    <n v="8.7808219178082183"/>
    <n v="1.313909224011713"/>
    <n v="11.53"/>
    <n v="0.99"/>
    <n v="12.7"/>
    <n v="11.106435643564355"/>
    <s v="NO"/>
    <n v="0.72590292626652309"/>
    <n v="0.10742976151376037"/>
    <n v="-3.9145803994338792E-2"/>
    <n v="0.10189429946723645"/>
    <n v="-0.22049734074406457"/>
    <n v="-0.15289398815563504"/>
    <x v="0"/>
    <x v="0"/>
    <x v="0"/>
    <x v="0"/>
    <x v="0"/>
    <x v="0"/>
  </r>
  <r>
    <x v="0"/>
    <s v="FITB"/>
    <n v="25492"/>
    <n v="39.58"/>
    <n v="4.71"/>
    <n v="27.41"/>
    <n v="3.15"/>
    <n v="8.4033970276008496"/>
    <n v="1.4439985406785845"/>
    <n v="11.72"/>
    <n v="1.08"/>
    <n v="11.63"/>
    <n v="12.565079365079365"/>
    <s v="NO"/>
    <n v="0.69481644877406523"/>
    <n v="0.39304798251956075"/>
    <n v="1.7278147969915048E-2"/>
    <n v="0.28452687859707049"/>
    <n v="-0.4642391829370075"/>
    <n v="0.23373792345606578"/>
    <x v="0"/>
    <x v="0"/>
    <x v="0"/>
    <x v="0"/>
    <x v="0"/>
    <x v="0"/>
  </r>
  <r>
    <x v="0"/>
    <s v="TFC"/>
    <n v="51727"/>
    <n v="40.450000000000003"/>
    <n v="2.67"/>
    <n v="44.85"/>
    <n v="-0.2"/>
    <n v="15.149812734082399"/>
    <n v="0.90189520624303232"/>
    <n v="0.13"/>
    <n v="0.02"/>
    <n v="9.1300000000000008"/>
    <n v="-202.25"/>
    <s v="NO"/>
    <n v="1.250482769294355"/>
    <n v="-0.79716958453316056"/>
    <n v="-3.424582921849546"/>
    <n v="-1.866479053376529"/>
    <n v="-1.0337294684345386"/>
    <n v="-56.705707640177557"/>
    <x v="0"/>
    <x v="0"/>
    <x v="1"/>
    <x v="0"/>
    <x v="0"/>
    <x v="1"/>
  </r>
  <r>
    <x v="0"/>
    <s v="RF"/>
    <n v="19273"/>
    <n v="22.09"/>
    <n v="2.34"/>
    <n v="18.7"/>
    <n v="2.0699999999999998"/>
    <n v="9.4401709401709404"/>
    <n v="1.1812834224598932"/>
    <n v="11.31"/>
    <n v="1.28"/>
    <n v="9.51"/>
    <n v="10.671497584541063"/>
    <s v="NO"/>
    <n v="0.78020999258663581"/>
    <n v="-0.18375745100501892"/>
    <n v="-0.10447880100557931"/>
    <n v="0.69037705444114572"/>
    <n v="-0.94716694503891408"/>
    <n v="-0.26817980518722584"/>
    <x v="0"/>
    <x v="0"/>
    <x v="0"/>
    <x v="0"/>
    <x v="0"/>
    <x v="0"/>
  </r>
  <r>
    <x v="0"/>
    <s v="CFG"/>
    <n v="17498"/>
    <n v="41.35"/>
    <n v="2.1800000000000002"/>
    <n v="51.99"/>
    <n v="3.15"/>
    <n v="18.967889908256879"/>
    <n v="0.79534525870359685"/>
    <n v="6.37"/>
    <n v="0.7"/>
    <n v="9.68"/>
    <n v="13.126984126984128"/>
    <s v="NO"/>
    <n v="1.5649574454987514"/>
    <n v="-1.0311058311382968"/>
    <n v="-1.5715015520761695"/>
    <n v="-0.4865884555066729"/>
    <n v="-0.90844160562508203"/>
    <n v="0.38267786611273513"/>
    <x v="0"/>
    <x v="0"/>
    <x v="0"/>
    <x v="0"/>
    <x v="0"/>
    <x v="0"/>
  </r>
  <r>
    <x v="0"/>
    <s v="FHN"/>
    <n v="10084"/>
    <n v="20.260000000000002"/>
    <n v="1.33"/>
    <n v="16.41"/>
    <n v="1.44"/>
    <n v="15.233082706766918"/>
    <n v="1.234613040828763"/>
    <n v="8.99"/>
    <n v="1"/>
    <n v="9.7899999999999991"/>
    <n v="14.069444444444446"/>
    <s v="NO"/>
    <n v="1.2573412733273897"/>
    <n v="-6.6669352491593392E-2"/>
    <n v="-0.7934449513059374"/>
    <n v="0.12218680825944023"/>
    <n v="-0.8833840330631908"/>
    <n v="0.63248885750368777"/>
    <x v="0"/>
    <x v="0"/>
    <x v="0"/>
    <x v="0"/>
    <x v="0"/>
    <x v="0"/>
  </r>
  <r>
    <x v="0"/>
    <s v="HBAN"/>
    <n v="22770"/>
    <n v="16.23"/>
    <n v="1.06"/>
    <n v="12.66"/>
    <n v="1.3"/>
    <n v="15.311320754716981"/>
    <n v="1.2819905213270142"/>
    <n v="10.37"/>
    <n v="1.03"/>
    <n v="11.36"/>
    <n v="12.484615384615385"/>
    <s v="NO"/>
    <n v="1.2637853245273971"/>
    <n v="3.7350501270106973E-2"/>
    <n v="-0.38362887914451788"/>
    <n v="0.1830643346360516"/>
    <n v="-0.52574413377074114"/>
    <n v="0.21240993079836382"/>
    <x v="0"/>
    <x v="0"/>
    <x v="0"/>
    <x v="0"/>
    <x v="0"/>
    <x v="0"/>
  </r>
  <r>
    <x v="0"/>
    <s v="WFC"/>
    <n v="243348"/>
    <n v="76.459999999999994"/>
    <n v="0.89"/>
    <n v="49.82"/>
    <n v="5.57"/>
    <n v="85.910112359550553"/>
    <n v="1.53472501003613"/>
    <n v="11.02"/>
    <n v="1.03"/>
    <n v="12"/>
    <n v="13.727109515260322"/>
    <s v="NO"/>
    <n v="7.0786316771687545"/>
    <n v="0.59224291596976042"/>
    <n v="-0.19059956979312434"/>
    <n v="0.1830643346360516"/>
    <n v="-0.3799546206833731"/>
    <n v="0.54174866774409247"/>
    <x v="1"/>
    <x v="0"/>
    <x v="0"/>
    <x v="0"/>
    <x v="0"/>
    <x v="0"/>
  </r>
  <r>
    <x v="0"/>
    <s v="HSBC"/>
    <n v="208218"/>
    <n v="60.3"/>
    <n v="0.88"/>
    <n v="9.74"/>
    <n v="1.08"/>
    <n v="68.522727272727266"/>
    <n v="6.1909650924024637"/>
    <n v="10.96"/>
    <n v="0.72"/>
    <n v="16.010000000000002"/>
    <n v="55.833333333333329"/>
    <s v="NO"/>
    <n v="5.6465253980697376"/>
    <n v="10.815273084595798"/>
    <n v="-0.20841765988709873"/>
    <n v="-0.44600343792226532"/>
    <n v="0.53350779725466713"/>
    <n v="11.702534242320862"/>
    <x v="1"/>
    <x v="1"/>
    <x v="0"/>
    <x v="0"/>
    <x v="0"/>
    <x v="1"/>
  </r>
  <r>
    <x v="0"/>
    <s v="BSBR"/>
    <n v="38849"/>
    <n v="5.16"/>
    <n v="0.74"/>
    <n v="2.84"/>
    <n v="0.31"/>
    <n v="6.9729729729729728"/>
    <n v="1.8169014084507045"/>
    <n v="11.36"/>
    <n v="1.1299999999999999"/>
    <n v="10.36"/>
    <n v="16.64516129032258"/>
    <s v="NO"/>
    <n v="0.57700003991340842"/>
    <n v="1.2117766562489798"/>
    <n v="-8.9630392593933975E-2"/>
    <n v="0.38598942255808899"/>
    <n v="-0.75354024796975361"/>
    <n v="1.3152150868107226"/>
    <x v="0"/>
    <x v="0"/>
    <x v="0"/>
    <x v="0"/>
    <x v="0"/>
    <x v="0"/>
  </r>
  <r>
    <x v="0"/>
    <s v="BAC"/>
    <n v="332382"/>
    <n v="44.87"/>
    <n v="0.57999999999999996"/>
    <n v="36.39"/>
    <n v="3.35"/>
    <n v="77.362068965517238"/>
    <n v="1.2330310524869468"/>
    <n v="9.4600000000000009"/>
    <n v="0.84"/>
    <n v="12.18"/>
    <n v="13.394029850746268"/>
    <s v="NO"/>
    <n v="6.3745748821143247"/>
    <n v="-7.0142694557018603E-2"/>
    <n v="-0.65386991223646818"/>
    <n v="-0.2024933324158201"/>
    <n v="-0.33895132012755091"/>
    <n v="0.45346170259245339"/>
    <x v="1"/>
    <x v="0"/>
    <x v="0"/>
    <x v="0"/>
    <x v="0"/>
    <x v="0"/>
  </r>
  <r>
    <x v="0"/>
    <s v="NBGRY"/>
    <n v="11810"/>
    <n v="13.9"/>
    <n v="0.46"/>
    <n v="10.43"/>
    <n v="1.31"/>
    <n v="30.217391304347824"/>
    <n v="1.3326941514860979"/>
    <n v="13.14"/>
    <n v="1.49"/>
    <n v="8.57"/>
    <n v="10.610687022900763"/>
    <s v="NO"/>
    <n v="2.4915189442881256"/>
    <n v="0.14867309881790003"/>
    <n v="0.43897294686065141"/>
    <n v="1.1165197390774249"/>
    <n v="-1.1612952923859856"/>
    <n v="-0.2842984113597809"/>
    <x v="0"/>
    <x v="0"/>
    <x v="0"/>
    <x v="0"/>
    <x v="0"/>
    <x v="0"/>
  </r>
  <r>
    <x v="0"/>
    <s v="BAP"/>
    <n v="16811"/>
    <n v="213.4"/>
    <n v="0.13"/>
    <n v="122.95"/>
    <n v="19.72"/>
    <n v="1641.5384615384614"/>
    <n v="1.7356649044326962"/>
    <n v="16.64"/>
    <n v="2.38"/>
    <n v="7.09"/>
    <n v="10.821501014198784"/>
    <s v="NO"/>
    <n v="135.20745125981392"/>
    <n v="1.0334174615599139"/>
    <n v="1.4783615356758468"/>
    <n v="2.92255302158356"/>
    <n v="-1.4984335414005241"/>
    <n v="-0.22841950464129221"/>
    <x v="1"/>
    <x v="0"/>
    <x v="0"/>
    <x v="1"/>
    <x v="0"/>
    <x v="0"/>
  </r>
  <r>
    <x v="0"/>
    <s v="BCH"/>
    <n v="15259"/>
    <n v="30.19"/>
    <n v="0.01"/>
    <n v="0.06"/>
    <n v="0.01"/>
    <n v="3019"/>
    <n v="503.16666666666669"/>
    <n v="23.44"/>
    <n v="2.2400000000000002"/>
    <n v="9.9700000000000006"/>
    <n v="3019"/>
    <s v="NO"/>
    <n v="248.6616198192435"/>
    <n v="1101.9526501087203"/>
    <n v="3.497745079659655"/>
    <n v="2.6384578984927081"/>
    <n v="-0.84238073250736822"/>
    <n v="797.12722421903334"/>
    <x v="1"/>
    <x v="1"/>
    <x v="1"/>
    <x v="0"/>
    <x v="0"/>
    <x v="1"/>
  </r>
  <r>
    <x v="0"/>
    <s v="BSAC"/>
    <n v="11373"/>
    <n v="24.46"/>
    <n v="0"/>
    <n v="0.02"/>
    <n v="0.01"/>
    <s v=""/>
    <n v="1223"/>
    <n v="23.26"/>
    <n v="1.44"/>
    <n v="15.24"/>
    <n v="2446"/>
    <s v="NO"/>
    <e v="#VALUE!"/>
    <n v="2682.3861657511256"/>
    <n v="3.4442908093777307"/>
    <n v="1.0150571951164058"/>
    <n v="0.3581047893214272"/>
    <n v="645.24634879634721"/>
    <x v="1"/>
    <x v="1"/>
    <x v="1"/>
    <x v="0"/>
    <x v="0"/>
    <x v="1"/>
  </r>
  <r>
    <x v="0"/>
    <s v="KEY"/>
    <n v="17382"/>
    <n v="16.28"/>
    <n v="-0.04"/>
    <n v="14.84"/>
    <n v="-0.13"/>
    <n v="-407"/>
    <n v="1.097035040431267"/>
    <n v="0.14000000000000001"/>
    <n v="0.01"/>
    <n v="11.43"/>
    <n v="-125.23076923076924"/>
    <s v="NO"/>
    <n v="-33.519748321699936"/>
    <n v="-0.36872938885640044"/>
    <n v="-3.421613240167217"/>
    <n v="-1.8867715621687327"/>
    <n v="-0.50979840577681024"/>
    <n v="-36.29078932671743"/>
    <x v="1"/>
    <x v="0"/>
    <x v="1"/>
    <x v="0"/>
    <x v="0"/>
    <x v="1"/>
  </r>
  <r>
    <x v="0"/>
    <s v="SAN"/>
    <n v="118512"/>
    <n v="8.01"/>
    <n v="-0.37"/>
    <n v="7.27"/>
    <n v="0.87"/>
    <n v="-21.648648648648649"/>
    <n v="1.1017881705639616"/>
    <n v="13.33"/>
    <n v="0.79"/>
    <n v="18.2"/>
    <n v="9.206896551724137"/>
    <s v="NO"/>
    <n v="-1.7804104526731641"/>
    <n v="-0.35829363127466335"/>
    <n v="0.49539689882490473"/>
    <n v="-0.3039558763768388"/>
    <n v="1.0323812873505038"/>
    <n v="-0.65639077728007933"/>
    <x v="0"/>
    <x v="0"/>
    <x v="0"/>
    <x v="0"/>
    <x v="0"/>
    <x v="0"/>
  </r>
  <r>
    <x v="0"/>
    <s v="LYG"/>
    <n v="63022"/>
    <n v="4.2"/>
    <n v="-0.43"/>
    <n v="1.02"/>
    <n v="0.08"/>
    <n v="-9.7674418604651176"/>
    <n v="4.1176470588235299"/>
    <n v="9.24"/>
    <n v="0.5"/>
    <n v="19.04"/>
    <n v="52.5"/>
    <s v="NO"/>
    <n v="-0.80181874611884607"/>
    <n v="6.2631897659748859"/>
    <n v="-0.71920290924770924"/>
    <n v="-0.89243863135074819"/>
    <n v="1.2237300232776742"/>
    <n v="10.81899220961181"/>
    <x v="0"/>
    <x v="1"/>
    <x v="0"/>
    <x v="0"/>
    <x v="0"/>
    <x v="1"/>
  </r>
  <r>
    <x v="0"/>
    <s v="BCS"/>
    <n v="63367"/>
    <n v="18.13"/>
    <n v="-0.8"/>
    <n v="5.56"/>
    <n v="0.48"/>
    <n v="-22.662499999999998"/>
    <n v="3.2607913669064748"/>
    <n v="8.98"/>
    <n v="0.42"/>
    <n v="21.28"/>
    <n v="37.770833333333336"/>
    <s v="NO"/>
    <n v="-1.8639159872370485"/>
    <n v="4.3819161560077484"/>
    <n v="-0.79641463298826654"/>
    <n v="-1.0547787016883783"/>
    <n v="1.7339933190834624"/>
    <n v="6.9148408525786831"/>
    <x v="0"/>
    <x v="1"/>
    <x v="0"/>
    <x v="0"/>
    <x v="0"/>
    <x v="1"/>
  </r>
  <r>
    <x v="0"/>
    <s v="NU"/>
    <n v="57941"/>
    <n v="11.92"/>
    <n v="-0.87"/>
    <n v="1.78"/>
    <n v="0.44"/>
    <n v="-13.701149425287356"/>
    <n v="6.6966292134831455"/>
    <n v="27.91"/>
    <n v="4.3899999999999997"/>
    <n v="6.3"/>
    <n v="27.09090909090909"/>
    <s v="NO"/>
    <n v="-1.1258172815852554"/>
    <n v="11.925486362595942"/>
    <n v="4.8251927916607764"/>
    <n v="7.0013472888165174"/>
    <n v="-1.6783924716177439"/>
    <n v="4.0839922602796195"/>
    <x v="0"/>
    <x v="1"/>
    <x v="1"/>
    <x v="1"/>
    <x v="0"/>
    <x v="1"/>
  </r>
  <r>
    <x v="0"/>
    <s v="IBN"/>
    <n v="122101"/>
    <n v="33.61"/>
    <n v="-1.33"/>
    <n v="5.16"/>
    <n v="0.83"/>
    <n v="-25.270676691729321"/>
    <n v="6.5135658914728678"/>
    <n v="18.23"/>
    <n v="2.1800000000000002"/>
    <n v="8.42"/>
    <n v="40.493975903614462"/>
    <s v="NO"/>
    <n v="-2.0787376063921856"/>
    <n v="11.523560810954523"/>
    <n v="1.9505409231661783"/>
    <n v="2.5167028457394851"/>
    <n v="-1.1954647095158375"/>
    <n v="7.6366441291495057"/>
    <x v="0"/>
    <x v="1"/>
    <x v="0"/>
    <x v="0"/>
    <x v="0"/>
    <x v="1"/>
  </r>
  <r>
    <x v="0"/>
    <s v="NWG"/>
    <n v="57685"/>
    <n v="14.27"/>
    <n v="-1.58"/>
    <n v="6.66"/>
    <n v="0.74"/>
    <n v="-9.0316455696202524"/>
    <n v="2.1426426426426426"/>
    <n v="12.78"/>
    <n v="0.72"/>
    <n v="17.07"/>
    <n v="19.283783783783782"/>
    <s v="NO"/>
    <n v="-0.74121512556320224"/>
    <n v="1.9269593799493656"/>
    <n v="0.33206440629680239"/>
    <n v="-0.44600343792226532"/>
    <n v="0.77497167830561997"/>
    <n v="2.0146152512380846"/>
    <x v="0"/>
    <x v="0"/>
    <x v="0"/>
    <x v="0"/>
    <x v="0"/>
    <x v="0"/>
  </r>
  <r>
    <x v="0"/>
    <s v="ITUB"/>
    <n v="71066"/>
    <n v="6.56"/>
    <n v="-1.88"/>
    <n v="3.27"/>
    <n v="0.67"/>
    <n v="-3.4893617021276597"/>
    <n v="2.0061162079510702"/>
    <n v="21.15"/>
    <n v="1.58"/>
    <n v="13.94"/>
    <n v="9.791044776119401"/>
    <s v="NO"/>
    <n v="-0.28472672966286983"/>
    <n v="1.627208113696448"/>
    <n v="2.8176879744062835"/>
    <n v="1.2991523182072588"/>
    <n v="6.1969840862710887E-2"/>
    <n v="-0.50155492440440674"/>
    <x v="0"/>
    <x v="0"/>
    <x v="0"/>
    <x v="0"/>
    <x v="0"/>
    <x v="0"/>
  </r>
  <r>
    <x v="0"/>
    <s v="MUFG"/>
    <n v="162472"/>
    <n v="13.81"/>
    <n v="-2.78"/>
    <n v="11.89"/>
    <n v="1.06"/>
    <n v="-4.9676258992805762"/>
    <n v="1.1614802354920102"/>
    <n v="9.66"/>
    <n v="0.48"/>
    <n v="20.13"/>
    <n v="13.028301886792452"/>
    <s v="NO"/>
    <n v="-0.40648347619713238"/>
    <n v="-0.22723643280716083"/>
    <n v="-0.59447627858988583"/>
    <n v="-0.93302364893515566"/>
    <n v="1.4720277877545977"/>
    <n v="0.35652089398536407"/>
    <x v="0"/>
    <x v="0"/>
    <x v="0"/>
    <x v="0"/>
    <x v="0"/>
    <x v="0"/>
  </r>
  <r>
    <x v="0"/>
    <s v="BBD"/>
    <n v="30462"/>
    <n v="2.87"/>
    <n v="-2.8"/>
    <n v="2.82"/>
    <n v="0.31"/>
    <n v="-1.0250000000000001"/>
    <n v="1.0177304964539009"/>
    <n v="11.27"/>
    <n v="0.95"/>
    <n v="12.05"/>
    <n v="9.258064516129032"/>
    <s v="NO"/>
    <n v="-8.17503850334107E-2"/>
    <n v="-0.54284685944389721"/>
    <n v="-0.1163575277348961"/>
    <n v="2.0724264298421304E-2"/>
    <n v="-0.36856481497342231"/>
    <n v="-0.64282806309611373"/>
    <x v="0"/>
    <x v="0"/>
    <x v="0"/>
    <x v="0"/>
    <x v="0"/>
    <x v="0"/>
  </r>
  <r>
    <x v="0"/>
    <s v="BBDO"/>
    <n v="26654"/>
    <n v="2.4900000000000002"/>
    <n v="-2.8"/>
    <n v="2.82"/>
    <n v="0.31"/>
    <n v="-0.88928571428571446"/>
    <n v="0.88297872340425543"/>
    <n v="11.27"/>
    <n v="0.95"/>
    <n v="12.05"/>
    <n v="8.0322580645161299"/>
    <s v="NO"/>
    <n v="-7.0572322330804738E-2"/>
    <n v="-0.83870175884639619"/>
    <n v="-0.1163575277348961"/>
    <n v="2.0724264298421304E-2"/>
    <n v="-0.36856481497342231"/>
    <n v="-0.96774352028589417"/>
    <x v="0"/>
    <x v="0"/>
    <x v="0"/>
    <x v="0"/>
    <x v="0"/>
    <x v="0"/>
  </r>
  <r>
    <x v="0"/>
    <s v="HDB"/>
    <n v="192517"/>
    <n v="76.23"/>
    <n v="-3.24"/>
    <n v="7.99"/>
    <n v="1.08"/>
    <n v="-23.527777777777779"/>
    <n v="9.5406758448060085"/>
    <n v="14.57"/>
    <n v="1.74"/>
    <n v="8.42"/>
    <n v="70.583333333333329"/>
    <s v="NO"/>
    <n v="-1.9351843080646287"/>
    <n v="18.169746537903929"/>
    <n v="0.86363742743371685"/>
    <n v="1.623832458882519"/>
    <n v="-1.1954647095158375"/>
    <n v="15.612207737058421"/>
    <x v="0"/>
    <x v="1"/>
    <x v="0"/>
    <x v="0"/>
    <x v="0"/>
    <x v="1"/>
  </r>
  <r>
    <x v="0"/>
    <s v="BBVA"/>
    <n v="86580"/>
    <n v="15.1"/>
    <n v="-3.71"/>
    <n v="10.34"/>
    <n v="1.91"/>
    <n v="-4.0700808625336924"/>
    <n v="1.4603481624758221"/>
    <n v="19.38"/>
    <n v="1.42"/>
    <n v="14.03"/>
    <n v="7.9057591623036654"/>
    <s v="NO"/>
    <n v="-0.33255747315062067"/>
    <n v="0.42894447280402287"/>
    <n v="2.2920543166340277"/>
    <n v="0.97447217753199833"/>
    <n v="8.247149114062198E-2"/>
    <n v="-1.0012736494447736"/>
    <x v="0"/>
    <x v="0"/>
    <x v="0"/>
    <x v="0"/>
    <x v="0"/>
    <x v="0"/>
  </r>
  <r>
    <x v="0"/>
    <s v="SMFG"/>
    <n v="99492"/>
    <n v="15.24"/>
    <n v="-7.95"/>
    <n v="25.31"/>
    <n v="2.0099999999999998"/>
    <n v="-1.9169811320754717"/>
    <n v="0.60213354405373376"/>
    <n v="7.63"/>
    <n v="0.4"/>
    <n v="20.83"/>
    <n v="7.5820895522388065"/>
    <s v="NO"/>
    <n v="-0.15521811889358705"/>
    <n v="-1.4553127347466048"/>
    <n v="-1.1973216601026992"/>
    <n v="-1.0953637192727859"/>
    <n v="1.6314850676939063"/>
    <n v="-1.0870663610056293"/>
    <x v="0"/>
    <x v="0"/>
    <x v="0"/>
    <x v="0"/>
    <x v="0"/>
    <x v="0"/>
  </r>
  <r>
    <x v="0"/>
    <s v="BMO"/>
    <n v="77514"/>
    <n v="108.05"/>
    <n v="-8.7200000000000006"/>
    <n v="84.44"/>
    <n v="7.81"/>
    <n v="-12.391055045871559"/>
    <n v="1.2796068214116532"/>
    <n v="10"/>
    <n v="0.59"/>
    <n v="17.14"/>
    <n v="13.834827144686299"/>
    <s v="NO"/>
    <n v="-1.01791178702095"/>
    <n v="3.2116957527383382E-2"/>
    <n v="-0.49350710139069542"/>
    <n v="-0.70980605222091431"/>
    <n v="0.79091740629955087"/>
    <n v="0.57030058372258097"/>
    <x v="0"/>
    <x v="0"/>
    <x v="0"/>
    <x v="0"/>
    <x v="0"/>
    <x v="0"/>
  </r>
  <r>
    <x v="0"/>
    <s v="SCBFY"/>
    <n v="36482"/>
    <n v="31.97"/>
    <n v="-11.5"/>
    <n v="18.059999999999999"/>
    <n v="1.46"/>
    <n v="-2.78"/>
    <n v="1.7702104097452935"/>
    <n v="8.2100000000000009"/>
    <n v="0.5"/>
    <n v="17.29"/>
    <n v="21.897260273972602"/>
    <s v="NO"/>
    <n v="-0.22630038535079411"/>
    <n v="1.1092640108687792"/>
    <n v="-1.0250801225276094"/>
    <n v="-0.89243863135074819"/>
    <n v="0.82508682342940243"/>
    <n v="2.7073501504117101"/>
    <x v="0"/>
    <x v="0"/>
    <x v="0"/>
    <x v="0"/>
    <x v="0"/>
    <x v="0"/>
  </r>
  <r>
    <x v="0"/>
    <s v="SHG"/>
    <n v="20255"/>
    <n v="44.28"/>
    <n v="-12.71"/>
    <n v="71.349999999999994"/>
    <n v="5.99"/>
    <n v="-3.4838709677419355"/>
    <n v="0.62060266292922217"/>
    <n v="8.14"/>
    <n v="0.65"/>
    <n v="13.13"/>
    <n v="7.3923205342237059"/>
    <s v="NO"/>
    <n v="-0.28427448712315528"/>
    <n v="-1.414762772521267"/>
    <n v="-1.0458678943039132"/>
    <n v="-0.58805099946769157"/>
    <n v="-0.12254501163848888"/>
    <n v="-1.1373670321823079"/>
    <x v="0"/>
    <x v="0"/>
    <x v="0"/>
    <x v="0"/>
    <x v="0"/>
    <x v="0"/>
  </r>
  <r>
    <x v="0"/>
    <s v="TD"/>
    <n v="118937"/>
    <n v="70.09"/>
    <n v="-13.5"/>
    <n v="51.55"/>
    <n v="6.99"/>
    <n v="-5.1918518518518519"/>
    <n v="1.3596508244422891"/>
    <n v="14.6"/>
    <n v="0.86"/>
    <n v="16.82"/>
    <n v="10.027181688125895"/>
    <s v="NO"/>
    <n v="-0.42495177335687229"/>
    <n v="0.20785795097373586"/>
    <n v="0.87254647248070405"/>
    <n v="-0.16190831483141255"/>
    <n v="0.71802264975586683"/>
    <n v="-0.4389638582348499"/>
    <x v="0"/>
    <x v="0"/>
    <x v="0"/>
    <x v="0"/>
    <x v="0"/>
    <x v="0"/>
  </r>
  <r>
    <x v="0"/>
    <s v="WF"/>
    <n v="10223"/>
    <n v="45.23"/>
    <n v="-14.71"/>
    <n v="27.88"/>
    <n v="2.4900000000000002"/>
    <n v="-3.074779061862678"/>
    <n v="1.6223098995695839"/>
    <n v="8.6"/>
    <n v="0.57999999999999996"/>
    <n v="15.79"/>
    <n v="18.164658634538149"/>
    <s v="NO"/>
    <n v="-0.25057976625438849"/>
    <n v="0.78454033882112639"/>
    <n v="-0.90926253691677361"/>
    <n v="-0.7300985610131181"/>
    <n v="0.48339265213088378"/>
    <n v="1.717977018471992"/>
    <x v="0"/>
    <x v="0"/>
    <x v="0"/>
    <x v="0"/>
    <x v="0"/>
    <x v="0"/>
  </r>
  <r>
    <x v="0"/>
    <s v="AAVMY"/>
    <n v="21543"/>
    <n v="26.62"/>
    <n v="-15.54"/>
    <n v="35.729999999999997"/>
    <n v="2.82"/>
    <n v="-1.7129987129987132"/>
    <n v="0.74503218583823128"/>
    <n v="8.91"/>
    <n v="0.57999999999999996"/>
    <n v="14.84"/>
    <n v="9.4397163120567384"/>
    <s v="NO"/>
    <n v="-0.13841717374128729"/>
    <n v="-1.1415709387530903"/>
    <n v="-0.81720240476457051"/>
    <n v="-0.7300985610131181"/>
    <n v="0.26698634364182217"/>
    <n v="-0.59467896399034903"/>
    <x v="0"/>
    <x v="0"/>
    <x v="0"/>
    <x v="0"/>
    <x v="0"/>
    <x v="0"/>
  </r>
  <r>
    <x v="0"/>
    <s v="MFG"/>
    <n v="69765"/>
    <n v="5.61"/>
    <n v="-16.07"/>
    <n v="27.75"/>
    <n v="2.34"/>
    <n v="-0.34909769757311765"/>
    <n v="0.20216216216216218"/>
    <n v="8.5299999999999994"/>
    <n v="0.32"/>
    <n v="27.13"/>
    <n v="2.3974358974358978"/>
    <s v="NO"/>
    <n v="-2.6079913221259094E-2"/>
    <n v="-2.333471814032432"/>
    <n v="-0.9300503086930777"/>
    <n v="-1.257703789610416"/>
    <n v="3.0666005871476845"/>
    <n v="-2.4613241897227236"/>
    <x v="0"/>
    <x v="0"/>
    <x v="0"/>
    <x v="0"/>
    <x v="0"/>
    <x v="0"/>
  </r>
  <r>
    <x v="0"/>
    <s v="ING"/>
    <n v="63701"/>
    <n v="21.22"/>
    <n v="-18.02"/>
    <n v="18.329999999999998"/>
    <n v="1.78"/>
    <n v="-1.1775804661487237"/>
    <n v="1.1576650300054556"/>
    <n v="10.24"/>
    <n v="0.52"/>
    <n v="20.88"/>
    <n v="11.921348314606741"/>
    <s v="NO"/>
    <n v="-9.4317625164592758E-2"/>
    <n v="-0.23561292544899498"/>
    <n v="-0.42223474101479624"/>
    <n v="-0.85185361376634061"/>
    <n v="1.642874873403857"/>
    <n v="6.3108891200310921E-2"/>
    <x v="0"/>
    <x v="0"/>
    <x v="0"/>
    <x v="0"/>
    <x v="0"/>
    <x v="0"/>
  </r>
  <r>
    <x v="0"/>
    <s v="CM"/>
    <n v="63469"/>
    <n v="68.709999999999994"/>
    <n v="-19.53"/>
    <n v="46.34"/>
    <n v="5.77"/>
    <n v="-3.5181771633384531"/>
    <n v="1.4827362969356925"/>
    <n v="13.36"/>
    <n v="0.75"/>
    <n v="18.27"/>
    <n v="11.908145580589254"/>
    <s v="NO"/>
    <n v="-0.28710010568974492"/>
    <n v="0.47809884842766898"/>
    <n v="0.50430594387189198"/>
    <n v="-0.38512591154565395"/>
    <n v="1.0483270153444346"/>
    <n v="5.9609340064972823E-2"/>
    <x v="0"/>
    <x v="0"/>
    <x v="0"/>
    <x v="0"/>
    <x v="0"/>
    <x v="0"/>
  </r>
  <r>
    <x v="0"/>
    <s v="RY"/>
    <n v="178626"/>
    <n v="127.61"/>
    <n v="-20.91"/>
    <n v="62.83"/>
    <n v="9.11"/>
    <n v="-6.1028216164514584"/>
    <n v="2.0310361292376253"/>
    <n v="14.35"/>
    <n v="0.85"/>
    <n v="18.36"/>
    <n v="14.007683863885841"/>
    <s v="NO"/>
    <n v="-0.49998349971698614"/>
    <n v="1.6819211659887969"/>
    <n v="0.79830443042247579"/>
    <n v="-0.18220082362361634"/>
    <n v="1.0688286656223458"/>
    <n v="0.6161184368372753"/>
    <x v="0"/>
    <x v="0"/>
    <x v="0"/>
    <x v="0"/>
    <x v="0"/>
    <x v="0"/>
  </r>
  <r>
    <x v="0"/>
    <s v="KB"/>
    <n v="27441"/>
    <n v="81.260000000000005"/>
    <n v="-26.4"/>
    <n v="97.31"/>
    <n v="9.8699999999999992"/>
    <n v="-3.0780303030303036"/>
    <n v="0.83506320008221158"/>
    <n v="9.5"/>
    <n v="0.75"/>
    <n v="13.23"/>
    <n v="8.2330293819655527"/>
    <s v="NO"/>
    <n v="-0.25084755366852646"/>
    <n v="-0.94390291510159896"/>
    <n v="-0.64199118550715195"/>
    <n v="-0.38512591154565395"/>
    <n v="-9.9765400218587721E-2"/>
    <n v="-0.91452655090721291"/>
    <x v="0"/>
    <x v="0"/>
    <x v="0"/>
    <x v="0"/>
    <x v="0"/>
    <x v="0"/>
  </r>
  <r>
    <x v="0"/>
    <s v="BKZHY"/>
    <n v="13939"/>
    <n v="27.28"/>
    <n v="-30.71"/>
    <n v="71.260000000000005"/>
    <n v="11.82"/>
    <n v="-0.88830999674373168"/>
    <n v="0.3828234633735616"/>
    <n v="15.2"/>
    <n v="1.83"/>
    <n v="9.07"/>
    <n v="2.3079526226734348"/>
    <s v="NO"/>
    <n v="-7.0491957674962413E-2"/>
    <n v="-1.9368200306371131"/>
    <n v="1.0507273734204516"/>
    <n v="1.806465038012353"/>
    <n v="-1.0473972352864795"/>
    <n v="-2.4850428600658505"/>
    <x v="0"/>
    <x v="0"/>
    <x v="0"/>
    <x v="0"/>
    <x v="0"/>
    <x v="0"/>
  </r>
  <r>
    <x v="0"/>
    <s v="C"/>
    <n v="140678"/>
    <n v="78.17"/>
    <n v="-39.06"/>
    <n v="103.9"/>
    <n v="6.33"/>
    <n v="-2.001280081925243"/>
    <n v="0.75235803657362843"/>
    <n v="6.44"/>
    <n v="0.54"/>
    <n v="13.25"/>
    <n v="12.349131121642969"/>
    <s v="NO"/>
    <n v="-0.16216137429389446"/>
    <n v="-1.1254866321550605"/>
    <n v="-1.5507137802998654"/>
    <n v="-0.81126859618193303"/>
    <n v="-9.5209477934607573E-2"/>
    <n v="0.17649811846634311"/>
    <x v="0"/>
    <x v="0"/>
    <x v="0"/>
    <x v="0"/>
    <x v="0"/>
    <x v="0"/>
  </r>
  <r>
    <x v="0"/>
    <s v="JPM"/>
    <n v="733676"/>
    <n v="266.74"/>
    <n v="-48.99"/>
    <n v="119.24"/>
    <n v="20.39"/>
    <n v="-5.4447846499285566"/>
    <n v="2.2370010063737005"/>
    <n v="17.350000000000001"/>
    <n v="1.41"/>
    <n v="13.15"/>
    <n v="13.081902893575283"/>
    <s v="NO"/>
    <n v="-0.4457845004464816"/>
    <n v="2.1341283364509733"/>
    <n v="1.6892089351212152"/>
    <n v="0.95417966873979454"/>
    <n v="-0.11798908935450873"/>
    <n v="0.37072851673181029"/>
    <x v="0"/>
    <x v="0"/>
    <x v="0"/>
    <x v="0"/>
    <x v="0"/>
    <x v="0"/>
  </r>
  <r>
    <x v="0"/>
    <s v="NTIOF"/>
    <n v="38524"/>
    <n v="98.44"/>
    <n v="-79.08"/>
    <n v="58.01"/>
    <n v="7.57"/>
    <n v="-1.2448153768335863"/>
    <n v="1.6969488019307015"/>
    <n v="13.56"/>
    <n v="0.79"/>
    <n v="17.14"/>
    <n v="13.003963011889034"/>
    <s v="NO"/>
    <n v="-9.985540656677859E-2"/>
    <n v="0.94841413765734506"/>
    <n v="0.56369957751847488"/>
    <n v="-0.3039558763768388"/>
    <n v="0.79091740629955087"/>
    <n v="0.35006956828355901"/>
    <x v="0"/>
    <x v="0"/>
    <x v="0"/>
    <x v="0"/>
    <x v="0"/>
    <x v="0"/>
  </r>
  <r>
    <x v="1"/>
    <s v="IBKR"/>
    <n v="22847"/>
    <n v="204.67"/>
    <n v="88.16"/>
    <n v="41.32"/>
    <n v="7.26"/>
    <n v="2.3215744101633393"/>
    <n v="4.953291384317521"/>
    <n v="22.25"/>
    <n v="2.4700000000000002"/>
    <n v="35.020000000000003"/>
    <n v="28.191460055096417"/>
    <s v="NO"/>
    <n v="-0.90085350951321208"/>
    <n v="0.16502333700556843"/>
    <n v="0.78578626909014304"/>
    <n v="-0.55223977689197346"/>
    <n v="4.8807214569670059"/>
    <n v="6.4068850965433119E-2"/>
    <x v="0"/>
    <x v="0"/>
    <x v="0"/>
    <x v="0"/>
    <x v="1"/>
    <x v="0"/>
  </r>
  <r>
    <x v="1"/>
    <s v="AMP"/>
    <n v="48491"/>
    <n v="518.09"/>
    <n v="66.819999999999993"/>
    <n v="56.79"/>
    <n v="29.43"/>
    <n v="7.7535169111044606"/>
    <n v="9.1229089628455728"/>
    <n v="58.11"/>
    <n v="2.2200000000000002"/>
    <n v="33"/>
    <n v="17.604145429833505"/>
    <s v="NO"/>
    <n v="-0.57290718143838648"/>
    <n v="1.5331787314839991"/>
    <n v="5.2151468487492059"/>
    <n v="-0.60828920986680002"/>
    <n v="4.5306217669149396"/>
    <n v="-0.76592596300787252"/>
    <x v="0"/>
    <x v="0"/>
    <x v="1"/>
    <x v="0"/>
    <x v="1"/>
    <x v="0"/>
  </r>
  <r>
    <x v="1"/>
    <s v="FUTU"/>
    <n v="14191"/>
    <n v="108.96"/>
    <n v="28.76"/>
    <n v="27.98"/>
    <n v="6"/>
    <n v="3.7885952712100135"/>
    <n v="3.8942101501072193"/>
    <n v="23.38"/>
    <n v="4.54"/>
    <n v="5.96"/>
    <n v="18.16"/>
    <s v="NO"/>
    <n v="-0.8122840696662198"/>
    <n v="-0.18248759810690698"/>
    <n v="0.92536176978770968"/>
    <n v="-8.8150471860409182E-2"/>
    <n v="-0.15586121279192031"/>
    <n v="-0.72234962406913095"/>
    <x v="0"/>
    <x v="0"/>
    <x v="0"/>
    <x v="0"/>
    <x v="0"/>
    <x v="0"/>
  </r>
  <r>
    <x v="1"/>
    <s v="BLK"/>
    <n v="151811"/>
    <n v="988.84"/>
    <n v="26.16"/>
    <n v="309.86"/>
    <n v="41.15"/>
    <n v="37.799694189602448"/>
    <n v="3.1912476602336537"/>
    <n v="13.93"/>
    <n v="3.67"/>
    <n v="2.95"/>
    <n v="24.030133657351154"/>
    <s v="NO"/>
    <n v="1.241090943442626"/>
    <n v="-0.41314710213174055"/>
    <n v="-0.24188467409902056"/>
    <n v="-0.28320249861280578"/>
    <n v="-0.677544414305147"/>
    <n v="-0.26215922967905003"/>
    <x v="0"/>
    <x v="0"/>
    <x v="0"/>
    <x v="0"/>
    <x v="0"/>
    <x v="0"/>
  </r>
  <r>
    <x v="1"/>
    <s v="ARES"/>
    <n v="36156"/>
    <n v="172.3"/>
    <n v="19.48"/>
    <n v="13.71"/>
    <n v="1.76"/>
    <n v="8.8449691991786459"/>
    <n v="12.567469000729394"/>
    <n v="14.91"/>
    <n v="2.2999999999999998"/>
    <n v="9.08"/>
    <n v="97.89772727272728"/>
    <s v="NO"/>
    <n v="-0.50701219634221129"/>
    <n v="2.6634246853825436"/>
    <n v="-0.12083689473298923"/>
    <n v="-0.59035339131485554"/>
    <n v="0.38488682332810203"/>
    <n v="5.5287067067271192"/>
    <x v="0"/>
    <x v="0"/>
    <x v="0"/>
    <x v="0"/>
    <x v="0"/>
    <x v="1"/>
  </r>
  <r>
    <x v="1"/>
    <s v="SPGI"/>
    <n v="157285"/>
    <n v="515"/>
    <n v="17.91"/>
    <n v="108.81"/>
    <n v="12.73"/>
    <n v="28.754885538805137"/>
    <n v="4.7330208620531202"/>
    <n v="11.24"/>
    <n v="6.19"/>
    <n v="1.79"/>
    <n v="40.455616653574232"/>
    <s v="NO"/>
    <n v="0.6950226106768651"/>
    <n v="9.2747091617374308E-2"/>
    <n v="-0.57414847664455537"/>
    <n v="0.28177578577344647"/>
    <n v="-0.87859176106771941"/>
    <n v="1.0255200531620718"/>
    <x v="0"/>
    <x v="0"/>
    <x v="0"/>
    <x v="0"/>
    <x v="0"/>
    <x v="0"/>
  </r>
  <r>
    <x v="1"/>
    <s v="MSCI"/>
    <n v="43639"/>
    <n v="558"/>
    <n v="17.61"/>
    <n v="-12.35"/>
    <n v="14.54"/>
    <n v="31.686541737649065"/>
    <n v="-45.182186234817813"/>
    <n v="-141.91999999999999"/>
    <n v="18.14"/>
    <n v="-5.58"/>
    <n v="38.376891334250345"/>
    <s v="NO"/>
    <n v="0.87201746756684395"/>
    <n v="-16.285675766097121"/>
    <n v="-19.492187137564301"/>
    <n v="2.9609386819701582"/>
    <n v="-2.1559356797230285"/>
    <n v="0.862557933325099"/>
    <x v="0"/>
    <x v="1"/>
    <x v="1"/>
    <x v="0"/>
    <x v="0"/>
    <x v="0"/>
  </r>
  <r>
    <x v="1"/>
    <s v="FDS"/>
    <n v="17390"/>
    <n v="426.76"/>
    <n v="14.85"/>
    <n v="54.14"/>
    <n v="14.08"/>
    <n v="28.73804713804714"/>
    <n v="7.8825267824159582"/>
    <n v="28.12"/>
    <n v="10.81"/>
    <n v="2.06"/>
    <n v="30.30965909090909"/>
    <s v="NO"/>
    <n v="0.69400601455157829"/>
    <n v="1.1261784396325869"/>
    <n v="1.5108377638642285"/>
    <n v="1.3175693071482422"/>
    <n v="-0.83179625794194834"/>
    <n v="0.23012552132192743"/>
    <x v="0"/>
    <x v="0"/>
    <x v="0"/>
    <x v="0"/>
    <x v="0"/>
    <x v="0"/>
  </r>
  <r>
    <x v="1"/>
    <s v="NTRS"/>
    <n v="20765"/>
    <n v="108.74"/>
    <n v="14.45"/>
    <n v="61.65"/>
    <n v="10.76"/>
    <n v="7.5252595155709345"/>
    <n v="1.7638280616382807"/>
    <n v="17.68"/>
    <n v="1.38"/>
    <n v="13.76"/>
    <n v="10.105947955390334"/>
    <s v="NO"/>
    <n v="-0.58668791912258955"/>
    <n v="-0.88151903006569632"/>
    <n v="0.22130835918936448"/>
    <n v="-0.79661530466221742"/>
    <n v="1.1960088775081354"/>
    <n v="-1.3537487715494694"/>
    <x v="0"/>
    <x v="0"/>
    <x v="0"/>
    <x v="0"/>
    <x v="0"/>
    <x v="0"/>
  </r>
  <r>
    <x v="1"/>
    <s v="MCO"/>
    <n v="86248"/>
    <n v="485.55"/>
    <n v="13.78"/>
    <n v="20.56"/>
    <n v="11.56"/>
    <n v="35.235849056603776"/>
    <n v="23.616245136186773"/>
    <n v="55.5"/>
    <n v="12.69"/>
    <n v="4.08"/>
    <n v="42.002595155709344"/>
    <s v="NO"/>
    <n v="1.0863021920937757"/>
    <n v="6.2888033651815025"/>
    <n v="4.8927644975804903"/>
    <n v="1.7390610431189379"/>
    <n v="-0.48169656788988247"/>
    <n v="1.1467957665555848"/>
    <x v="0"/>
    <x v="1"/>
    <x v="1"/>
    <x v="0"/>
    <x v="0"/>
    <x v="0"/>
  </r>
  <r>
    <x v="1"/>
    <s v="HLI"/>
    <n v="12192"/>
    <n v="175.94"/>
    <n v="12.31"/>
    <n v="31.14"/>
    <n v="5.82"/>
    <n v="14.292445166531275"/>
    <n v="5.6499678869621066"/>
    <n v="19.93"/>
    <n v="11.44"/>
    <n v="1.76"/>
    <n v="30.230240549828178"/>
    <s v="NO"/>
    <n v="-0.17812805582348651"/>
    <n v="0.39362025203393397"/>
    <n v="0.49922417916239548"/>
    <n v="1.4588138782448048"/>
    <n v="-0.8837912614150274"/>
    <n v="0.22389948766149428"/>
    <x v="0"/>
    <x v="0"/>
    <x v="0"/>
    <x v="0"/>
    <x v="0"/>
    <x v="0"/>
  </r>
  <r>
    <x v="1"/>
    <s v="MORN"/>
    <n v="13030"/>
    <n v="307.12"/>
    <n v="11.98"/>
    <n v="37.86"/>
    <n v="8.91"/>
    <n v="25.636060100166944"/>
    <n v="8.1119915478077136"/>
    <n v="25.68"/>
    <n v="7.93"/>
    <n v="2.23"/>
    <n v="34.469135802469133"/>
    <s v="NO"/>
    <n v="0.50672765904021866"/>
    <n v="1.2014715452234084"/>
    <n v="1.2094534968712525"/>
    <n v="0.67187983927823947"/>
    <n v="-0.80233242264053684"/>
    <n v="0.55620859541890066"/>
    <x v="0"/>
    <x v="0"/>
    <x v="0"/>
    <x v="0"/>
    <x v="0"/>
    <x v="0"/>
  </r>
  <r>
    <x v="1"/>
    <s v="CME"/>
    <n v="104144"/>
    <n v="268.35000000000002"/>
    <n v="10.64"/>
    <n v="75.16"/>
    <n v="9.94"/>
    <n v="25.220864661654137"/>
    <n v="3.5703831825439067"/>
    <n v="13.39"/>
    <n v="1.76"/>
    <n v="5.84"/>
    <n v="26.996981891348092"/>
    <s v="NO"/>
    <n v="0.48166078481058516"/>
    <n v="-0.2887432928331703"/>
    <n v="-0.30858447089254792"/>
    <n v="-0.71142016654048101"/>
    <n v="-0.17665921418115196"/>
    <n v="-2.9572522357865786E-2"/>
    <x v="0"/>
    <x v="0"/>
    <x v="0"/>
    <x v="0"/>
    <x v="0"/>
    <x v="0"/>
  </r>
  <r>
    <x v="1"/>
    <s v="CBOE"/>
    <n v="23992"/>
    <n v="219.55"/>
    <n v="10.01"/>
    <n v="42.51"/>
    <n v="7.62"/>
    <n v="21.933066933066936"/>
    <n v="5.1646671371442014"/>
    <n v="19.02"/>
    <n v="9.32"/>
    <n v="1.95"/>
    <n v="28.812335958005249"/>
    <s v="NO"/>
    <n v="0.28316435515284938"/>
    <n v="0.23438098696872237"/>
    <n v="0.38682266975108071"/>
    <n v="0.98351468661827546"/>
    <n v="-0.85086109254874387"/>
    <n v="0.11274255131109819"/>
    <x v="0"/>
    <x v="0"/>
    <x v="0"/>
    <x v="0"/>
    <x v="0"/>
    <x v="0"/>
  </r>
  <r>
    <x v="1"/>
    <s v="FRHC"/>
    <n v="10056"/>
    <n v="149.44"/>
    <n v="9.93"/>
    <n v="20.78"/>
    <n v="5.36"/>
    <n v="15.049345417925478"/>
    <n v="7.1915303176130889"/>
    <n v="28.01"/>
    <n v="3.89"/>
    <n v="7.25"/>
    <n v="27.880597014925371"/>
    <s v="NO"/>
    <n v="-0.13243120646975437"/>
    <n v="0.89944528651226885"/>
    <n v="1.4972507682211027"/>
    <n v="-0.23387899759495834"/>
    <n v="6.7717302142319705E-2"/>
    <n v="3.9698675870958995E-2"/>
    <x v="0"/>
    <x v="0"/>
    <x v="0"/>
    <x v="0"/>
    <x v="0"/>
    <x v="0"/>
  </r>
  <r>
    <x v="1"/>
    <s v="UBS"/>
    <n v="101659"/>
    <n v="32.93"/>
    <n v="9.6999999999999993"/>
    <n v="27.35"/>
    <n v="1.51"/>
    <n v="3.3948453608247426"/>
    <n v="1.2040219378427788"/>
    <n v="5.86"/>
    <n v="0.32"/>
    <n v="17.7"/>
    <n v="21.807947019867548"/>
    <s v="NO"/>
    <n v="-0.83605619856269997"/>
    <n v="-1.0652053642937991"/>
    <n v="-1.2386760817356253"/>
    <n v="-1.0342649004754823"/>
    <n v="1.8788765897879072"/>
    <n v="-0.43636803050104028"/>
    <x v="0"/>
    <x v="0"/>
    <x v="0"/>
    <x v="0"/>
    <x v="0"/>
    <x v="0"/>
  </r>
  <r>
    <x v="1"/>
    <s v="RJF"/>
    <n v="29654"/>
    <n v="146.96"/>
    <n v="9.64"/>
    <n v="59.73"/>
    <n v="10.38"/>
    <n v="15.244813278008298"/>
    <n v="2.4604051565377536"/>
    <n v="18.87"/>
    <n v="2.66"/>
    <n v="6.85"/>
    <n v="14.157996146435453"/>
    <s v="NO"/>
    <n v="-0.12063009352356648"/>
    <n v="-0.6529547331947918"/>
    <n v="0.36829494841954546"/>
    <n v="-0.50964220783110525"/>
    <n v="-1.6093691551191237E-3"/>
    <n v="-1.0360875794930515"/>
    <x v="0"/>
    <x v="0"/>
    <x v="0"/>
    <x v="0"/>
    <x v="0"/>
    <x v="0"/>
  </r>
  <r>
    <x v="1"/>
    <s v="KKR"/>
    <n v="108177"/>
    <n v="123.25"/>
    <n v="8.48"/>
    <n v="28.06"/>
    <n v="2.37"/>
    <n v="14.534198113207546"/>
    <n v="4.392373485388454"/>
    <n v="7.14"/>
    <n v="1.26"/>
    <n v="14.94"/>
    <n v="52.004219409282697"/>
    <s v="NO"/>
    <n v="-0.16353254212833671"/>
    <n v="-1.9027798338652757E-2"/>
    <n v="-1.0805728597065229"/>
    <n v="-0.82351903249013425"/>
    <n v="1.40052255783558"/>
    <n v="1.9308752574934838"/>
    <x v="0"/>
    <x v="0"/>
    <x v="0"/>
    <x v="0"/>
    <x v="0"/>
    <x v="0"/>
  </r>
  <r>
    <x v="1"/>
    <s v="COIN"/>
    <n v="62815"/>
    <n v="256.63"/>
    <n v="7.85"/>
    <n v="41.12"/>
    <n v="5.39"/>
    <n v="32.691719745222933"/>
    <n v="6.2410019455252925"/>
    <n v="15.84"/>
    <n v="0.22"/>
    <n v="2.08"/>
    <n v="47.612244897959187"/>
    <s v="NO"/>
    <n v="0.93270375734040212"/>
    <n v="0.5875532495605712"/>
    <n v="-5.965022477469775E-3"/>
    <n v="-1.056684673665413"/>
    <n v="-0.82832992437707631"/>
    <n v="1.5865654682289627"/>
    <x v="0"/>
    <x v="0"/>
    <x v="0"/>
    <x v="0"/>
    <x v="0"/>
    <x v="0"/>
  </r>
  <r>
    <x v="1"/>
    <s v="ICE"/>
    <n v="103138"/>
    <n v="175.97"/>
    <n v="6.58"/>
    <n v="48.74"/>
    <n v="4.83"/>
    <n v="26.743161094224924"/>
    <n v="3.6103816167418956"/>
    <n v="10.42"/>
    <n v="2.09"/>
    <n v="5.1100000000000003"/>
    <n v="36.432712215320912"/>
    <s v="NO"/>
    <n v="0.57356741401671185"/>
    <n v="-0.2756188101946479"/>
    <n v="-0.67543335325694898"/>
    <n v="-0.63743491501370997"/>
    <n v="-0.30318038929897762"/>
    <n v="0.71014359189274079"/>
    <x v="0"/>
    <x v="0"/>
    <x v="0"/>
    <x v="0"/>
    <x v="0"/>
    <x v="0"/>
  </r>
  <r>
    <x v="1"/>
    <s v="TROW"/>
    <n v="20619"/>
    <n v="94.98"/>
    <n v="5.75"/>
    <n v="47.02"/>
    <n v="8.81"/>
    <n v="16.518260869565218"/>
    <n v="2.0199914929817098"/>
    <n v="18.45"/>
    <n v="10.99"/>
    <n v="1.35"/>
    <n v="10.780930760499432"/>
    <s v="YES"/>
    <n v="-4.3747383227117971E-2"/>
    <n v="-0.79746542710090351"/>
    <n v="0.31641732869124617"/>
    <n v="1.3579248988901171"/>
    <n v="-0.95485109949490199"/>
    <n v="-1.3008333489337187"/>
    <x v="0"/>
    <x v="0"/>
    <x v="0"/>
    <x v="0"/>
    <x v="0"/>
    <x v="0"/>
  </r>
  <r>
    <x v="1"/>
    <s v="SCHW"/>
    <n v="160511"/>
    <n v="88.21"/>
    <n v="5.12"/>
    <n v="22.2"/>
    <n v="3.3"/>
    <n v="17.228515625"/>
    <n v="3.9734234234234234"/>
    <n v="14.12"/>
    <n v="1.39"/>
    <n v="11.48"/>
    <n v="26.73030303030303"/>
    <s v="NO"/>
    <n v="-8.6669386007032743E-4"/>
    <n v="-0.15649574989522574"/>
    <n v="-0.21841622707907579"/>
    <n v="-0.79437332734322441"/>
    <n v="0.80084685111273468"/>
    <n v="-5.0478869198220727E-2"/>
    <x v="0"/>
    <x v="0"/>
    <x v="0"/>
    <x v="0"/>
    <x v="0"/>
    <x v="0"/>
  </r>
  <r>
    <x v="1"/>
    <s v="SEIC"/>
    <n v="10614"/>
    <n v="84.53"/>
    <n v="4.68"/>
    <n v="18.09"/>
    <n v="4.59"/>
    <n v="18.061965811965813"/>
    <n v="4.6727473742399113"/>
    <n v="26.62"/>
    <n v="13.97"/>
    <n v="1.1399999999999999"/>
    <n v="18.416122004357298"/>
    <s v="NO"/>
    <n v="4.9451756381507041E-2"/>
    <n v="7.2969858827411152E-2"/>
    <n v="1.3255605505488746"/>
    <n v="2.0260341399500503"/>
    <n v="-0.99124760192605743"/>
    <n v="-0.70227088428616857"/>
    <x v="0"/>
    <x v="0"/>
    <x v="0"/>
    <x v="0"/>
    <x v="0"/>
    <x v="0"/>
  </r>
  <r>
    <x v="1"/>
    <s v="BX"/>
    <n v="106118"/>
    <n v="139.97999999999999"/>
    <n v="4.6500000000000004"/>
    <n v="10.32"/>
    <n v="3.31"/>
    <n v="30.103225806451608"/>
    <n v="13.563953488372091"/>
    <n v="26.34"/>
    <n v="11.89"/>
    <n v="5.67"/>
    <n v="42.290030211480357"/>
    <s v="NO"/>
    <n v="0.77642686701674291"/>
    <n v="2.9903960686343658"/>
    <n v="1.2909754707300083"/>
    <n v="1.5597028575994931"/>
    <n v="-0.20612304948256344"/>
    <n v="1.1693292997590665"/>
    <x v="0"/>
    <x v="1"/>
    <x v="0"/>
    <x v="0"/>
    <x v="0"/>
    <x v="0"/>
  </r>
  <r>
    <x v="1"/>
    <s v="TW"/>
    <n v="30822"/>
    <n v="137.43"/>
    <n v="3.91"/>
    <n v="27.83"/>
    <n v="2.4300000000000002"/>
    <n v="35.148337595907925"/>
    <n v="4.9381961911606185"/>
    <n v="9.43"/>
    <n v="8.06"/>
    <n v="1.24"/>
    <n v="56.555555555555557"/>
    <s v="NO"/>
    <n v="1.0810188036568222"/>
    <n v="0.16007022810304869"/>
    <n v="-0.79771631404508259"/>
    <n v="0.70102554442514942"/>
    <n v="-0.97391593410169763"/>
    <n v="2.2876782365078072"/>
    <x v="0"/>
    <x v="0"/>
    <x v="0"/>
    <x v="0"/>
    <x v="0"/>
    <x v="0"/>
  </r>
  <r>
    <x v="1"/>
    <s v="XP"/>
    <n v="10202"/>
    <n v="19.5"/>
    <n v="3.76"/>
    <n v="6.94"/>
    <n v="1.52"/>
    <n v="5.1861702127659575"/>
    <n v="2.8097982708933715"/>
    <n v="22.77"/>
    <n v="1.5"/>
    <n v="16.63"/>
    <n v="12.828947368421053"/>
    <s v="NO"/>
    <n v="-0.7279073351530595"/>
    <n v="-0.53831014884228412"/>
    <n v="0.85001570303946572"/>
    <n v="-0.76971157683430069"/>
    <n v="1.6934277440672585"/>
    <n v="-1.1402786451516975"/>
    <x v="0"/>
    <x v="0"/>
    <x v="0"/>
    <x v="0"/>
    <x v="0"/>
    <x v="0"/>
  </r>
  <r>
    <x v="1"/>
    <s v="NDAQ"/>
    <n v="47962"/>
    <n v="85.65"/>
    <n v="3.22"/>
    <n v="20.12"/>
    <n v="2.21"/>
    <n v="26.599378881987576"/>
    <n v="4.2569582504970178"/>
    <n v="11.42"/>
    <n v="4.3499999999999996"/>
    <n v="2.65"/>
    <n v="38.755656108597286"/>
    <s v="NO"/>
    <n v="0.56488675354625506"/>
    <n v="-6.3460910158150946E-2"/>
    <n v="-0.55191521104671293"/>
    <n v="-0.13074804092127748"/>
    <n v="-0.72953941777822617"/>
    <n v="0.89225127951824879"/>
    <x v="0"/>
    <x v="0"/>
    <x v="0"/>
    <x v="0"/>
    <x v="0"/>
    <x v="0"/>
  </r>
  <r>
    <x v="1"/>
    <s v="BK"/>
    <n v="63395"/>
    <n v="90.01"/>
    <n v="2.86"/>
    <n v="52.82"/>
    <n v="6.13"/>
    <n v="31.472027972027973"/>
    <n v="1.7040893600908749"/>
    <n v="11.23"/>
    <n v="1.08"/>
    <n v="11.66"/>
    <n v="14.68352365415987"/>
    <s v="NO"/>
    <n v="0.85906648332046198"/>
    <n v="-0.90112078616009395"/>
    <n v="-0.5753836580666577"/>
    <n v="-0.86387462423200934"/>
    <n v="0.83204385319658214"/>
    <n v="-0.99488873715669746"/>
    <x v="0"/>
    <x v="0"/>
    <x v="0"/>
    <x v="0"/>
    <x v="0"/>
    <x v="0"/>
  </r>
  <r>
    <x v="1"/>
    <s v="OWL"/>
    <n v="11687"/>
    <n v="19.190000000000001"/>
    <n v="1.54"/>
    <n v="3.73"/>
    <n v="0.16"/>
    <n v="12.461038961038962"/>
    <n v="5.144772117962467"/>
    <n v="5.95"/>
    <n v="4.67"/>
    <n v="5.26"/>
    <n v="119.9375"/>
    <s v="NO"/>
    <n v="-0.28869677782313852"/>
    <n v="0.22785293558172906"/>
    <n v="-1.2275594489367041"/>
    <n v="-5.9004766713499378E-2"/>
    <n v="-0.2771828875624382"/>
    <n v="7.2565194441645309"/>
    <x v="0"/>
    <x v="0"/>
    <x v="0"/>
    <x v="0"/>
    <x v="0"/>
    <x v="1"/>
  </r>
  <r>
    <x v="1"/>
    <s v="TMXXF"/>
    <n v="11294"/>
    <n v="40.44"/>
    <n v="1.49"/>
    <n v="11.67"/>
    <n v="1.1200000000000001"/>
    <n v="27.140939597315434"/>
    <n v="3.4652956298200515"/>
    <n v="10.77"/>
    <n v="0.79"/>
    <n v="11.49"/>
    <n v="36.107142857142854"/>
    <s v="NO"/>
    <n v="0.59758276385758957"/>
    <n v="-0.32322513665790648"/>
    <n v="-0.63220200348336641"/>
    <n v="-0.92889196648280825"/>
    <n v="0.80258001789517064"/>
    <n v="0.68462051182561801"/>
    <x v="0"/>
    <x v="0"/>
    <x v="0"/>
    <x v="0"/>
    <x v="0"/>
    <x v="0"/>
  </r>
  <r>
    <x v="1"/>
    <s v="BEN"/>
    <n v="11372"/>
    <n v="21.88"/>
    <n v="1.29"/>
    <n v="23.5"/>
    <n v="0.69"/>
    <n v="16.961240310077518"/>
    <n v="0.93106382978723401"/>
    <n v="2.8"/>
    <n v="2.2200000000000002"/>
    <n v="2.59"/>
    <n v="31.710144927536234"/>
    <s v="NO"/>
    <n v="-1.7003086706401906E-2"/>
    <n v="-1.1547697190504418"/>
    <n v="-1.6166415968989472"/>
    <n v="-0.60828920986680002"/>
    <n v="-0.73993841847284192"/>
    <n v="0.33991691060112628"/>
    <x v="0"/>
    <x v="0"/>
    <x v="0"/>
    <x v="0"/>
    <x v="0"/>
    <x v="0"/>
  </r>
  <r>
    <x v="1"/>
    <s v="HOOD"/>
    <n v="58375"/>
    <n v="73.400000000000006"/>
    <n v="1.2"/>
    <n v="8.99"/>
    <n v="1.75"/>
    <n v="61.166666666666671"/>
    <n v="8.1646273637374858"/>
    <n v="21.43"/>
    <n v="4.32"/>
    <n v="3.46"/>
    <n v="41.942857142857143"/>
    <s v="NO"/>
    <n v="2.6518409321899363"/>
    <n v="1.2187426676107314"/>
    <n v="0.68450139247774955"/>
    <n v="-0.13747397287825655"/>
    <n v="-0.58915290840091261"/>
    <n v="1.1421125921511814"/>
    <x v="0"/>
    <x v="0"/>
    <x v="0"/>
    <x v="0"/>
    <x v="0"/>
    <x v="0"/>
  </r>
  <r>
    <x v="1"/>
    <s v="BAM"/>
    <n v="90473"/>
    <n v="55.05"/>
    <n v="1.02"/>
    <n v="5.26"/>
    <n v="1.46"/>
    <n v="53.970588235294116"/>
    <n v="10.465779467680608"/>
    <n v="20.23"/>
    <n v="11.38"/>
    <n v="1.76"/>
    <n v="37.705479452054796"/>
    <s v="NO"/>
    <n v="2.2173872358008073"/>
    <n v="1.9738079956009762"/>
    <n v="0.5362796218254664"/>
    <n v="1.4453620143308468"/>
    <n v="-0.8837912614150274"/>
    <n v="0.80992245398148555"/>
    <x v="0"/>
    <x v="0"/>
    <x v="0"/>
    <x v="0"/>
    <x v="0"/>
    <x v="0"/>
  </r>
  <r>
    <x v="1"/>
    <s v="BOLSY"/>
    <n v="12985"/>
    <n v="7.11"/>
    <n v="0.22"/>
    <n v="0.63"/>
    <n v="0.15"/>
    <n v="32.31818181818182"/>
    <n v="11.285714285714286"/>
    <n v="24.46"/>
    <n v="8.49"/>
    <n v="2.46"/>
    <n v="47.400000000000006"/>
    <s v="NO"/>
    <n v="0.91015190014592862"/>
    <n v="2.2428490343260385"/>
    <n v="1.0587613633747648"/>
    <n v="0.79743056914185118"/>
    <n v="-0.76246958664450948"/>
    <n v="1.5699264836673756"/>
    <x v="0"/>
    <x v="0"/>
    <x v="0"/>
    <x v="0"/>
    <x v="0"/>
    <x v="0"/>
  </r>
  <r>
    <x v="1"/>
    <s v="BN"/>
    <n v="88530"/>
    <n v="58.59"/>
    <n v="-1.53"/>
    <n v="27.44"/>
    <n v="0.28999999999999998"/>
    <n v="-38.294117647058826"/>
    <n v="2.135204081632653"/>
    <n v="0.94"/>
    <n v="2.69"/>
    <n v="11.94"/>
    <n v="202.03448275862073"/>
    <s v="NO"/>
    <n v="-3.352972078529016"/>
    <n v="-0.75966130676949939"/>
    <n v="-1.8463853414099864"/>
    <n v="-0.50291627587412602"/>
    <n v="0.88057252310478917"/>
    <n v="13.692530117722745"/>
    <x v="1"/>
    <x v="0"/>
    <x v="0"/>
    <x v="0"/>
    <x v="0"/>
    <x v="1"/>
  </r>
  <r>
    <x v="1"/>
    <s v="NMR"/>
    <n v="18272"/>
    <n v="6.22"/>
    <n v="-1.96"/>
    <n v="7.83"/>
    <n v="0.74"/>
    <n v="-3.1734693877551021"/>
    <n v="0.79438058748403573"/>
    <n v="9.8800000000000008"/>
    <n v="0.62"/>
    <n v="16.36"/>
    <n v="8.4054054054054053"/>
    <s v="NO"/>
    <n v="-1.2326094947478632"/>
    <n v="-1.1996188956883478"/>
    <n v="-0.74213315005047631"/>
    <n v="-0.96700558090569033"/>
    <n v="1.6466322409414873"/>
    <n v="-1.4870631716014451"/>
    <x v="0"/>
    <x v="0"/>
    <x v="0"/>
    <x v="0"/>
    <x v="0"/>
    <x v="0"/>
  </r>
  <r>
    <x v="1"/>
    <s v="CG"/>
    <n v="16323"/>
    <n v="46.58"/>
    <n v="-3.53"/>
    <n v="15.45"/>
    <n v="2.94"/>
    <n v="-13.195467422096318"/>
    <n v="3.0148867313915857"/>
    <n v="18.98"/>
    <n v="5.12"/>
    <n v="4.32"/>
    <n v="15.843537414965986"/>
    <s v="NO"/>
    <n v="-1.8376743412122509"/>
    <n v="-0.4710155161112502"/>
    <n v="0.3818819440626714"/>
    <n v="4.1884212641188544E-2"/>
    <n v="-0.44010056511141921"/>
    <n v="-0.90394920813681268"/>
    <x v="0"/>
    <x v="0"/>
    <x v="0"/>
    <x v="0"/>
    <x v="0"/>
    <x v="0"/>
  </r>
  <r>
    <x v="1"/>
    <s v="ARCC"/>
    <n v="15307"/>
    <n v="22.21"/>
    <n v="-3.73"/>
    <n v="19.809999999999999"/>
    <n v="2.04"/>
    <n v="-5.9544235924932982"/>
    <n v="1.121150933871782"/>
    <n v="10.29"/>
    <n v="5.37"/>
    <n v="2.0699999999999998"/>
    <n v="10.887254901960784"/>
    <s v="NO"/>
    <n v="-1.4005059185097362"/>
    <n v="-1.0923974050489582"/>
    <n v="-0.69149071174427967"/>
    <n v="9.7933645616015141E-2"/>
    <n v="-0.83006309115951238"/>
    <n v="-1.2924980449273078"/>
    <x v="0"/>
    <x v="0"/>
    <x v="0"/>
    <x v="0"/>
    <x v="0"/>
    <x v="0"/>
  </r>
  <r>
    <x v="1"/>
    <s v="LPLA"/>
    <n v="30963"/>
    <n v="380.39"/>
    <n v="-5.09"/>
    <n v="41.89"/>
    <n v="14.44"/>
    <n v="-74.732809430255401"/>
    <n v="9.0806875149200277"/>
    <n v="40.36"/>
    <n v="8.7100000000000009"/>
    <n v="4.47"/>
    <n v="26.342797783933516"/>
    <s v="NO"/>
    <n v="-5.552909792906374"/>
    <n v="1.5193248226652396"/>
    <n v="3.0226998245175172"/>
    <n v="0.84675407015969872"/>
    <n v="-0.41410306337487973"/>
    <n v="-8.0857426581099859E-2"/>
    <x v="1"/>
    <x v="0"/>
    <x v="0"/>
    <x v="0"/>
    <x v="0"/>
    <x v="0"/>
  </r>
  <r>
    <x v="1"/>
    <s v="JEF"/>
    <n v="10024"/>
    <n v="53.42"/>
    <n v="-8.23"/>
    <n v="49.47"/>
    <n v="2.85"/>
    <n v="-6.4908869987849327"/>
    <n v="1.0798463715383062"/>
    <n v="6.8"/>
    <n v="1.04"/>
    <n v="6.88"/>
    <n v="18.743859649122808"/>
    <s v="NO"/>
    <n v="-1.4328941855448483"/>
    <n v="-1.1059504608649462"/>
    <n v="-1.1225690280580032"/>
    <n v="-0.87284253350798158"/>
    <n v="3.5901311921888264E-3"/>
    <n v="-0.67657782092427354"/>
    <x v="0"/>
    <x v="0"/>
    <x v="0"/>
    <x v="0"/>
    <x v="0"/>
    <x v="0"/>
  </r>
  <r>
    <x v="1"/>
    <s v="MS"/>
    <n v="205401"/>
    <n v="131.94999999999999"/>
    <n v="-19.12"/>
    <n v="60.41"/>
    <n v="8.5299999999999994"/>
    <n v="-6.9011506276150616"/>
    <n v="2.1842410196987254"/>
    <n v="13.88"/>
    <n v="1.1399999999999999"/>
    <n v="13.4"/>
    <n v="15.468933177022274"/>
    <s v="NO"/>
    <n v="-1.4576633083023485"/>
    <n v="-0.74357106585884836"/>
    <n v="-0.24806058120953225"/>
    <n v="-0.85042276031805109"/>
    <n v="1.1336148733404408"/>
    <n v="-0.93331638818110862"/>
    <x v="0"/>
    <x v="0"/>
    <x v="0"/>
    <x v="0"/>
    <x v="0"/>
    <x v="0"/>
  </r>
  <r>
    <x v="1"/>
    <s v="DB"/>
    <n v="53915"/>
    <n v="28.14"/>
    <n v="-34.67"/>
    <n v="44.57"/>
    <n v="1.79"/>
    <n v="-0.8116527256994519"/>
    <n v="0.63136638994839578"/>
    <n v="5.16"/>
    <n v="0.3"/>
    <n v="17.71"/>
    <n v="15.720670391061452"/>
    <s v="NO"/>
    <n v="-1.0900179445293374"/>
    <n v="-1.2531079146534136"/>
    <n v="-1.3251387812827904"/>
    <n v="-1.0387488551134685"/>
    <n v="1.8806097565703435"/>
    <n v="-0.91358139498103486"/>
    <x v="0"/>
    <x v="0"/>
    <x v="0"/>
    <x v="0"/>
    <x v="0"/>
    <x v="0"/>
  </r>
  <r>
    <x v="1"/>
    <s v="STT"/>
    <n v="27457"/>
    <n v="98.86"/>
    <n v="-36.979999999999997"/>
    <n v="80.13"/>
    <n v="8.9"/>
    <n v="-2.6733369388858845"/>
    <n v="1.2337451641083241"/>
    <n v="11.22"/>
    <n v="0.81"/>
    <n v="16.11"/>
    <n v="11.107865168539325"/>
    <s v="NO"/>
    <n v="-1.2024146611079061"/>
    <n v="-1.0554524333377509"/>
    <n v="-0.57661883948876003"/>
    <n v="-0.92440801184482202"/>
    <n v="1.603303071380588"/>
    <n v="-1.2752032554882047"/>
    <x v="0"/>
    <x v="0"/>
    <x v="0"/>
    <x v="0"/>
    <x v="0"/>
    <x v="0"/>
  </r>
  <r>
    <x v="1"/>
    <s v="GS"/>
    <n v="184243"/>
    <n v="613.52"/>
    <n v="-75.510000000000005"/>
    <n v="371.45"/>
    <n v="42.98"/>
    <n v="-8.125016554098794"/>
    <n v="1.6516893256158298"/>
    <n v="12.22"/>
    <n v="0.86"/>
    <n v="16.18"/>
    <n v="14.274546300604934"/>
    <s v="NO"/>
    <n v="-1.531552591293966"/>
    <n v="-0.91831454277870395"/>
    <n v="-0.45310069727852403"/>
    <n v="-0.91319812524985666"/>
    <n v="1.6154352388576398"/>
    <n v="-1.0269506050144022"/>
    <x v="0"/>
    <x v="0"/>
    <x v="0"/>
    <x v="0"/>
    <x v="0"/>
    <x v="0"/>
  </r>
  <r>
    <x v="2"/>
    <s v="COF"/>
    <n v="121082"/>
    <n v="198.99"/>
    <n v="47.75"/>
    <n v="153.27000000000001"/>
    <n v="11.9"/>
    <n v="4.1673298429319372"/>
    <n v="1.2982971227246036"/>
    <n v="8.0299999999999994"/>
    <n v="1"/>
    <n v="8.41"/>
    <n v="16.721848739495798"/>
    <s v="NO"/>
    <n v="-0.51989386080754241"/>
    <n v="-0.77170234631960632"/>
    <n v="-0.53363718879769506"/>
    <n v="-0.60470728162973042"/>
    <n v="0.75361587653724804"/>
    <n v="-6.5919968214553135E-2"/>
    <x v="0"/>
    <x v="0"/>
    <x v="0"/>
    <x v="0"/>
    <x v="0"/>
    <x v="0"/>
  </r>
  <r>
    <x v="2"/>
    <s v="SYF"/>
    <n v="21945"/>
    <n v="60.83"/>
    <n v="24.81"/>
    <n v="40.36"/>
    <n v="7.27"/>
    <n v="2.4518339379282548"/>
    <n v="1.5071853320118929"/>
    <n v="18.600000000000001"/>
    <n v="2.44"/>
    <n v="7.94"/>
    <n v="8.3672627235213213"/>
    <s v="NO"/>
    <n v="-0.69105825051168868"/>
    <n v="-0.67384402078533501"/>
    <n v="0.39347410074728134"/>
    <n v="0.56255610382175991"/>
    <n v="0.43509118051880707"/>
    <n v="-0.97091739751179817"/>
    <x v="0"/>
    <x v="0"/>
    <x v="0"/>
    <x v="0"/>
    <x v="0"/>
    <x v="0"/>
  </r>
  <r>
    <x v="2"/>
    <s v="AXP"/>
    <n v="206008"/>
    <n v="301.56"/>
    <n v="16"/>
    <n v="44.51"/>
    <n v="14.32"/>
    <n v="18.8475"/>
    <n v="6.7751067175915525"/>
    <n v="34.270000000000003"/>
    <n v="3.73"/>
    <n v="9.0500000000000007"/>
    <n v="21.058659217877096"/>
    <s v="NO"/>
    <n v="0.94482684086162405"/>
    <n v="1.7940308659681348"/>
    <n v="1.7679143947084714"/>
    <n v="1.6082295532887201"/>
    <n v="1.187351632817679"/>
    <n v="0.40385822627407508"/>
    <x v="0"/>
    <x v="0"/>
    <x v="0"/>
    <x v="0"/>
    <x v="0"/>
    <x v="0"/>
  </r>
  <r>
    <x v="2"/>
    <s v="KSPI"/>
    <n v="15218"/>
    <n v="85.62"/>
    <n v="5.45"/>
    <n v="17.77"/>
    <n v="11.1"/>
    <n v="15.710091743119266"/>
    <n v="4.8182329769274057"/>
    <n v="69.209999999999994"/>
    <n v="15.25"/>
    <n v="5.44"/>
    <n v="7.7135135135135142"/>
    <s v="NO"/>
    <n v="0.6317904949424028"/>
    <n v="0.87728985795839354"/>
    <n v="4.8325566328070009"/>
    <n v="10.946336636900643"/>
    <n v="-1.2591891174516245"/>
    <n v="-1.0417337555373083"/>
    <x v="0"/>
    <x v="0"/>
    <x v="1"/>
    <x v="1"/>
    <x v="0"/>
    <x v="0"/>
  </r>
  <r>
    <x v="2"/>
    <s v="ALLY"/>
    <n v="10751"/>
    <n v="36.6"/>
    <n v="1.7"/>
    <n v="38.770000000000003"/>
    <n v="0.61"/>
    <n v="21.529411764705884"/>
    <n v="0.94402888831570797"/>
    <n v="2.16"/>
    <n v="0.16"/>
    <n v="16.239999999999998"/>
    <n v="60.000000000000007"/>
    <s v="NO"/>
    <n v="1.2124158156340628"/>
    <n v="-0.93766717663493238"/>
    <n v="-1.0485041017238077"/>
    <n v="-1.2856109231430999"/>
    <n v="6.0601017697806387"/>
    <n v="4.6221179023160381"/>
    <x v="0"/>
    <x v="0"/>
    <x v="0"/>
    <x v="0"/>
    <x v="1"/>
    <x v="1"/>
  </r>
  <r>
    <x v="2"/>
    <s v="SOFI"/>
    <n v="14701"/>
    <n v="14.1"/>
    <n v="-2.19"/>
    <n v="6.05"/>
    <n v="0.43"/>
    <n v="-6.4383561643835616"/>
    <n v="2.3305785123966944"/>
    <n v="7.51"/>
    <n v="1.4"/>
    <n v="5.65"/>
    <n v="32.790697674418603"/>
    <s v="NO"/>
    <n v="-1.5780810401188587"/>
    <n v="-0.28810718018665449"/>
    <n v="-0.57924720493425008"/>
    <n v="-0.28046745233764986"/>
    <n v="-1.1168695724221083"/>
    <n v="1.6747128949895858"/>
    <x v="0"/>
    <x v="0"/>
    <x v="0"/>
    <x v="0"/>
    <x v="0"/>
    <x v="0"/>
  </r>
  <r>
    <x v="3"/>
    <s v="ADYEY"/>
    <n v="60311"/>
    <n v="19.41"/>
    <n v="53.31"/>
    <n v="139.22999999999999"/>
    <n v="30.65"/>
    <n v="0.36409679234665165"/>
    <n v="0.1394096099978453"/>
    <n v="25.06"/>
    <n v="5.36"/>
    <n v="2.7"/>
    <n v="0.63327895595432304"/>
    <s v="YES"/>
    <n v="-1.3930443171581885"/>
    <n v="-1.0573420633681234"/>
    <n v="0.37581637905554366"/>
    <n v="1.28690258285648"/>
    <n v="-0.40082132138468479"/>
    <n v="-1.8826715264348908"/>
    <x v="0"/>
    <x v="0"/>
    <x v="0"/>
    <x v="0"/>
    <x v="0"/>
    <x v="0"/>
  </r>
  <r>
    <x v="3"/>
    <s v="CPAY"/>
    <n v="22918"/>
    <n v="342.75"/>
    <n v="19.12"/>
    <n v="49.01"/>
    <n v="14.26"/>
    <n v="17.926255230125523"/>
    <n v="6.9934707202611719"/>
    <n v="30.04"/>
    <n v="6.49"/>
    <n v="5.37"/>
    <n v="24.035764375876578"/>
    <s v="NO"/>
    <n v="-0.2898802990713879"/>
    <n v="0.10051432486960264"/>
    <n v="0.71436978870105772"/>
    <n v="1.8395301306520693"/>
    <n v="0.43294055915841562"/>
    <n v="-1.6226682641966861E-2"/>
    <x v="0"/>
    <x v="0"/>
    <x v="0"/>
    <x v="0"/>
    <x v="0"/>
    <x v="0"/>
  </r>
  <r>
    <x v="3"/>
    <s v="MA"/>
    <n v="531773"/>
    <n v="584.33000000000004"/>
    <n v="15.56"/>
    <n v="7.33"/>
    <n v="14.26"/>
    <n v="37.553341902313626"/>
    <n v="79.717598908594823"/>
    <n v="187.7"/>
    <n v="23.36"/>
    <n v="7.27"/>
    <n v="40.976858345021043"/>
    <s v="NO"/>
    <n v="0.94299183753639937"/>
    <n v="12.385799653854127"/>
    <n v="11.432508456313858"/>
    <n v="10.08981927340569"/>
    <n v="1.0262542569231685"/>
    <n v="1.3348955131229192"/>
    <x v="0"/>
    <x v="1"/>
    <x v="1"/>
    <x v="1"/>
    <x v="0"/>
    <x v="0"/>
  </r>
  <r>
    <x v="3"/>
    <s v="GPN"/>
    <n v="18440"/>
    <n v="78.95"/>
    <n v="11.52"/>
    <n v="90.68"/>
    <n v="6.19"/>
    <n v="6.8532986111111116"/>
    <n v="0.87064402293780319"/>
    <n v="7.1"/>
    <n v="3.23"/>
    <n v="2.14"/>
    <n v="12.754442649434571"/>
    <s v="NO"/>
    <n v="-0.98542620017519722"/>
    <n v="-0.93381465053925461"/>
    <n v="-0.84515133926442276"/>
    <n v="0.24522410780815654"/>
    <n v="-0.57569272704166463"/>
    <n v="-0.91595867220073746"/>
    <x v="0"/>
    <x v="0"/>
    <x v="0"/>
    <x v="0"/>
    <x v="0"/>
    <x v="0"/>
  </r>
  <r>
    <x v="3"/>
    <s v="V"/>
    <n v="699585"/>
    <n v="366.66"/>
    <n v="10.83"/>
    <n v="19.8"/>
    <n v="9.9600000000000009"/>
    <n v="33.855955678670362"/>
    <n v="18.518181818181819"/>
    <n v="50.66"/>
    <n v="16.940000000000001"/>
    <n v="2.5"/>
    <n v="36.813253012048193"/>
    <s v="NO"/>
    <n v="0.71074114595176385"/>
    <n v="2.047383509817529"/>
    <n v="2.1161712559481463"/>
    <n v="6.9501123204431394"/>
    <n v="-0.46327539483360619"/>
    <n v="1.0028307958130038"/>
    <x v="0"/>
    <x v="0"/>
    <x v="0"/>
    <x v="1"/>
    <x v="0"/>
    <x v="0"/>
  </r>
  <r>
    <x v="3"/>
    <s v="FI"/>
    <n v="90256"/>
    <n v="166.94"/>
    <n v="8.69"/>
    <n v="46.55"/>
    <n v="5.65"/>
    <n v="19.21058688147296"/>
    <n v="3.5862513426423202"/>
    <n v="11.68"/>
    <n v="4.3899999999999997"/>
    <n v="3.11"/>
    <n v="29.546902654867253"/>
    <s v="NO"/>
    <n v="-0.20920522316450621"/>
    <n v="-0.4750671674803818"/>
    <n v="-0.53379097457035563"/>
    <n v="0.81252318342132768"/>
    <n v="-0.27279047081439606"/>
    <n v="0.42330935123140134"/>
    <x v="0"/>
    <x v="0"/>
    <x v="0"/>
    <x v="0"/>
    <x v="0"/>
    <x v="0"/>
  </r>
  <r>
    <x v="3"/>
    <s v="APO"/>
    <n v="74689"/>
    <n v="133.51"/>
    <n v="6.99"/>
    <n v="29.06"/>
    <n v="5.73"/>
    <n v="19.100143061516452"/>
    <n v="4.5942876806607016"/>
    <n v="18.690000000000001"/>
    <n v="1.52"/>
    <n v="23.83"/>
    <n v="23.300174520069806"/>
    <s v="NO"/>
    <n v="-0.21614273307410739"/>
    <n v="-0.30477961171251305"/>
    <n v="-5.7232861796248306E-2"/>
    <n v="-0.59105297779401844"/>
    <n v="6.1974515384938575"/>
    <n v="-7.4893010977681349E-2"/>
    <x v="0"/>
    <x v="0"/>
    <x v="0"/>
    <x v="0"/>
    <x v="1"/>
    <x v="0"/>
  </r>
  <r>
    <x v="3"/>
    <s v="EQH"/>
    <n v="16067"/>
    <n v="54.58"/>
    <n v="6.19"/>
    <n v="2.92"/>
    <n v="3.76"/>
    <n v="8.8174474959612272"/>
    <n v="18.691780821917806"/>
    <n v="38.479999999999997"/>
    <n v="0.56999999999999995"/>
    <n v="321.44"/>
    <n v="14.51595744680851"/>
    <s v="NO"/>
    <n v="-0.86204851948699124"/>
    <n v="2.0767095855898083"/>
    <n v="1.2881430371765874"/>
    <n v="-1.0556513586841156"/>
    <n v="99.13223553416131"/>
    <n v="-0.77547059361295267"/>
    <x v="0"/>
    <x v="0"/>
    <x v="0"/>
    <x v="0"/>
    <x v="1"/>
    <x v="0"/>
  </r>
  <r>
    <x v="3"/>
    <s v="PYPL"/>
    <n v="68350"/>
    <n v="73.55"/>
    <n v="5.91"/>
    <n v="20.69"/>
    <n v="4.45"/>
    <n v="12.445008460236886"/>
    <n v="3.5548574190430156"/>
    <n v="22.2"/>
    <n v="4.45"/>
    <n v="4.01"/>
    <n v="16.528089887640448"/>
    <s v="NO"/>
    <n v="-0.63418388978426088"/>
    <n v="-0.48037054228351445"/>
    <n v="0.18138610765269825"/>
    <n v="0.84186623905649194"/>
    <n v="8.2528597057501298E-3"/>
    <n v="-0.61499472313031578"/>
    <x v="0"/>
    <x v="0"/>
    <x v="0"/>
    <x v="0"/>
    <x v="0"/>
    <x v="0"/>
  </r>
  <r>
    <x v="3"/>
    <s v="WIZEY"/>
    <n v="15441"/>
    <n v="15.32"/>
    <n v="4.43"/>
    <n v="1.54"/>
    <n v="0.55000000000000004"/>
    <n v="3.4582392776523703"/>
    <n v="9.9480519480519476"/>
    <n v="45.06"/>
    <n v="2.35"/>
    <n v="14.07"/>
    <n v="27.854545454545452"/>
    <s v="NO"/>
    <n v="-1.1986862791803332"/>
    <n v="0.59963166481310126"/>
    <n v="1.7354686266278896"/>
    <n v="-0.18514070817424927"/>
    <n v="3.1496927541864959"/>
    <n v="0.28833687656819751"/>
    <x v="0"/>
    <x v="0"/>
    <x v="0"/>
    <x v="0"/>
    <x v="0"/>
    <x v="0"/>
  </r>
  <r>
    <x v="3"/>
    <s v="JKHY"/>
    <n v="13192"/>
    <n v="179.96"/>
    <n v="4.1500000000000004"/>
    <n v="27.97"/>
    <n v="5.87"/>
    <n v="43.363855421686743"/>
    <n v="6.4340364676439048"/>
    <n v="22.49"/>
    <n v="11.81"/>
    <n v="1.44"/>
    <n v="30.657580919931856"/>
    <s v="NO"/>
    <n v="1.3079782635437258"/>
    <n v="6.009109235916116E-3"/>
    <n v="0.20110106524249718"/>
    <n v="4.4412810636366133"/>
    <n v="-0.79428198411288953"/>
    <n v="0.51189052898861354"/>
    <x v="0"/>
    <x v="0"/>
    <x v="0"/>
    <x v="1"/>
    <x v="0"/>
    <x v="0"/>
  </r>
  <r>
    <x v="3"/>
    <s v="FIS"/>
    <n v="41827"/>
    <n v="81.69"/>
    <n v="3.73"/>
    <n v="28.64"/>
    <n v="1.6"/>
    <n v="21.900804289544237"/>
    <n v="2.8523044692737427"/>
    <n v="5.25"/>
    <n v="3.44"/>
    <n v="2.1800000000000002"/>
    <n v="51.056249999999999"/>
    <s v="NO"/>
    <n v="-4.0219670737710878E-2"/>
    <n v="-0.59905279618806984"/>
    <n v="-0.97091917216486467"/>
    <n v="0.34792480253123065"/>
    <n v="-0.56320191235188033"/>
    <n v="2.1387686165749966"/>
    <x v="0"/>
    <x v="0"/>
    <x v="0"/>
    <x v="0"/>
    <x v="0"/>
    <x v="0"/>
  </r>
  <r>
    <x v="3"/>
    <s v="CRBG"/>
    <n v="17926"/>
    <n v="33.26"/>
    <n v="3.6"/>
    <n v="21.66"/>
    <n v="1.17"/>
    <n v="9.2388888888888889"/>
    <n v="1.5355493998153278"/>
    <n v="5.7"/>
    <n v="0.28999999999999998"/>
    <n v="32.56"/>
    <n v="28.427350427350426"/>
    <s v="NO"/>
    <n v="-0.83557574952210667"/>
    <n v="-0.82149220027127356"/>
    <n v="-0.94032699659448704"/>
    <n v="-1.1925856183148811"/>
    <n v="8.9235718445392767"/>
    <n v="0.33402043832701267"/>
    <x v="0"/>
    <x v="0"/>
    <x v="0"/>
    <x v="0"/>
    <x v="1"/>
    <x v="0"/>
  </r>
  <r>
    <x v="3"/>
    <s v="XYZ"/>
    <n v="37977"/>
    <n v="65.84"/>
    <n v="1.94"/>
    <n v="34.799999999999997"/>
    <n v="4.12"/>
    <n v="33.938144329896907"/>
    <n v="1.8919540229885059"/>
    <n v="12.79"/>
    <n v="1.93"/>
    <n v="1.7"/>
    <n v="15.980582524271846"/>
    <s v="NO"/>
    <n v="0.71590381220656607"/>
    <n v="-0.76128477534467143"/>
    <n v="-0.45833027483009042"/>
    <n v="-0.3905420976203976"/>
    <n v="-0.71309168862929184"/>
    <n v="-0.65866069607984112"/>
    <x v="0"/>
    <x v="0"/>
    <x v="0"/>
    <x v="0"/>
    <x v="0"/>
    <x v="0"/>
  </r>
  <r>
    <x v="3"/>
    <s v="AFRM"/>
    <n v="16743"/>
    <n v="61.34"/>
    <n v="1.9"/>
    <n v="8.91"/>
    <n v="-0.19"/>
    <n v="32.284210526315796"/>
    <n v="6.8843995510662177"/>
    <n v="-2.2599999999999998"/>
    <n v="-1.38"/>
    <n v="3.63"/>
    <n v="-322.84210526315792"/>
    <s v="NO"/>
    <n v="0.61201223948944394"/>
    <n v="8.2088934725965054E-2"/>
    <n v="-1.4814685911282803"/>
    <n v="-2.0093006668269466"/>
    <n v="-0.11040987984720045"/>
    <n v="-27.681169084977661"/>
    <x v="0"/>
    <x v="0"/>
    <x v="0"/>
    <x v="0"/>
    <x v="0"/>
    <x v="1"/>
  </r>
  <r>
    <x v="3"/>
    <s v="TOST"/>
    <n v="24402"/>
    <n v="43.45"/>
    <n v="0.72"/>
    <n v="2.9"/>
    <n v="0.25"/>
    <n v="60.347222222222229"/>
    <n v="14.982758620689657"/>
    <n v="10.99"/>
    <n v="3.57"/>
    <n v="1.53"/>
    <n v="173.8"/>
    <s v="NO"/>
    <n v="2.3747855826268931"/>
    <n v="1.4501445490778164"/>
    <n v="-0.58069897711160146"/>
    <n v="0.41150142307408599"/>
    <n v="-0.76617765106087499"/>
    <n v="11.928089502137109"/>
    <x v="0"/>
    <x v="0"/>
    <x v="0"/>
    <x v="0"/>
    <x v="0"/>
    <x v="1"/>
  </r>
  <r>
    <x v="3"/>
    <s v="IX"/>
    <n v="24158"/>
    <n v="21.54"/>
    <n v="-0.34"/>
    <n v="24"/>
    <n v="2.0499999999999998"/>
    <n v="-63.35294117647058"/>
    <n v="0.89749999999999996"/>
    <n v="8.58"/>
    <n v="1.99"/>
    <n v="4.12"/>
    <n v="10.507317073170732"/>
    <s v="NO"/>
    <n v="-5.3954193028583761"/>
    <n v="-0.92927787094193415"/>
    <n v="-0.74453707294406912"/>
    <n v="-0.3611990419852335"/>
    <n v="4.2602600102656984E-2"/>
    <n v="-1.0951762155477542"/>
    <x v="1"/>
    <x v="0"/>
    <x v="0"/>
    <x v="0"/>
    <x v="0"/>
    <x v="0"/>
  </r>
  <r>
    <x v="4"/>
    <s v="MKL"/>
    <n v="24630"/>
    <n v="1943.58"/>
    <n v="160.80000000000001"/>
    <n v="1303.4000000000001"/>
    <n v="135.94"/>
    <n v="12.086940298507461"/>
    <n v="1.4911615774129199"/>
    <n v="11.32"/>
    <n v="2.73"/>
    <n v="3.9"/>
    <n v="14.297337060467854"/>
    <s v="NO"/>
    <n v="0.11833284344949087"/>
    <n v="-0.55615399918371422"/>
    <n v="-0.39377925208798237"/>
    <n v="0.15735199276682502"/>
    <n v="-0.58969278954493265"/>
    <n v="-0.36624843771457072"/>
    <x v="0"/>
    <x v="0"/>
    <x v="0"/>
    <x v="0"/>
    <x v="0"/>
    <x v="0"/>
  </r>
  <r>
    <x v="4"/>
    <s v="FRFHF"/>
    <n v="37879"/>
    <n v="1656.81"/>
    <n v="118.24"/>
    <n v="1080.3800000000001"/>
    <n v="172.81"/>
    <n v="14.012263193504737"/>
    <n v="1.5335437531239007"/>
    <n v="15.92"/>
    <n v="4.22"/>
    <n v="4.24"/>
    <n v="9.5874660031248187"/>
    <s v="NO"/>
    <n v="0.36120227304815439"/>
    <n v="-0.51592644404622379"/>
    <n v="0.3726155873102388"/>
    <n v="0.97848285271683599"/>
    <n v="-0.51145511426501267"/>
    <n v="-1.2594860092756144"/>
    <x v="0"/>
    <x v="0"/>
    <x v="0"/>
    <x v="0"/>
    <x v="0"/>
    <x v="0"/>
  </r>
  <r>
    <x v="4"/>
    <s v="ALIZY"/>
    <n v="152640"/>
    <n v="39.99"/>
    <n v="79.97"/>
    <n v="161.83000000000001"/>
    <n v="26.08"/>
    <n v="0.50006252344629243"/>
    <n v="0.24711116603843539"/>
    <n v="16.78"/>
    <n v="1"/>
    <n v="17.329999999999998"/>
    <n v="1.5333588957055218"/>
    <s v="NO"/>
    <n v="-1.3432912837920434"/>
    <n v="-1.7369595071090309"/>
    <n v="0.51589810076294995"/>
    <n v="-0.79604155603419458"/>
    <n v="2.5006953840119048"/>
    <n v="-2.7869654213727713"/>
    <x v="0"/>
    <x v="0"/>
    <x v="0"/>
    <x v="0"/>
    <x v="0"/>
    <x v="1"/>
  </r>
  <r>
    <x v="4"/>
    <s v="RGA"/>
    <n v="13435"/>
    <n v="203.2"/>
    <n v="76.95"/>
    <n v="172.53"/>
    <n v="11.84"/>
    <n v="2.6406757634827809"/>
    <n v="1.1777661855909116"/>
    <n v="7.6"/>
    <n v="0.74"/>
    <n v="11.24"/>
    <n v="17.162162162162161"/>
    <s v="NO"/>
    <n v="-1.07326410136468"/>
    <n v="-0.85361702916895554"/>
    <n v="-1.0135594265578485"/>
    <n v="-0.93932613562278711"/>
    <n v="1.099320553262751"/>
    <n v="0.17707204508185789"/>
    <x v="0"/>
    <x v="0"/>
    <x v="0"/>
    <x v="0"/>
    <x v="0"/>
    <x v="0"/>
  </r>
  <r>
    <x v="4"/>
    <s v="RNR"/>
    <n v="12134"/>
    <n v="243.88"/>
    <n v="71.569999999999993"/>
    <n v="196.17"/>
    <n v="31.81"/>
    <n v="3.407573005449211"/>
    <n v="1.2432074221338636"/>
    <n v="13.99"/>
    <n v="2.91"/>
    <n v="5.59"/>
    <n v="7.6667714555171331"/>
    <s v="NO"/>
    <n v="-0.97652401885636975"/>
    <n v="-0.79150268729917073"/>
    <n v="5.1062969910550357E-2"/>
    <n v="0.25654900940508146"/>
    <n v="-0.20080552124180115"/>
    <n v="-1.6237500225633719"/>
    <x v="0"/>
    <x v="0"/>
    <x v="0"/>
    <x v="0"/>
    <x v="0"/>
    <x v="0"/>
  </r>
  <r>
    <x v="4"/>
    <s v="KNSL"/>
    <n v="11003"/>
    <n v="463.51"/>
    <n v="41.57"/>
    <n v="67.92"/>
    <n v="17.37"/>
    <n v="11.150108251142651"/>
    <n v="6.8243521790341575"/>
    <n v="29.42"/>
    <n v="7.05"/>
    <n v="3.29"/>
    <n v="26.684513529073111"/>
    <s v="NO"/>
    <n v="1.5637260169502453E-4"/>
    <n v="4.5059084217853558"/>
    <n v="2.621817833370236"/>
    <n v="2.5380803920849777"/>
    <n v="-0.73006038342949486"/>
    <n v="1.9830072621977228"/>
    <x v="0"/>
    <x v="1"/>
    <x v="0"/>
    <x v="0"/>
    <x v="0"/>
    <x v="0"/>
  </r>
  <r>
    <x v="4"/>
    <s v="TRV"/>
    <n v="62465"/>
    <n v="267.77999999999997"/>
    <n v="39.46"/>
    <n v="124.41"/>
    <n v="18.38"/>
    <n v="6.7861125190065881"/>
    <n v="2.1523993248131177"/>
    <n v="16.05"/>
    <n v="2.69"/>
    <n v="4.82"/>
    <n v="14.569096844396082"/>
    <s v="NO"/>
    <n v="-0.55033890119828088"/>
    <n v="7.1467813436906433E-2"/>
    <n v="0.39427457190192777"/>
    <n v="0.1353082112916569"/>
    <n v="-0.37799084466985505"/>
    <n v="-0.3147085873686582"/>
    <x v="0"/>
    <x v="0"/>
    <x v="0"/>
    <x v="0"/>
    <x v="0"/>
    <x v="0"/>
  </r>
  <r>
    <x v="4"/>
    <s v="CB"/>
    <n v="119102"/>
    <n v="289.8"/>
    <n v="36.049999999999997"/>
    <n v="164.01"/>
    <n v="20.78"/>
    <n v="8.0388349514563124"/>
    <n v="1.7669654289372601"/>
    <n v="12.86"/>
    <n v="2.71"/>
    <n v="3.83"/>
    <n v="13.946102021174205"/>
    <s v="NO"/>
    <n v="-0.39231450778091315"/>
    <n v="-0.29437143473993016"/>
    <n v="-0.13720358846336064"/>
    <n v="0.14633010202924096"/>
    <n v="-0.60580054622021029"/>
    <n v="-0.43286094785042001"/>
    <x v="0"/>
    <x v="0"/>
    <x v="0"/>
    <x v="0"/>
    <x v="0"/>
    <x v="0"/>
  </r>
  <r>
    <x v="4"/>
    <s v="ALL"/>
    <n v="55577"/>
    <n v="200.77"/>
    <n v="33.43"/>
    <n v="75.680000000000007"/>
    <n v="14.64"/>
    <n v="6.0056835177983849"/>
    <n v="2.6528805496828753"/>
    <n v="19.72"/>
    <n v="3.11"/>
    <n v="5.74"/>
    <n v="13.71379781420765"/>
    <s v="NO"/>
    <n v="-0.64878594447512261"/>
    <n v="0.54650562664456148"/>
    <n v="1.0057243676826821"/>
    <n v="0.36676791678092174"/>
    <n v="-0.16628889979477754"/>
    <n v="-0.47691795985093066"/>
    <x v="0"/>
    <x v="0"/>
    <x v="0"/>
    <x v="0"/>
    <x v="0"/>
    <x v="0"/>
  </r>
  <r>
    <x v="4"/>
    <s v="AIZ"/>
    <n v="10292"/>
    <n v="198.68"/>
    <n v="27.33"/>
    <n v="103"/>
    <n v="12.82"/>
    <n v="7.2696670325649473"/>
    <n v="1.9289320388349516"/>
    <n v="13.2"/>
    <n v="1.71"/>
    <n v="6.68"/>
    <n v="15.497659906396256"/>
    <s v="NO"/>
    <n v="-0.48934102432633719"/>
    <n v="-0.14063886625351149"/>
    <n v="-8.0557013377405187E-2"/>
    <n v="-0.40476443484996111"/>
    <n v="5.0015261273236314E-2"/>
    <n v="-0.13860452752413566"/>
    <x v="0"/>
    <x v="0"/>
    <x v="0"/>
    <x v="0"/>
    <x v="0"/>
    <x v="0"/>
  </r>
  <r>
    <x v="4"/>
    <s v="PGR"/>
    <n v="167033"/>
    <n v="271.31"/>
    <n v="26.86"/>
    <n v="49.39"/>
    <n v="14.83"/>
    <n v="10.100893521965748"/>
    <n v="5.4932172504555581"/>
    <n v="34.340000000000003"/>
    <n v="6.86"/>
    <n v="3.85"/>
    <n v="18.294672960215777"/>
    <s v="NO"/>
    <n v="-0.13219658671948481"/>
    <n v="3.2424455901459424"/>
    <n v="3.4415270963787692"/>
    <n v="2.4333724300779296"/>
    <n v="-0.60119833002727374"/>
    <n v="0.39185524884768308"/>
    <x v="0"/>
    <x v="0"/>
    <x v="1"/>
    <x v="0"/>
    <x v="0"/>
    <x v="0"/>
  </r>
  <r>
    <x v="4"/>
    <s v="MET"/>
    <n v="52751"/>
    <n v="79.62"/>
    <n v="23.46"/>
    <n v="40.83"/>
    <n v="6.14"/>
    <n v="3.3938618925831201"/>
    <n v="1.9500367376928731"/>
    <n v="15.98"/>
    <n v="0.63"/>
    <n v="25.04"/>
    <n v="12.967426710097721"/>
    <s v="NO"/>
    <n v="-0.9782536041480645"/>
    <n v="-0.12060708584759888"/>
    <n v="0.38261204173717217"/>
    <n v="-0.99994653467949934"/>
    <n v="4.2748497263889131"/>
    <n v="-0.61846890772222629"/>
    <x v="0"/>
    <x v="0"/>
    <x v="0"/>
    <x v="0"/>
    <x v="1"/>
    <x v="0"/>
  </r>
  <r>
    <x v="4"/>
    <s v="FNF"/>
    <n v="15042"/>
    <n v="54.84"/>
    <n v="22.8"/>
    <n v="28.7"/>
    <n v="4.04"/>
    <n v="2.405263157894737"/>
    <n v="1.9108013937282231"/>
    <n v="14.49"/>
    <n v="1.26"/>
    <n v="12.44"/>
    <n v="13.574257425742575"/>
    <s v="NO"/>
    <n v="-1.1029601722876741"/>
    <n v="-0.15784778753879183"/>
    <n v="0.13436675680166135"/>
    <n v="-0.65275697644560204"/>
    <n v="1.375453524838939"/>
    <n v="-0.50338210636570657"/>
    <x v="0"/>
    <x v="0"/>
    <x v="0"/>
    <x v="0"/>
    <x v="0"/>
    <x v="0"/>
  </r>
  <r>
    <x v="4"/>
    <s v="PFG"/>
    <n v="17462"/>
    <n v="76.84"/>
    <n v="21.48"/>
    <n v="49.86"/>
    <n v="4.68"/>
    <n v="3.5772811918063314"/>
    <n v="1.5411151223425592"/>
    <n v="9.73"/>
    <n v="0.28000000000000003"/>
    <n v="27.9"/>
    <n v="16.418803418803421"/>
    <s v="NO"/>
    <n v="-0.95511621732558494"/>
    <n v="-0.50873998729641212"/>
    <n v="-0.65868529440171542"/>
    <n v="-1.1928296225872199"/>
    <n v="4.9329666419788278"/>
    <n v="3.6092398158995329E-2"/>
    <x v="0"/>
    <x v="0"/>
    <x v="0"/>
    <x v="0"/>
    <x v="1"/>
    <x v="0"/>
  </r>
  <r>
    <x v="4"/>
    <s v="BNT"/>
    <n v="14041"/>
    <n v="58.54"/>
    <n v="19.940000000000001"/>
    <n v="50.47"/>
    <n v="2.2799999999999998"/>
    <n v="2.9358074222668002"/>
    <n v="1.1598969684961364"/>
    <n v="5.66"/>
    <n v="0.87"/>
    <n v="11.57"/>
    <n v="25.67543859649123"/>
    <s v="NO"/>
    <n v="-1.0360347837205435"/>
    <n v="-0.87057781289194902"/>
    <n v="-1.336778119695359"/>
    <n v="-0.86768384582849079"/>
    <n v="1.1752571204462028"/>
    <n v="1.7916339461708852"/>
    <x v="0"/>
    <x v="0"/>
    <x v="0"/>
    <x v="0"/>
    <x v="0"/>
    <x v="0"/>
  </r>
  <r>
    <x v="4"/>
    <s v="HIG"/>
    <n v="36888"/>
    <n v="126.87"/>
    <n v="19.39"/>
    <n v="57.91"/>
    <n v="10.039999999999999"/>
    <n v="6.5430634347601861"/>
    <n v="2.1908133310309101"/>
    <n v="18.5"/>
    <n v="3.08"/>
    <n v="4.99"/>
    <n v="12.636454183266935"/>
    <s v="NO"/>
    <n v="-0.58099827402804438"/>
    <n v="0.10792893246288822"/>
    <n v="0.80246312766837158"/>
    <n v="0.35023508067454578"/>
    <n v="-0.33887200702989506"/>
    <n v="-0.68123858708719198"/>
    <x v="0"/>
    <x v="0"/>
    <x v="0"/>
    <x v="0"/>
    <x v="0"/>
    <x v="0"/>
  </r>
  <r>
    <x v="4"/>
    <s v="ACGL"/>
    <n v="35617"/>
    <n v="92.35"/>
    <n v="17.38"/>
    <n v="55.38"/>
    <n v="9.75"/>
    <n v="5.3135788262370545"/>
    <n v="1.6675695196821956"/>
    <n v="18.420000000000002"/>
    <n v="3.8"/>
    <n v="3.63"/>
    <n v="9.4717948717948719"/>
    <s v="NO"/>
    <n v="-0.73609133729978804"/>
    <n v="-0.38871426525589958"/>
    <n v="0.78913452176579413"/>
    <n v="0.74702314722757113"/>
    <n v="-0.65182270814957499"/>
    <n v="-1.2814232978321225"/>
    <x v="0"/>
    <x v="0"/>
    <x v="0"/>
    <x v="0"/>
    <x v="0"/>
    <x v="0"/>
  </r>
  <r>
    <x v="4"/>
    <s v="CINF"/>
    <n v="23574"/>
    <n v="148.97"/>
    <n v="16.559999999999999"/>
    <n v="87.77"/>
    <n v="9.1999999999999993"/>
    <n v="8.9957729468599048"/>
    <n v="1.6972769739090807"/>
    <n v="10.97"/>
    <n v="3.22"/>
    <n v="2.72"/>
    <n v="16.192391304347826"/>
    <s v="NO"/>
    <n v="-0.27160177657678553"/>
    <n v="-0.36051707545007122"/>
    <n v="-0.45209190291176005"/>
    <n v="0.42738831583763415"/>
    <n v="-0.8612235449281842"/>
    <n v="-6.8471653292683466E-3"/>
    <x v="0"/>
    <x v="0"/>
    <x v="0"/>
    <x v="0"/>
    <x v="0"/>
    <x v="0"/>
  </r>
  <r>
    <x v="4"/>
    <s v="AFG"/>
    <n v="10355"/>
    <n v="124.62"/>
    <n v="16.53"/>
    <n v="52.49"/>
    <n v="9.52"/>
    <n v="7.5390199637023594"/>
    <n v="2.3741665079062679"/>
    <n v="18.510000000000002"/>
    <n v="2.34"/>
    <n v="6.9"/>
    <n v="13.090336134453782"/>
    <s v="NO"/>
    <n v="-0.45536355856407401"/>
    <n v="0.28196081989325622"/>
    <n v="0.80412920340619409"/>
    <n v="-5.7574876616063857E-2"/>
    <n v="0.10063963939553761"/>
    <n v="-0.59515886071730728"/>
    <x v="0"/>
    <x v="0"/>
    <x v="0"/>
    <x v="0"/>
    <x v="0"/>
    <x v="0"/>
  </r>
  <r>
    <x v="4"/>
    <s v="GL"/>
    <n v="10060"/>
    <n v="120.66"/>
    <n v="16.260000000000002"/>
    <n v="65.430000000000007"/>
    <n v="12.31"/>
    <n v="7.4206642066420656"/>
    <n v="1.8441082072443831"/>
    <n v="20.47"/>
    <n v="3.19"/>
    <n v="5.48"/>
    <n v="9.80178716490658"/>
    <s v="NO"/>
    <n v="-0.47029351928995644"/>
    <n v="-0.22115043285056832"/>
    <n v="1.1306800480193488"/>
    <n v="0.41085547973125797"/>
    <n v="-0.22611771030295158"/>
    <n v="-1.2188395219825889"/>
    <x v="0"/>
    <x v="0"/>
    <x v="0"/>
    <x v="0"/>
    <x v="0"/>
    <x v="0"/>
  </r>
  <r>
    <x v="4"/>
    <s v="L"/>
    <n v="18724"/>
    <n v="88.36"/>
    <n v="13.74"/>
    <n v="81.73"/>
    <n v="6.09"/>
    <n v="6.4308588064046575"/>
    <n v="1.0811207634895386"/>
    <n v="8"/>
    <n v="1.65"/>
    <n v="4.84"/>
    <n v="14.509031198686371"/>
    <s v="NO"/>
    <n v="-0.59515230198763802"/>
    <n v="-0.94534920150671797"/>
    <n v="-0.94691639704495956"/>
    <n v="-0.43783010706271325"/>
    <n v="-0.37338862847691867"/>
    <n v="-0.32610017131114"/>
    <x v="0"/>
    <x v="0"/>
    <x v="0"/>
    <x v="0"/>
    <x v="0"/>
    <x v="0"/>
  </r>
  <r>
    <x v="4"/>
    <s v="IFCZF"/>
    <n v="40612"/>
    <n v="225.12"/>
    <n v="12.42"/>
    <n v="67.989999999999995"/>
    <n v="8.6"/>
    <n v="18.125603864734298"/>
    <n v="3.3110751581114872"/>
    <n v="12.92"/>
    <n v="3.37"/>
    <n v="3.47"/>
    <n v="26.176744186046513"/>
    <s v="NO"/>
    <n v="0.880078719779403"/>
    <n v="1.1712390070712964"/>
    <n v="-0.12720713403642725"/>
    <n v="0.51005249636951444"/>
    <n v="-0.6886404376930666"/>
    <n v="1.886707671538846"/>
    <x v="0"/>
    <x v="0"/>
    <x v="0"/>
    <x v="0"/>
    <x v="0"/>
    <x v="0"/>
  </r>
  <r>
    <x v="4"/>
    <s v="AON"/>
    <n v="80347"/>
    <n v="353.83"/>
    <n v="12.24"/>
    <n v="32.409999999999997"/>
    <n v="11.75"/>
    <n v="28.907679738562091"/>
    <n v="10.917309472385067"/>
    <n v="72.010000000000005"/>
    <n v="6.01"/>
    <n v="7.18"/>
    <n v="30.1131914893617"/>
    <s v="NO"/>
    <n v="2.2401812896757489"/>
    <n v="8.3907883844487205"/>
    <n v="9.7176344007550721"/>
    <n v="1.9649420737306076"/>
    <n v="0.165070666096648"/>
    <n v="2.6332636997148806"/>
    <x v="0"/>
    <x v="1"/>
    <x v="1"/>
    <x v="0"/>
    <x v="0"/>
    <x v="1"/>
  </r>
  <r>
    <x v="4"/>
    <s v="WTW"/>
    <n v="31386"/>
    <n v="301.17"/>
    <n v="12.02"/>
    <n v="81.98"/>
    <n v="-0.52"/>
    <n v="25.055740432612314"/>
    <n v="3.6737009026591854"/>
    <n v="-0.48"/>
    <n v="4.53"/>
    <n v="3.45"/>
    <n v="-579.17307692307691"/>
    <s v="NO"/>
    <n v="1.7542792601951211"/>
    <n v="1.51542962230879"/>
    <n v="-2.3597486227182021"/>
    <n v="1.149322159149389"/>
    <n v="-0.69324265388600315"/>
    <n v="-112.91923872680289"/>
    <x v="0"/>
    <x v="0"/>
    <x v="0"/>
    <x v="0"/>
    <x v="0"/>
    <x v="1"/>
  </r>
  <r>
    <x v="4"/>
    <s v="MFC"/>
    <n v="54533"/>
    <n v="32.33"/>
    <n v="11.18"/>
    <n v="19.93"/>
    <n v="1.85"/>
    <n v="2.8917710196779964"/>
    <n v="1.6221776216758654"/>
    <n v="10.73"/>
    <n v="0.55000000000000004"/>
    <n v="19.920000000000002"/>
    <n v="17.475675675675674"/>
    <s v="NO"/>
    <n v="-1.0415897459588825"/>
    <n v="-0.43179853474449709"/>
    <n v="-0.49207772061949334"/>
    <n v="-1.0440340976298355"/>
    <n v="3.0966823809971782"/>
    <n v="0.23653058355411069"/>
    <x v="0"/>
    <x v="0"/>
    <x v="0"/>
    <x v="0"/>
    <x v="0"/>
    <x v="0"/>
  </r>
  <r>
    <x v="4"/>
    <s v="AJG"/>
    <n v="88963"/>
    <n v="317.83"/>
    <n v="10.99"/>
    <n v="87.15"/>
    <n v="6.66"/>
    <n v="28.91992720655141"/>
    <n v="3.6469305794606997"/>
    <n v="9.3000000000000007"/>
    <n v="2.68"/>
    <n v="3.32"/>
    <n v="47.722222222222221"/>
    <s v="NO"/>
    <n v="2.2417262438090648"/>
    <n v="1.4900202459742828"/>
    <n v="-0.73032655112807077"/>
    <n v="0.129797265922865"/>
    <n v="-0.72315705914009021"/>
    <n v="5.972855730550072"/>
    <x v="0"/>
    <x v="0"/>
    <x v="0"/>
    <x v="0"/>
    <x v="0"/>
    <x v="1"/>
  </r>
  <r>
    <x v="4"/>
    <s v="ERIE"/>
    <n v="18746"/>
    <n v="361.69"/>
    <n v="9.76"/>
    <n v="39.54"/>
    <n v="11.75"/>
    <n v="37.058401639344261"/>
    <n v="9.1474456246838649"/>
    <n v="32.380000000000003"/>
    <n v="16.29"/>
    <n v="1.44"/>
    <n v="30.782127659574467"/>
    <s v="NO"/>
    <n v="3.268352296213902"/>
    <n v="6.7109006881499065"/>
    <n v="3.1149762517656137"/>
    <n v="7.6301939128488048"/>
    <n v="-1.1557653812761182"/>
    <n v="2.7601289393223687"/>
    <x v="1"/>
    <x v="1"/>
    <x v="1"/>
    <x v="1"/>
    <x v="0"/>
    <x v="1"/>
  </r>
  <r>
    <x v="4"/>
    <s v="CNA"/>
    <n v="12965"/>
    <n v="46.53"/>
    <n v="9.6199999999999992"/>
    <n v="37.979999999999997"/>
    <n v="3.28"/>
    <n v="4.8367983367983376"/>
    <n v="1.2251184834123223"/>
    <n v="8.98"/>
    <n v="1.19"/>
    <n v="6.55"/>
    <n v="14.185975609756099"/>
    <s v="NO"/>
    <n v="-0.79623470640147664"/>
    <n v="-0.80867202246407011"/>
    <n v="-0.7836409747383819"/>
    <n v="-0.69133359402714623"/>
    <n v="2.01008560191493E-2"/>
    <n v="-0.38736838571064125"/>
    <x v="0"/>
    <x v="0"/>
    <x v="0"/>
    <x v="0"/>
    <x v="0"/>
    <x v="0"/>
  </r>
  <r>
    <x v="4"/>
    <s v="WRB"/>
    <n v="28334"/>
    <n v="72.739999999999995"/>
    <n v="9.06"/>
    <n v="23.5"/>
    <n v="4.3099999999999996"/>
    <n v="8.028697571743928"/>
    <n v="3.09531914893617"/>
    <n v="20.69"/>
    <n v="3.69"/>
    <n v="4.6399999999999997"/>
    <n v="16.877030162412993"/>
    <s v="NO"/>
    <n v="-0.3935932852965025"/>
    <n v="0.96645157910788893"/>
    <n v="1.1673337142514379"/>
    <n v="0.686402748170859"/>
    <n v="-0.41941079040628337"/>
    <n v="0.12299612412151439"/>
    <x v="0"/>
    <x v="0"/>
    <x v="0"/>
    <x v="0"/>
    <x v="0"/>
    <x v="0"/>
  </r>
  <r>
    <x v="4"/>
    <s v="MMC"/>
    <n v="115131"/>
    <n v="222.52"/>
    <n v="8.49"/>
    <n v="28.55"/>
    <n v="8.15"/>
    <n v="26.209658421672557"/>
    <n v="7.7940455341506132"/>
    <n v="30.53"/>
    <n v="7.93"/>
    <n v="4.05"/>
    <n v="27.303067484662577"/>
    <s v="NO"/>
    <n v="1.8998399890135953"/>
    <n v="5.4263046085082234"/>
    <n v="2.8067522402685028"/>
    <n v="3.0230435845386756"/>
    <n v="-0.55517616809790915"/>
    <n v="2.1003174022086259"/>
    <x v="0"/>
    <x v="1"/>
    <x v="0"/>
    <x v="1"/>
    <x v="0"/>
    <x v="0"/>
  </r>
  <r>
    <x v="4"/>
    <s v="UNM"/>
    <n v="14367"/>
    <n v="80.45"/>
    <n v="7.8"/>
    <n v="63.78"/>
    <n v="8.5399999999999991"/>
    <n v="10.314102564102564"/>
    <n v="1.2613671997491376"/>
    <n v="14.68"/>
    <n v="2.2200000000000002"/>
    <n v="5.57"/>
    <n v="9.4203747072599544"/>
    <s v="NO"/>
    <n v="-0.10530137938382429"/>
    <n v="-0.77426611454073802"/>
    <n v="0.16602219582028346"/>
    <n v="-0.12370622104156792"/>
    <n v="-0.2054077374347375"/>
    <n v="-1.2911752469490374"/>
    <x v="0"/>
    <x v="0"/>
    <x v="0"/>
    <x v="0"/>
    <x v="0"/>
    <x v="0"/>
  </r>
  <r>
    <x v="4"/>
    <s v="SLF"/>
    <n v="36691"/>
    <n v="65.06"/>
    <n v="5.44"/>
    <n v="29.05"/>
    <n v="3.8"/>
    <n v="11.959558823529411"/>
    <n v="2.2395869191049913"/>
    <n v="13.14"/>
    <n v="0.9"/>
    <n v="15.72"/>
    <n v="17.121052631578948"/>
    <s v="NO"/>
    <n v="0.10226433553856246"/>
    <n v="0.15422297401665863"/>
    <n v="-9.0553467804338289E-2"/>
    <n v="-0.85115100972211477"/>
    <n v="2.1302169804805198"/>
    <n v="0.16927553073590484"/>
    <x v="0"/>
    <x v="0"/>
    <x v="0"/>
    <x v="0"/>
    <x v="0"/>
    <x v="0"/>
  </r>
  <r>
    <x v="4"/>
    <s v="PWCDF"/>
    <n v="24759"/>
    <n v="38.130000000000003"/>
    <n v="4.74"/>
    <n v="25.09"/>
    <n v="2.89"/>
    <n v="8.0443037974683538"/>
    <n v="1.519728975687525"/>
    <n v="10.41"/>
    <n v="0.44"/>
    <n v="36.85"/>
    <n v="13.193771626297579"/>
    <s v="NO"/>
    <n v="-0.391624641413584"/>
    <n v="-0.52903890728604697"/>
    <n v="-0.54539214422980442"/>
    <n v="-1.1046544966865477"/>
    <n v="6.9924583883178979"/>
    <n v="-0.57554208853333666"/>
    <x v="0"/>
    <x v="0"/>
    <x v="0"/>
    <x v="0"/>
    <x v="1"/>
    <x v="0"/>
  </r>
  <r>
    <x v="4"/>
    <s v="BRO"/>
    <n v="32360"/>
    <n v="107.86"/>
    <n v="4.5599999999999996"/>
    <n v="23.77"/>
    <n v="3.59"/>
    <n v="23.653508771929825"/>
    <n v="4.5376525031552379"/>
    <n v="16.52"/>
    <n v="5.68"/>
    <n v="2.46"/>
    <n v="30.044568245125348"/>
    <s v="NO"/>
    <n v="1.5773950583399177"/>
    <n v="2.3354597425669499"/>
    <n v="0.4725801315795719"/>
    <n v="1.7830808765604709"/>
    <n v="-0.92105235543635833"/>
    <n v="2.6202491480874528"/>
    <x v="0"/>
    <x v="0"/>
    <x v="0"/>
    <x v="0"/>
    <x v="0"/>
    <x v="1"/>
  </r>
  <r>
    <x v="4"/>
    <s v="AFL"/>
    <n v="55978"/>
    <n v="102.51"/>
    <n v="4.41"/>
    <n v="48.55"/>
    <n v="6.44"/>
    <n v="23.244897959183675"/>
    <n v="2.1114315139031929"/>
    <n v="14.41"/>
    <n v="2.34"/>
    <n v="4.57"/>
    <n v="15.917701863354036"/>
    <s v="NO"/>
    <n v="1.525850937986202"/>
    <n v="3.2582719772064471E-2"/>
    <n v="0.12103815089908358"/>
    <n v="-5.7574876616063857E-2"/>
    <n v="-0.4355185470815609"/>
    <n v="-5.8942631684809919E-2"/>
    <x v="0"/>
    <x v="0"/>
    <x v="0"/>
    <x v="0"/>
    <x v="0"/>
    <x v="0"/>
  </r>
  <r>
    <x v="4"/>
    <s v="AIG"/>
    <n v="48781"/>
    <n v="85.18"/>
    <n v="4.28"/>
    <n v="71.39"/>
    <n v="3.97"/>
    <n v="19.901869158878505"/>
    <n v="1.1931643087267125"/>
    <n v="5.74"/>
    <n v="0.73"/>
    <n v="3.91"/>
    <n v="21.455919395465994"/>
    <s v="NO"/>
    <n v="1.1041453113758821"/>
    <n v="-0.83900171419118275"/>
    <n v="-1.3234495137927813"/>
    <n v="-0.94483708099157915"/>
    <n v="-0.58739168144846432"/>
    <n v="0.99139269999010549"/>
    <x v="0"/>
    <x v="0"/>
    <x v="0"/>
    <x v="0"/>
    <x v="0"/>
    <x v="0"/>
  </r>
  <r>
    <x v="4"/>
    <s v="GWLIF"/>
    <n v="35646"/>
    <n v="37.6"/>
    <n v="3.13"/>
    <n v="20.309999999999999"/>
    <n v="2.86"/>
    <n v="12.012779552715656"/>
    <n v="1.8513047759724275"/>
    <n v="12.87"/>
    <n v="0.74"/>
    <n v="29.57"/>
    <n v="13.146853146853148"/>
    <s v="NO"/>
    <n v="0.10897785261867105"/>
    <n v="-0.21431972252360557"/>
    <n v="-0.13553751272553846"/>
    <n v="-0.93932613562278711"/>
    <n v="5.3172516940890233"/>
    <n v="-0.58444028301255491"/>
    <x v="0"/>
    <x v="0"/>
    <x v="0"/>
    <x v="0"/>
    <x v="1"/>
    <x v="0"/>
  </r>
  <r>
    <x v="4"/>
    <s v="PRU"/>
    <n v="36778"/>
    <n v="105.82"/>
    <n v="2.17"/>
    <n v="84.41"/>
    <n v="6.33"/>
    <n v="48.764976958525345"/>
    <n v="1.2536429333017414"/>
    <n v="7.91"/>
    <n v="0.23"/>
    <n v="24.74"/>
    <n v="16.717219589257503"/>
    <s v="NO"/>
    <n v="4.7450756436123784"/>
    <n v="-0.78159769554611791"/>
    <n v="-0.96191107868535941"/>
    <n v="-1.2203843494311801"/>
    <n v="4.2058164834948659"/>
    <n v="9.2687691780753784E-2"/>
    <x v="1"/>
    <x v="0"/>
    <x v="0"/>
    <x v="0"/>
    <x v="1"/>
    <x v="0"/>
  </r>
  <r>
    <x v="4"/>
    <s v="PUK"/>
    <n v="29509"/>
    <n v="23.86"/>
    <n v="1.29"/>
    <n v="6.62"/>
    <n v="0.84"/>
    <n v="18.496124031007749"/>
    <n v="3.6042296072507551"/>
    <n v="13.18"/>
    <n v="1.47"/>
    <n v="10.4"/>
    <n v="28.404761904761905"/>
    <s v="NO"/>
    <n v="0.92681790398141828"/>
    <n v="1.4494901012805799"/>
    <n v="-8.388916485304955E-2"/>
    <n v="-0.53702712370096961"/>
    <n v="0.90602747315941945"/>
    <n v="2.3092562110275279"/>
    <x v="0"/>
    <x v="0"/>
    <x v="0"/>
    <x v="0"/>
    <x v="0"/>
    <x v="0"/>
  </r>
  <r>
    <x v="4"/>
    <s v="AEG"/>
    <n v="11450"/>
    <n v="7.26"/>
    <n v="0.44"/>
    <n v="4.76"/>
    <n v="0.39"/>
    <n v="16.5"/>
    <n v="1.5252100840336136"/>
    <n v="7.17"/>
    <n v="7.0000000000000007E-2"/>
    <n v="35.64"/>
    <n v="18.615384615384613"/>
    <s v="NO"/>
    <n v="0.6750172807827195"/>
    <n v="-0.5238364469472846"/>
    <n v="-1.0852006832842038"/>
    <n v="-1.3085594753318526"/>
    <n v="6.714024308645242"/>
    <n v="0.45267893097114659"/>
    <x v="0"/>
    <x v="0"/>
    <x v="0"/>
    <x v="0"/>
    <x v="1"/>
    <x v="0"/>
  </r>
  <r>
    <x v="5"/>
    <s v="NLY"/>
    <n v="11466"/>
    <n v="19.190000000000001"/>
    <n v="1.45"/>
    <n v="19.02"/>
    <n v="0.93"/>
    <n v="13.234482758620691"/>
    <n v="1.0089379600420612"/>
    <n v="5.51"/>
    <n v="0.69"/>
    <n v="9.17"/>
    <n v="20.634408602150536"/>
    <s v="NO"/>
    <e v="#DIV/0!"/>
    <e v="#DIV/0!"/>
    <e v="#DIV/0!"/>
    <e v="#DIV/0!"/>
    <e v="#DIV/0!"/>
    <e v="#DIV/0!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x v="0"/>
    <s v="CIB"/>
    <n v="9962"/>
    <n v="41.99"/>
    <m/>
    <m/>
    <m/>
    <s v=""/>
    <s v=""/>
    <n v="16.29"/>
    <n v="1.84"/>
    <n v="8.9600000000000009"/>
    <s v=""/>
    <s v="NO"/>
    <e v="#VALUE!"/>
    <e v="#VALUE!"/>
    <n v="1.8287505128761652"/>
    <n v="1.3540498072563796"/>
    <n v="0.10551956209993439"/>
    <e v="#VALUE!"/>
    <x v="0"/>
    <x v="0"/>
    <x v="0"/>
    <x v="0"/>
    <x v="0"/>
    <x v="0"/>
  </r>
  <r>
    <x v="0"/>
    <s v="CBCY"/>
    <n v="4187"/>
    <n v="912.01"/>
    <n v="76.62"/>
    <n v="704.81"/>
    <n v="69.290000000000006"/>
    <n v="11.903027930044374"/>
    <n v="1.2939799378555923"/>
    <n v="10.45"/>
    <n v="1.6"/>
    <n v="6.19"/>
    <n v="13.162216770096693"/>
    <s v="NO"/>
    <n v="0.12964325803672175"/>
    <n v="6.6266038091498863E-2"/>
    <n v="0.20820130966433012"/>
    <n v="0.88719440837722785"/>
    <n v="-1.2213195105421912"/>
    <n v="-0.10235388702797857"/>
    <x v="1"/>
    <x v="1"/>
    <x v="0"/>
    <x v="0"/>
    <x v="0"/>
    <x v="1"/>
  </r>
  <r>
    <x v="0"/>
    <s v="BOKF"/>
    <n v="6068"/>
    <n v="95.67"/>
    <n v="17.190000000000001"/>
    <n v="89.82"/>
    <n v="8.7200000000000006"/>
    <n v="5.5654450261780104"/>
    <n v="1.0651302605210422"/>
    <n v="10.26"/>
    <n v="1.1100000000000001"/>
    <n v="8.74"/>
    <n v="10.971330275229358"/>
    <s v="NO"/>
    <n v="-1.2109080491459234"/>
    <n v="-0.42444659747830421"/>
    <n v="0.15547796229956165"/>
    <n v="-6.5968697667706605E-2"/>
    <n v="1.388415290793626E-4"/>
    <n v="-0.72879999543915541"/>
    <x v="1"/>
    <x v="1"/>
    <x v="0"/>
    <x v="0"/>
    <x v="0"/>
    <x v="1"/>
  </r>
  <r>
    <x v="0"/>
    <s v="PRK"/>
    <n v="2632"/>
    <n v="162.6"/>
    <n v="10.81"/>
    <n v="79"/>
    <n v="9.75"/>
    <n v="15.041628122109158"/>
    <n v="2.0582278481012657"/>
    <n v="12.98"/>
    <n v="1.6"/>
    <n v="7.73"/>
    <n v="16.676923076923078"/>
    <s v="NO"/>
    <n v="0.79353273356994269"/>
    <n v="1.705010346728328"/>
    <n v="0.91025430352151249"/>
    <n v="0.88719440837722785"/>
    <n v="-0.48365446654620808"/>
    <n v="0.9026156051286347"/>
    <x v="1"/>
    <x v="1"/>
    <x v="0"/>
    <x v="0"/>
    <x v="0"/>
    <x v="1"/>
  </r>
  <r>
    <x v="0"/>
    <s v="WTFC"/>
    <n v="7992"/>
    <n v="122.14"/>
    <n v="10.26"/>
    <n v="92.47"/>
    <n v="10.130000000000001"/>
    <n v="11.904483430799221"/>
    <n v="1.3208608197253164"/>
    <n v="11.58"/>
    <n v="1.1299999999999999"/>
    <n v="10.64"/>
    <n v="12.057255676209278"/>
    <s v="NO"/>
    <n v="0.1299511314750835"/>
    <n v="0.1239055704796069"/>
    <n v="0.52176648083374366"/>
    <n v="-2.7064081094444366E-2"/>
    <n v="0.91024506464100663"/>
    <n v="-0.41829840484447206"/>
    <x v="1"/>
    <x v="1"/>
    <x v="0"/>
    <x v="0"/>
    <x v="0"/>
    <x v="1"/>
  </r>
  <r>
    <x v="0"/>
    <s v="UMBF"/>
    <n v="7829"/>
    <n v="105.89"/>
    <n v="9.49"/>
    <n v="87.43"/>
    <n v="7.71"/>
    <n v="11.158061116965227"/>
    <n v="1.2111403408441037"/>
    <n v="8.33"/>
    <n v="0.72"/>
    <n v="10.45"/>
    <n v="13.734111543450066"/>
    <s v="NO"/>
    <n v="-2.7935151623479176E-2"/>
    <n v="-0.11136338858067425"/>
    <n v="-0.38008025040571941"/>
    <n v="-0.82460872084632819"/>
    <n v="0.81923444232981335"/>
    <n v="6.1169534211425319E-2"/>
    <x v="1"/>
    <x v="1"/>
    <x v="0"/>
    <x v="0"/>
    <x v="0"/>
    <x v="1"/>
  </r>
  <r>
    <x v="0"/>
    <s v="BANR"/>
    <n v="2132"/>
    <n v="62.72"/>
    <n v="8.2799999999999994"/>
    <n v="53.16"/>
    <n v="5.09"/>
    <n v="7.5748792270531409"/>
    <n v="1.1798344620015049"/>
    <n v="10.09"/>
    <n v="1.1100000000000001"/>
    <n v="8.82"/>
    <n v="12.322200392927309"/>
    <s v="NO"/>
    <n v="-0.78586435574708879"/>
    <n v="-0.17849125388774645"/>
    <n v="0.10830444097318975"/>
    <n v="-6.5968697667706605E-2"/>
    <n v="3.8459103554844748E-2"/>
    <n v="-0.34254204452140474"/>
    <x v="1"/>
    <x v="1"/>
    <x v="0"/>
    <x v="0"/>
    <x v="0"/>
    <x v="1"/>
  </r>
  <r>
    <x v="0"/>
    <s v="IBOC"/>
    <n v="3892"/>
    <n v="64.88"/>
    <n v="7.46"/>
    <n v="46.53"/>
    <n v="6.57"/>
    <n v="8.6970509383378012"/>
    <n v="1.394369224156458"/>
    <n v="15.2"/>
    <n v="2.58"/>
    <n v="5.62"/>
    <n v="9.8751902587519016"/>
    <s v="NO"/>
    <n v="-0.54849803213997783"/>
    <n v="0.28152651753562735"/>
    <n v="1.5262849937835454"/>
    <n v="2.7935206204670968"/>
    <n v="-1.4943513774757693"/>
    <n v="-1.042222278704289"/>
    <x v="1"/>
    <x v="1"/>
    <x v="1"/>
    <x v="0"/>
    <x v="0"/>
    <x v="1"/>
  </r>
  <r>
    <x v="0"/>
    <s v="PNFP"/>
    <n v="8243"/>
    <n v="108.02"/>
    <n v="7.43"/>
    <n v="82.29"/>
    <n v="6.16"/>
    <n v="14.53835800807537"/>
    <n v="1.3126746870822699"/>
    <n v="7.77"/>
    <n v="0.95"/>
    <n v="8.58"/>
    <n v="17.535714285714285"/>
    <s v="NO"/>
    <n v="0.68707899253527094"/>
    <n v="0.10635239421481818"/>
    <n v="-0.53547537948082702"/>
    <n v="-0.37720563025380793"/>
    <n v="-7.6501682522451403E-2"/>
    <n v="1.1481721010700452"/>
    <x v="1"/>
    <x v="1"/>
    <x v="0"/>
    <x v="0"/>
    <x v="0"/>
    <x v="1"/>
  </r>
  <r>
    <x v="0"/>
    <s v="WBS"/>
    <n v="8660"/>
    <n v="53.81"/>
    <n v="7.19"/>
    <n v="52.91"/>
    <n v="4.4400000000000004"/>
    <n v="7.4840055632823361"/>
    <n v="1.0170100170100171"/>
    <n v="8.68"/>
    <n v="1"/>
    <n v="9"/>
    <n v="12.11936936936937"/>
    <s v="NO"/>
    <n v="-0.80508632263956281"/>
    <n v="-0.52762879022850939"/>
    <n v="-0.28295829473377737"/>
    <n v="-0.27994408882065125"/>
    <n v="0.12467969311281665"/>
    <n v="-0.40053806835495381"/>
    <x v="1"/>
    <x v="1"/>
    <x v="0"/>
    <x v="0"/>
    <x v="0"/>
    <x v="1"/>
  </r>
  <r>
    <x v="0"/>
    <s v="BANF"/>
    <n v="4112"/>
    <n v="122.98"/>
    <n v="7.07"/>
    <n v="50.32"/>
    <n v="6.6"/>
    <n v="17.394625176803395"/>
    <n v="2.4439586645469"/>
    <n v="14.14"/>
    <n v="1.67"/>
    <n v="8.39"/>
    <n v="18.633333333333336"/>
    <s v="NO"/>
    <n v="1.2912482388839519"/>
    <n v="2.5321165404671144"/>
    <n v="1.2321442137485208"/>
    <n v="1.0233605663836467"/>
    <n v="-0.16751230483364388"/>
    <n v="1.4620172877147204"/>
    <x v="1"/>
    <x v="1"/>
    <x v="0"/>
    <x v="0"/>
    <x v="0"/>
    <x v="1"/>
  </r>
  <r>
    <x v="0"/>
    <s v="CMA"/>
    <n v="7502"/>
    <n v="58.56"/>
    <n v="7.04"/>
    <n v="50.74"/>
    <n v="5.29"/>
    <n v="8.3181818181818183"/>
    <n v="1.1541190382341349"/>
    <n v="11.17"/>
    <n v="0.93"/>
    <n v="11.66"/>
    <n v="11.069943289224954"/>
    <s v="NO"/>
    <n v="-0.62863796908129843"/>
    <n v="-0.23363174400621509"/>
    <n v="0.40799504704661133"/>
    <n v="-0.41611024682707037"/>
    <n v="1.3988284054695146"/>
    <n v="-0.70060330930276171"/>
    <x v="1"/>
    <x v="1"/>
    <x v="0"/>
    <x v="0"/>
    <x v="0"/>
    <x v="1"/>
  </r>
  <r>
    <x v="0"/>
    <s v="TCBI"/>
    <n v="3291"/>
    <n v="77.959999999999994"/>
    <n v="6.94"/>
    <n v="68"/>
    <n v="1.74"/>
    <n v="11.233429394812678"/>
    <n v="1.1464705882352941"/>
    <n v="2.98"/>
    <n v="0.32"/>
    <n v="10.02"/>
    <n v="44.804597701149419"/>
    <s v="NO"/>
    <n v="-1.1992947013127369E-2"/>
    <n v="-0.25003199023189926"/>
    <n v="-1.8646587156768355"/>
    <n v="-1.6027010523115808"/>
    <n v="0.61326303394132464"/>
    <n v="8.9452377803451437"/>
    <x v="1"/>
    <x v="1"/>
    <x v="0"/>
    <x v="0"/>
    <x v="0"/>
    <x v="0"/>
  </r>
  <r>
    <x v="0"/>
    <s v="BPOP"/>
    <n v="7093"/>
    <n v="105.85"/>
    <n v="6.68"/>
    <n v="83.75"/>
    <n v="9.68"/>
    <n v="15.845808383233532"/>
    <n v="1.2638805970149254"/>
    <n v="12.54"/>
    <n v="0.95"/>
    <n v="12.82"/>
    <n v="10.934917355371901"/>
    <s v="NO"/>
    <n v="0.96363621254819465"/>
    <n v="1.7253009365787921E-3"/>
    <n v="0.78815813067678475"/>
    <n v="-0.37720563025380793"/>
    <n v="1.9544722048431122"/>
    <n v="-0.73921164022040309"/>
    <x v="1"/>
    <x v="1"/>
    <x v="0"/>
    <x v="0"/>
    <x v="0"/>
    <x v="1"/>
  </r>
  <r>
    <x v="0"/>
    <s v="AX"/>
    <n v="3920"/>
    <n v="71.849999999999994"/>
    <n v="6.56"/>
    <n v="45.79"/>
    <n v="7.33"/>
    <n v="10.952743902439025"/>
    <n v="1.5691198951736185"/>
    <n v="17.8"/>
    <n v="1.83"/>
    <n v="9.2100000000000009"/>
    <n v="9.8021828103683486"/>
    <s v="NO"/>
    <n v="-7.1364683748776581E-2"/>
    <n v="0.65623695340424781"/>
    <n v="2.2477623787751164"/>
    <n v="1.3345974989697482"/>
    <n v="0.2252703809304511"/>
    <n v="-1.063097496125206"/>
    <x v="1"/>
    <x v="1"/>
    <x v="0"/>
    <x v="0"/>
    <x v="0"/>
    <x v="1"/>
  </r>
  <r>
    <x v="0"/>
    <s v="OZK"/>
    <n v="4992"/>
    <n v="46"/>
    <n v="6.51"/>
    <n v="48.29"/>
    <n v="6.1"/>
    <n v="7.0660522273425501"/>
    <n v="0.95257817353489338"/>
    <n v="12.85"/>
    <n v="1.9"/>
    <n v="7.13"/>
    <n v="7.5409836065573774"/>
    <s v="NO"/>
    <n v="-0.8934935118368218"/>
    <n v="-0.66578725343699396"/>
    <n v="0.8741804342719337"/>
    <n v="1.4707636569761671"/>
    <n v="-0.77105643173944849"/>
    <n v="-1.7096483078118738"/>
    <x v="1"/>
    <x v="1"/>
    <x v="0"/>
    <x v="0"/>
    <x v="0"/>
    <x v="1"/>
  </r>
  <r>
    <x v="0"/>
    <s v="HWC"/>
    <n v="4682"/>
    <n v="54.96"/>
    <n v="6.39"/>
    <n v="49.73"/>
    <n v="5.42"/>
    <n v="8.60093896713615"/>
    <n v="1.1051679066961593"/>
    <n v="11.6"/>
    <n v="1.35"/>
    <n v="8.1199999999999992"/>
    <n v="10.140221402214022"/>
    <s v="NO"/>
    <n v="-0.5688280271214512"/>
    <n v="-0.33859557463468676"/>
    <n v="0.52731630687214026"/>
    <n v="0.40088670121144498"/>
    <n v="-0.29684318917060259"/>
    <n v="-0.9664412061482397"/>
    <x v="1"/>
    <x v="1"/>
    <x v="0"/>
    <x v="0"/>
    <x v="0"/>
    <x v="1"/>
  </r>
  <r>
    <x v="0"/>
    <s v="ZION"/>
    <n v="6989"/>
    <n v="49.3"/>
    <n v="6.39"/>
    <n v="42.43"/>
    <n v="5.12"/>
    <n v="7.7151799687010953"/>
    <n v="1.161913740278105"/>
    <n v="13.18"/>
    <n v="0.92"/>
    <n v="14.05"/>
    <n v="9.62890625"/>
    <s v="NO"/>
    <n v="-0.75618737235013511"/>
    <n v="-0.21691789573678402"/>
    <n v="0.96575256390547926"/>
    <n v="-0.43556255511370173"/>
    <n v="2.5436462334892549"/>
    <n v="-1.112642932265292"/>
    <x v="1"/>
    <x v="1"/>
    <x v="0"/>
    <x v="0"/>
    <x v="0"/>
    <x v="1"/>
  </r>
  <r>
    <x v="0"/>
    <s v="TBBK"/>
    <n v="2387"/>
    <n v="53.45"/>
    <n v="5.76"/>
    <n v="17.66"/>
    <n v="4.42"/>
    <n v="9.2795138888888893"/>
    <n v="3.0266138165345415"/>
    <n v="26.52"/>
    <n v="2.52"/>
    <n v="11.31"/>
    <n v="12.092760180995477"/>
    <s v="NO"/>
    <n v="-0.42529310029279577"/>
    <n v="3.781479216396106"/>
    <n v="4.667486531516075"/>
    <n v="2.6768067707473091"/>
    <n v="1.2311772591067913"/>
    <n v="-0.40814650564454269"/>
    <x v="1"/>
    <x v="0"/>
    <x v="1"/>
    <x v="1"/>
    <x v="0"/>
    <x v="1"/>
  </r>
  <r>
    <x v="0"/>
    <s v="SNV"/>
    <n v="6649"/>
    <n v="49.17"/>
    <n v="5.33"/>
    <n v="34.86"/>
    <n v="3.54"/>
    <n v="9.225140712945592"/>
    <n v="1.4104991394148021"/>
    <n v="10.53"/>
    <n v="0.92"/>
    <n v="12.43"/>
    <n v="13.889830508474576"/>
    <s v="NO"/>
    <n v="-0.43679433557320391"/>
    <n v="0.31611320920209018"/>
    <n v="0.23040061381791693"/>
    <n v="-0.43556255511370173"/>
    <n v="1.7676609274675059"/>
    <n v="0.10569467956877418"/>
    <x v="1"/>
    <x v="1"/>
    <x v="0"/>
    <x v="0"/>
    <x v="0"/>
    <x v="1"/>
  </r>
  <r>
    <x v="0"/>
    <s v="BKU"/>
    <n v="2556"/>
    <n v="34.840000000000003"/>
    <n v="5.21"/>
    <n v="38.51"/>
    <n v="3.21"/>
    <n v="6.6871401151631487"/>
    <n v="0.90470007790184381"/>
    <n v="8.77"/>
    <n v="0.69"/>
    <n v="12.02"/>
    <n v="10.853582554517136"/>
    <s v="NO"/>
    <n v="-0.97364254262576"/>
    <n v="-0.76845021878525155"/>
    <n v="-0.25798407756099229"/>
    <n v="-0.88296564570622216"/>
    <n v="1.5712695845854585"/>
    <n v="-0.76246792008393449"/>
    <x v="1"/>
    <x v="1"/>
    <x v="0"/>
    <x v="0"/>
    <x v="0"/>
    <x v="1"/>
  </r>
  <r>
    <x v="0"/>
    <s v="ABCB"/>
    <n v="4236"/>
    <n v="62.4"/>
    <n v="4.68"/>
    <n v="55.58"/>
    <n v="5.38"/>
    <n v="13.333333333333334"/>
    <n v="1.1227060093558834"/>
    <n v="10.19"/>
    <n v="1.43"/>
    <n v="6.93"/>
    <n v="11.598513011152416"/>
    <s v="NO"/>
    <n v="0.43218727318162359"/>
    <n v="-0.30098936658019237"/>
    <n v="0.13605357116517314"/>
    <n v="0.55650516750449519"/>
    <n v="-0.86685708680386198"/>
    <n v="-0.54946793734206711"/>
    <x v="1"/>
    <x v="1"/>
    <x v="0"/>
    <x v="0"/>
    <x v="0"/>
    <x v="1"/>
  </r>
  <r>
    <x v="0"/>
    <s v="CATY"/>
    <n v="3005"/>
    <n v="44.61"/>
    <n v="4.68"/>
    <n v="40.909999999999997"/>
    <n v="3.95"/>
    <n v="9.5320512820512828"/>
    <n v="1.0904424346125643"/>
    <n v="10.07"/>
    <n v="1.22"/>
    <n v="8.1"/>
    <n v="11.293670886075949"/>
    <s v="NO"/>
    <n v="-0.37187536396467424"/>
    <n v="-0.37017077849912988"/>
    <n v="0.10275461493479317"/>
    <n v="0.14800669348523765"/>
    <n v="-0.30642325467704373"/>
    <n v="-0.63663227167948333"/>
    <x v="1"/>
    <x v="1"/>
    <x v="0"/>
    <x v="0"/>
    <x v="0"/>
    <x v="1"/>
  </r>
  <r>
    <x v="0"/>
    <s v="PB"/>
    <n v="6636"/>
    <n v="70.23"/>
    <n v="4.6399999999999997"/>
    <n v="78.91"/>
    <n v="5.23"/>
    <n v="15.135775862068968"/>
    <n v="0.89000126726650619"/>
    <n v="6.83"/>
    <n v="1.29"/>
    <n v="5.16"/>
    <n v="13.4282982791587"/>
    <s v="NO"/>
    <n v="0.81344724637172683"/>
    <n v="-0.79996825363947421"/>
    <n v="-0.79631720328547162"/>
    <n v="0.284172851491657"/>
    <n v="-1.7146928841239202"/>
    <n v="-2.6272480591557679E-2"/>
    <x v="1"/>
    <x v="1"/>
    <x v="0"/>
    <x v="0"/>
    <x v="0"/>
    <x v="1"/>
  </r>
  <r>
    <x v="0"/>
    <s v="SYBT"/>
    <n v="2168"/>
    <n v="76.53"/>
    <n v="4.6100000000000003"/>
    <n v="33.1"/>
    <n v="4.1399999999999997"/>
    <n v="16.600867678958785"/>
    <n v="2.3120845921450148"/>
    <n v="13.18"/>
    <n v="1.42"/>
    <n v="9.2200000000000006"/>
    <n v="18.485507246376812"/>
    <s v="NO"/>
    <n v="1.1233494251781053"/>
    <n v="2.2493445724863568"/>
    <n v="0.96575256390547926"/>
    <n v="0.53705285921786383"/>
    <n v="0.23006041368367167"/>
    <n v="1.419748974357312"/>
    <x v="1"/>
    <x v="1"/>
    <x v="0"/>
    <x v="0"/>
    <x v="0"/>
    <x v="1"/>
  </r>
  <r>
    <x v="0"/>
    <s v="FRME"/>
    <n v="2198"/>
    <n v="37.25"/>
    <n v="4.5999999999999996"/>
    <n v="39.909999999999997"/>
    <n v="3.55"/>
    <n v="8.0978260869565215"/>
    <n v="0.93335003758456536"/>
    <n v="9.16"/>
    <n v="1.1399999999999999"/>
    <n v="7.99"/>
    <n v="10.492957746478874"/>
    <s v="NO"/>
    <n v="-0.67524850941191028"/>
    <n v="-0.7070173280395744"/>
    <n v="-0.14976246981225655"/>
    <n v="-7.611772807813031E-3"/>
    <n v="-0.3591136149624708"/>
    <n v="-0.8655823480204563"/>
    <x v="1"/>
    <x v="1"/>
    <x v="0"/>
    <x v="0"/>
    <x v="0"/>
    <x v="1"/>
  </r>
  <r>
    <x v="0"/>
    <s v="SFBS"/>
    <n v="4065"/>
    <n v="75.25"/>
    <n v="4.4400000000000004"/>
    <n v="30.56"/>
    <n v="4.4000000000000004"/>
    <n v="16.948198198198195"/>
    <n v="2.4623691099476441"/>
    <n v="15.29"/>
    <n v="1.4"/>
    <n v="11.17"/>
    <n v="17.102272727272727"/>
    <s v="NO"/>
    <n v="1.196818189003942"/>
    <n v="2.5715932759811704"/>
    <n v="1.5512592109563306"/>
    <n v="0.49814824264460122"/>
    <n v="1.1641168005617017"/>
    <n v="1.0242369825025122"/>
    <x v="1"/>
    <x v="1"/>
    <x v="0"/>
    <x v="0"/>
    <x v="0"/>
    <x v="1"/>
  </r>
  <r>
    <x v="0"/>
    <s v="INDB"/>
    <n v="2621"/>
    <n v="64.72"/>
    <n v="4.0999999999999996"/>
    <n v="71.19"/>
    <n v="4.4400000000000004"/>
    <n v="15.785365853658538"/>
    <n v="0.90911644893945776"/>
    <n v="6.38"/>
    <n v="0.96"/>
    <n v="6.56"/>
    <n v="14.576576576576574"/>
    <s v="NO"/>
    <n v="0.95085116290698957"/>
    <n v="-0.75898038209261098"/>
    <n v="-0.92118828914939732"/>
    <n v="-0.35775332196717663"/>
    <n v="-1.0440882986730267"/>
    <n v="0.30205784253364709"/>
    <x v="1"/>
    <x v="1"/>
    <x v="0"/>
    <x v="0"/>
    <x v="0"/>
    <x v="1"/>
  </r>
  <r>
    <x v="0"/>
    <s v="CBSH"/>
    <n v="8407"/>
    <n v="63.51"/>
    <n v="3.98"/>
    <n v="25.98"/>
    <n v="4.03"/>
    <n v="15.957286432160803"/>
    <n v="2.4445727482678983"/>
    <n v="17.010000000000002"/>
    <n v="1.75"/>
    <n v="9.31"/>
    <n v="15.759305210918113"/>
    <s v="NO"/>
    <n v="0.98721650277531792"/>
    <n v="2.5334332940876627"/>
    <n v="2.028544250258447"/>
    <n v="1.1789790326766976"/>
    <n v="0.27317070846265762"/>
    <n v="0.64023864378715389"/>
    <x v="1"/>
    <x v="1"/>
    <x v="0"/>
    <x v="0"/>
    <x v="0"/>
    <x v="1"/>
  </r>
  <r>
    <x v="0"/>
    <s v="NBTB"/>
    <n v="2192"/>
    <n v="42.12"/>
    <n v="3.83"/>
    <n v="33.130000000000003"/>
    <n v="3.03"/>
    <n v="10.997389033942557"/>
    <n v="1.2713552671294897"/>
    <n v="9.5500000000000007"/>
    <n v="1.05"/>
    <n v="8.85"/>
    <n v="13.900990099009901"/>
    <s v="NO"/>
    <n v="-6.1921163986709313E-2"/>
    <n v="1.7752918343137906E-2"/>
    <n v="-4.1540862063520805E-2"/>
    <n v="-0.18268254738749459"/>
    <n v="5.2829201814506448E-2"/>
    <n v="0.10888557151077766"/>
    <x v="1"/>
    <x v="1"/>
    <x v="0"/>
    <x v="0"/>
    <x v="0"/>
    <x v="1"/>
  </r>
  <r>
    <x v="0"/>
    <s v="PFS"/>
    <n v="2182"/>
    <n v="16.87"/>
    <n v="3.82"/>
    <n v="20.350000000000001"/>
    <n v="1.19"/>
    <n v="4.4162303664921474"/>
    <n v="0.82899262899262893"/>
    <n v="6.77"/>
    <n v="0.77"/>
    <n v="9.11"/>
    <n v="14.176470588235295"/>
    <s v="NO"/>
    <n v="-1.453994607167197"/>
    <n v="-0.93078648344249826"/>
    <n v="-0.81296668140066186"/>
    <n v="-0.72734717941317151"/>
    <n v="0.17737005339824374"/>
    <n v="0.18765445379781062"/>
    <x v="1"/>
    <x v="1"/>
    <x v="0"/>
    <x v="0"/>
    <x v="0"/>
    <x v="1"/>
  </r>
  <r>
    <x v="0"/>
    <s v="TRMK"/>
    <n v="2084"/>
    <n v="34.979999999999997"/>
    <n v="3.8"/>
    <n v="33.29"/>
    <n v="0.99"/>
    <n v="9.2052631578947359"/>
    <n v="1.0507659957945328"/>
    <n v="3.28"/>
    <n v="0.33"/>
    <n v="9.0500000000000007"/>
    <n v="35.333333333333329"/>
    <s v="NO"/>
    <n v="-0.44099891684830861"/>
    <n v="-0.45524727976051438"/>
    <n v="-1.7814113251008854"/>
    <n v="-1.5832487440249494"/>
    <n v="0.14862985687892033"/>
    <n v="6.2370935114148134"/>
    <x v="1"/>
    <x v="1"/>
    <x v="0"/>
    <x v="0"/>
    <x v="0"/>
    <x v="0"/>
  </r>
  <r>
    <x v="0"/>
    <s v="CBU"/>
    <n v="2972"/>
    <n v="57.27"/>
    <n v="3.73"/>
    <n v="34.71"/>
    <n v="3.61"/>
    <n v="15.353887399463808"/>
    <n v="1.6499567847882455"/>
    <n v="10.96"/>
    <n v="1.17"/>
    <n v="9.14"/>
    <n v="15.86426592797784"/>
    <s v="NO"/>
    <n v="0.85958308569745645"/>
    <n v="0.82957205973288628"/>
    <n v="0.34972187364344631"/>
    <n v="5.0745152052080973E-2"/>
    <n v="0.19174015165790628"/>
    <n v="0.67025034585029264"/>
    <x v="1"/>
    <x v="1"/>
    <x v="0"/>
    <x v="0"/>
    <x v="0"/>
    <x v="1"/>
  </r>
  <r>
    <x v="0"/>
    <s v="CADE"/>
    <n v="5561"/>
    <n v="31.05"/>
    <n v="3.39"/>
    <n v="30.16"/>
    <n v="2.85"/>
    <n v="9.1592920353982308"/>
    <n v="1.0295092838196287"/>
    <n v="9.9"/>
    <n v="1.1200000000000001"/>
    <n v="8.6"/>
    <n v="10.894736842105264"/>
    <s v="NO"/>
    <n v="-0.45072291561726308"/>
    <n v="-0.50082714370545944"/>
    <n v="5.5581093608421277E-2"/>
    <n v="-4.6516389381075267E-2"/>
    <n v="-6.6921617016010279E-2"/>
    <n v="-0.75070056318780354"/>
    <x v="1"/>
    <x v="1"/>
    <x v="0"/>
    <x v="0"/>
    <x v="0"/>
    <x v="1"/>
  </r>
  <r>
    <x v="0"/>
    <s v="UBSI"/>
    <n v="5134"/>
    <n v="36.56"/>
    <n v="3.23"/>
    <n v="37.28"/>
    <n v="2.7"/>
    <n v="11.31888544891641"/>
    <n v="0.98068669527897001"/>
    <n v="7.32"/>
    <n v="1.18"/>
    <n v="6.17"/>
    <n v="13.540740740740741"/>
    <s v="NO"/>
    <n v="6.0830650522201686E-3"/>
    <n v="-0.60551534504866367"/>
    <n v="-0.6603464653447525"/>
    <n v="7.0197460338712311E-2"/>
    <n v="-1.2308995760486328"/>
    <n v="5.8784969434553941E-3"/>
    <x v="1"/>
    <x v="1"/>
    <x v="0"/>
    <x v="0"/>
    <x v="0"/>
    <x v="1"/>
  </r>
  <r>
    <x v="0"/>
    <s v="FIBK"/>
    <n v="2848"/>
    <n v="27.86"/>
    <n v="3.16"/>
    <n v="32.04"/>
    <n v="2.11"/>
    <n v="8.8164556962025316"/>
    <n v="0.86953807740324596"/>
    <n v="6.63"/>
    <n v="0.75"/>
    <n v="8.41"/>
    <n v="13.203791469194313"/>
    <s v="NO"/>
    <n v="-0.52324105220497164"/>
    <n v="-0.84384660185006055"/>
    <n v="-0.85181546366943861"/>
    <n v="-0.76625179598643423"/>
    <n v="-0.15793223932720274"/>
    <n v="-9.0466320730461861E-2"/>
    <x v="1"/>
    <x v="1"/>
    <x v="0"/>
    <x v="0"/>
    <x v="0"/>
    <x v="1"/>
  </r>
  <r>
    <x v="0"/>
    <s v="FLG"/>
    <n v="4782"/>
    <n v="11.85"/>
    <n v="3.03"/>
    <n v="18.43"/>
    <n v="-2.4900000000000002"/>
    <n v="3.9108910891089108"/>
    <n v="0.64297341291372756"/>
    <n v="-10.4"/>
    <n v="-0.85"/>
    <n v="12.76"/>
    <n v="-4.7590361445783129"/>
    <s v="NO"/>
    <n v="-1.5608860260476585"/>
    <n v="-1.3296595815035603"/>
    <n v="-5.5774923353642256"/>
    <n v="-3.8786211218474445"/>
    <n v="1.9257320083237881"/>
    <n v="-5.2266262637813101"/>
    <x v="1"/>
    <x v="1"/>
    <x v="1"/>
    <x v="1"/>
    <x v="0"/>
    <x v="0"/>
  </r>
  <r>
    <x v="0"/>
    <s v="ASB"/>
    <n v="3842"/>
    <n v="23.65"/>
    <n v="3.01"/>
    <n v="27.5"/>
    <n v="0.83"/>
    <n v="7.8571428571428577"/>
    <n v="0.86"/>
    <n v="3.24"/>
    <n v="0.34"/>
    <n v="9.64"/>
    <n v="28.493975903614459"/>
    <s v="NO"/>
    <n v="-0.72615880490434637"/>
    <n v="-0.86429869579806018"/>
    <n v="-1.7925109771776786"/>
    <n v="-1.5637964357383181"/>
    <n v="0.43124178931893975"/>
    <n v="4.2814975205143835"/>
    <x v="1"/>
    <x v="1"/>
    <x v="0"/>
    <x v="0"/>
    <x v="0"/>
    <x v="0"/>
  </r>
  <r>
    <x v="0"/>
    <s v="WAFD"/>
    <n v="2278"/>
    <n v="29.03"/>
    <n v="2.99"/>
    <n v="33.840000000000003"/>
    <n v="2.64"/>
    <n v="9.7090301003344486"/>
    <n v="0.8578605200945626"/>
    <n v="7.7"/>
    <n v="0.79"/>
    <n v="10.119999999999999"/>
    <n v="10.996212121212121"/>
    <s v="NO"/>
    <n v="-0.33444008464889607"/>
    <n v="-0.8688862916180492"/>
    <n v="-0.55489977061521534"/>
    <n v="-0.6884425628399089"/>
    <n v="0.66116336147353116"/>
    <n v="-0.72168546183711579"/>
    <x v="1"/>
    <x v="1"/>
    <x v="0"/>
    <x v="0"/>
    <x v="0"/>
    <x v="1"/>
  </r>
  <r>
    <x v="0"/>
    <s v="FFBC"/>
    <n v="2313"/>
    <n v="24.12"/>
    <n v="2.84"/>
    <n v="26.13"/>
    <n v="2.41"/>
    <n v="8.4929577464788739"/>
    <n v="0.92307692307692313"/>
    <n v="9.58"/>
    <n v="1.27"/>
    <n v="7.38"/>
    <n v="10.008298755186722"/>
    <s v="NO"/>
    <n v="-0.59166865401328705"/>
    <n v="-0.72904553080686929"/>
    <n v="-3.321612300592594E-2"/>
    <n v="0.24526823491839431"/>
    <n v="-0.65130561290893174"/>
    <n v="-1.0041622058600745"/>
    <x v="1"/>
    <x v="1"/>
    <x v="0"/>
    <x v="0"/>
    <x v="0"/>
    <x v="1"/>
  </r>
  <r>
    <x v="0"/>
    <s v="SFNC"/>
    <n v="2363"/>
    <n v="18.98"/>
    <n v="2.83"/>
    <n v="28.04"/>
    <n v="1.1599999999999999"/>
    <n v="6.7067137809187276"/>
    <n v="0.67689015691868759"/>
    <n v="4.2"/>
    <n v="0.54"/>
    <n v="7.59"/>
    <n v="16.362068965517242"/>
    <s v="NO"/>
    <n v="-0.96950224125013784"/>
    <n v="-1.2569333490068908"/>
    <n v="-1.5261193273346372"/>
    <n v="-1.1747502700056918"/>
    <n v="-0.55071492509129771"/>
    <n v="0.81258851642754315"/>
    <x v="1"/>
    <x v="1"/>
    <x v="0"/>
    <x v="0"/>
    <x v="0"/>
    <x v="1"/>
  </r>
  <r>
    <x v="0"/>
    <s v="GBCI"/>
    <n v="4708"/>
    <n v="42.96"/>
    <n v="2.82"/>
    <n v="28.96"/>
    <n v="1.87"/>
    <n v="15.234042553191491"/>
    <n v="1.4834254143646408"/>
    <n v="6.63"/>
    <n v="0.76"/>
    <n v="8.4700000000000006"/>
    <n v="22.973262032085561"/>
    <s v="NO"/>
    <n v="0.8342330164728875"/>
    <n v="0.47248592075548673"/>
    <n v="-0.85181546366943861"/>
    <n v="-0.74679948769980287"/>
    <n v="-0.12919204280787849"/>
    <n v="2.7029448531018723"/>
    <x v="1"/>
    <x v="1"/>
    <x v="0"/>
    <x v="0"/>
    <x v="0"/>
    <x v="1"/>
  </r>
  <r>
    <x v="0"/>
    <s v="BOH"/>
    <n v="2643"/>
    <n v="67.680000000000007"/>
    <n v="2.8"/>
    <n v="34.229999999999997"/>
    <n v="3.56"/>
    <n v="24.171428571428574"/>
    <n v="1.9772129710780022"/>
    <n v="10.039999999999999"/>
    <n v="0.67"/>
    <n v="17.559999999999999"/>
    <n v="19.011235955056183"/>
    <s v="NO"/>
    <n v="2.7247052503326392"/>
    <n v="1.5312935895649251"/>
    <n v="9.4429875877197811E-2"/>
    <n v="-0.92187026227948465"/>
    <n v="4.2249477298697089"/>
    <n v="1.5700720077064985"/>
    <x v="1"/>
    <x v="1"/>
    <x v="0"/>
    <x v="0"/>
    <x v="1"/>
    <x v="1"/>
  </r>
  <r>
    <x v="0"/>
    <s v="COLB"/>
    <n v="4914"/>
    <n v="24.01"/>
    <n v="2.71"/>
    <n v="24.93"/>
    <n v="2.37"/>
    <n v="8.8597785977859793"/>
    <n v="0.96309667067789817"/>
    <n v="9.73"/>
    <n v="0.96"/>
    <n v="9.84"/>
    <n v="10.130801687763713"/>
    <s v="NO"/>
    <n v="-0.51407721589236011"/>
    <n v="-0.64323288711498361"/>
    <n v="8.4075722820493772E-3"/>
    <n v="-0.35775332196717663"/>
    <n v="0.52704244438335279"/>
    <n v="-0.96913461060966"/>
    <x v="1"/>
    <x v="1"/>
    <x v="0"/>
    <x v="0"/>
    <x v="0"/>
    <x v="1"/>
  </r>
  <r>
    <x v="0"/>
    <s v="UCB"/>
    <n v="3492"/>
    <n v="29.49"/>
    <n v="2.63"/>
    <n v="28.55"/>
    <n v="2.11"/>
    <n v="11.212927756653992"/>
    <n v="1.0329246935201399"/>
    <n v="7.68"/>
    <n v="0.95"/>
    <n v="8.17"/>
    <n v="13.976303317535544"/>
    <s v="NO"/>
    <n v="-1.6329536884992488E-2"/>
    <n v="-0.49350362586086816"/>
    <n v="-0.56044959665361216"/>
    <n v="-0.37720563025380793"/>
    <n v="-0.27289302540449889"/>
    <n v="0.13042008403246202"/>
    <x v="1"/>
    <x v="1"/>
    <x v="0"/>
    <x v="0"/>
    <x v="0"/>
    <x v="1"/>
  </r>
  <r>
    <x v="0"/>
    <s v="RNST"/>
    <n v="3330"/>
    <n v="36.04"/>
    <n v="2.54"/>
    <n v="42.79"/>
    <n v="3.2"/>
    <n v="14.188976377952756"/>
    <n v="0.84225286281841549"/>
    <n v="7.83"/>
    <n v="1.1100000000000001"/>
    <n v="6.7"/>
    <n v="11.262499999999999"/>
    <s v="NO"/>
    <n v="0.61317636939471365"/>
    <n v="-0.90235312769250875"/>
    <n v="-0.51882590136563689"/>
    <n v="-6.5968697667706605E-2"/>
    <n v="-0.97702784012793709"/>
    <n v="-0.64554504754612596"/>
    <x v="1"/>
    <x v="1"/>
    <x v="0"/>
    <x v="0"/>
    <x v="0"/>
    <x v="1"/>
  </r>
  <r>
    <x v="0"/>
    <s v="FBP"/>
    <n v="3228"/>
    <n v="20.260000000000002"/>
    <n v="2.37"/>
    <n v="10.98"/>
    <n v="1.84"/>
    <n v="8.5485232067510548"/>
    <n v="1.8451730418943535"/>
    <n v="18.55"/>
    <n v="1.59"/>
    <n v="10.74"/>
    <n v="11.010869565217392"/>
    <s v="NO"/>
    <n v="-0.57991522190328904"/>
    <n v="1.2481659819369797"/>
    <n v="2.4558808552149922"/>
    <n v="0.8677421000905966"/>
    <n v="0.95814539217321315"/>
    <n v="-0.71749441918024226"/>
    <x v="1"/>
    <x v="1"/>
    <x v="0"/>
    <x v="0"/>
    <x v="0"/>
    <x v="1"/>
  </r>
  <r>
    <x v="0"/>
    <s v="TOWN"/>
    <n v="2606"/>
    <n v="34.4"/>
    <n v="2.1800000000000002"/>
    <n v="29.6"/>
    <n v="2.36"/>
    <n v="15.779816513761466"/>
    <n v="1.1621621621621621"/>
    <n v="8.34"/>
    <n v="1.04"/>
    <n v="7.96"/>
    <n v="14.576271186440678"/>
    <s v="NO"/>
    <n v="0.94967734396594139"/>
    <n v="-0.21638521525028004"/>
    <n v="-0.37730533738652117"/>
    <n v="-0.20213485567412595"/>
    <n v="-0.37348371322213292"/>
    <n v="0.30197052150509202"/>
    <x v="1"/>
    <x v="1"/>
    <x v="0"/>
    <x v="0"/>
    <x v="0"/>
    <x v="1"/>
  </r>
  <r>
    <x v="0"/>
    <s v="SBCF"/>
    <n v="2221"/>
    <n v="26.26"/>
    <n v="2.13"/>
    <n v="26.34"/>
    <n v="1.48"/>
    <n v="12.328638497652584"/>
    <n v="0.99696279422930911"/>
    <n v="5.82"/>
    <n v="0.83"/>
    <n v="7.06"/>
    <n v="17.743243243243246"/>
    <s v="NO"/>
    <n v="0.21967013601410598"/>
    <n v="-0.57061519790517456"/>
    <n v="-1.0765834182245047"/>
    <n v="-0.61063332969338369"/>
    <n v="-0.80458666101199328"/>
    <n v="1.2075114178859618"/>
    <x v="1"/>
    <x v="1"/>
    <x v="0"/>
    <x v="0"/>
    <x v="0"/>
    <x v="1"/>
  </r>
  <r>
    <x v="0"/>
    <s v="FFIN"/>
    <n v="5044"/>
    <n v="36.729999999999997"/>
    <n v="2.0699999999999998"/>
    <n v="11.83"/>
    <n v="1.62"/>
    <n v="17.743961352657006"/>
    <n v="3.1048182586644124"/>
    <n v="14.6"/>
    <n v="1.68"/>
    <n v="8.52"/>
    <n v="22.672839506172835"/>
    <s v="NO"/>
    <n v="1.3651412473526929"/>
    <n v="3.9491696774786189"/>
    <n v="1.3597902126316446"/>
    <n v="1.0428128746702781"/>
    <n v="-0.10524187904177566"/>
    <n v="2.6170442267216458"/>
    <x v="1"/>
    <x v="0"/>
    <x v="0"/>
    <x v="0"/>
    <x v="0"/>
    <x v="1"/>
  </r>
  <r>
    <x v="0"/>
    <s v="FHB"/>
    <n v="3002"/>
    <n v="24.17"/>
    <n v="2.0099999999999998"/>
    <n v="21.07"/>
    <n v="1.84"/>
    <n v="12.024875621890549"/>
    <n v="1.1471286188894163"/>
    <n v="9.11"/>
    <n v="0.98"/>
    <n v="8.9600000000000009"/>
    <n v="13.135869565217392"/>
    <s v="NO"/>
    <n v="0.15541697730151094"/>
    <n v="-0.24862100307067214"/>
    <n v="-0.16363703490824846"/>
    <n v="-0.31884870539391397"/>
    <n v="0.10551956209993439"/>
    <n v="-0.10988741466750571"/>
    <x v="1"/>
    <x v="1"/>
    <x v="0"/>
    <x v="0"/>
    <x v="0"/>
    <x v="1"/>
  </r>
  <r>
    <x v="0"/>
    <s v="PPBI"/>
    <n v="2058"/>
    <n v="21.72"/>
    <n v="1.98"/>
    <n v="30.57"/>
    <n v="1.53"/>
    <n v="10.969696969696969"/>
    <n v="0.71050049067713439"/>
    <n v="5.04"/>
    <n v="0.8"/>
    <n v="6.1"/>
    <n v="14.196078431372548"/>
    <s v="NO"/>
    <n v="-6.7778702023862561E-2"/>
    <n v="-1.1848641389774732"/>
    <n v="-1.293026633721976"/>
    <n v="-0.66899025455327754"/>
    <n v="-1.2644298053211775"/>
    <n v="0.19326097748420212"/>
    <x v="1"/>
    <x v="1"/>
    <x v="0"/>
    <x v="0"/>
    <x v="0"/>
    <x v="1"/>
  </r>
  <r>
    <x v="0"/>
    <s v="HOMB"/>
    <n v="5586"/>
    <n v="28.57"/>
    <n v="1.94"/>
    <n v="20.399999999999999"/>
    <n v="2.09"/>
    <n v="14.726804123711341"/>
    <n v="1.4004901960784315"/>
    <n v="10.63"/>
    <n v="1.82"/>
    <n v="5.69"/>
    <n v="13.669856459330145"/>
    <s v="NO"/>
    <n v="0.72693988121811182"/>
    <n v="0.29465145744843052"/>
    <n v="0.25814974400990082"/>
    <n v="1.3151451906831169"/>
    <n v="-1.4608211482032245"/>
    <n v="4.2796904005863397E-2"/>
    <x v="1"/>
    <x v="1"/>
    <x v="0"/>
    <x v="0"/>
    <x v="0"/>
    <x v="1"/>
  </r>
  <r>
    <x v="0"/>
    <s v="ONB"/>
    <n v="7717"/>
    <n v="21.34"/>
    <n v="1.85"/>
    <n v="19.75"/>
    <n v="1.72"/>
    <n v="11.535135135135134"/>
    <n v="1.0805063291139241"/>
    <n v="9.2899999999999991"/>
    <n v="1.0900000000000001"/>
    <n v="8.5500000000000007"/>
    <n v="12.406976744186046"/>
    <s v="NO"/>
    <n v="5.1825078046084445E-2"/>
    <n v="-0.39147634717340674"/>
    <n v="-0.11368860056267829"/>
    <n v="-0.10487331424096927"/>
    <n v="-9.087178078211311E-2"/>
    <n v="-0.31830171283112663"/>
    <x v="1"/>
    <x v="1"/>
    <x v="0"/>
    <x v="0"/>
    <x v="0"/>
    <x v="1"/>
  </r>
  <r>
    <x v="0"/>
    <s v="WSFS"/>
    <n v="3003"/>
    <n v="53.24"/>
    <n v="1.75"/>
    <n v="46.31"/>
    <n v="4.4400000000000004"/>
    <n v="30.422857142857143"/>
    <n v="1.149643705463183"/>
    <n v="10.28"/>
    <n v="1.28"/>
    <n v="7.69"/>
    <n v="11.990990990990991"/>
    <s v="NO"/>
    <n v="4.047032842777214"/>
    <n v="-0.24322800983741086"/>
    <n v="0.16102778833795822"/>
    <n v="0.26472054320502564"/>
    <n v="-0.50281459755909075"/>
    <n v="-0.43724564573410185"/>
    <x v="0"/>
    <x v="1"/>
    <x v="0"/>
    <x v="0"/>
    <x v="0"/>
    <x v="1"/>
  </r>
  <r>
    <x v="0"/>
    <s v="CVBF"/>
    <n v="2584"/>
    <n v="19.16"/>
    <n v="1.51"/>
    <n v="16.02"/>
    <n v="1.45"/>
    <n v="12.688741721854305"/>
    <n v="1.1960049937578028"/>
    <n v="9.42"/>
    <n v="1.28"/>
    <n v="6.85"/>
    <n v="13.213793103448277"/>
    <s v="NO"/>
    <n v="0.29584063433292074"/>
    <n v="-0.14381746999117567"/>
    <n v="-7.7614731313099553E-2"/>
    <n v="0.26472054320502564"/>
    <n v="-0.9051773488296273"/>
    <n v="-8.7606526363740445E-2"/>
    <x v="1"/>
    <x v="1"/>
    <x v="0"/>
    <x v="0"/>
    <x v="0"/>
    <x v="1"/>
  </r>
  <r>
    <x v="0"/>
    <s v="EBC"/>
    <n v="2902"/>
    <n v="15.12"/>
    <n v="1.5"/>
    <n v="17.91"/>
    <n v="-0.72"/>
    <n v="10.08"/>
    <n v="0.84422110552763818"/>
    <n v="-4.18"/>
    <n v="-0.59"/>
    <n v="6.97"/>
    <n v="-21"/>
    <s v="NO"/>
    <n v="-0.25597102294736318"/>
    <n v="-0.89813270851371407"/>
    <n v="-3.8514964374228526"/>
    <n v="-3.3728611063950309"/>
    <n v="-0.84769695579097926"/>
    <n v="-9.8704490395894968"/>
    <x v="1"/>
    <x v="1"/>
    <x v="1"/>
    <x v="1"/>
    <x v="0"/>
    <x v="0"/>
  </r>
  <r>
    <x v="0"/>
    <s v="WSBC"/>
    <n v="2945"/>
    <n v="31.24"/>
    <n v="1.46"/>
    <n v="38.020000000000003"/>
    <n v="1.44"/>
    <n v="21.397260273972602"/>
    <n v="0.8216728037874802"/>
    <n v="3.38"/>
    <n v="0.47"/>
    <n v="7.54"/>
    <n v="21.694444444444443"/>
    <s v="NO"/>
    <n v="2.1379018910849896"/>
    <n v="-0.94648207349167213"/>
    <n v="-1.7536621949089017"/>
    <n v="-1.3109164280121111"/>
    <n v="-0.57466508885740097"/>
    <n v="2.3372890772219552"/>
    <x v="1"/>
    <x v="1"/>
    <x v="0"/>
    <x v="0"/>
    <x v="0"/>
    <x v="1"/>
  </r>
  <r>
    <x v="0"/>
    <s v="BMA"/>
    <n v="5309"/>
    <n v="75.83"/>
    <n v="1.21"/>
    <n v="6.15"/>
    <n v="0.49"/>
    <n v="62.669421487603309"/>
    <n v="12.330081300813006"/>
    <n v="7.66"/>
    <n v="2.23"/>
    <n v="3.58"/>
    <n v="154.75510204081633"/>
    <s v="NO"/>
    <n v="10.867957261474219"/>
    <n v="23.730509087538554"/>
    <n v="-0.56599942269200876"/>
    <n v="2.1126898304350008"/>
    <n v="-2.4715180591327859"/>
    <n v="40.38368323281086"/>
    <x v="0"/>
    <x v="0"/>
    <x v="0"/>
    <x v="0"/>
    <x v="0"/>
    <x v="0"/>
  </r>
  <r>
    <x v="0"/>
    <s v="FULT"/>
    <n v="3136"/>
    <n v="17.600000000000001"/>
    <n v="1.19"/>
    <n v="16.91"/>
    <n v="1.7"/>
    <n v="14.789915966386557"/>
    <n v="1.0408042578356003"/>
    <n v="10.6"/>
    <n v="1.07"/>
    <n v="10.43"/>
    <n v="10.352941176470589"/>
    <s v="NO"/>
    <n v="0.74028955482085901"/>
    <n v="-0.47660781102985655"/>
    <n v="0.24982500495230545"/>
    <n v="-0.14377793081423193"/>
    <n v="0.80965437682337216"/>
    <n v="-0.90561766504863606"/>
    <x v="1"/>
    <x v="1"/>
    <x v="0"/>
    <x v="0"/>
    <x v="0"/>
    <x v="1"/>
  </r>
  <r>
    <x v="0"/>
    <s v="CFR"/>
    <n v="8163"/>
    <n v="128.63999999999999"/>
    <n v="1.06"/>
    <n v="61.74"/>
    <n v="9.11"/>
    <n v="121.35849056603772"/>
    <n v="2.08357628765792"/>
    <n v="15.42"/>
    <n v="1.18"/>
    <n v="13.1"/>
    <n v="14.120746432491767"/>
    <s v="NO"/>
    <n v="23.282107808117196"/>
    <n v="1.7593639282028768"/>
    <n v="1.5873330802059091"/>
    <n v="7.0197460338712311E-2"/>
    <n v="2.0885931219332909"/>
    <n v="0.17172109504471594"/>
    <x v="0"/>
    <x v="1"/>
    <x v="0"/>
    <x v="0"/>
    <x v="0"/>
    <x v="1"/>
  </r>
  <r>
    <x v="0"/>
    <s v="FNB"/>
    <n v="4991"/>
    <n v="14.1"/>
    <n v="0.91"/>
    <n v="17.86"/>
    <n v="1.27"/>
    <n v="15.494505494505493"/>
    <n v="0.78947368421052633"/>
    <n v="7.4"/>
    <n v="0.97"/>
    <n v="7.64"/>
    <n v="11.102362204724409"/>
    <s v="NO"/>
    <n v="0.88932719697474838"/>
    <n v="-1.0155252769371192"/>
    <n v="-0.63814716119116577"/>
    <n v="-0.33830101368054527"/>
    <n v="-0.52676476132519445"/>
    <n v="-0.69133368100338488"/>
    <x v="1"/>
    <x v="1"/>
    <x v="0"/>
    <x v="0"/>
    <x v="0"/>
    <x v="1"/>
  </r>
  <r>
    <x v="0"/>
    <s v="SSB"/>
    <n v="8911"/>
    <n v="90.5"/>
    <n v="0.78"/>
    <n v="84.99"/>
    <n v="6.12"/>
    <n v="116.02564102564102"/>
    <n v="1.0648311566066597"/>
    <n v="7.18"/>
    <n v="0.92"/>
    <n v="7.55"/>
    <n v="14.787581699346404"/>
    <s v="NO"/>
    <n v="22.154081787656651"/>
    <n v="-0.42508795328813265"/>
    <n v="-0.69919524761352958"/>
    <n v="-0.43556255511370173"/>
    <n v="-0.56987505610418043"/>
    <n v="0.36239110869036173"/>
    <x v="0"/>
    <x v="1"/>
    <x v="0"/>
    <x v="0"/>
    <x v="0"/>
    <x v="1"/>
  </r>
  <r>
    <x v="0"/>
    <s v="BANC"/>
    <n v="2160"/>
    <n v="13.97"/>
    <n v="0.78"/>
    <n v="18.190000000000001"/>
    <n v="0.65"/>
    <n v="17.910256410256409"/>
    <n v="0.7680043980208906"/>
    <n v="4.33"/>
    <n v="0.43"/>
    <n v="11.17"/>
    <n v="21.492307692307694"/>
    <s v="NO"/>
    <n v="1.4003166541638434"/>
    <n v="-1.0615609547349834"/>
    <n v="-1.4900454580850586"/>
    <n v="-1.3887256611586365"/>
    <n v="1.1641168005617017"/>
    <n v="2.2794915682959584"/>
    <x v="1"/>
    <x v="1"/>
    <x v="0"/>
    <x v="0"/>
    <x v="0"/>
    <x v="1"/>
  </r>
  <r>
    <x v="0"/>
    <s v="TFSL"/>
    <n v="3710"/>
    <n v="13.3"/>
    <n v="0.34"/>
    <n v="6.8"/>
    <n v="0.28000000000000003"/>
    <n v="39.117647058823529"/>
    <n v="1.9558823529411766"/>
    <n v="4.29"/>
    <n v="0.48"/>
    <n v="9.02"/>
    <n v="47.5"/>
    <s v="NO"/>
    <n v="5.8861901625838504"/>
    <n v="1.4855552517784447"/>
    <n v="-1.501145110161852"/>
    <n v="-1.2914641197254797"/>
    <n v="0.13425975861925779"/>
    <n v="9.7159414588210709"/>
    <x v="0"/>
    <x v="1"/>
    <x v="0"/>
    <x v="0"/>
    <x v="0"/>
    <x v="0"/>
  </r>
  <r>
    <x v="0"/>
    <s v="CRDIY"/>
    <n v="7420"/>
    <n v="18.357500000000002"/>
    <n v="0.16"/>
    <n v="7.52"/>
    <n v="0.48"/>
    <n v="114.73437500000001"/>
    <n v="2.4411569148936172"/>
    <n v="6.45"/>
    <n v="0.34"/>
    <n v="19.25"/>
    <n v="38.244791666666671"/>
    <s v="NO"/>
    <n v="21.880947947066169"/>
    <n v="2.5261088677774155"/>
    <n v="-0.90176389801500878"/>
    <n v="-1.5637964357383181"/>
    <n v="5.0344632651640024"/>
    <n v="7.0695746769114329"/>
    <x v="0"/>
    <x v="1"/>
    <x v="0"/>
    <x v="0"/>
    <x v="1"/>
    <x v="0"/>
  </r>
  <r>
    <x v="0"/>
    <s v="AVAL"/>
    <n v="3360"/>
    <n v="2.76"/>
    <n v="-0.14000000000000001"/>
    <n v="0.17"/>
    <n v="0.01"/>
    <n v="-19.714285714285712"/>
    <n v="16.235294117647058"/>
    <n v="7.91"/>
    <n v="0.79"/>
    <n v="19.21"/>
    <n v="276"/>
    <s v="NO"/>
    <n v="-6.5581794937024034"/>
    <n v="32.104290934773424"/>
    <n v="-0.49662659721205005"/>
    <n v="-0.6884425628399089"/>
    <n v="5.0153031341511198"/>
    <n v="75.051565238190634"/>
    <x v="0"/>
    <x v="0"/>
    <x v="0"/>
    <x v="0"/>
    <x v="1"/>
    <x v="0"/>
  </r>
  <r>
    <x v="0"/>
    <s v="GGAL"/>
    <n v="9324"/>
    <n v="54.02"/>
    <n v="-1.91"/>
    <n v="3.7"/>
    <n v="1.06"/>
    <n v="-28.282722513089009"/>
    <n v="14.6"/>
    <n v="31.07"/>
    <n v="5.93"/>
    <n v="5.36"/>
    <n v="50.962264150943398"/>
    <s v="NO"/>
    <n v="-8.3706100883602073"/>
    <n v="28.597799268502527"/>
    <n v="5.9300719552513241"/>
    <n v="9.3100438964885868"/>
    <n v="-1.6188922290595067"/>
    <n v="10.70591602333239"/>
    <x v="0"/>
    <x v="0"/>
    <x v="1"/>
    <x v="1"/>
    <x v="0"/>
    <x v="0"/>
  </r>
  <r>
    <x v="0"/>
    <s v="INTR"/>
    <n v="3130"/>
    <n v="6.8"/>
    <n v="-2.12"/>
    <n v="3.55"/>
    <n v="0.4"/>
    <n v="-3.2075471698113205"/>
    <n v="1.915492957746479"/>
    <n v="12.36"/>
    <n v="1.52"/>
    <n v="9.0500000000000007"/>
    <n v="17"/>
    <s v="NO"/>
    <n v="-3.0666070332273523"/>
    <n v="1.398949988463668"/>
    <n v="0.73820969633121458"/>
    <n v="0.7315759420841772"/>
    <n v="0.14862985687892033"/>
    <n v="0.99499386463826311"/>
    <x v="0"/>
    <x v="1"/>
    <x v="0"/>
    <x v="0"/>
    <x v="0"/>
    <x v="1"/>
  </r>
  <r>
    <x v="0"/>
    <s v="IFS"/>
    <n v="3921"/>
    <n v="35.229999999999997"/>
    <n v="-7.16"/>
    <n v="26.47"/>
    <n v="3.83"/>
    <n v="-4.9203910614525137"/>
    <n v="1.3309406875708349"/>
    <n v="15.17"/>
    <n v="1.72"/>
    <n v="8.77"/>
    <n v="9.198433420365534"/>
    <s v="NO"/>
    <n v="-3.4289147383523764"/>
    <n v="0.14551940264349844"/>
    <n v="1.5179602547259505"/>
    <n v="1.1206221078168035"/>
    <n v="1.4508939788741064E-2"/>
    <n v="-1.2357291941656776"/>
    <x v="0"/>
    <x v="1"/>
    <x v="0"/>
    <x v="0"/>
    <x v="0"/>
    <x v="1"/>
  </r>
  <r>
    <x v="0"/>
    <s v="BBAR"/>
    <n v="4015"/>
    <n v="17.71"/>
    <n v="-8.4499999999999993"/>
    <n v="4.21"/>
    <n v="0.56999999999999995"/>
    <n v="-2.0958579881656809"/>
    <n v="4.2066508313539197"/>
    <n v="15.62"/>
    <n v="3.16"/>
    <n v="5.88"/>
    <n v="31.070175438596497"/>
    <s v="NO"/>
    <n v="-2.8314580169159922"/>
    <n v="6.3117824283400177"/>
    <n v="1.642831340589876"/>
    <n v="3.921754501091713"/>
    <n v="-1.3698105258920321"/>
    <n v="5.0181172299155792"/>
    <x v="1"/>
    <x v="0"/>
    <x v="1"/>
    <x v="0"/>
    <x v="0"/>
    <x v="0"/>
  </r>
  <r>
    <x v="0"/>
    <s v="EQGPF"/>
    <n v="2641"/>
    <n v="67.75"/>
    <n v="-20.13"/>
    <n v="50.88"/>
    <n v="8.33"/>
    <n v="-3.3656234475906608"/>
    <n v="1.331564465408805"/>
    <n v="13.42"/>
    <n v="0.76"/>
    <n v="16.72"/>
    <n v="8.1332533013205275"/>
    <s v="NO"/>
    <n v="-3.1000439703098448"/>
    <n v="0.14685694294700891"/>
    <n v="1.0323504763662397"/>
    <n v="-0.74679948769980287"/>
    <n v="3.8225849785991723"/>
    <n v="-1.5402990301183632"/>
    <x v="0"/>
    <x v="1"/>
    <x v="0"/>
    <x v="0"/>
    <x v="1"/>
    <x v="1"/>
  </r>
  <r>
    <x v="0"/>
    <s v="WAL"/>
    <n v="7994"/>
    <n v="73.91"/>
    <n v="-30.64"/>
    <n v="60.78"/>
    <n v="7.28"/>
    <n v="-2.4122062663185377"/>
    <n v="1.2160250082263901"/>
    <n v="12.09"/>
    <n v="1.01"/>
    <n v="12.53"/>
    <n v="10.152472527472527"/>
    <s v="NO"/>
    <n v="-2.8983732911199911"/>
    <n v="-0.10088940394166794"/>
    <n v="0.66328704481285938"/>
    <n v="-0.26049178053401995"/>
    <n v="1.8155612549997124"/>
    <n v="-0.96293820872695479"/>
    <x v="1"/>
    <x v="1"/>
    <x v="0"/>
    <x v="0"/>
    <x v="0"/>
    <x v="1"/>
  </r>
  <r>
    <x v="1"/>
    <s v="ETOR"/>
    <n v="4955"/>
    <n v="75.97"/>
    <m/>
    <m/>
    <m/>
    <s v=""/>
    <s v=""/>
    <n v="26.91"/>
    <n v="19.32"/>
    <n v="2.74"/>
    <s v=""/>
    <s v="NO"/>
    <e v="#VALUE!"/>
    <e v="#VALUE!"/>
    <n v="0.56337804834220495"/>
    <n v="2.1842709968155662"/>
    <n v="0.11487891447449236"/>
    <e v="#VALUE!"/>
    <x v="0"/>
    <x v="0"/>
    <x v="0"/>
    <x v="0"/>
    <x v="0"/>
    <x v="0"/>
  </r>
  <r>
    <x v="1"/>
    <s v="AMG"/>
    <n v="5003"/>
    <n v="182.85"/>
    <n v="30.72"/>
    <n v="107.71"/>
    <n v="13.18"/>
    <n v="5.9521484375"/>
    <n v="1.6976139634202954"/>
    <n v="13.67"/>
    <n v="4.17"/>
    <n v="2.73"/>
    <n v="13.873292867981791"/>
    <s v="NO"/>
    <n v="-0.80939162161033629"/>
    <n v="-0.67874836829727014"/>
    <n v="-0.19433313320409537"/>
    <n v="-0.51115844697656121"/>
    <n v="0.10866345081822305"/>
    <n v="-0.49558366911890328"/>
    <x v="1"/>
    <x v="1"/>
    <x v="0"/>
    <x v="0"/>
    <x v="0"/>
    <x v="1"/>
  </r>
  <r>
    <x v="1"/>
    <s v="PJT"/>
    <n v="3681"/>
    <n v="155.18"/>
    <n v="19.239999999999998"/>
    <n v="6.01"/>
    <n v="5.63"/>
    <n v="8.0654885654885664"/>
    <n v="25.82029950083195"/>
    <n v="31.38"/>
    <n v="19.22"/>
    <n v="9.3800000000000008"/>
    <n v="27.563055062166963"/>
    <s v="NO"/>
    <n v="-0.46769036587288776"/>
    <n v="7.6353621584279248"/>
    <n v="0.81919141552588781"/>
    <n v="2.1664793833251892"/>
    <n v="4.2419467822372132"/>
    <n v="1.0559151113247642"/>
    <x v="1"/>
    <x v="0"/>
    <x v="0"/>
    <x v="0"/>
    <x v="1"/>
    <x v="1"/>
  </r>
  <r>
    <x v="1"/>
    <s v="EVR"/>
    <n v="8949"/>
    <n v="247.66"/>
    <n v="17.46"/>
    <n v="38.97"/>
    <n v="10.47"/>
    <n v="14.184421534936998"/>
    <n v="6.3551449833205034"/>
    <n v="28.14"/>
    <n v="15.24"/>
    <n v="2.17"/>
    <n v="23.654250238777458"/>
    <s v="NO"/>
    <n v="0.52166626997721988"/>
    <n v="0.92651351769987333"/>
    <n v="0.63376964602362107"/>
    <n v="1.4583731664081816"/>
    <n v="-0.23940251393284981"/>
    <n v="0.61291940179687432"/>
    <x v="1"/>
    <x v="1"/>
    <x v="0"/>
    <x v="0"/>
    <x v="0"/>
    <x v="1"/>
  </r>
  <r>
    <x v="1"/>
    <s v="PIPR"/>
    <n v="4132"/>
    <n v="263.74"/>
    <n v="17.3"/>
    <n v="73.47"/>
    <n v="11.46"/>
    <n v="15.245086705202311"/>
    <n v="3.5897645297400302"/>
    <n v="10.7"/>
    <n v="7.94"/>
    <n v="1.5"/>
    <n v="23.01396160558464"/>
    <s v="NO"/>
    <n v="0.69316285767585317"/>
    <n v="-2.6600873475848677E-2"/>
    <n v="-0.36430308858117333"/>
    <n v="0.15958538161065478"/>
    <n v="-0.65583857890288333"/>
    <n v="0.54035371223708373"/>
    <x v="1"/>
    <x v="1"/>
    <x v="0"/>
    <x v="0"/>
    <x v="0"/>
    <x v="1"/>
  </r>
  <r>
    <x v="1"/>
    <s v="MRX"/>
    <n v="3141"/>
    <n v="40.69"/>
    <n v="16.52"/>
    <n v="12.66"/>
    <n v="3.09"/>
    <n v="2.4630750605326877"/>
    <n v="3.2140600315955763"/>
    <n v="27.1"/>
    <n v="1.04"/>
    <n v="23.28"/>
    <n v="13.168284789644012"/>
    <s v="NO"/>
    <n v="-1.3735321205675779"/>
    <n v="-0.1560909635454793"/>
    <n v="0.57425154717104165"/>
    <n v="-1.0680359492253637"/>
    <n v="12.881441264451343"/>
    <n v="-0.57548419319145472"/>
    <x v="1"/>
    <x v="1"/>
    <x v="0"/>
    <x v="0"/>
    <x v="1"/>
    <x v="1"/>
  </r>
  <r>
    <x v="1"/>
    <s v="VIRT"/>
    <n v="3453"/>
    <n v="41.39"/>
    <n v="10.98"/>
    <n v="15.27"/>
    <n v="3.46"/>
    <n v="3.7695810564663024"/>
    <n v="2.710543549443353"/>
    <n v="41.05"/>
    <n v="4.04"/>
    <n v="13.4"/>
    <n v="11.962427745664741"/>
    <s v="NO"/>
    <n v="-1.1622860776204214"/>
    <n v="-0.32963265641168016"/>
    <n v="1.3725952769724681"/>
    <n v="-0.53428754451405136"/>
    <n v="6.7405631720574144"/>
    <n v="-0.71214732192848407"/>
    <x v="1"/>
    <x v="1"/>
    <x v="0"/>
    <x v="0"/>
    <x v="1"/>
    <x v="1"/>
  </r>
  <r>
    <x v="1"/>
    <s v="MKTX"/>
    <n v="8116"/>
    <n v="223.25"/>
    <n v="9.64"/>
    <n v="35.86"/>
    <n v="5.76"/>
    <n v="23.158713692946058"/>
    <n v="6.2255995538204125"/>
    <n v="16.25"/>
    <n v="11.06"/>
    <n v="1.39"/>
    <n v="38.758680555555557"/>
    <s v="NO"/>
    <n v="1.9726995698867285"/>
    <n v="0.88186446660539852"/>
    <n v="-4.6682464896734735E-2"/>
    <n v="0.71468372251041967"/>
    <n v="-0.72420867912184417"/>
    <n v="2.3247464506064994"/>
    <x v="1"/>
    <x v="1"/>
    <x v="0"/>
    <x v="0"/>
    <x v="0"/>
    <x v="1"/>
  </r>
  <r>
    <x v="1"/>
    <s v="SF"/>
    <n v="9679"/>
    <n v="96.62"/>
    <n v="7.4"/>
    <n v="47.08"/>
    <n v="5.24"/>
    <n v="13.056756756756757"/>
    <n v="2.0522514868309263"/>
    <n v="11.48"/>
    <n v="1.58"/>
    <n v="8.32"/>
    <n v="18.438931297709924"/>
    <s v="NO"/>
    <n v="0.33933666498276788"/>
    <n v="-0.55651920927651011"/>
    <n v="-0.31966451444173866"/>
    <n v="-0.97196123637732756"/>
    <n v="3.583107634672682"/>
    <n v="2.1852817738315076E-2"/>
    <x v="1"/>
    <x v="1"/>
    <x v="0"/>
    <x v="0"/>
    <x v="0"/>
    <x v="1"/>
  </r>
  <r>
    <x v="1"/>
    <s v="HLNE"/>
    <n v="6457"/>
    <n v="151.72999999999999"/>
    <n v="7.28"/>
    <n v="22.77"/>
    <n v="5.41"/>
    <n v="20.842032967032964"/>
    <n v="6.6635924462011413"/>
    <n v="39.22"/>
    <n v="13.36"/>
    <n v="1.83"/>
    <n v="28.046210720887242"/>
    <s v="NO"/>
    <n v="1.5981206260133212"/>
    <n v="1.0328228377836752"/>
    <n v="1.2678663145684099"/>
    <n v="1.1238908327890924"/>
    <n v="-0.45072827824600109"/>
    <n v="1.110672484362798"/>
    <x v="1"/>
    <x v="1"/>
    <x v="0"/>
    <x v="0"/>
    <x v="0"/>
    <x v="1"/>
  </r>
  <r>
    <x v="1"/>
    <s v="LAZ"/>
    <n v="4086"/>
    <n v="43.94"/>
    <n v="5.98"/>
    <n v="6.41"/>
    <n v="2.87"/>
    <n v="7.3478260869565206"/>
    <n v="6.8549141965678624"/>
    <n v="48.6"/>
    <n v="7"/>
    <n v="7.02"/>
    <n v="15.310104529616723"/>
    <s v="NO"/>
    <n v="-0.58372761272318585"/>
    <n v="1.0987636790821487"/>
    <n v="1.8046737830657136"/>
    <n v="-7.6557851988898369E-3"/>
    <n v="2.7750973593576913"/>
    <n v="-0.3327458119572419"/>
    <x v="1"/>
    <x v="1"/>
    <x v="0"/>
    <x v="0"/>
    <x v="0"/>
    <x v="1"/>
  </r>
  <r>
    <x v="1"/>
    <s v="APAM"/>
    <n v="2838"/>
    <n v="41.36"/>
    <n v="5.84"/>
    <n v="5.0599999999999996"/>
    <n v="3.64"/>
    <n v="7.0821917808219181"/>
    <n v="8.1739130434782616"/>
    <n v="60.8"/>
    <n v="16.3"/>
    <n v="3.84"/>
    <n v="11.362637362637361"/>
    <s v="NO"/>
    <n v="-0.62667743171873491"/>
    <n v="1.5533690413594379"/>
    <n v="2.502866865759434"/>
    <n v="1.6469642694061786"/>
    <n v="0.79857991666409944"/>
    <n v="-0.78012323229046876"/>
    <x v="1"/>
    <x v="1"/>
    <x v="0"/>
    <x v="1"/>
    <x v="0"/>
    <x v="1"/>
  </r>
  <r>
    <x v="1"/>
    <s v="MC"/>
    <n v="4237"/>
    <n v="58.47"/>
    <n v="5.62"/>
    <n v="6.53"/>
    <n v="2.29"/>
    <n v="10.40391459074733"/>
    <n v="8.9540581929555891"/>
    <n v="39.17"/>
    <n v="16.93"/>
    <n v="2.4900000000000002"/>
    <n v="25.532751091703055"/>
    <s v="NO"/>
    <n v="-8.959547300745821E-2"/>
    <n v="1.8222534070567662"/>
    <n v="1.26500486750819"/>
    <n v="1.7590514343955541"/>
    <n v="-4.0507676932236586E-2"/>
    <n v="0.82581512204644925"/>
    <x v="1"/>
    <x v="1"/>
    <x v="0"/>
    <x v="0"/>
    <x v="0"/>
    <x v="1"/>
  </r>
  <r>
    <x v="1"/>
    <s v="VCTR"/>
    <n v="4169"/>
    <n v="63.74"/>
    <n v="5.43"/>
    <n v="17.899999999999999"/>
    <n v="4.5"/>
    <n v="11.738489871086557"/>
    <n v="3.5608938547486035"/>
    <n v="26.57"/>
    <n v="10.71"/>
    <n v="2.2599999999999998"/>
    <n v="14.164444444444445"/>
    <s v="NO"/>
    <n v="0.12618902998312631"/>
    <n v="-3.6551423238959262E-2"/>
    <n v="0.54392020833270782"/>
    <n v="0.65241307529409998"/>
    <n v="-0.18346334102642747"/>
    <n v="-0.46258665212192929"/>
    <x v="1"/>
    <x v="1"/>
    <x v="0"/>
    <x v="0"/>
    <x v="0"/>
    <x v="1"/>
  </r>
  <r>
    <x v="1"/>
    <s v="JHG"/>
    <n v="5724"/>
    <n v="36.78"/>
    <n v="4.4800000000000004"/>
    <n v="29.81"/>
    <n v="2.52"/>
    <n v="8.2098214285714288"/>
    <n v="1.2338141563233815"/>
    <n v="8.3699999999999992"/>
    <n v="6.31"/>
    <n v="1.52"/>
    <n v="14.595238095238095"/>
    <s v="NO"/>
    <n v="-0.44435350688534003"/>
    <n v="-0.83860133543466464"/>
    <n v="-0.49764652158743311"/>
    <n v="-0.13041791828249175"/>
    <n v="-0.64340765159034496"/>
    <n v="-0.41376361090700448"/>
    <x v="1"/>
    <x v="1"/>
    <x v="0"/>
    <x v="0"/>
    <x v="0"/>
    <x v="1"/>
  </r>
  <r>
    <x v="1"/>
    <s v="FHI"/>
    <n v="3338"/>
    <n v="42.06"/>
    <n v="4.3499999999999996"/>
    <n v="14.26"/>
    <n v="3.58"/>
    <n v="9.6689655172413804"/>
    <n v="2.9495091164095375"/>
    <n v="25.15"/>
    <n v="14.02"/>
    <n v="1.86"/>
    <n v="11.748603351955307"/>
    <s v="YES"/>
    <n v="-0.20842775087608542"/>
    <n v="-0.24727092546936361"/>
    <n v="0.46265511182245495"/>
    <n v="1.2413154818255812"/>
    <n v="-0.4320818872771936"/>
    <n v="-0.7363806344845053"/>
    <x v="1"/>
    <x v="1"/>
    <x v="0"/>
    <x v="0"/>
    <x v="0"/>
    <x v="1"/>
  </r>
  <r>
    <x v="1"/>
    <s v="FSK"/>
    <n v="5940"/>
    <n v="21.41"/>
    <n v="3.63"/>
    <n v="23.37"/>
    <n v="1.9"/>
    <n v="5.898071625344353"/>
    <n v="0.9161317928968763"/>
    <n v="7.97"/>
    <n v="5.29"/>
    <n v="2.2799999999999998"/>
    <n v="11.268421052631579"/>
    <s v="NO"/>
    <n v="-0.81813518085815584"/>
    <n v="-0.94809355087738401"/>
    <n v="-0.52053809806919449"/>
    <n v="-0.31189237588433788"/>
    <n v="-0.17103241371388914"/>
    <n v="-0.7908010284419581"/>
    <x v="1"/>
    <x v="1"/>
    <x v="0"/>
    <x v="0"/>
    <x v="0"/>
    <x v="1"/>
  </r>
  <r>
    <x v="1"/>
    <s v="AB"/>
    <n v="4422"/>
    <n v="40.72"/>
    <n v="3.25"/>
    <n v="18.04"/>
    <n v="3.72"/>
    <n v="12.529230769230768"/>
    <n v="2.2572062084257207"/>
    <n v="20.67"/>
    <n v="4.12"/>
    <n v="1"/>
    <n v="10.946236559139784"/>
    <s v="NO"/>
    <n v="0.25404216364599908"/>
    <n v="-0.48587963617961882"/>
    <n v="0.20626945522672815"/>
    <n v="-0.52005425372174974"/>
    <n v="-0.96661176171634122"/>
    <n v="-0.82731509213714072"/>
    <x v="1"/>
    <x v="1"/>
    <x v="0"/>
    <x v="0"/>
    <x v="0"/>
    <x v="1"/>
  </r>
  <r>
    <x v="1"/>
    <s v="IGIFF"/>
    <n v="7555"/>
    <n v="32.217500000000001"/>
    <n v="2.85"/>
    <n v="23.13"/>
    <n v="2.76"/>
    <n v="11.304385964912282"/>
    <n v="1.3928880242109816"/>
    <n v="12.72"/>
    <n v="4.93"/>
    <n v="2.57"/>
    <n v="11.673007246376812"/>
    <s v="NO"/>
    <n v="5.5999736789956046E-2"/>
    <n v="-0.78377503023410788"/>
    <n v="-0.2487006273482785"/>
    <n v="-0.37594218444969546"/>
    <n v="9.2160323179164456E-3"/>
    <n v="-0.74494815114021051"/>
    <x v="1"/>
    <x v="1"/>
    <x v="0"/>
    <x v="0"/>
    <x v="0"/>
    <x v="1"/>
  </r>
  <r>
    <x v="1"/>
    <s v="ONEXF"/>
    <n v="5132"/>
    <n v="79"/>
    <n v="2.64"/>
    <n v="120.59"/>
    <n v="6.19"/>
    <n v="29.924242424242422"/>
    <n v="0.65511236420930419"/>
    <n v="5.42"/>
    <n v="2.4900000000000002"/>
    <n v="1.57"/>
    <n v="12.762520193861066"/>
    <s v="NO"/>
    <n v="3.0666028335379365"/>
    <n v="-1.0380563527538784"/>
    <n v="-0.66647189814042296"/>
    <n v="-0.81005755361489606"/>
    <n v="-0.61233033330899922"/>
    <n v="-0.62147062206980741"/>
    <x v="0"/>
    <x v="1"/>
    <x v="0"/>
    <x v="0"/>
    <x v="0"/>
    <x v="1"/>
  </r>
  <r>
    <x v="1"/>
    <s v="TPG"/>
    <n v="5949"/>
    <n v="50.4"/>
    <n v="2.5099999999999998"/>
    <n v="6.66"/>
    <n v="-0.31"/>
    <n v="20.079681274900398"/>
    <n v="7.5675675675675675"/>
    <n v="0.59"/>
    <n v="0.66"/>
    <n v="13.75"/>
    <n v="-162.58064516129031"/>
    <s v="NO"/>
    <n v="1.474857679805414"/>
    <n v="1.3443863683364481"/>
    <n v="-0.94288768415769109"/>
    <n v="-1.1356440804887966"/>
    <n v="6.9581044000268344"/>
    <n v="-20.493598665550554"/>
    <x v="1"/>
    <x v="1"/>
    <x v="0"/>
    <x v="0"/>
    <x v="1"/>
    <x v="0"/>
  </r>
  <r>
    <x v="1"/>
    <s v="CIXXF"/>
    <n v="3285"/>
    <n v="23.02"/>
    <n v="2.4500000000000002"/>
    <n v="1.96"/>
    <n v="-1.28"/>
    <n v="9.3959183673469386"/>
    <n v="11.744897959183673"/>
    <n v="-40.1"/>
    <n v="5.0599999999999996"/>
    <n v="27.97"/>
    <n v="-17.984375"/>
    <s v="NO"/>
    <n v="-0.25257613605971585"/>
    <n v="2.7841425898682872"/>
    <n v="-3.2715333017648631"/>
    <n v="-0.35281308691220525"/>
    <n v="15.796493719241576"/>
    <n v="-4.1061016711005376"/>
    <x v="1"/>
    <x v="1"/>
    <x v="0"/>
    <x v="1"/>
    <x v="1"/>
    <x v="0"/>
  </r>
  <r>
    <x v="1"/>
    <s v="IVZ"/>
    <n v="6472"/>
    <n v="14.68"/>
    <n v="1.86"/>
    <n v="23.88"/>
    <n v="1.24"/>
    <n v="7.8924731182795691"/>
    <n v="0.61474036850921276"/>
    <n v="5.09"/>
    <n v="2.44"/>
    <n v="2.63"/>
    <n v="11.838709677419354"/>
    <s v="NO"/>
    <n v="-0.49566484796894272"/>
    <n v="-1.0519709409084379"/>
    <n v="-0.68535744873787607"/>
    <n v="-0.8189533603600847"/>
    <n v="4.6508814255531425E-2"/>
    <n v="-0.72616863429891332"/>
    <x v="1"/>
    <x v="1"/>
    <x v="0"/>
    <x v="0"/>
    <x v="0"/>
    <x v="1"/>
  </r>
  <r>
    <x v="1"/>
    <s v="TSLX"/>
    <n v="2188"/>
    <n v="23.48"/>
    <n v="1.82"/>
    <n v="17.04"/>
    <n v="1.89"/>
    <n v="12.901098901098901"/>
    <n v="1.3779342723004695"/>
    <n v="11.06"/>
    <n v="6.8"/>
    <n v="2.1800000000000002"/>
    <n v="12.423280423280424"/>
    <s v="NO"/>
    <n v="0.31416869318340052"/>
    <n v="-0.78892898152118196"/>
    <n v="-0.34370066974758806"/>
    <n v="-4.3239012179644029E-2"/>
    <n v="-0.23318705027658052"/>
    <n v="-0.65991760769804708"/>
    <x v="1"/>
    <x v="1"/>
    <x v="0"/>
    <x v="0"/>
    <x v="0"/>
    <x v="1"/>
  </r>
  <r>
    <x v="1"/>
    <s v="PAX"/>
    <n v="2014"/>
    <n v="13.47"/>
    <n v="0.9"/>
    <n v="3.48"/>
    <n v="0.45"/>
    <n v="14.966666666666667"/>
    <n v="3.8706896551724141"/>
    <n v="14.46"/>
    <n v="8.68"/>
    <n v="2.33"/>
    <n v="29.933333333333334"/>
    <s v="NO"/>
    <n v="0.64814574210125442"/>
    <n v="7.022261406481721E-2"/>
    <n v="-0.14912226965261666"/>
    <n v="0.29124332143944504"/>
    <n v="-0.1399550954325432"/>
    <n v="1.3245453325705931"/>
    <x v="1"/>
    <x v="1"/>
    <x v="0"/>
    <x v="0"/>
    <x v="0"/>
    <x v="1"/>
  </r>
  <r>
    <x v="1"/>
    <s v="STEP"/>
    <n v="4441"/>
    <n v="58.04"/>
    <n v="0.84"/>
    <n v="2.34"/>
    <n v="-2.52"/>
    <n v="69.095238095238102"/>
    <n v="24.803418803418804"/>
    <n v="-9.48"/>
    <n v="-3.74"/>
    <n v="25.57"/>
    <n v="-23.031746031746032"/>
    <s v="NO"/>
    <n v="9.4000738314149981"/>
    <n v="7.2848846588280418"/>
    <n v="-1.5191831220860328"/>
    <n v="-1.9184750740653882"/>
    <n v="14.304782441736981"/>
    <n v="-4.6781342520263713"/>
    <x v="0"/>
    <x v="0"/>
    <x v="0"/>
    <x v="0"/>
    <x v="1"/>
    <x v="0"/>
  </r>
  <r>
    <x v="1"/>
    <s v="BGC"/>
    <n v="4530"/>
    <n v="9.7799999999999994"/>
    <n v="0.45"/>
    <n v="1.98"/>
    <n v="0.27"/>
    <n v="21.733333333333331"/>
    <n v="4.9393939393939394"/>
    <n v="12.34"/>
    <n v="2.76"/>
    <n v="5.07"/>
    <n v="36.222222222222214"/>
    <s v="NO"/>
    <n v="1.7422329959866087"/>
    <n v="0.43856160043606213"/>
    <n v="-0.27044762500595182"/>
    <n v="-0.76202019719087799"/>
    <n v="1.5630819463852061"/>
    <n v="2.0372825812571533"/>
    <x v="1"/>
    <x v="1"/>
    <x v="0"/>
    <x v="0"/>
    <x v="0"/>
    <x v="1"/>
  </r>
  <r>
    <x v="1"/>
    <s v="MAIN"/>
    <n v="5064"/>
    <n v="58.31"/>
    <n v="0.12"/>
    <n v="32.03"/>
    <n v="5.9"/>
    <n v="485.91666666666669"/>
    <n v="1.8204807992507024"/>
    <n v="19.309999999999999"/>
    <n v="6.02"/>
    <n v="1.86"/>
    <n v="9.8830508474576266"/>
    <s v="NO"/>
    <n v="76.79500173480686"/>
    <n v="-0.63640115734603819"/>
    <n v="0.12843809518873942"/>
    <n v="-0.18201359740458528"/>
    <n v="-0.4320818872771936"/>
    <n v="-0.94780888243545947"/>
    <x v="0"/>
    <x v="1"/>
    <x v="0"/>
    <x v="0"/>
    <x v="0"/>
    <x v="1"/>
  </r>
  <r>
    <x v="1"/>
    <s v="FFXDF"/>
    <n v="2379"/>
    <n v="17.819500000000001"/>
    <n v="0.01"/>
    <n v="19.41"/>
    <n v="0.3"/>
    <n v="1781.95"/>
    <n v="0.91805770221535299"/>
    <n v="1.77"/>
    <n v="2.36"/>
    <n v="1.36"/>
    <n v="59.398333333333341"/>
    <s v="NO"/>
    <n v="286.34774320434616"/>
    <n v="-0.9474297681110152"/>
    <n v="-0.87535753353649515"/>
    <n v="-0.83318665115238644"/>
    <n v="-0.74285507009065144"/>
    <n v="4.6638956380996701"/>
    <x v="0"/>
    <x v="1"/>
    <x v="0"/>
    <x v="0"/>
    <x v="0"/>
    <x v="0"/>
  </r>
  <r>
    <x v="1"/>
    <s v="GLXY"/>
    <n v="2376"/>
    <n v="20.93"/>
    <n v="-0.15"/>
    <n v="8.02"/>
    <n v="0.55000000000000004"/>
    <n v="-139.53333333333333"/>
    <n v="2.6097256857855364"/>
    <n v="8.74"/>
    <n v="0"/>
    <n v="1.1000000000000001"/>
    <n v="38.054545454545448"/>
    <s v="NO"/>
    <n v="-24.332614956217071"/>
    <n v="-0.36438048165773013"/>
    <n v="-0.47647181334180383"/>
    <n v="-1.2530687295252854"/>
    <n v="-0.90445712515364962"/>
    <n v="2.2449448634796756"/>
    <x v="0"/>
    <x v="1"/>
    <x v="0"/>
    <x v="0"/>
    <x v="0"/>
    <x v="1"/>
  </r>
  <r>
    <x v="1"/>
    <s v="CNS"/>
    <n v="3917"/>
    <n v="76.98"/>
    <n v="-0.5"/>
    <n v="9.9600000000000009"/>
    <n v="3.06"/>
    <n v="-153.96"/>
    <n v="7.7289156626506017"/>
    <n v="30.76"/>
    <n v="14.72"/>
    <n v="1.64"/>
    <n v="25.156862745098039"/>
    <s v="NO"/>
    <n v="-26.665230539870183"/>
    <n v="1.3999965073367864"/>
    <n v="0.78370947197915786"/>
    <n v="1.3658567762582208"/>
    <n v="-0.56882208771511522"/>
    <n v="0.78321465148543512"/>
    <x v="0"/>
    <x v="1"/>
    <x v="0"/>
    <x v="0"/>
    <x v="0"/>
    <x v="1"/>
  </r>
  <r>
    <x v="1"/>
    <s v="OBDC"/>
    <n v="7487"/>
    <n v="14.7"/>
    <n v="-0.59"/>
    <n v="15.14"/>
    <n v="1.57"/>
    <n v="-24.915254237288135"/>
    <n v="0.97093791281373831"/>
    <n v="9.52"/>
    <n v="4.9800000000000004"/>
    <n v="2.37"/>
    <n v="9.3630573248407636"/>
    <s v="NO"/>
    <n v="-5.8002731724033021"/>
    <n v="-0.92920410600927184"/>
    <n v="-0.43183323920236927"/>
    <n v="-0.36704637770450677"/>
    <n v="-0.11509324080746654"/>
    <n v="-1.0067411929266783"/>
    <x v="0"/>
    <x v="1"/>
    <x v="0"/>
    <x v="0"/>
    <x v="0"/>
    <x v="1"/>
  </r>
  <r>
    <x v="1"/>
    <s v="GBDC"/>
    <n v="4052"/>
    <n v="15.23"/>
    <n v="-0.6"/>
    <n v="15.04"/>
    <n v="1.18"/>
    <n v="-25.383333333333336"/>
    <n v="1.0126329787234043"/>
    <n v="8.8800000000000008"/>
    <n v="5.74"/>
    <n v="2.21"/>
    <n v="12.90677966101695"/>
    <s v="NO"/>
    <n v="-5.8759558383333372"/>
    <n v="-0.91483350925898765"/>
    <n v="-0.46845976157318731"/>
    <n v="-0.23183011517764099"/>
    <n v="-0.21454065930777316"/>
    <n v="-0.60512129589561903"/>
    <x v="0"/>
    <x v="1"/>
    <x v="0"/>
    <x v="0"/>
    <x v="0"/>
    <x v="1"/>
  </r>
  <r>
    <x v="1"/>
    <s v="HTGC"/>
    <n v="3093"/>
    <n v="18.07"/>
    <n v="-0.61"/>
    <n v="11.71"/>
    <n v="1.33"/>
    <n v="-29.622950819672131"/>
    <n v="1.543125533731853"/>
    <n v="11.44"/>
    <n v="6.67"/>
    <n v="2.02"/>
    <n v="13.586466165413533"/>
    <s v="NO"/>
    <n v="-6.5614501417549258"/>
    <n v="-0.73199425908077798"/>
    <n v="-0.32195367208991482"/>
    <n v="-6.6368109717134208E-2"/>
    <n v="-0.33263446877688713"/>
    <n v="-0.52809053614266732"/>
    <x v="0"/>
    <x v="1"/>
    <x v="0"/>
    <x v="0"/>
    <x v="0"/>
    <x v="1"/>
  </r>
  <r>
    <x v="1"/>
    <s v="BXSL"/>
    <n v="7269"/>
    <n v="31.94"/>
    <n v="-8.11"/>
    <n v="27.39"/>
    <n v="3.14"/>
    <n v="-3.9383477188655984"/>
    <n v="1.1661190215407082"/>
    <n v="11.58"/>
    <n v="5.56"/>
    <n v="2.2400000000000002"/>
    <n v="10.171974522292993"/>
    <s v="NO"/>
    <n v="-2.4085639042628033"/>
    <n v="-0.86193310054149008"/>
    <n v="-0.31394162032129835"/>
    <n v="-0.26385501946031986"/>
    <n v="-0.19589426833896553"/>
    <n v="-0.91506435971914979"/>
    <x v="1"/>
    <x v="1"/>
    <x v="0"/>
    <x v="0"/>
    <x v="0"/>
    <x v="1"/>
  </r>
  <r>
    <x v="2"/>
    <s v="CACC"/>
    <n v="5538"/>
    <n v="506.71"/>
    <n v="95.89"/>
    <n v="145.63999999999999"/>
    <n v="23.43"/>
    <n v="5.2842840755031801"/>
    <n v="3.4791952760230709"/>
    <n v="17.239999999999998"/>
    <n v="3.34"/>
    <n v="5.41"/>
    <n v="21.626547161758428"/>
    <s v="NO"/>
    <n v="-0.15017357867210157"/>
    <n v="1.6151861928227182"/>
    <n v="0.33542275360220075"/>
    <n v="-0.5465439991222697"/>
    <n v="0.78774474516899129"/>
    <n v="1.3043889565179929"/>
    <x v="1"/>
    <x v="1"/>
    <x v="0"/>
    <x v="0"/>
    <x v="0"/>
    <x v="1"/>
  </r>
  <r>
    <x v="2"/>
    <s v="ENVA"/>
    <n v="2351"/>
    <n v="97.08"/>
    <n v="58.43"/>
    <n v="46.82"/>
    <n v="8.48"/>
    <n v="1.6614752695533117"/>
    <n v="2.0734728748398119"/>
    <n v="19.940000000000001"/>
    <n v="4.6399999999999997"/>
    <n v="4.5599999999999996"/>
    <n v="11.44811320754717"/>
    <s v="NO"/>
    <n v="-0.80341079474420329"/>
    <n v="0.22431471308176579"/>
    <n v="0.56544020412137375"/>
    <n v="-0.3121820863595593"/>
    <n v="0.37420916098351964"/>
    <n v="-2.8027153142780439E-2"/>
    <x v="1"/>
    <x v="1"/>
    <x v="0"/>
    <x v="0"/>
    <x v="0"/>
    <x v="1"/>
  </r>
  <r>
    <x v="2"/>
    <s v="BFH"/>
    <n v="2383"/>
    <n v="51.21"/>
    <n v="36.479999999999997"/>
    <n v="64.45"/>
    <n v="5.67"/>
    <n v="1.4037828947368423"/>
    <n v="0.79456943366951127"/>
    <n v="9.3800000000000008"/>
    <n v="1.28"/>
    <n v="7.3"/>
    <n v="9.0317460317460316"/>
    <s v="NO"/>
    <n v="-0.84987591574414612"/>
    <n v="-1.0410776006275735"/>
    <n v="-0.334183602353613"/>
    <n v="-0.91791749165394931"/>
    <n v="1.7072532794166864"/>
    <n v="-0.34434364803547979"/>
    <x v="1"/>
    <x v="1"/>
    <x v="0"/>
    <x v="0"/>
    <x v="0"/>
    <x v="1"/>
  </r>
  <r>
    <x v="2"/>
    <s v="OMF"/>
    <n v="6167"/>
    <n v="52.87"/>
    <n v="23.47"/>
    <n v="27.5"/>
    <n v="4.7300000000000004"/>
    <n v="2.2526629740093735"/>
    <n v="1.9225454545454546"/>
    <n v="17.46"/>
    <n v="2.27"/>
    <n v="7.94"/>
    <n v="11.177589852008454"/>
    <s v="NO"/>
    <n v="-0.69681234284669014"/>
    <n v="7.4981783463800022E-2"/>
    <n v="0.35416491623709651"/>
    <n v="-0.73944188116542364"/>
    <n v="2.0186212486857475"/>
    <n v="-6.3440231282383644E-2"/>
    <x v="1"/>
    <x v="1"/>
    <x v="0"/>
    <x v="0"/>
    <x v="0"/>
    <x v="1"/>
  </r>
  <r>
    <x v="2"/>
    <s v="NNI"/>
    <n v="4224"/>
    <n v="114.76"/>
    <n v="14.85"/>
    <n v="94.06"/>
    <n v="5.3"/>
    <n v="7.7279461279461286"/>
    <n v="1.2200722942802467"/>
    <n v="5.63"/>
    <n v="1.26"/>
    <n v="4.1500000000000004"/>
    <n v="21.652830188679246"/>
    <s v="NO"/>
    <n v="0.29044890009001917"/>
    <n v="-0.62007001557841956"/>
    <n v="-0.65365228363024186"/>
    <n v="-0.92152305954260649"/>
    <n v="0.17473905567052792"/>
    <n v="1.3078295573645955"/>
    <x v="1"/>
    <x v="1"/>
    <x v="0"/>
    <x v="0"/>
    <x v="0"/>
    <x v="1"/>
  </r>
  <r>
    <x v="2"/>
    <s v="DAVE"/>
    <n v="2679"/>
    <n v="224.72"/>
    <n v="11.35"/>
    <n v="17.010000000000002"/>
    <n v="3.7"/>
    <n v="19.79911894273128"/>
    <n v="13.211052322163432"/>
    <n v="32.1"/>
    <n v="14.59"/>
    <n v="1.58"/>
    <n v="60.735135135135131"/>
    <s v="NO"/>
    <n v="2.4670305930861036"/>
    <n v="11.244229878118626"/>
    <n v="1.6013706479410554"/>
    <n v="1.48158793824734"/>
    <n v="-1.0755979459255445"/>
    <n v="6.4239302215328324"/>
    <x v="1"/>
    <x v="0"/>
    <x v="1"/>
    <x v="0"/>
    <x v="0"/>
    <x v="0"/>
  </r>
  <r>
    <x v="2"/>
    <s v="FCFS"/>
    <n v="5675"/>
    <n v="131.07"/>
    <n v="10.92"/>
    <n v="46.4"/>
    <n v="6.25"/>
    <n v="12.002747252747252"/>
    <n v="2.8247844827586208"/>
    <n v="13.7"/>
    <n v="6.94"/>
    <n v="2.15"/>
    <n v="20.9712"/>
    <s v="NO"/>
    <n v="1.0612483917553865"/>
    <n v="0.96768900019064574"/>
    <n v="3.3844318477063248E-2"/>
    <n v="0.10245822083600548"/>
    <n v="-0.79828584829528726"/>
    <n v="1.2186002075144082"/>
    <x v="1"/>
    <x v="1"/>
    <x v="0"/>
    <x v="0"/>
    <x v="0"/>
    <x v="1"/>
  </r>
  <r>
    <x v="2"/>
    <s v="QFIN"/>
    <n v="5527"/>
    <n v="42.69"/>
    <n v="9.5299999999999994"/>
    <n v="23.63"/>
    <n v="6.44"/>
    <n v="4.4795383001049318"/>
    <n v="1.8066017774016081"/>
    <n v="30.42"/>
    <n v="10.26"/>
    <n v="2.41"/>
    <n v="6.628881987577639"/>
    <s v="YES"/>
    <n v="-0.29527919095381439"/>
    <n v="-3.9736992917601424E-2"/>
    <n v="1.4582486787291258"/>
    <n v="0.70098249035308124"/>
    <n v="-0.67179261077973129"/>
    <n v="-0.65889250458624182"/>
    <x v="1"/>
    <x v="1"/>
    <x v="0"/>
    <x v="0"/>
    <x v="0"/>
    <x v="1"/>
  </r>
  <r>
    <x v="2"/>
    <s v="LU"/>
    <n v="2539"/>
    <n v="2.88"/>
    <n v="1.98"/>
    <n v="15.42"/>
    <n v="-0.77"/>
    <n v="1.4545454545454546"/>
    <n v="0.1867704280155642"/>
    <n v="-3.45"/>
    <n v="3.1"/>
    <n v="2.44"/>
    <n v="-3.7402597402597402"/>
    <s v="NO"/>
    <n v="-0.84072279863909438"/>
    <n v="-1.6424554414213171"/>
    <n v="-1.4271924505613858"/>
    <n v="-0.58981081378615474"/>
    <n v="-0.65719723722024415"/>
    <n v="-2.016273369233891"/>
    <x v="1"/>
    <x v="1"/>
    <x v="0"/>
    <x v="0"/>
    <x v="0"/>
    <x v="1"/>
  </r>
  <r>
    <x v="2"/>
    <s v="FINV"/>
    <n v="2119"/>
    <n v="8.73"/>
    <n v="1.71"/>
    <n v="8.41"/>
    <n v="1.37"/>
    <n v="5.1052631578947372"/>
    <n v="1.0380499405469679"/>
    <n v="17.510000000000002"/>
    <n v="19.66"/>
    <n v="1.58"/>
    <n v="6.3722627737226274"/>
    <s v="YES"/>
    <n v="-0.18245326333146106"/>
    <n v="-0.80016937251392295"/>
    <n v="0.3584244986541183"/>
    <n v="2.3955993980219108"/>
    <n v="-1.0755979459255445"/>
    <n v="-0.69248544983961569"/>
    <x v="1"/>
    <x v="1"/>
    <x v="1"/>
    <x v="0"/>
    <x v="0"/>
    <x v="1"/>
  </r>
  <r>
    <x v="2"/>
    <s v="UPST"/>
    <n v="4488"/>
    <n v="57.42"/>
    <n v="1.25"/>
    <n v="7.12"/>
    <n v="-0.74"/>
    <n v="45.936"/>
    <n v="8.0646067415730336"/>
    <n v="-10.3"/>
    <n v="-2.16"/>
    <n v="3.39"/>
    <n v="-77.594594594594597"/>
    <s v="NO"/>
    <n v="7.179833374899296"/>
    <n v="6.1521545337570291"/>
    <n v="-2.010755241693361"/>
    <n v="-1.5380751685029677"/>
    <n v="-0.19501040783648191"/>
    <n v="-11.684234665724166"/>
    <x v="0"/>
    <x v="0"/>
    <x v="0"/>
    <x v="1"/>
    <x v="0"/>
    <x v="0"/>
  </r>
  <r>
    <x v="2"/>
    <s v="KGTHY"/>
    <n v="3269"/>
    <n v="11.935"/>
    <n v="0.06"/>
    <n v="0.45"/>
    <n v="0.08"/>
    <n v="198.91666666666669"/>
    <n v="26.522222222222222"/>
    <n v="18.71"/>
    <n v="6.94"/>
    <n v="2.58"/>
    <n v="149.1875"/>
    <s v="NO"/>
    <n v="34.76413885689562"/>
    <n v="24.414772341121161"/>
    <n v="0.46065447666263948"/>
    <n v="0.10245822083600548"/>
    <n v="-0.58908549394263698"/>
    <n v="18.002858415567697"/>
    <x v="0"/>
    <x v="0"/>
    <x v="0"/>
    <x v="0"/>
    <x v="0"/>
    <x v="0"/>
  </r>
  <r>
    <x v="2"/>
    <s v="SLM"/>
    <n v="6793"/>
    <n v="31.84"/>
    <n v="-1.95"/>
    <n v="10.199999999999999"/>
    <n v="2.78"/>
    <n v="-16.328205128205127"/>
    <n v="3.1215686274509804"/>
    <n v="27.6"/>
    <n v="2.1800000000000002"/>
    <n v="13.44"/>
    <n v="11.453237410071944"/>
    <s v="NO"/>
    <n v="-4.047172574763791"/>
    <n v="1.2613377334999054"/>
    <n v="1.2180082304091009"/>
    <n v="-0.75566693666438045"/>
    <n v="4.6944397345917377"/>
    <n v="-2.7356365276602984E-2"/>
    <x v="0"/>
    <x v="1"/>
    <x v="0"/>
    <x v="0"/>
    <x v="1"/>
    <x v="1"/>
  </r>
  <r>
    <x v="3"/>
    <s v="JXN"/>
    <n v="5852"/>
    <n v="83.03"/>
    <n v="79"/>
    <n v="135.9"/>
    <n v="1.0900000000000001"/>
    <n v="1.0510126582278481"/>
    <n v="0.61096394407652688"/>
    <n v="1.49"/>
    <n v="0.27"/>
    <n v="33.5"/>
    <n v="76.174311926605498"/>
    <s v="NO"/>
    <n v="-0.52001330398170476"/>
    <n v="-1.0261623775388757"/>
    <n v="-0.60825839819004734"/>
    <n v="-1.2026283079558149"/>
    <n v="12.61125737133232"/>
    <n v="6.2023079669229366"/>
    <x v="1"/>
    <x v="1"/>
    <x v="0"/>
    <x v="0"/>
    <x v="1"/>
    <x v="0"/>
  </r>
  <r>
    <x v="3"/>
    <s v="AGM"/>
    <n v="2038"/>
    <n v="191.34"/>
    <n v="27.73"/>
    <n v="101.94"/>
    <n v="16.170000000000002"/>
    <n v="6.9001081860800575"/>
    <n v="1.8769864626250736"/>
    <n v="13.51"/>
    <n v="0.66"/>
    <n v="28.54"/>
    <n v="11.833024118738404"/>
    <s v="NO"/>
    <n v="4.5149775941208475E-2"/>
    <n v="-0.37070813825700777"/>
    <n v="-0.13966837525920808"/>
    <n v="-1.08401991221872"/>
    <n v="10.528490214980488"/>
    <n v="-0.48731072838670658"/>
    <x v="1"/>
    <x v="1"/>
    <x v="0"/>
    <x v="0"/>
    <x v="1"/>
    <x v="1"/>
  </r>
  <r>
    <x v="3"/>
    <s v="EEFT"/>
    <n v="4683"/>
    <n v="111.08"/>
    <n v="13.25"/>
    <n v="30.11"/>
    <n v="6.8"/>
    <n v="8.3833962264150941"/>
    <n v="3.6891398206575889"/>
    <n v="25.03"/>
    <n v="5.52"/>
    <n v="4.6500000000000004"/>
    <n v="16.335294117647059"/>
    <s v="NO"/>
    <n v="0.18847101822503826"/>
    <n v="0.56749286792496734"/>
    <n v="0.30942955021194574"/>
    <n v="0.39402317312046148"/>
    <n v="0.49677502037459148"/>
    <n v="-1.9205867850352169E-2"/>
    <x v="1"/>
    <x v="1"/>
    <x v="0"/>
    <x v="0"/>
    <x v="0"/>
    <x v="1"/>
  </r>
  <r>
    <x v="3"/>
    <s v="VOYA"/>
    <n v="6405"/>
    <n v="68"/>
    <n v="9.16"/>
    <n v="45.53"/>
    <n v="5.32"/>
    <n v="7.4235807860262009"/>
    <n v="1.4935207555457939"/>
    <n v="9.89"/>
    <n v="0.38"/>
    <n v="37.409999999999997"/>
    <n v="12.781954887218044"/>
    <s v="NO"/>
    <n v="9.5729799028889645E-2"/>
    <n v="-0.56923874860704393"/>
    <n v="-0.28079116086733102"/>
    <n v="-1.1691746578761215"/>
    <n v="14.253116157891927"/>
    <n v="-0.38864958519771731"/>
    <x v="1"/>
    <x v="1"/>
    <x v="0"/>
    <x v="0"/>
    <x v="1"/>
    <x v="1"/>
  </r>
  <r>
    <x v="3"/>
    <s v="ESNT"/>
    <n v="5881"/>
    <n v="57.52"/>
    <n v="8.15"/>
    <n v="55.22"/>
    <n v="6.84"/>
    <n v="7.0576687116564418"/>
    <n v="1.0416515755161175"/>
    <n v="13.29"/>
    <n v="8.0299999999999994"/>
    <n v="1.27"/>
    <n v="8.4093567251461998"/>
    <s v="NO"/>
    <n v="6.037390614817751E-2"/>
    <n v="-0.80318369453962746"/>
    <n v="-0.14824489814146974"/>
    <n v="1.1573746431207383"/>
    <n v="-0.92253001762322917"/>
    <n v="-0.84327235400863054"/>
    <x v="1"/>
    <x v="1"/>
    <x v="0"/>
    <x v="0"/>
    <x v="0"/>
    <x v="1"/>
  </r>
  <r>
    <x v="3"/>
    <s v="NMIH"/>
    <n v="3103"/>
    <n v="39.25"/>
    <n v="4.75"/>
    <n v="29.65"/>
    <n v="4.63"/>
    <n v="8.2631578947368425"/>
    <n v="1.3237774030354132"/>
    <n v="17.38"/>
    <n v="9.98"/>
    <n v="1.49"/>
    <n v="8.477321814254859"/>
    <s v="NO"/>
    <n v="0.17685310815116631"/>
    <n v="-0.65711949192936669"/>
    <n v="1.1200459078757601E-2"/>
    <n v="1.7504166218062127"/>
    <n v="-0.8301492163334302"/>
    <n v="-0.83620596559428362"/>
    <x v="1"/>
    <x v="1"/>
    <x v="0"/>
    <x v="0"/>
    <x v="0"/>
    <x v="1"/>
  </r>
  <r>
    <x v="3"/>
    <s v="ACT"/>
    <n v="5312"/>
    <n v="34.25"/>
    <n v="4.7"/>
    <n v="33.96"/>
    <n v="4.4400000000000004"/>
    <n v="7.287234042553191"/>
    <n v="1.0085394581861014"/>
    <n v="14.09"/>
    <n v="9.11"/>
    <n v="1.31"/>
    <n v="7.7139639639639634"/>
    <s v="NO"/>
    <n v="8.2555429570957156E-2"/>
    <n v="-0.82032673690860525"/>
    <n v="-0.11705754220597292"/>
    <n v="1.485828662085001"/>
    <n v="-0.90573350829781107"/>
    <n v="-0.91557293384282668"/>
    <x v="1"/>
    <x v="1"/>
    <x v="0"/>
    <x v="0"/>
    <x v="0"/>
    <x v="1"/>
  </r>
  <r>
    <x v="3"/>
    <s v="FOUR"/>
    <n v="6523"/>
    <n v="95.61"/>
    <n v="4.12"/>
    <n v="11.7"/>
    <n v="2.82"/>
    <n v="23.206310679611651"/>
    <n v="8.171794871794873"/>
    <n v="29.87"/>
    <n v="4.16"/>
    <n v="6.21"/>
    <n v="33.904255319148938"/>
    <s v="NO"/>
    <n v="1.6207204909702035"/>
    <n v="2.8882851235593563"/>
    <n v="0.49811305362170133"/>
    <n v="-1.9585591501202329E-2"/>
    <n v="1.1518388840658931"/>
    <n v="1.8074540470350664"/>
    <x v="1"/>
    <x v="1"/>
    <x v="0"/>
    <x v="0"/>
    <x v="0"/>
    <x v="1"/>
  </r>
  <r>
    <x v="3"/>
    <s v="MTG"/>
    <n v="6280"/>
    <n v="26.05"/>
    <n v="2.97"/>
    <n v="21.4"/>
    <n v="3"/>
    <n v="8.7710437710437699"/>
    <n v="1.2172897196261683"/>
    <n v="15.12"/>
    <n v="9.75"/>
    <n v="1.27"/>
    <n v="8.6833333333333336"/>
    <s v="NO"/>
    <n v="0.22592707945769608"/>
    <n v="-0.71225105752104034"/>
    <n v="-7.6903821439020817E-2"/>
    <n v="1.6804680807304901"/>
    <n v="-0.92253001762322917"/>
    <n v="-0.81478677184746529"/>
    <x v="1"/>
    <x v="1"/>
    <x v="0"/>
    <x v="0"/>
    <x v="0"/>
    <x v="1"/>
  </r>
  <r>
    <x v="3"/>
    <s v="EVTC"/>
    <n v="2305"/>
    <n v="37.020000000000003"/>
    <n v="2.63"/>
    <n v="8.4700000000000006"/>
    <n v="2"/>
    <n v="14.076045627376427"/>
    <n v="4.3707201889020073"/>
    <n v="23.13"/>
    <n v="5.82"/>
    <n v="3.54"/>
    <n v="18.510000000000002"/>
    <s v="NO"/>
    <n v="0.73851764561360123"/>
    <n v="0.92036553427317647"/>
    <n v="0.23535957986514078"/>
    <n v="0.48526040061053466"/>
    <n v="3.0671886594242009E-2"/>
    <n v="0.20690016177762952"/>
    <x v="1"/>
    <x v="1"/>
    <x v="0"/>
    <x v="0"/>
    <x v="0"/>
    <x v="1"/>
  </r>
  <r>
    <x v="3"/>
    <s v="RELY"/>
    <n v="4354"/>
    <n v="20.309999999999999"/>
    <n v="1.79"/>
    <n v="3.55"/>
    <n v="-0.03"/>
    <n v="11.346368715083798"/>
    <n v="5.7211267605633802"/>
    <n v="-0.71"/>
    <n v="-0.36"/>
    <n v="1.52"/>
    <n v="-677"/>
    <s v="NO"/>
    <n v="0.47476530927378857"/>
    <n v="1.6195076894730007"/>
    <n v="-0.69402362701266351"/>
    <n v="-1.3942264856849682"/>
    <n v="-0.81755183433936662"/>
    <n v="-72.105869092522539"/>
    <x v="1"/>
    <x v="1"/>
    <x v="0"/>
    <x v="0"/>
    <x v="0"/>
    <x v="0"/>
  </r>
  <r>
    <x v="3"/>
    <s v="SEZL"/>
    <n v="3552"/>
    <n v="132.16"/>
    <n v="1.77"/>
    <n v="3.7"/>
    <n v="2.97"/>
    <n v="74.666666666666657"/>
    <n v="35.718918918918916"/>
    <n v="137.32"/>
    <n v="45.83"/>
    <n v="2.37"/>
    <n v="44.498316498316491"/>
    <s v="NO"/>
    <n v="6.5930265757458457"/>
    <n v="17.150179341216255"/>
    <n v="4.6869647977081135"/>
    <n v="12.653265306869928"/>
    <n v="-0.4606260111742343"/>
    <n v="2.9089276441294034"/>
    <x v="0"/>
    <x v="0"/>
    <x v="1"/>
    <x v="1"/>
    <x v="0"/>
    <x v="1"/>
  </r>
  <r>
    <x v="3"/>
    <s v="BUR"/>
    <n v="2812"/>
    <n v="13.24"/>
    <n v="1.45"/>
    <n v="11.15"/>
    <n v="0.93"/>
    <n v="9.1310344827586203"/>
    <n v="1.1874439461883408"/>
    <n v="9.0299999999999994"/>
    <n v="4.72"/>
    <n v="2.54"/>
    <n v="14.236559139784946"/>
    <s v="NO"/>
    <n v="0.26071082651869076"/>
    <n v="-0.72770302495278716"/>
    <n v="-0.31431756849799014"/>
    <n v="0.15072389981360038"/>
    <n v="-0.38924084654120783"/>
    <n v="-0.23741313759495938"/>
    <x v="1"/>
    <x v="1"/>
    <x v="0"/>
    <x v="0"/>
    <x v="0"/>
    <x v="1"/>
  </r>
  <r>
    <x v="3"/>
    <s v="WU"/>
    <n v="3067"/>
    <n v="9.2799999999999994"/>
    <n v="1.01"/>
    <n v="2.83"/>
    <n v="2.7"/>
    <n v="9.1881188118811874"/>
    <n v="3.2791519434628973"/>
    <n v="136.84"/>
    <n v="5.66"/>
    <n v="8.8800000000000008"/>
    <n v="3.4370370370370367"/>
    <s v="NO"/>
    <n v="0.26622654345451757"/>
    <n v="0.35523100984244077"/>
    <n v="4.6682523841468155"/>
    <n v="0.43660054594916237"/>
    <n v="2.2730058815375442"/>
    <n v="-1.3602486825515008"/>
    <x v="1"/>
    <x v="1"/>
    <x v="0"/>
    <x v="1"/>
    <x v="0"/>
    <x v="1"/>
  </r>
  <r>
    <x v="3"/>
    <s v="PAY"/>
    <n v="4779"/>
    <n v="36.18"/>
    <n v="0.53"/>
    <n v="4"/>
    <n v="0.4"/>
    <n v="68.264150943396217"/>
    <n v="9.0449999999999999"/>
    <n v="10.8"/>
    <n v="5.91"/>
    <n v="1.18"/>
    <n v="90.449999999999989"/>
    <s v="NO"/>
    <n v="5.9743898158933186"/>
    <n v="3.3403671321012682"/>
    <n v="-0.24531554349070342"/>
    <n v="0.51263156885755645"/>
    <n v="-0.96032216360541955"/>
    <n v="7.6865634594359706"/>
    <x v="0"/>
    <x v="0"/>
    <x v="0"/>
    <x v="0"/>
    <x v="0"/>
    <x v="0"/>
  </r>
  <r>
    <x v="3"/>
    <s v="PAYO"/>
    <n v="2463"/>
    <n v="6.98"/>
    <n v="0.35"/>
    <n v="2.0699999999999998"/>
    <n v="0.28000000000000003"/>
    <n v="19.942857142857147"/>
    <n v="3.3719806763285027"/>
    <n v="15.97"/>
    <n v="1.32"/>
    <n v="10.06"/>
    <n v="24.928571428571427"/>
    <s v="NO"/>
    <n v="1.3053925153481747"/>
    <n v="0.40329096580095086"/>
    <n v="-4.3767255757555426E-2"/>
    <n v="-0.88329801174055944"/>
    <n v="2.7685029066373747"/>
    <n v="0.87424452009962239"/>
    <x v="1"/>
    <x v="1"/>
    <x v="0"/>
    <x v="0"/>
    <x v="0"/>
    <x v="1"/>
  </r>
  <r>
    <x v="3"/>
    <s v="AVDX"/>
    <n v="2021"/>
    <n v="9.7899999999999991"/>
    <n v="0.32"/>
    <n v="3.29"/>
    <n v="0.01"/>
    <n v="30.593749999999996"/>
    <n v="2.9756838905775074"/>
    <n v="0.27"/>
    <n v="-0.15"/>
    <n v="2.93"/>
    <n v="978.99999999999989"/>
    <s v="NO"/>
    <n v="2.3345245208707737"/>
    <n v="0.19811735756839904"/>
    <n v="-0.65581911599167997"/>
    <n v="-1.3303604264419171"/>
    <n v="-0.22547488061838233"/>
    <n v="100.06986653330752"/>
    <x v="1"/>
    <x v="1"/>
    <x v="0"/>
    <x v="0"/>
    <x v="0"/>
    <x v="0"/>
  </r>
  <r>
    <x v="3"/>
    <s v="MQ"/>
    <n v="2519"/>
    <n v="5.41"/>
    <n v="0.09"/>
    <n v="2.0499999999999998"/>
    <n v="0.11"/>
    <n v="60.111111111111114"/>
    <n v="2.6390243902439026"/>
    <n v="5.01"/>
    <n v="0.28999999999999998"/>
    <n v="1.37"/>
    <n v="49.18181818181818"/>
    <s v="NO"/>
    <n v="5.1866103924923763"/>
    <n v="2.3819591568816523E-2"/>
    <n v="-0.47103403207386146"/>
    <n v="-1.1965458261231432"/>
    <n v="-0.88053874430968415"/>
    <n v="3.3958753178381693"/>
    <x v="0"/>
    <x v="1"/>
    <x v="0"/>
    <x v="0"/>
    <x v="0"/>
    <x v="0"/>
  </r>
  <r>
    <x v="3"/>
    <s v="DLO"/>
    <n v="3101"/>
    <n v="10.56"/>
    <n v="-0.01"/>
    <n v="1.91"/>
    <n v="0.48"/>
    <n v="-1056"/>
    <n v="5.5287958115183251"/>
    <n v="29.24"/>
    <n v="8.31"/>
    <n v="2.2799999999999998"/>
    <n v="22.000000000000004"/>
    <s v="NO"/>
    <n v="-102.65652365927185"/>
    <n v="1.5199327340123232"/>
    <n v="0.47355301082249751"/>
    <n v="1.2425293887781401"/>
    <n v="-0.4984181571564249"/>
    <n v="0.56975844519196961"/>
    <x v="0"/>
    <x v="1"/>
    <x v="0"/>
    <x v="0"/>
    <x v="0"/>
    <x v="1"/>
  </r>
  <r>
    <x v="3"/>
    <s v="WEX"/>
    <n v="4552"/>
    <n v="139"/>
    <n v="-0.31"/>
    <n v="23.7"/>
    <n v="7.78"/>
    <n v="-448.38709677419354"/>
    <n v="5.8649789029535864"/>
    <n v="24.36"/>
    <n v="3.04"/>
    <n v="17.23"/>
    <n v="17.866323907455012"/>
    <s v="NO"/>
    <n v="-43.946526848175722"/>
    <n v="1.6939838501873759"/>
    <n v="0.28331013961596713"/>
    <n v="-0.36020457413080803"/>
    <n v="5.77927720321855"/>
    <n v="0.13997660819146196"/>
    <x v="0"/>
    <x v="1"/>
    <x v="0"/>
    <x v="0"/>
    <x v="1"/>
    <x v="1"/>
  </r>
  <r>
    <x v="3"/>
    <s v="HASI"/>
    <n v="3042"/>
    <n v="25.97"/>
    <n v="-0.45"/>
    <n v="19.91"/>
    <n v="1.08"/>
    <n v="-57.711111111111109"/>
    <n v="1.3043696634856856"/>
    <n v="5.79"/>
    <n v="1.93"/>
    <n v="3.12"/>
    <n v="24.046296296296294"/>
    <s v="NO"/>
    <n v="-6.1978454908815195"/>
    <n v="-0.66716740575109823"/>
    <n v="-0.44062636003675215"/>
    <n v="-0.69778231584407802"/>
    <n v="-0.1456914613226469"/>
    <n v="0.782513620387154"/>
    <x v="0"/>
    <x v="1"/>
    <x v="0"/>
    <x v="0"/>
    <x v="0"/>
    <x v="1"/>
  </r>
  <r>
    <x v="3"/>
    <s v="STNE"/>
    <n v="3707"/>
    <n v="13.25"/>
    <n v="-1.21"/>
    <n v="7.37"/>
    <n v="-0.82"/>
    <n v="-10.950413223140496"/>
    <n v="1.7978290366350067"/>
    <n v="-10.3"/>
    <n v="7.13"/>
    <n v="4.72"/>
    <n v="-16.158536585365855"/>
    <s v="NO"/>
    <n v="-1.6796392294401887"/>
    <n v="-0.41169008737376872"/>
    <n v="-1.0678820562894313"/>
    <n v="0.88366296065051975"/>
    <n v="0.52616891169407265"/>
    <n v="-3.3976172232805646"/>
    <x v="1"/>
    <x v="1"/>
    <x v="0"/>
    <x v="0"/>
    <x v="0"/>
    <x v="0"/>
  </r>
  <r>
    <x v="3"/>
    <s v="PAGS"/>
    <n v="2661"/>
    <n v="8.51"/>
    <n v="-3.94"/>
    <n v="8.69"/>
    <n v="1.2"/>
    <n v="-2.1598984771573604"/>
    <n v="0.97928653624856155"/>
    <n v="15.04"/>
    <n v="6.12"/>
    <n v="4.63"/>
    <n v="7.0916666666666668"/>
    <s v="NO"/>
    <n v="-0.83026442195232164"/>
    <n v="-0.83547176901855869"/>
    <n v="-8.002255703257051E-2"/>
    <n v="0.57649762810060756"/>
    <n v="0.48837676571188227"/>
    <n v="-0.98027371581150291"/>
    <x v="1"/>
    <x v="1"/>
    <x v="0"/>
    <x v="0"/>
    <x v="0"/>
    <x v="1"/>
  </r>
  <r>
    <x v="3"/>
    <s v="RDN"/>
    <n v="4588"/>
    <n v="33.409999999999997"/>
    <n v="-4.32"/>
    <n v="32.479999999999997"/>
    <n v="3.92"/>
    <n v="-7.7337962962962949"/>
    <n v="1.0286330049261083"/>
    <n v="13.22"/>
    <n v="6.73"/>
    <n v="1.91"/>
    <n v="8.5229591836734695"/>
    <s v="NO"/>
    <n v="-1.3688367950038027"/>
    <n v="-0.80992376207996997"/>
    <n v="-0.15097379178582565"/>
    <n v="0.76201332399708932"/>
    <n v="-0.65378586841654129"/>
    <n v="-0.83146100928288447"/>
    <x v="1"/>
    <x v="1"/>
    <x v="0"/>
    <x v="0"/>
    <x v="0"/>
    <x v="1"/>
  </r>
  <r>
    <x v="3"/>
    <s v="WD"/>
    <n v="2327"/>
    <n v="69.78"/>
    <n v="-6.13"/>
    <n v="51.95"/>
    <n v="2.92"/>
    <n v="-11.383360522022839"/>
    <n v="1.3432146294513956"/>
    <n v="5.34"/>
    <n v="2.23"/>
    <n v="2.6"/>
    <n v="23.897260273972602"/>
    <s v="NO"/>
    <n v="-1.7214723346981737"/>
    <n v="-0.64705631195619895"/>
    <n v="-0.45816924775046908"/>
    <n v="-0.606545088354005"/>
    <n v="-0.3640460825530808"/>
    <n v="0.76701821774323542"/>
    <x v="1"/>
    <x v="1"/>
    <x v="0"/>
    <x v="0"/>
    <x v="0"/>
    <x v="1"/>
  </r>
  <r>
    <x v="3"/>
    <s v="COOP"/>
    <n v="8288"/>
    <n v="132.18"/>
    <n v="-38.770000000000003"/>
    <n v="76.430000000000007"/>
    <n v="8.81"/>
    <n v="-3.4093371163270567"/>
    <n v="1.7294256182127437"/>
    <n v="12.39"/>
    <n v="3.11"/>
    <n v="3.77"/>
    <n v="15.003405221339387"/>
    <s v="NO"/>
    <n v="-0.95099019675380325"/>
    <n v="-0.44710439472562052"/>
    <n v="-0.18333067356890356"/>
    <n v="-0.3389158877164577"/>
    <n v="0.12725181521539547"/>
    <n v="-0.15768349496004325"/>
    <x v="1"/>
    <x v="1"/>
    <x v="0"/>
    <x v="0"/>
    <x v="0"/>
    <x v="1"/>
  </r>
  <r>
    <x v="3"/>
    <s v="PFSI"/>
    <n v="4960"/>
    <n v="95.98"/>
    <n v="-50.64"/>
    <n v="75.569999999999993"/>
    <n v="6.51"/>
    <n v="-1.8953396524486572"/>
    <n v="1.2700807198623794"/>
    <n v="9.32"/>
    <n v="1.6"/>
    <n v="6.12"/>
    <n v="14.743471582181261"/>
    <s v="NO"/>
    <n v="-0.80470168674288989"/>
    <n v="-0.68491972305123583"/>
    <n v="-0.30301215197137249"/>
    <n v="-0.79814326608315811"/>
    <n v="1.1140467380837027"/>
    <n v="-0.18470901762667935"/>
    <x v="1"/>
    <x v="1"/>
    <x v="0"/>
    <x v="0"/>
    <x v="0"/>
    <x v="1"/>
  </r>
  <r>
    <x v="4"/>
    <s v="WTM"/>
    <n v="4594"/>
    <n v="1787.1"/>
    <n v="201.25"/>
    <n v="1774.85"/>
    <n v="10.73"/>
    <n v="8.879999999999999"/>
    <n v="1.0069019917176099"/>
    <n v="2.4900000000000002"/>
    <n v="2.46"/>
    <n v="2.44"/>
    <n v="166.55172413793102"/>
    <s v="NO"/>
    <n v="0.15304183802781934"/>
    <n v="-0.71239778345396709"/>
    <n v="-1.3319842225806942"/>
    <n v="3.5592288681369932E-2"/>
    <n v="-1.1113210477341058"/>
    <n v="16.689776645852305"/>
    <x v="1"/>
    <x v="1"/>
    <x v="0"/>
    <x v="0"/>
    <x v="0"/>
    <x v="0"/>
  </r>
  <r>
    <x v="4"/>
    <s v="ELFIF"/>
    <n v="4187"/>
    <n v="11.63"/>
    <n v="83.37"/>
    <n v="1550.15"/>
    <n v="210.52"/>
    <n v="0.13949862060693294"/>
    <n v="7.5024997580879268E-3"/>
    <n v="13.37"/>
    <n v="3.84"/>
    <n v="3.55"/>
    <n v="5.5244157324719739E-2"/>
    <s v="NO"/>
    <n v="-1.3763121523236923"/>
    <n v="-1.3023220343206141"/>
    <n v="0.11402342230184284"/>
    <n v="1.0250067020972946"/>
    <n v="-0.49243364908627413"/>
    <n v="-1.745510852691379"/>
    <x v="1"/>
    <x v="1"/>
    <x v="0"/>
    <x v="0"/>
    <x v="0"/>
    <x v="1"/>
  </r>
  <r>
    <x v="4"/>
    <s v="ESGR"/>
    <n v="4995"/>
    <n v="336.24"/>
    <n v="51.48"/>
    <n v="426.59"/>
    <n v="31.2"/>
    <n v="6.5314685314685317"/>
    <n v="0.78820413042968662"/>
    <n v="8.56"/>
    <n v="2.21"/>
    <n v="3.32"/>
    <n v="10.776923076923078"/>
    <s v="NO"/>
    <n v="-0.25788836116335134"/>
    <n v="-0.84149047664060872"/>
    <n v="-0.52525017805523455"/>
    <n v="-0.14364945287948599"/>
    <n v="-0.62067157853582489"/>
    <n v="-0.55835522409854466"/>
    <x v="1"/>
    <x v="1"/>
    <x v="0"/>
    <x v="0"/>
    <x v="0"/>
    <x v="1"/>
  </r>
  <r>
    <x v="4"/>
    <s v="FG"/>
    <n v="4307"/>
    <n v="32.72"/>
    <n v="43.02"/>
    <n v="32.39"/>
    <n v="3.84"/>
    <n v="0.76057647605764755"/>
    <n v="1.0101883297313985"/>
    <n v="12.36"/>
    <n v="0.57999999999999996"/>
    <n v="20.170000000000002"/>
    <n v="8.5208333333333339"/>
    <s v="NO"/>
    <n v="-1.2676401373759105"/>
    <n v="-0.71045792806432939"/>
    <n v="-2.0210743261701487E-2"/>
    <n v="-1.3123056078562667"/>
    <n v="8.7741506441812636"/>
    <n v="-0.80816028334326429"/>
    <x v="1"/>
    <x v="1"/>
    <x v="0"/>
    <x v="0"/>
    <x v="1"/>
    <x v="1"/>
  </r>
  <r>
    <x v="4"/>
    <s v="PRI"/>
    <n v="8892"/>
    <n v="262.23"/>
    <n v="24.27"/>
    <n v="68.33"/>
    <n v="21.87"/>
    <n v="10.804697156983933"/>
    <n v="3.8376993999707305"/>
    <n v="33.35"/>
    <n v="4.46"/>
    <n v="6.47"/>
    <n v="11.99039780521262"/>
    <s v="NO"/>
    <n v="0.48981236748410389"/>
    <n v="0.95856168155905408"/>
    <n v="2.7694676084004728"/>
    <n v="1.4695262211682174"/>
    <n v="1.1356304987080224"/>
    <n v="-0.42399349170131523"/>
    <x v="1"/>
    <x v="1"/>
    <x v="0"/>
    <x v="1"/>
    <x v="0"/>
    <x v="1"/>
  </r>
  <r>
    <x v="4"/>
    <s v="THG"/>
    <n v="6321"/>
    <n v="173.64"/>
    <n v="21.62"/>
    <n v="84.57"/>
    <n v="12"/>
    <n v="8.0314523589269182"/>
    <n v="2.0532103582830792"/>
    <n v="15.74"/>
    <n v="2.44"/>
    <n v="5.08"/>
    <n v="14.469999999999999"/>
    <s v="NO"/>
    <n v="4.5686939198560997E-3"/>
    <n v="-9.4784222222900033E-2"/>
    <n v="0.42900854347570444"/>
    <n v="2.1252949356501447E-2"/>
    <n v="0.36062735986073752"/>
    <n v="-0.14944006361532897"/>
    <x v="1"/>
    <x v="1"/>
    <x v="0"/>
    <x v="0"/>
    <x v="0"/>
    <x v="1"/>
  </r>
  <r>
    <x v="4"/>
    <s v="AXS"/>
    <n v="8164"/>
    <n v="104.04"/>
    <n v="20.9"/>
    <n v="68.06"/>
    <n v="10.08"/>
    <n v="4.9779904306220102"/>
    <n v="1.5286511901263591"/>
    <n v="15.44"/>
    <n v="2.09"/>
    <n v="6.21"/>
    <n v="10.321428571428571"/>
    <s v="NO"/>
    <n v="-0.52970548346878721"/>
    <n v="-0.4044203355086351"/>
    <n v="0.38913700914989913"/>
    <n v="-0.22968548882869694"/>
    <n v="0.99066588280853018"/>
    <n v="-0.60878975679122582"/>
    <x v="1"/>
    <x v="1"/>
    <x v="0"/>
    <x v="0"/>
    <x v="0"/>
    <x v="1"/>
  </r>
  <r>
    <x v="4"/>
    <s v="SIGI"/>
    <n v="5349"/>
    <n v="86.16"/>
    <n v="20.09"/>
    <n v="50.33"/>
    <n v="3.68"/>
    <n v="4.2887008461921354"/>
    <n v="1.7119014504271806"/>
    <n v="7.48"/>
    <n v="1.71"/>
    <n v="4.6399999999999997"/>
    <n v="23.413043478260867"/>
    <s v="NO"/>
    <n v="-0.65031272677188989"/>
    <n v="-0.29625160678823004"/>
    <n v="-0.6687877016281335"/>
    <n v="-0.5021329360011979"/>
    <n v="0.11530262526159674"/>
    <n v="0.84077653227257909"/>
    <x v="1"/>
    <x v="1"/>
    <x v="0"/>
    <x v="0"/>
    <x v="0"/>
    <x v="1"/>
  </r>
  <r>
    <x v="4"/>
    <s v="MCY"/>
    <n v="3571"/>
    <n v="65.63"/>
    <n v="13.12"/>
    <n v="32.869999999999997"/>
    <n v="5.16"/>
    <n v="5.0022865853658534"/>
    <n v="1.9966534834195315"/>
    <n v="16.71"/>
    <n v="2.84"/>
    <n v="4.96"/>
    <n v="12.718992248062014"/>
    <s v="NO"/>
    <n v="-0.52545430615128252"/>
    <n v="-0.12816854181047532"/>
    <n v="0.55792650446247483"/>
    <n v="0.3080397358538709"/>
    <n v="0.29372061406097183"/>
    <n v="-0.3433200262602778"/>
    <x v="1"/>
    <x v="1"/>
    <x v="0"/>
    <x v="0"/>
    <x v="0"/>
    <x v="1"/>
  </r>
  <r>
    <x v="4"/>
    <s v="ROOT"/>
    <n v="2013"/>
    <n v="152.91999999999999"/>
    <n v="13.06"/>
    <n v="15.05"/>
    <n v="3.16"/>
    <n v="11.709035222052066"/>
    <n v="10.160797342192689"/>
    <n v="17.95"/>
    <n v="4.01"/>
    <n v="6.93"/>
    <n v="48.392405063291136"/>
    <s v="NO"/>
    <n v="0.64804734376354844"/>
    <n v="4.6909518285742635"/>
    <n v="0.7227288463424697"/>
    <n v="1.1468910863586768"/>
    <n v="1.3921063576071238"/>
    <n v="3.6066110556435875"/>
    <x v="1"/>
    <x v="0"/>
    <x v="0"/>
    <x v="0"/>
    <x v="0"/>
    <x v="0"/>
  </r>
  <r>
    <x v="4"/>
    <s v="PLMR"/>
    <n v="4585"/>
    <n v="162.27000000000001"/>
    <n v="11.8"/>
    <n v="29.57"/>
    <n v="5.0199999999999996"/>
    <n v="13.751694915254237"/>
    <n v="5.4876564085221515"/>
    <n v="20.76"/>
    <n v="4.96"/>
    <n v="3.07"/>
    <n v="32.324701195219127"/>
    <s v="NO"/>
    <n v="1.0054581623344461"/>
    <n v="1.9324961892937187"/>
    <n v="1.0961922178608459"/>
    <n v="1.8280097042899293"/>
    <n v="-0.76006063228533649"/>
    <n v="1.8275179463846225"/>
    <x v="1"/>
    <x v="1"/>
    <x v="0"/>
    <x v="0"/>
    <x v="0"/>
    <x v="1"/>
  </r>
  <r>
    <x v="4"/>
    <s v="SKWD"/>
    <n v="2560"/>
    <n v="60.42"/>
    <n v="7.52"/>
    <n v="21.06"/>
    <n v="2.98"/>
    <n v="8.0345744680851077"/>
    <n v="2.8689458689458691"/>
    <n v="16.09"/>
    <n v="2.87"/>
    <n v="4.74"/>
    <n v="20.275167785234899"/>
    <s v="NO"/>
    <n v="5.1149795266117147E-3"/>
    <n v="0.38672708922427318"/>
    <n v="0.47552533352247722"/>
    <n v="0.3295487448411738"/>
    <n v="0.17105824676140169"/>
    <n v="0.49333591045064096"/>
    <x v="1"/>
    <x v="1"/>
    <x v="0"/>
    <x v="0"/>
    <x v="0"/>
    <x v="1"/>
  </r>
  <r>
    <x v="4"/>
    <s v="KMPR"/>
    <n v="4078"/>
    <n v="63.03"/>
    <n v="7.4"/>
    <n v="45.6"/>
    <n v="5.35"/>
    <n v="8.5175675675675677"/>
    <n v="1.3822368421052631"/>
    <n v="12.34"/>
    <n v="2.54"/>
    <n v="4.2699999999999996"/>
    <n v="11.781308411214955"/>
    <s v="NO"/>
    <n v="8.9625855040830482E-2"/>
    <n v="-0.49084560915283254"/>
    <n v="-2.2868845550088449E-2"/>
    <n v="9.294964598084389E-2"/>
    <n v="-9.0993174287680612E-2"/>
    <n v="-0.44714487058747682"/>
    <x v="1"/>
    <x v="1"/>
    <x v="0"/>
    <x v="0"/>
    <x v="0"/>
    <x v="1"/>
  </r>
  <r>
    <x v="4"/>
    <s v="CNO"/>
    <n v="3763"/>
    <n v="38.17"/>
    <n v="6.43"/>
    <n v="25.33"/>
    <n v="2.88"/>
    <n v="5.9362363919129084"/>
    <n v="1.5069088037899725"/>
    <n v="12.47"/>
    <n v="1.1100000000000001"/>
    <n v="14.79"/>
    <n v="13.253472222222223"/>
    <s v="NO"/>
    <n v="-0.36203806703274993"/>
    <n v="-0.41725440344116671"/>
    <n v="-5.5911806755727343E-3"/>
    <n v="-0.93231311574725206"/>
    <n v="5.7744982074917699"/>
    <n v="-0.2841398442708124"/>
    <x v="1"/>
    <x v="1"/>
    <x v="0"/>
    <x v="0"/>
    <x v="1"/>
    <x v="1"/>
  </r>
  <r>
    <x v="4"/>
    <s v="RLI"/>
    <n v="7055"/>
    <n v="73.83"/>
    <n v="6.42"/>
    <n v="17.48"/>
    <n v="3.03"/>
    <n v="11.5"/>
    <n v="4.2236842105263159"/>
    <n v="17.989999999999998"/>
    <n v="4.05"/>
    <n v="3.57"/>
    <n v="24.366336633663366"/>
    <s v="NO"/>
    <n v="0.61147177022459209"/>
    <n v="1.1864003006946848"/>
    <n v="0.72804505091924365"/>
    <n v="1.1755697650084136"/>
    <n v="-0.48128252478631317"/>
    <n v="0.94632971509233599"/>
    <x v="1"/>
    <x v="1"/>
    <x v="0"/>
    <x v="0"/>
    <x v="0"/>
    <x v="1"/>
  </r>
  <r>
    <x v="4"/>
    <s v="HG"/>
    <n v="2235"/>
    <n v="21.06"/>
    <n v="6.18"/>
    <n v="23.59"/>
    <n v="3.03"/>
    <n v="3.407766990291262"/>
    <n v="0.89275116574819835"/>
    <n v="21.99"/>
    <n v="4.42"/>
    <n v="3.48"/>
    <n v="6.9504950495049505"/>
    <s v="NO"/>
    <n v="-0.80445259235604205"/>
    <n v="-0.77977858666388267"/>
    <n v="1.2596655085966471"/>
    <n v="1.4408475425184806"/>
    <n v="-0.53146258413613723"/>
    <n v="-0.98203565737950838"/>
    <x v="1"/>
    <x v="1"/>
    <x v="0"/>
    <x v="0"/>
    <x v="0"/>
    <x v="1"/>
  </r>
  <r>
    <x v="4"/>
    <s v="FAF"/>
    <n v="5743"/>
    <n v="56.32"/>
    <n v="5.46"/>
    <n v="48.64"/>
    <n v="1.52"/>
    <n v="10.315018315018316"/>
    <n v="1.1578947368421053"/>
    <n v="3.26"/>
    <n v="1.47"/>
    <n v="3.09"/>
    <n v="37.05263157894737"/>
    <s v="NO"/>
    <n v="0.40413166583506122"/>
    <n v="-0.62326997943715834"/>
    <n v="-1.2296472844777941"/>
    <n v="-0.67420500789961957"/>
    <n v="-0.74890950798537559"/>
    <n v="2.3510170372199521"/>
    <x v="1"/>
    <x v="1"/>
    <x v="0"/>
    <x v="0"/>
    <x v="0"/>
    <x v="1"/>
  </r>
  <r>
    <x v="4"/>
    <s v="ORI"/>
    <n v="9343"/>
    <n v="36.700000000000003"/>
    <n v="5.2"/>
    <n v="24.27"/>
    <n v="3.04"/>
    <n v="7.0576923076923084"/>
    <n v="1.5121549237742069"/>
    <n v="12.67"/>
    <n v="2.4"/>
    <n v="4.74"/>
    <n v="12.072368421052632"/>
    <s v="NO"/>
    <n v="-0.16581327335625382"/>
    <n v="-0.41415773046248827"/>
    <n v="2.0989842208297339E-2"/>
    <n v="-7.4257292932355294E-3"/>
    <n v="0.17105824676140169"/>
    <n v="-0.41491731261561132"/>
    <x v="1"/>
    <x v="1"/>
    <x v="0"/>
    <x v="0"/>
    <x v="0"/>
    <x v="1"/>
  </r>
  <r>
    <x v="4"/>
    <s v="OSCR"/>
    <n v="3515"/>
    <n v="14.76"/>
    <n v="4.8600000000000003"/>
    <n v="5.27"/>
    <n v="0.46"/>
    <n v="3.0370370370370368"/>
    <n v="2.8007590132827325"/>
    <n v="10.48"/>
    <n v="2.06"/>
    <n v="4.38"/>
    <n v="32.086956521739125"/>
    <s v="NO"/>
    <n v="-0.86932041958262507"/>
    <n v="0.34647783948015054"/>
    <n v="-0.27007235837008092"/>
    <n v="-0.25119449781599951"/>
    <n v="-2.9661990637895295E-2"/>
    <n v="1.8011937177441024"/>
    <x v="1"/>
    <x v="1"/>
    <x v="0"/>
    <x v="0"/>
    <x v="0"/>
    <x v="1"/>
  </r>
  <r>
    <x v="4"/>
    <s v="BHF"/>
    <n v="3434"/>
    <n v="58.89"/>
    <n v="4.7300000000000004"/>
    <n v="90.53"/>
    <n v="8.4499999999999993"/>
    <n v="12.450317124735728"/>
    <n v="0.65050259582458858"/>
    <n v="12.92"/>
    <n v="0.63"/>
    <n v="44.8"/>
    <n v="6.9692307692307702"/>
    <s v="NO"/>
    <n v="0.77775185230781019"/>
    <n v="-0.92277276195158642"/>
    <n v="5.4216120813135052E-2"/>
    <n v="-1.2764572595440957"/>
    <n v="22.50676021958315"/>
    <n v="-0.97996114877921914"/>
    <x v="1"/>
    <x v="1"/>
    <x v="0"/>
    <x v="0"/>
    <x v="1"/>
    <x v="1"/>
  </r>
  <r>
    <x v="4"/>
    <s v="AGO"/>
    <n v="4143"/>
    <n v="83.97"/>
    <n v="4.01"/>
    <n v="112.86"/>
    <n v="8.34"/>
    <n v="20.940149625935163"/>
    <n v="0.7440191387559808"/>
    <n v="8.18"/>
    <n v="2.54"/>
    <n v="2.14"/>
    <n v="10.068345323741008"/>
    <s v="NO"/>
    <n v="2.2632454927226244"/>
    <n v="-0.86757193687984968"/>
    <n v="-0.57575412153458794"/>
    <n v="9.294964598084389E-2"/>
    <n v="-1.2785879122335198"/>
    <n v="-0.63681234581370139"/>
    <x v="1"/>
    <x v="1"/>
    <x v="0"/>
    <x v="0"/>
    <x v="0"/>
    <x v="1"/>
  </r>
  <r>
    <x v="4"/>
    <s v="RYAN"/>
    <n v="9064"/>
    <n v="66.260000000000005"/>
    <n v="3.52"/>
    <n v="4.3"/>
    <n v="0.27"/>
    <n v="18.823863636363637"/>
    <n v="15.409302325581397"/>
    <n v="18.190000000000001"/>
    <n v="3.68"/>
    <n v="18.23"/>
    <n v="245.40740740740742"/>
    <s v="NO"/>
    <n v="1.89295204130726"/>
    <n v="7.7890326214959105"/>
    <n v="0.75462607380311419"/>
    <n v="0.91029198749834705"/>
    <n v="7.6924915870850512"/>
    <n v="25.421055482114969"/>
    <x v="1"/>
    <x v="0"/>
    <x v="0"/>
    <x v="0"/>
    <x v="1"/>
    <x v="0"/>
  </r>
  <r>
    <x v="4"/>
    <s v="GSHD"/>
    <n v="2713"/>
    <n v="108.7"/>
    <n v="2.5299999999999998"/>
    <n v="-3.53"/>
    <n v="1.26"/>
    <n v="42.964426877470359"/>
    <n v="-30.793201133144478"/>
    <n v="-85.18"/>
    <n v="10.5"/>
    <n v="-4.66"/>
    <n v="86.269841269841265"/>
    <s v="NO"/>
    <n v="6.116905006884533"/>
    <n v="-19.48332188772217"/>
    <n v="-12.983775603725183"/>
    <n v="5.8000066972784969"/>
    <n v="-5.0699701742202379"/>
    <n v="7.8005821609596637"/>
    <x v="0"/>
    <x v="0"/>
    <x v="1"/>
    <x v="1"/>
    <x v="1"/>
    <x v="0"/>
  </r>
  <r>
    <x v="4"/>
    <s v="DFYFF"/>
    <n v="6221"/>
    <n v="53.68"/>
    <n v="1.87"/>
    <n v="20.62"/>
    <n v="2.5"/>
    <n v="28.705882352941174"/>
    <n v="2.6032977691561587"/>
    <n v="12.65"/>
    <n v="4.7699999999999996"/>
    <n v="2.31"/>
    <n v="21.472000000000001"/>
    <s v="NO"/>
    <n v="3.6220410375698089"/>
    <n v="0.22992066944580447"/>
    <n v="1.833173991991038E-2"/>
    <n v="1.6917859807036786"/>
    <n v="-1.1838033556838519"/>
    <n v="0.62585490406109723"/>
    <x v="0"/>
    <x v="1"/>
    <x v="0"/>
    <x v="0"/>
    <x v="0"/>
    <x v="1"/>
  </r>
  <r>
    <x v="4"/>
    <s v="TRUP"/>
    <n v="2019"/>
    <n v="51.02"/>
    <n v="1.26"/>
    <n v="7.8"/>
    <n v="-0.1"/>
    <n v="40.492063492063494"/>
    <n v="6.5410256410256418"/>
    <n v="-1.34"/>
    <n v="0.06"/>
    <n v="2.5099999999999998"/>
    <n v="-510.2"/>
    <s v="NO"/>
    <n v="5.684307533931154"/>
    <n v="2.5542776294185301"/>
    <n v="-1.841010810806808"/>
    <n v="-1.6851284303028471"/>
    <n v="-1.0722921126842426"/>
    <n v="-58.243414740963289"/>
    <x v="0"/>
    <x v="1"/>
    <x v="0"/>
    <x v="0"/>
    <x v="0"/>
    <x v="0"/>
  </r>
  <r>
    <x v="4"/>
    <s v="GNW"/>
    <n v="2922"/>
    <n v="6.91"/>
    <n v="0.54"/>
    <n v="20.94"/>
    <n v="0.53"/>
    <n v="12.796296296296296"/>
    <n v="0.32999044890162366"/>
    <n v="3.85"/>
    <n v="0.43"/>
    <n v="10.02"/>
    <n v="13.037735849056604"/>
    <s v="NO"/>
    <n v="0.83828895465895781"/>
    <n v="-1.1119642611352272"/>
    <n v="-1.1512332669703771"/>
    <n v="-1.4198506527927803"/>
    <n v="3.114955061951088"/>
    <n v="-0.30802720851818"/>
    <x v="1"/>
    <x v="1"/>
    <x v="0"/>
    <x v="0"/>
    <x v="0"/>
    <x v="1"/>
  </r>
  <r>
    <x v="4"/>
    <s v="HCXLY"/>
    <n v="5912"/>
    <n v="37.32"/>
    <n v="0.22"/>
    <n v="10.85"/>
    <n v="1.78"/>
    <n v="169.63636363636363"/>
    <n v="3.43963133640553"/>
    <n v="17.95"/>
    <n v="4.2"/>
    <n v="3.05"/>
    <n v="20.966292134831459"/>
    <s v="NO"/>
    <n v="28.28110629681327"/>
    <n v="0.72359057532784454"/>
    <n v="0.7227288463424697"/>
    <n v="1.2831148099449274"/>
    <n v="-0.7712117565852975"/>
    <n v="0.56986050774867802"/>
    <x v="0"/>
    <x v="1"/>
    <x v="0"/>
    <x v="0"/>
    <x v="0"/>
    <x v="1"/>
  </r>
  <r>
    <x v="4"/>
    <s v="BWIN"/>
    <n v="2722"/>
    <n v="38.93"/>
    <n v="-0.11"/>
    <n v="8.8699999999999992"/>
    <n v="-0.5"/>
    <n v="-353.90909090909088"/>
    <n v="4.3889515219842172"/>
    <n v="-5.21"/>
    <n v="1.38"/>
    <n v="5.73"/>
    <n v="-77.86"/>
    <s v="NO"/>
    <n v="-63.325346844103208"/>
    <n v="1.2839540774265386"/>
    <n v="-2.3553536036096956"/>
    <n v="-0.73873203486152783"/>
    <n v="0.7230388996094681"/>
    <n v="-10.372659767352033"/>
    <x v="0"/>
    <x v="1"/>
    <x v="0"/>
    <x v="0"/>
    <x v="0"/>
    <x v="0"/>
  </r>
  <r>
    <x v="4"/>
    <s v="LMND"/>
    <n v="2454"/>
    <n v="40.96"/>
    <n v="-0.53"/>
    <n v="7.45"/>
    <n v="-3.03"/>
    <n v="-77.283018867924525"/>
    <n v="5.4979865771812078"/>
    <n v="-35.57"/>
    <n v="-7.54"/>
    <n v="3.4"/>
    <n v="-13.51815181518152"/>
    <s v="NO"/>
    <n v="-14.923182168648468"/>
    <n v="1.9385938680063337"/>
    <n v="-6.3903528773811873"/>
    <n v="-7.1340773737528682"/>
    <n v="-0.57606708133598106"/>
    <n v="-3.2484222482588678"/>
    <x v="0"/>
    <x v="1"/>
    <x v="1"/>
    <x v="1"/>
    <x v="0"/>
    <x v="0"/>
  </r>
  <r>
    <x v="4"/>
    <s v="SPNT"/>
    <n v="2284"/>
    <n v="19.260000000000002"/>
    <n v="-0.57999999999999996"/>
    <n v="15.73"/>
    <n v="0.96"/>
    <n v="-33.206896551724142"/>
    <n v="1.224411951684679"/>
    <n v="7.25"/>
    <n v="1.47"/>
    <n v="6.73"/>
    <n v="20.062500000000004"/>
    <s v="NO"/>
    <n v="-7.2110395102849587"/>
    <n v="-0.5840062831360896"/>
    <n v="-0.6993558779445842"/>
    <n v="-0.67420500789961957"/>
    <n v="1.2805951146075147"/>
    <n v="0.46978831495228257"/>
    <x v="0"/>
    <x v="1"/>
    <x v="0"/>
    <x v="0"/>
    <x v="0"/>
    <x v="1"/>
  </r>
  <r>
    <x v="4"/>
    <s v="LNC"/>
    <n v="5658"/>
    <n v="33.450000000000003"/>
    <n v="-6.01"/>
    <n v="42.22"/>
    <n v="7.17"/>
    <n v="-5.565723793677205"/>
    <n v="0.79227854097584094"/>
    <n v="16.91"/>
    <n v="0.27"/>
    <n v="53.13"/>
    <n v="4.6652719665271967"/>
    <s v="NO"/>
    <n v="-2.3745734975709381"/>
    <n v="-0.83908543880688857"/>
    <n v="0.58450752734634492"/>
    <n v="-1.5345653673917281"/>
    <n v="27.151203490516881"/>
    <n v="-1.2350664994604366"/>
    <x v="1"/>
    <x v="1"/>
    <x v="0"/>
    <x v="0"/>
    <x v="1"/>
    <x v="1"/>
  </r>
  <r>
    <x v="5"/>
    <s v="STWD"/>
    <n v="6704"/>
    <n v="20.260000000000002"/>
    <n v="2.46"/>
    <n v="18.87"/>
    <n v="0.93"/>
    <n v="8.2357723577235777"/>
    <n v="1.073661897191309"/>
    <n v="4.74"/>
    <n v="0.52"/>
    <n v="9.6999999999999993"/>
    <n v="21.78494623655914"/>
    <s v="NO"/>
    <n v="-0.89553882660586226"/>
    <n v="1.1924321572499874"/>
    <n v="0.65899053858126411"/>
    <n v="-0.74397952596516459"/>
    <n v="0.57597223543411979"/>
    <n v="0.70715984427536127"/>
    <x v="1"/>
    <x v="1"/>
    <x v="0"/>
    <x v="0"/>
    <x v="0"/>
    <x v="1"/>
  </r>
  <r>
    <x v="5"/>
    <s v="BXMT"/>
    <n v="3241"/>
    <n v="19.23"/>
    <n v="2.15"/>
    <n v="21.76"/>
    <n v="-0.47"/>
    <n v="8.9441860465116285"/>
    <n v="0.88373161764705876"/>
    <n v="-2.0099999999999998"/>
    <n v="-0.37"/>
    <n v="5.42"/>
    <n v="-40.914893617021278"/>
    <s v="NO"/>
    <n v="-0.50012702488587346"/>
    <n v="-1.1222707959247678"/>
    <n v="-1.4131458599079592"/>
    <n v="-2.399333971237656"/>
    <n v="-1.2568613464677645"/>
    <n v="-1.6957750485698193"/>
    <x v="1"/>
    <x v="1"/>
    <x v="0"/>
    <x v="1"/>
    <x v="0"/>
    <x v="1"/>
  </r>
  <r>
    <x v="5"/>
    <s v="RITM"/>
    <n v="5911"/>
    <n v="11.23"/>
    <n v="0.91"/>
    <n v="12.39"/>
    <n v="1.19"/>
    <n v="12.340659340659341"/>
    <n v="0.9063761097659403"/>
    <n v="9.5500000000000007"/>
    <n v="1.68"/>
    <n v="6.9"/>
    <n v="9.4369747899159666"/>
    <s v="NO"/>
    <n v="1.3956658514917377"/>
    <n v="-0.84629967164436692"/>
    <n v="2.1355795869861773"/>
    <n v="1.4135610993338126"/>
    <n v="-0.62307777141758003"/>
    <n v="0.23393102081608561"/>
    <x v="1"/>
    <x v="1"/>
    <x v="1"/>
    <x v="0"/>
    <x v="0"/>
    <x v="1"/>
  </r>
  <r>
    <x v="5"/>
    <s v="AGNC"/>
    <n v="9122"/>
    <n v="9.2100000000000009"/>
    <n v="0.3"/>
    <n v="8.86"/>
    <n v="0.4"/>
    <n v="30.700000000000003"/>
    <n v="1.0395033860045149"/>
    <n v="5.05"/>
    <n v="0.56000000000000005"/>
    <n v="11.4"/>
    <n v="23.025000000000002"/>
    <s v="NO"/>
    <n v="11.64320917737021"/>
    <n v="0.77613831031914993"/>
    <n v="0.75415532132669505"/>
    <n v="-0.6695815733686481"/>
    <n v="1.3039668824512241"/>
    <n v="0.75468418347837241"/>
    <x v="0"/>
    <x v="1"/>
    <x v="0"/>
    <x v="0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x v="0"/>
    <s v="DSBX"/>
    <n v="286"/>
    <n v="15"/>
    <m/>
    <n v="12.54"/>
    <n v="0.65"/>
    <s v=""/>
    <n v="1.1961722488038278"/>
    <n v="5.59"/>
    <n v="0.61"/>
    <n v="9.6199999999999992"/>
    <n v="23.076923076923077"/>
    <s v="NO"/>
    <e v="#VALUE!"/>
    <n v="0.4853261055717758"/>
    <n v="-0.88178203420080914"/>
    <n v="-0.80408041853105661"/>
    <n v="2.3919768386803725E-2"/>
    <n v="4.2867863861846827"/>
    <x v="0"/>
    <x v="0"/>
    <x v="0"/>
    <x v="0"/>
    <x v="0"/>
    <x v="0"/>
  </r>
  <r>
    <x v="0"/>
    <s v="LRCDF"/>
    <n v="998"/>
    <n v="21.777999999999999"/>
    <n v="49.7"/>
    <n v="44.28"/>
    <n v="-0.3"/>
    <n v="0.43818913480885308"/>
    <n v="0.4918247515808491"/>
    <n v="-0.15"/>
    <n v="-0.01"/>
    <n v="17.78"/>
    <n v="-72.593333333333334"/>
    <s v="NO"/>
    <n v="-2.4770502015125437"/>
    <n v="-2.0557172895440172"/>
    <n v="-2.2704872654514157"/>
    <n v="-2.2123568577662418"/>
    <n v="4.7127288921646562"/>
    <n v="-32.785753045895426"/>
    <x v="1"/>
    <x v="0"/>
    <x v="0"/>
    <x v="0"/>
    <x v="1"/>
    <x v="0"/>
  </r>
  <r>
    <x v="0"/>
    <s v="QCRH"/>
    <n v="1139"/>
    <n v="67.06"/>
    <n v="23.54"/>
    <n v="60.44"/>
    <n v="6.65"/>
    <n v="2.8487680543755314"/>
    <n v="1.1095301125082728"/>
    <n v="11.7"/>
    <n v="1.27"/>
    <n v="8.9499999999999993"/>
    <n v="10.08421052631579"/>
    <s v="NO"/>
    <n v="-1.8660630941268752"/>
    <n v="0.1727510924701893"/>
    <n v="0.59643903948232757"/>
    <n v="0.69505256517091485"/>
    <n v="-0.36106823564887763"/>
    <n v="-0.74793251638149327"/>
    <x v="1"/>
    <x v="0"/>
    <x v="0"/>
    <x v="0"/>
    <x v="0"/>
    <x v="1"/>
  </r>
  <r>
    <x v="0"/>
    <s v="CCB"/>
    <n v="1321"/>
    <n v="89.44"/>
    <n v="18.96"/>
    <n v="29.98"/>
    <n v="3.36"/>
    <n v="4.7172995780590714"/>
    <n v="2.9833222148098733"/>
    <n v="12.78"/>
    <n v="1.17"/>
    <n v="9.64"/>
    <n v="26.61904761904762"/>
    <s v="NO"/>
    <n v="-1.3924637187039943"/>
    <n v="6.9327482020592406"/>
    <n v="0.85772852550160539"/>
    <n v="0.46791120400394931"/>
    <n v="3.5411947611750212E-2"/>
    <n v="5.6593713116200144"/>
    <x v="1"/>
    <x v="1"/>
    <x v="0"/>
    <x v="0"/>
    <x v="0"/>
    <x v="0"/>
  </r>
  <r>
    <x v="0"/>
    <s v="PFBC"/>
    <n v="1039"/>
    <n v="84.5"/>
    <n v="12.26"/>
    <n v="59.3"/>
    <n v="9.43"/>
    <n v="6.8923327895595436"/>
    <n v="1.4249578414839799"/>
    <n v="17.21"/>
    <n v="1.84"/>
    <n v="9.1199999999999992"/>
    <n v="8.960763520678686"/>
    <s v="NO"/>
    <n v="-0.8411781998704857"/>
    <n v="1.3107057959513819"/>
    <n v="1.9294992875991992"/>
    <n v="1.9897583238226175"/>
    <n v="-0.26338471223683912"/>
    <n v="-1.1832719309403199"/>
    <x v="1"/>
    <x v="0"/>
    <x v="0"/>
    <x v="0"/>
    <x v="0"/>
    <x v="1"/>
  </r>
  <r>
    <x v="0"/>
    <s v="LOB"/>
    <n v="1252"/>
    <n v="28.56"/>
    <n v="11.53"/>
    <n v="22.53"/>
    <n v="1.3"/>
    <n v="2.477016478751084"/>
    <n v="1.2676431424766976"/>
    <n v="6.07"/>
    <n v="0.47"/>
    <n v="13.24"/>
    <n v="21.969230769230766"/>
    <s v="NO"/>
    <n v="-1.9602875221317775"/>
    <n v="0.74316849590680634"/>
    <n v="-0.76565337374779663"/>
    <n v="-1.1220783241648082"/>
    <n v="2.1040042081019785"/>
    <n v="3.8575519689647808"/>
    <x v="1"/>
    <x v="0"/>
    <x v="0"/>
    <x v="0"/>
    <x v="0"/>
    <x v="0"/>
  </r>
  <r>
    <x v="0"/>
    <s v="MCB"/>
    <n v="689"/>
    <n v="65.38"/>
    <n v="11.3"/>
    <n v="66.680000000000007"/>
    <n v="5.92"/>
    <n v="5.785840707964601"/>
    <n v="0.98050389922015579"/>
    <n v="9.4700000000000006"/>
    <n v="0.89"/>
    <n v="10.32"/>
    <n v="11.043918918918918"/>
    <s v="NO"/>
    <n v="-1.1216304973627276"/>
    <n v="-0.29273108552465743"/>
    <n v="5.6924637794374504E-2"/>
    <n v="-0.16808460726355351"/>
    <n v="0.4261460412599043"/>
    <n v="-0.376042353617558"/>
    <x v="1"/>
    <x v="0"/>
    <x v="0"/>
    <x v="0"/>
    <x v="0"/>
    <x v="1"/>
  </r>
  <r>
    <x v="0"/>
    <s v="NIC"/>
    <n v="1849"/>
    <n v="118.05"/>
    <n v="9.15"/>
    <n v="78.11"/>
    <n v="8.31"/>
    <n v="12.901639344262295"/>
    <n v="1.5113301753936756"/>
    <n v="11.47"/>
    <n v="1.48"/>
    <n v="7.59"/>
    <n v="14.205776173285198"/>
    <s v="NO"/>
    <n v="0.68194506294788082"/>
    <n v="1.6223074548871952"/>
    <n v="0.54079405634859279"/>
    <n v="1.172049423621542"/>
    <n v="-1.1425364229451858"/>
    <n v="0.84918774546824338"/>
    <x v="1"/>
    <x v="0"/>
    <x v="0"/>
    <x v="0"/>
    <x v="0"/>
    <x v="1"/>
  </r>
  <r>
    <x v="0"/>
    <s v="HIFS"/>
    <n v="529"/>
    <n v="227.55"/>
    <n v="8.94"/>
    <n v="200.69"/>
    <n v="12.96"/>
    <n v="25.45302013422819"/>
    <n v="1.133838258009866"/>
    <n v="6.68"/>
    <n v="0.63"/>
    <n v="10.34"/>
    <n v="17.55787037037037"/>
    <s v="NO"/>
    <n v="3.8632272770708806"/>
    <n v="0.26044651670023083"/>
    <n v="-0.61807320108876018"/>
    <n v="-0.75865214629766353"/>
    <n v="0.43763822048484979"/>
    <n v="2.1481352863694134"/>
    <x v="0"/>
    <x v="0"/>
    <x v="0"/>
    <x v="0"/>
    <x v="0"/>
    <x v="1"/>
  </r>
  <r>
    <x v="0"/>
    <s v="CHCO"/>
    <n v="1707"/>
    <n v="118.64"/>
    <n v="8.81"/>
    <n v="51.63"/>
    <n v="7.98"/>
    <n v="13.466515323496026"/>
    <n v="2.2978888243269417"/>
    <n v="16.39"/>
    <n v="1.82"/>
    <n v="8.76"/>
    <n v="14.867167919799497"/>
    <s v="NO"/>
    <n v="0.82511894445087886"/>
    <n v="4.4599403954786574"/>
    <n v="1.7311128259919697"/>
    <n v="1.9443300515892246"/>
    <n v="-0.47024393828586164"/>
    <n v="1.1054792254195303"/>
    <x v="1"/>
    <x v="1"/>
    <x v="0"/>
    <x v="0"/>
    <x v="0"/>
    <x v="1"/>
  </r>
  <r>
    <x v="0"/>
    <s v="SRCE"/>
    <n v="1488"/>
    <n v="61.2"/>
    <n v="8.5399999999999991"/>
    <n v="47.29"/>
    <n v="5.69"/>
    <n v="7.1662763466042163"/>
    <n v="1.2941425248466907"/>
    <n v="12.22"/>
    <n v="1.6"/>
    <n v="7.72"/>
    <n v="10.755711775043936"/>
    <s v="NO"/>
    <n v="-0.77174426425150477"/>
    <n v="0.83876914872576824"/>
    <n v="0.72224508830642464"/>
    <n v="1.4446190570219009"/>
    <n v="-1.0678372579830389"/>
    <n v="-0.48772357102847919"/>
    <x v="1"/>
    <x v="0"/>
    <x v="0"/>
    <x v="0"/>
    <x v="0"/>
    <x v="1"/>
  </r>
  <r>
    <x v="0"/>
    <s v="RBCAA"/>
    <n v="1338"/>
    <n v="69.64"/>
    <n v="8.42"/>
    <n v="52.98"/>
    <n v="5.97"/>
    <n v="8.2707838479809972"/>
    <n v="1.3144582861457155"/>
    <n v="11.98"/>
    <n v="1.69"/>
    <n v="6.84"/>
    <n v="11.66499162479062"/>
    <s v="NO"/>
    <n v="-0.49179497992221183"/>
    <n v="0.91206142458274253"/>
    <n v="0.66418075807991839"/>
    <n v="1.6490462820721692"/>
    <n v="-1.5734931438806501"/>
    <n v="-0.1353746346989225"/>
    <x v="1"/>
    <x v="0"/>
    <x v="0"/>
    <x v="0"/>
    <x v="0"/>
    <x v="1"/>
  </r>
  <r>
    <x v="0"/>
    <s v="FSBW"/>
    <n v="296"/>
    <n v="38.31"/>
    <n v="7.44"/>
    <n v="39.119999999999997"/>
    <n v="4.3099999999999996"/>
    <n v="5.149193548387097"/>
    <n v="0.97929447852760754"/>
    <n v="12.01"/>
    <n v="1.1499999999999999"/>
    <n v="10.26"/>
    <n v="8.888631090487241"/>
    <s v="NO"/>
    <n v="-1.2829955550665777"/>
    <n v="-0.29709425920644483"/>
    <n v="0.67143879935823148"/>
    <n v="0.42248293177055618"/>
    <n v="0.39166950358506686"/>
    <n v="-1.2112234851949337"/>
    <x v="1"/>
    <x v="0"/>
    <x v="0"/>
    <x v="0"/>
    <x v="0"/>
    <x v="1"/>
  </r>
  <r>
    <x v="0"/>
    <s v="FBIZ"/>
    <n v="406"/>
    <n v="48.19"/>
    <n v="7.28"/>
    <n v="39.04"/>
    <n v="5.48"/>
    <n v="6.6195054945054936"/>
    <n v="1.234375"/>
    <n v="14.69"/>
    <n v="1.25"/>
    <n v="12.17"/>
    <n v="8.7937956204379546"/>
    <s v="NO"/>
    <n v="-0.91032920690364061"/>
    <n v="0.62314848583864846"/>
    <n v="1.3198238202208838"/>
    <n v="0.64962429293752177"/>
    <n v="1.4891726195673827"/>
    <n v="-1.2479725421629164"/>
    <x v="1"/>
    <x v="0"/>
    <x v="0"/>
    <x v="0"/>
    <x v="0"/>
    <x v="1"/>
  </r>
  <r>
    <x v="0"/>
    <s v="MSBI"/>
    <n v="363"/>
    <n v="17.059999999999999"/>
    <n v="6.93"/>
    <n v="29.48"/>
    <n v="-1.02"/>
    <n v="2.4617604617604618"/>
    <n v="0.57869742198100405"/>
    <n v="-1.63"/>
    <n v="-0.16"/>
    <n v="11.77"/>
    <n v="-16.725490196078429"/>
    <s v="NO"/>
    <n v="-1.9641543234282075"/>
    <n v="-1.7423105887227295"/>
    <n v="-2.6285506351815369"/>
    <n v="-2.5530688995166901"/>
    <n v="1.2593290350684681"/>
    <n v="-11.136779839327248"/>
    <x v="1"/>
    <x v="0"/>
    <x v="0"/>
    <x v="0"/>
    <x v="0"/>
    <x v="0"/>
  </r>
  <r>
    <x v="0"/>
    <s v="GSBC"/>
    <n v="642"/>
    <n v="56.71"/>
    <n v="6.86"/>
    <n v="53.03"/>
    <n v="5.6"/>
    <n v="8.2667638483965007"/>
    <n v="1.0693946822553271"/>
    <n v="11.13"/>
    <n v="1.1100000000000001"/>
    <n v="9.77"/>
    <n v="10.126785714285715"/>
    <s v="NO"/>
    <n v="-0.4928138919760286"/>
    <n v="2.7956271225737253E-2"/>
    <n v="0.45853625519437569"/>
    <n v="0.33162638730377048"/>
    <n v="0.11011111257389679"/>
    <n v="-0.73143449082927925"/>
    <x v="1"/>
    <x v="0"/>
    <x v="0"/>
    <x v="0"/>
    <x v="0"/>
    <x v="1"/>
  </r>
  <r>
    <x v="0"/>
    <s v="EFSC"/>
    <n v="1955"/>
    <n v="53.56"/>
    <n v="6.58"/>
    <n v="48.64"/>
    <n v="5.09"/>
    <n v="8.1398176291793316"/>
    <n v="1.1011513157894737"/>
    <n v="10.82"/>
    <n v="1.29"/>
    <n v="8.73"/>
    <n v="10.522593320235757"/>
    <s v="NO"/>
    <n v="-0.52498977414419579"/>
    <n v="0.14252327715847773"/>
    <n v="0.38353649531847173"/>
    <n v="0.74048083740430803"/>
    <n v="-0.48748220712327983"/>
    <n v="-0.57805774000113941"/>
    <x v="1"/>
    <x v="0"/>
    <x v="0"/>
    <x v="0"/>
    <x v="0"/>
    <x v="1"/>
  </r>
  <r>
    <x v="0"/>
    <s v="HTB"/>
    <n v="633"/>
    <n v="36.409999999999997"/>
    <n v="6.48"/>
    <n v="32.53"/>
    <n v="3.16"/>
    <n v="5.6188271604938267"/>
    <n v="1.11927451583154"/>
    <n v="10.06"/>
    <n v="1.17"/>
    <n v="8.06"/>
    <n v="11.522151898734176"/>
    <s v="NO"/>
    <n v="-1.1639618740436997"/>
    <n v="0.20790554648835105"/>
    <n v="0.19966611626786884"/>
    <n v="0.46791120400394931"/>
    <n v="-0.87247021115896117"/>
    <n v="-0.1907254989632241"/>
    <x v="1"/>
    <x v="0"/>
    <x v="0"/>
    <x v="0"/>
    <x v="0"/>
    <x v="1"/>
  </r>
  <r>
    <x v="0"/>
    <s v="BSRR"/>
    <n v="378"/>
    <n v="27.74"/>
    <n v="6.35"/>
    <n v="25.85"/>
    <n v="2.83"/>
    <n v="4.3685039370078744"/>
    <n v="1.0731141199226304"/>
    <n v="11.58"/>
    <n v="1.1299999999999999"/>
    <n v="10.25"/>
    <n v="9.8021201413427548"/>
    <s v="NO"/>
    <n v="-1.480869718634048"/>
    <n v="4.1374722423916148E-2"/>
    <n v="0.56740687436907467"/>
    <n v="0.37705465953716311"/>
    <n v="0.38592341397259416"/>
    <n v="-0.85724346957344433"/>
    <x v="1"/>
    <x v="0"/>
    <x v="0"/>
    <x v="0"/>
    <x v="0"/>
    <x v="1"/>
  </r>
  <r>
    <x v="0"/>
    <s v="BFC"/>
    <n v="1153"/>
    <n v="114.92"/>
    <n v="6.23"/>
    <n v="65.02"/>
    <n v="6.81"/>
    <n v="18.446227929373997"/>
    <n v="1.7674561673331284"/>
    <n v="10.88"/>
    <n v="1.59"/>
    <n v="6.95"/>
    <n v="16.875183553597651"/>
    <s v="NO"/>
    <n v="2.087280567113809"/>
    <n v="2.5463218976178572"/>
    <n v="0.3980525778750984"/>
    <n v="1.4219049209052042"/>
    <n v="-1.5102861581434486"/>
    <n v="1.8835918965614333"/>
    <x v="1"/>
    <x v="0"/>
    <x v="0"/>
    <x v="0"/>
    <x v="0"/>
    <x v="1"/>
  </r>
  <r>
    <x v="0"/>
    <s v="NTB"/>
    <n v="1805"/>
    <n v="43.23"/>
    <n v="6.2"/>
    <n v="25.07"/>
    <n v="4.8099999999999996"/>
    <n v="6.9725806451612895"/>
    <n v="1.7243717590745911"/>
    <n v="21.11"/>
    <n v="1.57"/>
    <n v="13.25"/>
    <n v="8.9875259875259879"/>
    <s v="NO"/>
    <n v="-0.82083851931904905"/>
    <n v="2.3908881785097873"/>
    <n v="2.8730446537799246"/>
    <n v="1.3764766486718112"/>
    <n v="2.1097502977144513"/>
    <n v="-1.1729013868995288"/>
    <x v="1"/>
    <x v="0"/>
    <x v="1"/>
    <x v="0"/>
    <x v="0"/>
    <x v="1"/>
  </r>
  <r>
    <x v="0"/>
    <s v="TMP"/>
    <n v="886"/>
    <n v="62.3"/>
    <n v="6.17"/>
    <n v="51.6"/>
    <n v="5.16"/>
    <n v="10.097244732576986"/>
    <n v="1.2073643410852712"/>
    <n v="10.46"/>
    <n v="0.92"/>
    <n v="11.06"/>
    <n v="12.073643410852712"/>
    <s v="NO"/>
    <n v="-2.8858859650749111E-2"/>
    <n v="0.52570332318299295"/>
    <n v="0.29643999997871262"/>
    <n v="-9.9942198913463842E-2"/>
    <n v="0.85135667258289582"/>
    <n v="2.2979278222677584E-2"/>
    <x v="1"/>
    <x v="0"/>
    <x v="0"/>
    <x v="0"/>
    <x v="0"/>
    <x v="1"/>
  </r>
  <r>
    <x v="0"/>
    <s v="FBNC"/>
    <n v="1714"/>
    <n v="41.74"/>
    <n v="5.99"/>
    <n v="36.46"/>
    <n v="2.11"/>
    <n v="6.9682804674457426"/>
    <n v="1.1448162369720241"/>
    <n v="6.06"/>
    <n v="0.71"/>
    <n v="8.25"/>
    <n v="19.781990521327018"/>
    <s v="NO"/>
    <n v="-0.82192844552820166"/>
    <n v="0.30005128713456197"/>
    <n v="-0.76807272084056788"/>
    <n v="-0.57693905736409123"/>
    <n v="-0.76329450852197722"/>
    <n v="3.0099891696123224"/>
    <x v="1"/>
    <x v="0"/>
    <x v="0"/>
    <x v="0"/>
    <x v="0"/>
    <x v="1"/>
  </r>
  <r>
    <x v="0"/>
    <s v="CTBI"/>
    <n v="925"/>
    <n v="52.1"/>
    <n v="5.99"/>
    <n v="43.32"/>
    <n v="4.79"/>
    <n v="8.697829716193656"/>
    <n v="1.2026777469990766"/>
    <n v="11.54"/>
    <n v="1.42"/>
    <n v="8"/>
    <n v="10.876826722338205"/>
    <s v="NO"/>
    <n v="-0.38355561981565439"/>
    <n v="0.50879570443618616"/>
    <n v="0.55772948599798999"/>
    <n v="1.0357646069213626"/>
    <n v="-0.90694674883379867"/>
    <n v="-0.44079113008124549"/>
    <x v="1"/>
    <x v="0"/>
    <x v="0"/>
    <x v="0"/>
    <x v="0"/>
    <x v="1"/>
  </r>
  <r>
    <x v="0"/>
    <s v="FMBH"/>
    <n v="846"/>
    <n v="36.46"/>
    <n v="5.79"/>
    <n v="36.32"/>
    <n v="3.37"/>
    <n v="6.2970639032815203"/>
    <n v="1.0038546255506609"/>
    <n v="9.65"/>
    <n v="1.06"/>
    <n v="8.69"/>
    <n v="10.818991097922849"/>
    <s v="NO"/>
    <n v="-0.99205548996521387"/>
    <n v="-0.20848970020387977"/>
    <n v="0.10047288546425408"/>
    <n v="0.21805570672028771"/>
    <n v="-0.51046656557317183"/>
    <n v="-0.46320262501361809"/>
    <x v="1"/>
    <x v="0"/>
    <x v="0"/>
    <x v="0"/>
    <x v="0"/>
    <x v="1"/>
  </r>
  <r>
    <x v="0"/>
    <s v="SMBC"/>
    <n v="595"/>
    <n v="53.51"/>
    <n v="5.58"/>
    <n v="46.8"/>
    <n v="4.99"/>
    <n v="9.5896057347670247"/>
    <n v="1.1433760683760683"/>
    <n v="11.17"/>
    <n v="1.17"/>
    <n v="9.41"/>
    <n v="10.723446893787575"/>
    <s v="NO"/>
    <n v="-0.15752541370981379"/>
    <n v="0.29485565442054662"/>
    <n v="0.46821364356545986"/>
    <n v="0.46791120400394931"/>
    <n v="-9.6748113475125741E-2"/>
    <n v="-0.50022631877401169"/>
    <x v="1"/>
    <x v="0"/>
    <x v="0"/>
    <x v="0"/>
    <x v="0"/>
    <x v="1"/>
  </r>
  <r>
    <x v="0"/>
    <s v="EGBN"/>
    <n v="535"/>
    <n v="17.68"/>
    <n v="5.58"/>
    <n v="40.99"/>
    <n v="-1.49"/>
    <n v="3.1684587813620069"/>
    <n v="0.43132471334471817"/>
    <n v="-3.6"/>
    <n v="-0.39"/>
    <n v="9.09"/>
    <n v="-11.865771812080537"/>
    <s v="NO"/>
    <n v="-1.7850340471398551"/>
    <n v="-2.2739806086731336"/>
    <n v="-3.1051620124574417"/>
    <n v="-3.0754940302007103"/>
    <n v="-0.28062298107425732"/>
    <n v="-9.2536229609032041"/>
    <x v="1"/>
    <x v="0"/>
    <x v="1"/>
    <x v="1"/>
    <x v="0"/>
    <x v="0"/>
  </r>
  <r>
    <x v="0"/>
    <s v="HBCP"/>
    <n v="393"/>
    <n v="50.87"/>
    <n v="5.57"/>
    <n v="50.82"/>
    <n v="4.78"/>
    <n v="9.1328545780969463"/>
    <n v="1.0009838646202283"/>
    <n v="9.85"/>
    <n v="1.1200000000000001"/>
    <n v="8.65"/>
    <n v="10.64225941422594"/>
    <s v="NO"/>
    <n v="-0.27329389809491517"/>
    <n v="-0.21884641777580702"/>
    <n v="0.14885982731967573"/>
    <n v="0.35434052342046707"/>
    <n v="-0.53345092402306271"/>
    <n v="-0.5316867344807813"/>
    <x v="1"/>
    <x v="0"/>
    <x v="0"/>
    <x v="0"/>
    <x v="0"/>
    <x v="1"/>
  </r>
  <r>
    <x v="0"/>
    <s v="OFG"/>
    <n v="1848"/>
    <n v="41.8"/>
    <n v="5.52"/>
    <n v="28.83"/>
    <n v="4.18"/>
    <n v="7.5724637681159424"/>
    <n v="1.4498785986819285"/>
    <n v="15.46"/>
    <n v="1.7"/>
    <n v="9.0500000000000007"/>
    <n v="10"/>
    <s v="NO"/>
    <n v="-0.668791701399713"/>
    <n v="1.4006113123744561"/>
    <n v="1.5061135463642583"/>
    <n v="1.6717604181888659"/>
    <n v="-0.30360733952414826"/>
    <n v="-0.7805643726613688"/>
    <x v="1"/>
    <x v="0"/>
    <x v="0"/>
    <x v="0"/>
    <x v="0"/>
    <x v="1"/>
  </r>
  <r>
    <x v="0"/>
    <s v="NPB"/>
    <n v="452"/>
    <n v="13.23"/>
    <n v="5.46"/>
    <n v="17.09"/>
    <n v="1.94"/>
    <n v="2.4230769230769234"/>
    <n v="0.77413692217671159"/>
    <n v="12.35"/>
    <n v="1.1100000000000001"/>
    <n v="9.99"/>
    <n v="6.81958762886598"/>
    <s v="NO"/>
    <n v="-1.9739590816179726"/>
    <n v="-1.0372321252156504"/>
    <n v="0.75369660051244858"/>
    <n v="0.33162638730377048"/>
    <n v="0.2365250840483"/>
    <n v="-2.0129846406026717"/>
    <x v="1"/>
    <x v="0"/>
    <x v="0"/>
    <x v="0"/>
    <x v="0"/>
    <x v="1"/>
  </r>
  <r>
    <x v="0"/>
    <s v="THFF"/>
    <n v="614"/>
    <n v="51.88"/>
    <n v="5.35"/>
    <n v="48.26"/>
    <n v="4.63"/>
    <n v="9.6971962616822438"/>
    <n v="1.0750103605470369"/>
    <n v="10.02"/>
    <n v="1.05"/>
    <n v="9.6999999999999993"/>
    <n v="11.205183585313176"/>
    <s v="NO"/>
    <n v="-0.13025543956026542"/>
    <n v="4.8215706076439928E-2"/>
    <n v="0.18998872789678425"/>
    <n v="0.19534157060359114"/>
    <n v="6.9888485286586616E-2"/>
    <n v="-0.31355176429306397"/>
    <x v="1"/>
    <x v="0"/>
    <x v="0"/>
    <x v="0"/>
    <x v="0"/>
    <x v="1"/>
  </r>
  <r>
    <x v="0"/>
    <s v="CASH"/>
    <n v="1839"/>
    <n v="77.11"/>
    <n v="5.29"/>
    <n v="35.35"/>
    <n v="7.36"/>
    <n v="14.576559546313799"/>
    <n v="2.1813295615275812"/>
    <n v="23.2"/>
    <n v="2.52"/>
    <n v="8.42"/>
    <n v="10.476902173913043"/>
    <s v="NO"/>
    <n v="1.1064715702721981"/>
    <n v="4.0394346848122114"/>
    <n v="3.3786881961690827"/>
    <n v="3.5343195797579821"/>
    <n v="-0.66561098510993866"/>
    <n v="-0.59576320967691787"/>
    <x v="1"/>
    <x v="1"/>
    <x v="1"/>
    <x v="1"/>
    <x v="0"/>
    <x v="1"/>
  </r>
  <r>
    <x v="0"/>
    <s v="CUBI"/>
    <n v="1610"/>
    <n v="52.77"/>
    <n v="5.25"/>
    <n v="54.85"/>
    <n v="3.98"/>
    <n v="10.051428571428572"/>
    <n v="0.96207839562443032"/>
    <n v="8.14"/>
    <n v="0.66"/>
    <n v="12.99"/>
    <n v="13.258793969849247"/>
    <s v="NO"/>
    <n v="-4.0471457580800341E-2"/>
    <n v="-0.35920396204966409"/>
    <n v="-0.26484852554418065"/>
    <n v="-0.69050973794757387"/>
    <n v="1.9603519677901571"/>
    <n v="0.48222902291804731"/>
    <x v="1"/>
    <x v="0"/>
    <x v="0"/>
    <x v="0"/>
    <x v="0"/>
    <x v="1"/>
  </r>
  <r>
    <x v="0"/>
    <s v="ESQ"/>
    <n v="768"/>
    <n v="90.48"/>
    <n v="5.25"/>
    <n v="31.35"/>
    <n v="5.27"/>
    <n v="17.234285714285715"/>
    <n v="2.8861244019138756"/>
    <n v="19.66"/>
    <n v="2.4900000000000002"/>
    <n v="7.8"/>
    <n v="17.168880455407972"/>
    <s v="NO"/>
    <n v="1.7801008011642765"/>
    <n v="6.582091940124819"/>
    <n v="2.5222393253281163"/>
    <n v="3.4661771714078928"/>
    <n v="-1.0218685410832558"/>
    <n v="1.9974004132518477"/>
    <x v="1"/>
    <x v="1"/>
    <x v="0"/>
    <x v="1"/>
    <x v="0"/>
    <x v="1"/>
  </r>
  <r>
    <x v="0"/>
    <s v="GNTY"/>
    <n v="469"/>
    <n v="41.2"/>
    <n v="4.95"/>
    <n v="28.64"/>
    <n v="2.91"/>
    <n v="8.3232323232323235"/>
    <n v="1.4385474860335197"/>
    <n v="10.58"/>
    <n v="1.06"/>
    <n v="9.69"/>
    <n v="14.15807560137457"/>
    <s v="NO"/>
    <n v="-0.47850135077757588"/>
    <n v="1.3597325571178911"/>
    <n v="0.32547216509196553"/>
    <n v="0.21805570672028771"/>
    <n v="6.4142395674113881E-2"/>
    <n v="0.83070361675945958"/>
    <x v="1"/>
    <x v="0"/>
    <x v="0"/>
    <x v="0"/>
    <x v="0"/>
    <x v="1"/>
  </r>
  <r>
    <x v="0"/>
    <s v="UNTY"/>
    <n v="443"/>
    <n v="43.25"/>
    <n v="4.91"/>
    <n v="30.38"/>
    <n v="4.26"/>
    <n v="8.8085539714867611"/>
    <n v="1.4236339697169191"/>
    <n v="15.17"/>
    <n v="1.63"/>
    <n v="9.0399999999999991"/>
    <n v="10.152582159624414"/>
    <s v="NO"/>
    <n v="-0.35549136856470287"/>
    <n v="1.3059297221768129"/>
    <n v="1.4359524806738964"/>
    <n v="1.5127614653719899"/>
    <n v="-0.309353429136622"/>
    <n v="-0.72143828330449322"/>
    <x v="1"/>
    <x v="0"/>
    <x v="0"/>
    <x v="0"/>
    <x v="0"/>
    <x v="1"/>
  </r>
  <r>
    <x v="0"/>
    <s v="WABC"/>
    <n v="1258"/>
    <n v="48.63"/>
    <n v="4.87"/>
    <n v="35.020000000000003"/>
    <n v="4.99"/>
    <n v="9.9856262833675569"/>
    <n v="1.3886350656767561"/>
    <n v="15.54"/>
    <n v="2.14"/>
    <n v="6.46"/>
    <n v="9.7454909819639273"/>
    <s v="NO"/>
    <n v="-5.7149753949950109E-2"/>
    <n v="1.1796657199645733"/>
    <n v="1.5254683231064265"/>
    <n v="2.671182407323514"/>
    <n v="-1.7918445491546187"/>
    <n v="-0.87918745533088261"/>
    <x v="1"/>
    <x v="0"/>
    <x v="0"/>
    <x v="0"/>
    <x v="0"/>
    <x v="1"/>
  </r>
  <r>
    <x v="0"/>
    <s v="PLBC"/>
    <n v="258"/>
    <n v="42.95"/>
    <n v="4.78"/>
    <n v="31.68"/>
    <n v="4.95"/>
    <n v="8.985355648535565"/>
    <n v="1.3557449494949496"/>
    <n v="16.93"/>
    <n v="1.8"/>
    <n v="8.7100000000000009"/>
    <n v="8.6767676767676765"/>
    <s v="NO"/>
    <n v="-0.31067908535582039"/>
    <n v="1.0610094986847627"/>
    <n v="1.8617575690016084"/>
    <n v="1.8989017793558314"/>
    <n v="-0.49897438634822527"/>
    <n v="-1.2933212557460287"/>
    <x v="1"/>
    <x v="0"/>
    <x v="0"/>
    <x v="0"/>
    <x v="0"/>
    <x v="1"/>
  </r>
  <r>
    <x v="0"/>
    <s v="EQBK"/>
    <n v="682"/>
    <n v="39.549999999999997"/>
    <n v="4.68"/>
    <n v="35.21"/>
    <n v="3.93"/>
    <n v="8.4508547008547001"/>
    <n v="1.1232604373757453"/>
    <n v="11.84"/>
    <n v="1.19"/>
    <n v="8.82"/>
    <n v="10.063613231552162"/>
    <s v="NO"/>
    <n v="-0.44615408900230319"/>
    <n v="0.22228537981392643"/>
    <n v="0.63030989878112298"/>
    <n v="0.51333947623734244"/>
    <n v="-0.4357674006110242"/>
    <n v="-0.75591403593595408"/>
    <x v="1"/>
    <x v="0"/>
    <x v="0"/>
    <x v="0"/>
    <x v="0"/>
    <x v="1"/>
  </r>
  <r>
    <x v="0"/>
    <s v="SFST"/>
    <n v="295"/>
    <n v="35"/>
    <n v="4.3899999999999997"/>
    <n v="41.33"/>
    <n v="2.25"/>
    <n v="7.9726651480637818"/>
    <n v="0.84684248729736278"/>
    <n v="5.6"/>
    <n v="0.44"/>
    <n v="12.69"/>
    <n v="15.555555555555555"/>
    <s v="NO"/>
    <n v="-0.56735636504904186"/>
    <n v="-0.77493546516305523"/>
    <n v="-0.87936268710803811"/>
    <n v="-1.1902207325148975"/>
    <n v="1.7879692794159709"/>
    <n v="1.3722317013581955"/>
    <x v="1"/>
    <x v="0"/>
    <x v="0"/>
    <x v="0"/>
    <x v="0"/>
    <x v="1"/>
  </r>
  <r>
    <x v="0"/>
    <s v="BSVN"/>
    <n v="365"/>
    <n v="39.25"/>
    <n v="4.2"/>
    <n v="23.46"/>
    <n v="4.71"/>
    <n v="9.3452380952380949"/>
    <n v="1.6730605285592497"/>
    <n v="22.26"/>
    <n v="2.5099999999999998"/>
    <n v="8.06"/>
    <n v="8.3333333333333339"/>
    <s v="NO"/>
    <n v="-0.21946301550435846"/>
    <n v="2.2057749156525532"/>
    <n v="3.1512695694486004"/>
    <n v="3.5116054436412854"/>
    <n v="-0.87247021115896117"/>
    <n v="-1.426403194867238"/>
    <x v="1"/>
    <x v="0"/>
    <x v="1"/>
    <x v="1"/>
    <x v="0"/>
    <x v="1"/>
  </r>
  <r>
    <x v="0"/>
    <s v="FISI"/>
    <n v="519"/>
    <n v="26.05"/>
    <n v="4.08"/>
    <n v="28.48"/>
    <n v="-1.69"/>
    <n v="6.3848039215686274"/>
    <n v="0.9146769662921348"/>
    <n v="-5.18"/>
    <n v="-0.42"/>
    <n v="11.07"/>
    <n v="-15.414201183431954"/>
    <s v="NO"/>
    <n v="-0.96981684034454851"/>
    <n v="-0.53021200765040877"/>
    <n v="-3.4874188531152743"/>
    <n v="-3.1436364385508"/>
    <n v="0.85710276219536852"/>
    <n v="-10.628651028427791"/>
    <x v="1"/>
    <x v="0"/>
    <x v="1"/>
    <x v="1"/>
    <x v="0"/>
    <x v="0"/>
  </r>
  <r>
    <x v="0"/>
    <s v="PFIS"/>
    <n v="480"/>
    <n v="48.52"/>
    <n v="3.98"/>
    <n v="48.21"/>
    <n v="2.14"/>
    <n v="12.190954773869347"/>
    <n v="1.0064302012030699"/>
    <n v="4.88"/>
    <n v="0.46"/>
    <n v="10.38"/>
    <n v="22.672897196261683"/>
    <s v="NO"/>
    <n v="0.50181442859965208"/>
    <n v="-0.19919790953808111"/>
    <n v="-1.0535556777875565"/>
    <n v="-1.1447924602815045"/>
    <n v="0.46062257893474173"/>
    <n v="4.1302250268404563"/>
    <x v="1"/>
    <x v="0"/>
    <x v="0"/>
    <x v="0"/>
    <x v="0"/>
    <x v="0"/>
  </r>
  <r>
    <x v="0"/>
    <s v="STBA"/>
    <n v="1405"/>
    <n v="37.369999999999997"/>
    <n v="3.96"/>
    <n v="37.06"/>
    <n v="3.47"/>
    <n v="9.4368686868686869"/>
    <n v="1.0083648138154342"/>
    <n v="9.84"/>
    <n v="1.39"/>
    <n v="6.85"/>
    <n v="10.769452449567723"/>
    <s v="NO"/>
    <n v="-0.19623825830019415"/>
    <n v="-0.19221849295729121"/>
    <n v="0.1464404802269047"/>
    <n v="0.96762219857127307"/>
    <n v="-1.5677470542681773"/>
    <n v="-0.48239901439802535"/>
    <x v="1"/>
    <x v="0"/>
    <x v="0"/>
    <x v="0"/>
    <x v="0"/>
    <x v="1"/>
  </r>
  <r>
    <x v="0"/>
    <s v="PEBO"/>
    <n v="1045"/>
    <n v="29.79"/>
    <n v="3.87"/>
    <n v="32.630000000000003"/>
    <n v="3.15"/>
    <n v="7.6976744186046506"/>
    <n v="0.91296353049341084"/>
    <n v="10.18"/>
    <n v="1.21"/>
    <n v="8.1300000000000008"/>
    <n v="9.4571428571428573"/>
    <s v="NO"/>
    <n v="-0.63705571775901737"/>
    <n v="-0.53639349439731798"/>
    <n v="0.22869828138112175"/>
    <n v="0.55876774847073551"/>
    <n v="-0.83224758387165099"/>
    <n v="-0.99092330332270906"/>
    <x v="1"/>
    <x v="0"/>
    <x v="0"/>
    <x v="0"/>
    <x v="0"/>
    <x v="1"/>
  </r>
  <r>
    <x v="0"/>
    <s v="EBTC"/>
    <n v="482"/>
    <n v="40.54"/>
    <n v="3.87"/>
    <n v="31.28"/>
    <n v="3.27"/>
    <n v="10.475452196382429"/>
    <n v="1.2960358056265984"/>
    <n v="11.31"/>
    <n v="0.85"/>
    <n v="12.72"/>
    <n v="12.397553516819572"/>
    <s v="NO"/>
    <n v="6.7001882524701614E-2"/>
    <n v="0.8455994542778601"/>
    <n v="0.50208450286425521"/>
    <n v="-0.25894115173033971"/>
    <n v="1.8052075482533902"/>
    <n v="0.14849551102560665"/>
    <x v="1"/>
    <x v="0"/>
    <x v="0"/>
    <x v="0"/>
    <x v="0"/>
    <x v="1"/>
  </r>
  <r>
    <x v="0"/>
    <s v="CBNK"/>
    <n v="535"/>
    <n v="31.78"/>
    <n v="3.84"/>
    <n v="22.19"/>
    <n v="2.4900000000000002"/>
    <n v="8.2760416666666679"/>
    <n v="1.4321766561514195"/>
    <n v="12.19"/>
    <n v="1.35"/>
    <n v="9.06"/>
    <n v="12.76305220883534"/>
    <s v="NO"/>
    <n v="-0.49046232932785017"/>
    <n v="1.3367487951862547"/>
    <n v="0.71498704702811111"/>
    <n v="0.87676565410448737"/>
    <n v="-0.29786124991167551"/>
    <n v="0.29012745788715621"/>
    <x v="1"/>
    <x v="0"/>
    <x v="0"/>
    <x v="0"/>
    <x v="0"/>
    <x v="1"/>
  </r>
  <r>
    <x v="0"/>
    <s v="LKFN"/>
    <n v="1530"/>
    <n v="60.98"/>
    <n v="3.8"/>
    <n v="27.17"/>
    <n v="3.5"/>
    <n v="16.047368421052632"/>
    <n v="2.2443871917556124"/>
    <n v="13.44"/>
    <n v="1.34"/>
    <n v="9.8699999999999992"/>
    <n v="17.422857142857143"/>
    <s v="NO"/>
    <n v="1.479263870329061"/>
    <n v="4.2669249157484153"/>
    <n v="1.0174054336244975"/>
    <n v="0.85405151798779078"/>
    <n v="0.16757200869862515"/>
    <n v="2.0958172160658002"/>
    <x v="1"/>
    <x v="1"/>
    <x v="0"/>
    <x v="0"/>
    <x v="0"/>
    <x v="1"/>
  </r>
  <r>
    <x v="0"/>
    <s v="SPFI"/>
    <n v="584"/>
    <n v="36.229999999999997"/>
    <n v="3.8"/>
    <n v="27.33"/>
    <n v="3"/>
    <n v="9.534210526315789"/>
    <n v="1.3256494694474936"/>
    <n v="12"/>
    <n v="1.19"/>
    <n v="9.93"/>
    <n v="12.076666666666666"/>
    <s v="NO"/>
    <n v="-0.17156592402039542"/>
    <n v="0.95243536290811859"/>
    <n v="0.66901945226546045"/>
    <n v="0.51333947623734244"/>
    <n v="0.20204854637346256"/>
    <n v="2.4150799807144165E-2"/>
    <x v="1"/>
    <x v="0"/>
    <x v="0"/>
    <x v="0"/>
    <x v="0"/>
    <x v="1"/>
  </r>
  <r>
    <x v="0"/>
    <s v="SSBK"/>
    <n v="342"/>
    <n v="34.71"/>
    <n v="3.79"/>
    <n v="29.25"/>
    <n v="3.8"/>
    <n v="9.1583113456464389"/>
    <n v="1.1866666666666668"/>
    <n v="14.46"/>
    <n v="1.38"/>
    <n v="9.83"/>
    <n v="9.1342105263157904"/>
    <s v="NO"/>
    <n v="-0.26684160705303978"/>
    <n v="0.45103323621170044"/>
    <n v="1.2641788370871492"/>
    <n v="0.94490806245457648"/>
    <n v="0.14458765024873421"/>
    <n v="-1.1160606450388384"/>
    <x v="1"/>
    <x v="0"/>
    <x v="0"/>
    <x v="0"/>
    <x v="0"/>
    <x v="1"/>
  </r>
  <r>
    <x v="0"/>
    <s v="CCBG"/>
    <n v="644"/>
    <n v="37.19"/>
    <n v="3.65"/>
    <n v="30.05"/>
    <n v="3.37"/>
    <n v="10.18904109589041"/>
    <n v="1.2376039933444258"/>
    <n v="11.8"/>
    <n v="1.3"/>
    <n v="8.6999999999999993"/>
    <n v="11.03560830860534"/>
    <s v="NO"/>
    <n v="-5.5920858338292427E-3"/>
    <n v="0.63479758268796771"/>
    <n v="0.62063251041003875"/>
    <n v="0.76319497352100452"/>
    <n v="-0.50472047596069902"/>
    <n v="-0.37926274248359759"/>
    <x v="1"/>
    <x v="0"/>
    <x v="0"/>
    <x v="0"/>
    <x v="0"/>
    <x v="1"/>
  </r>
  <r>
    <x v="0"/>
    <s v="OBK"/>
    <n v="1062"/>
    <n v="34.94"/>
    <n v="3.58"/>
    <n v="37.770000000000003"/>
    <n v="2.4300000000000002"/>
    <n v="9.7597765363128488"/>
    <n v="0.92507280910775735"/>
    <n v="6.75"/>
    <n v="0.78"/>
    <n v="8.26"/>
    <n v="14.378600823045266"/>
    <s v="NO"/>
    <n v="-0.11439379708691826"/>
    <n v="-0.4927073841123813"/>
    <n v="-0.60113777143936242"/>
    <n v="-0.41794010454721536"/>
    <n v="-0.75754841890950442"/>
    <n v="0.91615786641775399"/>
    <x v="1"/>
    <x v="0"/>
    <x v="0"/>
    <x v="0"/>
    <x v="0"/>
    <x v="1"/>
  </r>
  <r>
    <x v="0"/>
    <s v="NECB"/>
    <n v="288"/>
    <n v="22.52"/>
    <n v="3.49"/>
    <n v="25.71"/>
    <n v="3.44"/>
    <n v="6.4527220630372488"/>
    <n v="0.87592376507195635"/>
    <n v="15.02"/>
    <n v="2.4300000000000002"/>
    <n v="5.91"/>
    <n v="6.5465116279069768"/>
    <s v="NO"/>
    <n v="-0.95260225821322264"/>
    <n v="-0.67002022218709434"/>
    <n v="1.3996622742823299"/>
    <n v="3.3298923547077135"/>
    <n v="-2.1078794778406258"/>
    <n v="-2.1188024903019027"/>
    <x v="1"/>
    <x v="0"/>
    <x v="0"/>
    <x v="1"/>
    <x v="0"/>
    <x v="1"/>
  </r>
  <r>
    <x v="0"/>
    <s v="WASH"/>
    <n v="534"/>
    <n v="27.75"/>
    <n v="3.43"/>
    <n v="27.06"/>
    <n v="-1.51"/>
    <n v="8.0903790087463552"/>
    <n v="1.02549889135255"/>
    <n v="-5.42"/>
    <n v="-0.39"/>
    <n v="12.62"/>
    <n v="-18.377483443708609"/>
    <s v="NO"/>
    <n v="-0.53752052327101218"/>
    <n v="-0.13040463725573986"/>
    <n v="-3.5454831833417804"/>
    <n v="-3.0754940302007103"/>
    <n v="1.7477466521286606"/>
    <n v="-11.776932663332163"/>
    <x v="1"/>
    <x v="0"/>
    <x v="1"/>
    <x v="1"/>
    <x v="0"/>
    <x v="0"/>
  </r>
  <r>
    <x v="0"/>
    <s v="SUPV"/>
    <n v="1140"/>
    <n v="11.9"/>
    <n v="3.42"/>
    <n v="1.77"/>
    <n v="0.13"/>
    <n v="3.4795321637426904"/>
    <n v="6.72316384180791"/>
    <n v="8.8000000000000007"/>
    <n v="1.56"/>
    <n v="6.37"/>
    <n v="91.538461538461533"/>
    <s v="NO"/>
    <n v="-1.7061891586598652"/>
    <n v="20.4248098655566"/>
    <n v="-0.1051716174212886"/>
    <n v="1.3537625125551145"/>
    <n v="-1.8435593556668741"/>
    <n v="30.815858006025774"/>
    <x v="1"/>
    <x v="1"/>
    <x v="0"/>
    <x v="0"/>
    <x v="0"/>
    <x v="0"/>
  </r>
  <r>
    <x v="0"/>
    <s v="GABC"/>
    <n v="1432"/>
    <n v="38.39"/>
    <n v="3.39"/>
    <n v="27.91"/>
    <n v="2.4300000000000002"/>
    <n v="11.32448377581121"/>
    <n v="1.3754926549623792"/>
    <n v="8.85"/>
    <n v="1.04"/>
    <n v="8.0500000000000007"/>
    <n v="15.798353909465019"/>
    <s v="NO"/>
    <n v="0.28219805162068184"/>
    <n v="1.1322524245765235"/>
    <n v="-9.3074881957433395E-2"/>
    <n v="0.17262743448689458"/>
    <n v="-0.87821630077143398"/>
    <n v="1.4663168631116428"/>
    <x v="1"/>
    <x v="0"/>
    <x v="0"/>
    <x v="0"/>
    <x v="0"/>
    <x v="1"/>
  </r>
  <r>
    <x v="0"/>
    <s v="RBB"/>
    <n v="301"/>
    <n v="17.38"/>
    <n v="3.38"/>
    <n v="28.76"/>
    <n v="1.17"/>
    <n v="5.1420118343195265"/>
    <n v="0.60431154381084828"/>
    <n v="4.08"/>
    <n v="0.53"/>
    <n v="7.86"/>
    <n v="14.854700854700855"/>
    <s v="NO"/>
    <n v="-1.2848158376006191"/>
    <n v="-1.6499036513032981"/>
    <n v="-1.2471034452092438"/>
    <n v="-0.98579350746462879"/>
    <n v="-0.98739200340841848"/>
    <n v="1.1006481966357275"/>
    <x v="1"/>
    <x v="0"/>
    <x v="0"/>
    <x v="0"/>
    <x v="0"/>
    <x v="1"/>
  </r>
  <r>
    <x v="0"/>
    <s v="SMBK"/>
    <n v="541"/>
    <n v="32.49"/>
    <n v="3.31"/>
    <n v="29.72"/>
    <n v="2.2599999999999998"/>
    <n v="9.8157099697885197"/>
    <n v="1.0932032301480485"/>
    <n v="7.82"/>
    <n v="0.73"/>
    <n v="10.7"/>
    <n v="14.376106194690268"/>
    <s v="NO"/>
    <n v="-0.1002168678654547"/>
    <n v="0.11384931920081311"/>
    <n v="-0.34226763251285564"/>
    <n v="-0.53151078513069816"/>
    <n v="0.64449744653387231"/>
    <n v="0.91519118971457381"/>
    <x v="1"/>
    <x v="0"/>
    <x v="0"/>
    <x v="0"/>
    <x v="0"/>
    <x v="1"/>
  </r>
  <r>
    <x v="0"/>
    <s v="NBHC"/>
    <n v="1377"/>
    <n v="37.28"/>
    <n v="3.29"/>
    <n v="34.9"/>
    <n v="2.89"/>
    <n v="11.331306990881458"/>
    <n v="1.0681948424068768"/>
    <n v="8.7200000000000006"/>
    <n v="1.1100000000000001"/>
    <n v="7.6"/>
    <n v="12.899653979238755"/>
    <s v="NO"/>
    <n v="0.28392746873497021"/>
    <n v="2.3627661932565935E-2"/>
    <n v="-0.12452639416345734"/>
    <n v="0.33162638730377048"/>
    <n v="-1.1367903333327132"/>
    <n v="0.34306109379230293"/>
    <x v="1"/>
    <x v="0"/>
    <x v="0"/>
    <x v="0"/>
    <x v="0"/>
    <x v="1"/>
  </r>
  <r>
    <x v="0"/>
    <s v="MOFG"/>
    <n v="598"/>
    <n v="29.08"/>
    <n v="3.28"/>
    <n v="27.85"/>
    <n v="-2.65"/>
    <n v="8.8658536585365848"/>
    <n v="1.0441651705565529"/>
    <n v="-8.74"/>
    <n v="-0.74"/>
    <n v="10.79"/>
    <n v="-10.973584905660378"/>
    <s v="NO"/>
    <n v="-0.34096814770663236"/>
    <n v="-6.3063125189994448E-2"/>
    <n v="-4.3487064181417825"/>
    <n v="-3.8704887942850892"/>
    <n v="0.69621225304612788"/>
    <n v="-8.9078975964052667"/>
    <x v="1"/>
    <x v="0"/>
    <x v="1"/>
    <x v="1"/>
    <x v="0"/>
    <x v="0"/>
  </r>
  <r>
    <x v="0"/>
    <s v="TCBK"/>
    <n v="1311"/>
    <n v="40.44"/>
    <n v="3.15"/>
    <n v="38.17"/>
    <n v="3.43"/>
    <n v="12.838095238095237"/>
    <n v="1.0594707885774166"/>
    <n v="9.3800000000000008"/>
    <n v="1.1599999999999999"/>
    <n v="7.82"/>
    <n v="11.79008746355685"/>
    <s v="NO"/>
    <n v="0.66583912702382597"/>
    <n v="-7.8457222270806645E-3"/>
    <n v="3.515051395943472E-2"/>
    <n v="0.44519706788725277"/>
    <n v="-1.0103763618583099"/>
    <n v="-8.6899585195940196E-2"/>
    <x v="1"/>
    <x v="0"/>
    <x v="0"/>
    <x v="0"/>
    <x v="0"/>
    <x v="1"/>
  </r>
  <r>
    <x v="0"/>
    <s v="BWFG"/>
    <n v="273"/>
    <n v="35"/>
    <n v="3.14"/>
    <n v="35.729999999999997"/>
    <n v="1.62"/>
    <n v="11.146496815286623"/>
    <n v="0.97956898964455652"/>
    <n v="4.75"/>
    <n v="0.41"/>
    <n v="11.57"/>
    <n v="21.604938271604937"/>
    <s v="NO"/>
    <n v="0.23708534558953775"/>
    <n v="-0.29610391755923338"/>
    <n v="-1.0850071899935807"/>
    <n v="-1.2583631408649871"/>
    <n v="1.1444072428190115"/>
    <n v="3.7163874264017207"/>
    <x v="1"/>
    <x v="0"/>
    <x v="0"/>
    <x v="0"/>
    <x v="0"/>
    <x v="0"/>
  </r>
  <r>
    <x v="0"/>
    <s v="IBCP"/>
    <n v="653"/>
    <n v="31.58"/>
    <n v="3.14"/>
    <n v="22.28"/>
    <n v="3.14"/>
    <n v="10.057324840764331"/>
    <n v="1.4174147217235187"/>
    <n v="15.04"/>
    <n v="1.26"/>
    <n v="11.4"/>
    <n v="10.057324840764331"/>
    <s v="NO"/>
    <n v="-3.8976984814702416E-2"/>
    <n v="1.2834928155383638"/>
    <n v="1.404500968467872"/>
    <n v="0.67233842905421837"/>
    <n v="1.046723719406973"/>
    <n v="-0.75835080807594435"/>
    <x v="1"/>
    <x v="0"/>
    <x v="0"/>
    <x v="0"/>
    <x v="0"/>
    <x v="1"/>
  </r>
  <r>
    <x v="0"/>
    <s v="FSBC"/>
    <n v="597"/>
    <n v="27.765000000000001"/>
    <n v="3.14"/>
    <n v="19.059999999999999"/>
    <n v="2.27"/>
    <n v="8.8423566878980893"/>
    <n v="1.4567156348373558"/>
    <n v="13.78"/>
    <n v="1.25"/>
    <n v="10.44"/>
    <n v="12.231277533039648"/>
    <s v="NO"/>
    <n v="-0.34692370718083576"/>
    <n v="1.4252769861127934"/>
    <n v="1.0996632347787145"/>
    <n v="0.64962429293752177"/>
    <n v="0.49509911660957817"/>
    <n v="8.4063019710277673E-2"/>
    <x v="1"/>
    <x v="0"/>
    <x v="0"/>
    <x v="0"/>
    <x v="0"/>
    <x v="1"/>
  </r>
  <r>
    <x v="0"/>
    <s v="HTH"/>
    <n v="1913"/>
    <n v="30.17"/>
    <n v="3.14"/>
    <n v="34.29"/>
    <n v="1.97"/>
    <n v="9.6082802547770694"/>
    <n v="0.87984835228929725"/>
    <n v="6.3"/>
    <n v="0.86"/>
    <n v="7.19"/>
    <n v="15.314720812182742"/>
    <s v="NO"/>
    <n v="-0.15279215612171376"/>
    <n v="-0.65586166200692964"/>
    <n v="-0.71000839061406162"/>
    <n v="-0.23622701561364318"/>
    <n v="-1.3723800074440997"/>
    <n v="1.2789074451545051"/>
    <x v="1"/>
    <x v="0"/>
    <x v="0"/>
    <x v="0"/>
    <x v="0"/>
    <x v="1"/>
  </r>
  <r>
    <x v="0"/>
    <s v="OBT"/>
    <n v="291"/>
    <n v="24.65"/>
    <n v="3.11"/>
    <n v="17.690000000000001"/>
    <n v="2.41"/>
    <n v="7.92604501607717"/>
    <n v="1.3934426229508194"/>
    <n v="14.76"/>
    <n v="1.0900000000000001"/>
    <n v="12.72"/>
    <n v="10.228215767634854"/>
    <s v="NO"/>
    <n v="-0.57917273801954738"/>
    <n v="1.1970097322682505"/>
    <n v="1.3367592498702816"/>
    <n v="0.28619811507037735"/>
    <n v="1.8052075482533902"/>
    <n v="-0.69213001111450734"/>
    <x v="1"/>
    <x v="0"/>
    <x v="0"/>
    <x v="0"/>
    <x v="0"/>
    <x v="1"/>
  </r>
  <r>
    <x v="0"/>
    <s v="ACNB"/>
    <n v="435"/>
    <n v="41.53"/>
    <n v="3.1"/>
    <n v="36.69"/>
    <n v="2.79"/>
    <n v="13.396774193548387"/>
    <n v="1.1319160534205506"/>
    <n v="7.44"/>
    <n v="0.87"/>
    <n v="8.4499999999999993"/>
    <n v="14.885304659498209"/>
    <s v="NO"/>
    <n v="0.80744230631775538"/>
    <n v="0.25351186399684361"/>
    <n v="-0.43420282203815708"/>
    <n v="-0.21351287949694661"/>
    <n v="-0.64837271627252047"/>
    <n v="1.1125072717829323"/>
    <x v="1"/>
    <x v="0"/>
    <x v="0"/>
    <x v="0"/>
    <x v="0"/>
    <x v="1"/>
  </r>
  <r>
    <x v="0"/>
    <s v="BHLB"/>
    <n v="1147"/>
    <n v="25.19"/>
    <n v="3.1"/>
    <n v="26.19"/>
    <n v="2.46"/>
    <n v="8.1258064516129043"/>
    <n v="0.96181748759068342"/>
    <n v="9.69"/>
    <n v="0.88"/>
    <n v="10.039999999999999"/>
    <n v="10.239837398373984"/>
    <s v="NO"/>
    <n v="-0.52854105752384017"/>
    <n v="-0.36014522845367503"/>
    <n v="0.11015027383533824"/>
    <n v="-0.19079874338025007"/>
    <n v="0.26525553211066366"/>
    <n v="-0.68762659092930456"/>
    <x v="1"/>
    <x v="0"/>
    <x v="0"/>
    <x v="0"/>
    <x v="0"/>
    <x v="1"/>
  </r>
  <r>
    <x v="0"/>
    <s v="BY"/>
    <n v="1194"/>
    <n v="26.54"/>
    <n v="3.08"/>
    <n v="25.32"/>
    <n v="2.69"/>
    <n v="8.6168831168831161"/>
    <n v="1.0481832543443916"/>
    <n v="11.08"/>
    <n v="1.25"/>
    <n v="8.4700000000000006"/>
    <n v="9.8661710037174721"/>
    <s v="NO"/>
    <n v="-0.40407240446186871"/>
    <n v="-4.8567261556823595E-2"/>
    <n v="0.44643951973052004"/>
    <n v="0.64962429293752177"/>
    <n v="-0.63688053704757397"/>
    <n v="-0.83242354946302977"/>
    <x v="1"/>
    <x v="0"/>
    <x v="0"/>
    <x v="0"/>
    <x v="0"/>
    <x v="1"/>
  </r>
  <r>
    <x v="0"/>
    <s v="MBWM"/>
    <n v="717"/>
    <n v="44.64"/>
    <n v="3.05"/>
    <n v="37.47"/>
    <n v="4.8"/>
    <n v="14.636065573770493"/>
    <n v="1.1913530824659728"/>
    <n v="13.55"/>
    <n v="1.34"/>
    <n v="10.1"/>
    <n v="9.3000000000000007"/>
    <s v="NO"/>
    <n v="1.1215540117938858"/>
    <n v="0.46794021176076395"/>
    <n v="1.0440182516449799"/>
    <n v="0.85405151798779078"/>
    <n v="0.2997320697855011"/>
    <n v="-1.0518166779878337"/>
    <x v="1"/>
    <x v="0"/>
    <x v="0"/>
    <x v="0"/>
    <x v="0"/>
    <x v="1"/>
  </r>
  <r>
    <x v="0"/>
    <s v="CIVB"/>
    <n v="350"/>
    <n v="21.99"/>
    <n v="3.03"/>
    <n v="25.61"/>
    <n v="2.2599999999999998"/>
    <n v="7.2574257425742577"/>
    <n v="0.85864896524794998"/>
    <n v="9.25"/>
    <n v="0.88"/>
    <n v="10.43"/>
    <n v="9.730088495575222"/>
    <s v="NO"/>
    <n v="-0.74864147125367275"/>
    <n v="-0.73234175547543157"/>
    <n v="3.6990017534103419E-3"/>
    <n v="-0.19079874338025007"/>
    <n v="0.48935302699710542"/>
    <n v="-0.88515596953187659"/>
    <x v="1"/>
    <x v="0"/>
    <x v="0"/>
    <x v="0"/>
    <x v="0"/>
    <x v="1"/>
  </r>
  <r>
    <x v="0"/>
    <s v="DCOM"/>
    <n v="1124"/>
    <n v="27.19"/>
    <n v="3.02"/>
    <n v="29.58"/>
    <n v="0.62"/>
    <n v="9.0033112582781456"/>
    <n v="0.91920216362407037"/>
    <n v="2.48"/>
    <n v="0.24"/>
    <n v="10.88"/>
    <n v="43.854838709677423"/>
    <s v="NO"/>
    <n v="-0.30612804329330318"/>
    <n v="-0.51388665285430835"/>
    <n v="-1.6341989800526184"/>
    <n v="-1.6445034548488284"/>
    <n v="0.74792705955838457"/>
    <n v="12.338297122275275"/>
    <x v="1"/>
    <x v="0"/>
    <x v="0"/>
    <x v="0"/>
    <x v="0"/>
    <x v="0"/>
  </r>
  <r>
    <x v="0"/>
    <s v="CPF"/>
    <n v="720"/>
    <n v="27.07"/>
    <n v="3"/>
    <n v="20.6"/>
    <n v="2.14"/>
    <n v="9.0233333333333334"/>
    <n v="1.3140776699029126"/>
    <n v="10.94"/>
    <n v="0.79"/>
    <n v="13.29"/>
    <n v="12.649532710280374"/>
    <s v="NO"/>
    <n v="-0.30105323341152301"/>
    <n v="0.91068829215356351"/>
    <n v="0.41256866043172463"/>
    <n v="-0.39522596843051883"/>
    <n v="2.1327346561643421"/>
    <n v="0.24613827834067203"/>
    <x v="1"/>
    <x v="0"/>
    <x v="0"/>
    <x v="0"/>
    <x v="0"/>
    <x v="1"/>
  </r>
  <r>
    <x v="0"/>
    <s v="FMAO"/>
    <n v="327"/>
    <n v="23.51"/>
    <n v="2.98"/>
    <n v="25.41"/>
    <n v="2.0099999999999998"/>
    <n v="7.8892617449664435"/>
    <n v="0.92522628886265257"/>
    <n v="8.31"/>
    <n v="0.82"/>
    <n v="9.83"/>
    <n v="11.696517412935325"/>
    <s v="NO"/>
    <n v="-0.58849585299151663"/>
    <n v="-0.49215368197104042"/>
    <n v="-0.22371962496707212"/>
    <n v="-0.32708356008042938"/>
    <n v="0.14458765024873421"/>
    <n v="-0.12315828796822956"/>
    <x v="1"/>
    <x v="0"/>
    <x v="0"/>
    <x v="0"/>
    <x v="0"/>
    <x v="1"/>
  </r>
  <r>
    <x v="0"/>
    <s v="BHB"/>
    <n v="446"/>
    <n v="29.28"/>
    <n v="2.94"/>
    <n v="30.51"/>
    <n v="2.84"/>
    <n v="9.9591836734693882"/>
    <n v="0.95968534906587999"/>
    <n v="9.67"/>
    <n v="1.0900000000000001"/>
    <n v="8.69"/>
    <n v="10.309859154929578"/>
    <s v="NO"/>
    <n v="-6.3851917319201659E-2"/>
    <n v="-0.36783725055538563"/>
    <n v="0.10531157964979616"/>
    <n v="0.28619811507037735"/>
    <n v="-0.51046656557317183"/>
    <n v="-0.66049292965971407"/>
    <x v="1"/>
    <x v="0"/>
    <x v="0"/>
    <x v="0"/>
    <x v="0"/>
    <x v="1"/>
  </r>
  <r>
    <x v="0"/>
    <s v="FCBC"/>
    <n v="687"/>
    <n v="38.299999999999997"/>
    <n v="2.83"/>
    <n v="27.09"/>
    <n v="2.74"/>
    <n v="13.533568904593638"/>
    <n v="1.4138058324104834"/>
    <n v="10.08"/>
    <n v="1.57"/>
    <n v="6.5"/>
    <n v="13.978102189781019"/>
    <s v="NO"/>
    <n v="0.84211439447416414"/>
    <n v="1.2704731847612998"/>
    <n v="0.20450481045341093"/>
    <n v="1.3764766486718112"/>
    <n v="-1.7688601907047272"/>
    <n v="0.760963327056289"/>
    <x v="1"/>
    <x v="0"/>
    <x v="0"/>
    <x v="0"/>
    <x v="0"/>
    <x v="1"/>
  </r>
  <r>
    <x v="0"/>
    <s v="HBT"/>
    <n v="737"/>
    <n v="24"/>
    <n v="2.77"/>
    <n v="17.86"/>
    <n v="2.38"/>
    <n v="8.6642599277978345"/>
    <n v="1.3437849944008959"/>
    <n v="14.24"/>
    <n v="1.49"/>
    <n v="9.01"/>
    <n v="10.084033613445378"/>
    <s v="NO"/>
    <n v="-0.39206424309325238"/>
    <n v="1.0178620962769345"/>
    <n v="1.210953201046185"/>
    <n v="1.1947635597382387"/>
    <n v="-0.3265916979740402"/>
    <n v="-0.7480010707014092"/>
    <x v="1"/>
    <x v="0"/>
    <x v="0"/>
    <x v="0"/>
    <x v="0"/>
    <x v="1"/>
  </r>
  <r>
    <x v="0"/>
    <s v="BFST"/>
    <n v="706"/>
    <n v="23.88"/>
    <n v="2.74"/>
    <n v="25.51"/>
    <n v="2.4300000000000002"/>
    <n v="8.7153284671532845"/>
    <n v="0.9361034888279105"/>
    <n v="9.77"/>
    <n v="1"/>
    <n v="10.32"/>
    <n v="9.8271604938271597"/>
    <s v="NO"/>
    <n v="-0.37912037351655897"/>
    <n v="-0.45291248747819979"/>
    <n v="0.129505050577507"/>
    <n v="8.1770890020108358E-2"/>
    <n v="0.4261460412599043"/>
    <n v="-0.84754025051975557"/>
    <x v="1"/>
    <x v="0"/>
    <x v="0"/>
    <x v="0"/>
    <x v="0"/>
    <x v="1"/>
  </r>
  <r>
    <x v="0"/>
    <s v="UVSP"/>
    <n v="853"/>
    <n v="29.36"/>
    <n v="2.58"/>
    <n v="31.19"/>
    <n v="2.66"/>
    <n v="11.379844961240309"/>
    <n v="0.94132734850913746"/>
    <n v="8.93"/>
    <n v="0.99"/>
    <n v="8.83"/>
    <n v="11.037593984962406"/>
    <s v="NO"/>
    <n v="0.29622993843102829"/>
    <n v="-0.43406659934438957"/>
    <n v="-7.3720105215264647E-2"/>
    <n v="5.9056753903411807E-2"/>
    <n v="-0.43002131099855145"/>
    <n v="-0.37849328635575996"/>
    <x v="1"/>
    <x v="0"/>
    <x v="0"/>
    <x v="0"/>
    <x v="0"/>
    <x v="1"/>
  </r>
  <r>
    <x v="0"/>
    <s v="CAC"/>
    <n v="665"/>
    <n v="39.770000000000003"/>
    <n v="2.4700000000000002"/>
    <n v="37.909999999999997"/>
    <n v="3.09"/>
    <n v="16.101214574898787"/>
    <n v="1.0490635716169878"/>
    <n v="8.24"/>
    <n v="0.74"/>
    <n v="10.88"/>
    <n v="12.8705501618123"/>
    <s v="NO"/>
    <n v="1.4929117561191767"/>
    <n v="-4.5391379765582225E-2"/>
    <n v="-0.24065505461646983"/>
    <n v="-0.50879664901400157"/>
    <n v="0.74792705955838457"/>
    <n v="0.33178326869126529"/>
    <x v="1"/>
    <x v="0"/>
    <x v="0"/>
    <x v="0"/>
    <x v="0"/>
    <x v="1"/>
  </r>
  <r>
    <x v="0"/>
    <s v="AMTB"/>
    <n v="733"/>
    <n v="17.649999999999999"/>
    <n v="2.4700000000000002"/>
    <n v="21.68"/>
    <n v="-0.38"/>
    <n v="7.1457489878542502"/>
    <n v="0.81411439114391138"/>
    <n v="-1.75"/>
    <n v="-0.14000000000000001"/>
    <n v="11.22"/>
    <n v="-46.44736842105263"/>
    <s v="NO"/>
    <n v="-0.77694714371050388"/>
    <n v="-0.89300717393369744"/>
    <n v="-2.6575828002947901"/>
    <n v="-2.5076406272832967"/>
    <n v="0.94329410638246158"/>
    <n v="-22.654105535265415"/>
    <x v="1"/>
    <x v="0"/>
    <x v="0"/>
    <x v="0"/>
    <x v="0"/>
    <x v="0"/>
  </r>
  <r>
    <x v="0"/>
    <s v="NRIM"/>
    <n v="506"/>
    <n v="89.14"/>
    <n v="2.46"/>
    <n v="50.67"/>
    <n v="7.52"/>
    <n v="36.235772357723576"/>
    <n v="1.7592263666864021"/>
    <n v="16.22"/>
    <n v="1.43"/>
    <n v="11.23"/>
    <n v="11.853723404255319"/>
    <s v="NO"/>
    <n v="6.5962315928449948"/>
    <n v="2.5166316088627556"/>
    <n v="1.6899839254148608"/>
    <n v="1.0584787430380593"/>
    <n v="0.94904019599493439"/>
    <n v="-6.2240448601542792E-2"/>
    <x v="0"/>
    <x v="0"/>
    <x v="0"/>
    <x v="0"/>
    <x v="0"/>
    <x v="1"/>
  </r>
  <r>
    <x v="0"/>
    <s v="FNLC"/>
    <n v="271"/>
    <n v="24.21"/>
    <n v="2.46"/>
    <n v="23.19"/>
    <n v="2.52"/>
    <n v="9.8414634146341466"/>
    <n v="1.0439844760672703"/>
    <n v="11.19"/>
    <n v="0.91"/>
    <n v="12.27"/>
    <n v="9.6071428571428577"/>
    <s v="NO"/>
    <n v="-9.3689380777716269E-2"/>
    <n v="-6.3715008728071412E-2"/>
    <n v="0.47305233775100192"/>
    <n v="-0.12265633503016039"/>
    <n v="1.5466335156921109"/>
    <n v="-0.93279780932418066"/>
    <x v="1"/>
    <x v="0"/>
    <x v="0"/>
    <x v="0"/>
    <x v="0"/>
    <x v="1"/>
  </r>
  <r>
    <x v="0"/>
    <s v="CCNE"/>
    <n v="455"/>
    <n v="21.93"/>
    <n v="2.44"/>
    <n v="27.16"/>
    <n v="2.34"/>
    <n v="8.9877049180327866"/>
    <n v="0.80743740795287189"/>
    <n v="8.89"/>
    <n v="0.88"/>
    <n v="11.11"/>
    <n v="9.3717948717948723"/>
    <s v="NO"/>
    <n v="-0.31008363777975234"/>
    <n v="-0.91709543165276886"/>
    <n v="-8.3397493586348806E-2"/>
    <n v="-0.19079874338025007"/>
    <n v="0.88008712064525951"/>
    <n v="-1.0239959287235809"/>
    <x v="1"/>
    <x v="0"/>
    <x v="0"/>
    <x v="0"/>
    <x v="0"/>
    <x v="1"/>
  </r>
  <r>
    <x v="0"/>
    <s v="BUSE"/>
    <n v="1980"/>
    <n v="22.82"/>
    <n v="2.38"/>
    <n v="24.22"/>
    <n v="0.95"/>
    <n v="9.5882352941176467"/>
    <n v="0.94219653179190754"/>
    <n v="3.32"/>
    <n v="0.37"/>
    <n v="8.93"/>
    <n v="24.02105263157895"/>
    <s v="NO"/>
    <n v="-0.15787276660558944"/>
    <n v="-0.43093088515709438"/>
    <n v="-1.4309738242598466"/>
    <n v="-1.3492196853317735"/>
    <n v="-0.37256041487382313"/>
    <n v="4.6526396979379037"/>
    <x v="1"/>
    <x v="0"/>
    <x v="0"/>
    <x v="0"/>
    <x v="0"/>
    <x v="0"/>
  </r>
  <r>
    <x v="0"/>
    <s v="MPB"/>
    <n v="612"/>
    <n v="26.64"/>
    <n v="2.33"/>
    <n v="34.5"/>
    <n v="2.88"/>
    <n v="11.433476394849786"/>
    <n v="0.77217391304347827"/>
    <n v="8.3800000000000008"/>
    <n v="0.94"/>
    <n v="8.3000000000000007"/>
    <n v="9.25"/>
    <s v="NO"/>
    <n v="0.30982340107189921"/>
    <n v="-1.0443139866721345"/>
    <n v="-0.20678419531767442"/>
    <n v="-5.4513926680070983E-2"/>
    <n v="-0.73456406045961253"/>
    <n v="-1.0711918426540101"/>
    <x v="1"/>
    <x v="0"/>
    <x v="0"/>
    <x v="0"/>
    <x v="0"/>
    <x v="1"/>
  </r>
  <r>
    <x v="0"/>
    <s v="VBTX"/>
    <n v="1313"/>
    <n v="25.11"/>
    <n v="2.27"/>
    <n v="30.08"/>
    <n v="2.04"/>
    <n v="11.061674008810572"/>
    <n v="0.83477393617021278"/>
    <n v="7.07"/>
    <n v="0.89"/>
    <n v="7.72"/>
    <n v="12.308823529411764"/>
    <s v="NO"/>
    <n v="0.21558609462186856"/>
    <n v="-0.8184746446890292"/>
    <n v="-0.52371866447068749"/>
    <n v="-0.16808460726355351"/>
    <n v="-1.0678372579830389"/>
    <n v="0.11411234868852653"/>
    <x v="1"/>
    <x v="0"/>
    <x v="0"/>
    <x v="0"/>
    <x v="0"/>
    <x v="1"/>
  </r>
  <r>
    <x v="0"/>
    <s v="TCBX"/>
    <n v="424"/>
    <n v="31.07"/>
    <n v="2.13"/>
    <n v="34.700000000000003"/>
    <n v="2.95"/>
    <n v="14.586854460093898"/>
    <n v="0.89538904899135441"/>
    <n v="11.27"/>
    <n v="1.06"/>
    <n v="10.210000000000001"/>
    <n v="10.532203389830508"/>
    <s v="NO"/>
    <n v="1.1090809266970101"/>
    <n v="-0.59979617605581148"/>
    <n v="0.49240711449317065"/>
    <n v="0.21805570672028771"/>
    <n v="0.36293905552270322"/>
    <n v="-0.57433380638410492"/>
    <x v="1"/>
    <x v="0"/>
    <x v="0"/>
    <x v="0"/>
    <x v="0"/>
    <x v="1"/>
  </r>
  <r>
    <x v="0"/>
    <s v="OSBC"/>
    <n v="745"/>
    <n v="17"/>
    <n v="2.0699999999999998"/>
    <n v="15.42"/>
    <n v="1.83"/>
    <n v="8.2125603864734309"/>
    <n v="1.1024643320363166"/>
    <n v="12.98"/>
    <n v="1.48"/>
    <n v="8.25"/>
    <n v="9.2896174863387966"/>
    <s v="NO"/>
    <n v="-0.50655234133433413"/>
    <n v="0.14726018795162221"/>
    <n v="0.90611546735702753"/>
    <n v="1.172049423621542"/>
    <n v="-0.76329450852197722"/>
    <n v="-1.0558399362245268"/>
    <x v="1"/>
    <x v="0"/>
    <x v="0"/>
    <x v="0"/>
    <x v="0"/>
    <x v="1"/>
  </r>
  <r>
    <x v="0"/>
    <s v="USCB"/>
    <n v="331"/>
    <n v="16.649999999999999"/>
    <n v="2.04"/>
    <n v="11.23"/>
    <n v="1.39"/>
    <n v="8.1617647058823515"/>
    <n v="1.4826357969723951"/>
    <n v="13.2"/>
    <n v="1.07"/>
    <n v="11.9"/>
    <n v="11.97841726618705"/>
    <s v="NO"/>
    <n v="-0.51942705192775829"/>
    <n v="1.5187880116410366"/>
    <n v="0.95934110339799128"/>
    <n v="0.24076984283698427"/>
    <n v="1.3340282000306156"/>
    <n v="-1.3921166445768856E-2"/>
    <x v="1"/>
    <x v="0"/>
    <x v="0"/>
    <x v="0"/>
    <x v="0"/>
    <x v="1"/>
  </r>
  <r>
    <x v="0"/>
    <s v="CBAN"/>
    <n v="267"/>
    <n v="15.76"/>
    <n v="1.99"/>
    <n v="16.41"/>
    <n v="1.43"/>
    <n v="7.9195979899497484"/>
    <n v="0.96039000609384517"/>
    <n v="9.1999999999999993"/>
    <n v="0.81"/>
    <n v="11.06"/>
    <n v="11.020979020979022"/>
    <s v="NO"/>
    <n v="-0.58080680600747336"/>
    <n v="-0.36529509047986541"/>
    <n v="-8.3977337104452869E-3"/>
    <n v="-0.3497976961971257"/>
    <n v="0.85135667258289582"/>
    <n v="-0.3849316396177731"/>
    <x v="1"/>
    <x v="0"/>
    <x v="0"/>
    <x v="0"/>
    <x v="0"/>
    <x v="1"/>
  </r>
  <r>
    <x v="0"/>
    <s v="GBFH"/>
    <n v="554"/>
    <n v="39.68"/>
    <n v="1.99"/>
    <n v="10.17"/>
    <n v="1.4"/>
    <n v="19.939698492462313"/>
    <n v="3.9016715830875124"/>
    <n v="15.84"/>
    <n v="1.83"/>
    <n v="8.1199999999999992"/>
    <n v="28.342857142857145"/>
    <s v="NO"/>
    <n v="2.4658167153810493"/>
    <n v="10.245836707195092"/>
    <n v="1.5980487358895594"/>
    <n v="1.967044187705921"/>
    <n v="-0.83799367348412479"/>
    <n v="6.3273531791586564"/>
    <x v="1"/>
    <x v="1"/>
    <x v="0"/>
    <x v="0"/>
    <x v="0"/>
    <x v="0"/>
  </r>
  <r>
    <x v="0"/>
    <s v="HFWA"/>
    <n v="797"/>
    <n v="23.43"/>
    <n v="1.96"/>
    <n v="25.85"/>
    <n v="1.48"/>
    <n v="11.954081632653061"/>
    <n v="0.90638297872340423"/>
    <n v="5.95"/>
    <n v="0.72"/>
    <n v="8.09"/>
    <n v="15.831081081081081"/>
    <s v="NO"/>
    <n v="0.44177638786414641"/>
    <n v="-0.56013386073257199"/>
    <n v="-0.79468553886104976"/>
    <n v="-0.55422492124739475"/>
    <n v="-0.85523194232154298"/>
    <n v="1.4789987498940307"/>
    <x v="1"/>
    <x v="0"/>
    <x v="0"/>
    <x v="0"/>
    <x v="0"/>
    <x v="1"/>
  </r>
  <r>
    <x v="0"/>
    <s v="PGC"/>
    <n v="486"/>
    <n v="28.01"/>
    <n v="1.9"/>
    <n v="35.35"/>
    <n v="1.8"/>
    <n v="14.742105263157896"/>
    <n v="0.79236209335219232"/>
    <n v="5.31"/>
    <n v="0.47"/>
    <n v="11.45"/>
    <n v="15.561111111111112"/>
    <s v="NO"/>
    <n v="1.1484309095220593"/>
    <n v="-0.97148197912597223"/>
    <n v="-0.94952375279839973"/>
    <n v="-1.1220783241648082"/>
    <n v="1.0754541674693365"/>
    <n v="1.3743844974322155"/>
    <x v="1"/>
    <x v="0"/>
    <x v="0"/>
    <x v="0"/>
    <x v="0"/>
    <x v="1"/>
  </r>
  <r>
    <x v="0"/>
    <s v="SBSI"/>
    <n v="852"/>
    <n v="28.51"/>
    <n v="1.86"/>
    <n v="26.85"/>
    <n v="2.91"/>
    <n v="15.327956989247312"/>
    <n v="1.0618249534450652"/>
    <n v="11.03"/>
    <n v="1.06"/>
    <n v="10.220000000000001"/>
    <n v="9.7972508591065299"/>
    <s v="NO"/>
    <n v="1.296921319263391"/>
    <n v="6.4729451754814244E-4"/>
    <n v="0.43434278426666445"/>
    <n v="0.21805570672028771"/>
    <n v="0.36868514513517597"/>
    <n v="-0.85913033247610315"/>
    <x v="1"/>
    <x v="0"/>
    <x v="0"/>
    <x v="0"/>
    <x v="0"/>
    <x v="1"/>
  </r>
  <r>
    <x v="0"/>
    <s v="SHBI"/>
    <n v="484"/>
    <n v="14.81"/>
    <n v="1.8"/>
    <n v="16.55"/>
    <n v="1.48"/>
    <n v="8.2277777777777779"/>
    <n v="0.89486404833836852"/>
    <n v="9.27"/>
    <n v="0.82"/>
    <n v="11.18"/>
    <n v="10.006756756756758"/>
    <s v="NO"/>
    <n v="-0.50269533013278012"/>
    <n v="-0.60169019775243282"/>
    <n v="8.5376959389524207E-3"/>
    <n v="-0.32708356008042938"/>
    <n v="0.9203097479325697"/>
    <n v="-0.77794610716593915"/>
    <x v="1"/>
    <x v="0"/>
    <x v="0"/>
    <x v="0"/>
    <x v="0"/>
    <x v="1"/>
  </r>
  <r>
    <x v="0"/>
    <s v="CZNC"/>
    <n v="287"/>
    <n v="18.760000000000002"/>
    <n v="1.78"/>
    <n v="18.2"/>
    <n v="1.75"/>
    <n v="10.539325842696631"/>
    <n v="1.0307692307692309"/>
    <n v="9.92"/>
    <n v="1.05"/>
    <n v="9.26"/>
    <n v="10.72"/>
    <s v="NO"/>
    <n v="8.3191343937026749E-2"/>
    <n v="-0.11139106623067561"/>
    <n v="0.16579525696907343"/>
    <n v="0.19534157060359114"/>
    <n v="-0.18293945766221878"/>
    <n v="-0.50156200146843299"/>
    <x v="1"/>
    <x v="0"/>
    <x v="0"/>
    <x v="0"/>
    <x v="0"/>
    <x v="1"/>
  </r>
  <r>
    <x v="0"/>
    <s v="BMRC"/>
    <n v="346"/>
    <n v="22.81"/>
    <n v="1.77"/>
    <n v="27.38"/>
    <n v="-0.4"/>
    <n v="12.887005649717514"/>
    <n v="0.83308984660336005"/>
    <n v="-1.47"/>
    <n v="-0.17"/>
    <n v="8.61"/>
    <n v="-57.024999999999991"/>
    <s v="NO"/>
    <n v="0.67823599595666684"/>
    <n v="-0.82455026032975576"/>
    <n v="-2.5898410816971995"/>
    <n v="-2.5757830356333864"/>
    <n v="-0.55643528247295471"/>
    <n v="-26.752972607670401"/>
    <x v="1"/>
    <x v="0"/>
    <x v="0"/>
    <x v="0"/>
    <x v="0"/>
    <x v="0"/>
  </r>
  <r>
    <x v="0"/>
    <s v="ORRF"/>
    <n v="586"/>
    <n v="30.96"/>
    <n v="1.73"/>
    <n v="27.32"/>
    <n v="1.84"/>
    <n v="17.895953757225435"/>
    <n v="1.1332357247437774"/>
    <n v="7.85"/>
    <n v="0.73"/>
    <n v="10.210000000000001"/>
    <n v="16.826086956521738"/>
    <s v="NO"/>
    <n v="1.9478076703830394"/>
    <n v="0.2582727840154857"/>
    <n v="-0.33500959123454255"/>
    <n v="-0.53151078513069816"/>
    <n v="0.36293905552270322"/>
    <n v="1.8645668035035392"/>
    <x v="1"/>
    <x v="0"/>
    <x v="0"/>
    <x v="0"/>
    <x v="0"/>
    <x v="1"/>
  </r>
  <r>
    <x v="0"/>
    <s v="AROW"/>
    <n v="429"/>
    <n v="25.96"/>
    <n v="1.71"/>
    <n v="24.26"/>
    <n v="1.7"/>
    <n v="15.181286549707604"/>
    <n v="1.0700741962077494"/>
    <n v="7.25"/>
    <n v="0.65"/>
    <n v="11"/>
    <n v="15.270588235294118"/>
    <s v="NO"/>
    <n v="1.2597461216932324"/>
    <n v="3.0407723736748337E-2"/>
    <n v="-0.48017041680080791"/>
    <n v="-0.71322387406427035"/>
    <n v="0.81688013490805844"/>
    <n v="1.26180592626731"/>
    <x v="1"/>
    <x v="0"/>
    <x v="0"/>
    <x v="0"/>
    <x v="0"/>
    <x v="1"/>
  </r>
  <r>
    <x v="0"/>
    <s v="STEL"/>
    <n v="1386"/>
    <n v="27.5"/>
    <n v="1.7"/>
    <n v="30.89"/>
    <n v="2.12"/>
    <n v="16.176470588235293"/>
    <n v="0.89025574619617998"/>
    <n v="7.23"/>
    <n v="1.07"/>
    <n v="6.48"/>
    <n v="12.971698113207546"/>
    <s v="NO"/>
    <n v="1.51198620065556"/>
    <n v="-0.61831536610651172"/>
    <n v="-0.48500911098634997"/>
    <n v="0.24076984283698427"/>
    <n v="-1.7803523699296726"/>
    <n v="0.37097843296985067"/>
    <x v="1"/>
    <x v="0"/>
    <x v="0"/>
    <x v="0"/>
    <x v="0"/>
    <x v="1"/>
  </r>
  <r>
    <x v="0"/>
    <s v="FBK"/>
    <n v="2000"/>
    <n v="43.79"/>
    <n v="1.7"/>
    <n v="34.44"/>
    <n v="2.73"/>
    <n v="25.758823529411764"/>
    <n v="1.2714866434378631"/>
    <n v="8.27"/>
    <n v="0.99"/>
    <n v="8.1999999999999993"/>
    <n v="16.04029304029304"/>
    <s v="NO"/>
    <n v="3.9407364307166426"/>
    <n v="0.75703452477749444"/>
    <n v="-0.23339701333815671"/>
    <n v="5.9056753903411807E-2"/>
    <n v="-0.79202495658434191"/>
    <n v="1.5600690730913311"/>
    <x v="0"/>
    <x v="0"/>
    <x v="0"/>
    <x v="0"/>
    <x v="0"/>
    <x v="1"/>
  </r>
  <r>
    <x v="0"/>
    <s v="NBBK"/>
    <n v="684"/>
    <n v="16.22"/>
    <n v="1.6"/>
    <n v="19.79"/>
    <n v="1.18"/>
    <n v="10.137499999999999"/>
    <n v="0.81960586154623549"/>
    <n v="6.26"/>
    <n v="0.93"/>
    <n v="7.09"/>
    <n v="13.745762711864407"/>
    <s v="NO"/>
    <n v="-1.865572993772362E-2"/>
    <n v="-0.87319583840639581"/>
    <n v="-0.71968577898514596"/>
    <n v="-7.7228062796767277E-2"/>
    <n v="-1.4298409035688286"/>
    <n v="0.67093101419453405"/>
    <x v="1"/>
    <x v="0"/>
    <x v="0"/>
    <x v="0"/>
    <x v="0"/>
    <x v="1"/>
  </r>
  <r>
    <x v="0"/>
    <s v="HAFC"/>
    <n v="692"/>
    <n v="23.45"/>
    <n v="1.59"/>
    <n v="25.07"/>
    <n v="2.13"/>
    <n v="14.748427672955973"/>
    <n v="0.93538093338651773"/>
    <n v="8.9"/>
    <n v="0.85"/>
    <n v="10.28"/>
    <n v="11.009389671361502"/>
    <s v="NO"/>
    <n v="1.1500333921634192"/>
    <n v="-0.45551921887029678"/>
    <n v="-8.0978146493577763E-2"/>
    <n v="-0.25894115173033971"/>
    <n v="0.40316168281001236"/>
    <n v="-0.38942255076203963"/>
    <x v="1"/>
    <x v="0"/>
    <x v="0"/>
    <x v="0"/>
    <x v="0"/>
    <x v="1"/>
  </r>
  <r>
    <x v="0"/>
    <s v="WTBA"/>
    <n v="328"/>
    <n v="19.355"/>
    <n v="1.55"/>
    <n v="14.06"/>
    <n v="1.53"/>
    <n v="12.487096774193548"/>
    <n v="1.3766002844950214"/>
    <n v="11.3"/>
    <n v="0.66"/>
    <n v="16.760000000000002"/>
    <n v="12.65032679738562"/>
    <s v="NO"/>
    <n v="0.5768747979925839"/>
    <n v="1.1362483707809929"/>
    <n v="0.49966515577148424"/>
    <n v="-0.69050973794757387"/>
    <n v="4.1266277516924248"/>
    <n v="0.24644598970914081"/>
    <x v="1"/>
    <x v="0"/>
    <x v="0"/>
    <x v="0"/>
    <x v="1"/>
    <x v="1"/>
  </r>
  <r>
    <x v="0"/>
    <s v="GCBC"/>
    <n v="369"/>
    <n v="22.21"/>
    <n v="1.48"/>
    <n v="13.45"/>
    <n v="1.67"/>
    <n v="15.006756756756758"/>
    <n v="1.6513011152416359"/>
    <n v="13.33"/>
    <n v="0.97"/>
    <n v="13.13"/>
    <n v="13.299401197604791"/>
    <s v="NO"/>
    <n v="1.2155096719001572"/>
    <n v="2.127274440091393"/>
    <n v="0.99079261560401555"/>
    <n v="1.3628481670018691E-2"/>
    <n v="2.0407972223647772"/>
    <n v="0.49796445740605882"/>
    <x v="1"/>
    <x v="0"/>
    <x v="0"/>
    <x v="0"/>
    <x v="0"/>
    <x v="1"/>
  </r>
  <r>
    <x v="0"/>
    <s v="FMNB"/>
    <n v="498"/>
    <n v="13.31"/>
    <n v="1.47"/>
    <n v="11.41"/>
    <n v="1.28"/>
    <n v="9.0544217687074831"/>
    <n v="1.1665205959684488"/>
    <n v="11.69"/>
    <n v="0.94"/>
    <n v="12.02"/>
    <n v="10.3984375"/>
    <s v="NO"/>
    <n v="-0.29317353569732729"/>
    <n v="0.37835314564975953"/>
    <n v="0.59401969238955654"/>
    <n v="-5.4513926680070983E-2"/>
    <n v="1.4029812753802895"/>
    <n v="-0.62616852922777821"/>
    <x v="1"/>
    <x v="0"/>
    <x v="0"/>
    <x v="0"/>
    <x v="0"/>
    <x v="1"/>
  </r>
  <r>
    <x v="0"/>
    <s v="BWB"/>
    <n v="402"/>
    <n v="15.16"/>
    <n v="1.38"/>
    <n v="14.6"/>
    <n v="1.1000000000000001"/>
    <n v="10.985507246376812"/>
    <n v="1.0383561643835617"/>
    <n v="7.67"/>
    <n v="0.7"/>
    <n v="12.76"/>
    <n v="13.781818181818181"/>
    <s v="NO"/>
    <n v="0.19628081094889116"/>
    <n v="-8.4020020509795915E-2"/>
    <n v="-0.37855783890442207"/>
    <n v="-0.59965319348078783"/>
    <n v="1.828191906703281"/>
    <n v="0.68490262754394904"/>
    <x v="1"/>
    <x v="0"/>
    <x v="0"/>
    <x v="0"/>
    <x v="0"/>
    <x v="1"/>
  </r>
  <r>
    <x v="0"/>
    <s v="TFIN"/>
    <n v="1368"/>
    <n v="60.12"/>
    <n v="1.36"/>
    <n v="36.32"/>
    <n v="0.37"/>
    <n v="44.205882352941174"/>
    <n v="1.6552863436123346"/>
    <n v="1.35"/>
    <n v="0.2"/>
    <n v="7.38"/>
    <n v="162.48648648648648"/>
    <s v="NO"/>
    <n v="8.6163415390478608"/>
    <n v="2.1416517726854862"/>
    <n v="-1.907585201535752"/>
    <n v="-1.7353599993156144"/>
    <n v="-1.2632043048071158"/>
    <n v="58.308451328184816"/>
    <x v="0"/>
    <x v="0"/>
    <x v="0"/>
    <x v="0"/>
    <x v="0"/>
    <x v="0"/>
  </r>
  <r>
    <x v="0"/>
    <s v="NWBI"/>
    <n v="1569"/>
    <n v="12.43"/>
    <n v="1.3"/>
    <n v="12.75"/>
    <n v="0.9"/>
    <n v="9.5615384615384613"/>
    <n v="0.97490196078431368"/>
    <n v="7.2"/>
    <n v="0.79"/>
    <n v="8.8699999999999992"/>
    <n v="13.81111111111111"/>
    <s v="NO"/>
    <n v="-0.16463936544270533"/>
    <n v="-0.31294095170344721"/>
    <n v="-0.49226715226466333"/>
    <n v="-0.39522596843051883"/>
    <n v="-0.40703695254866051"/>
    <n v="0.69625373411605196"/>
    <x v="1"/>
    <x v="0"/>
    <x v="0"/>
    <x v="0"/>
    <x v="0"/>
    <x v="1"/>
  </r>
  <r>
    <x v="0"/>
    <s v="CWBC"/>
    <n v="339"/>
    <n v="18.260000000000002"/>
    <n v="1.29"/>
    <n v="19.53"/>
    <n v="0.65"/>
    <n v="14.155038759689923"/>
    <n v="0.93497183819764462"/>
    <n v="4.21"/>
    <n v="0.41"/>
    <n v="9.5500000000000007"/>
    <n v="28.092307692307692"/>
    <s v="NO"/>
    <n v="0.99963260141215793"/>
    <n v="-0.45699509353693252"/>
    <n v="-1.2156519330032196"/>
    <n v="-1.2583631408649871"/>
    <n v="-1.6302858900505413E-2"/>
    <n v="6.2302644419303448"/>
    <x v="1"/>
    <x v="0"/>
    <x v="0"/>
    <x v="0"/>
    <x v="0"/>
    <x v="0"/>
  </r>
  <r>
    <x v="0"/>
    <s v="FCF"/>
    <n v="1639"/>
    <n v="15.88"/>
    <n v="1.28"/>
    <n v="14.24"/>
    <n v="1.34"/>
    <n v="12.40625"/>
    <n v="1.1151685393258428"/>
    <n v="9.91"/>
    <n v="1.17"/>
    <n v="8.15"/>
    <n v="11.850746268656716"/>
    <s v="NO"/>
    <n v="0.55638331509400385"/>
    <n v="0.19309259617414049"/>
    <n v="0.16337590987630241"/>
    <n v="0.46791120400394931"/>
    <n v="-0.8207554046467056"/>
    <n v="-6.3394098450672495E-2"/>
    <x v="1"/>
    <x v="0"/>
    <x v="0"/>
    <x v="0"/>
    <x v="0"/>
    <x v="1"/>
  </r>
  <r>
    <x v="0"/>
    <s v="CNOB"/>
    <n v="884"/>
    <n v="23.15"/>
    <n v="1.18"/>
    <n v="29.77"/>
    <n v="1.84"/>
    <n v="19.618644067796609"/>
    <n v="0.77762848505206583"/>
    <n v="6.22"/>
    <n v="0.78"/>
    <n v="8.5500000000000007"/>
    <n v="12.581521739130434"/>
    <s v="NO"/>
    <n v="2.3844420245764311"/>
    <n v="-1.0246357678522313"/>
    <n v="-0.72936316735623041"/>
    <n v="-0.41794010454721536"/>
    <n v="-0.59091182014779109"/>
    <n v="0.21978380303793921"/>
    <x v="1"/>
    <x v="0"/>
    <x v="0"/>
    <x v="0"/>
    <x v="0"/>
    <x v="1"/>
  </r>
  <r>
    <x v="0"/>
    <s v="BRKL"/>
    <n v="920"/>
    <n v="10.52"/>
    <n v="1.1399999999999999"/>
    <n v="13.92"/>
    <n v="0.82"/>
    <n v="9.2280701754385976"/>
    <n v="0.75574712643678155"/>
    <n v="6.01"/>
    <n v="0.63"/>
    <n v="9.2899999999999991"/>
    <n v="12.829268292682928"/>
    <s v="NO"/>
    <n v="-0.24916048270429539"/>
    <n v="-1.103576180084471"/>
    <n v="-0.78016945630442325"/>
    <n v="-0.75865214629766353"/>
    <n v="-0.16570118882480059"/>
    <n v="0.31578640844908279"/>
    <x v="1"/>
    <x v="0"/>
    <x v="0"/>
    <x v="0"/>
    <x v="0"/>
    <x v="1"/>
  </r>
  <r>
    <x v="0"/>
    <s v="FRBA"/>
    <n v="363"/>
    <n v="14.94"/>
    <n v="0.98"/>
    <n v="16.57"/>
    <n v="1.54"/>
    <n v="15.244897959183673"/>
    <n v="0.90162945081472534"/>
    <n v="9.81"/>
    <n v="1.05"/>
    <n v="9.35"/>
    <n v="9.7012987012987004"/>
    <s v="NO"/>
    <n v="1.2758691163635314"/>
    <n v="-0.57728295367812865"/>
    <n v="0.13918243894859159"/>
    <n v="0.19534157060359114"/>
    <n v="-0.13122465114996315"/>
    <n v="-0.89631210962813535"/>
    <x v="1"/>
    <x v="0"/>
    <x v="0"/>
    <x v="0"/>
    <x v="0"/>
    <x v="1"/>
  </r>
  <r>
    <x v="0"/>
    <s v="PBFS"/>
    <n v="287"/>
    <n v="11.41"/>
    <n v="0.97"/>
    <n v="12.35"/>
    <n v="0.8"/>
    <n v="11.762886597938145"/>
    <n v="0.9238866396761134"/>
    <n v="6.31"/>
    <n v="0.91"/>
    <n v="6.66"/>
    <n v="14.262499999999999"/>
    <s v="NO"/>
    <n v="0.3933159536262299"/>
    <n v="-0.49698667524587836"/>
    <n v="-0.70758904352129059"/>
    <n v="-0.12265633503016039"/>
    <n v="-1.6769227569051612"/>
    <n v="0.87116841513014165"/>
    <x v="1"/>
    <x v="0"/>
    <x v="0"/>
    <x v="0"/>
    <x v="0"/>
    <x v="1"/>
  </r>
  <r>
    <x v="0"/>
    <s v="NFBK"/>
    <n v="498"/>
    <n v="12.02"/>
    <n v="0.86"/>
    <n v="16.66"/>
    <n v="0.76"/>
    <n v="13.976744186046512"/>
    <n v="0.72148859543817523"/>
    <n v="4.4800000000000004"/>
    <n v="0.55000000000000004"/>
    <n v="8.0299999999999994"/>
    <n v="15.815789473684211"/>
    <s v="NO"/>
    <n v="0.95444192753348189"/>
    <n v="-1.2271691711344834"/>
    <n v="-1.1503295614984002"/>
    <n v="-0.94036523523123572"/>
    <n v="-0.88970847999638036"/>
    <n v="1.4730732016675332"/>
    <x v="1"/>
    <x v="0"/>
    <x v="0"/>
    <x v="0"/>
    <x v="0"/>
    <x v="1"/>
  </r>
  <r>
    <x v="0"/>
    <s v="HOPE"/>
    <n v="1286"/>
    <n v="10.33"/>
    <n v="0.86"/>
    <n v="17.84"/>
    <n v="0.78"/>
    <n v="12.011627906976745"/>
    <n v="0.57903587443946192"/>
    <n v="4.4400000000000004"/>
    <n v="0.54"/>
    <n v="7.9"/>
    <n v="13.243589743589743"/>
    <s v="NO"/>
    <n v="0.45636210891416301"/>
    <n v="-1.7410895687183767"/>
    <n v="-1.1600069498694845"/>
    <n v="-0.9630793713479322"/>
    <n v="-0.96440764495852693"/>
    <n v="0.47633733517005344"/>
    <x v="1"/>
    <x v="0"/>
    <x v="0"/>
    <x v="0"/>
    <x v="0"/>
    <x v="1"/>
  </r>
  <r>
    <x v="0"/>
    <s v="PDLB"/>
    <n v="321"/>
    <n v="13.29"/>
    <n v="0.75"/>
    <n v="12.73"/>
    <n v="0.6"/>
    <n v="17.72"/>
    <n v="1.0439905734485466"/>
    <n v="2.88"/>
    <n v="0.49"/>
    <n v="10.7"/>
    <n v="22.15"/>
    <s v="NO"/>
    <n v="1.9032103015567434"/>
    <n v="-6.3693011474612288E-2"/>
    <n v="-1.5374250963417748"/>
    <n v="-1.0766500519314151"/>
    <n v="0.64449744653387231"/>
    <n v="3.927600641219418"/>
    <x v="1"/>
    <x v="0"/>
    <x v="0"/>
    <x v="0"/>
    <x v="0"/>
    <x v="0"/>
  </r>
  <r>
    <x v="0"/>
    <s v="HTBK"/>
    <n v="570"/>
    <n v="9.5399999999999991"/>
    <n v="0.74"/>
    <n v="11.3"/>
    <n v="0.68"/>
    <n v="12.891891891891891"/>
    <n v="0.84424778761061936"/>
    <n v="6.12"/>
    <n v="0.78"/>
    <n v="7.92"/>
    <n v="14.02941176470588"/>
    <s v="NO"/>
    <n v="0.67947446649495791"/>
    <n v="-0.78429624876391058"/>
    <n v="-0.75355663828394115"/>
    <n v="-0.41794010454721536"/>
    <n v="-0.95291546573358155"/>
    <n v="0.78084595631870279"/>
    <x v="1"/>
    <x v="0"/>
    <x v="0"/>
    <x v="0"/>
    <x v="0"/>
    <x v="1"/>
  </r>
  <r>
    <x v="0"/>
    <s v="LNKB"/>
    <n v="256"/>
    <n v="7.02"/>
    <n v="0.7"/>
    <n v="7.87"/>
    <n v="0.97"/>
    <n v="10.028571428571428"/>
    <n v="0.89199491740787795"/>
    <n v="12.74"/>
    <n v="1.27"/>
    <n v="9.73"/>
    <n v="7.2371134020618557"/>
    <s v="NO"/>
    <n v="-4.6264845834563584E-2"/>
    <n v="-0.61204103484547279"/>
    <n v="0.84805113713052127"/>
    <n v="0.69505256517091485"/>
    <n v="8.7126754124005848E-2"/>
    <n v="-1.8511920284418202"/>
    <x v="1"/>
    <x v="0"/>
    <x v="0"/>
    <x v="0"/>
    <x v="0"/>
    <x v="1"/>
  </r>
  <r>
    <x v="0"/>
    <s v="FFIC"/>
    <n v="406"/>
    <n v="12.18"/>
    <n v="0.7"/>
    <n v="20.81"/>
    <n v="-1.45"/>
    <n v="17.400000000000002"/>
    <n v="0.5852955309947141"/>
    <n v="-6.53"/>
    <n v="-0.5"/>
    <n v="12.82"/>
    <n v="-8.4"/>
    <s v="NO"/>
    <n v="1.8221028660040599"/>
    <n v="-1.7185068818938625"/>
    <n v="-3.814030710639372"/>
    <n v="-3.3253495274843718"/>
    <n v="1.8626684443781185"/>
    <n v="-7.9106249698141653"/>
    <x v="1"/>
    <x v="0"/>
    <x v="1"/>
    <x v="1"/>
    <x v="0"/>
    <x v="0"/>
  </r>
  <r>
    <x v="0"/>
    <s v="FLIC"/>
    <n v="269"/>
    <n v="11.87"/>
    <n v="0.61"/>
    <n v="16.91"/>
    <n v="0.72"/>
    <n v="19.459016393442621"/>
    <n v="0.70195150798344175"/>
    <n v="4.32"/>
    <n v="0.39"/>
    <n v="10.65"/>
    <n v="16.486111111111111"/>
    <s v="NO"/>
    <n v="2.3439826767323968"/>
    <n v="-1.2976522597127536"/>
    <n v="-1.1890391149827375"/>
    <n v="-1.3037914130983803"/>
    <n v="0.61576699847150862"/>
    <n v="1.7328250437564725"/>
    <x v="1"/>
    <x v="0"/>
    <x v="0"/>
    <x v="0"/>
    <x v="0"/>
    <x v="1"/>
  </r>
  <r>
    <x v="0"/>
    <s v="OCFC"/>
    <n v="981"/>
    <n v="17.36"/>
    <n v="0.54"/>
    <n v="29.33"/>
    <n v="1.53"/>
    <n v="32.148148148148145"/>
    <n v="0.59188544152744627"/>
    <n v="5.53"/>
    <n v="0.7"/>
    <n v="7.79"/>
    <n v="11.346405228758169"/>
    <s v="NO"/>
    <n v="5.5601793517770828"/>
    <n v="-1.694732752363163"/>
    <n v="-0.89629811675743554"/>
    <n v="-0.59965319348078783"/>
    <n v="-1.0276146306957286"/>
    <n v="-0.25882791236956898"/>
    <x v="0"/>
    <x v="0"/>
    <x v="0"/>
    <x v="0"/>
    <x v="0"/>
    <x v="1"/>
  </r>
  <r>
    <x v="0"/>
    <s v="FNBT"/>
    <n v="333"/>
    <n v="27.2"/>
    <n v="0.52"/>
    <n v="29.87"/>
    <n v="0.64"/>
    <n v="52.307692307692307"/>
    <n v="0.91061265483762965"/>
    <n v="2.77"/>
    <n v="0.24"/>
    <n v="10.83"/>
    <n v="42.5"/>
    <s v="NO"/>
    <n v="10.669832253938718"/>
    <n v="-0.54487464479738834"/>
    <n v="-1.5640379143622569"/>
    <n v="-1.6445034548488284"/>
    <n v="0.71919661149601988"/>
    <n v="11.813292660353083"/>
    <x v="0"/>
    <x v="0"/>
    <x v="0"/>
    <x v="0"/>
    <x v="0"/>
    <x v="0"/>
  </r>
  <r>
    <x v="0"/>
    <s v="KRNY"/>
    <n v="389"/>
    <n v="6.16"/>
    <n v="0.33"/>
    <n v="11.96"/>
    <n v="-1.1399999999999999"/>
    <n v="18.666666666666668"/>
    <n v="0.51505016722408026"/>
    <n v="-8.86"/>
    <n v="-0.91"/>
    <n v="10.34"/>
    <n v="-5.4035087719298254"/>
    <s v="NO"/>
    <n v="2.1431531317334351"/>
    <n v="-1.9719279820619346"/>
    <n v="-4.3777385832550362"/>
    <n v="-4.25662910826893"/>
    <n v="0.43763822048484979"/>
    <n v="-6.7494747505219301"/>
    <x v="1"/>
    <x v="0"/>
    <x v="1"/>
    <x v="1"/>
    <x v="0"/>
    <x v="0"/>
  </r>
  <r>
    <x v="0"/>
    <s v="CFFN"/>
    <n v="743"/>
    <n v="5.82"/>
    <n v="0.24"/>
    <n v="7.98"/>
    <n v="0.4"/>
    <n v="24.250000000000004"/>
    <n v="0.72932330827067671"/>
    <n v="5.0999999999999996"/>
    <n v="0.54"/>
    <n v="9.3699999999999992"/>
    <n v="14.55"/>
    <s v="NO"/>
    <n v="3.5583089083037107"/>
    <n v="-1.1989042232584006"/>
    <n v="-1.0003300417465926"/>
    <n v="-0.9630793713479322"/>
    <n v="-0.11973247192501769"/>
    <n v="0.98257561196065468"/>
    <x v="0"/>
    <x v="0"/>
    <x v="0"/>
    <x v="0"/>
    <x v="0"/>
    <x v="1"/>
  </r>
  <r>
    <x v="0"/>
    <s v="HBNC"/>
    <n v="654"/>
    <n v="15.08"/>
    <n v="0.23"/>
    <n v="17.600000000000001"/>
    <n v="1.02"/>
    <n v="65.565217391304344"/>
    <n v="0.8568181818181817"/>
    <n v="6.06"/>
    <n v="0.59"/>
    <n v="9.83"/>
    <n v="14.784313725490195"/>
    <s v="NO"/>
    <n v="14.030094320523595"/>
    <n v="-0.73894659209434743"/>
    <n v="-0.76807272084056788"/>
    <n v="-0.84950869076444968"/>
    <n v="0.14458765024873421"/>
    <n v="1.0733729522590085"/>
    <x v="0"/>
    <x v="0"/>
    <x v="0"/>
    <x v="0"/>
    <x v="0"/>
    <x v="1"/>
  </r>
  <r>
    <x v="0"/>
    <s v="CLBK"/>
    <n v="1502"/>
    <n v="14.17"/>
    <n v="0.09"/>
    <n v="10.49"/>
    <n v="-0.02"/>
    <n v="157.44444444444446"/>
    <n v="1.3508102955195425"/>
    <n v="-0.15"/>
    <n v="-0.02"/>
    <n v="9.64"/>
    <n v="-708.5"/>
    <s v="NO"/>
    <n v="37.317870841908025"/>
    <n v="1.0432069652182163"/>
    <n v="-2.2704872654514157"/>
    <n v="-2.2350709938829385"/>
    <n v="3.5411947611750212E-2"/>
    <n v="-279.20168062561163"/>
    <x v="0"/>
    <x v="0"/>
    <x v="0"/>
    <x v="0"/>
    <x v="0"/>
    <x v="0"/>
  </r>
  <r>
    <x v="0"/>
    <s v="FFWM"/>
    <n v="425"/>
    <n v="5.37"/>
    <n v="-0.28000000000000003"/>
    <n v="11.81"/>
    <n v="-1.2"/>
    <n v="-19.178571428571427"/>
    <n v="0.45469940728196445"/>
    <n v="-8.68"/>
    <n v="-0.66"/>
    <n v="12.94"/>
    <n v="-4.4750000000000005"/>
    <s v="NO"/>
    <n v="-7.4491287738463159"/>
    <n v="-2.1896527564747896"/>
    <n v="-4.3341903355851565"/>
    <n v="-3.6887757053515169"/>
    <n v="1.9316215197277924"/>
    <n v="-6.3896745435193445"/>
    <x v="0"/>
    <x v="0"/>
    <x v="1"/>
    <x v="1"/>
    <x v="0"/>
    <x v="0"/>
  </r>
  <r>
    <x v="0"/>
    <s v="VBNK"/>
    <n v="378"/>
    <n v="11.15"/>
    <n v="-5.49"/>
    <n v="11.03"/>
    <n v="0.88"/>
    <n v="-2.0309653916211294"/>
    <n v="1.0108794197642794"/>
    <n v="7.73"/>
    <n v="0.76"/>
    <n v="9.5399999999999991"/>
    <n v="12.670454545454545"/>
    <s v="NO"/>
    <n v="-3.1028839253314153"/>
    <n v="-0.18314666000150628"/>
    <n v="-0.36404175634779545"/>
    <n v="-0.46336837678060849"/>
    <n v="-2.2048948512979168E-2"/>
    <n v="0.25424555837303525"/>
    <x v="0"/>
    <x v="0"/>
    <x v="0"/>
    <x v="0"/>
    <x v="0"/>
    <x v="1"/>
  </r>
  <r>
    <x v="1"/>
    <s v="WTF"/>
    <n v="318"/>
    <n v="6.19"/>
    <m/>
    <m/>
    <m/>
    <s v=""/>
    <s v=""/>
    <n v="20.05"/>
    <n v="6.8"/>
    <n v="2.14"/>
    <s v=""/>
    <s v="NO"/>
    <e v="#VALUE!"/>
    <e v="#VALUE!"/>
    <n v="1.5288714768872687"/>
    <n v="1.0846189130535275"/>
    <n v="3.6734842349374956E-2"/>
    <e v="#VALUE!"/>
    <x v="0"/>
    <x v="1"/>
    <x v="0"/>
    <x v="0"/>
    <x v="0"/>
    <x v="0"/>
  </r>
  <r>
    <x v="1"/>
    <s v="SVCTF"/>
    <n v="575"/>
    <n v="229.5"/>
    <n v="69.86"/>
    <n v="484.82"/>
    <n v="-36.07"/>
    <n v="3.2851417119954194"/>
    <n v="0.47337156057918406"/>
    <n v="-7.31"/>
    <n v="-1.7"/>
    <n v="3.22"/>
    <n v="-6.3626282228999171"/>
    <s v="NO"/>
    <n v="-0.29196381337088623"/>
    <n v="-0.93613414191598432"/>
    <n v="-2.3820455005164618"/>
    <n v="-3.7030909184747114"/>
    <n v="2.1221435849523029"/>
    <n v="-2.080261952205249"/>
    <x v="1"/>
    <x v="0"/>
    <x v="0"/>
    <x v="1"/>
    <x v="0"/>
    <x v="1"/>
  </r>
  <r>
    <x v="1"/>
    <s v="SAR"/>
    <n v="381"/>
    <n v="24.13"/>
    <n v="14.2"/>
    <n v="25.86"/>
    <n v="2.02"/>
    <n v="1.6992957746478874"/>
    <n v="0.93310131477184843"/>
    <n v="7.36"/>
    <n v="5.66"/>
    <n v="3.03"/>
    <n v="11.945544554455445"/>
    <s v="NO"/>
    <n v="-0.40820301512001711"/>
    <n v="-0.40096107824821253"/>
    <n v="-0.28507356855327742"/>
    <n v="0.44250253564856384"/>
    <n v="1.7552661209758611"/>
    <n v="2.0934841212715639E-2"/>
    <x v="1"/>
    <x v="0"/>
    <x v="0"/>
    <x v="0"/>
    <x v="0"/>
    <x v="1"/>
  </r>
  <r>
    <x v="1"/>
    <s v="SLRC"/>
    <n v="914"/>
    <n v="16.899999999999999"/>
    <n v="6.78"/>
    <n v="18.16"/>
    <n v="1.61"/>
    <n v="2.4926253687315629"/>
    <n v="0.93061674008810569"/>
    <n v="8.86"/>
    <n v="4.12"/>
    <n v="2.5299999999999998"/>
    <n v="10.496894409937887"/>
    <s v="NO"/>
    <n v="-0.35005360945045511"/>
    <n v="-0.40385338059167308"/>
    <n v="-7.0659260581581784E-2"/>
    <n v="-0.4249178338283171"/>
    <n v="0.78979911051154272"/>
    <n v="-0.1453241883180543"/>
    <x v="1"/>
    <x v="0"/>
    <x v="0"/>
    <x v="0"/>
    <x v="0"/>
    <x v="1"/>
  </r>
  <r>
    <x v="1"/>
    <s v="DHIL"/>
    <n v="385"/>
    <n v="141.75"/>
    <n v="5.98"/>
    <n v="60.75"/>
    <n v="14.79"/>
    <n v="23.704013377926419"/>
    <n v="2.3333333333333335"/>
    <n v="24.77"/>
    <n v="14.03"/>
    <n v="1.33"/>
    <n v="9.5841784989858017"/>
    <s v="NO"/>
    <n v="1.2046969196607289"/>
    <n v="1.2290540608311091"/>
    <n v="2.2035618326382043"/>
    <n v="5.1569885697534295"/>
    <n v="-1.5273217146028211"/>
    <n v="-0.25007498834142544"/>
    <x v="1"/>
    <x v="0"/>
    <x v="0"/>
    <x v="1"/>
    <x v="0"/>
    <x v="1"/>
  </r>
  <r>
    <x v="1"/>
    <s v="GLAD"/>
    <n v="596"/>
    <n v="26.84"/>
    <n v="5.4"/>
    <n v="21.41"/>
    <n v="3.93"/>
    <n v="4.9703703703703699"/>
    <n v="1.2536198038299859"/>
    <n v="18.79"/>
    <n v="5.39"/>
    <n v="1.62"/>
    <n v="6.8295165394402035"/>
    <s v="YES"/>
    <n v="-0.16844006531884917"/>
    <n v="-2.784435002460852E-2"/>
    <n v="1.3487634581910439"/>
    <n v="0.29042234100001951"/>
    <n v="-0.96735084853351627"/>
    <n v="-0.56622269716721874"/>
    <x v="1"/>
    <x v="0"/>
    <x v="0"/>
    <x v="0"/>
    <x v="0"/>
    <x v="1"/>
  </r>
  <r>
    <x v="1"/>
    <s v="TIGR"/>
    <n v="1428"/>
    <n v="8.64"/>
    <n v="5.16"/>
    <n v="3.74"/>
    <n v="0.37"/>
    <n v="1.6744186046511629"/>
    <n v="2.3101604278074865"/>
    <n v="10.6"/>
    <n v="1.21"/>
    <n v="9.75"/>
    <n v="23.351351351351354"/>
    <s v="NO"/>
    <n v="-0.41002645982804042"/>
    <n v="1.2020783979960383"/>
    <n v="0.17806133666558532"/>
    <n v="-2.0640043761515141"/>
    <n v="14.731142741616299"/>
    <n v="1.3299592293605538"/>
    <x v="1"/>
    <x v="0"/>
    <x v="0"/>
    <x v="0"/>
    <x v="1"/>
    <x v="1"/>
  </r>
  <r>
    <x v="1"/>
    <s v="VRTS"/>
    <n v="1180"/>
    <n v="175.25"/>
    <n v="3.67"/>
    <n v="129.32"/>
    <n v="16.84"/>
    <n v="47.752043596730246"/>
    <n v="1.3551654809774205"/>
    <n v="14.21"/>
    <n v="3.14"/>
    <n v="4.13"/>
    <n v="10.406769596199526"/>
    <s v="NO"/>
    <n v="2.9673674101802314"/>
    <n v="9.0365338701425504E-2"/>
    <n v="0.69408510451746663"/>
    <n v="-0.97691261440451405"/>
    <n v="3.8792935439973619"/>
    <n v="-0.15566765469983654"/>
    <x v="0"/>
    <x v="0"/>
    <x v="0"/>
    <x v="0"/>
    <x v="1"/>
    <x v="1"/>
  </r>
  <r>
    <x v="1"/>
    <s v="TCPC"/>
    <n v="667"/>
    <n v="7.95"/>
    <n v="3.65"/>
    <n v="9.18"/>
    <n v="-0.55000000000000004"/>
    <n v="2.1780821917808222"/>
    <n v="0.86601307189542487"/>
    <n v="-5.45"/>
    <n v="6.34"/>
    <n v="2.4300000000000002"/>
    <n v="-14.454545454545453"/>
    <s v="NO"/>
    <n v="-0.37310896870278154"/>
    <n v="-0.47905874355881267"/>
    <n v="-2.1161717586315589"/>
    <n v="0.8255193221708228"/>
    <n v="0.59670570841867965"/>
    <n v="-3.0089570626625384"/>
    <x v="1"/>
    <x v="0"/>
    <x v="0"/>
    <x v="0"/>
    <x v="0"/>
    <x v="0"/>
  </r>
  <r>
    <x v="1"/>
    <s v="BRDG"/>
    <n v="411"/>
    <n v="9.42"/>
    <n v="3.32"/>
    <n v="1.64"/>
    <n v="-0.49"/>
    <n v="2.8373493975903616"/>
    <n v="5.7439024390243905"/>
    <n v="3.32"/>
    <n v="3.82"/>
    <n v="16.170000000000002"/>
    <n v="-19.224489795918366"/>
    <s v="NO"/>
    <n v="-0.32478605666073546"/>
    <n v="5.1993098480569424"/>
    <n v="-0.86256277135704462"/>
    <n v="-0.59389582788225515"/>
    <n v="27.127739155978151"/>
    <n v="-3.5563951864315837"/>
    <x v="1"/>
    <x v="1"/>
    <x v="0"/>
    <x v="0"/>
    <x v="1"/>
    <x v="0"/>
  </r>
  <r>
    <x v="1"/>
    <s v="CGBD"/>
    <n v="1024"/>
    <n v="14.14"/>
    <n v="3.31"/>
    <n v="16.63"/>
    <n v="1.3"/>
    <n v="4.2719033232628396"/>
    <n v="0.85027059530968141"/>
    <n v="6.93"/>
    <n v="4.8"/>
    <n v="2.09"/>
    <n v="10.876923076923077"/>
    <s v="NO"/>
    <n v="-0.21963624402183729"/>
    <n v="-0.49738461728631506"/>
    <n v="-0.34653900350516359"/>
    <n v="-4.1901047306058169E-2"/>
    <n v="-5.98118586970574E-2"/>
    <n v="-0.10170896651591815"/>
    <x v="1"/>
    <x v="0"/>
    <x v="0"/>
    <x v="0"/>
    <x v="0"/>
    <x v="1"/>
  </r>
  <r>
    <x v="1"/>
    <s v="TPVG"/>
    <n v="280"/>
    <n v="7.29"/>
    <n v="3.27"/>
    <n v="8.6199999999999992"/>
    <n v="0.93"/>
    <n v="2.2293577981651378"/>
    <n v="0.84570765661252911"/>
    <n v="10.68"/>
    <n v="6.55"/>
    <n v="2.12"/>
    <n v="7.8387096774193541"/>
    <s v="YES"/>
    <n v="-0.36935057363113638"/>
    <n v="-0.5026963506679657"/>
    <n v="0.18949676642407576"/>
    <n v="0.94380391800857921"/>
    <n v="-1.8838380691978142E-3"/>
    <n v="-0.45039937546009662"/>
    <x v="1"/>
    <x v="0"/>
    <x v="0"/>
    <x v="0"/>
    <x v="0"/>
    <x v="1"/>
  </r>
  <r>
    <x v="1"/>
    <s v="DFIN"/>
    <n v="1506"/>
    <n v="56.56"/>
    <n v="3.25"/>
    <n v="14.89"/>
    <n v="3.01"/>
    <n v="17.403076923076924"/>
    <n v="3.7985224983210206"/>
    <n v="21.74"/>
    <n v="10.56"/>
    <n v="2.0299999999999998"/>
    <n v="18.790697674418606"/>
    <s v="NO"/>
    <n v="0.74285141087900286"/>
    <n v="2.9346860481631065"/>
    <n v="1.7704449305353789"/>
    <n v="3.2024764385295486"/>
    <n v="-0.17566789995277571"/>
    <n v="0.80654102709661435"/>
    <x v="1"/>
    <x v="0"/>
    <x v="0"/>
    <x v="1"/>
    <x v="0"/>
    <x v="1"/>
  </r>
  <r>
    <x v="1"/>
    <s v="GCMG"/>
    <n v="630"/>
    <n v="12.63"/>
    <n v="3.19"/>
    <n v="-0.63"/>
    <n v="0.14000000000000001"/>
    <n v="3.9592476489028217"/>
    <n v="-20.047619047619047"/>
    <n v="-57.12"/>
    <n v="12.16"/>
    <n v="-20.47"/>
    <n v="90.214285714285708"/>
    <s v="NO"/>
    <n v="-0.24255325326848032"/>
    <n v="-24.824693264161841"/>
    <n v="-9.5020299538965709"/>
    <n v="4.1036924068172169"/>
    <n v="-43.621683370847101"/>
    <n v="9.0037006229136338"/>
    <x v="1"/>
    <x v="1"/>
    <x v="1"/>
    <x v="1"/>
    <x v="1"/>
    <x v="0"/>
  </r>
  <r>
    <x v="1"/>
    <s v="CNCK"/>
    <n v="654"/>
    <n v="5.23"/>
    <n v="2.99"/>
    <n v="0.46"/>
    <n v="-34.11"/>
    <n v="1.7491638795986622"/>
    <n v="11.369565217391305"/>
    <n v="-123.64"/>
    <n v="0.51"/>
    <n v="10.43"/>
    <n v="-0.15332746995016125"/>
    <s v="NO"/>
    <n v="-0.40454778696972449"/>
    <n v="11.748164162582427"/>
    <n v="-19.010589798081373"/>
    <n v="-2.4582863622773692"/>
    <n v="16.044177875847772"/>
    <n v="-1.3676314242913417"/>
    <x v="1"/>
    <x v="1"/>
    <x v="1"/>
    <x v="0"/>
    <x v="1"/>
    <x v="1"/>
  </r>
  <r>
    <x v="1"/>
    <s v="OCSL"/>
    <n v="1289"/>
    <n v="14.45"/>
    <n v="2.91"/>
    <n v="16.75"/>
    <n v="0.11"/>
    <n v="4.9656357388316144"/>
    <n v="0.86268656716417902"/>
    <n v="0.6"/>
    <n v="5.81"/>
    <n v="2.09"/>
    <n v="131.36363636363635"/>
    <s v="NO"/>
    <n v="-0.16878710394200933"/>
    <n v="-0.48293113970478868"/>
    <n v="-1.2513673831457197"/>
    <n v="0.52699153267553245"/>
    <n v="-5.98118586970574E-2"/>
    <n v="13.726339232845776"/>
    <x v="1"/>
    <x v="0"/>
    <x v="0"/>
    <x v="0"/>
    <x v="0"/>
    <x v="0"/>
  </r>
  <r>
    <x v="1"/>
    <s v="SII"/>
    <n v="1495"/>
    <n v="62.4"/>
    <n v="2.58"/>
    <n v="12.64"/>
    <n v="1.93"/>
    <n v="24.186046511627907"/>
    <n v="4.9367088607594933"/>
    <n v="14.99"/>
    <n v="11.35"/>
    <n v="1.18"/>
    <n v="32.331606217616581"/>
    <s v="NO"/>
    <n v="1.2400289436351448"/>
    <n v="4.2596528945678322"/>
    <n v="0.80558054466274831"/>
    <n v="3.6474518228715844"/>
    <n v="-1.8169618177421167"/>
    <n v="2.3606072879374982"/>
    <x v="1"/>
    <x v="1"/>
    <x v="0"/>
    <x v="1"/>
    <x v="0"/>
    <x v="1"/>
  </r>
  <r>
    <x v="1"/>
    <s v="PNNT"/>
    <n v="435"/>
    <n v="6.94"/>
    <n v="2.14"/>
    <n v="7.48"/>
    <n v="0.73"/>
    <n v="3.2429906542056073"/>
    <n v="0.92780748663101609"/>
    <n v="9.6300000000000008"/>
    <n v="5.07"/>
    <n v="2.58"/>
    <n v="9.5068493150684947"/>
    <s v="NO"/>
    <n v="-0.2950533980493098"/>
    <n v="-0.40712364266529094"/>
    <n v="3.9406750843888894E-2"/>
    <n v="0.11017914734248614"/>
    <n v="0.88634581155797509"/>
    <n v="-0.25894992279068096"/>
    <x v="1"/>
    <x v="0"/>
    <x v="0"/>
    <x v="0"/>
    <x v="0"/>
    <x v="1"/>
  </r>
  <r>
    <x v="1"/>
    <s v="GCAAF"/>
    <n v="762"/>
    <n v="30.399899999999999"/>
    <n v="1.96"/>
    <n v="38.43"/>
    <n v="1.85"/>
    <n v="15.510153061224489"/>
    <n v="0.79104605776736925"/>
    <n v="5.74"/>
    <n v="1.52"/>
    <n v="1.45"/>
    <n v="16.432378378378377"/>
    <s v="NO"/>
    <n v="0.60410403732162432"/>
    <n v="-0.56632811487760482"/>
    <n v="-0.51664102116270882"/>
    <n v="-1.8893937822957785"/>
    <n v="-1.2956096320913848"/>
    <n v="0.53588086876424146"/>
    <x v="1"/>
    <x v="0"/>
    <x v="0"/>
    <x v="0"/>
    <x v="0"/>
    <x v="1"/>
  </r>
  <r>
    <x v="1"/>
    <s v="RWAY"/>
    <n v="371"/>
    <n v="10.11"/>
    <n v="1.96"/>
    <n v="13.48"/>
    <n v="1.67"/>
    <n v="5.158163265306122"/>
    <n v="0.74999999999999989"/>
    <n v="12.28"/>
    <n v="6.32"/>
    <n v="2.0499999999999998"/>
    <n v="6.0538922155688626"/>
    <s v="YES"/>
    <n v="-0.15467523754623402"/>
    <n v="-0.61410997864977546"/>
    <n v="0.41820536159388449"/>
    <n v="0.81425412256722718"/>
    <n v="-0.13704921953420293"/>
    <n v="-0.65523973682675241"/>
    <x v="1"/>
    <x v="0"/>
    <x v="0"/>
    <x v="0"/>
    <x v="0"/>
    <x v="1"/>
  </r>
  <r>
    <x v="1"/>
    <s v="VALU"/>
    <n v="369"/>
    <n v="37.909999999999997"/>
    <n v="1.93"/>
    <n v="10.51"/>
    <n v="2.2799999999999998"/>
    <n v="19.642487046632123"/>
    <n v="3.6070409134157941"/>
    <n v="22.87"/>
    <n v="2.99"/>
    <n v="1.45"/>
    <n v="16.62719298245614"/>
    <s v="NO"/>
    <n v="0.90699550522045314"/>
    <n v="2.7117816450977683"/>
    <n v="1.9319703758740567"/>
    <n v="-1.0614016114314828"/>
    <n v="-1.2956096320913848"/>
    <n v="0.55823939827874813"/>
    <x v="1"/>
    <x v="0"/>
    <x v="0"/>
    <x v="0"/>
    <x v="0"/>
    <x v="1"/>
  </r>
  <r>
    <x v="1"/>
    <s v="PSEC"/>
    <n v="1486"/>
    <n v="3.31"/>
    <n v="1.52"/>
    <n v="7.25"/>
    <n v="-0.87"/>
    <n v="2.1776315789473686"/>
    <n v="0.45655172413793105"/>
    <n v="-4.8"/>
    <n v="4.33"/>
    <n v="2.16"/>
    <n v="-3.8045977011494254"/>
    <s v="NO"/>
    <n v="-0.37314199768423872"/>
    <n v="-0.95571417413396387"/>
    <n v="-2.0232588918438243"/>
    <n v="-0.30663323799056064"/>
    <n v="7.5353522767947725E-2"/>
    <n v="-1.7866812877046689"/>
    <x v="1"/>
    <x v="0"/>
    <x v="0"/>
    <x v="0"/>
    <x v="0"/>
    <x v="1"/>
  </r>
  <r>
    <x v="1"/>
    <s v="AGFMF"/>
    <n v="543"/>
    <n v="8.84"/>
    <n v="1.22"/>
    <n v="12.18"/>
    <n v="1.01"/>
    <n v="7.2459016393442619"/>
    <n v="0.72577996715927751"/>
    <n v="8.3800000000000008"/>
    <n v="5.47"/>
    <n v="1.47"/>
    <n v="8.7524752475247531"/>
    <s v="NO"/>
    <n v="-1.648366307328724E-3"/>
    <n v="-0.64230460616581686"/>
    <n v="-0.13927183913252422"/>
    <n v="0.33548313941440294"/>
    <n v="-1.2569909516728119"/>
    <n v="-0.34552810790160082"/>
    <x v="1"/>
    <x v="0"/>
    <x v="0"/>
    <x v="0"/>
    <x v="0"/>
    <x v="1"/>
  </r>
  <r>
    <x v="1"/>
    <s v="GSBD"/>
    <n v="1329"/>
    <n v="11.57"/>
    <n v="1.1100000000000001"/>
    <n v="13.2"/>
    <n v="0.45"/>
    <n v="10.423423423423422"/>
    <n v="0.87651515151515158"/>
    <n v="3.27"/>
    <n v="6.4"/>
    <n v="2.2599999999999998"/>
    <n v="25.711111111111112"/>
    <s v="NO"/>
    <n v="0.23125735739721401"/>
    <n v="-0.4668332348252261"/>
    <n v="-0.86970991495610128"/>
    <n v="0.85931492098161066"/>
    <n v="0.26844692486081073"/>
    <n v="1.6007847071808579"/>
    <x v="1"/>
    <x v="0"/>
    <x v="0"/>
    <x v="0"/>
    <x v="0"/>
    <x v="1"/>
  </r>
  <r>
    <x v="1"/>
    <s v="BBDC"/>
    <n v="980"/>
    <n v="9.1"/>
    <n v="1.04"/>
    <n v="11.29"/>
    <n v="0.94"/>
    <n v="8.75"/>
    <n v="0.80602302922940661"/>
    <n v="8.24"/>
    <n v="4.93"/>
    <n v="2.35"/>
    <n v="9.6808510638297882"/>
    <s v="NO"/>
    <n v="0.10859890846087907"/>
    <n v="-0.54889336842339931"/>
    <n v="-0.15928384120988259"/>
    <n v="3.1322750117314835E-2"/>
    <n v="0.4422309867443886"/>
    <n v="-0.238980048079942"/>
    <x v="1"/>
    <x v="0"/>
    <x v="0"/>
    <x v="0"/>
    <x v="0"/>
    <x v="1"/>
  </r>
  <r>
    <x v="1"/>
    <s v="AAMI"/>
    <n v="1078"/>
    <n v="31.21"/>
    <n v="1"/>
    <n v="0.59"/>
    <n v="2.4"/>
    <n v="31.21"/>
    <n v="52.898305084745765"/>
    <n v="230.62"/>
    <n v="14.88"/>
    <n v="31.21"/>
    <n v="13.004166666666668"/>
    <s v="NO"/>
    <n v="1.7548700939533119"/>
    <n v="60.091919906875411"/>
    <n v="31.62835202995392"/>
    <n v="5.6357595529062534"/>
    <n v="56.168986830744849"/>
    <n v="0.14243103936804505"/>
    <x v="1"/>
    <x v="1"/>
    <x v="1"/>
    <x v="1"/>
    <x v="1"/>
    <x v="1"/>
  </r>
  <r>
    <x v="1"/>
    <s v="AC"/>
    <n v="789"/>
    <n v="37.85"/>
    <n v="0.93"/>
    <n v="42.51"/>
    <n v="1.8"/>
    <n v="40.698924731182792"/>
    <n v="0.89037873441543169"/>
    <n v="4.2"/>
    <n v="-1.26"/>
    <n v="1.04"/>
    <n v="21.027777777777779"/>
    <s v="NO"/>
    <n v="2.4503884985059723"/>
    <n v="-0.45069458800828394"/>
    <n v="-0.73677304401364985"/>
    <n v="-3.4552565271956022"/>
    <n v="-2.0872925806721256"/>
    <n v="1.0632867764928258"/>
    <x v="1"/>
    <x v="0"/>
    <x v="0"/>
    <x v="1"/>
    <x v="0"/>
    <x v="1"/>
  </r>
  <r>
    <x v="1"/>
    <s v="FRRPF"/>
    <n v="445"/>
    <n v="4.26"/>
    <n v="0.9"/>
    <n v="1.85"/>
    <n v="0.25"/>
    <n v="4.7333333333333334"/>
    <n v="2.3027027027027023"/>
    <n v="16.16"/>
    <n v="6.18"/>
    <n v="4.4000000000000004"/>
    <n v="17.04"/>
    <s v="NO"/>
    <n v="-0.18581438606544651"/>
    <n v="1.1933968333247926"/>
    <n v="0.97282370488067094"/>
    <n v="0.73539772534205583"/>
    <n v="4.4006457296480948"/>
    <n v="0.60561653373141477"/>
    <x v="1"/>
    <x v="0"/>
    <x v="0"/>
    <x v="0"/>
    <x v="1"/>
    <x v="1"/>
  </r>
  <r>
    <x v="1"/>
    <s v="WT"/>
    <n v="1388"/>
    <n v="10.02"/>
    <n v="0.82"/>
    <n v="2.91"/>
    <n v="0.37"/>
    <n v="12.219512195121952"/>
    <n v="3.4432989690721647"/>
    <n v="14.25"/>
    <n v="9.18"/>
    <n v="2.46"/>
    <n v="27.081081081081081"/>
    <s v="NO"/>
    <n v="0.36290692068455982"/>
    <n v="2.5211690575805945"/>
    <n v="0.69980281939671163"/>
    <n v="2.4251776658814341"/>
    <n v="0.65463372904653838"/>
    <n v="1.758013751443549"/>
    <x v="1"/>
    <x v="0"/>
    <x v="0"/>
    <x v="0"/>
    <x v="0"/>
    <x v="1"/>
  </r>
  <r>
    <x v="1"/>
    <s v="NMFC"/>
    <n v="1162"/>
    <n v="10.83"/>
    <n v="0.72"/>
    <n v="12.45"/>
    <n v="0.99"/>
    <n v="15.041666666666668"/>
    <n v="0.86987951807228925"/>
    <n v="8.09"/>
    <n v="5.43"/>
    <n v="2.38"/>
    <n v="10.939393939393939"/>
    <s v="NO"/>
    <n v="0.56976496109028951"/>
    <n v="-0.47455779963010647"/>
    <n v="-0.18072527200705221"/>
    <n v="0.31295274020721126"/>
    <n v="0.50015900737224739"/>
    <n v="-9.4539295489643779E-2"/>
    <x v="1"/>
    <x v="0"/>
    <x v="0"/>
    <x v="0"/>
    <x v="0"/>
    <x v="1"/>
  </r>
  <r>
    <x v="1"/>
    <s v="PX"/>
    <n v="1218"/>
    <n v="9.89"/>
    <n v="0.71"/>
    <n v="3.03"/>
    <n v="0.16"/>
    <n v="13.929577464788734"/>
    <n v="3.2640264026402646"/>
    <n v="4.9400000000000004"/>
    <n v="7.23"/>
    <n v="2.62"/>
    <n v="61.8125"/>
    <s v="NO"/>
    <n v="0.48825114057609004"/>
    <n v="2.3124772169199255"/>
    <n v="-0.63099531874761317"/>
    <n v="1.3268207045308387"/>
    <n v="0.96358317239512059"/>
    <n v="5.7440776230687627"/>
    <x v="1"/>
    <x v="0"/>
    <x v="0"/>
    <x v="0"/>
    <x v="0"/>
    <x v="0"/>
  </r>
  <r>
    <x v="1"/>
    <s v="NOAH"/>
    <n v="682"/>
    <n v="11.58"/>
    <n v="0.6"/>
    <n v="100.04"/>
    <n v="0.96"/>
    <n v="19.3"/>
    <n v="0.11575369852059175"/>
    <n v="4.8600000000000003"/>
    <n v="3.55"/>
    <n v="1.17"/>
    <n v="12.0625"/>
    <s v="NO"/>
    <n v="0.88189191856529436"/>
    <n v="-1.3524383839512049"/>
    <n v="-0.6424307485061036"/>
    <n v="-0.7459760225307992"/>
    <n v="-1.8362711579514031"/>
    <n v="3.435761202329822E-2"/>
    <x v="1"/>
    <x v="0"/>
    <x v="0"/>
    <x v="0"/>
    <x v="0"/>
    <x v="1"/>
  </r>
  <r>
    <x v="1"/>
    <s v="DBRG"/>
    <n v="1950"/>
    <n v="10.72"/>
    <n v="0.46"/>
    <n v="6.62"/>
    <n v="0.37"/>
    <n v="23.304347826086957"/>
    <n v="1.6193353474320242"/>
    <n v="6.89"/>
    <n v="2.42"/>
    <n v="2.95"/>
    <n v="28.972972972972975"/>
    <s v="NO"/>
    <n v="1.1754022677539062"/>
    <n v="0.39788643227843173"/>
    <n v="-0.35225671838440881"/>
    <n v="-1.382459800133965"/>
    <n v="1.6007913993015708"/>
    <n v="1.9751428568479672"/>
    <x v="1"/>
    <x v="0"/>
    <x v="0"/>
    <x v="0"/>
    <x v="0"/>
    <x v="1"/>
  </r>
  <r>
    <x v="1"/>
    <s v="BCSF"/>
    <n v="1020"/>
    <n v="15.79"/>
    <n v="0.45"/>
    <n v="17.64"/>
    <n v="1.75"/>
    <n v="35.088888888888889"/>
    <n v="0.89512471655328796"/>
    <n v="9.8699999999999992"/>
    <n v="5.0999999999999996"/>
    <n v="2.31"/>
    <n v="9.0228571428571431"/>
    <s v="NO"/>
    <n v="2.0391845645456779"/>
    <n v="-0.44516977309764272"/>
    <n v="7.3713040119359988E-2"/>
    <n v="0.12707694674787956"/>
    <n v="0.3649936259072431"/>
    <n v="-0.31449685326031951"/>
    <x v="1"/>
    <x v="0"/>
    <x v="0"/>
    <x v="0"/>
    <x v="0"/>
    <x v="1"/>
  </r>
  <r>
    <x v="1"/>
    <s v="GAIN"/>
    <n v="554"/>
    <n v="13.98"/>
    <n v="0.44"/>
    <n v="13.55"/>
    <n v="1.78"/>
    <n v="31.772727272727273"/>
    <n v="1.0317343173431734"/>
    <n v="13.17"/>
    <n v="3.81"/>
    <n v="2.02"/>
    <n v="7.8539325842696632"/>
    <s v="NO"/>
    <n v="1.7961168301234656"/>
    <n v="-0.28614204449316505"/>
    <n v="0.54542451765709077"/>
    <n v="-0.5995284276840529"/>
    <n v="-0.19497724016206167"/>
    <n v="-0.44865226921146362"/>
    <x v="1"/>
    <x v="0"/>
    <x v="0"/>
    <x v="0"/>
    <x v="0"/>
    <x v="1"/>
  </r>
  <r>
    <x v="1"/>
    <s v="VINP"/>
    <n v="622"/>
    <n v="9.3800000000000008"/>
    <n v="0.43"/>
    <n v="5.23"/>
    <n v="0.38"/>
    <n v="21.813953488372096"/>
    <n v="1.7934990439770555"/>
    <n v="7.79"/>
    <n v="4.4000000000000004"/>
    <n v="1.81"/>
    <n v="24.684210526315791"/>
    <s v="NO"/>
    <n v="1.0661594693032803"/>
    <n v="0.60063101909202921"/>
    <n v="-0.22360813360139134"/>
    <n v="-0.26720503937797496"/>
    <n v="-0.60047338455707533"/>
    <n v="1.4829291329424632"/>
    <x v="1"/>
    <x v="0"/>
    <x v="0"/>
    <x v="0"/>
    <x v="0"/>
    <x v="1"/>
  </r>
  <r>
    <x v="1"/>
    <s v="CCAP"/>
    <n v="575"/>
    <n v="15.07"/>
    <n v="0.12"/>
    <n v="19.62"/>
    <n v="1.34"/>
    <n v="125.58333333333334"/>
    <n v="0.76809378185524968"/>
    <n v="6.7"/>
    <n v="5.55"/>
    <n v="2.29"/>
    <n v="11.246268656716417"/>
    <s v="NO"/>
    <n v="8.6722387202017188"/>
    <n v="-0.59304694198421237"/>
    <n v="-0.37941586406082356"/>
    <n v="0.38054393782878643"/>
    <n v="0.3263749454886703"/>
    <n v="-5.9319823843813221E-2"/>
    <x v="0"/>
    <x v="0"/>
    <x v="0"/>
    <x v="0"/>
    <x v="0"/>
    <x v="1"/>
  </r>
  <r>
    <x v="1"/>
    <s v="CYFRF"/>
    <n v="357"/>
    <n v="1.97"/>
    <n v="-0.01"/>
    <n v="0.28000000000000003"/>
    <n v="0.03"/>
    <n v="-197"/>
    <n v="7.0357142857142847"/>
    <n v="17.12"/>
    <n v="12.46"/>
    <n v="1.24"/>
    <n v="65.666666666666671"/>
    <s v="NO"/>
    <n v="-14.972447236466461"/>
    <n v="6.7031126743269676"/>
    <n v="1.1100488619825564"/>
    <n v="4.2726704008711556"/>
    <n v="-1.7011057764863984"/>
    <n v="6.1864135535727041"/>
    <x v="0"/>
    <x v="1"/>
    <x v="0"/>
    <x v="1"/>
    <x v="0"/>
    <x v="0"/>
  </r>
  <r>
    <x v="1"/>
    <s v="CION"/>
    <n v="509"/>
    <n v="9.1999999999999993"/>
    <n v="-0.04"/>
    <n v="14.28"/>
    <n v="-0.28999999999999998"/>
    <n v="-229.99999999999997"/>
    <n v="0.64425770308123242"/>
    <n v="-1.88"/>
    <n v="5.76"/>
    <n v="2.5099999999999998"/>
    <n v="-31.724137931034484"/>
    <s v="NO"/>
    <n v="-17.391278452906811"/>
    <n v="-0.73720496757574339"/>
    <n v="-1.6058657056589232"/>
    <n v="0.49882853366654289"/>
    <n v="0.75118043009296998"/>
    <n v="-4.9909578213682595"/>
    <x v="0"/>
    <x v="0"/>
    <x v="0"/>
    <x v="0"/>
    <x v="0"/>
    <x v="0"/>
  </r>
  <r>
    <x v="1"/>
    <s v="DEFT"/>
    <n v="1181"/>
    <n v="3.46"/>
    <n v="-0.34"/>
    <n v="0.16"/>
    <n v="0.05"/>
    <n v="-10.176470588235293"/>
    <n v="21.625"/>
    <n v="49.8"/>
    <n v="1.98"/>
    <n v="14.2"/>
    <n v="69.199999999999989"/>
    <s v="NO"/>
    <n v="-1.2786719362622634"/>
    <n v="23.686552752400829"/>
    <n v="5.7814219183258997"/>
    <n v="-1.6302941914130737"/>
    <n v="23.323799134748732"/>
    <n v="6.5919280066184776"/>
    <x v="1"/>
    <x v="1"/>
    <x v="1"/>
    <x v="0"/>
    <x v="1"/>
    <x v="0"/>
  </r>
  <r>
    <x v="1"/>
    <s v="HRZN"/>
    <n v="305"/>
    <n v="7.6"/>
    <n v="-0.35"/>
    <n v="7.57"/>
    <n v="-0.95"/>
    <n v="-21.714285714285715"/>
    <n v="1.0039630118890355"/>
    <n v="-11.21"/>
    <n v="6.29"/>
    <n v="2.58"/>
    <n v="-8"/>
    <s v="NO"/>
    <n v="-2.1243697361534277"/>
    <n v="-0.31847072125685333"/>
    <n v="-2.9395227012428711"/>
    <n v="0.79735632316183325"/>
    <n v="0.88634581155797509"/>
    <n v="-2.2681802316269462"/>
    <x v="1"/>
    <x v="0"/>
    <x v="1"/>
    <x v="0"/>
    <x v="0"/>
    <x v="1"/>
  </r>
  <r>
    <x v="1"/>
    <s v="FDUS"/>
    <n v="717"/>
    <n v="20.52"/>
    <n v="-0.83"/>
    <n v="19.39"/>
    <n v="2.33"/>
    <n v="-24.722891566265062"/>
    <n v="1.0582774626095925"/>
    <n v="12.1"/>
    <n v="5.51"/>
    <n v="1.83"/>
    <n v="8.806866952789699"/>
    <s v="NO"/>
    <n v="-2.3448942741150267"/>
    <n v="-0.25524307343014552"/>
    <n v="0.39247564463728107"/>
    <n v="0.35801353862159468"/>
    <n v="-0.56185470413850258"/>
    <n v="-0.33928566754007022"/>
    <x v="1"/>
    <x v="0"/>
    <x v="0"/>
    <x v="0"/>
    <x v="0"/>
    <x v="1"/>
  </r>
  <r>
    <x v="1"/>
    <s v="INV"/>
    <n v="305"/>
    <n v="5.69"/>
    <n v="-1.2"/>
    <n v="5.55"/>
    <n v="-4.24"/>
    <n v="-4.7416666666666671"/>
    <n v="1.0252252252252254"/>
    <n v="-128.53"/>
    <n v="-17.059999999999999"/>
    <n v="2.5299999999999998"/>
    <n v="-1.3419811320754718"/>
    <s v="NO"/>
    <n v="-0.88031213684642606"/>
    <n v="-0.2937193020856726"/>
    <n v="-19.7095804420691"/>
    <n v="-12.354764214036328"/>
    <n v="0.78979911051154272"/>
    <n v="-1.5040511147604743"/>
    <x v="1"/>
    <x v="0"/>
    <x v="1"/>
    <x v="1"/>
    <x v="0"/>
    <x v="1"/>
  </r>
  <r>
    <x v="1"/>
    <s v="MFIC"/>
    <n v="1225"/>
    <n v="13.09"/>
    <n v="-1.77"/>
    <n v="14.93"/>
    <n v="1.22"/>
    <n v="-7.3954802259887007"/>
    <n v="0.8767582049564635"/>
    <n v="8.64"/>
    <n v="5.59"/>
    <n v="2.41"/>
    <n v="10.729508196721312"/>
    <s v="NO"/>
    <n v="-1.0748311392676628"/>
    <n v="-0.46655029543825882"/>
    <n v="-0.10210669241743033"/>
    <n v="0.40307433703597817"/>
    <n v="0.5580870280001069"/>
    <n v="-0.11862751307700135"/>
    <x v="1"/>
    <x v="0"/>
    <x v="0"/>
    <x v="0"/>
    <x v="0"/>
    <x v="1"/>
  </r>
  <r>
    <x v="1"/>
    <s v="MSIF"/>
    <n v="742"/>
    <n v="17.98"/>
    <n v="-2.15"/>
    <n v="15.35"/>
    <n v="1.5"/>
    <n v="-8.36279069767442"/>
    <n v="1.1713355048859935"/>
    <n v="9.25"/>
    <n v="4.9000000000000004"/>
    <n v="1.84"/>
    <n v="11.986666666666666"/>
    <s v="NO"/>
    <n v="-1.1457329806283616"/>
    <n v="-0.12363179896826862"/>
    <n v="-1.4911540508940809E-2"/>
    <n v="1.4424950711921411E-2"/>
    <n v="-0.54254536392921615"/>
    <n v="2.5654353715004432E-2"/>
    <x v="1"/>
    <x v="0"/>
    <x v="0"/>
    <x v="0"/>
    <x v="0"/>
    <x v="1"/>
  </r>
  <r>
    <x v="1"/>
    <s v="SCM"/>
    <n v="377"/>
    <n v="13.55"/>
    <n v="-2.65"/>
    <n v="13.25"/>
    <n v="1.42"/>
    <n v="-5.1132075471698117"/>
    <n v="1.0226415094339623"/>
    <n v="10.83"/>
    <n v="4.66"/>
    <n v="2.71"/>
    <n v="9.5422535211267618"/>
    <s v="NO"/>
    <n v="-0.90754530896596364"/>
    <n v="-0.29672701494969056"/>
    <n v="0.21093819722124538"/>
    <n v="-0.12075744453122898"/>
    <n v="1.1373672342786976"/>
    <n v="-0.25488664432221736"/>
    <x v="1"/>
    <x v="0"/>
    <x v="0"/>
    <x v="0"/>
    <x v="0"/>
    <x v="1"/>
  </r>
  <r>
    <x v="1"/>
    <s v="CSWC"/>
    <n v="1118"/>
    <n v="21.35"/>
    <n v="-4.6100000000000003"/>
    <n v="16.7"/>
    <n v="1.47"/>
    <n v="-4.6312364425162693"/>
    <n v="1.2784431137724552"/>
    <n v="8.61"/>
    <n v="6.37"/>
    <n v="2.13"/>
    <n v="14.523809523809526"/>
    <s v="NO"/>
    <n v="-0.87221783159147193"/>
    <n v="1.0525545397163329E-3"/>
    <n v="-0.1063949785768644"/>
    <n v="0.84241712157621673"/>
    <n v="1.7425502140088141E-2"/>
    <n v="0.3168377776810275"/>
    <x v="1"/>
    <x v="0"/>
    <x v="0"/>
    <x v="0"/>
    <x v="0"/>
    <x v="1"/>
  </r>
  <r>
    <x v="1"/>
    <s v="TRIN"/>
    <n v="941"/>
    <n v="14.65"/>
    <n v="-5.28"/>
    <n v="13.05"/>
    <n v="2.19"/>
    <n v="-2.7746212121212119"/>
    <n v="1.1226053639846743"/>
    <n v="17.559999999999999"/>
    <n v="6.88"/>
    <n v="2.23"/>
    <n v="6.6894977168949774"/>
    <s v="NO"/>
    <n v="-0.73613180504001252"/>
    <n v="-0.18035873160920432"/>
    <n v="1.1729437256542534"/>
    <n v="1.1296797114679109"/>
    <n v="0.210518904232952"/>
    <n v="-0.58229241119756048"/>
    <x v="1"/>
    <x v="0"/>
    <x v="0"/>
    <x v="0"/>
    <x v="0"/>
    <x v="1"/>
  </r>
  <r>
    <x v="1"/>
    <s v="PFLT"/>
    <n v="1022"/>
    <n v="10.46"/>
    <n v="-10.14"/>
    <n v="11.07"/>
    <n v="0.86"/>
    <n v="-1.0315581854043392"/>
    <n v="0.94489611562782305"/>
    <n v="7.59"/>
    <n v="5.65"/>
    <n v="2.3199999999999998"/>
    <n v="12.162790697674421"/>
    <s v="NO"/>
    <n v="-0.60836891833559525"/>
    <n v="-0.38723070806469417"/>
    <n v="-0.25219670799761745"/>
    <n v="0.43686993584676603"/>
    <n v="0.38430296611652903"/>
    <n v="4.5867799026983659E-2"/>
    <x v="1"/>
    <x v="0"/>
    <x v="0"/>
    <x v="0"/>
    <x v="0"/>
    <x v="1"/>
  </r>
  <r>
    <x v="1"/>
    <s v="OPY"/>
    <n v="687"/>
    <n v="63.07"/>
    <n v="-12.3"/>
    <n v="82.87"/>
    <n v="6.74"/>
    <n v="-5.1276422764227636"/>
    <n v="0.7610715578617111"/>
    <n v="9.1"/>
    <n v="2.23"/>
    <n v="4.0999999999999996"/>
    <n v="9.3575667655786354"/>
    <s v="NO"/>
    <n v="-0.90860334453317293"/>
    <n v="-0.60122153824236202"/>
    <n v="-3.6352971306110433E-2"/>
    <n v="-1.4894791963681255"/>
    <n v="3.8213655233695021"/>
    <n v="-0.27608281847152788"/>
    <x v="1"/>
    <x v="0"/>
    <x v="0"/>
    <x v="0"/>
    <x v="1"/>
    <x v="1"/>
  </r>
  <r>
    <x v="2"/>
    <s v="ANTA"/>
    <n v="293"/>
    <n v="12.48"/>
    <m/>
    <m/>
    <m/>
    <s v=""/>
    <s v=""/>
    <n v="14.87"/>
    <n v="0.2"/>
    <n v="27.05"/>
    <s v=""/>
    <s v="NO"/>
    <e v="#VALUE!"/>
    <e v="#VALUE!"/>
    <n v="7.8116302836993667E-2"/>
    <n v="-0.92242672409517301"/>
    <n v="9.6414574212972113"/>
    <e v="#VALUE!"/>
    <x v="0"/>
    <x v="1"/>
    <x v="0"/>
    <x v="0"/>
    <x v="1"/>
    <x v="0"/>
  </r>
  <r>
    <x v="2"/>
    <s v="SHGKY"/>
    <n v="546"/>
    <n v="1.39"/>
    <m/>
    <m/>
    <m/>
    <s v=""/>
    <s v=""/>
    <n v="2.4300000000000002"/>
    <n v="1.51"/>
    <n v="1.76"/>
    <s v=""/>
    <s v="NO"/>
    <e v="#VALUE!"/>
    <e v="#VALUE!"/>
    <n v="-0.76756683642046297"/>
    <n v="-0.72431768427061272"/>
    <n v="-0.80338922907145693"/>
    <e v="#VALUE!"/>
    <x v="0"/>
    <x v="1"/>
    <x v="0"/>
    <x v="0"/>
    <x v="0"/>
    <x v="0"/>
  </r>
  <r>
    <x v="2"/>
    <s v="WRLD"/>
    <n v="820"/>
    <n v="157.61000000000001"/>
    <n v="46.17"/>
    <n v="84.28"/>
    <n v="16.3"/>
    <n v="3.4136885423435133"/>
    <n v="1.8700759373516851"/>
    <n v="20.78"/>
    <n v="9.36"/>
    <n v="2.29"/>
    <n v="9.669325153374233"/>
    <s v="NO"/>
    <n v="-1.5319709554443965E-3"/>
    <n v="0.64027183048674896"/>
    <n v="0.47988377494403311"/>
    <n v="0.46282427192999631"/>
    <n v="-0.58449762271734884"/>
    <n v="0.20603135118043042"/>
    <x v="1"/>
    <x v="0"/>
    <x v="0"/>
    <x v="0"/>
    <x v="0"/>
    <x v="1"/>
  </r>
  <r>
    <x v="2"/>
    <s v="ATLC"/>
    <n v="742"/>
    <n v="51.91"/>
    <n v="30.47"/>
    <n v="35.29"/>
    <n v="5.17"/>
    <n v="1.7036429274696423"/>
    <n v="1.4709549447435533"/>
    <n v="20.56"/>
    <n v="3.81"/>
    <n v="6.14"/>
    <n v="10.040618955512572"/>
    <s v="NO"/>
    <n v="-0.27887707046967053"/>
    <n v="0.20481644185653616"/>
    <n v="0.46492796379960843"/>
    <n v="-0.37649265251756803"/>
    <n v="1.0055640460813609"/>
    <n v="0.23628088083513932"/>
    <x v="1"/>
    <x v="0"/>
    <x v="0"/>
    <x v="0"/>
    <x v="0"/>
    <x v="1"/>
  </r>
  <r>
    <x v="2"/>
    <s v="RM"/>
    <n v="262"/>
    <n v="27.84"/>
    <n v="26.52"/>
    <n v="35.479999999999997"/>
    <n v="3.29"/>
    <n v="1.0497737556561086"/>
    <n v="0.7846674182638107"/>
    <n v="9.51"/>
    <n v="4.0999999999999996"/>
    <n v="5.31"/>
    <n v="8.4620060790273559"/>
    <s v="NO"/>
    <n v="-0.38492535885950097"/>
    <n v="-0.54394798569819458"/>
    <n v="-0.28626164140898441"/>
    <n v="-0.33263645286174937"/>
    <n v="0.66277153047021031"/>
    <n v="0.10767033914138661"/>
    <x v="1"/>
    <x v="0"/>
    <x v="0"/>
    <x v="0"/>
    <x v="0"/>
    <x v="1"/>
  </r>
  <r>
    <x v="2"/>
    <s v="OPFI"/>
    <n v="332"/>
    <n v="13.89"/>
    <n v="14.95"/>
    <n v="0.89"/>
    <n v="-0.62"/>
    <n v="0.92909698996655532"/>
    <n v="15.606741573033709"/>
    <n v="43.36"/>
    <n v="15.64"/>
    <n v="28.38"/>
    <n v="-22.403225806451616"/>
    <s v="NO"/>
    <n v="-0.4044974154748987"/>
    <n v="15.627469155740474"/>
    <n v="2.0148938460399632"/>
    <n v="1.412537836890484"/>
    <n v="10.190751452336764"/>
    <n v="-2.4069386897251741"/>
    <x v="1"/>
    <x v="1"/>
    <x v="0"/>
    <x v="0"/>
    <x v="1"/>
    <x v="1"/>
  </r>
  <r>
    <x v="2"/>
    <s v="OPRT"/>
    <n v="292"/>
    <n v="6.81"/>
    <n v="9.2100000000000009"/>
    <n v="9.76"/>
    <n v="-1.01"/>
    <n v="0.73941368078175884"/>
    <n v="0.69774590163934425"/>
    <n v="-11.36"/>
    <n v="-1.31"/>
    <n v="8.81"/>
    <n v="-6.7425742574257423"/>
    <s v="NO"/>
    <n v="-0.43526135288362411"/>
    <n v="-0.63878249328621606"/>
    <n v="-1.7050242713368882"/>
    <n v="-1.1507814188547805"/>
    <n v="2.1082821384690376"/>
    <n v="-1.131055977123858"/>
    <x v="1"/>
    <x v="0"/>
    <x v="0"/>
    <x v="0"/>
    <x v="0"/>
    <x v="1"/>
  </r>
  <r>
    <x v="2"/>
    <s v="ECPG"/>
    <n v="885"/>
    <n v="38.35"/>
    <n v="5.07"/>
    <n v="34.840000000000003"/>
    <n v="-4.84"/>
    <n v="7.5641025641025639"/>
    <n v="1.1007462686567164"/>
    <n v="-13.05"/>
    <n v="4.17"/>
    <n v="6.07"/>
    <n v="-7.9235537190082646"/>
    <s v="NO"/>
    <n v="0.67160620727666409"/>
    <n v="-0.19909456734951173"/>
    <n v="-1.8199120933099668"/>
    <n v="-0.32205047363448275"/>
    <n v="0.9766538339213845"/>
    <n v="-1.2272710850491777"/>
    <x v="1"/>
    <x v="0"/>
    <x v="0"/>
    <x v="0"/>
    <x v="0"/>
    <x v="1"/>
  </r>
  <r>
    <x v="2"/>
    <s v="PRG"/>
    <n v="1163"/>
    <n v="29.55"/>
    <n v="4.8899999999999997"/>
    <n v="16.22"/>
    <n v="4.9000000000000004"/>
    <n v="6.0429447852760738"/>
    <n v="1.8218249075215784"/>
    <n v="33.880000000000003"/>
    <n v="17.04"/>
    <n v="2.25"/>
    <n v="6.0306122448979593"/>
    <s v="NO"/>
    <n v="0.4248960307317014"/>
    <n v="0.58762821780885999"/>
    <n v="1.3704343476347631"/>
    <n v="1.6242574214358154"/>
    <n v="-0.60101774395162111"/>
    <n v="-9.041678071947841E-2"/>
    <x v="1"/>
    <x v="0"/>
    <x v="0"/>
    <x v="0"/>
    <x v="0"/>
    <x v="1"/>
  </r>
  <r>
    <x v="2"/>
    <s v="XYF"/>
    <n v="793"/>
    <n v="18.52"/>
    <n v="4.3"/>
    <n v="24.36"/>
    <n v="4.76"/>
    <n v="4.3069767441860467"/>
    <n v="0.76026272577996712"/>
    <n v="23.94"/>
    <n v="22.53"/>
    <n v="1.63"/>
    <n v="3.8907563025210083"/>
    <s v="NO"/>
    <n v="0.14334668203485901"/>
    <n v="-0.57057438482721001"/>
    <n v="0.69470360774576645"/>
    <n v="2.4545006494028656"/>
    <n v="-0.85707962308284202"/>
    <n v="-0.26475213297407701"/>
    <x v="1"/>
    <x v="0"/>
    <x v="0"/>
    <x v="0"/>
    <x v="0"/>
    <x v="1"/>
  </r>
  <r>
    <x v="2"/>
    <s v="TREE"/>
    <n v="474"/>
    <n v="36.19"/>
    <n v="3.33"/>
    <n v="7.67"/>
    <n v="-4.13"/>
    <n v="10.867867867867867"/>
    <n v="4.7183833116036507"/>
    <n v="-46.84"/>
    <n v="3.71"/>
    <n v="7.49"/>
    <n v="-8.7627118644067785"/>
    <s v="NO"/>
    <n v="1.2074299940661284"/>
    <n v="3.7478778386000897"/>
    <n v="-4.1169887231740718"/>
    <n v="-0.39161547998509172"/>
    <n v="1.5631181377380514"/>
    <n v="-1.2956378044989278"/>
    <x v="1"/>
    <x v="1"/>
    <x v="1"/>
    <x v="0"/>
    <x v="0"/>
    <x v="1"/>
  </r>
  <r>
    <x v="2"/>
    <s v="NAVI"/>
    <n v="1359"/>
    <n v="13.58"/>
    <n v="3.28"/>
    <n v="25.55"/>
    <n v="0.52"/>
    <n v="4.1402439024390247"/>
    <n v="0.53150684931506853"/>
    <n v="2.09"/>
    <n v="0.1"/>
    <n v="19.68"/>
    <n v="26.115384615384613"/>
    <s v="NO"/>
    <n v="0.11630498432550972"/>
    <n v="-0.82015529119980513"/>
    <n v="-0.79068036273457354"/>
    <n v="-0.9375495515626967"/>
    <n v="6.5976250838825381"/>
    <n v="1.5459017194281395"/>
    <x v="1"/>
    <x v="0"/>
    <x v="0"/>
    <x v="0"/>
    <x v="1"/>
    <x v="1"/>
  </r>
  <r>
    <x v="2"/>
    <s v="YRD"/>
    <n v="541"/>
    <n v="7.43"/>
    <n v="2.2400000000000002"/>
    <n v="13.68"/>
    <n v="2.48"/>
    <n v="3.3169642857142851"/>
    <n v="0.54312865497076024"/>
    <n v="17.95"/>
    <n v="13.52"/>
    <n v="1.36"/>
    <n v="2.995967741935484"/>
    <s v="YES"/>
    <n v="-1.7219270958989299E-2"/>
    <n v="-0.80747548233955591"/>
    <n v="0.2874976588589363"/>
    <n v="1.0919338945789816"/>
    <n v="-0.96859044141417994"/>
    <n v="-0.33765109584995423"/>
    <x v="1"/>
    <x v="0"/>
    <x v="0"/>
    <x v="0"/>
    <x v="0"/>
    <x v="1"/>
  </r>
  <r>
    <x v="2"/>
    <s v="EZPW"/>
    <n v="822"/>
    <n v="13.71"/>
    <n v="1.89"/>
    <n v="15.48"/>
    <n v="1.19"/>
    <n v="7.2539682539682548"/>
    <n v="0.88565891472868219"/>
    <n v="10.84"/>
    <n v="4.7"/>
    <n v="2.15"/>
    <n v="11.521008403361346"/>
    <s v="NO"/>
    <n v="0.62130682908532853"/>
    <n v="-0.43376262297377505"/>
    <n v="-0.1958469649449637"/>
    <n v="-0.24189948805660721"/>
    <n v="-0.642318047037302"/>
    <n v="0.35688910064736967"/>
    <x v="1"/>
    <x v="0"/>
    <x v="0"/>
    <x v="0"/>
    <x v="0"/>
    <x v="1"/>
  </r>
  <r>
    <x v="2"/>
    <s v="JFIN"/>
    <n v="814"/>
    <n v="17.690000000000001"/>
    <n v="1.77"/>
    <n v="8.0299999999999994"/>
    <n v="2.72"/>
    <n v="9.9943502824858772"/>
    <n v="2.2029887920298883"/>
    <n v="38.36"/>
    <n v="14.11"/>
    <n v="1.73"/>
    <n v="6.5036764705882355"/>
    <s v="NO"/>
    <n v="1.0657578541313915"/>
    <n v="1.003491754266165"/>
    <n v="1.6749890473030431"/>
    <n v="1.1811585766373713"/>
    <n v="-0.81577931999716113"/>
    <n v="-5.1875953371468456E-2"/>
    <x v="1"/>
    <x v="0"/>
    <x v="0"/>
    <x v="0"/>
    <x v="0"/>
    <x v="1"/>
  </r>
  <r>
    <x v="2"/>
    <s v="NRDS"/>
    <n v="785"/>
    <n v="11.1"/>
    <n v="0.73"/>
    <n v="4.99"/>
    <n v="0.38"/>
    <n v="15.205479452054794"/>
    <n v="2.224448897795591"/>
    <n v="7.86"/>
    <n v="2.09"/>
    <n v="1.28"/>
    <n v="29.210526315789473"/>
    <s v="NO"/>
    <n v="1.9109289569046812"/>
    <n v="1.0269055031526453"/>
    <n v="-0.3984302249921679"/>
    <n v="-0.63660528495897539"/>
    <n v="-1.0016306838827245"/>
    <n v="1.7980647776658818"/>
    <x v="1"/>
    <x v="0"/>
    <x v="0"/>
    <x v="0"/>
    <x v="0"/>
    <x v="1"/>
  </r>
  <r>
    <x v="2"/>
    <s v="LX"/>
    <n v="1220"/>
    <n v="7.52"/>
    <n v="0.69"/>
    <n v="9.1300000000000008"/>
    <n v="1.07"/>
    <n v="10.898550724637682"/>
    <n v="0.82365826944140186"/>
    <n v="12.57"/>
    <n v="5.99"/>
    <n v="2.02"/>
    <n v="7.0280373831775691"/>
    <s v="NO"/>
    <n v="1.212406317440305"/>
    <n v="-0.50140756169892131"/>
    <n v="-7.82399045819894E-2"/>
    <n v="-4.6815013725551684E-2"/>
    <n v="-0.69600844104868687"/>
    <n v="-9.1559540507380587E-3"/>
    <x v="1"/>
    <x v="0"/>
    <x v="0"/>
    <x v="0"/>
    <x v="0"/>
    <x v="1"/>
  </r>
  <r>
    <x v="2"/>
    <s v="GDOT"/>
    <n v="507"/>
    <n v="10.27"/>
    <n v="0.4"/>
    <n v="17.27"/>
    <n v="-0.11"/>
    <n v="25.674999999999997"/>
    <n v="0.5946728430804864"/>
    <n v="-0.62"/>
    <n v="-0.1"/>
    <n v="6.04"/>
    <n v="-93.36363636363636"/>
    <s v="NO"/>
    <n v="3.6089364211384733"/>
    <n v="-0.75123891528183939"/>
    <n v="-0.97490876364998402"/>
    <n v="-0.96779520649774398"/>
    <n v="0.96426374299568018"/>
    <n v="-8.188126070440223"/>
    <x v="0"/>
    <x v="0"/>
    <x v="0"/>
    <x v="0"/>
    <x v="0"/>
    <x v="0"/>
  </r>
  <r>
    <x v="2"/>
    <s v="DFDV"/>
    <n v="254"/>
    <n v="23.12"/>
    <n v="-0.21"/>
    <n v="0.28000000000000003"/>
    <n v="-0.26"/>
    <n v="-110.0952380952381"/>
    <n v="82.571428571428569"/>
    <n v="-65.06"/>
    <n v="-36.92"/>
    <n v="1.46"/>
    <n v="-88.92307692307692"/>
    <s v="NO"/>
    <n v="-18.411066944895332"/>
    <n v="88.688356308867071"/>
    <n v="-5.3556018097714073"/>
    <n v="-6.5360202800399643"/>
    <n v="-0.92729013832849927"/>
    <n v="-7.826351018696557"/>
    <x v="0"/>
    <x v="1"/>
    <x v="1"/>
    <x v="1"/>
    <x v="0"/>
    <x v="0"/>
  </r>
  <r>
    <x v="2"/>
    <s v="QD"/>
    <n v="489"/>
    <n v="2.94"/>
    <n v="-0.32"/>
    <n v="9.17"/>
    <n v="7.0000000000000007E-2"/>
    <n v="-9.1875"/>
    <n v="0.32061068702290074"/>
    <n v="0.8"/>
    <n v="-1.62"/>
    <n v="1.1000000000000001"/>
    <n v="41.999999999999993"/>
    <s v="NO"/>
    <n v="-2.0452656935389566"/>
    <n v="-1.0502506056843615"/>
    <n v="-0.87837580080869881"/>
    <n v="-1.197662184004104"/>
    <n v="-1.0759712294369499"/>
    <n v="2.8400309005867812"/>
    <x v="1"/>
    <x v="0"/>
    <x v="0"/>
    <x v="0"/>
    <x v="0"/>
    <x v="0"/>
  </r>
  <r>
    <x v="2"/>
    <s v="PRLPF"/>
    <n v="911"/>
    <n v="24.651399999999999"/>
    <n v="-0.97"/>
    <n v="5.99"/>
    <n v="1.45"/>
    <n v="-25.413814432989689"/>
    <n v="4.1154257095158595"/>
    <n v="32.93"/>
    <n v="15"/>
    <n v="2.4"/>
    <n v="17.000965517241379"/>
    <s v="NO"/>
    <n v="-4.676943323669648"/>
    <n v="3.0900293620543566"/>
    <n v="1.3058524358747481"/>
    <n v="1.3157517410983324"/>
    <n v="-0.5390672893231"/>
    <n v="0.80334450676558078"/>
    <x v="0"/>
    <x v="0"/>
    <x v="0"/>
    <x v="0"/>
    <x v="0"/>
    <x v="1"/>
  </r>
  <r>
    <x v="2"/>
    <s v="PRAA"/>
    <n v="563"/>
    <n v="14.65"/>
    <n v="-1.99"/>
    <n v="30.75"/>
    <n v="1.79"/>
    <n v="-7.3618090452261304"/>
    <n v="0.47642276422764229"/>
    <n v="6.93"/>
    <n v="4.5199999999999996"/>
    <n v="4.22"/>
    <n v="8.1843575418994412"/>
    <s v="NO"/>
    <n v="-1.7491645631773973"/>
    <n v="-0.88025401345026733"/>
    <n v="-0.46165251755723508"/>
    <n v="-0.26912057749814994"/>
    <n v="0.21259822683628998"/>
    <n v="8.5050145620601328E-2"/>
    <x v="1"/>
    <x v="0"/>
    <x v="0"/>
    <x v="0"/>
    <x v="0"/>
    <x v="1"/>
  </r>
  <r>
    <x v="2"/>
    <s v="LC"/>
    <n v="1145"/>
    <n v="10.7"/>
    <n v="-19.399999999999999"/>
    <n v="11.95"/>
    <n v="0.44"/>
    <n v="-0.55154639175257736"/>
    <n v="0.89539748953974896"/>
    <n v="3.86"/>
    <n v="0.41"/>
    <n v="7.68"/>
    <n v="24.318181818181817"/>
    <s v="NO"/>
    <n v="-0.64463673250607723"/>
    <n v="-0.42313748684313524"/>
    <n v="-0.67035406398170394"/>
    <n v="-0.89066878641337321"/>
    <n v="1.6415887136008447"/>
    <n v="1.3994825252578682"/>
    <x v="1"/>
    <x v="0"/>
    <x v="0"/>
    <x v="0"/>
    <x v="0"/>
    <x v="1"/>
  </r>
  <r>
    <x v="2"/>
    <s v="EHMEF"/>
    <n v="1760"/>
    <n v="112.13"/>
    <n v="-21.21"/>
    <n v="49.59"/>
    <n v="10.65"/>
    <n v="-5.2866572371522862"/>
    <n v="2.2611413591449887"/>
    <n v="23.37"/>
    <n v="5.41"/>
    <n v="4.62"/>
    <n v="10.528638497652581"/>
    <s v="NO"/>
    <n v="-1.4126044271720097"/>
    <n v="1.0669383010074769"/>
    <n v="0.6559544606897576"/>
    <n v="-0.13452741303718907"/>
    <n v="0.37779943917901321"/>
    <n v="0.27604012682045576"/>
    <x v="1"/>
    <x v="0"/>
    <x v="0"/>
    <x v="0"/>
    <x v="0"/>
    <x v="1"/>
  </r>
  <r>
    <x v="3"/>
    <s v="CASS"/>
    <n v="565"/>
    <n v="42.64"/>
    <n v="3.14"/>
    <n v="17.45"/>
    <n v="1.51"/>
    <n v="13.579617834394904"/>
    <n v="2.4435530085959885"/>
    <n v="8.91"/>
    <n v="1.18"/>
    <n v="9.9"/>
    <n v="28.23841059602649"/>
    <s v="NO"/>
    <n v="0.77473470116211096"/>
    <n v="0.93491672079577481"/>
    <n v="0.35349678440028309"/>
    <n v="-0.41640144159015918"/>
    <n v="0.83775753633201966"/>
    <n v="1.6616162315144758"/>
    <x v="1"/>
    <x v="0"/>
    <x v="0"/>
    <x v="0"/>
    <x v="0"/>
    <x v="1"/>
  </r>
  <r>
    <x v="3"/>
    <s v="NATL"/>
    <n v="1947"/>
    <n v="27.36"/>
    <n v="2.33"/>
    <n v="3.75"/>
    <n v="1.55"/>
    <n v="11.742489270386265"/>
    <n v="7.2960000000000003"/>
    <n v="41.06"/>
    <n v="6.16"/>
    <n v="20.87"/>
    <n v="17.651612903225807"/>
    <s v="NO"/>
    <n v="0.63626271866938755"/>
    <n v="5.3641164985891212"/>
    <n v="3.9530976425390723"/>
    <n v="1.7362067028240207"/>
    <n v="3.1432326504272861"/>
    <n v="0.85667096821017918"/>
    <x v="1"/>
    <x v="1"/>
    <x v="1"/>
    <x v="0"/>
    <x v="0"/>
    <x v="1"/>
  </r>
  <r>
    <x v="3"/>
    <s v="PSFE"/>
    <n v="733"/>
    <n v="13.02"/>
    <n v="2.0499999999999998"/>
    <n v="14.53"/>
    <n v="-0.01"/>
    <n v="6.3512195121951223"/>
    <n v="0.89607708189951829"/>
    <n v="-0.04"/>
    <n v="1.56"/>
    <n v="5.47"/>
    <n v="-1302"/>
    <s v="NO"/>
    <n v="0.22990040620235272"/>
    <n v="-0.47758300208762583"/>
    <n v="-0.64856939539263003"/>
    <n v="-0.25214620165494062"/>
    <n v="-9.3259305549660498E-2"/>
    <n v="-99.480309660094875"/>
    <x v="1"/>
    <x v="0"/>
    <x v="0"/>
    <x v="0"/>
    <x v="0"/>
    <x v="0"/>
  </r>
  <r>
    <x v="3"/>
    <s v="WRDLY"/>
    <n v="1648"/>
    <n v="2.84"/>
    <n v="1.18"/>
    <n v="30.12"/>
    <n v="-1.0900000000000001"/>
    <n v="2.406779661016949"/>
    <n v="9.42895086321381E-2"/>
    <n v="-3.32"/>
    <n v="1.35"/>
    <n v="2.36"/>
    <n v="-2.6055045871559628"/>
    <s v="NO"/>
    <n v="-6.7408348729932108E-2"/>
    <n v="-1.2094358894338133"/>
    <n v="-1.0158070568139435"/>
    <n v="-0.34291883425071923"/>
    <n v="-0.7468625512047451"/>
    <n v="-0.68353705741119164"/>
    <x v="1"/>
    <x v="0"/>
    <x v="0"/>
    <x v="0"/>
    <x v="0"/>
    <x v="1"/>
  </r>
  <r>
    <x v="3"/>
    <s v="GHI"/>
    <n v="281"/>
    <n v="11.88"/>
    <n v="1.08"/>
    <n v="12.59"/>
    <n v="0.45"/>
    <n v="11"/>
    <n v="0.9436060365369342"/>
    <n v="3.42"/>
    <n v="0.94"/>
    <n v="5.22"/>
    <n v="26.400000000000002"/>
    <s v="NO"/>
    <n v="0.58029822970318234"/>
    <n v="-0.43419968729990843"/>
    <n v="-0.26117844767380549"/>
    <n v="-0.52014159312819186"/>
    <n v="-0.14579975938045509"/>
    <n v="1.5218364846807122"/>
    <x v="1"/>
    <x v="0"/>
    <x v="0"/>
    <x v="0"/>
    <x v="0"/>
    <x v="1"/>
  </r>
  <r>
    <x v="3"/>
    <s v="AMIVF"/>
    <n v="388"/>
    <n v="8.25"/>
    <n v="1.06"/>
    <n v="7.67"/>
    <n v="0.72"/>
    <n v="7.783018867924528"/>
    <n v="1.0756192959582791"/>
    <n v="9.4700000000000006"/>
    <n v="5.54"/>
    <n v="1.64"/>
    <n v="11.458333333333334"/>
    <s v="NO"/>
    <n v="0.33782104888564979"/>
    <n v="-0.31370108106462119"/>
    <n v="0.41619589732587325"/>
    <n v="1.4682113113507691"/>
    <n v="-0.8981790582374336"/>
    <n v="0.3857777671911094"/>
    <x v="1"/>
    <x v="0"/>
    <x v="0"/>
    <x v="0"/>
    <x v="0"/>
    <x v="1"/>
  </r>
  <r>
    <x v="3"/>
    <s v="RPAY"/>
    <n v="429"/>
    <n v="5.23"/>
    <n v="0.93"/>
    <n v="8.48"/>
    <n v="-0.14000000000000001"/>
    <n v="5.623655913978495"/>
    <n v="0.616745283018868"/>
    <n v="-1.65"/>
    <n v="-0.36"/>
    <n v="2.0299999999999998"/>
    <n v="-37.357142857142854"/>
    <s v="NO"/>
    <n v="0.17506092691476055"/>
    <n v="-0.73255051512269653"/>
    <n v="-0.82882934505370143"/>
    <n v="-1.0820674139592026"/>
    <n v="-0.81621595026139404"/>
    <n v="-3.325805987940845"/>
    <x v="1"/>
    <x v="0"/>
    <x v="0"/>
    <x v="0"/>
    <x v="0"/>
    <x v="0"/>
  </r>
  <r>
    <x v="3"/>
    <s v="VEL"/>
    <n v="611"/>
    <n v="17.920000000000002"/>
    <n v="0.78"/>
    <n v="15.92"/>
    <n v="1.94"/>
    <n v="22.974358974358974"/>
    <n v="1.1256281407035178"/>
    <n v="13.65"/>
    <n v="1.32"/>
    <n v="10.6"/>
    <n v="9.2371134020618566"/>
    <s v="NO"/>
    <n v="1.4828552193136408"/>
    <n v="-0.26805418076345489"/>
    <n v="0.88419999023474216"/>
    <n v="-0.35588635319297335"/>
    <n v="0.98487080705824437"/>
    <n v="0.21689190441034295"/>
    <x v="1"/>
    <x v="0"/>
    <x v="0"/>
    <x v="0"/>
    <x v="0"/>
    <x v="1"/>
  </r>
  <r>
    <x v="3"/>
    <s v="GB"/>
    <n v="1481"/>
    <n v="7.44"/>
    <n v="0.45"/>
    <n v="0.55000000000000004"/>
    <n v="0.27"/>
    <n v="16.533333333333335"/>
    <n v="13.527272727272727"/>
    <n v="69.23"/>
    <n v="7.32"/>
    <n v="9.09"/>
    <n v="27.555555555555554"/>
    <s v="NO"/>
    <n v="0.99736846173302607"/>
    <n v="11.05187606152675"/>
    <n v="7.1070869480995595"/>
    <n v="2.237617435257846"/>
    <n v="0.66752646592024512"/>
    <n v="1.6096967610286717"/>
    <x v="1"/>
    <x v="1"/>
    <x v="1"/>
    <x v="0"/>
    <x v="0"/>
    <x v="1"/>
  </r>
  <r>
    <x v="3"/>
    <s v="BRLGF"/>
    <n v="534"/>
    <n v="6.77"/>
    <n v="0.38"/>
    <n v="1.2"/>
    <n v="-1.5"/>
    <n v="17.815789473684209"/>
    <n v="5.6416666666666666"/>
    <n v="-149.77000000000001"/>
    <n v="9.6999999999999993"/>
    <n v="1.57"/>
    <n v="-4.5133333333333328"/>
    <s v="NO"/>
    <n v="1.0940324882434302"/>
    <n v="3.8540798417484829"/>
    <n v="-17.412744713872282"/>
    <n v="3.2663739380100036"/>
    <n v="-0.91289038531005595"/>
    <n v="-0.82859486969710749"/>
    <x v="1"/>
    <x v="1"/>
    <x v="1"/>
    <x v="1"/>
    <x v="0"/>
    <x v="1"/>
  </r>
  <r>
    <x v="3"/>
    <s v="IMXI"/>
    <n v="331"/>
    <n v="11.59"/>
    <n v="0.37"/>
    <n v="4.59"/>
    <n v="1.7"/>
    <n v="31.324324324324323"/>
    <n v="2.5250544662309369"/>
    <n v="39.270000000000003"/>
    <n v="11.6"/>
    <n v="3.52"/>
    <n v="6.8176470588235292"/>
    <s v="NO"/>
    <n v="2.1122266625578341"/>
    <n v="1.0093093393418455"/>
    <n v="3.7526844065804896"/>
    <n v="4.0876501376860963"/>
    <n v="-0.50307484542985825"/>
    <n v="3.2932785777308238E-2"/>
    <x v="1"/>
    <x v="0"/>
    <x v="1"/>
    <x v="1"/>
    <x v="0"/>
    <x v="1"/>
  </r>
  <r>
    <x v="3"/>
    <s v="FLYW"/>
    <n v="1307"/>
    <n v="10.27"/>
    <n v="0.36"/>
    <n v="6.42"/>
    <n v="0.04"/>
    <n v="28.527777777777779"/>
    <n v="1.5996884735202492"/>
    <n v="0.63"/>
    <n v="-0.1"/>
    <n v="1.35"/>
    <n v="256.75"/>
    <s v="NO"/>
    <n v="1.9014393763439019"/>
    <n v="0.16465696981522973"/>
    <n v="-0.57355438528522762"/>
    <n v="-0.96968224979300055"/>
    <n v="-0.95912598468115529"/>
    <n v="19.036022245331914"/>
    <x v="1"/>
    <x v="0"/>
    <x v="0"/>
    <x v="0"/>
    <x v="0"/>
    <x v="0"/>
  </r>
  <r>
    <x v="3"/>
    <s v="ECNCF"/>
    <n v="557"/>
    <n v="1.8943000000000001"/>
    <n v="0.24"/>
    <n v="0.27"/>
    <n v="0.02"/>
    <n v="7.8929166666666672"/>
    <n v="7.0159259259259255"/>
    <n v="6.78"/>
    <n v="1.4"/>
    <n v="12.31"/>
    <n v="94.715000000000003"/>
    <s v="NO"/>
    <n v="0.34610450076895455"/>
    <n v="5.1084714541708944"/>
    <n v="0.11501622987973509"/>
    <n v="-0.32130630268029581"/>
    <n v="1.3442475112608796"/>
    <n v="6.7160261970266504"/>
    <x v="1"/>
    <x v="1"/>
    <x v="0"/>
    <x v="0"/>
    <x v="0"/>
    <x v="0"/>
  </r>
  <r>
    <x v="3"/>
    <s v="CTLP"/>
    <n v="611"/>
    <n v="9.39"/>
    <n v="0.1"/>
    <n v="3.3"/>
    <n v="0.8"/>
    <n v="93.9"/>
    <n v="2.8454545454545457"/>
    <n v="28.2"/>
    <n v="3.72"/>
    <n v="1.54"/>
    <n v="11.737500000000001"/>
    <s v="NO"/>
    <n v="6.8288142963189733"/>
    <n v="1.301763015232815"/>
    <n v="2.513257299283556"/>
    <n v="0.6815151621873542"/>
    <n v="-0.91919523976975137"/>
    <n v="0.40700362722228711"/>
    <x v="0"/>
    <x v="0"/>
    <x v="0"/>
    <x v="0"/>
    <x v="0"/>
    <x v="1"/>
  </r>
  <r>
    <x v="3"/>
    <s v="LSAK"/>
    <n v="344"/>
    <n v="4.16"/>
    <n v="-0.25"/>
    <n v="2.36"/>
    <n v="-0.9"/>
    <n v="-16.64"/>
    <n v="1.7627118644067798"/>
    <n v="-34.9"/>
    <n v="0.69"/>
    <n v="3.5"/>
    <n v="-4.6222222222222227"/>
    <s v="NO"/>
    <n v="-1.5030429534242056"/>
    <n v="0.3134608965698869"/>
    <n v="-4.551589175010613"/>
    <n v="-0.62820425098030941"/>
    <n v="-0.50727808173632183"/>
    <n v="-0.83687401112220383"/>
    <x v="1"/>
    <x v="0"/>
    <x v="1"/>
    <x v="0"/>
    <x v="0"/>
    <x v="1"/>
  </r>
  <r>
    <x v="3"/>
    <s v="PRTH"/>
    <n v="680"/>
    <n v="8.4700000000000006"/>
    <n v="-0.25"/>
    <n v="-1.99"/>
    <n v="-0.1"/>
    <n v="-33.880000000000003"/>
    <n v="-4.2562814070351767"/>
    <n v="-121.83"/>
    <n v="5.08"/>
    <n v="-11.95"/>
    <n v="-84.7"/>
    <s v="NO"/>
    <n v="-2.8024930980376705"/>
    <n v="-5.1805349590544365"/>
    <n v="-14.284506829691946"/>
    <n v="1.269376020902873"/>
    <n v="-3.7542781284794269"/>
    <n v="-6.9254221999659054"/>
    <x v="0"/>
    <x v="1"/>
    <x v="1"/>
    <x v="0"/>
    <x v="1"/>
    <x v="0"/>
  </r>
  <r>
    <x v="3"/>
    <s v="TBCRF"/>
    <n v="445"/>
    <n v="5.4249999999999998"/>
    <n v="-0.4"/>
    <n v="5.76"/>
    <n v="0.39"/>
    <n v="-13.562499999999998"/>
    <n v="0.94184027777777779"/>
    <n v="6.74"/>
    <n v="2.65"/>
    <n v="2.61"/>
    <n v="13.910256410256409"/>
    <s v="NO"/>
    <n v="-1.2710790427485708"/>
    <n v="-0.43581143047145604"/>
    <n v="0.1105377218136215"/>
    <n v="0.21900698658029144"/>
    <n v="-0.69432209737395056"/>
    <n v="0.57220466643164858"/>
    <x v="1"/>
    <x v="0"/>
    <x v="0"/>
    <x v="0"/>
    <x v="0"/>
    <x v="1"/>
  </r>
  <r>
    <x v="3"/>
    <s v="MAMTF"/>
    <n v="563"/>
    <n v="14.19"/>
    <n v="-0.69"/>
    <n v="10.79"/>
    <n v="1.28"/>
    <n v="-20.565217391304348"/>
    <n v="1.3151065801668211"/>
    <n v="11.99"/>
    <n v="1.37"/>
    <n v="8.9600000000000009"/>
    <n v="11.0859375"/>
    <s v="NO"/>
    <n v="-1.7989028320071361"/>
    <n v="-9.5102706290022848E-2"/>
    <n v="0.69834190549102859"/>
    <n v="-0.33427382162254982"/>
    <n v="0.64020542992823215"/>
    <n v="0.35746342032116141"/>
    <x v="1"/>
    <x v="0"/>
    <x v="0"/>
    <x v="0"/>
    <x v="0"/>
    <x v="1"/>
  </r>
  <r>
    <x v="3"/>
    <s v="CNNE"/>
    <n v="1172"/>
    <n v="19.66"/>
    <n v="-0.84"/>
    <n v="27.38"/>
    <n v="-4.3099999999999996"/>
    <n v="-23.404761904761905"/>
    <n v="0.7180423666910154"/>
    <n v="-13.82"/>
    <n v="-1.94"/>
    <n v="1.22"/>
    <n v="-4.5614849187935036"/>
    <s v="NO"/>
    <n v="-2.0129310529264397"/>
    <n v="-0.64008891352527808"/>
    <n v="-2.191415424168758"/>
    <n v="-1.7650234115845849"/>
    <n v="-0.98644702067316847"/>
    <n v="-0.83225597589384859"/>
    <x v="1"/>
    <x v="0"/>
    <x v="0"/>
    <x v="0"/>
    <x v="0"/>
    <x v="1"/>
  </r>
  <r>
    <x v="3"/>
    <s v="ACTG"/>
    <n v="359"/>
    <n v="3.82"/>
    <n v="-1.7"/>
    <n v="5.62"/>
    <n v="-0.12"/>
    <n v="-2.2470588235294118"/>
    <n v="0.67971530249110312"/>
    <n v="-1.88"/>
    <n v="0.97"/>
    <n v="1.48"/>
    <n v="-31.833333333333332"/>
    <s v="NO"/>
    <n v="-0.41818741437676948"/>
    <n v="-0.67507295859335315"/>
    <n v="-0.85458076643385461"/>
    <n v="-0.50717407418593785"/>
    <n v="-0.93180494868914199"/>
    <n v="-2.9058145570467531"/>
    <x v="1"/>
    <x v="0"/>
    <x v="0"/>
    <x v="0"/>
    <x v="0"/>
    <x v="1"/>
  </r>
  <r>
    <x v="3"/>
    <s v="LDI"/>
    <n v="273"/>
    <n v="1.3"/>
    <n v="-1.77"/>
    <n v="1.3"/>
    <n v="-0.45"/>
    <n v="-0.7344632768361582"/>
    <n v="1"/>
    <n v="-30.97"/>
    <n v="-2.72"/>
    <n v="24.53"/>
    <n v="-2.8888888888888888"/>
    <s v="NO"/>
    <n v="-0.30417682842014349"/>
    <n v="-0.38272460042477585"/>
    <n v="-4.1115757575149541"/>
    <n v="-2.1021789040831913"/>
    <n v="3.912424894510119"/>
    <n v="-0.70508359660026432"/>
    <x v="1"/>
    <x v="0"/>
    <x v="1"/>
    <x v="0"/>
    <x v="1"/>
    <x v="1"/>
  </r>
  <r>
    <x v="3"/>
    <s v="CODI"/>
    <n v="506"/>
    <n v="6.56"/>
    <n v="-1.99"/>
    <n v="11.67"/>
    <n v="-1.25"/>
    <n v="-3.2964824120603011"/>
    <n v="0.56212510711225361"/>
    <n v="2.74"/>
    <n v="4.12"/>
    <n v="4.62"/>
    <n v="-5.2479999999999993"/>
    <s v="NO"/>
    <n v="-0.497286813093547"/>
    <n v="-0.78240653032846208"/>
    <n v="-0.33731308479773631"/>
    <n v="0.85441541475074212"/>
    <n v="-0.27189684857436203"/>
    <n v="-0.88445373000602179"/>
    <x v="1"/>
    <x v="0"/>
    <x v="0"/>
    <x v="0"/>
    <x v="0"/>
    <x v="1"/>
  </r>
  <r>
    <x v="3"/>
    <s v="GHLD"/>
    <n v="847"/>
    <n v="14.57"/>
    <n v="-3.71"/>
    <n v="19.39"/>
    <n v="0.71"/>
    <n v="-3.92722371967655"/>
    <n v="0.75141825683341923"/>
    <n v="3.69"/>
    <n v="2.56"/>
    <n v="3.79"/>
    <n v="20.52112676056338"/>
    <s v="NO"/>
    <n v="-0.54482839565709817"/>
    <n v="-0.60962418398484941"/>
    <n v="-0.23094851822753887"/>
    <n v="0.18010442975352922"/>
    <n v="-0.44633115529260003"/>
    <n v="1.0748485186341992"/>
    <x v="1"/>
    <x v="0"/>
    <x v="0"/>
    <x v="0"/>
    <x v="0"/>
    <x v="1"/>
  </r>
  <r>
    <x v="3"/>
    <s v="RKT"/>
    <n v="1930"/>
    <n v="12.75"/>
    <n v="-6.06"/>
    <n v="3.89"/>
    <n v="-2.54"/>
    <n v="-2.1039603960396041"/>
    <n v="3.2776349614395888"/>
    <n v="1.54"/>
    <n v="1.73"/>
    <n v="43.24"/>
    <n v="-5.0196850393700787"/>
    <s v="NO"/>
    <n v="-0.40740149370997186"/>
    <n v="1.6962471602092712"/>
    <n v="-0.47166832678114368"/>
    <n v="-0.17866359431550075"/>
    <n v="7.8445524592067857"/>
    <n v="-0.86709427425430408"/>
    <x v="1"/>
    <x v="0"/>
    <x v="0"/>
    <x v="0"/>
    <x v="1"/>
    <x v="1"/>
  </r>
  <r>
    <x v="3"/>
    <s v="NEWT"/>
    <n v="296"/>
    <n v="10.91"/>
    <n v="-6.97"/>
    <n v="10.73"/>
    <n v="1.92"/>
    <n v="-1.5652797704447634"/>
    <n v="1.0167753960857409"/>
    <n v="18.18"/>
    <n v="5.83"/>
    <n v="7.56"/>
    <n v="5.682291666666667"/>
    <s v="NO"/>
    <n v="-0.3667989057268114"/>
    <n v="-0.36741241242004707"/>
    <n v="1.3913910287221047"/>
    <n v="1.5935639944592255"/>
    <n v="0.34597888847578223"/>
    <n v="-5.3391612931579437E-2"/>
    <x v="1"/>
    <x v="0"/>
    <x v="0"/>
    <x v="0"/>
    <x v="0"/>
    <x v="1"/>
  </r>
  <r>
    <x v="3"/>
    <s v="MBIN"/>
    <n v="1469"/>
    <n v="32.69"/>
    <n v="-7.98"/>
    <n v="35.08"/>
    <n v="5.44"/>
    <n v="-4.0964912280701746"/>
    <n v="0.93187001140250858"/>
    <n v="14.81"/>
    <n v="1.59"/>
    <n v="11.68"/>
    <n v="6.009191176470587"/>
    <s v="NO"/>
    <n v="-0.55758678824761176"/>
    <n v="-0.44491205572137876"/>
    <n v="1.0140767241520361"/>
    <n v="-0.2391786827126865"/>
    <n v="1.211845567607277"/>
    <n v="-2.8536484909996308E-2"/>
    <x v="1"/>
    <x v="0"/>
    <x v="0"/>
    <x v="0"/>
    <x v="0"/>
    <x v="1"/>
  </r>
  <r>
    <x v="3"/>
    <s v="UWMC"/>
    <n v="866"/>
    <n v="4.24"/>
    <n v="-8.82"/>
    <n v="0.82"/>
    <n v="-2.5099999999999998"/>
    <n v="-0.48072562358276644"/>
    <n v="5.1707317073170733"/>
    <n v="-4.8"/>
    <n v="1.84"/>
    <n v="85.21"/>
    <n v="-1.6892430278884465"/>
    <s v="NO"/>
    <n v="-0.28505157144717364"/>
    <n v="3.4242214587509161"/>
    <n v="-1.1815118552601458"/>
    <n v="-0.13111602486056903"/>
    <n v="16.665043848320579"/>
    <n v="-0.61387100508058512"/>
    <x v="1"/>
    <x v="0"/>
    <x v="0"/>
    <x v="0"/>
    <x v="1"/>
    <x v="1"/>
  </r>
  <r>
    <x v="3"/>
    <s v="BLX"/>
    <n v="1524"/>
    <n v="41.43"/>
    <n v="-33.71"/>
    <n v="36.89"/>
    <n v="5.6"/>
    <n v="-1.2290121625630377"/>
    <n v="1.1230685822716182"/>
    <n v="15.82"/>
    <n v="1.79"/>
    <n v="9.0399999999999991"/>
    <n v="7.3982142857142863"/>
    <s v="NO"/>
    <n v="-0.34145302453825377"/>
    <n v="-0.27039048565414237"/>
    <n v="1.1271590528214037"/>
    <n v="-0.15272855643099253"/>
    <n v="0.65701837515408601"/>
    <n v="7.7075013944492315E-2"/>
    <x v="1"/>
    <x v="0"/>
    <x v="0"/>
    <x v="0"/>
    <x v="0"/>
    <x v="1"/>
  </r>
  <r>
    <x v="3"/>
    <s v="ONIT"/>
    <n v="297"/>
    <n v="37.270000000000003"/>
    <n v="-65.099999999999994"/>
    <n v="57.66"/>
    <n v="2.98"/>
    <n v="-0.57250384024577583"/>
    <n v="0.64637530350329531"/>
    <n v="5.5"/>
    <n v="2.2799999999999998"/>
    <n v="35.33"/>
    <n v="12.506711409395974"/>
    <s v="NO"/>
    <n v="-0.29196927544456996"/>
    <n v="-0.70550492752985494"/>
    <n v="-2.8296028235899447E-2"/>
    <n v="5.907425295915756E-2"/>
    <n v="6.1821725000004442"/>
    <n v="0.46548902558726823"/>
    <x v="1"/>
    <x v="0"/>
    <x v="0"/>
    <x v="0"/>
    <x v="1"/>
    <x v="1"/>
  </r>
  <r>
    <x v="4"/>
    <s v="AII"/>
    <n v="324"/>
    <n v="17"/>
    <m/>
    <m/>
    <m/>
    <s v=""/>
    <s v=""/>
    <n v="26.82"/>
    <n v="3.1"/>
    <n v="7.38"/>
    <s v=""/>
    <s v="NO"/>
    <e v="#VALUE!"/>
    <e v="#VALUE!"/>
    <n v="1.5333565468458092"/>
    <n v="0.92663482079861215"/>
    <n v="0.96920699549085354"/>
    <e v="#VALUE!"/>
    <x v="0"/>
    <x v="1"/>
    <x v="0"/>
    <x v="0"/>
    <x v="0"/>
    <x v="0"/>
  </r>
  <r>
    <x v="4"/>
    <s v="YB"/>
    <n v="681"/>
    <n v="16.78"/>
    <m/>
    <m/>
    <m/>
    <s v=""/>
    <s v=""/>
    <n v="65.58"/>
    <n v="24.96"/>
    <n v="-1.7"/>
    <s v=""/>
    <s v="NO"/>
    <e v="#VALUE!"/>
    <e v="#VALUE!"/>
    <n v="5.1091350862500793"/>
    <n v="18.701038588486519"/>
    <n v="-2.4590748584464088"/>
    <e v="#VALUE!"/>
    <x v="0"/>
    <x v="1"/>
    <x v="1"/>
    <x v="1"/>
    <x v="1"/>
    <x v="0"/>
  </r>
  <r>
    <x v="4"/>
    <s v="HCI"/>
    <n v="1949"/>
    <n v="161.47999999999999"/>
    <n v="30.3"/>
    <n v="48.55"/>
    <n v="10.46"/>
    <n v="5.3293729372937291"/>
    <n v="3.32605561277034"/>
    <n v="30.74"/>
    <n v="6.33"/>
    <n v="4.41"/>
    <n v="15.437858508604204"/>
    <s v="NO"/>
    <n v="-0.56729036634096208"/>
    <n v="2.3668578929840765"/>
    <n v="1.8949935921106371"/>
    <n v="3.5529534012941264"/>
    <n v="-0.15215832457452846"/>
    <n v="0.37901384887520378"/>
    <x v="1"/>
    <x v="0"/>
    <x v="0"/>
    <x v="1"/>
    <x v="0"/>
    <x v="1"/>
  </r>
  <r>
    <x v="4"/>
    <s v="UFCS"/>
    <n v="724"/>
    <n v="28.34"/>
    <n v="12.94"/>
    <n v="32.130000000000003"/>
    <n v="2.54"/>
    <n v="2.1901081916537866"/>
    <n v="0.88204170557111727"/>
    <n v="8.51"/>
    <n v="1.69"/>
    <n v="4.32"/>
    <n v="11.15748031496063"/>
    <s v="NO"/>
    <n v="-1.0133952266414834"/>
    <n v="-0.77636996748285014"/>
    <n v="-0.15582057019475301"/>
    <n v="-0.21983861526908918"/>
    <n v="-0.18613909184923694"/>
    <n v="-6.7407227144720944E-2"/>
    <x v="1"/>
    <x v="0"/>
    <x v="0"/>
    <x v="0"/>
    <x v="0"/>
    <x v="1"/>
  </r>
  <r>
    <x v="4"/>
    <s v="HMN"/>
    <n v="1771"/>
    <n v="43"/>
    <n v="12.55"/>
    <n v="32.79"/>
    <n v="2.76"/>
    <n v="3.4262948207171311"/>
    <n v="1.3113754193351632"/>
    <n v="8.9700000000000006"/>
    <n v="0.78"/>
    <n v="10.72"/>
    <n v="15.579710144927537"/>
    <s v="NO"/>
    <n v="-0.8377270660540086"/>
    <n v="-0.22420711498608709"/>
    <n v="-0.11338356998510474"/>
    <n v="-0.95976118748299555"/>
    <n v="2.2302710254633711"/>
    <n v="0.39380823321644925"/>
    <x v="1"/>
    <x v="0"/>
    <x v="0"/>
    <x v="0"/>
    <x v="0"/>
    <x v="1"/>
  </r>
  <r>
    <x v="4"/>
    <s v="ITIC"/>
    <n v="441"/>
    <n v="196.36"/>
    <n v="11.57"/>
    <n v="134.9"/>
    <n v="15.69"/>
    <n v="16.971477960242005"/>
    <n v="1.4555967383246851"/>
    <n v="11.69"/>
    <n v="7.07"/>
    <n v="1.31"/>
    <n v="12.514977692797961"/>
    <s v="NO"/>
    <n v="1.0871096462988179"/>
    <n v="-3.8725163927696232E-2"/>
    <n v="0.1375482573415106"/>
    <n v="4.1546486797977424"/>
    <n v="-1.3226069751478229"/>
    <n v="7.4172654980720634E-2"/>
    <x v="1"/>
    <x v="0"/>
    <x v="0"/>
    <x v="1"/>
    <x v="0"/>
    <x v="1"/>
  </r>
  <r>
    <x v="4"/>
    <s v="SAFT"/>
    <n v="1223"/>
    <n v="79.319999999999993"/>
    <n v="10.29"/>
    <n v="57.12"/>
    <n v="4.9000000000000004"/>
    <n v="7.7084548104956268"/>
    <n v="1.3886554621848739"/>
    <n v="8.75"/>
    <n v="2.65"/>
    <n v="2.69"/>
    <n v="16.187755102040814"/>
    <s v="NO"/>
    <n v="-0.22921120683003546"/>
    <n v="-0.12481783449641273"/>
    <n v="-0.13367952660711047"/>
    <n v="0.56073904333019664"/>
    <n v="-0.80156854360229191"/>
    <n v="0.45722414455486715"/>
    <x v="1"/>
    <x v="0"/>
    <x v="0"/>
    <x v="0"/>
    <x v="0"/>
    <x v="1"/>
  </r>
  <r>
    <x v="4"/>
    <s v="BOW"/>
    <n v="1218"/>
    <n v="35.31"/>
    <n v="9.44"/>
    <n v="11.98"/>
    <n v="1.33"/>
    <n v="3.7404661016949157"/>
    <n v="2.9474123539232053"/>
    <n v="14.4"/>
    <n v="2.66"/>
    <n v="4.4800000000000004"/>
    <n v="26.548872180451127"/>
    <s v="NO"/>
    <n v="-0.793081791836316"/>
    <n v="1.879887652397271"/>
    <n v="0.38755754118530772"/>
    <n v="0.56887006060727274"/>
    <n v="-0.1257288389164217"/>
    <n v="1.5378345078590185"/>
    <x v="1"/>
    <x v="0"/>
    <x v="0"/>
    <x v="0"/>
    <x v="0"/>
    <x v="1"/>
  </r>
  <r>
    <x v="4"/>
    <s v="UVE"/>
    <n v="764"/>
    <n v="26.89"/>
    <n v="8.33"/>
    <n v="14.98"/>
    <n v="2.29"/>
    <n v="3.2280912364945977"/>
    <n v="1.7950600801068091"/>
    <n v="16.95"/>
    <n v="2.56"/>
    <n v="6.43"/>
    <n v="11.742358078602621"/>
    <s v="NO"/>
    <n v="-0.86589276388929315"/>
    <n v="0.39785608070177703"/>
    <n v="0.62280612930400958"/>
    <n v="0.48755988783651377"/>
    <n v="0.61052111870226322"/>
    <n v="-6.4075330118695912E-3"/>
    <x v="1"/>
    <x v="0"/>
    <x v="0"/>
    <x v="0"/>
    <x v="0"/>
    <x v="1"/>
  </r>
  <r>
    <x v="4"/>
    <s v="IGIC"/>
    <n v="1057"/>
    <n v="22.87"/>
    <n v="4.59"/>
    <n v="14.64"/>
    <n v="2.73"/>
    <n v="4.9825708061002185"/>
    <n v="1.5621584699453552"/>
    <n v="20.63"/>
    <n v="3.87"/>
    <n v="3.21"/>
    <n v="8.3772893772893777"/>
    <s v="NO"/>
    <n v="-0.61657264382420962"/>
    <n v="9.8323075733726784E-2"/>
    <n v="0.96230213098119521"/>
    <n v="1.552723151133456"/>
    <n v="-0.60523522157064247"/>
    <n v="-0.35736661245771711"/>
    <x v="1"/>
    <x v="0"/>
    <x v="0"/>
    <x v="0"/>
    <x v="0"/>
    <x v="1"/>
  </r>
  <r>
    <x v="4"/>
    <s v="TIPT"/>
    <n v="832"/>
    <n v="22.58"/>
    <n v="3.79"/>
    <n v="12.63"/>
    <n v="1.2"/>
    <n v="5.9577836411609493"/>
    <n v="1.7878068091844812"/>
    <n v="13.22"/>
    <n v="2.0699999999999998"/>
    <n v="12.28"/>
    <n v="18.816666666666666"/>
    <s v="NO"/>
    <n v="-0.47799013460695733"/>
    <n v="0.38852770365145894"/>
    <n v="0.27869741021273192"/>
    <n v="8.9140041259794731E-2"/>
    <n v="2.819270991558319"/>
    <n v="0.73140588185656452"/>
    <x v="1"/>
    <x v="0"/>
    <x v="0"/>
    <x v="0"/>
    <x v="1"/>
    <x v="1"/>
  </r>
  <r>
    <x v="4"/>
    <s v="EIG"/>
    <n v="1170"/>
    <n v="47.09"/>
    <n v="3.48"/>
    <n v="44.43"/>
    <n v="4.13"/>
    <n v="13.5316091954023"/>
    <n v="1.0598694575737115"/>
    <n v="9.84"/>
    <n v="2.2400000000000002"/>
    <n v="3.31"/>
    <n v="11.401937046004845"/>
    <s v="NO"/>
    <n v="0.59828748597537407"/>
    <n v="-0.54766703628746116"/>
    <n v="-3.3122286979900599E-2"/>
    <n v="0.22736733497008524"/>
    <n v="-0.56747881348763296"/>
    <n v="-4.191166764599899E-2"/>
    <x v="1"/>
    <x v="0"/>
    <x v="0"/>
    <x v="0"/>
    <x v="0"/>
    <x v="1"/>
  </r>
  <r>
    <x v="4"/>
    <s v="STC"/>
    <n v="1685"/>
    <n v="61.61"/>
    <n v="3.35"/>
    <n v="50.16"/>
    <n v="2.6"/>
    <n v="18.391044776119401"/>
    <n v="1.2282695374800638"/>
    <n v="6.3"/>
    <n v="3.09"/>
    <n v="1.93"/>
    <n v="23.696153846153845"/>
    <s v="NO"/>
    <n v="1.2888370275156407"/>
    <n v="-0.33108896309920743"/>
    <n v="-0.35970267989762805"/>
    <n v="0.91850380352153604"/>
    <n v="-1.0885172450331642"/>
    <n v="1.2403108941115355"/>
    <x v="1"/>
    <x v="0"/>
    <x v="0"/>
    <x v="0"/>
    <x v="0"/>
    <x v="1"/>
  </r>
  <r>
    <x v="4"/>
    <s v="GLRE"/>
    <n v="499"/>
    <n v="14.96"/>
    <n v="3.06"/>
    <n v="19.3"/>
    <n v="1.32"/>
    <n v="4.8888888888888893"/>
    <n v="0.77512953367875648"/>
    <n v="7.04"/>
    <n v="1.71"/>
    <n v="3.23"/>
    <n v="11.333333333333334"/>
    <s v="NO"/>
    <n v="-0.62988530203447657"/>
    <n v="-0.91386890573570212"/>
    <n v="-0.29143446216906355"/>
    <n v="-0.20357658071493739"/>
    <n v="-0.59768393995404057"/>
    <n v="-4.9066676349495755E-2"/>
    <x v="1"/>
    <x v="0"/>
    <x v="0"/>
    <x v="0"/>
    <x v="0"/>
    <x v="1"/>
  </r>
  <r>
    <x v="4"/>
    <s v="ACIC"/>
    <n v="522"/>
    <n v="10.92"/>
    <n v="3.03"/>
    <n v="5.47"/>
    <n v="1.47"/>
    <n v="3.6039603960396041"/>
    <n v="1.9963436928702012"/>
    <n v="31.11"/>
    <n v="5.93"/>
    <n v="4.45"/>
    <n v="7.4285714285714288"/>
    <s v="NO"/>
    <n v="-0.81247991964193156"/>
    <n v="0.65672541758634728"/>
    <n v="1.9291277009749197"/>
    <n v="3.2277127102110899"/>
    <n v="-0.13705576134132463"/>
    <n v="-0.45631293643792692"/>
    <x v="1"/>
    <x v="0"/>
    <x v="0"/>
    <x v="1"/>
    <x v="0"/>
    <x v="1"/>
  </r>
  <r>
    <x v="4"/>
    <s v="DGICA"/>
    <n v="729"/>
    <n v="19.36"/>
    <n v="2.58"/>
    <n v="16.239999999999998"/>
    <n v="2.0299999999999998"/>
    <n v="7.5038759689922481"/>
    <n v="1.1921182266009853"/>
    <n v="13.11"/>
    <n v="2.34"/>
    <n v="4.05"/>
    <n v="9.5369458128078826"/>
    <s v="NO"/>
    <n v="-0.25828285987747635"/>
    <n v="-0.37758289147367396"/>
    <n v="0.26854943190172897"/>
    <n v="0.3086775077408439"/>
    <n v="-0.28808139367336277"/>
    <n v="-0.23642050668454354"/>
    <x v="1"/>
    <x v="0"/>
    <x v="0"/>
    <x v="0"/>
    <x v="0"/>
    <x v="1"/>
  </r>
  <r>
    <x v="4"/>
    <s v="DGICB"/>
    <n v="606"/>
    <n v="17.98"/>
    <n v="2.58"/>
    <n v="16.239999999999998"/>
    <n v="2.0299999999999998"/>
    <n v="6.9689922480620154"/>
    <n v="1.1071428571428572"/>
    <n v="13.11"/>
    <n v="2.34"/>
    <n v="4.05"/>
    <n v="8.8571428571428577"/>
    <s v="NO"/>
    <n v="-0.33429245031868093"/>
    <n v="-0.48686907349885927"/>
    <n v="0.26854943190172897"/>
    <n v="0.3086775077408439"/>
    <n v="-0.28808139367336277"/>
    <n v="-0.30732040225923257"/>
    <x v="1"/>
    <x v="0"/>
    <x v="0"/>
    <x v="0"/>
    <x v="0"/>
    <x v="1"/>
  </r>
  <r>
    <x v="4"/>
    <s v="HRTG"/>
    <n v="758"/>
    <n v="23.6"/>
    <n v="2.4"/>
    <n v="11.09"/>
    <n v="2.5299999999999998"/>
    <n v="9.8333333333333339"/>
    <n v="2.1280432822362489"/>
    <n v="27.59"/>
    <n v="3.26"/>
    <n v="6.73"/>
    <n v="9.3280632411067206"/>
    <s v="NO"/>
    <n v="7.2744414435306076E-2"/>
    <n v="0.82610326657813338"/>
    <n v="1.6043923950228287"/>
    <n v="1.0567310972318262"/>
    <n v="0.72379034295129197"/>
    <n v="-0.25820586727700678"/>
    <x v="1"/>
    <x v="0"/>
    <x v="0"/>
    <x v="0"/>
    <x v="0"/>
    <x v="1"/>
  </r>
  <r>
    <x v="4"/>
    <s v="FIHL"/>
    <n v="1907"/>
    <n v="17.260000000000002"/>
    <n v="1.9"/>
    <n v="21.67"/>
    <n v="-0.09"/>
    <n v="9.0842105263157915"/>
    <n v="0.79649284725426861"/>
    <n v="-0.42"/>
    <n v="0.15"/>
    <n v="5.34"/>
    <n v="-191.7777777777778"/>
    <s v="NO"/>
    <n v="-3.3709597013279351E-2"/>
    <n v="-0.88639370920566563"/>
    <n v="-0.9796519003516192"/>
    <n v="-1.472015275938777"/>
    <n v="0.19897627059745976"/>
    <n v="-21.232494091355857"/>
    <x v="1"/>
    <x v="0"/>
    <x v="0"/>
    <x v="0"/>
    <x v="0"/>
    <x v="0"/>
  </r>
  <r>
    <x v="4"/>
    <s v="TWFG"/>
    <n v="522"/>
    <n v="35.58"/>
    <n v="1.7"/>
    <n v="5.05"/>
    <n v="-0.14000000000000001"/>
    <n v="20.929411764705883"/>
    <n v="7.0455445544554456"/>
    <n v="16.690000000000001"/>
    <n v="6.91"/>
    <n v="4.3899999999999997"/>
    <n v="-254.14285714285711"/>
    <s v="NO"/>
    <n v="1.6495513802657751"/>
    <n v="7.1504645794129127"/>
    <n v="0.59881999875073033"/>
    <n v="4.0245524033645284"/>
    <n v="-0.15970960619113053"/>
    <n v="-27.736845944556855"/>
    <x v="1"/>
    <x v="1"/>
    <x v="0"/>
    <x v="1"/>
    <x v="0"/>
    <x v="0"/>
  </r>
  <r>
    <x v="4"/>
    <s v="HGTY"/>
    <n v="882"/>
    <n v="9.7899999999999991"/>
    <n v="1.52"/>
    <n v="1.81"/>
    <n v="0.2"/>
    <n v="6.4407894736842097"/>
    <n v="5.4088397790055245"/>
    <n v="15.99"/>
    <n v="2.95"/>
    <n v="11.15"/>
    <n v="48.949999999999996"/>
    <s v="NO"/>
    <n v="-0.40935264560849377"/>
    <n v="5.0455109069319883"/>
    <n v="0.53424195495343951"/>
    <n v="0.80466956164247372"/>
    <n v="2.3926235802203117"/>
    <n v="3.8741550694658229"/>
    <x v="1"/>
    <x v="1"/>
    <x v="0"/>
    <x v="0"/>
    <x v="0"/>
    <x v="0"/>
  </r>
  <r>
    <x v="4"/>
    <s v="GBLI"/>
    <n v="429"/>
    <n v="32.439900000000002"/>
    <n v="1.32"/>
    <n v="47.85"/>
    <n v="1.99"/>
    <n v="24.575681818181817"/>
    <n v="0.67794984326018815"/>
    <n v="4.1399999999999997"/>
    <n v="1.29"/>
    <n v="2.5099999999999998"/>
    <n v="16.301457286432161"/>
    <s v="NO"/>
    <n v="2.167704172279584"/>
    <n v="-1.0388509729389293"/>
    <n v="-0.55897207218641098"/>
    <n v="-0.54507930635212487"/>
    <n v="-0.86953007815170902"/>
    <n v="0.46908268817075105"/>
    <x v="1"/>
    <x v="0"/>
    <x v="0"/>
    <x v="0"/>
    <x v="0"/>
    <x v="1"/>
  </r>
  <r>
    <x v="4"/>
    <s v="NODK"/>
    <n v="275"/>
    <n v="12.87"/>
    <n v="0.91"/>
    <n v="12.27"/>
    <n v="0.28999999999999998"/>
    <n v="14.142857142857142"/>
    <n v="1.0488997555012225"/>
    <n v="2.4"/>
    <n v="1.22"/>
    <n v="2.0699999999999998"/>
    <n v="44.379310344827587"/>
    <s v="NO"/>
    <n v="0.68514880615776486"/>
    <n v="-0.56177508742158211"/>
    <n v="-0.71949463819681936"/>
    <n v="-0.60199642729165626"/>
    <n v="-1.0356582737169509"/>
    <n v="3.3974560251978874"/>
    <x v="1"/>
    <x v="0"/>
    <x v="0"/>
    <x v="0"/>
    <x v="0"/>
    <x v="0"/>
  </r>
  <r>
    <x v="4"/>
    <s v="AMSF"/>
    <n v="904"/>
    <n v="45.65"/>
    <n v="0.78"/>
    <n v="13.7"/>
    <n v="2.48"/>
    <n v="58.525641025641022"/>
    <n v="3.332116788321168"/>
    <n v="16.89"/>
    <n v="3.1"/>
    <n v="4.4400000000000004"/>
    <n v="18.407258064516128"/>
    <s v="NO"/>
    <n v="6.9921592713555327"/>
    <n v="2.3746531251643939"/>
    <n v="0.6172708684070991"/>
    <n v="0.92663482079861215"/>
    <n v="-0.1408314021496255"/>
    <n v="0.68870670425228864"/>
    <x v="0"/>
    <x v="0"/>
    <x v="0"/>
    <x v="0"/>
    <x v="0"/>
    <x v="1"/>
  </r>
  <r>
    <x v="4"/>
    <s v="AMBC"/>
    <n v="364"/>
    <n v="6.77"/>
    <n v="0.31"/>
    <n v="18.36"/>
    <n v="-0.62"/>
    <n v="21.838709677419352"/>
    <n v="0.36873638344226578"/>
    <n v="-5.29"/>
    <n v="-0.16"/>
    <n v="9.68"/>
    <n v="-10.919354838709676"/>
    <s v="NO"/>
    <n v="1.7787670569257275"/>
    <n v="-1.4365280724300973"/>
    <n v="-1.4289305764841991"/>
    <n v="-1.7240768115281297"/>
    <n v="1.837604381400072"/>
    <n v="-2.3699057584781573"/>
    <x v="1"/>
    <x v="0"/>
    <x v="0"/>
    <x v="0"/>
    <x v="0"/>
    <x v="1"/>
  </r>
  <r>
    <x v="4"/>
    <s v="SLQT"/>
    <n v="375"/>
    <n v="2.2400000000000002"/>
    <n v="0.2"/>
    <n v="2.0299999999999998"/>
    <n v="-0.04"/>
    <n v="11.200000000000001"/>
    <n v="1.1034482758620692"/>
    <n v="0.82"/>
    <n v="3.92"/>
    <n v="3.7"/>
    <n v="-56.000000000000007"/>
    <s v="NO"/>
    <n v="0.26695442595392022"/>
    <n v="-0.4916206466303889"/>
    <n v="-0.86525650848213276"/>
    <n v="1.5933782375188354"/>
    <n v="-0.42022882196389588"/>
    <n v="-7.0715814539719561"/>
    <x v="1"/>
    <x v="0"/>
    <x v="0"/>
    <x v="0"/>
    <x v="0"/>
    <x v="0"/>
  </r>
  <r>
    <x v="4"/>
    <s v="WDH"/>
    <n v="524"/>
    <n v="1.47"/>
    <n v="0.08"/>
    <n v="1.81"/>
    <n v="0.14000000000000001"/>
    <n v="18.375"/>
    <n v="0.81215469613259661"/>
    <n v="7.35"/>
    <n v="1.77"/>
    <n v="1.35"/>
    <n v="10.499999999999998"/>
    <s v="NO"/>
    <n v="1.286556986426644"/>
    <n v="-0.86625112343895938"/>
    <n v="-0.26283561420169199"/>
    <n v="-0.15479047705248197"/>
    <n v="-1.3075044119146191"/>
    <n v="-0.13597898795373436"/>
    <x v="1"/>
    <x v="0"/>
    <x v="0"/>
    <x v="0"/>
    <x v="0"/>
    <x v="1"/>
  </r>
  <r>
    <x v="4"/>
    <s v="TRRSF"/>
    <n v="1400"/>
    <n v="29.57"/>
    <n v="0.02"/>
    <n v="11.99"/>
    <n v="1.6"/>
    <n v="1478.5"/>
    <n v="2.4662218515429526"/>
    <n v="15.04"/>
    <n v="2.2200000000000002"/>
    <n v="5.6"/>
    <n v="18.481249999999999"/>
    <s v="NO"/>
    <n v="208.7774543537069"/>
    <n v="1.2610321750129529"/>
    <n v="0.44660032408568773"/>
    <n v="0.21110530041593345"/>
    <n v="0.29714293161328437"/>
    <n v="0.69642367643585856"/>
    <x v="0"/>
    <x v="0"/>
    <x v="0"/>
    <x v="0"/>
    <x v="0"/>
    <x v="1"/>
  </r>
  <r>
    <x v="4"/>
    <s v="KFS"/>
    <n v="348"/>
    <n v="13.6"/>
    <n v="-0.06"/>
    <n v="0.2"/>
    <n v="-0.4"/>
    <n v="-226.66666666666666"/>
    <n v="68"/>
    <n v="-43.17"/>
    <n v="-0.47"/>
    <n v="35.229999999999997"/>
    <n v="-34"/>
    <s v="NO"/>
    <n v="-33.535061237383395"/>
    <n v="85.543530188269088"/>
    <n v="-4.9235252894004464"/>
    <n v="-1.9761383471174827"/>
    <n v="11.484366646608997"/>
    <n v="-4.7770964276200623"/>
    <x v="0"/>
    <x v="1"/>
    <x v="1"/>
    <x v="0"/>
    <x v="1"/>
    <x v="0"/>
  </r>
  <r>
    <x v="4"/>
    <s v="PRA"/>
    <n v="1184"/>
    <n v="23.1"/>
    <n v="-0.37"/>
    <n v="24.05"/>
    <n v="0.83"/>
    <n v="-62.432432432432435"/>
    <n v="0.96049896049896055"/>
    <n v="3.6"/>
    <n v="0.95"/>
    <n v="4.4800000000000004"/>
    <n v="27.831325301204821"/>
    <s v="NO"/>
    <n v="-10.196574025884818"/>
    <n v="-0.67546668341456895"/>
    <n v="-0.60878942025860672"/>
    <n v="-0.82153389377270536"/>
    <n v="-0.1257288389164217"/>
    <n v="1.6715876661575459"/>
    <x v="0"/>
    <x v="0"/>
    <x v="0"/>
    <x v="0"/>
    <x v="0"/>
    <x v="1"/>
  </r>
  <r>
    <x v="4"/>
    <s v="HIPO"/>
    <n v="593"/>
    <n v="27.75"/>
    <n v="-0.7"/>
    <n v="12.83"/>
    <n v="-2.11"/>
    <n v="-39.642857142857146"/>
    <n v="2.1628994544037412"/>
    <n v="-12.02"/>
    <n v="-3.9"/>
    <n v="4.7699999999999996"/>
    <n v="-13.151658767772513"/>
    <s v="NO"/>
    <n v="-6.9580640164998862"/>
    <n v="0.87093152681976493"/>
    <n v="-2.0498023404210088"/>
    <n v="-4.7650772731545139"/>
    <n v="-1.6235255475694477E-2"/>
    <n v="-2.6027233920918471"/>
    <x v="0"/>
    <x v="0"/>
    <x v="0"/>
    <x v="1"/>
    <x v="0"/>
    <x v="1"/>
  </r>
  <r>
    <x v="4"/>
    <s v="ABL"/>
    <n v="741"/>
    <n v="6.18"/>
    <n v="-3.46"/>
    <n v="4.5"/>
    <n v="-0.23"/>
    <n v="-1.7861271676300576"/>
    <n v="1.3733333333333333"/>
    <n v="-6.12"/>
    <n v="2.42"/>
    <n v="1.99"/>
    <n v="-26.869565217391301"/>
    <s v="NO"/>
    <n v="-1.5784377009784851"/>
    <n v="-0.14452350889783941"/>
    <n v="-1.5055016855581296"/>
    <n v="0.37372564595745111"/>
    <n v="-1.0658634001833582"/>
    <n v="-4.0334293439803179"/>
    <x v="1"/>
    <x v="0"/>
    <x v="0"/>
    <x v="0"/>
    <x v="0"/>
    <x v="0"/>
  </r>
  <r>
    <x v="4"/>
    <s v="JRVR"/>
    <n v="267"/>
    <n v="5.85"/>
    <n v="-8.36"/>
    <n v="10.56"/>
    <n v="-2.78"/>
    <n v="-0.69976076555023925"/>
    <n v="0.55397727272727271"/>
    <n v="-11.68"/>
    <n v="-0.79"/>
    <n v="10.220000000000001"/>
    <n v="-2.1043165467625902"/>
    <s v="NO"/>
    <n v="-1.424059726738468"/>
    <n v="-1.1982911612639282"/>
    <n v="-2.0184358620051817"/>
    <n v="-2.2363308999839111"/>
    <n v="2.0414889850483235"/>
    <n v="-1.4505433326785595"/>
    <x v="1"/>
    <x v="0"/>
    <x v="0"/>
    <x v="0"/>
    <x v="0"/>
    <x v="1"/>
  </r>
  <r>
    <x v="5"/>
    <s v="ARR"/>
    <n v="1325"/>
    <n v="16.579999999999998"/>
    <n v="4.32"/>
    <n v="20.67"/>
    <n v="-0.24"/>
    <n v="3.8379629629629624"/>
    <n v="0.80212868892114164"/>
    <n v="-0.11"/>
    <n v="-0.01"/>
    <n v="9.1"/>
    <n v="-69.083333333333329"/>
    <s v="NO"/>
    <n v="-0.63436935742019063"/>
    <n v="0.42922029440815385"/>
    <n v="-1.0353875784963997"/>
    <n v="-1.1740575097283059"/>
    <n v="0.41625453447370164"/>
    <n v="-5.3936674143753338"/>
    <x v="1"/>
    <x v="0"/>
    <x v="0"/>
    <x v="0"/>
    <x v="0"/>
    <x v="0"/>
  </r>
  <r>
    <x v="5"/>
    <s v="TWO"/>
    <n v="1102"/>
    <n v="10.79"/>
    <n v="2.8"/>
    <n v="14.86"/>
    <n v="-0.32"/>
    <n v="3.8535714285714286"/>
    <n v="0.72611036339165547"/>
    <n v="0.71"/>
    <n v="0.12"/>
    <n v="8.85"/>
    <n v="-33.71875"/>
    <s v="NO"/>
    <n v="-0.63150628528478447"/>
    <n v="-3.8130979701404985E-2"/>
    <n v="-0.86409951910829319"/>
    <n v="-1.0109939667104855"/>
    <n v="0.35703970089567627"/>
    <n v="-2.8515043647777092"/>
    <x v="1"/>
    <x v="0"/>
    <x v="0"/>
    <x v="0"/>
    <x v="0"/>
    <x v="1"/>
  </r>
  <r>
    <x v="5"/>
    <s v="IVR"/>
    <n v="487"/>
    <n v="7.66"/>
    <n v="2.5299999999999998"/>
    <n v="8.9"/>
    <n v="0.48"/>
    <n v="3.0276679841897236"/>
    <n v="0.86067415730337071"/>
    <n v="6.53"/>
    <n v="0.88"/>
    <n v="10.49"/>
    <n v="15.958333333333334"/>
    <s v="NO"/>
    <n v="-0.783002351423573"/>
    <n v="0.78915060135976745"/>
    <n v="0.35162792679265792"/>
    <n v="-5.769940752938247E-2"/>
    <n v="0.74548900916752259"/>
    <n v="0.71950464362614086"/>
    <x v="1"/>
    <x v="0"/>
    <x v="0"/>
    <x v="0"/>
    <x v="0"/>
    <x v="1"/>
  </r>
  <r>
    <x v="5"/>
    <s v="RC"/>
    <n v="762"/>
    <n v="4.4000000000000004"/>
    <n v="2.15"/>
    <n v="10.61"/>
    <n v="-1.62"/>
    <n v="2.0465116279069768"/>
    <n v="0.41470311027332712"/>
    <n v="-11.15"/>
    <n v="-2.31"/>
    <n v="5.45"/>
    <n v="-2.7160493827160495"/>
    <s v="NO"/>
    <n v="-0.96297657147926119"/>
    <n v="-1.9526243008593085"/>
    <n v="-3.3415097439167605"/>
    <n v="-4.0590278861974332"/>
    <n v="-0.44828203576546821"/>
    <n v="-0.62289278453862673"/>
    <x v="1"/>
    <x v="0"/>
    <x v="1"/>
    <x v="1"/>
    <x v="0"/>
    <x v="1"/>
  </r>
  <r>
    <x v="5"/>
    <s v="FBRT"/>
    <n v="907"/>
    <n v="11.13"/>
    <n v="1.96"/>
    <n v="14.97"/>
    <n v="0.67"/>
    <n v="5.6785714285714288"/>
    <n v="0.74348697394789576"/>
    <n v="4.91"/>
    <n v="1.37"/>
    <n v="4.5599999999999996"/>
    <n v="16.611940298507463"/>
    <s v="NO"/>
    <n v="-0.29674521535091314"/>
    <n v="6.8698275305198966E-2"/>
    <n v="1.3229565562496244E-2"/>
    <n v="0.55692471615317096"/>
    <n v="-0.65908684330323852"/>
    <n v="0.76648881024741611"/>
    <x v="1"/>
    <x v="0"/>
    <x v="0"/>
    <x v="0"/>
    <x v="0"/>
    <x v="1"/>
  </r>
  <r>
    <x v="5"/>
    <s v="ABR"/>
    <n v="1841"/>
    <n v="10.42"/>
    <n v="1.64"/>
    <n v="12.35"/>
    <n v="1.03"/>
    <n v="6.3536585365853666"/>
    <n v="0.84372469635627534"/>
    <n v="7.99"/>
    <n v="1.78"/>
    <n v="5.63"/>
    <n v="10.116504854368932"/>
    <s v="NO"/>
    <n v="-0.172913498870196"/>
    <n v="0.68494740938045084"/>
    <n v="0.65660422765440851"/>
    <n v="1.0712020441324501"/>
    <n v="-0.40564735558928999"/>
    <n v="0.29956811104122238"/>
    <x v="1"/>
    <x v="0"/>
    <x v="0"/>
    <x v="0"/>
    <x v="0"/>
    <x v="1"/>
  </r>
  <r>
    <x v="5"/>
    <s v="KREF"/>
    <n v="606"/>
    <n v="9.31"/>
    <n v="1.34"/>
    <n v="14.62"/>
    <n v="0.16"/>
    <n v="6.9477611940298507"/>
    <n v="0.63679890560875518"/>
    <n v="2.33"/>
    <n v="0.46"/>
    <n v="6.61"/>
    <n v="58.1875"/>
    <s v="NO"/>
    <n v="-6.3936818729553979E-2"/>
    <n v="-0.58720678868157483"/>
    <n v="-0.52570115787813154"/>
    <n v="-0.58452008497157104"/>
    <n v="-0.1735252079634306"/>
    <n v="3.7551243794343203"/>
    <x v="1"/>
    <x v="0"/>
    <x v="0"/>
    <x v="0"/>
    <x v="0"/>
    <x v="0"/>
  </r>
  <r>
    <x v="5"/>
    <s v="ARI"/>
    <n v="1366"/>
    <n v="10.029999999999999"/>
    <n v="1.26"/>
    <n v="13.4"/>
    <n v="-0.04"/>
    <n v="7.9603174603174596"/>
    <n v="0.74850746268656709"/>
    <n v="0.56000000000000005"/>
    <n v="0.12"/>
    <n v="4.72"/>
    <n v="-250.74999999999997"/>
    <s v="NO"/>
    <n v="0.12179710952835605"/>
    <n v="9.956361984321617E-2"/>
    <n v="-0.89543270070367842"/>
    <n v="-1.0109939667104855"/>
    <n v="-0.62118934981330232"/>
    <n v="-18.452672888597"/>
    <x v="1"/>
    <x v="0"/>
    <x v="0"/>
    <x v="0"/>
    <x v="0"/>
    <x v="0"/>
  </r>
  <r>
    <x v="5"/>
    <s v="REFI"/>
    <n v="305"/>
    <n v="14.28"/>
    <n v="1.2"/>
    <n v="14.87"/>
    <n v="1.88"/>
    <n v="11.9"/>
    <n v="0.96032279757901817"/>
    <n v="12.86"/>
    <n v="9.61"/>
    <n v="1.33"/>
    <n v="7.5957446808510642"/>
    <s v="NO"/>
    <n v="0.84445592716337992"/>
    <n v="1.401778131257738"/>
    <n v="1.673888190117919"/>
    <n v="10.892644673590393"/>
    <n v="-1.4241424931313258"/>
    <n v="0.11836469321459961"/>
    <x v="1"/>
    <x v="0"/>
    <x v="0"/>
    <x v="1"/>
    <x v="0"/>
    <x v="1"/>
  </r>
  <r>
    <x v="5"/>
    <s v="CIM"/>
    <n v="1067"/>
    <n v="13.75"/>
    <n v="1.1100000000000001"/>
    <n v="32.65"/>
    <n v="1.52"/>
    <n v="12.387387387387387"/>
    <n v="0.42113323124042878"/>
    <n v="8.09"/>
    <n v="1.66"/>
    <n v="5"/>
    <n v="9.0460526315789469"/>
    <s v="NO"/>
    <n v="0.93385774813547617"/>
    <n v="-1.9130927115257876"/>
    <n v="0.67749301538466533"/>
    <n v="0.92068185057753904"/>
    <n v="-0.55486873620591382"/>
    <n v="0.22261925909274255"/>
    <x v="1"/>
    <x v="0"/>
    <x v="0"/>
    <x v="0"/>
    <x v="0"/>
    <x v="1"/>
  </r>
  <r>
    <x v="5"/>
    <s v="TRTX"/>
    <n v="613"/>
    <n v="7.93"/>
    <n v="1.01"/>
    <n v="13.69"/>
    <n v="0.7"/>
    <n v="7.8514851485148514"/>
    <n v="0.57925493060628197"/>
    <n v="6.41"/>
    <n v="1.83"/>
    <n v="3.59"/>
    <n v="11.328571428571429"/>
    <s v="NO"/>
    <n v="0.10183391986127781"/>
    <n v="-0.94098003805817465"/>
    <n v="0.32656138151634961"/>
    <n v="1.1339187914469966"/>
    <n v="-0.88884039758597677"/>
    <n v="0.38669683045937753"/>
    <x v="1"/>
    <x v="0"/>
    <x v="0"/>
    <x v="0"/>
    <x v="0"/>
    <x v="1"/>
  </r>
  <r>
    <x v="5"/>
    <s v="LADR"/>
    <n v="1348"/>
    <n v="10.7"/>
    <n v="1"/>
    <n v="11.84"/>
    <n v="0.82"/>
    <n v="10.7"/>
    <n v="0.90371621621621612"/>
    <n v="6.75"/>
    <n v="2.09"/>
    <n v="2.95"/>
    <n v="13.048780487804878"/>
    <s v="NO"/>
    <n v="0.62433905926165623"/>
    <n v="1.0537678621729438"/>
    <n v="0.39758325979922304"/>
    <n v="1.4600458774826368"/>
    <n v="-1.0404303715457215"/>
    <n v="0.51035308470525997"/>
    <x v="1"/>
    <x v="0"/>
    <x v="0"/>
    <x v="0"/>
    <x v="0"/>
    <x v="1"/>
  </r>
  <r>
    <x v="5"/>
    <s v="MFA"/>
    <n v="955"/>
    <n v="9.5500000000000007"/>
    <n v="0.96"/>
    <n v="17.91"/>
    <n v="0.99"/>
    <n v="9.9479166666666679"/>
    <n v="0.5332216638749302"/>
    <n v="7.37"/>
    <n v="1.23"/>
    <n v="6.27"/>
    <n v="9.6464646464646471"/>
    <s v="NO"/>
    <n v="0.48638386948297213"/>
    <n v="-1.223986875008005"/>
    <n v="0.52709374372681572"/>
    <n v="0.38131782367244133"/>
    <n v="-0.25405738162954522"/>
    <n v="0.26577953683135258"/>
    <x v="1"/>
    <x v="0"/>
    <x v="0"/>
    <x v="0"/>
    <x v="0"/>
    <x v="1"/>
  </r>
  <r>
    <x v="5"/>
    <s v="NREF"/>
    <n v="262"/>
    <n v="15.36"/>
    <n v="0.71"/>
    <n v="19.29"/>
    <n v="2.59"/>
    <n v="21.633802816901408"/>
    <n v="0.79626749611197511"/>
    <n v="14.33"/>
    <n v="1.23"/>
    <n v="15.86"/>
    <n v="5.9305019305019302"/>
    <s v="NO"/>
    <n v="2.6299344178544732"/>
    <n v="0.39318640510466923"/>
    <n v="1.9809533697526953"/>
    <n v="0.38131782367244133"/>
    <n v="2.0174236344235066"/>
    <n v="-1.3403390388900605E-3"/>
    <x v="1"/>
    <x v="0"/>
    <x v="0"/>
    <x v="0"/>
    <x v="0"/>
    <x v="1"/>
  </r>
  <r>
    <x v="5"/>
    <s v="BRSP"/>
    <n v="660"/>
    <n v="5.26"/>
    <n v="0.7"/>
    <n v="7.92"/>
    <n v="-0.56000000000000005"/>
    <n v="7.5142857142857142"/>
    <n v="0.66414141414141414"/>
    <n v="-6.73"/>
    <n v="2.58"/>
    <n v="3.43"/>
    <n v="-9.3928571428571423"/>
    <s v="NO"/>
    <n v="3.9981183760652052E-2"/>
    <n v="-0.4191084240953532"/>
    <n v="-2.4182253262394062"/>
    <n v="2.0746700011651904"/>
    <n v="-0.92673789107591298"/>
    <n v="-1.1028513299882137"/>
    <x v="1"/>
    <x v="0"/>
    <x v="0"/>
    <x v="0"/>
    <x v="0"/>
    <x v="1"/>
  </r>
  <r>
    <x v="5"/>
    <s v="ORC"/>
    <n v="746"/>
    <n v="7.03"/>
    <n v="0.63"/>
    <n v="7.94"/>
    <n v="0.46"/>
    <n v="11.158730158730158"/>
    <n v="0.88539042821158687"/>
    <n v="5.23"/>
    <n v="0.61"/>
    <n v="8.5299999999999994"/>
    <n v="15.282608695652174"/>
    <s v="NO"/>
    <n v="0.70848426405477538"/>
    <n v="0.94110318147429972"/>
    <n v="8.0073686299318353E-2"/>
    <n v="-0.39636984302793227"/>
    <n v="0.2812447139158038"/>
    <n v="0.67093056063965617"/>
    <x v="1"/>
    <x v="0"/>
    <x v="0"/>
    <x v="0"/>
    <x v="0"/>
    <x v="1"/>
  </r>
  <r>
    <x v="5"/>
    <s v="ACRE"/>
    <n v="254"/>
    <n v="4.88"/>
    <n v="0.59"/>
    <n v="9.89"/>
    <n v="-0.24"/>
    <n v="8.2711864406779672"/>
    <n v="0.49342770475227499"/>
    <n v="-2.33"/>
    <n v="-0.73"/>
    <n v="2.8"/>
    <n v="-20.333333333333332"/>
    <s v="NO"/>
    <n v="0.1788200314323205"/>
    <n v="-1.4686352195788528"/>
    <n v="-1.4991186661081028"/>
    <n v="-2.077178671057772"/>
    <n v="-1.0759592716925368"/>
    <n v="-1.8893012664763993"/>
    <x v="1"/>
    <x v="0"/>
    <x v="0"/>
    <x v="0"/>
    <x v="0"/>
    <x v="1"/>
  </r>
  <r>
    <x v="5"/>
    <s v="DX"/>
    <n v="1290"/>
    <n v="12.21"/>
    <n v="0.48"/>
    <n v="12.6"/>
    <n v="0.79"/>
    <n v="25.437500000000004"/>
    <n v="0.96904761904761916"/>
    <n v="6.01"/>
    <n v="0.92"/>
    <n v="7.02"/>
    <n v="15.455696202531646"/>
    <s v="NO"/>
    <n v="3.3276493431796994"/>
    <n v="1.4554172557889338"/>
    <n v="0.24300623059532198"/>
    <n v="-7.5260096777454181E-3"/>
    <n v="-7.6412880895469215E-2"/>
    <n v="0.68337285807006942"/>
    <x v="0"/>
    <x v="0"/>
    <x v="0"/>
    <x v="0"/>
    <x v="0"/>
    <x v="1"/>
  </r>
  <r>
    <x v="5"/>
    <s v="CMTG"/>
    <n v="359"/>
    <n v="2.98"/>
    <n v="0.2"/>
    <n v="13.88"/>
    <n v="-1.78"/>
    <n v="14.899999999999999"/>
    <n v="0.21469740634005763"/>
    <n v="-11.91"/>
    <n v="-3.43"/>
    <n v="3.44"/>
    <n v="-1.6741573033707864"/>
    <s v="NO"/>
    <n v="1.3947480969176886"/>
    <n v="-3.1822346600895468"/>
    <n v="-3.5002645306667133"/>
    <n v="-5.4638830260432698"/>
    <n v="-0.92436929773279197"/>
    <n v="-0.54799696233100481"/>
    <x v="1"/>
    <x v="1"/>
    <x v="1"/>
    <x v="1"/>
    <x v="0"/>
    <x v="1"/>
  </r>
  <r>
    <x v="5"/>
    <s v="NYMT"/>
    <n v="590"/>
    <n v="6.81"/>
    <n v="0.12"/>
    <n v="9.57"/>
    <n v="-0.06"/>
    <n v="56.75"/>
    <n v="0.71159874608150464"/>
    <n v="1.58"/>
    <n v="0.27"/>
    <n v="11.54"/>
    <n v="-113.5"/>
    <s v="NO"/>
    <n v="9.0713238649902994"/>
    <n v="-0.12734661017012255"/>
    <n v="-0.68236706585505824"/>
    <n v="-0.82284372476684675"/>
    <n v="0.99419131019522877"/>
    <n v="-8.586534349127696"/>
    <x v="0"/>
    <x v="0"/>
    <x v="0"/>
    <x v="0"/>
    <x v="0"/>
    <x v="0"/>
  </r>
  <r>
    <x v="5"/>
    <s v="EFC"/>
    <n v="1188"/>
    <n v="12.77"/>
    <n v="-5.61"/>
    <n v="13.58"/>
    <n v="1.38"/>
    <n v="-2.2762923351158642"/>
    <n v="0.94035346097201766"/>
    <n v="9.61"/>
    <n v="0.97"/>
    <n v="12.98"/>
    <n v="9.2536231884057969"/>
    <s v="NO"/>
    <n v="-1.7559116288907159"/>
    <n v="1.2790091167944511"/>
    <n v="0.99500258888457005"/>
    <n v="5.5190737636800755E-2"/>
    <n v="1.3352687516046551"/>
    <n v="0.23754035104442553"/>
    <x v="1"/>
    <x v="0"/>
    <x v="0"/>
    <x v="0"/>
    <x v="0"/>
    <x v="1"/>
  </r>
  <r>
    <x v="5"/>
    <s v="PMT"/>
    <n v="1068"/>
    <n v="12.51"/>
    <n v="-34.53"/>
    <n v="15.64"/>
    <n v="0.86"/>
    <n v="-0.3622936576889661"/>
    <n v="0.79987212276214825"/>
    <n v="6.37"/>
    <n v="0.91"/>
    <n v="10.93"/>
    <n v="14.546511627906977"/>
    <s v="NO"/>
    <n v="-1.4048254671880076"/>
    <n v="0.4153472044371177"/>
    <n v="0.31820586642424686"/>
    <n v="-2.0069359140654681E-2"/>
    <n v="0.84970711626484707"/>
    <n v="0.61801663970070342"/>
    <x v="1"/>
    <x v="0"/>
    <x v="0"/>
    <x v="0"/>
    <x v="0"/>
    <x v="1"/>
  </r>
  <r>
    <x v="5"/>
    <s v="RWT"/>
    <n v="725"/>
    <n v="5.68"/>
    <n v="-51.89"/>
    <n v="8.39"/>
    <n v="0.21"/>
    <n v="-0.10946232414723453"/>
    <n v="0.67699642431466023"/>
    <n v="3.31"/>
    <n v="0.23"/>
    <n v="17.8"/>
    <n v="27.047619047619047"/>
    <s v="NO"/>
    <n v="-1.3584484328158226"/>
    <n v="-0.34007740964834887"/>
    <n v="-0.32099103812161406"/>
    <n v="-0.87301712261848385"/>
    <n v="2.4769307429889835"/>
    <n v="1.5166516684778764"/>
    <x v="1"/>
    <x v="0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x="5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m="1" x="18"/>
        <item m="1" x="19"/>
        <item m="1" x="20"/>
        <item m="1" x="21"/>
        <item m="1" x="22"/>
        <item m="1" x="23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58" tableType="queryTable" totalsRowShown="0">
  <autoFilter ref="A1:Z158" xr:uid="{1B3BB95A-07C7-4768-8185-A2A759A39458}"/>
  <sortState xmlns:xlrd2="http://schemas.microsoft.com/office/spreadsheetml/2017/richdata2" ref="A2:Z158">
    <sortCondition ref="A1:A158"/>
  </sortState>
  <tableColumns count="26">
    <tableColumn id="1" xr3:uid="{FDA9EBBF-F574-44F1-B885-6A5ED1C1C8A3}" uniqueName="1" name="Industry" queryTableFieldId="1" dataDxfId="95"/>
    <tableColumn id="2" xr3:uid="{8F96E341-8F97-4BC1-90E1-73E9D5DAC8C9}" uniqueName="2" name="Symbol" queryTableFieldId="2" dataDxfId="94"/>
    <tableColumn id="3" xr3:uid="{F543FE77-4EA4-4170-A3F2-7D6D401D6817}" uniqueName="3" name="Market Cap (M)" queryTableFieldId="44" dataDxfId="93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92"/>
    <tableColumn id="9" xr3:uid="{92CA53A2-ADA4-45CE-B0FD-3AD68E123166}" uniqueName="9" name="P/B" queryTableFieldId="46" dataDxfId="91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90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89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88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87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86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85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84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84" tableType="queryTable" totalsRowShown="0">
  <autoFilter ref="A1:Z184" xr:uid="{8A05384F-F989-4428-B033-1A9B3ACA4EBB}"/>
  <sortState xmlns:xlrd2="http://schemas.microsoft.com/office/spreadsheetml/2017/richdata2" ref="A2:Z184">
    <sortCondition ref="A1:A184"/>
  </sortState>
  <tableColumns count="26">
    <tableColumn id="1" xr3:uid="{3547F496-7B67-42E8-9760-1F3941836443}" uniqueName="1" name="Industry" queryTableFieldId="1" dataDxfId="107"/>
    <tableColumn id="2" xr3:uid="{0A09E186-076D-4A57-B743-EBD7817F4082}" uniqueName="2" name="Symbol" queryTableFieldId="2" dataDxfId="106"/>
    <tableColumn id="3" xr3:uid="{C567BD69-49B3-415C-87A5-73BCB80F1796}" uniqueName="3" name="Market Cap (M)" queryTableFieldId="43" dataDxfId="105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04"/>
    <tableColumn id="9" xr3:uid="{F1DC44A8-3710-4CCA-B495-699F6ACADE85}" uniqueName="9" name="P/B" queryTableFieldId="45" dataDxfId="103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02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01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00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99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98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97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96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91" tableType="queryTable" totalsRowShown="0">
  <autoFilter ref="A1:Z291" xr:uid="{DE7CBD96-9DC7-4F09-9B11-F8C87451A82B}"/>
  <sortState xmlns:xlrd2="http://schemas.microsoft.com/office/spreadsheetml/2017/richdata2" ref="A2:Z291">
    <sortCondition ref="A1:A291"/>
  </sortState>
  <tableColumns count="26">
    <tableColumn id="1" xr3:uid="{261FC5A1-AB9E-4068-9D87-D85D75FE0DD5}" uniqueName="1" name="Industry" queryTableFieldId="1" dataDxfId="59"/>
    <tableColumn id="2" xr3:uid="{4D1C6415-A4DE-450C-A6A0-32BD8F91DEB2}" uniqueName="2" name="Symbol" queryTableFieldId="2" dataDxfId="58"/>
    <tableColumn id="3" xr3:uid="{1913483F-1018-45E5-BBAD-415B97CDE58A}" uniqueName="3" name="Market Cap (M)" queryTableFieldId="43" dataDxfId="5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56"/>
    <tableColumn id="9" xr3:uid="{A85952D4-A3AB-4C1A-90DC-2E32ECE72481}" uniqueName="9" name="P/B" queryTableFieldId="45" dataDxfId="5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5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5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5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5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5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4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4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83"/>
    <tableColumn id="3" xr3:uid="{04B713EC-FD8B-48E2-A2D2-C366A9A339B7}" uniqueName="3" name="P/FCF Q3" queryTableFieldId="3" dataDxfId="82"/>
    <tableColumn id="4" xr3:uid="{9DCEA951-E29F-4D9E-B9F0-5DC32A557DF0}" uniqueName="4" name="P/FCF LB" queryTableFieldId="4" dataDxfId="81"/>
    <tableColumn id="5" xr3:uid="{C2B6F391-AB27-4C2B-B68A-D2B47E1AA772}" uniqueName="5" name="P/FCF UB" queryTableFieldId="5" dataDxfId="80"/>
    <tableColumn id="6" xr3:uid="{1FD6B89C-F582-4857-A32F-326E69C5DFFD}" uniqueName="6" name="P/B Q1" queryTableFieldId="6" dataDxfId="79"/>
    <tableColumn id="7" xr3:uid="{A3697E12-D8D4-4284-AE2B-01C3BA154C99}" uniqueName="7" name="P/B Q3" queryTableFieldId="7" dataDxfId="78"/>
    <tableColumn id="8" xr3:uid="{A270BB2A-00C0-4246-AFBA-EDE9D5F40C76}" uniqueName="8" name="P/B LB" queryTableFieldId="8" dataDxfId="77"/>
    <tableColumn id="9" xr3:uid="{F99BB669-75E9-428A-88A3-E037E705383F}" uniqueName="9" name="P/B UB" queryTableFieldId="9" dataDxfId="76"/>
    <tableColumn id="10" xr3:uid="{D3A49932-F6DE-43A8-B449-B1C4E41499CF}" uniqueName="10" name="ROE Q1" queryTableFieldId="10" dataDxfId="75"/>
    <tableColumn id="11" xr3:uid="{BD8F2597-7442-49AD-BA3A-A3F29A6E60DD}" uniqueName="11" name="ROE Q3" queryTableFieldId="11" dataDxfId="74"/>
    <tableColumn id="12" xr3:uid="{3B29ED46-D0C8-4AF8-BFC0-41462C6C29EB}" uniqueName="12" name="ROE LB" queryTableFieldId="12" dataDxfId="73"/>
    <tableColumn id="13" xr3:uid="{F62F045D-EA3F-4608-85C5-21D743180D21}" uniqueName="13" name="ROE UB" queryTableFieldId="13" dataDxfId="72"/>
    <tableColumn id="14" xr3:uid="{9D898AB4-6F4D-4D03-BA61-39B91E78C9C6}" uniqueName="14" name="ROA Q1" queryTableFieldId="14" dataDxfId="71"/>
    <tableColumn id="15" xr3:uid="{2D1DFB04-09CE-4BEC-AD50-26246811DCDA}" uniqueName="15" name="ROA Q3" queryTableFieldId="15" dataDxfId="70"/>
    <tableColumn id="16" xr3:uid="{753F114C-61F5-4444-9EB0-76DCEA7F1F1B}" uniqueName="16" name="ROA LB" queryTableFieldId="16" dataDxfId="69"/>
    <tableColumn id="17" xr3:uid="{AA60DB6D-6DE2-4BF0-A375-18A578568BBF}" uniqueName="17" name="ROA UB" queryTableFieldId="17" dataDxfId="68"/>
    <tableColumn id="18" xr3:uid="{5357CEC7-DB8C-48BE-BDAD-FCBB1FB43389}" uniqueName="18" name="P/E Q1" queryTableFieldId="18" dataDxfId="67"/>
    <tableColumn id="19" xr3:uid="{C18FE8DB-95D8-42EC-BC42-C15678D7CE64}" uniqueName="19" name="P/E Q3" queryTableFieldId="19" dataDxfId="66"/>
    <tableColumn id="20" xr3:uid="{B7040099-49E4-464B-9BD8-1326A00D0599}" uniqueName="20" name="P/E LB" queryTableFieldId="20" dataDxfId="65"/>
    <tableColumn id="21" xr3:uid="{E8713F96-91B8-41CB-AA45-CCA61FACA752}" uniqueName="21" name="P/E UB" queryTableFieldId="21" dataDxfId="64"/>
    <tableColumn id="22" xr3:uid="{91693169-B783-4EDC-94CF-D23F08159B62}" uniqueName="22" name="A/E Q1" queryTableFieldId="22" dataDxfId="63"/>
    <tableColumn id="23" xr3:uid="{F98A9AC1-1CAF-483B-A342-F3A466AEB043}" uniqueName="23" name="A/E Q3" queryTableFieldId="23" dataDxfId="62"/>
    <tableColumn id="24" xr3:uid="{04D140EC-A8E6-4894-B430-208F20D411DB}" uniqueName="24" name="A/E LB" queryTableFieldId="24" dataDxfId="61"/>
    <tableColumn id="25" xr3:uid="{3E6CFD0C-10B0-4D91-A289-A353306CC102}" uniqueName="25" name="A/E UB" queryTableFieldId="25" dataDxfId="6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47"/>
    <tableColumn id="3" xr3:uid="{6D66145B-6613-41BC-8233-7356853CCFEF}" uniqueName="3" name="P/FCF Q3" queryTableFieldId="3" dataDxfId="46"/>
    <tableColumn id="4" xr3:uid="{90A69125-3CA2-4D0A-8F1A-65993DFA9D46}" uniqueName="4" name="P/FCF LB" queryTableFieldId="4" dataDxfId="45"/>
    <tableColumn id="5" xr3:uid="{BED6E3D4-DC60-428F-B5E8-4C3C64096FD7}" uniqueName="5" name="P/FCF UB" queryTableFieldId="5" dataDxfId="44"/>
    <tableColumn id="6" xr3:uid="{FC33B186-B76E-4D86-8EBD-E25B773D256E}" uniqueName="6" name="P/B Q1" queryTableFieldId="6" dataDxfId="43"/>
    <tableColumn id="7" xr3:uid="{D82D1432-7C03-4449-BD2D-F895D50A5F32}" uniqueName="7" name="P/B Q3" queryTableFieldId="7" dataDxfId="42"/>
    <tableColumn id="8" xr3:uid="{D3389429-24FB-4947-AACF-CAA92D678F94}" uniqueName="8" name="P/B LB" queryTableFieldId="8" dataDxfId="41"/>
    <tableColumn id="9" xr3:uid="{452E932D-DD5B-4C62-A8B3-25C90C8C7751}" uniqueName="9" name="P/B UB" queryTableFieldId="9" dataDxfId="40"/>
    <tableColumn id="10" xr3:uid="{99E11285-9679-47B1-9540-1BD10239596C}" uniqueName="10" name="ROE Q1" queryTableFieldId="10" dataDxfId="39"/>
    <tableColumn id="11" xr3:uid="{B4F1825A-C678-4C01-BB96-B04FAB1938BD}" uniqueName="11" name="ROE Q3" queryTableFieldId="11" dataDxfId="38"/>
    <tableColumn id="12" xr3:uid="{9F07026D-928C-42B1-8DD2-9BD3176C8B6A}" uniqueName="12" name="ROE LB" queryTableFieldId="12" dataDxfId="37"/>
    <tableColumn id="13" xr3:uid="{47360B1B-7AC4-49FA-9F18-2F1F1B72CA28}" uniqueName="13" name="ROE UB" queryTableFieldId="13" dataDxfId="36"/>
    <tableColumn id="14" xr3:uid="{58B0248D-BCFF-4737-ADF5-EE087C03D561}" uniqueName="14" name="ROA Q1" queryTableFieldId="14" dataDxfId="35"/>
    <tableColumn id="15" xr3:uid="{CCD6E6AE-6BBB-4675-8C50-0F87AF280A3C}" uniqueName="15" name="ROA Q3" queryTableFieldId="15" dataDxfId="34"/>
    <tableColumn id="16" xr3:uid="{BB86731C-A605-4988-A848-B35835CAF73E}" uniqueName="16" name="ROA LB" queryTableFieldId="16" dataDxfId="33"/>
    <tableColumn id="17" xr3:uid="{9760AC7A-70E9-4457-8DC8-4BDA6646C74E}" uniqueName="17" name="ROA UB" queryTableFieldId="17" dataDxfId="32"/>
    <tableColumn id="18" xr3:uid="{931D5CA9-41B9-424B-87E6-FA364034B249}" uniqueName="18" name="P/E Q1" queryTableFieldId="18" dataDxfId="31"/>
    <tableColumn id="19" xr3:uid="{23E1DD3D-5F02-4A6D-9773-5EA3466661AF}" uniqueName="19" name="P/E Q3" queryTableFieldId="19" dataDxfId="30"/>
    <tableColumn id="20" xr3:uid="{478DC28A-5ACD-47E8-8720-6EEE2D43205B}" uniqueName="20" name="P/E LB" queryTableFieldId="20" dataDxfId="29"/>
    <tableColumn id="21" xr3:uid="{AC7D613F-0AC5-4542-BBED-886B4C332840}" uniqueName="21" name="P/E UB" queryTableFieldId="21" dataDxfId="28"/>
    <tableColumn id="22" xr3:uid="{1E3F527B-4B19-4D38-9A78-D4BBA95224B9}" uniqueName="22" name="A/E Q1" queryTableFieldId="22" dataDxfId="27"/>
    <tableColumn id="23" xr3:uid="{1256121C-1427-4F44-988A-E08E26F80A67}" uniqueName="23" name="A/E Q3" queryTableFieldId="23" dataDxfId="26"/>
    <tableColumn id="24" xr3:uid="{3F6A6F05-B80E-47C0-9039-80E1A481FF30}" uniqueName="24" name="A/E LB" queryTableFieldId="24" dataDxfId="25"/>
    <tableColumn id="25" xr3:uid="{08969B40-89DA-4EAE-925B-3C841EB86C63}" uniqueName="25" name="A/E UB" queryTableFieldId="2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58"/>
  <sheetViews>
    <sheetView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119</v>
      </c>
      <c r="C2" s="2">
        <v>24570</v>
      </c>
      <c r="D2">
        <f>RTD("tos.rtd", , "LAST", Main_L[[#This Row],[Symbol]])</f>
        <v>1831.72</v>
      </c>
      <c r="E2">
        <v>73.819999999999993</v>
      </c>
      <c r="F2">
        <v>1596.28</v>
      </c>
      <c r="G2">
        <v>175.01</v>
      </c>
      <c r="H2" s="1">
        <f>IF(ISNUMBER(Main_L[[#This Row],[Free CF]]),IF(Main_L[[#This Row],[Free CF]]&lt;&gt;0,Main_L[[#This Row],[Current Price]]/Main_L[[#This Row],[Free CF]],""),"")</f>
        <v>24.813329720942836</v>
      </c>
      <c r="I2" s="1">
        <f>IF(ISNUMBER(Main_L[[#This Row],[BVPS]]),IF(Main_L[[#This Row],[BVPS]]&lt;&gt;0,Main_L[[#This Row],[Current Price]]/Main_L[[#This Row],[BVPS]],""),"")</f>
        <v>1.1474929210414213</v>
      </c>
      <c r="J2">
        <v>11.46</v>
      </c>
      <c r="K2">
        <v>1.1299999999999999</v>
      </c>
      <c r="L2">
        <v>10.69</v>
      </c>
      <c r="M2" s="1">
        <f>IF(ISNUMBER(Main_L[[#This Row],[EPS]]),IF(Main_L[[#This Row],[EPS]]&lt;&gt;0,Main_L[[#This Row],[Current Price]]/Main_L[[#This Row],[EPS]],""),"")</f>
        <v>10.466373350094281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2.0464151815551621</v>
      </c>
      <c r="P2" s="1">
        <f>(Main_L[[#This Row],[P/B]]-VLOOKUP(Main_L[[#This Row],[Industry]], Mean_PB_L, 2, FALSE))/(VLOOKUP(Main_L[[#This Row],[Industry]], Mean_PB_L, 3, FALSE))</f>
        <v>-0.25794634790538729</v>
      </c>
      <c r="Q2" s="1">
        <f>(Main_L[[#This Row],[ROE]]-VLOOKUP(Main_L[[#This Row],[Industry]], Mean_ROE_L, 2, FALSE))/(VLOOKUP(Main_L[[#This Row],[Industry]], Mean_ROE_L, 3, FALSE))</f>
        <v>-5.9933575770642261E-2</v>
      </c>
      <c r="R2" s="1">
        <f>(Main_L[[#This Row],[ROA]]-VLOOKUP(Main_L[[#This Row],[Industry]], Mean_ROA_L, 2, FALSE))/(VLOOKUP(Main_L[[#This Row],[Industry]], Mean_ROA_L, 3, FALSE))</f>
        <v>0.38598942255808899</v>
      </c>
      <c r="S2" s="1">
        <f>(Main_L[[#This Row],[A/E]]-VLOOKUP(Main_L[[#This Row],[Industry]], Mean_AE_L, 2, FALSE))/(VLOOKUP(Main_L[[#This Row],[Industry]], Mean_AE_L, 3, FALSE))</f>
        <v>-0.67836753028407948</v>
      </c>
      <c r="T2" s="1">
        <f>(Main_L[[#This Row],[P/E]]-VLOOKUP(Main_L[[#This Row],[Industry]], Mean_PE_L, 2, FALSE))/(VLOOKUP(Main_L[[#This Row],[Industry]], Mean_PE_L, 3, FALSE))</f>
        <v>-0.32255057010552518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105</v>
      </c>
      <c r="B3" s="67" t="s">
        <v>147</v>
      </c>
      <c r="C3" s="2">
        <v>29317</v>
      </c>
      <c r="D3">
        <f>RTD("tos.rtd", , "LAST", Main_L[[#This Row],[Symbol]])</f>
        <v>184.29</v>
      </c>
      <c r="E3">
        <v>19.809999999999999</v>
      </c>
      <c r="F3">
        <v>163.63</v>
      </c>
      <c r="G3">
        <v>14.94</v>
      </c>
      <c r="H3" s="1">
        <f>IF(ISNUMBER(Main_L[[#This Row],[Free CF]]),IF(Main_L[[#This Row],[Free CF]]&lt;&gt;0,Main_L[[#This Row],[Current Price]]/Main_L[[#This Row],[Free CF]],""),"")</f>
        <v>9.3028773346794544</v>
      </c>
      <c r="I3" s="1">
        <f>IF(ISNUMBER(Main_L[[#This Row],[BVPS]]),IF(Main_L[[#This Row],[BVPS]]&lt;&gt;0,Main_L[[#This Row],[Current Price]]/Main_L[[#This Row],[BVPS]],""),"")</f>
        <v>1.1262604656847766</v>
      </c>
      <c r="J3">
        <v>9.41</v>
      </c>
      <c r="K3">
        <v>1.24</v>
      </c>
      <c r="L3">
        <v>7.91</v>
      </c>
      <c r="M3" s="1">
        <f>IF(ISNUMBER(Main_L[[#This Row],[EPS]]),IF(Main_L[[#This Row],[EPS]]&lt;&gt;0,Main_L[[#This Row],[Current Price]]/Main_L[[#This Row],[EPS]],""),"")</f>
        <v>12.335341365461847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0.76890184972773612</v>
      </c>
      <c r="P3" s="1">
        <f>(Main_L[[#This Row],[P/B]]-VLOOKUP(Main_L[[#This Row],[Industry]], Mean_PB_L, 2, FALSE))/(VLOOKUP(Main_L[[#This Row],[Industry]], Mean_PB_L, 3, FALSE))</f>
        <v>-0.30456336675005846</v>
      </c>
      <c r="Q3" s="1">
        <f>(Main_L[[#This Row],[ROE]]-VLOOKUP(Main_L[[#This Row],[Industry]], Mean_ROE_L, 2, FALSE))/(VLOOKUP(Main_L[[#This Row],[Industry]], Mean_ROE_L, 3, FALSE))</f>
        <v>-0.66871832064811398</v>
      </c>
      <c r="R3" s="1">
        <f>(Main_L[[#This Row],[ROA]]-VLOOKUP(Main_L[[#This Row],[Industry]], Mean_ROA_L, 2, FALSE))/(VLOOKUP(Main_L[[#This Row],[Industry]], Mean_ROA_L, 3, FALSE))</f>
        <v>0.60920701927233067</v>
      </c>
      <c r="S3" s="1">
        <f>(Main_L[[#This Row],[A/E]]-VLOOKUP(Main_L[[#This Row],[Industry]], Mean_AE_L, 2, FALSE))/(VLOOKUP(Main_L[[#This Row],[Industry]], Mean_AE_L, 3, FALSE))</f>
        <v>-1.3116407277573339</v>
      </c>
      <c r="T3" s="1">
        <f>(Main_L[[#This Row],[P/E]]-VLOOKUP(Main_L[[#This Row],[Industry]], Mean_PE_L, 2, FALSE))/(VLOOKUP(Main_L[[#This Row],[Industry]], Mean_PE_L, 3, FALSE))</f>
        <v>0.17284296970429383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7" t="s">
        <v>105</v>
      </c>
      <c r="B4" s="67" t="s">
        <v>135</v>
      </c>
      <c r="C4" s="2">
        <v>68754</v>
      </c>
      <c r="D4">
        <f>RTD("tos.rtd", , "LAST", Main_L[[#This Row],[Symbol]])</f>
        <v>178.74</v>
      </c>
      <c r="E4">
        <v>13.23</v>
      </c>
      <c r="F4">
        <v>127.98</v>
      </c>
      <c r="G4">
        <v>14.15</v>
      </c>
      <c r="H4" s="1">
        <f>IF(ISNUMBER(Main_L[[#This Row],[Free CF]]),IF(Main_L[[#This Row],[Free CF]]&lt;&gt;0,Main_L[[#This Row],[Current Price]]/Main_L[[#This Row],[Free CF]],""),"")</f>
        <v>13.510204081632653</v>
      </c>
      <c r="I4" s="1">
        <f>IF(ISNUMBER(Main_L[[#This Row],[BVPS]]),IF(Main_L[[#This Row],[BVPS]]&lt;&gt;0,Main_L[[#This Row],[Current Price]]/Main_L[[#This Row],[BVPS]],""),"")</f>
        <v>1.3966244725738397</v>
      </c>
      <c r="J4">
        <v>11.33</v>
      </c>
      <c r="K4">
        <v>1.0900000000000001</v>
      </c>
      <c r="L4">
        <v>10.95</v>
      </c>
      <c r="M4" s="1">
        <f>IF(ISNUMBER(Main_L[[#This Row],[EPS]]),IF(Main_L[[#This Row],[EPS]]&lt;&gt;0,Main_L[[#This Row],[Current Price]]/Main_L[[#This Row],[EPS]],""),"")</f>
        <v>12.631802120141343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1.1154369395325343</v>
      </c>
      <c r="P4" s="1">
        <f>(Main_L[[#This Row],[P/B]]-VLOOKUP(Main_L[[#This Row],[Industry]], Mean_PB_L, 2, FALSE))/(VLOOKUP(Main_L[[#This Row],[Industry]], Mean_PB_L, 3, FALSE))</f>
        <v>0.28903562085473389</v>
      </c>
      <c r="Q4" s="1">
        <f>(Main_L[[#This Row],[ROE]]-VLOOKUP(Main_L[[#This Row],[Industry]], Mean_ROE_L, 2, FALSE))/(VLOOKUP(Main_L[[#This Row],[Industry]], Mean_ROE_L, 3, FALSE))</f>
        <v>-9.8539437640921171E-2</v>
      </c>
      <c r="R4" s="1">
        <f>(Main_L[[#This Row],[ROA]]-VLOOKUP(Main_L[[#This Row],[Industry]], Mean_ROA_L, 2, FALSE))/(VLOOKUP(Main_L[[#This Row],[Industry]], Mean_ROA_L, 3, FALSE))</f>
        <v>0.30481938738927428</v>
      </c>
      <c r="S4" s="1">
        <f>(Main_L[[#This Row],[A/E]]-VLOOKUP(Main_L[[#This Row],[Industry]], Mean_AE_L, 2, FALSE))/(VLOOKUP(Main_L[[#This Row],[Industry]], Mean_AE_L, 3, FALSE))</f>
        <v>-0.61914054059233636</v>
      </c>
      <c r="T4" s="1">
        <f>(Main_L[[#This Row],[P/E]]-VLOOKUP(Main_L[[#This Row],[Industry]], Mean_PE_L, 2, FALSE))/(VLOOKUP(Main_L[[#This Row],[Industry]], Mean_PE_L, 3, FALSE))</f>
        <v>0.25142363104668819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7" t="s">
        <v>105</v>
      </c>
      <c r="B5" s="67" t="s">
        <v>145</v>
      </c>
      <c r="C5" s="2">
        <v>12570</v>
      </c>
      <c r="D5">
        <f>RTD("tos.rtd", , "LAST", Main_L[[#This Row],[Symbol]])</f>
        <v>94.77</v>
      </c>
      <c r="E5">
        <v>10.27</v>
      </c>
      <c r="F5">
        <v>57.54</v>
      </c>
      <c r="G5">
        <v>8.3800000000000008</v>
      </c>
      <c r="H5" s="1">
        <f>IF(ISNUMBER(Main_L[[#This Row],[Free CF]]),IF(Main_L[[#This Row],[Free CF]]&lt;&gt;0,Main_L[[#This Row],[Current Price]]/Main_L[[#This Row],[Free CF]],""),"")</f>
        <v>9.2278481012658222</v>
      </c>
      <c r="I5" s="1">
        <f>IF(ISNUMBER(Main_L[[#This Row],[BVPS]]),IF(Main_L[[#This Row],[BVPS]]&lt;&gt;0,Main_L[[#This Row],[Current Price]]/Main_L[[#This Row],[BVPS]],""),"")</f>
        <v>1.6470281543274243</v>
      </c>
      <c r="J5">
        <v>15.66</v>
      </c>
      <c r="K5">
        <v>1.59</v>
      </c>
      <c r="L5">
        <v>9.61</v>
      </c>
      <c r="M5" s="1">
        <f>IF(ISNUMBER(Main_L[[#This Row],[EPS]]),IF(Main_L[[#This Row],[EPS]]&lt;&gt;0,Main_L[[#This Row],[Current Price]]/Main_L[[#This Row],[EPS]],""),"")</f>
        <v>11.309069212410499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0.76272209148628112</v>
      </c>
      <c r="P5" s="1">
        <f>(Main_L[[#This Row],[P/B]]-VLOOKUP(Main_L[[#This Row],[Industry]], Mean_PB_L, 2, FALSE))/(VLOOKUP(Main_L[[#This Row],[Industry]], Mean_PB_L, 3, FALSE))</f>
        <v>0.83881062120243466</v>
      </c>
      <c r="Q5" s="1">
        <f>(Main_L[[#This Row],[ROE]]-VLOOKUP(Main_L[[#This Row],[Industry]], Mean_ROE_L, 2, FALSE))/(VLOOKUP(Main_L[[#This Row],[Industry]], Mean_ROE_L, 3, FALSE))</f>
        <v>1.1873327308075918</v>
      </c>
      <c r="R5" s="1">
        <f>(Main_L[[#This Row],[ROA]]-VLOOKUP(Main_L[[#This Row],[Industry]], Mean_ROA_L, 2, FALSE))/(VLOOKUP(Main_L[[#This Row],[Industry]], Mean_ROA_L, 3, FALSE))</f>
        <v>1.3194448269994627</v>
      </c>
      <c r="S5" s="1">
        <f>(Main_L[[#This Row],[A/E]]-VLOOKUP(Main_L[[#This Row],[Industry]], Mean_AE_L, 2, FALSE))/(VLOOKUP(Main_L[[#This Row],[Industry]], Mean_AE_L, 3, FALSE))</f>
        <v>-0.92438733361901293</v>
      </c>
      <c r="T5" s="1">
        <f>(Main_L[[#This Row],[P/E]]-VLOOKUP(Main_L[[#This Row],[Industry]], Mean_PE_L, 2, FALSE))/(VLOOKUP(Main_L[[#This Row],[Industry]], Mean_PE_L, 3, FALSE))</f>
        <v>-9.9183405561611482E-2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105</v>
      </c>
      <c r="B6" s="67" t="s">
        <v>114</v>
      </c>
      <c r="C6" s="2">
        <v>66663</v>
      </c>
      <c r="D6">
        <f>RTD("tos.rtd", , "LAST", Main_L[[#This Row],[Symbol]])</f>
        <v>54.07</v>
      </c>
      <c r="E6">
        <v>7.01</v>
      </c>
      <c r="F6">
        <v>49.46</v>
      </c>
      <c r="G6">
        <v>3.46</v>
      </c>
      <c r="H6" s="1">
        <f>IF(ISNUMBER(Main_L[[#This Row],[Free CF]]),IF(Main_L[[#This Row],[Free CF]]&lt;&gt;0,Main_L[[#This Row],[Current Price]]/Main_L[[#This Row],[Free CF]],""),"")</f>
        <v>7.7132667617689021</v>
      </c>
      <c r="I6" s="1">
        <f>IF(ISNUMBER(Main_L[[#This Row],[BVPS]]),IF(Main_L[[#This Row],[BVPS]]&lt;&gt;0,Main_L[[#This Row],[Current Price]]/Main_L[[#This Row],[BVPS]],""),"")</f>
        <v>1.0932066316215123</v>
      </c>
      <c r="J6">
        <v>7.91</v>
      </c>
      <c r="K6">
        <v>0.47</v>
      </c>
      <c r="L6">
        <v>16.670000000000002</v>
      </c>
      <c r="M6" s="1">
        <f>IF(ISNUMBER(Main_L[[#This Row],[EPS]]),IF(Main_L[[#This Row],[EPS]]&lt;&gt;0,Main_L[[#This Row],[Current Price]]/Main_L[[#This Row],[EPS]],""),"")</f>
        <v>15.627167630057803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0.63797409541506567</v>
      </c>
      <c r="P6" s="1">
        <f>(Main_L[[#This Row],[P/B]]-VLOOKUP(Main_L[[#This Row],[Industry]], Mean_PB_L, 2, FALSE))/(VLOOKUP(Main_L[[#This Row],[Industry]], Mean_PB_L, 3, FALSE))</f>
        <v>-0.3771348701175955</v>
      </c>
      <c r="Q6" s="1">
        <f>(Main_L[[#This Row],[ROE]]-VLOOKUP(Main_L[[#This Row],[Industry]], Mean_ROE_L, 2, FALSE))/(VLOOKUP(Main_L[[#This Row],[Industry]], Mean_ROE_L, 3, FALSE))</f>
        <v>-1.1141705729974833</v>
      </c>
      <c r="R6" s="1">
        <f>(Main_L[[#This Row],[ROA]]-VLOOKUP(Main_L[[#This Row],[Industry]], Mean_ROA_L, 2, FALSE))/(VLOOKUP(Main_L[[#This Row],[Industry]], Mean_ROA_L, 3, FALSE))</f>
        <v>-0.95331615772735945</v>
      </c>
      <c r="S6" s="1">
        <f>(Main_L[[#This Row],[A/E]]-VLOOKUP(Main_L[[#This Row],[Industry]], Mean_AE_L, 2, FALSE))/(VLOOKUP(Main_L[[#This Row],[Industry]], Mean_AE_L, 3, FALSE))</f>
        <v>0.68385323262601527</v>
      </c>
      <c r="T6" s="1">
        <f>(Main_L[[#This Row],[P/E]]-VLOOKUP(Main_L[[#This Row],[Industry]], Mean_PE_L, 2, FALSE))/(VLOOKUP(Main_L[[#This Row],[Industry]], Mean_PE_L, 3, FALSE))</f>
        <v>1.0453830304481417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105</v>
      </c>
      <c r="B7" s="67" t="s">
        <v>142</v>
      </c>
      <c r="C7" s="2">
        <v>67914</v>
      </c>
      <c r="D7">
        <f>RTD("tos.rtd", , "LAST", Main_L[[#This Row],[Symbol]])</f>
        <v>44.87</v>
      </c>
      <c r="E7">
        <v>5.1100000000000003</v>
      </c>
      <c r="F7">
        <v>34.15</v>
      </c>
      <c r="G7">
        <v>4.04</v>
      </c>
      <c r="H7" s="1">
        <f>IF(ISNUMBER(Main_L[[#This Row],[Free CF]]),IF(Main_L[[#This Row],[Free CF]]&lt;&gt;0,Main_L[[#This Row],[Current Price]]/Main_L[[#This Row],[Free CF]],""),"")</f>
        <v>8.7808219178082183</v>
      </c>
      <c r="I7" s="1">
        <f>IF(ISNUMBER(Main_L[[#This Row],[BVPS]]),IF(Main_L[[#This Row],[BVPS]]&lt;&gt;0,Main_L[[#This Row],[Current Price]]/Main_L[[#This Row],[BVPS]],""),"")</f>
        <v>1.313909224011713</v>
      </c>
      <c r="J7">
        <v>11.53</v>
      </c>
      <c r="K7">
        <v>0.99</v>
      </c>
      <c r="L7">
        <v>12.7</v>
      </c>
      <c r="M7" s="1">
        <f>IF(ISNUMBER(Main_L[[#This Row],[EPS]]),IF(Main_L[[#This Row],[EPS]]&lt;&gt;0,Main_L[[#This Row],[Current Price]]/Main_L[[#This Row],[EPS]],""),"")</f>
        <v>11.106435643564355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0.72590292626652309</v>
      </c>
      <c r="P7" s="1">
        <f>(Main_L[[#This Row],[P/B]]-VLOOKUP(Main_L[[#This Row],[Industry]], Mean_PB_L, 2, FALSE))/(VLOOKUP(Main_L[[#This Row],[Industry]], Mean_PB_L, 3, FALSE))</f>
        <v>0.10742976151376037</v>
      </c>
      <c r="Q7" s="1">
        <f>(Main_L[[#This Row],[ROE]]-VLOOKUP(Main_L[[#This Row],[Industry]], Mean_ROE_L, 2, FALSE))/(VLOOKUP(Main_L[[#This Row],[Industry]], Mean_ROE_L, 3, FALSE))</f>
        <v>-3.9145803994338792E-2</v>
      </c>
      <c r="R7" s="1">
        <f>(Main_L[[#This Row],[ROA]]-VLOOKUP(Main_L[[#This Row],[Industry]], Mean_ROA_L, 2, FALSE))/(VLOOKUP(Main_L[[#This Row],[Industry]], Mean_ROA_L, 3, FALSE))</f>
        <v>0.10189429946723645</v>
      </c>
      <c r="S7" s="1">
        <f>(Main_L[[#This Row],[A/E]]-VLOOKUP(Main_L[[#This Row],[Industry]], Mean_AE_L, 2, FALSE))/(VLOOKUP(Main_L[[#This Row],[Industry]], Mean_AE_L, 3, FALSE))</f>
        <v>-0.22049734074406457</v>
      </c>
      <c r="T7" s="1">
        <f>(Main_L[[#This Row],[P/E]]-VLOOKUP(Main_L[[#This Row],[Industry]], Mean_PE_L, 2, FALSE))/(VLOOKUP(Main_L[[#This Row],[Industry]], Mean_PE_L, 3, FALSE))</f>
        <v>-0.15289398815563504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7" t="s">
        <v>105</v>
      </c>
      <c r="B8" s="67" t="s">
        <v>120</v>
      </c>
      <c r="C8" s="2">
        <v>25492</v>
      </c>
      <c r="D8">
        <f>RTD("tos.rtd", , "LAST", Main_L[[#This Row],[Symbol]])</f>
        <v>39.58</v>
      </c>
      <c r="E8">
        <v>4.71</v>
      </c>
      <c r="F8">
        <v>27.41</v>
      </c>
      <c r="G8">
        <v>3.15</v>
      </c>
      <c r="H8" s="1">
        <f>IF(ISNUMBER(Main_L[[#This Row],[Free CF]]),IF(Main_L[[#This Row],[Free CF]]&lt;&gt;0,Main_L[[#This Row],[Current Price]]/Main_L[[#This Row],[Free CF]],""),"")</f>
        <v>8.4033970276008496</v>
      </c>
      <c r="I8" s="1">
        <f>IF(ISNUMBER(Main_L[[#This Row],[BVPS]]),IF(Main_L[[#This Row],[BVPS]]&lt;&gt;0,Main_L[[#This Row],[Current Price]]/Main_L[[#This Row],[BVPS]],""),"")</f>
        <v>1.4439985406785845</v>
      </c>
      <c r="J8">
        <v>11.72</v>
      </c>
      <c r="K8">
        <v>1.08</v>
      </c>
      <c r="L8">
        <v>11.63</v>
      </c>
      <c r="M8" s="1">
        <f>IF(ISNUMBER(Main_L[[#This Row],[EPS]]),IF(Main_L[[#This Row],[EPS]]&lt;&gt;0,Main_L[[#This Row],[Current Price]]/Main_L[[#This Row],[EPS]],""),"")</f>
        <v>12.565079365079365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0.69481644877406523</v>
      </c>
      <c r="P8" s="1">
        <f>(Main_L[[#This Row],[P/B]]-VLOOKUP(Main_L[[#This Row],[Industry]], Mean_PB_L, 2, FALSE))/(VLOOKUP(Main_L[[#This Row],[Industry]], Mean_PB_L, 3, FALSE))</f>
        <v>0.39304798251956075</v>
      </c>
      <c r="Q8" s="1">
        <f>(Main_L[[#This Row],[ROE]]-VLOOKUP(Main_L[[#This Row],[Industry]], Mean_ROE_L, 2, FALSE))/(VLOOKUP(Main_L[[#This Row],[Industry]], Mean_ROE_L, 3, FALSE))</f>
        <v>1.7278147969915048E-2</v>
      </c>
      <c r="R8" s="1">
        <f>(Main_L[[#This Row],[ROA]]-VLOOKUP(Main_L[[#This Row],[Industry]], Mean_ROA_L, 2, FALSE))/(VLOOKUP(Main_L[[#This Row],[Industry]], Mean_ROA_L, 3, FALSE))</f>
        <v>0.28452687859707049</v>
      </c>
      <c r="S8" s="1">
        <f>(Main_L[[#This Row],[A/E]]-VLOOKUP(Main_L[[#This Row],[Industry]], Mean_AE_L, 2, FALSE))/(VLOOKUP(Main_L[[#This Row],[Industry]], Mean_AE_L, 3, FALSE))</f>
        <v>-0.4642391829370075</v>
      </c>
      <c r="T8" s="1">
        <f>(Main_L[[#This Row],[P/E]]-VLOOKUP(Main_L[[#This Row],[Industry]], Mean_PE_L, 2, FALSE))/(VLOOKUP(Main_L[[#This Row],[Industry]], Mean_PE_L, 3, FALSE))</f>
        <v>0.23373792345606578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7" t="s">
        <v>105</v>
      </c>
      <c r="B9" s="67" t="s">
        <v>149</v>
      </c>
      <c r="C9" s="2">
        <v>51727</v>
      </c>
      <c r="D9">
        <f>RTD("tos.rtd", , "LAST", Main_L[[#This Row],[Symbol]])</f>
        <v>40.450000000000003</v>
      </c>
      <c r="E9">
        <v>2.67</v>
      </c>
      <c r="F9">
        <v>44.85</v>
      </c>
      <c r="G9">
        <v>-0.2</v>
      </c>
      <c r="H9" s="1">
        <f>IF(ISNUMBER(Main_L[[#This Row],[Free CF]]),IF(Main_L[[#This Row],[Free CF]]&lt;&gt;0,Main_L[[#This Row],[Current Price]]/Main_L[[#This Row],[Free CF]],""),"")</f>
        <v>15.149812734082399</v>
      </c>
      <c r="I9" s="1">
        <f>IF(ISNUMBER(Main_L[[#This Row],[BVPS]]),IF(Main_L[[#This Row],[BVPS]]&lt;&gt;0,Main_L[[#This Row],[Current Price]]/Main_L[[#This Row],[BVPS]],""),"")</f>
        <v>0.90189520624303232</v>
      </c>
      <c r="J9">
        <v>0.13</v>
      </c>
      <c r="K9">
        <v>0.02</v>
      </c>
      <c r="L9">
        <v>9.1300000000000008</v>
      </c>
      <c r="M9" s="1">
        <f>IF(ISNUMBER(Main_L[[#This Row],[EPS]]),IF(Main_L[[#This Row],[EPS]]&lt;&gt;0,Main_L[[#This Row],[Current Price]]/Main_L[[#This Row],[EPS]],""),"")</f>
        <v>-202.25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1.250482769294355</v>
      </c>
      <c r="P9" s="1">
        <f>(Main_L[[#This Row],[P/B]]-VLOOKUP(Main_L[[#This Row],[Industry]], Mean_PB_L, 2, FALSE))/(VLOOKUP(Main_L[[#This Row],[Industry]], Mean_PB_L, 3, FALSE))</f>
        <v>-0.79716958453316056</v>
      </c>
      <c r="Q9" s="1">
        <f>(Main_L[[#This Row],[ROE]]-VLOOKUP(Main_L[[#This Row],[Industry]], Mean_ROE_L, 2, FALSE))/(VLOOKUP(Main_L[[#This Row],[Industry]], Mean_ROE_L, 3, FALSE))</f>
        <v>-3.424582921849546</v>
      </c>
      <c r="R9" s="1">
        <f>(Main_L[[#This Row],[ROA]]-VLOOKUP(Main_L[[#This Row],[Industry]], Mean_ROA_L, 2, FALSE))/(VLOOKUP(Main_L[[#This Row],[Industry]], Mean_ROA_L, 3, FALSE))</f>
        <v>-1.866479053376529</v>
      </c>
      <c r="S9" s="1">
        <f>(Main_L[[#This Row],[A/E]]-VLOOKUP(Main_L[[#This Row],[Industry]], Mean_AE_L, 2, FALSE))/(VLOOKUP(Main_L[[#This Row],[Industry]], Mean_AE_L, 3, FALSE))</f>
        <v>-1.0337294684345386</v>
      </c>
      <c r="T9" s="1">
        <f>(Main_L[[#This Row],[P/E]]-VLOOKUP(Main_L[[#This Row],[Industry]], Mean_PE_L, 2, FALSE))/(VLOOKUP(Main_L[[#This Row],[Industry]], Mean_PE_L, 3, FALSE))</f>
        <v>-56.705707640177557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" spans="1:26" x14ac:dyDescent="0.25">
      <c r="A10" s="67" t="s">
        <v>105</v>
      </c>
      <c r="B10" s="67" t="s">
        <v>148</v>
      </c>
      <c r="C10" s="2">
        <v>19273</v>
      </c>
      <c r="D10">
        <f>RTD("tos.rtd", , "LAST", Main_L[[#This Row],[Symbol]])</f>
        <v>22.09</v>
      </c>
      <c r="E10">
        <v>2.34</v>
      </c>
      <c r="F10">
        <v>18.7</v>
      </c>
      <c r="G10">
        <v>2.0699999999999998</v>
      </c>
      <c r="H10" s="1">
        <f>IF(ISNUMBER(Main_L[[#This Row],[Free CF]]),IF(Main_L[[#This Row],[Free CF]]&lt;&gt;0,Main_L[[#This Row],[Current Price]]/Main_L[[#This Row],[Free CF]],""),"")</f>
        <v>9.4401709401709404</v>
      </c>
      <c r="I10" s="1">
        <f>IF(ISNUMBER(Main_L[[#This Row],[BVPS]]),IF(Main_L[[#This Row],[BVPS]]&lt;&gt;0,Main_L[[#This Row],[Current Price]]/Main_L[[#This Row],[BVPS]],""),"")</f>
        <v>1.1812834224598932</v>
      </c>
      <c r="J10">
        <v>11.31</v>
      </c>
      <c r="K10">
        <v>1.28</v>
      </c>
      <c r="L10">
        <v>9.51</v>
      </c>
      <c r="M10" s="1">
        <f>IF(ISNUMBER(Main_L[[#This Row],[EPS]]),IF(Main_L[[#This Row],[EPS]]&lt;&gt;0,Main_L[[#This Row],[Current Price]]/Main_L[[#This Row],[EPS]],""),"")</f>
        <v>10.671497584541063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0.78020999258663581</v>
      </c>
      <c r="P10" s="1">
        <f>(Main_L[[#This Row],[P/B]]-VLOOKUP(Main_L[[#This Row],[Industry]], Mean_PB_L, 2, FALSE))/(VLOOKUP(Main_L[[#This Row],[Industry]], Mean_PB_L, 3, FALSE))</f>
        <v>-0.18375745100501892</v>
      </c>
      <c r="Q10" s="1">
        <f>(Main_L[[#This Row],[ROE]]-VLOOKUP(Main_L[[#This Row],[Industry]], Mean_ROE_L, 2, FALSE))/(VLOOKUP(Main_L[[#This Row],[Industry]], Mean_ROE_L, 3, FALSE))</f>
        <v>-0.10447880100557931</v>
      </c>
      <c r="R10" s="1">
        <f>(Main_L[[#This Row],[ROA]]-VLOOKUP(Main_L[[#This Row],[Industry]], Mean_ROA_L, 2, FALSE))/(VLOOKUP(Main_L[[#This Row],[Industry]], Mean_ROA_L, 3, FALSE))</f>
        <v>0.69037705444114572</v>
      </c>
      <c r="S10" s="1">
        <f>(Main_L[[#This Row],[A/E]]-VLOOKUP(Main_L[[#This Row],[Industry]], Mean_AE_L, 2, FALSE))/(VLOOKUP(Main_L[[#This Row],[Industry]], Mean_AE_L, 3, FALSE))</f>
        <v>-0.94716694503891408</v>
      </c>
      <c r="T10" s="1">
        <f>(Main_L[[#This Row],[P/E]]-VLOOKUP(Main_L[[#This Row],[Industry]], Mean_PE_L, 2, FALSE))/(VLOOKUP(Main_L[[#This Row],[Industry]], Mean_PE_L, 3, FALSE))</f>
        <v>-0.26817980518722584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7" t="s">
        <v>105</v>
      </c>
      <c r="B11" s="67" t="s">
        <v>144</v>
      </c>
      <c r="C11" s="2">
        <v>17498</v>
      </c>
      <c r="D11">
        <f>RTD("tos.rtd", , "LAST", Main_L[[#This Row],[Symbol]])</f>
        <v>41.35</v>
      </c>
      <c r="E11">
        <v>2.1800000000000002</v>
      </c>
      <c r="F11">
        <v>51.99</v>
      </c>
      <c r="G11">
        <v>3.15</v>
      </c>
      <c r="H11" s="1">
        <f>IF(ISNUMBER(Main_L[[#This Row],[Free CF]]),IF(Main_L[[#This Row],[Free CF]]&lt;&gt;0,Main_L[[#This Row],[Current Price]]/Main_L[[#This Row],[Free CF]],""),"")</f>
        <v>18.967889908256879</v>
      </c>
      <c r="I11" s="1">
        <f>IF(ISNUMBER(Main_L[[#This Row],[BVPS]]),IF(Main_L[[#This Row],[BVPS]]&lt;&gt;0,Main_L[[#This Row],[Current Price]]/Main_L[[#This Row],[BVPS]],""),"")</f>
        <v>0.79534525870359685</v>
      </c>
      <c r="J11">
        <v>6.37</v>
      </c>
      <c r="K11">
        <v>0.7</v>
      </c>
      <c r="L11">
        <v>9.68</v>
      </c>
      <c r="M11" s="1">
        <f>IF(ISNUMBER(Main_L[[#This Row],[EPS]]),IF(Main_L[[#This Row],[EPS]]&lt;&gt;0,Main_L[[#This Row],[Current Price]]/Main_L[[#This Row],[EPS]],""),"")</f>
        <v>13.126984126984128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1.5649574454987514</v>
      </c>
      <c r="P11" s="1">
        <f>(Main_L[[#This Row],[P/B]]-VLOOKUP(Main_L[[#This Row],[Industry]], Mean_PB_L, 2, FALSE))/(VLOOKUP(Main_L[[#This Row],[Industry]], Mean_PB_L, 3, FALSE))</f>
        <v>-1.0311058311382968</v>
      </c>
      <c r="Q11" s="1">
        <f>(Main_L[[#This Row],[ROE]]-VLOOKUP(Main_L[[#This Row],[Industry]], Mean_ROE_L, 2, FALSE))/(VLOOKUP(Main_L[[#This Row],[Industry]], Mean_ROE_L, 3, FALSE))</f>
        <v>-1.5715015520761695</v>
      </c>
      <c r="R11" s="1">
        <f>(Main_L[[#This Row],[ROA]]-VLOOKUP(Main_L[[#This Row],[Industry]], Mean_ROA_L, 2, FALSE))/(VLOOKUP(Main_L[[#This Row],[Industry]], Mean_ROA_L, 3, FALSE))</f>
        <v>-0.4865884555066729</v>
      </c>
      <c r="S11" s="1">
        <f>(Main_L[[#This Row],[A/E]]-VLOOKUP(Main_L[[#This Row],[Industry]], Mean_AE_L, 2, FALSE))/(VLOOKUP(Main_L[[#This Row],[Industry]], Mean_AE_L, 3, FALSE))</f>
        <v>-0.90844160562508203</v>
      </c>
      <c r="T11" s="1">
        <f>(Main_L[[#This Row],[P/E]]-VLOOKUP(Main_L[[#This Row],[Industry]], Mean_PE_L, 2, FALSE))/(VLOOKUP(Main_L[[#This Row],[Industry]], Mean_PE_L, 3, FALSE))</f>
        <v>0.38267786611273513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105</v>
      </c>
      <c r="B12" s="67" t="s">
        <v>284</v>
      </c>
      <c r="C12" s="2">
        <v>10084</v>
      </c>
      <c r="D12">
        <f>RTD("tos.rtd", , "LAST", Main_L[[#This Row],[Symbol]])</f>
        <v>20.260000000000002</v>
      </c>
      <c r="E12">
        <v>1.33</v>
      </c>
      <c r="F12">
        <v>16.41</v>
      </c>
      <c r="G12">
        <v>1.44</v>
      </c>
      <c r="H12" s="1">
        <f>IF(ISNUMBER(Main_L[[#This Row],[Free CF]]),IF(Main_L[[#This Row],[Free CF]]&lt;&gt;0,Main_L[[#This Row],[Current Price]]/Main_L[[#This Row],[Free CF]],""),"")</f>
        <v>15.233082706766918</v>
      </c>
      <c r="I12" s="1">
        <f>IF(ISNUMBER(Main_L[[#This Row],[BVPS]]),IF(Main_L[[#This Row],[BVPS]]&lt;&gt;0,Main_L[[#This Row],[Current Price]]/Main_L[[#This Row],[BVPS]],""),"")</f>
        <v>1.234613040828763</v>
      </c>
      <c r="J12">
        <v>8.99</v>
      </c>
      <c r="K12">
        <v>1</v>
      </c>
      <c r="L12">
        <v>9.7899999999999991</v>
      </c>
      <c r="M12" s="1">
        <f>IF(ISNUMBER(Main_L[[#This Row],[EPS]]),IF(Main_L[[#This Row],[EPS]]&lt;&gt;0,Main_L[[#This Row],[Current Price]]/Main_L[[#This Row],[EPS]],""),"")</f>
        <v>14.069444444444446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1.2573412733273897</v>
      </c>
      <c r="P12" s="1">
        <f>(Main_L[[#This Row],[P/B]]-VLOOKUP(Main_L[[#This Row],[Industry]], Mean_PB_L, 2, FALSE))/(VLOOKUP(Main_L[[#This Row],[Industry]], Mean_PB_L, 3, FALSE))</f>
        <v>-6.6669352491593392E-2</v>
      </c>
      <c r="Q12" s="1">
        <f>(Main_L[[#This Row],[ROE]]-VLOOKUP(Main_L[[#This Row],[Industry]], Mean_ROE_L, 2, FALSE))/(VLOOKUP(Main_L[[#This Row],[Industry]], Mean_ROE_L, 3, FALSE))</f>
        <v>-0.7934449513059374</v>
      </c>
      <c r="R12" s="1">
        <f>(Main_L[[#This Row],[ROA]]-VLOOKUP(Main_L[[#This Row],[Industry]], Mean_ROA_L, 2, FALSE))/(VLOOKUP(Main_L[[#This Row],[Industry]], Mean_ROA_L, 3, FALSE))</f>
        <v>0.12218680825944023</v>
      </c>
      <c r="S12" s="1">
        <f>(Main_L[[#This Row],[A/E]]-VLOOKUP(Main_L[[#This Row],[Industry]], Mean_AE_L, 2, FALSE))/(VLOOKUP(Main_L[[#This Row],[Industry]], Mean_AE_L, 3, FALSE))</f>
        <v>-0.8833840330631908</v>
      </c>
      <c r="T12" s="1">
        <f>(Main_L[[#This Row],[P/E]]-VLOOKUP(Main_L[[#This Row],[Industry]], Mean_PE_L, 2, FALSE))/(VLOOKUP(Main_L[[#This Row],[Industry]], Mean_PE_L, 3, FALSE))</f>
        <v>0.63248885750368777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7" t="s">
        <v>105</v>
      </c>
      <c r="B13" s="67" t="s">
        <v>146</v>
      </c>
      <c r="C13" s="2">
        <v>22770</v>
      </c>
      <c r="D13">
        <f>RTD("tos.rtd", , "LAST", Main_L[[#This Row],[Symbol]])</f>
        <v>16.23</v>
      </c>
      <c r="E13">
        <v>1.06</v>
      </c>
      <c r="F13">
        <v>12.66</v>
      </c>
      <c r="G13">
        <v>1.3</v>
      </c>
      <c r="H13" s="1">
        <f>IF(ISNUMBER(Main_L[[#This Row],[Free CF]]),IF(Main_L[[#This Row],[Free CF]]&lt;&gt;0,Main_L[[#This Row],[Current Price]]/Main_L[[#This Row],[Free CF]],""),"")</f>
        <v>15.311320754716981</v>
      </c>
      <c r="I13" s="1">
        <f>IF(ISNUMBER(Main_L[[#This Row],[BVPS]]),IF(Main_L[[#This Row],[BVPS]]&lt;&gt;0,Main_L[[#This Row],[Current Price]]/Main_L[[#This Row],[BVPS]],""),"")</f>
        <v>1.2819905213270142</v>
      </c>
      <c r="J13">
        <v>10.37</v>
      </c>
      <c r="K13">
        <v>1.03</v>
      </c>
      <c r="L13">
        <v>11.36</v>
      </c>
      <c r="M13" s="1">
        <f>IF(ISNUMBER(Main_L[[#This Row],[EPS]]),IF(Main_L[[#This Row],[EPS]]&lt;&gt;0,Main_L[[#This Row],[Current Price]]/Main_L[[#This Row],[EPS]],""),"")</f>
        <v>12.484615384615385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1.2637853245273971</v>
      </c>
      <c r="P13" s="1">
        <f>(Main_L[[#This Row],[P/B]]-VLOOKUP(Main_L[[#This Row],[Industry]], Mean_PB_L, 2, FALSE))/(VLOOKUP(Main_L[[#This Row],[Industry]], Mean_PB_L, 3, FALSE))</f>
        <v>3.7350501270106973E-2</v>
      </c>
      <c r="Q13" s="1">
        <f>(Main_L[[#This Row],[ROE]]-VLOOKUP(Main_L[[#This Row],[Industry]], Mean_ROE_L, 2, FALSE))/(VLOOKUP(Main_L[[#This Row],[Industry]], Mean_ROE_L, 3, FALSE))</f>
        <v>-0.38362887914451788</v>
      </c>
      <c r="R13" s="1">
        <f>(Main_L[[#This Row],[ROA]]-VLOOKUP(Main_L[[#This Row],[Industry]], Mean_ROA_L, 2, FALSE))/(VLOOKUP(Main_L[[#This Row],[Industry]], Mean_ROA_L, 3, FALSE))</f>
        <v>0.1830643346360516</v>
      </c>
      <c r="S13" s="1">
        <f>(Main_L[[#This Row],[A/E]]-VLOOKUP(Main_L[[#This Row],[Industry]], Mean_AE_L, 2, FALSE))/(VLOOKUP(Main_L[[#This Row],[Industry]], Mean_AE_L, 3, FALSE))</f>
        <v>-0.52574413377074114</v>
      </c>
      <c r="T13" s="1">
        <f>(Main_L[[#This Row],[P/E]]-VLOOKUP(Main_L[[#This Row],[Industry]], Mean_PE_L, 2, FALSE))/(VLOOKUP(Main_L[[#This Row],[Industry]], Mean_PE_L, 3, FALSE))</f>
        <v>0.21240993079836382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105</v>
      </c>
      <c r="B14" s="67" t="s">
        <v>143</v>
      </c>
      <c r="C14" s="2">
        <v>243348</v>
      </c>
      <c r="D14">
        <f>RTD("tos.rtd", , "LAST", Main_L[[#This Row],[Symbol]])</f>
        <v>76.459999999999994</v>
      </c>
      <c r="E14">
        <v>0.89</v>
      </c>
      <c r="F14">
        <v>49.82</v>
      </c>
      <c r="G14">
        <v>5.57</v>
      </c>
      <c r="H14" s="1">
        <f>IF(ISNUMBER(Main_L[[#This Row],[Free CF]]),IF(Main_L[[#This Row],[Free CF]]&lt;&gt;0,Main_L[[#This Row],[Current Price]]/Main_L[[#This Row],[Free CF]],""),"")</f>
        <v>85.910112359550553</v>
      </c>
      <c r="I14" s="1">
        <f>IF(ISNUMBER(Main_L[[#This Row],[BVPS]]),IF(Main_L[[#This Row],[BVPS]]&lt;&gt;0,Main_L[[#This Row],[Current Price]]/Main_L[[#This Row],[BVPS]],""),"")</f>
        <v>1.53472501003613</v>
      </c>
      <c r="J14">
        <v>11.02</v>
      </c>
      <c r="K14">
        <v>1.03</v>
      </c>
      <c r="L14">
        <v>12</v>
      </c>
      <c r="M14" s="1">
        <f>IF(ISNUMBER(Main_L[[#This Row],[EPS]]),IF(Main_L[[#This Row],[EPS]]&lt;&gt;0,Main_L[[#This Row],[Current Price]]/Main_L[[#This Row],[EPS]],""),"")</f>
        <v>13.727109515260322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7.0786316771687545</v>
      </c>
      <c r="P14" s="1">
        <f>(Main_L[[#This Row],[P/B]]-VLOOKUP(Main_L[[#This Row],[Industry]], Mean_PB_L, 2, FALSE))/(VLOOKUP(Main_L[[#This Row],[Industry]], Mean_PB_L, 3, FALSE))</f>
        <v>0.59224291596976042</v>
      </c>
      <c r="Q14" s="1">
        <f>(Main_L[[#This Row],[ROE]]-VLOOKUP(Main_L[[#This Row],[Industry]], Mean_ROE_L, 2, FALSE))/(VLOOKUP(Main_L[[#This Row],[Industry]], Mean_ROE_L, 3, FALSE))</f>
        <v>-0.19059956979312434</v>
      </c>
      <c r="R14" s="1">
        <f>(Main_L[[#This Row],[ROA]]-VLOOKUP(Main_L[[#This Row],[Industry]], Mean_ROA_L, 2, FALSE))/(VLOOKUP(Main_L[[#This Row],[Industry]], Mean_ROA_L, 3, FALSE))</f>
        <v>0.1830643346360516</v>
      </c>
      <c r="S14" s="1">
        <f>(Main_L[[#This Row],[A/E]]-VLOOKUP(Main_L[[#This Row],[Industry]], Mean_AE_L, 2, FALSE))/(VLOOKUP(Main_L[[#This Row],[Industry]], Mean_AE_L, 3, FALSE))</f>
        <v>-0.3799546206833731</v>
      </c>
      <c r="T14" s="1">
        <f>(Main_L[[#This Row],[P/E]]-VLOOKUP(Main_L[[#This Row],[Industry]], Mean_PE_L, 2, FALSE))/(VLOOKUP(Main_L[[#This Row],[Industry]], Mean_PE_L, 3, FALSE))</f>
        <v>0.54174866774409247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7" t="s">
        <v>105</v>
      </c>
      <c r="B15" s="67" t="s">
        <v>122</v>
      </c>
      <c r="C15" s="2">
        <v>208218</v>
      </c>
      <c r="D15">
        <f>RTD("tos.rtd", , "LAST", Main_L[[#This Row],[Symbol]])</f>
        <v>60.3</v>
      </c>
      <c r="E15">
        <v>0.88</v>
      </c>
      <c r="F15">
        <v>9.74</v>
      </c>
      <c r="G15">
        <v>1.08</v>
      </c>
      <c r="H15" s="1">
        <f>IF(ISNUMBER(Main_L[[#This Row],[Free CF]]),IF(Main_L[[#This Row],[Free CF]]&lt;&gt;0,Main_L[[#This Row],[Current Price]]/Main_L[[#This Row],[Free CF]],""),"")</f>
        <v>68.522727272727266</v>
      </c>
      <c r="I15" s="1">
        <f>IF(ISNUMBER(Main_L[[#This Row],[BVPS]]),IF(Main_L[[#This Row],[BVPS]]&lt;&gt;0,Main_L[[#This Row],[Current Price]]/Main_L[[#This Row],[BVPS]],""),"")</f>
        <v>6.1909650924024637</v>
      </c>
      <c r="J15">
        <v>10.96</v>
      </c>
      <c r="K15">
        <v>0.72</v>
      </c>
      <c r="L15">
        <v>16.010000000000002</v>
      </c>
      <c r="M15" s="1">
        <f>IF(ISNUMBER(Main_L[[#This Row],[EPS]]),IF(Main_L[[#This Row],[EPS]]&lt;&gt;0,Main_L[[#This Row],[Current Price]]/Main_L[[#This Row],[EPS]],""),"")</f>
        <v>55.833333333333329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5.6465253980697376</v>
      </c>
      <c r="P15" s="1">
        <f>(Main_L[[#This Row],[P/B]]-VLOOKUP(Main_L[[#This Row],[Industry]], Mean_PB_L, 2, FALSE))/(VLOOKUP(Main_L[[#This Row],[Industry]], Mean_PB_L, 3, FALSE))</f>
        <v>10.815273084595798</v>
      </c>
      <c r="Q15" s="1">
        <f>(Main_L[[#This Row],[ROE]]-VLOOKUP(Main_L[[#This Row],[Industry]], Mean_ROE_L, 2, FALSE))/(VLOOKUP(Main_L[[#This Row],[Industry]], Mean_ROE_L, 3, FALSE))</f>
        <v>-0.20841765988709873</v>
      </c>
      <c r="R15" s="1">
        <f>(Main_L[[#This Row],[ROA]]-VLOOKUP(Main_L[[#This Row],[Industry]], Mean_ROA_L, 2, FALSE))/(VLOOKUP(Main_L[[#This Row],[Industry]], Mean_ROA_L, 3, FALSE))</f>
        <v>-0.44600343792226532</v>
      </c>
      <c r="S15" s="1">
        <f>(Main_L[[#This Row],[A/E]]-VLOOKUP(Main_L[[#This Row],[Industry]], Mean_AE_L, 2, FALSE))/(VLOOKUP(Main_L[[#This Row],[Industry]], Mean_AE_L, 3, FALSE))</f>
        <v>0.53350779725466713</v>
      </c>
      <c r="T15" s="1">
        <f>(Main_L[[#This Row],[P/E]]-VLOOKUP(Main_L[[#This Row],[Industry]], Mean_PE_L, 2, FALSE))/(VLOOKUP(Main_L[[#This Row],[Industry]], Mean_PE_L, 3, FALSE))</f>
        <v>11.702534242320862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6" spans="1:26" x14ac:dyDescent="0.25">
      <c r="A16" s="67" t="s">
        <v>105</v>
      </c>
      <c r="B16" s="67" t="s">
        <v>116</v>
      </c>
      <c r="C16" s="2">
        <v>38849</v>
      </c>
      <c r="D16">
        <f>RTD("tos.rtd", , "LAST", Main_L[[#This Row],[Symbol]])</f>
        <v>5.16</v>
      </c>
      <c r="E16">
        <v>0.74</v>
      </c>
      <c r="F16">
        <v>2.84</v>
      </c>
      <c r="G16">
        <v>0.31</v>
      </c>
      <c r="H16" s="1">
        <f>IF(ISNUMBER(Main_L[[#This Row],[Free CF]]),IF(Main_L[[#This Row],[Free CF]]&lt;&gt;0,Main_L[[#This Row],[Current Price]]/Main_L[[#This Row],[Free CF]],""),"")</f>
        <v>6.9729729729729728</v>
      </c>
      <c r="I16" s="1">
        <f>IF(ISNUMBER(Main_L[[#This Row],[BVPS]]),IF(Main_L[[#This Row],[BVPS]]&lt;&gt;0,Main_L[[#This Row],[Current Price]]/Main_L[[#This Row],[BVPS]],""),"")</f>
        <v>1.8169014084507045</v>
      </c>
      <c r="J16">
        <v>11.36</v>
      </c>
      <c r="K16">
        <v>1.1299999999999999</v>
      </c>
      <c r="L16">
        <v>10.36</v>
      </c>
      <c r="M16" s="1">
        <f>IF(ISNUMBER(Main_L[[#This Row],[EPS]]),IF(Main_L[[#This Row],[EPS]]&lt;&gt;0,Main_L[[#This Row],[Current Price]]/Main_L[[#This Row],[EPS]],""),"")</f>
        <v>16.64516129032258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0.57700003991340842</v>
      </c>
      <c r="P16" s="1">
        <f>(Main_L[[#This Row],[P/B]]-VLOOKUP(Main_L[[#This Row],[Industry]], Mean_PB_L, 2, FALSE))/(VLOOKUP(Main_L[[#This Row],[Industry]], Mean_PB_L, 3, FALSE))</f>
        <v>1.2117766562489798</v>
      </c>
      <c r="Q16" s="1">
        <f>(Main_L[[#This Row],[ROE]]-VLOOKUP(Main_L[[#This Row],[Industry]], Mean_ROE_L, 2, FALSE))/(VLOOKUP(Main_L[[#This Row],[Industry]], Mean_ROE_L, 3, FALSE))</f>
        <v>-8.9630392593933975E-2</v>
      </c>
      <c r="R16" s="1">
        <f>(Main_L[[#This Row],[ROA]]-VLOOKUP(Main_L[[#This Row],[Industry]], Mean_ROA_L, 2, FALSE))/(VLOOKUP(Main_L[[#This Row],[Industry]], Mean_ROA_L, 3, FALSE))</f>
        <v>0.38598942255808899</v>
      </c>
      <c r="S16" s="1">
        <f>(Main_L[[#This Row],[A/E]]-VLOOKUP(Main_L[[#This Row],[Industry]], Mean_AE_L, 2, FALSE))/(VLOOKUP(Main_L[[#This Row],[Industry]], Mean_AE_L, 3, FALSE))</f>
        <v>-0.75354024796975361</v>
      </c>
      <c r="T16" s="1">
        <f>(Main_L[[#This Row],[P/E]]-VLOOKUP(Main_L[[#This Row],[Industry]], Mean_PE_L, 2, FALSE))/(VLOOKUP(Main_L[[#This Row],[Industry]], Mean_PE_L, 3, FALSE))</f>
        <v>1.3152150868107226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7" t="s">
        <v>105</v>
      </c>
      <c r="B17" s="67" t="s">
        <v>106</v>
      </c>
      <c r="C17" s="2">
        <v>332382</v>
      </c>
      <c r="D17">
        <f>RTD("tos.rtd", , "LAST", Main_L[[#This Row],[Symbol]])</f>
        <v>44.87</v>
      </c>
      <c r="E17">
        <v>0.57999999999999996</v>
      </c>
      <c r="F17">
        <v>36.39</v>
      </c>
      <c r="G17">
        <v>3.35</v>
      </c>
      <c r="H17" s="1">
        <f>IF(ISNUMBER(Main_L[[#This Row],[Free CF]]),IF(Main_L[[#This Row],[Free CF]]&lt;&gt;0,Main_L[[#This Row],[Current Price]]/Main_L[[#This Row],[Free CF]],""),"")</f>
        <v>77.362068965517238</v>
      </c>
      <c r="I17" s="1">
        <f>IF(ISNUMBER(Main_L[[#This Row],[BVPS]]),IF(Main_L[[#This Row],[BVPS]]&lt;&gt;0,Main_L[[#This Row],[Current Price]]/Main_L[[#This Row],[BVPS]],""),"")</f>
        <v>1.2330310524869468</v>
      </c>
      <c r="J17">
        <v>9.4600000000000009</v>
      </c>
      <c r="K17">
        <v>0.84</v>
      </c>
      <c r="L17">
        <v>12.18</v>
      </c>
      <c r="M17" s="1">
        <f>IF(ISNUMBER(Main_L[[#This Row],[EPS]]),IF(Main_L[[#This Row],[EPS]]&lt;&gt;0,Main_L[[#This Row],[Current Price]]/Main_L[[#This Row],[EPS]],""),"")</f>
        <v>13.394029850746268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6.3745748821143247</v>
      </c>
      <c r="P17" s="1">
        <f>(Main_L[[#This Row],[P/B]]-VLOOKUP(Main_L[[#This Row],[Industry]], Mean_PB_L, 2, FALSE))/(VLOOKUP(Main_L[[#This Row],[Industry]], Mean_PB_L, 3, FALSE))</f>
        <v>-7.0142694557018603E-2</v>
      </c>
      <c r="Q17" s="1">
        <f>(Main_L[[#This Row],[ROE]]-VLOOKUP(Main_L[[#This Row],[Industry]], Mean_ROE_L, 2, FALSE))/(VLOOKUP(Main_L[[#This Row],[Industry]], Mean_ROE_L, 3, FALSE))</f>
        <v>-0.65386991223646818</v>
      </c>
      <c r="R17" s="1">
        <f>(Main_L[[#This Row],[ROA]]-VLOOKUP(Main_L[[#This Row],[Industry]], Mean_ROA_L, 2, FALSE))/(VLOOKUP(Main_L[[#This Row],[Industry]], Mean_ROA_L, 3, FALSE))</f>
        <v>-0.2024933324158201</v>
      </c>
      <c r="S17" s="1">
        <f>(Main_L[[#This Row],[A/E]]-VLOOKUP(Main_L[[#This Row],[Industry]], Mean_AE_L, 2, FALSE))/(VLOOKUP(Main_L[[#This Row],[Industry]], Mean_AE_L, 3, FALSE))</f>
        <v>-0.33895132012755091</v>
      </c>
      <c r="T17" s="1">
        <f>(Main_L[[#This Row],[P/E]]-VLOOKUP(Main_L[[#This Row],[Industry]], Mean_PE_L, 2, FALSE))/(VLOOKUP(Main_L[[#This Row],[Industry]], Mean_PE_L, 3, FALSE))</f>
        <v>0.45346170259245339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105</v>
      </c>
      <c r="B18" s="67" t="s">
        <v>710</v>
      </c>
      <c r="C18" s="2">
        <v>11810</v>
      </c>
      <c r="D18">
        <f>RTD("tos.rtd", , "LAST", Main_L[[#This Row],[Symbol]])</f>
        <v>13.9</v>
      </c>
      <c r="E18">
        <v>0.46</v>
      </c>
      <c r="F18">
        <v>10.43</v>
      </c>
      <c r="G18">
        <v>1.31</v>
      </c>
      <c r="H18" s="1">
        <f>IF(ISNUMBER(Main_L[[#This Row],[Free CF]]),IF(Main_L[[#This Row],[Free CF]]&lt;&gt;0,Main_L[[#This Row],[Current Price]]/Main_L[[#This Row],[Free CF]],""),"")</f>
        <v>30.217391304347824</v>
      </c>
      <c r="I18" s="1">
        <f>IF(ISNUMBER(Main_L[[#This Row],[BVPS]]),IF(Main_L[[#This Row],[BVPS]]&lt;&gt;0,Main_L[[#This Row],[Current Price]]/Main_L[[#This Row],[BVPS]],""),"")</f>
        <v>1.3326941514860979</v>
      </c>
      <c r="J18">
        <v>13.14</v>
      </c>
      <c r="K18">
        <v>1.49</v>
      </c>
      <c r="L18">
        <v>8.57</v>
      </c>
      <c r="M18" s="1">
        <f>IF(ISNUMBER(Main_L[[#This Row],[EPS]]),IF(Main_L[[#This Row],[EPS]]&lt;&gt;0,Main_L[[#This Row],[Current Price]]/Main_L[[#This Row],[EPS]],""),"")</f>
        <v>10.610687022900763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2.4915189442881256</v>
      </c>
      <c r="P18" s="1">
        <f>(Main_L[[#This Row],[P/B]]-VLOOKUP(Main_L[[#This Row],[Industry]], Mean_PB_L, 2, FALSE))/(VLOOKUP(Main_L[[#This Row],[Industry]], Mean_PB_L, 3, FALSE))</f>
        <v>0.14867309881790003</v>
      </c>
      <c r="Q18" s="1">
        <f>(Main_L[[#This Row],[ROE]]-VLOOKUP(Main_L[[#This Row],[Industry]], Mean_ROE_L, 2, FALSE))/(VLOOKUP(Main_L[[#This Row],[Industry]], Mean_ROE_L, 3, FALSE))</f>
        <v>0.43897294686065141</v>
      </c>
      <c r="R18" s="1">
        <f>(Main_L[[#This Row],[ROA]]-VLOOKUP(Main_L[[#This Row],[Industry]], Mean_ROA_L, 2, FALSE))/(VLOOKUP(Main_L[[#This Row],[Industry]], Mean_ROA_L, 3, FALSE))</f>
        <v>1.1165197390774249</v>
      </c>
      <c r="S18" s="1">
        <f>(Main_L[[#This Row],[A/E]]-VLOOKUP(Main_L[[#This Row],[Industry]], Mean_AE_L, 2, FALSE))/(VLOOKUP(Main_L[[#This Row],[Industry]], Mean_AE_L, 3, FALSE))</f>
        <v>-1.1612952923859856</v>
      </c>
      <c r="T18" s="1">
        <f>(Main_L[[#This Row],[P/E]]-VLOOKUP(Main_L[[#This Row],[Industry]], Mean_PE_L, 2, FALSE))/(VLOOKUP(Main_L[[#This Row],[Industry]], Mean_PE_L, 3, FALSE))</f>
        <v>-0.2842984113597809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105</v>
      </c>
      <c r="B19" s="67" t="s">
        <v>107</v>
      </c>
      <c r="C19" s="2">
        <v>16811</v>
      </c>
      <c r="D19">
        <f>RTD("tos.rtd", , "LAST", Main_L[[#This Row],[Symbol]])</f>
        <v>213.4</v>
      </c>
      <c r="E19">
        <v>0.13</v>
      </c>
      <c r="F19">
        <v>122.95</v>
      </c>
      <c r="G19">
        <v>19.72</v>
      </c>
      <c r="H19" s="1">
        <f>IF(ISNUMBER(Main_L[[#This Row],[Free CF]]),IF(Main_L[[#This Row],[Free CF]]&lt;&gt;0,Main_L[[#This Row],[Current Price]]/Main_L[[#This Row],[Free CF]],""),"")</f>
        <v>1641.5384615384614</v>
      </c>
      <c r="I19" s="1">
        <f>IF(ISNUMBER(Main_L[[#This Row],[BVPS]]),IF(Main_L[[#This Row],[BVPS]]&lt;&gt;0,Main_L[[#This Row],[Current Price]]/Main_L[[#This Row],[BVPS]],""),"")</f>
        <v>1.7356649044326962</v>
      </c>
      <c r="J19">
        <v>16.64</v>
      </c>
      <c r="K19">
        <v>2.38</v>
      </c>
      <c r="L19">
        <v>7.09</v>
      </c>
      <c r="M19" s="1">
        <f>IF(ISNUMBER(Main_L[[#This Row],[EPS]]),IF(Main_L[[#This Row],[EPS]]&lt;&gt;0,Main_L[[#This Row],[Current Price]]/Main_L[[#This Row],[EPS]],""),"")</f>
        <v>10.821501014198784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135.20745125981392</v>
      </c>
      <c r="P19" s="1">
        <f>(Main_L[[#This Row],[P/B]]-VLOOKUP(Main_L[[#This Row],[Industry]], Mean_PB_L, 2, FALSE))/(VLOOKUP(Main_L[[#This Row],[Industry]], Mean_PB_L, 3, FALSE))</f>
        <v>1.0334174615599139</v>
      </c>
      <c r="Q19" s="1">
        <f>(Main_L[[#This Row],[ROE]]-VLOOKUP(Main_L[[#This Row],[Industry]], Mean_ROE_L, 2, FALSE))/(VLOOKUP(Main_L[[#This Row],[Industry]], Mean_ROE_L, 3, FALSE))</f>
        <v>1.4783615356758468</v>
      </c>
      <c r="R19" s="1">
        <f>(Main_L[[#This Row],[ROA]]-VLOOKUP(Main_L[[#This Row],[Industry]], Mean_ROA_L, 2, FALSE))/(VLOOKUP(Main_L[[#This Row],[Industry]], Mean_ROA_L, 3, FALSE))</f>
        <v>2.92255302158356</v>
      </c>
      <c r="S19" s="1">
        <f>(Main_L[[#This Row],[A/E]]-VLOOKUP(Main_L[[#This Row],[Industry]], Mean_AE_L, 2, FALSE))/(VLOOKUP(Main_L[[#This Row],[Industry]], Mean_AE_L, 3, FALSE))</f>
        <v>-1.4984335414005241</v>
      </c>
      <c r="T19" s="1">
        <f>(Main_L[[#This Row],[P/E]]-VLOOKUP(Main_L[[#This Row],[Industry]], Mean_PE_L, 2, FALSE))/(VLOOKUP(Main_L[[#This Row],[Industry]], Mean_PE_L, 3, FALSE))</f>
        <v>-0.22841950464129221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105</v>
      </c>
      <c r="B20" s="67" t="s">
        <v>111</v>
      </c>
      <c r="C20" s="2">
        <v>15259</v>
      </c>
      <c r="D20">
        <f>RTD("tos.rtd", , "LAST", Main_L[[#This Row],[Symbol]])</f>
        <v>30.19</v>
      </c>
      <c r="E20">
        <v>0.01</v>
      </c>
      <c r="F20">
        <v>0.06</v>
      </c>
      <c r="G20">
        <v>0.01</v>
      </c>
      <c r="H20" s="1">
        <f>IF(ISNUMBER(Main_L[[#This Row],[Free CF]]),IF(Main_L[[#This Row],[Free CF]]&lt;&gt;0,Main_L[[#This Row],[Current Price]]/Main_L[[#This Row],[Free CF]],""),"")</f>
        <v>3019</v>
      </c>
      <c r="I20" s="1">
        <f>IF(ISNUMBER(Main_L[[#This Row],[BVPS]]),IF(Main_L[[#This Row],[BVPS]]&lt;&gt;0,Main_L[[#This Row],[Current Price]]/Main_L[[#This Row],[BVPS]],""),"")</f>
        <v>503.16666666666669</v>
      </c>
      <c r="J20">
        <v>23.44</v>
      </c>
      <c r="K20">
        <v>2.2400000000000002</v>
      </c>
      <c r="L20">
        <v>9.9700000000000006</v>
      </c>
      <c r="M20" s="1">
        <f>IF(ISNUMBER(Main_L[[#This Row],[EPS]]),IF(Main_L[[#This Row],[EPS]]&lt;&gt;0,Main_L[[#This Row],[Current Price]]/Main_L[[#This Row],[EPS]],""),"")</f>
        <v>3019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248.6616198192435</v>
      </c>
      <c r="P20" s="1">
        <f>(Main_L[[#This Row],[P/B]]-VLOOKUP(Main_L[[#This Row],[Industry]], Mean_PB_L, 2, FALSE))/(VLOOKUP(Main_L[[#This Row],[Industry]], Mean_PB_L, 3, FALSE))</f>
        <v>1101.9526501087203</v>
      </c>
      <c r="Q20" s="1">
        <f>(Main_L[[#This Row],[ROE]]-VLOOKUP(Main_L[[#This Row],[Industry]], Mean_ROE_L, 2, FALSE))/(VLOOKUP(Main_L[[#This Row],[Industry]], Mean_ROE_L, 3, FALSE))</f>
        <v>3.497745079659655</v>
      </c>
      <c r="R20" s="1">
        <f>(Main_L[[#This Row],[ROA]]-VLOOKUP(Main_L[[#This Row],[Industry]], Mean_ROA_L, 2, FALSE))/(VLOOKUP(Main_L[[#This Row],[Industry]], Mean_ROA_L, 3, FALSE))</f>
        <v>2.6384578984927081</v>
      </c>
      <c r="S20" s="1">
        <f>(Main_L[[#This Row],[A/E]]-VLOOKUP(Main_L[[#This Row],[Industry]], Mean_AE_L, 2, FALSE))/(VLOOKUP(Main_L[[#This Row],[Industry]], Mean_AE_L, 3, FALSE))</f>
        <v>-0.84238073250736822</v>
      </c>
      <c r="T20" s="1">
        <f>(Main_L[[#This Row],[P/E]]-VLOOKUP(Main_L[[#This Row],[Industry]], Mean_PE_L, 2, FALSE))/(VLOOKUP(Main_L[[#This Row],[Industry]], Mean_PE_L, 3, FALSE))</f>
        <v>797.12722421903334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1" spans="1:26" x14ac:dyDescent="0.25">
      <c r="A21" s="67" t="s">
        <v>105</v>
      </c>
      <c r="B21" s="67" t="s">
        <v>115</v>
      </c>
      <c r="C21" s="2">
        <v>11373</v>
      </c>
      <c r="D21">
        <f>RTD("tos.rtd", , "LAST", Main_L[[#This Row],[Symbol]])</f>
        <v>24.46</v>
      </c>
      <c r="E21">
        <v>0</v>
      </c>
      <c r="F21">
        <v>0.02</v>
      </c>
      <c r="G21">
        <v>0.01</v>
      </c>
      <c r="H21" s="1" t="str">
        <f>IF(ISNUMBER(Main_L[[#This Row],[Free CF]]),IF(Main_L[[#This Row],[Free CF]]&lt;&gt;0,Main_L[[#This Row],[Current Price]]/Main_L[[#This Row],[Free CF]],""),"")</f>
        <v/>
      </c>
      <c r="I21" s="1">
        <f>IF(ISNUMBER(Main_L[[#This Row],[BVPS]]),IF(Main_L[[#This Row],[BVPS]]&lt;&gt;0,Main_L[[#This Row],[Current Price]]/Main_L[[#This Row],[BVPS]],""),"")</f>
        <v>1223</v>
      </c>
      <c r="J21">
        <v>23.26</v>
      </c>
      <c r="K21">
        <v>1.44</v>
      </c>
      <c r="L21">
        <v>15.24</v>
      </c>
      <c r="M21" s="1">
        <f>IF(ISNUMBER(Main_L[[#This Row],[EPS]]),IF(Main_L[[#This Row],[EPS]]&lt;&gt;0,Main_L[[#This Row],[Current Price]]/Main_L[[#This Row],[EPS]],""),"")</f>
        <v>2446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 t="e">
        <f>(Main_L[[#This Row],[P/FCF]]-VLOOKUP(Main_L[[#This Row],[Industry]], Mean_PFCF_L, 2, FALSE))/(VLOOKUP(Main_L[[#This Row],[Industry]], Mean_PFCF_L, 3, FALSE))</f>
        <v>#VALUE!</v>
      </c>
      <c r="P21" s="1">
        <f>(Main_L[[#This Row],[P/B]]-VLOOKUP(Main_L[[#This Row],[Industry]], Mean_PB_L, 2, FALSE))/(VLOOKUP(Main_L[[#This Row],[Industry]], Mean_PB_L, 3, FALSE))</f>
        <v>2682.3861657511256</v>
      </c>
      <c r="Q21" s="1">
        <f>(Main_L[[#This Row],[ROE]]-VLOOKUP(Main_L[[#This Row],[Industry]], Mean_ROE_L, 2, FALSE))/(VLOOKUP(Main_L[[#This Row],[Industry]], Mean_ROE_L, 3, FALSE))</f>
        <v>3.4442908093777307</v>
      </c>
      <c r="R21" s="1">
        <f>(Main_L[[#This Row],[ROA]]-VLOOKUP(Main_L[[#This Row],[Industry]], Mean_ROA_L, 2, FALSE))/(VLOOKUP(Main_L[[#This Row],[Industry]], Mean_ROA_L, 3, FALSE))</f>
        <v>1.0150571951164058</v>
      </c>
      <c r="S21" s="1">
        <f>(Main_L[[#This Row],[A/E]]-VLOOKUP(Main_L[[#This Row],[Industry]], Mean_AE_L, 2, FALSE))/(VLOOKUP(Main_L[[#This Row],[Industry]], Mean_AE_L, 3, FALSE))</f>
        <v>0.3581047893214272</v>
      </c>
      <c r="T21" s="1">
        <f>(Main_L[[#This Row],[P/E]]-VLOOKUP(Main_L[[#This Row],[Industry]], Mean_PE_L, 2, FALSE))/(VLOOKUP(Main_L[[#This Row],[Industry]], Mean_PE_L, 3, FALSE))</f>
        <v>645.24634879634721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2" spans="1:26" x14ac:dyDescent="0.25">
      <c r="A22" s="67" t="s">
        <v>105</v>
      </c>
      <c r="B22" s="67" t="s">
        <v>128</v>
      </c>
      <c r="C22" s="2">
        <v>17382</v>
      </c>
      <c r="D22">
        <f>RTD("tos.rtd", , "LAST", Main_L[[#This Row],[Symbol]])</f>
        <v>16.28</v>
      </c>
      <c r="E22">
        <v>-0.04</v>
      </c>
      <c r="F22">
        <v>14.84</v>
      </c>
      <c r="G22">
        <v>-0.13</v>
      </c>
      <c r="H22" s="1">
        <f>IF(ISNUMBER(Main_L[[#This Row],[Free CF]]),IF(Main_L[[#This Row],[Free CF]]&lt;&gt;0,Main_L[[#This Row],[Current Price]]/Main_L[[#This Row],[Free CF]],""),"")</f>
        <v>-407</v>
      </c>
      <c r="I22" s="1">
        <f>IF(ISNUMBER(Main_L[[#This Row],[BVPS]]),IF(Main_L[[#This Row],[BVPS]]&lt;&gt;0,Main_L[[#This Row],[Current Price]]/Main_L[[#This Row],[BVPS]],""),"")</f>
        <v>1.097035040431267</v>
      </c>
      <c r="J22">
        <v>0.14000000000000001</v>
      </c>
      <c r="K22">
        <v>0.01</v>
      </c>
      <c r="L22">
        <v>11.43</v>
      </c>
      <c r="M22" s="1">
        <f>IF(ISNUMBER(Main_L[[#This Row],[EPS]]),IF(Main_L[[#This Row],[EPS]]&lt;&gt;0,Main_L[[#This Row],[Current Price]]/Main_L[[#This Row],[EPS]],""),"")</f>
        <v>-125.23076923076924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-33.519748321699936</v>
      </c>
      <c r="P22" s="1">
        <f>(Main_L[[#This Row],[P/B]]-VLOOKUP(Main_L[[#This Row],[Industry]], Mean_PB_L, 2, FALSE))/(VLOOKUP(Main_L[[#This Row],[Industry]], Mean_PB_L, 3, FALSE))</f>
        <v>-0.36872938885640044</v>
      </c>
      <c r="Q22" s="1">
        <f>(Main_L[[#This Row],[ROE]]-VLOOKUP(Main_L[[#This Row],[Industry]], Mean_ROE_L, 2, FALSE))/(VLOOKUP(Main_L[[#This Row],[Industry]], Mean_ROE_L, 3, FALSE))</f>
        <v>-3.421613240167217</v>
      </c>
      <c r="R22" s="1">
        <f>(Main_L[[#This Row],[ROA]]-VLOOKUP(Main_L[[#This Row],[Industry]], Mean_ROA_L, 2, FALSE))/(VLOOKUP(Main_L[[#This Row],[Industry]], Mean_ROA_L, 3, FALSE))</f>
        <v>-1.8867715621687327</v>
      </c>
      <c r="S22" s="1">
        <f>(Main_L[[#This Row],[A/E]]-VLOOKUP(Main_L[[#This Row],[Industry]], Mean_AE_L, 2, FALSE))/(VLOOKUP(Main_L[[#This Row],[Industry]], Mean_AE_L, 3, FALSE))</f>
        <v>-0.50979840577681024</v>
      </c>
      <c r="T22" s="1">
        <f>(Main_L[[#This Row],[P/E]]-VLOOKUP(Main_L[[#This Row],[Industry]], Mean_PE_L, 2, FALSE))/(VLOOKUP(Main_L[[#This Row],[Industry]], Mean_PE_L, 3, FALSE))</f>
        <v>-36.29078932671743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3" spans="1:26" x14ac:dyDescent="0.25">
      <c r="A23" s="67" t="s">
        <v>105</v>
      </c>
      <c r="B23" s="67" t="s">
        <v>137</v>
      </c>
      <c r="C23" s="2">
        <v>118512</v>
      </c>
      <c r="D23">
        <f>RTD("tos.rtd", , "LAST", Main_L[[#This Row],[Symbol]])</f>
        <v>8.01</v>
      </c>
      <c r="E23">
        <v>-0.37</v>
      </c>
      <c r="F23">
        <v>7.27</v>
      </c>
      <c r="G23">
        <v>0.87</v>
      </c>
      <c r="H23" s="1">
        <f>IF(ISNUMBER(Main_L[[#This Row],[Free CF]]),IF(Main_L[[#This Row],[Free CF]]&lt;&gt;0,Main_L[[#This Row],[Current Price]]/Main_L[[#This Row],[Free CF]],""),"")</f>
        <v>-21.648648648648649</v>
      </c>
      <c r="I23" s="1">
        <f>IF(ISNUMBER(Main_L[[#This Row],[BVPS]]),IF(Main_L[[#This Row],[BVPS]]&lt;&gt;0,Main_L[[#This Row],[Current Price]]/Main_L[[#This Row],[BVPS]],""),"")</f>
        <v>1.1017881705639616</v>
      </c>
      <c r="J23">
        <v>13.33</v>
      </c>
      <c r="K23">
        <v>0.79</v>
      </c>
      <c r="L23">
        <v>18.2</v>
      </c>
      <c r="M23" s="1">
        <f>IF(ISNUMBER(Main_L[[#This Row],[EPS]]),IF(Main_L[[#This Row],[EPS]]&lt;&gt;0,Main_L[[#This Row],[Current Price]]/Main_L[[#This Row],[EPS]],""),"")</f>
        <v>9.206896551724137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-1.7804104526731641</v>
      </c>
      <c r="P23" s="1">
        <f>(Main_L[[#This Row],[P/B]]-VLOOKUP(Main_L[[#This Row],[Industry]], Mean_PB_L, 2, FALSE))/(VLOOKUP(Main_L[[#This Row],[Industry]], Mean_PB_L, 3, FALSE))</f>
        <v>-0.35829363127466335</v>
      </c>
      <c r="Q23" s="1">
        <f>(Main_L[[#This Row],[ROE]]-VLOOKUP(Main_L[[#This Row],[Industry]], Mean_ROE_L, 2, FALSE))/(VLOOKUP(Main_L[[#This Row],[Industry]], Mean_ROE_L, 3, FALSE))</f>
        <v>0.49539689882490473</v>
      </c>
      <c r="R23" s="1">
        <f>(Main_L[[#This Row],[ROA]]-VLOOKUP(Main_L[[#This Row],[Industry]], Mean_ROA_L, 2, FALSE))/(VLOOKUP(Main_L[[#This Row],[Industry]], Mean_ROA_L, 3, FALSE))</f>
        <v>-0.3039558763768388</v>
      </c>
      <c r="S23" s="1">
        <f>(Main_L[[#This Row],[A/E]]-VLOOKUP(Main_L[[#This Row],[Industry]], Mean_AE_L, 2, FALSE))/(VLOOKUP(Main_L[[#This Row],[Industry]], Mean_AE_L, 3, FALSE))</f>
        <v>1.0323812873505038</v>
      </c>
      <c r="T23" s="1">
        <f>(Main_L[[#This Row],[P/E]]-VLOOKUP(Main_L[[#This Row],[Industry]], Mean_PE_L, 2, FALSE))/(VLOOKUP(Main_L[[#This Row],[Industry]], Mean_PE_L, 3, FALSE))</f>
        <v>-0.65639077728007933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105</v>
      </c>
      <c r="B24" s="67" t="s">
        <v>129</v>
      </c>
      <c r="C24" s="2">
        <v>63022</v>
      </c>
      <c r="D24">
        <f>RTD("tos.rtd", , "LAST", Main_L[[#This Row],[Symbol]])</f>
        <v>4.2</v>
      </c>
      <c r="E24">
        <v>-0.43</v>
      </c>
      <c r="F24">
        <v>1.02</v>
      </c>
      <c r="G24">
        <v>0.08</v>
      </c>
      <c r="H24" s="1">
        <f>IF(ISNUMBER(Main_L[[#This Row],[Free CF]]),IF(Main_L[[#This Row],[Free CF]]&lt;&gt;0,Main_L[[#This Row],[Current Price]]/Main_L[[#This Row],[Free CF]],""),"")</f>
        <v>-9.7674418604651176</v>
      </c>
      <c r="I24" s="1">
        <f>IF(ISNUMBER(Main_L[[#This Row],[BVPS]]),IF(Main_L[[#This Row],[BVPS]]&lt;&gt;0,Main_L[[#This Row],[Current Price]]/Main_L[[#This Row],[BVPS]],""),"")</f>
        <v>4.1176470588235299</v>
      </c>
      <c r="J24">
        <v>9.24</v>
      </c>
      <c r="K24">
        <v>0.5</v>
      </c>
      <c r="L24">
        <v>19.04</v>
      </c>
      <c r="M24" s="1">
        <f>IF(ISNUMBER(Main_L[[#This Row],[EPS]]),IF(Main_L[[#This Row],[EPS]]&lt;&gt;0,Main_L[[#This Row],[Current Price]]/Main_L[[#This Row],[EPS]],""),"")</f>
        <v>52.5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-0.80181874611884607</v>
      </c>
      <c r="P24" s="1">
        <f>(Main_L[[#This Row],[P/B]]-VLOOKUP(Main_L[[#This Row],[Industry]], Mean_PB_L, 2, FALSE))/(VLOOKUP(Main_L[[#This Row],[Industry]], Mean_PB_L, 3, FALSE))</f>
        <v>6.2631897659748859</v>
      </c>
      <c r="Q24" s="1">
        <f>(Main_L[[#This Row],[ROE]]-VLOOKUP(Main_L[[#This Row],[Industry]], Mean_ROE_L, 2, FALSE))/(VLOOKUP(Main_L[[#This Row],[Industry]], Mean_ROE_L, 3, FALSE))</f>
        <v>-0.71920290924770924</v>
      </c>
      <c r="R24" s="1">
        <f>(Main_L[[#This Row],[ROA]]-VLOOKUP(Main_L[[#This Row],[Industry]], Mean_ROA_L, 2, FALSE))/(VLOOKUP(Main_L[[#This Row],[Industry]], Mean_ROA_L, 3, FALSE))</f>
        <v>-0.89243863135074819</v>
      </c>
      <c r="S24" s="1">
        <f>(Main_L[[#This Row],[A/E]]-VLOOKUP(Main_L[[#This Row],[Industry]], Mean_AE_L, 2, FALSE))/(VLOOKUP(Main_L[[#This Row],[Industry]], Mean_AE_L, 3, FALSE))</f>
        <v>1.2237300232776742</v>
      </c>
      <c r="T24" s="1">
        <f>(Main_L[[#This Row],[P/E]]-VLOOKUP(Main_L[[#This Row],[Industry]], Mean_PE_L, 2, FALSE))/(VLOOKUP(Main_L[[#This Row],[Industry]], Mean_PE_L, 3, FALSE))</f>
        <v>10.81899220961181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5" spans="1:26" x14ac:dyDescent="0.25">
      <c r="A25" s="67" t="s">
        <v>105</v>
      </c>
      <c r="B25" s="67" t="s">
        <v>112</v>
      </c>
      <c r="C25" s="2">
        <v>63367</v>
      </c>
      <c r="D25">
        <f>RTD("tos.rtd", , "LAST", Main_L[[#This Row],[Symbol]])</f>
        <v>18.13</v>
      </c>
      <c r="E25">
        <v>-0.8</v>
      </c>
      <c r="F25">
        <v>5.56</v>
      </c>
      <c r="G25">
        <v>0.48</v>
      </c>
      <c r="H25" s="1">
        <f>IF(ISNUMBER(Main_L[[#This Row],[Free CF]]),IF(Main_L[[#This Row],[Free CF]]&lt;&gt;0,Main_L[[#This Row],[Current Price]]/Main_L[[#This Row],[Free CF]],""),"")</f>
        <v>-22.662499999999998</v>
      </c>
      <c r="I25" s="1">
        <f>IF(ISNUMBER(Main_L[[#This Row],[BVPS]]),IF(Main_L[[#This Row],[BVPS]]&lt;&gt;0,Main_L[[#This Row],[Current Price]]/Main_L[[#This Row],[BVPS]],""),"")</f>
        <v>3.2607913669064748</v>
      </c>
      <c r="J25">
        <v>8.98</v>
      </c>
      <c r="K25">
        <v>0.42</v>
      </c>
      <c r="L25">
        <v>21.28</v>
      </c>
      <c r="M25" s="1">
        <f>IF(ISNUMBER(Main_L[[#This Row],[EPS]]),IF(Main_L[[#This Row],[EPS]]&lt;&gt;0,Main_L[[#This Row],[Current Price]]/Main_L[[#This Row],[EPS]],""),"")</f>
        <v>37.770833333333336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-1.8639159872370485</v>
      </c>
      <c r="P25" s="1">
        <f>(Main_L[[#This Row],[P/B]]-VLOOKUP(Main_L[[#This Row],[Industry]], Mean_PB_L, 2, FALSE))/(VLOOKUP(Main_L[[#This Row],[Industry]], Mean_PB_L, 3, FALSE))</f>
        <v>4.3819161560077484</v>
      </c>
      <c r="Q25" s="1">
        <f>(Main_L[[#This Row],[ROE]]-VLOOKUP(Main_L[[#This Row],[Industry]], Mean_ROE_L, 2, FALSE))/(VLOOKUP(Main_L[[#This Row],[Industry]], Mean_ROE_L, 3, FALSE))</f>
        <v>-0.79641463298826654</v>
      </c>
      <c r="R25" s="1">
        <f>(Main_L[[#This Row],[ROA]]-VLOOKUP(Main_L[[#This Row],[Industry]], Mean_ROA_L, 2, FALSE))/(VLOOKUP(Main_L[[#This Row],[Industry]], Mean_ROA_L, 3, FALSE))</f>
        <v>-1.0547787016883783</v>
      </c>
      <c r="S25" s="1">
        <f>(Main_L[[#This Row],[A/E]]-VLOOKUP(Main_L[[#This Row],[Industry]], Mean_AE_L, 2, FALSE))/(VLOOKUP(Main_L[[#This Row],[Industry]], Mean_AE_L, 3, FALSE))</f>
        <v>1.7339933190834624</v>
      </c>
      <c r="T25" s="1">
        <f>(Main_L[[#This Row],[P/E]]-VLOOKUP(Main_L[[#This Row],[Industry]], Mean_PE_L, 2, FALSE))/(VLOOKUP(Main_L[[#This Row],[Industry]], Mean_PE_L, 3, FALSE))</f>
        <v>6.9148408525786831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6" spans="1:26" x14ac:dyDescent="0.25">
      <c r="A26" s="67" t="s">
        <v>105</v>
      </c>
      <c r="B26" s="67" t="s">
        <v>133</v>
      </c>
      <c r="C26" s="2">
        <v>57941</v>
      </c>
      <c r="D26">
        <f>RTD("tos.rtd", , "LAST", Main_L[[#This Row],[Symbol]])</f>
        <v>11.92</v>
      </c>
      <c r="E26">
        <v>-0.87</v>
      </c>
      <c r="F26">
        <v>1.78</v>
      </c>
      <c r="G26">
        <v>0.44</v>
      </c>
      <c r="H26" s="1">
        <f>IF(ISNUMBER(Main_L[[#This Row],[Free CF]]),IF(Main_L[[#This Row],[Free CF]]&lt;&gt;0,Main_L[[#This Row],[Current Price]]/Main_L[[#This Row],[Free CF]],""),"")</f>
        <v>-13.701149425287356</v>
      </c>
      <c r="I26" s="1">
        <f>IF(ISNUMBER(Main_L[[#This Row],[BVPS]]),IF(Main_L[[#This Row],[BVPS]]&lt;&gt;0,Main_L[[#This Row],[Current Price]]/Main_L[[#This Row],[BVPS]],""),"")</f>
        <v>6.6966292134831455</v>
      </c>
      <c r="J26">
        <v>27.91</v>
      </c>
      <c r="K26">
        <v>4.3899999999999997</v>
      </c>
      <c r="L26">
        <v>6.3</v>
      </c>
      <c r="M26" s="1">
        <f>IF(ISNUMBER(Main_L[[#This Row],[EPS]]),IF(Main_L[[#This Row],[EPS]]&lt;&gt;0,Main_L[[#This Row],[Current Price]]/Main_L[[#This Row],[EPS]],""),"")</f>
        <v>27.09090909090909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-1.1258172815852554</v>
      </c>
      <c r="P26" s="1">
        <f>(Main_L[[#This Row],[P/B]]-VLOOKUP(Main_L[[#This Row],[Industry]], Mean_PB_L, 2, FALSE))/(VLOOKUP(Main_L[[#This Row],[Industry]], Mean_PB_L, 3, FALSE))</f>
        <v>11.925486362595942</v>
      </c>
      <c r="Q26" s="1">
        <f>(Main_L[[#This Row],[ROE]]-VLOOKUP(Main_L[[#This Row],[Industry]], Mean_ROE_L, 2, FALSE))/(VLOOKUP(Main_L[[#This Row],[Industry]], Mean_ROE_L, 3, FALSE))</f>
        <v>4.8251927916607764</v>
      </c>
      <c r="R26" s="1">
        <f>(Main_L[[#This Row],[ROA]]-VLOOKUP(Main_L[[#This Row],[Industry]], Mean_ROA_L, 2, FALSE))/(VLOOKUP(Main_L[[#This Row],[Industry]], Mean_ROA_L, 3, FALSE))</f>
        <v>7.0013472888165174</v>
      </c>
      <c r="S26" s="1">
        <f>(Main_L[[#This Row],[A/E]]-VLOOKUP(Main_L[[#This Row],[Industry]], Mean_AE_L, 2, FALSE))/(VLOOKUP(Main_L[[#This Row],[Industry]], Mean_AE_L, 3, FALSE))</f>
        <v>-1.6783924716177439</v>
      </c>
      <c r="T26" s="1">
        <f>(Main_L[[#This Row],[P/E]]-VLOOKUP(Main_L[[#This Row],[Industry]], Mean_PE_L, 2, FALSE))/(VLOOKUP(Main_L[[#This Row],[Industry]], Mean_PE_L, 3, FALSE))</f>
        <v>4.0839922602796195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s="67" t="s">
        <v>105</v>
      </c>
      <c r="B27" s="67" t="s">
        <v>123</v>
      </c>
      <c r="C27" s="2">
        <v>122101</v>
      </c>
      <c r="D27">
        <f>RTD("tos.rtd", , "LAST", Main_L[[#This Row],[Symbol]])</f>
        <v>33.61</v>
      </c>
      <c r="E27">
        <v>-1.33</v>
      </c>
      <c r="F27">
        <v>5.16</v>
      </c>
      <c r="G27">
        <v>0.83</v>
      </c>
      <c r="H27" s="1">
        <f>IF(ISNUMBER(Main_L[[#This Row],[Free CF]]),IF(Main_L[[#This Row],[Free CF]]&lt;&gt;0,Main_L[[#This Row],[Current Price]]/Main_L[[#This Row],[Free CF]],""),"")</f>
        <v>-25.270676691729321</v>
      </c>
      <c r="I27" s="1">
        <f>IF(ISNUMBER(Main_L[[#This Row],[BVPS]]),IF(Main_L[[#This Row],[BVPS]]&lt;&gt;0,Main_L[[#This Row],[Current Price]]/Main_L[[#This Row],[BVPS]],""),"")</f>
        <v>6.5135658914728678</v>
      </c>
      <c r="J27">
        <v>18.23</v>
      </c>
      <c r="K27">
        <v>2.1800000000000002</v>
      </c>
      <c r="L27">
        <v>8.42</v>
      </c>
      <c r="M27" s="1">
        <f>IF(ISNUMBER(Main_L[[#This Row],[EPS]]),IF(Main_L[[#This Row],[EPS]]&lt;&gt;0,Main_L[[#This Row],[Current Price]]/Main_L[[#This Row],[EPS]],""),"")</f>
        <v>40.493975903614462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-2.0787376063921856</v>
      </c>
      <c r="P27" s="1">
        <f>(Main_L[[#This Row],[P/B]]-VLOOKUP(Main_L[[#This Row],[Industry]], Mean_PB_L, 2, FALSE))/(VLOOKUP(Main_L[[#This Row],[Industry]], Mean_PB_L, 3, FALSE))</f>
        <v>11.523560810954523</v>
      </c>
      <c r="Q27" s="1">
        <f>(Main_L[[#This Row],[ROE]]-VLOOKUP(Main_L[[#This Row],[Industry]], Mean_ROE_L, 2, FALSE))/(VLOOKUP(Main_L[[#This Row],[Industry]], Mean_ROE_L, 3, FALSE))</f>
        <v>1.9505409231661783</v>
      </c>
      <c r="R27" s="1">
        <f>(Main_L[[#This Row],[ROA]]-VLOOKUP(Main_L[[#This Row],[Industry]], Mean_ROA_L, 2, FALSE))/(VLOOKUP(Main_L[[#This Row],[Industry]], Mean_ROA_L, 3, FALSE))</f>
        <v>2.5167028457394851</v>
      </c>
      <c r="S27" s="1">
        <f>(Main_L[[#This Row],[A/E]]-VLOOKUP(Main_L[[#This Row],[Industry]], Mean_AE_L, 2, FALSE))/(VLOOKUP(Main_L[[#This Row],[Industry]], Mean_AE_L, 3, FALSE))</f>
        <v>-1.1954647095158375</v>
      </c>
      <c r="T27" s="1">
        <f>(Main_L[[#This Row],[P/E]]-VLOOKUP(Main_L[[#This Row],[Industry]], Mean_PE_L, 2, FALSE))/(VLOOKUP(Main_L[[#This Row],[Industry]], Mean_PE_L, 3, FALSE))</f>
        <v>7.6366441291495057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8" spans="1:26" x14ac:dyDescent="0.25">
      <c r="A28" s="67" t="s">
        <v>105</v>
      </c>
      <c r="B28" s="67" t="s">
        <v>134</v>
      </c>
      <c r="C28" s="2">
        <v>57685</v>
      </c>
      <c r="D28">
        <f>RTD("tos.rtd", , "LAST", Main_L[[#This Row],[Symbol]])</f>
        <v>14.27</v>
      </c>
      <c r="E28">
        <v>-1.58</v>
      </c>
      <c r="F28">
        <v>6.66</v>
      </c>
      <c r="G28">
        <v>0.74</v>
      </c>
      <c r="H28" s="1">
        <f>IF(ISNUMBER(Main_L[[#This Row],[Free CF]]),IF(Main_L[[#This Row],[Free CF]]&lt;&gt;0,Main_L[[#This Row],[Current Price]]/Main_L[[#This Row],[Free CF]],""),"")</f>
        <v>-9.0316455696202524</v>
      </c>
      <c r="I28" s="1">
        <f>IF(ISNUMBER(Main_L[[#This Row],[BVPS]]),IF(Main_L[[#This Row],[BVPS]]&lt;&gt;0,Main_L[[#This Row],[Current Price]]/Main_L[[#This Row],[BVPS]],""),"")</f>
        <v>2.1426426426426426</v>
      </c>
      <c r="J28">
        <v>12.78</v>
      </c>
      <c r="K28">
        <v>0.72</v>
      </c>
      <c r="L28">
        <v>17.07</v>
      </c>
      <c r="M28" s="1">
        <f>IF(ISNUMBER(Main_L[[#This Row],[EPS]]),IF(Main_L[[#This Row],[EPS]]&lt;&gt;0,Main_L[[#This Row],[Current Price]]/Main_L[[#This Row],[EPS]],""),"")</f>
        <v>19.283783783783782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-0.74121512556320224</v>
      </c>
      <c r="P28" s="1">
        <f>(Main_L[[#This Row],[P/B]]-VLOOKUP(Main_L[[#This Row],[Industry]], Mean_PB_L, 2, FALSE))/(VLOOKUP(Main_L[[#This Row],[Industry]], Mean_PB_L, 3, FALSE))</f>
        <v>1.9269593799493656</v>
      </c>
      <c r="Q28" s="1">
        <f>(Main_L[[#This Row],[ROE]]-VLOOKUP(Main_L[[#This Row],[Industry]], Mean_ROE_L, 2, FALSE))/(VLOOKUP(Main_L[[#This Row],[Industry]], Mean_ROE_L, 3, FALSE))</f>
        <v>0.33206440629680239</v>
      </c>
      <c r="R28" s="1">
        <f>(Main_L[[#This Row],[ROA]]-VLOOKUP(Main_L[[#This Row],[Industry]], Mean_ROA_L, 2, FALSE))/(VLOOKUP(Main_L[[#This Row],[Industry]], Mean_ROA_L, 3, FALSE))</f>
        <v>-0.44600343792226532</v>
      </c>
      <c r="S28" s="1">
        <f>(Main_L[[#This Row],[A/E]]-VLOOKUP(Main_L[[#This Row],[Industry]], Mean_AE_L, 2, FALSE))/(VLOOKUP(Main_L[[#This Row],[Industry]], Mean_AE_L, 3, FALSE))</f>
        <v>0.77497167830561997</v>
      </c>
      <c r="T28" s="1">
        <f>(Main_L[[#This Row],[P/E]]-VLOOKUP(Main_L[[#This Row],[Industry]], Mean_PE_L, 2, FALSE))/(VLOOKUP(Main_L[[#This Row],[Industry]], Mean_PE_L, 3, FALSE))</f>
        <v>2.0146152512380846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7" t="s">
        <v>105</v>
      </c>
      <c r="B29" s="67" t="s">
        <v>125</v>
      </c>
      <c r="C29" s="2">
        <v>71066</v>
      </c>
      <c r="D29">
        <f>RTD("tos.rtd", , "LAST", Main_L[[#This Row],[Symbol]])</f>
        <v>6.56</v>
      </c>
      <c r="E29">
        <v>-1.88</v>
      </c>
      <c r="F29">
        <v>3.27</v>
      </c>
      <c r="G29">
        <v>0.67</v>
      </c>
      <c r="H29" s="1">
        <f>IF(ISNUMBER(Main_L[[#This Row],[Free CF]]),IF(Main_L[[#This Row],[Free CF]]&lt;&gt;0,Main_L[[#This Row],[Current Price]]/Main_L[[#This Row],[Free CF]],""),"")</f>
        <v>-3.4893617021276597</v>
      </c>
      <c r="I29" s="1">
        <f>IF(ISNUMBER(Main_L[[#This Row],[BVPS]]),IF(Main_L[[#This Row],[BVPS]]&lt;&gt;0,Main_L[[#This Row],[Current Price]]/Main_L[[#This Row],[BVPS]],""),"")</f>
        <v>2.0061162079510702</v>
      </c>
      <c r="J29">
        <v>21.15</v>
      </c>
      <c r="K29">
        <v>1.58</v>
      </c>
      <c r="L29">
        <v>13.94</v>
      </c>
      <c r="M29" s="1">
        <f>IF(ISNUMBER(Main_L[[#This Row],[EPS]]),IF(Main_L[[#This Row],[EPS]]&lt;&gt;0,Main_L[[#This Row],[Current Price]]/Main_L[[#This Row],[EPS]],""),"")</f>
        <v>9.791044776119401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-0.28472672966286983</v>
      </c>
      <c r="P29" s="1">
        <f>(Main_L[[#This Row],[P/B]]-VLOOKUP(Main_L[[#This Row],[Industry]], Mean_PB_L, 2, FALSE))/(VLOOKUP(Main_L[[#This Row],[Industry]], Mean_PB_L, 3, FALSE))</f>
        <v>1.627208113696448</v>
      </c>
      <c r="Q29" s="1">
        <f>(Main_L[[#This Row],[ROE]]-VLOOKUP(Main_L[[#This Row],[Industry]], Mean_ROE_L, 2, FALSE))/(VLOOKUP(Main_L[[#This Row],[Industry]], Mean_ROE_L, 3, FALSE))</f>
        <v>2.8176879744062835</v>
      </c>
      <c r="R29" s="1">
        <f>(Main_L[[#This Row],[ROA]]-VLOOKUP(Main_L[[#This Row],[Industry]], Mean_ROA_L, 2, FALSE))/(VLOOKUP(Main_L[[#This Row],[Industry]], Mean_ROA_L, 3, FALSE))</f>
        <v>1.2991523182072588</v>
      </c>
      <c r="S29" s="1">
        <f>(Main_L[[#This Row],[A/E]]-VLOOKUP(Main_L[[#This Row],[Industry]], Mean_AE_L, 2, FALSE))/(VLOOKUP(Main_L[[#This Row],[Industry]], Mean_AE_L, 3, FALSE))</f>
        <v>6.1969840862710887E-2</v>
      </c>
      <c r="T29" s="1">
        <f>(Main_L[[#This Row],[P/E]]-VLOOKUP(Main_L[[#This Row],[Industry]], Mean_PE_L, 2, FALSE))/(VLOOKUP(Main_L[[#This Row],[Industry]], Mean_PE_L, 3, FALSE))</f>
        <v>-0.50155492440440674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7" t="s">
        <v>105</v>
      </c>
      <c r="B30" s="67" t="s">
        <v>131</v>
      </c>
      <c r="C30" s="2">
        <v>162472</v>
      </c>
      <c r="D30">
        <f>RTD("tos.rtd", , "LAST", Main_L[[#This Row],[Symbol]])</f>
        <v>13.81</v>
      </c>
      <c r="E30">
        <v>-2.78</v>
      </c>
      <c r="F30">
        <v>11.89</v>
      </c>
      <c r="G30">
        <v>1.06</v>
      </c>
      <c r="H30" s="1">
        <f>IF(ISNUMBER(Main_L[[#This Row],[Free CF]]),IF(Main_L[[#This Row],[Free CF]]&lt;&gt;0,Main_L[[#This Row],[Current Price]]/Main_L[[#This Row],[Free CF]],""),"")</f>
        <v>-4.9676258992805762</v>
      </c>
      <c r="I30" s="1">
        <f>IF(ISNUMBER(Main_L[[#This Row],[BVPS]]),IF(Main_L[[#This Row],[BVPS]]&lt;&gt;0,Main_L[[#This Row],[Current Price]]/Main_L[[#This Row],[BVPS]],""),"")</f>
        <v>1.1614802354920102</v>
      </c>
      <c r="J30">
        <v>9.66</v>
      </c>
      <c r="K30">
        <v>0.48</v>
      </c>
      <c r="L30">
        <v>20.13</v>
      </c>
      <c r="M30" s="1">
        <f>IF(ISNUMBER(Main_L[[#This Row],[EPS]]),IF(Main_L[[#This Row],[EPS]]&lt;&gt;0,Main_L[[#This Row],[Current Price]]/Main_L[[#This Row],[EPS]],""),"")</f>
        <v>13.028301886792452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-0.40648347619713238</v>
      </c>
      <c r="P30" s="1">
        <f>(Main_L[[#This Row],[P/B]]-VLOOKUP(Main_L[[#This Row],[Industry]], Mean_PB_L, 2, FALSE))/(VLOOKUP(Main_L[[#This Row],[Industry]], Mean_PB_L, 3, FALSE))</f>
        <v>-0.22723643280716083</v>
      </c>
      <c r="Q30" s="1">
        <f>(Main_L[[#This Row],[ROE]]-VLOOKUP(Main_L[[#This Row],[Industry]], Mean_ROE_L, 2, FALSE))/(VLOOKUP(Main_L[[#This Row],[Industry]], Mean_ROE_L, 3, FALSE))</f>
        <v>-0.59447627858988583</v>
      </c>
      <c r="R30" s="1">
        <f>(Main_L[[#This Row],[ROA]]-VLOOKUP(Main_L[[#This Row],[Industry]], Mean_ROA_L, 2, FALSE))/(VLOOKUP(Main_L[[#This Row],[Industry]], Mean_ROA_L, 3, FALSE))</f>
        <v>-0.93302364893515566</v>
      </c>
      <c r="S30" s="1">
        <f>(Main_L[[#This Row],[A/E]]-VLOOKUP(Main_L[[#This Row],[Industry]], Mean_AE_L, 2, FALSE))/(VLOOKUP(Main_L[[#This Row],[Industry]], Mean_AE_L, 3, FALSE))</f>
        <v>1.4720277877545977</v>
      </c>
      <c r="T30" s="1">
        <f>(Main_L[[#This Row],[P/E]]-VLOOKUP(Main_L[[#This Row],[Industry]], Mean_PE_L, 2, FALSE))/(VLOOKUP(Main_L[[#This Row],[Industry]], Mean_PE_L, 3, FALSE))</f>
        <v>0.35652089398536407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7" t="s">
        <v>105</v>
      </c>
      <c r="B31" s="67" t="s">
        <v>108</v>
      </c>
      <c r="C31" s="2">
        <v>30462</v>
      </c>
      <c r="D31">
        <f>RTD("tos.rtd", , "LAST", Main_L[[#This Row],[Symbol]])</f>
        <v>2.87</v>
      </c>
      <c r="E31">
        <v>-2.8</v>
      </c>
      <c r="F31">
        <v>2.82</v>
      </c>
      <c r="G31">
        <v>0.31</v>
      </c>
      <c r="H31" s="1">
        <f>IF(ISNUMBER(Main_L[[#This Row],[Free CF]]),IF(Main_L[[#This Row],[Free CF]]&lt;&gt;0,Main_L[[#This Row],[Current Price]]/Main_L[[#This Row],[Free CF]],""),"")</f>
        <v>-1.0250000000000001</v>
      </c>
      <c r="I31" s="1">
        <f>IF(ISNUMBER(Main_L[[#This Row],[BVPS]]),IF(Main_L[[#This Row],[BVPS]]&lt;&gt;0,Main_L[[#This Row],[Current Price]]/Main_L[[#This Row],[BVPS]],""),"")</f>
        <v>1.0177304964539009</v>
      </c>
      <c r="J31">
        <v>11.27</v>
      </c>
      <c r="K31">
        <v>0.95</v>
      </c>
      <c r="L31">
        <v>12.05</v>
      </c>
      <c r="M31" s="1">
        <f>IF(ISNUMBER(Main_L[[#This Row],[EPS]]),IF(Main_L[[#This Row],[EPS]]&lt;&gt;0,Main_L[[#This Row],[Current Price]]/Main_L[[#This Row],[EPS]],""),"")</f>
        <v>9.258064516129032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-8.17503850334107E-2</v>
      </c>
      <c r="P31" s="1">
        <f>(Main_L[[#This Row],[P/B]]-VLOOKUP(Main_L[[#This Row],[Industry]], Mean_PB_L, 2, FALSE))/(VLOOKUP(Main_L[[#This Row],[Industry]], Mean_PB_L, 3, FALSE))</f>
        <v>-0.54284685944389721</v>
      </c>
      <c r="Q31" s="1">
        <f>(Main_L[[#This Row],[ROE]]-VLOOKUP(Main_L[[#This Row],[Industry]], Mean_ROE_L, 2, FALSE))/(VLOOKUP(Main_L[[#This Row],[Industry]], Mean_ROE_L, 3, FALSE))</f>
        <v>-0.1163575277348961</v>
      </c>
      <c r="R31" s="1">
        <f>(Main_L[[#This Row],[ROA]]-VLOOKUP(Main_L[[#This Row],[Industry]], Mean_ROA_L, 2, FALSE))/(VLOOKUP(Main_L[[#This Row],[Industry]], Mean_ROA_L, 3, FALSE))</f>
        <v>2.0724264298421304E-2</v>
      </c>
      <c r="S31" s="1">
        <f>(Main_L[[#This Row],[A/E]]-VLOOKUP(Main_L[[#This Row],[Industry]], Mean_AE_L, 2, FALSE))/(VLOOKUP(Main_L[[#This Row],[Industry]], Mean_AE_L, 3, FALSE))</f>
        <v>-0.36856481497342231</v>
      </c>
      <c r="T31" s="1">
        <f>(Main_L[[#This Row],[P/E]]-VLOOKUP(Main_L[[#This Row],[Industry]], Mean_PE_L, 2, FALSE))/(VLOOKUP(Main_L[[#This Row],[Industry]], Mean_PE_L, 3, FALSE))</f>
        <v>-0.64282806309611373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105</v>
      </c>
      <c r="B32" s="67" t="s">
        <v>109</v>
      </c>
      <c r="C32" s="2">
        <v>26654</v>
      </c>
      <c r="D32">
        <f>RTD("tos.rtd", , "LAST", Main_L[[#This Row],[Symbol]])</f>
        <v>2.4900000000000002</v>
      </c>
      <c r="E32">
        <v>-2.8</v>
      </c>
      <c r="F32">
        <v>2.82</v>
      </c>
      <c r="G32">
        <v>0.31</v>
      </c>
      <c r="H32" s="1">
        <f>IF(ISNUMBER(Main_L[[#This Row],[Free CF]]),IF(Main_L[[#This Row],[Free CF]]&lt;&gt;0,Main_L[[#This Row],[Current Price]]/Main_L[[#This Row],[Free CF]],""),"")</f>
        <v>-0.88928571428571446</v>
      </c>
      <c r="I32" s="1">
        <f>IF(ISNUMBER(Main_L[[#This Row],[BVPS]]),IF(Main_L[[#This Row],[BVPS]]&lt;&gt;0,Main_L[[#This Row],[Current Price]]/Main_L[[#This Row],[BVPS]],""),"")</f>
        <v>0.88297872340425543</v>
      </c>
      <c r="J32">
        <v>11.27</v>
      </c>
      <c r="K32">
        <v>0.95</v>
      </c>
      <c r="L32">
        <v>12.05</v>
      </c>
      <c r="M32" s="1">
        <f>IF(ISNUMBER(Main_L[[#This Row],[EPS]]),IF(Main_L[[#This Row],[EPS]]&lt;&gt;0,Main_L[[#This Row],[Current Price]]/Main_L[[#This Row],[EPS]],""),"")</f>
        <v>8.0322580645161299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-7.0572322330804738E-2</v>
      </c>
      <c r="P32" s="1">
        <f>(Main_L[[#This Row],[P/B]]-VLOOKUP(Main_L[[#This Row],[Industry]], Mean_PB_L, 2, FALSE))/(VLOOKUP(Main_L[[#This Row],[Industry]], Mean_PB_L, 3, FALSE))</f>
        <v>-0.83870175884639619</v>
      </c>
      <c r="Q32" s="1">
        <f>(Main_L[[#This Row],[ROE]]-VLOOKUP(Main_L[[#This Row],[Industry]], Mean_ROE_L, 2, FALSE))/(VLOOKUP(Main_L[[#This Row],[Industry]], Mean_ROE_L, 3, FALSE))</f>
        <v>-0.1163575277348961</v>
      </c>
      <c r="R32" s="1">
        <f>(Main_L[[#This Row],[ROA]]-VLOOKUP(Main_L[[#This Row],[Industry]], Mean_ROA_L, 2, FALSE))/(VLOOKUP(Main_L[[#This Row],[Industry]], Mean_ROA_L, 3, FALSE))</f>
        <v>2.0724264298421304E-2</v>
      </c>
      <c r="S32" s="1">
        <f>(Main_L[[#This Row],[A/E]]-VLOOKUP(Main_L[[#This Row],[Industry]], Mean_AE_L, 2, FALSE))/(VLOOKUP(Main_L[[#This Row],[Industry]], Mean_AE_L, 3, FALSE))</f>
        <v>-0.36856481497342231</v>
      </c>
      <c r="T32" s="1">
        <f>(Main_L[[#This Row],[P/E]]-VLOOKUP(Main_L[[#This Row],[Industry]], Mean_PE_L, 2, FALSE))/(VLOOKUP(Main_L[[#This Row],[Industry]], Mean_PE_L, 3, FALSE))</f>
        <v>-0.96774352028589417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7" t="s">
        <v>105</v>
      </c>
      <c r="B33" s="67" t="s">
        <v>121</v>
      </c>
      <c r="C33" s="2">
        <v>192517</v>
      </c>
      <c r="D33">
        <f>RTD("tos.rtd", , "LAST", Main_L[[#This Row],[Symbol]])</f>
        <v>76.23</v>
      </c>
      <c r="E33">
        <v>-3.24</v>
      </c>
      <c r="F33">
        <v>7.99</v>
      </c>
      <c r="G33">
        <v>1.08</v>
      </c>
      <c r="H33" s="1">
        <f>IF(ISNUMBER(Main_L[[#This Row],[Free CF]]),IF(Main_L[[#This Row],[Free CF]]&lt;&gt;0,Main_L[[#This Row],[Current Price]]/Main_L[[#This Row],[Free CF]],""),"")</f>
        <v>-23.527777777777779</v>
      </c>
      <c r="I33" s="1">
        <f>IF(ISNUMBER(Main_L[[#This Row],[BVPS]]),IF(Main_L[[#This Row],[BVPS]]&lt;&gt;0,Main_L[[#This Row],[Current Price]]/Main_L[[#This Row],[BVPS]],""),"")</f>
        <v>9.5406758448060085</v>
      </c>
      <c r="J33">
        <v>14.57</v>
      </c>
      <c r="K33">
        <v>1.74</v>
      </c>
      <c r="L33">
        <v>8.42</v>
      </c>
      <c r="M33" s="1">
        <f>IF(ISNUMBER(Main_L[[#This Row],[EPS]]),IF(Main_L[[#This Row],[EPS]]&lt;&gt;0,Main_L[[#This Row],[Current Price]]/Main_L[[#This Row],[EPS]],""),"")</f>
        <v>70.583333333333329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-1.9351843080646287</v>
      </c>
      <c r="P33" s="1">
        <f>(Main_L[[#This Row],[P/B]]-VLOOKUP(Main_L[[#This Row],[Industry]], Mean_PB_L, 2, FALSE))/(VLOOKUP(Main_L[[#This Row],[Industry]], Mean_PB_L, 3, FALSE))</f>
        <v>18.169746537903929</v>
      </c>
      <c r="Q33" s="1">
        <f>(Main_L[[#This Row],[ROE]]-VLOOKUP(Main_L[[#This Row],[Industry]], Mean_ROE_L, 2, FALSE))/(VLOOKUP(Main_L[[#This Row],[Industry]], Mean_ROE_L, 3, FALSE))</f>
        <v>0.86363742743371685</v>
      </c>
      <c r="R33" s="1">
        <f>(Main_L[[#This Row],[ROA]]-VLOOKUP(Main_L[[#This Row],[Industry]], Mean_ROA_L, 2, FALSE))/(VLOOKUP(Main_L[[#This Row],[Industry]], Mean_ROA_L, 3, FALSE))</f>
        <v>1.623832458882519</v>
      </c>
      <c r="S33" s="1">
        <f>(Main_L[[#This Row],[A/E]]-VLOOKUP(Main_L[[#This Row],[Industry]], Mean_AE_L, 2, FALSE))/(VLOOKUP(Main_L[[#This Row],[Industry]], Mean_AE_L, 3, FALSE))</f>
        <v>-1.1954647095158375</v>
      </c>
      <c r="T33" s="1">
        <f>(Main_L[[#This Row],[P/E]]-VLOOKUP(Main_L[[#This Row],[Industry]], Mean_PE_L, 2, FALSE))/(VLOOKUP(Main_L[[#This Row],[Industry]], Mean_PE_L, 3, FALSE))</f>
        <v>15.612207737058421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4" spans="1:26" x14ac:dyDescent="0.25">
      <c r="A34" s="67" t="s">
        <v>105</v>
      </c>
      <c r="B34" s="67" t="s">
        <v>110</v>
      </c>
      <c r="C34" s="2">
        <v>86580</v>
      </c>
      <c r="D34">
        <f>RTD("tos.rtd", , "LAST", Main_L[[#This Row],[Symbol]])</f>
        <v>15.1</v>
      </c>
      <c r="E34">
        <v>-3.71</v>
      </c>
      <c r="F34">
        <v>10.34</v>
      </c>
      <c r="G34">
        <v>1.91</v>
      </c>
      <c r="H34" s="1">
        <f>IF(ISNUMBER(Main_L[[#This Row],[Free CF]]),IF(Main_L[[#This Row],[Free CF]]&lt;&gt;0,Main_L[[#This Row],[Current Price]]/Main_L[[#This Row],[Free CF]],""),"")</f>
        <v>-4.0700808625336924</v>
      </c>
      <c r="I34" s="1">
        <f>IF(ISNUMBER(Main_L[[#This Row],[BVPS]]),IF(Main_L[[#This Row],[BVPS]]&lt;&gt;0,Main_L[[#This Row],[Current Price]]/Main_L[[#This Row],[BVPS]],""),"")</f>
        <v>1.4603481624758221</v>
      </c>
      <c r="J34">
        <v>19.38</v>
      </c>
      <c r="K34">
        <v>1.42</v>
      </c>
      <c r="L34">
        <v>14.03</v>
      </c>
      <c r="M34" s="1">
        <f>IF(ISNUMBER(Main_L[[#This Row],[EPS]]),IF(Main_L[[#This Row],[EPS]]&lt;&gt;0,Main_L[[#This Row],[Current Price]]/Main_L[[#This Row],[EPS]],""),"")</f>
        <v>7.9057591623036654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-0.33255747315062067</v>
      </c>
      <c r="P34" s="1">
        <f>(Main_L[[#This Row],[P/B]]-VLOOKUP(Main_L[[#This Row],[Industry]], Mean_PB_L, 2, FALSE))/(VLOOKUP(Main_L[[#This Row],[Industry]], Mean_PB_L, 3, FALSE))</f>
        <v>0.42894447280402287</v>
      </c>
      <c r="Q34" s="1">
        <f>(Main_L[[#This Row],[ROE]]-VLOOKUP(Main_L[[#This Row],[Industry]], Mean_ROE_L, 2, FALSE))/(VLOOKUP(Main_L[[#This Row],[Industry]], Mean_ROE_L, 3, FALSE))</f>
        <v>2.2920543166340277</v>
      </c>
      <c r="R34" s="1">
        <f>(Main_L[[#This Row],[ROA]]-VLOOKUP(Main_L[[#This Row],[Industry]], Mean_ROA_L, 2, FALSE))/(VLOOKUP(Main_L[[#This Row],[Industry]], Mean_ROA_L, 3, FALSE))</f>
        <v>0.97447217753199833</v>
      </c>
      <c r="S34" s="1">
        <f>(Main_L[[#This Row],[A/E]]-VLOOKUP(Main_L[[#This Row],[Industry]], Mean_AE_L, 2, FALSE))/(VLOOKUP(Main_L[[#This Row],[Industry]], Mean_AE_L, 3, FALSE))</f>
        <v>8.247149114062198E-2</v>
      </c>
      <c r="T34" s="1">
        <f>(Main_L[[#This Row],[P/E]]-VLOOKUP(Main_L[[#This Row],[Industry]], Mean_PE_L, 2, FALSE))/(VLOOKUP(Main_L[[#This Row],[Industry]], Mean_PE_L, 3, FALSE))</f>
        <v>-1.0012736494447736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105</v>
      </c>
      <c r="B35" s="67" t="s">
        <v>140</v>
      </c>
      <c r="C35" s="2">
        <v>99492</v>
      </c>
      <c r="D35">
        <f>RTD("tos.rtd", , "LAST", Main_L[[#This Row],[Symbol]])</f>
        <v>15.24</v>
      </c>
      <c r="E35">
        <v>-7.95</v>
      </c>
      <c r="F35">
        <v>25.31</v>
      </c>
      <c r="G35">
        <v>2.0099999999999998</v>
      </c>
      <c r="H35" s="1">
        <f>IF(ISNUMBER(Main_L[[#This Row],[Free CF]]),IF(Main_L[[#This Row],[Free CF]]&lt;&gt;0,Main_L[[#This Row],[Current Price]]/Main_L[[#This Row],[Free CF]],""),"")</f>
        <v>-1.9169811320754717</v>
      </c>
      <c r="I35" s="1">
        <f>IF(ISNUMBER(Main_L[[#This Row],[BVPS]]),IF(Main_L[[#This Row],[BVPS]]&lt;&gt;0,Main_L[[#This Row],[Current Price]]/Main_L[[#This Row],[BVPS]],""),"")</f>
        <v>0.60213354405373376</v>
      </c>
      <c r="J35">
        <v>7.63</v>
      </c>
      <c r="K35">
        <v>0.4</v>
      </c>
      <c r="L35">
        <v>20.83</v>
      </c>
      <c r="M35" s="1">
        <f>IF(ISNUMBER(Main_L[[#This Row],[EPS]]),IF(Main_L[[#This Row],[EPS]]&lt;&gt;0,Main_L[[#This Row],[Current Price]]/Main_L[[#This Row],[EPS]],""),"")</f>
        <v>7.5820895522388065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-0.15521811889358705</v>
      </c>
      <c r="P35" s="1">
        <f>(Main_L[[#This Row],[P/B]]-VLOOKUP(Main_L[[#This Row],[Industry]], Mean_PB_L, 2, FALSE))/(VLOOKUP(Main_L[[#This Row],[Industry]], Mean_PB_L, 3, FALSE))</f>
        <v>-1.4553127347466048</v>
      </c>
      <c r="Q35" s="1">
        <f>(Main_L[[#This Row],[ROE]]-VLOOKUP(Main_L[[#This Row],[Industry]], Mean_ROE_L, 2, FALSE))/(VLOOKUP(Main_L[[#This Row],[Industry]], Mean_ROE_L, 3, FALSE))</f>
        <v>-1.1973216601026992</v>
      </c>
      <c r="R35" s="1">
        <f>(Main_L[[#This Row],[ROA]]-VLOOKUP(Main_L[[#This Row],[Industry]], Mean_ROA_L, 2, FALSE))/(VLOOKUP(Main_L[[#This Row],[Industry]], Mean_ROA_L, 3, FALSE))</f>
        <v>-1.0953637192727859</v>
      </c>
      <c r="S35" s="1">
        <f>(Main_L[[#This Row],[A/E]]-VLOOKUP(Main_L[[#This Row],[Industry]], Mean_AE_L, 2, FALSE))/(VLOOKUP(Main_L[[#This Row],[Industry]], Mean_AE_L, 3, FALSE))</f>
        <v>1.6314850676939063</v>
      </c>
      <c r="T35" s="1">
        <f>(Main_L[[#This Row],[P/E]]-VLOOKUP(Main_L[[#This Row],[Industry]], Mean_PE_L, 2, FALSE))/(VLOOKUP(Main_L[[#This Row],[Industry]], Mean_PE_L, 3, FALSE))</f>
        <v>-1.0870663610056293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7" t="s">
        <v>105</v>
      </c>
      <c r="B36" s="67" t="s">
        <v>113</v>
      </c>
      <c r="C36" s="2">
        <v>77514</v>
      </c>
      <c r="D36">
        <f>RTD("tos.rtd", , "LAST", Main_L[[#This Row],[Symbol]])</f>
        <v>108.05</v>
      </c>
      <c r="E36">
        <v>-8.7200000000000006</v>
      </c>
      <c r="F36">
        <v>84.44</v>
      </c>
      <c r="G36">
        <v>7.81</v>
      </c>
      <c r="H36" s="1">
        <f>IF(ISNUMBER(Main_L[[#This Row],[Free CF]]),IF(Main_L[[#This Row],[Free CF]]&lt;&gt;0,Main_L[[#This Row],[Current Price]]/Main_L[[#This Row],[Free CF]],""),"")</f>
        <v>-12.391055045871559</v>
      </c>
      <c r="I36" s="1">
        <f>IF(ISNUMBER(Main_L[[#This Row],[BVPS]]),IF(Main_L[[#This Row],[BVPS]]&lt;&gt;0,Main_L[[#This Row],[Current Price]]/Main_L[[#This Row],[BVPS]],""),"")</f>
        <v>1.2796068214116532</v>
      </c>
      <c r="J36">
        <v>10</v>
      </c>
      <c r="K36">
        <v>0.59</v>
      </c>
      <c r="L36">
        <v>17.14</v>
      </c>
      <c r="M36" s="1">
        <f>IF(ISNUMBER(Main_L[[#This Row],[EPS]]),IF(Main_L[[#This Row],[EPS]]&lt;&gt;0,Main_L[[#This Row],[Current Price]]/Main_L[[#This Row],[EPS]],""),"")</f>
        <v>13.834827144686299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-1.01791178702095</v>
      </c>
      <c r="P36" s="1">
        <f>(Main_L[[#This Row],[P/B]]-VLOOKUP(Main_L[[#This Row],[Industry]], Mean_PB_L, 2, FALSE))/(VLOOKUP(Main_L[[#This Row],[Industry]], Mean_PB_L, 3, FALSE))</f>
        <v>3.2116957527383382E-2</v>
      </c>
      <c r="Q36" s="1">
        <f>(Main_L[[#This Row],[ROE]]-VLOOKUP(Main_L[[#This Row],[Industry]], Mean_ROE_L, 2, FALSE))/(VLOOKUP(Main_L[[#This Row],[Industry]], Mean_ROE_L, 3, FALSE))</f>
        <v>-0.49350710139069542</v>
      </c>
      <c r="R36" s="1">
        <f>(Main_L[[#This Row],[ROA]]-VLOOKUP(Main_L[[#This Row],[Industry]], Mean_ROA_L, 2, FALSE))/(VLOOKUP(Main_L[[#This Row],[Industry]], Mean_ROA_L, 3, FALSE))</f>
        <v>-0.70980605222091431</v>
      </c>
      <c r="S36" s="1">
        <f>(Main_L[[#This Row],[A/E]]-VLOOKUP(Main_L[[#This Row],[Industry]], Mean_AE_L, 2, FALSE))/(VLOOKUP(Main_L[[#This Row],[Industry]], Mean_AE_L, 3, FALSE))</f>
        <v>0.79091740629955087</v>
      </c>
      <c r="T36" s="1">
        <f>(Main_L[[#This Row],[P/E]]-VLOOKUP(Main_L[[#This Row],[Industry]], Mean_PE_L, 2, FALSE))/(VLOOKUP(Main_L[[#This Row],[Industry]], Mean_PE_L, 3, FALSE))</f>
        <v>0.57030058372258097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105</v>
      </c>
      <c r="B37" s="67" t="s">
        <v>138</v>
      </c>
      <c r="C37" s="2">
        <v>36482</v>
      </c>
      <c r="D37">
        <f>RTD("tos.rtd", , "LAST", Main_L[[#This Row],[Symbol]])</f>
        <v>31.97</v>
      </c>
      <c r="E37">
        <v>-11.5</v>
      </c>
      <c r="F37">
        <v>18.059999999999999</v>
      </c>
      <c r="G37">
        <v>1.46</v>
      </c>
      <c r="H37" s="1">
        <f>IF(ISNUMBER(Main_L[[#This Row],[Free CF]]),IF(Main_L[[#This Row],[Free CF]]&lt;&gt;0,Main_L[[#This Row],[Current Price]]/Main_L[[#This Row],[Free CF]],""),"")</f>
        <v>-2.78</v>
      </c>
      <c r="I37" s="1">
        <f>IF(ISNUMBER(Main_L[[#This Row],[BVPS]]),IF(Main_L[[#This Row],[BVPS]]&lt;&gt;0,Main_L[[#This Row],[Current Price]]/Main_L[[#This Row],[BVPS]],""),"")</f>
        <v>1.7702104097452935</v>
      </c>
      <c r="J37">
        <v>8.2100000000000009</v>
      </c>
      <c r="K37">
        <v>0.5</v>
      </c>
      <c r="L37">
        <v>17.29</v>
      </c>
      <c r="M37" s="1">
        <f>IF(ISNUMBER(Main_L[[#This Row],[EPS]]),IF(Main_L[[#This Row],[EPS]]&lt;&gt;0,Main_L[[#This Row],[Current Price]]/Main_L[[#This Row],[EPS]],""),"")</f>
        <v>21.897260273972602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-0.22630038535079411</v>
      </c>
      <c r="P37" s="1">
        <f>(Main_L[[#This Row],[P/B]]-VLOOKUP(Main_L[[#This Row],[Industry]], Mean_PB_L, 2, FALSE))/(VLOOKUP(Main_L[[#This Row],[Industry]], Mean_PB_L, 3, FALSE))</f>
        <v>1.1092640108687792</v>
      </c>
      <c r="Q37" s="1">
        <f>(Main_L[[#This Row],[ROE]]-VLOOKUP(Main_L[[#This Row],[Industry]], Mean_ROE_L, 2, FALSE))/(VLOOKUP(Main_L[[#This Row],[Industry]], Mean_ROE_L, 3, FALSE))</f>
        <v>-1.0250801225276094</v>
      </c>
      <c r="R37" s="1">
        <f>(Main_L[[#This Row],[ROA]]-VLOOKUP(Main_L[[#This Row],[Industry]], Mean_ROA_L, 2, FALSE))/(VLOOKUP(Main_L[[#This Row],[Industry]], Mean_ROA_L, 3, FALSE))</f>
        <v>-0.89243863135074819</v>
      </c>
      <c r="S37" s="1">
        <f>(Main_L[[#This Row],[A/E]]-VLOOKUP(Main_L[[#This Row],[Industry]], Mean_AE_L, 2, FALSE))/(VLOOKUP(Main_L[[#This Row],[Industry]], Mean_AE_L, 3, FALSE))</f>
        <v>0.82508682342940243</v>
      </c>
      <c r="T37" s="1">
        <f>(Main_L[[#This Row],[P/E]]-VLOOKUP(Main_L[[#This Row],[Industry]], Mean_PE_L, 2, FALSE))/(VLOOKUP(Main_L[[#This Row],[Industry]], Mean_PE_L, 3, FALSE))</f>
        <v>2.7073501504117101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105</v>
      </c>
      <c r="B38" s="67" t="s">
        <v>139</v>
      </c>
      <c r="C38" s="2">
        <v>20255</v>
      </c>
      <c r="D38">
        <f>RTD("tos.rtd", , "LAST", Main_L[[#This Row],[Symbol]])</f>
        <v>44.28</v>
      </c>
      <c r="E38">
        <v>-12.71</v>
      </c>
      <c r="F38">
        <v>71.349999999999994</v>
      </c>
      <c r="G38">
        <v>5.99</v>
      </c>
      <c r="H38" s="1">
        <f>IF(ISNUMBER(Main_L[[#This Row],[Free CF]]),IF(Main_L[[#This Row],[Free CF]]&lt;&gt;0,Main_L[[#This Row],[Current Price]]/Main_L[[#This Row],[Free CF]],""),"")</f>
        <v>-3.4838709677419355</v>
      </c>
      <c r="I38" s="1">
        <f>IF(ISNUMBER(Main_L[[#This Row],[BVPS]]),IF(Main_L[[#This Row],[BVPS]]&lt;&gt;0,Main_L[[#This Row],[Current Price]]/Main_L[[#This Row],[BVPS]],""),"")</f>
        <v>0.62060266292922217</v>
      </c>
      <c r="J38">
        <v>8.14</v>
      </c>
      <c r="K38">
        <v>0.65</v>
      </c>
      <c r="L38">
        <v>13.13</v>
      </c>
      <c r="M38" s="1">
        <f>IF(ISNUMBER(Main_L[[#This Row],[EPS]]),IF(Main_L[[#This Row],[EPS]]&lt;&gt;0,Main_L[[#This Row],[Current Price]]/Main_L[[#This Row],[EPS]],""),"")</f>
        <v>7.3923205342237059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-0.28427448712315528</v>
      </c>
      <c r="P38" s="1">
        <f>(Main_L[[#This Row],[P/B]]-VLOOKUP(Main_L[[#This Row],[Industry]], Mean_PB_L, 2, FALSE))/(VLOOKUP(Main_L[[#This Row],[Industry]], Mean_PB_L, 3, FALSE))</f>
        <v>-1.414762772521267</v>
      </c>
      <c r="Q38" s="1">
        <f>(Main_L[[#This Row],[ROE]]-VLOOKUP(Main_L[[#This Row],[Industry]], Mean_ROE_L, 2, FALSE))/(VLOOKUP(Main_L[[#This Row],[Industry]], Mean_ROE_L, 3, FALSE))</f>
        <v>-1.0458678943039132</v>
      </c>
      <c r="R38" s="1">
        <f>(Main_L[[#This Row],[ROA]]-VLOOKUP(Main_L[[#This Row],[Industry]], Mean_ROA_L, 2, FALSE))/(VLOOKUP(Main_L[[#This Row],[Industry]], Mean_ROA_L, 3, FALSE))</f>
        <v>-0.58805099946769157</v>
      </c>
      <c r="S38" s="1">
        <f>(Main_L[[#This Row],[A/E]]-VLOOKUP(Main_L[[#This Row],[Industry]], Mean_AE_L, 2, FALSE))/(VLOOKUP(Main_L[[#This Row],[Industry]], Mean_AE_L, 3, FALSE))</f>
        <v>-0.12254501163848888</v>
      </c>
      <c r="T38" s="1">
        <f>(Main_L[[#This Row],[P/E]]-VLOOKUP(Main_L[[#This Row],[Industry]], Mean_PE_L, 2, FALSE))/(VLOOKUP(Main_L[[#This Row],[Industry]], Mean_PE_L, 3, FALSE))</f>
        <v>-1.1373670321823079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7" t="s">
        <v>105</v>
      </c>
      <c r="B39" s="67" t="s">
        <v>141</v>
      </c>
      <c r="C39" s="2">
        <v>118937</v>
      </c>
      <c r="D39">
        <f>RTD("tos.rtd", , "LAST", Main_L[[#This Row],[Symbol]])</f>
        <v>70.09</v>
      </c>
      <c r="E39">
        <v>-13.5</v>
      </c>
      <c r="F39">
        <v>51.55</v>
      </c>
      <c r="G39">
        <v>6.99</v>
      </c>
      <c r="H39" s="1">
        <f>IF(ISNUMBER(Main_L[[#This Row],[Free CF]]),IF(Main_L[[#This Row],[Free CF]]&lt;&gt;0,Main_L[[#This Row],[Current Price]]/Main_L[[#This Row],[Free CF]],""),"")</f>
        <v>-5.1918518518518519</v>
      </c>
      <c r="I39" s="1">
        <f>IF(ISNUMBER(Main_L[[#This Row],[BVPS]]),IF(Main_L[[#This Row],[BVPS]]&lt;&gt;0,Main_L[[#This Row],[Current Price]]/Main_L[[#This Row],[BVPS]],""),"")</f>
        <v>1.3596508244422891</v>
      </c>
      <c r="J39">
        <v>14.6</v>
      </c>
      <c r="K39">
        <v>0.86</v>
      </c>
      <c r="L39">
        <v>16.82</v>
      </c>
      <c r="M39" s="1">
        <f>IF(ISNUMBER(Main_L[[#This Row],[EPS]]),IF(Main_L[[#This Row],[EPS]]&lt;&gt;0,Main_L[[#This Row],[Current Price]]/Main_L[[#This Row],[EPS]],""),"")</f>
        <v>10.027181688125895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-0.42495177335687229</v>
      </c>
      <c r="P39" s="1">
        <f>(Main_L[[#This Row],[P/B]]-VLOOKUP(Main_L[[#This Row],[Industry]], Mean_PB_L, 2, FALSE))/(VLOOKUP(Main_L[[#This Row],[Industry]], Mean_PB_L, 3, FALSE))</f>
        <v>0.20785795097373586</v>
      </c>
      <c r="Q39" s="1">
        <f>(Main_L[[#This Row],[ROE]]-VLOOKUP(Main_L[[#This Row],[Industry]], Mean_ROE_L, 2, FALSE))/(VLOOKUP(Main_L[[#This Row],[Industry]], Mean_ROE_L, 3, FALSE))</f>
        <v>0.87254647248070405</v>
      </c>
      <c r="R39" s="1">
        <f>(Main_L[[#This Row],[ROA]]-VLOOKUP(Main_L[[#This Row],[Industry]], Mean_ROA_L, 2, FALSE))/(VLOOKUP(Main_L[[#This Row],[Industry]], Mean_ROA_L, 3, FALSE))</f>
        <v>-0.16190831483141255</v>
      </c>
      <c r="S39" s="1">
        <f>(Main_L[[#This Row],[A/E]]-VLOOKUP(Main_L[[#This Row],[Industry]], Mean_AE_L, 2, FALSE))/(VLOOKUP(Main_L[[#This Row],[Industry]], Mean_AE_L, 3, FALSE))</f>
        <v>0.71802264975586683</v>
      </c>
      <c r="T39" s="1">
        <f>(Main_L[[#This Row],[P/E]]-VLOOKUP(Main_L[[#This Row],[Industry]], Mean_PE_L, 2, FALSE))/(VLOOKUP(Main_L[[#This Row],[Industry]], Mean_PE_L, 3, FALSE))</f>
        <v>-0.4389638582348499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105</v>
      </c>
      <c r="B40" s="67" t="s">
        <v>260</v>
      </c>
      <c r="C40" s="2">
        <v>10223</v>
      </c>
      <c r="D40">
        <f>RTD("tos.rtd", , "LAST", Main_L[[#This Row],[Symbol]])</f>
        <v>45.23</v>
      </c>
      <c r="E40">
        <v>-14.71</v>
      </c>
      <c r="F40">
        <v>27.88</v>
      </c>
      <c r="G40">
        <v>2.4900000000000002</v>
      </c>
      <c r="H40" s="1">
        <f>IF(ISNUMBER(Main_L[[#This Row],[Free CF]]),IF(Main_L[[#This Row],[Free CF]]&lt;&gt;0,Main_L[[#This Row],[Current Price]]/Main_L[[#This Row],[Free CF]],""),"")</f>
        <v>-3.074779061862678</v>
      </c>
      <c r="I40" s="1">
        <f>IF(ISNUMBER(Main_L[[#This Row],[BVPS]]),IF(Main_L[[#This Row],[BVPS]]&lt;&gt;0,Main_L[[#This Row],[Current Price]]/Main_L[[#This Row],[BVPS]],""),"")</f>
        <v>1.6223098995695839</v>
      </c>
      <c r="J40">
        <v>8.6</v>
      </c>
      <c r="K40">
        <v>0.57999999999999996</v>
      </c>
      <c r="L40">
        <v>15.79</v>
      </c>
      <c r="M40" s="1">
        <f>IF(ISNUMBER(Main_L[[#This Row],[EPS]]),IF(Main_L[[#This Row],[EPS]]&lt;&gt;0,Main_L[[#This Row],[Current Price]]/Main_L[[#This Row],[EPS]],""),"")</f>
        <v>18.164658634538149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-0.25057976625438849</v>
      </c>
      <c r="P40" s="1">
        <f>(Main_L[[#This Row],[P/B]]-VLOOKUP(Main_L[[#This Row],[Industry]], Mean_PB_L, 2, FALSE))/(VLOOKUP(Main_L[[#This Row],[Industry]], Mean_PB_L, 3, FALSE))</f>
        <v>0.78454033882112639</v>
      </c>
      <c r="Q40" s="1">
        <f>(Main_L[[#This Row],[ROE]]-VLOOKUP(Main_L[[#This Row],[Industry]], Mean_ROE_L, 2, FALSE))/(VLOOKUP(Main_L[[#This Row],[Industry]], Mean_ROE_L, 3, FALSE))</f>
        <v>-0.90926253691677361</v>
      </c>
      <c r="R40" s="1">
        <f>(Main_L[[#This Row],[ROA]]-VLOOKUP(Main_L[[#This Row],[Industry]], Mean_ROA_L, 2, FALSE))/(VLOOKUP(Main_L[[#This Row],[Industry]], Mean_ROA_L, 3, FALSE))</f>
        <v>-0.7300985610131181</v>
      </c>
      <c r="S40" s="1">
        <f>(Main_L[[#This Row],[A/E]]-VLOOKUP(Main_L[[#This Row],[Industry]], Mean_AE_L, 2, FALSE))/(VLOOKUP(Main_L[[#This Row],[Industry]], Mean_AE_L, 3, FALSE))</f>
        <v>0.48339265213088378</v>
      </c>
      <c r="T40" s="1">
        <f>(Main_L[[#This Row],[P/E]]-VLOOKUP(Main_L[[#This Row],[Industry]], Mean_PE_L, 2, FALSE))/(VLOOKUP(Main_L[[#This Row],[Industry]], Mean_PE_L, 3, FALSE))</f>
        <v>1.717977018471992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7" t="s">
        <v>105</v>
      </c>
      <c r="B41" s="67" t="s">
        <v>712</v>
      </c>
      <c r="C41" s="2">
        <v>21543</v>
      </c>
      <c r="D41">
        <f>RTD("tos.rtd", , "LAST", Main_L[[#This Row],[Symbol]])</f>
        <v>26.62</v>
      </c>
      <c r="E41">
        <v>-15.54</v>
      </c>
      <c r="F41">
        <v>35.729999999999997</v>
      </c>
      <c r="G41">
        <v>2.82</v>
      </c>
      <c r="H41" s="1">
        <f>IF(ISNUMBER(Main_L[[#This Row],[Free CF]]),IF(Main_L[[#This Row],[Free CF]]&lt;&gt;0,Main_L[[#This Row],[Current Price]]/Main_L[[#This Row],[Free CF]],""),"")</f>
        <v>-1.7129987129987132</v>
      </c>
      <c r="I41" s="1">
        <f>IF(ISNUMBER(Main_L[[#This Row],[BVPS]]),IF(Main_L[[#This Row],[BVPS]]&lt;&gt;0,Main_L[[#This Row],[Current Price]]/Main_L[[#This Row],[BVPS]],""),"")</f>
        <v>0.74503218583823128</v>
      </c>
      <c r="J41">
        <v>8.91</v>
      </c>
      <c r="K41">
        <v>0.57999999999999996</v>
      </c>
      <c r="L41">
        <v>14.84</v>
      </c>
      <c r="M41" s="1">
        <f>IF(ISNUMBER(Main_L[[#This Row],[EPS]]),IF(Main_L[[#This Row],[EPS]]&lt;&gt;0,Main_L[[#This Row],[Current Price]]/Main_L[[#This Row],[EPS]],""),"")</f>
        <v>9.4397163120567384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-0.13841717374128729</v>
      </c>
      <c r="P41" s="1">
        <f>(Main_L[[#This Row],[P/B]]-VLOOKUP(Main_L[[#This Row],[Industry]], Mean_PB_L, 2, FALSE))/(VLOOKUP(Main_L[[#This Row],[Industry]], Mean_PB_L, 3, FALSE))</f>
        <v>-1.1415709387530903</v>
      </c>
      <c r="Q41" s="1">
        <f>(Main_L[[#This Row],[ROE]]-VLOOKUP(Main_L[[#This Row],[Industry]], Mean_ROE_L, 2, FALSE))/(VLOOKUP(Main_L[[#This Row],[Industry]], Mean_ROE_L, 3, FALSE))</f>
        <v>-0.81720240476457051</v>
      </c>
      <c r="R41" s="1">
        <f>(Main_L[[#This Row],[ROA]]-VLOOKUP(Main_L[[#This Row],[Industry]], Mean_ROA_L, 2, FALSE))/(VLOOKUP(Main_L[[#This Row],[Industry]], Mean_ROA_L, 3, FALSE))</f>
        <v>-0.7300985610131181</v>
      </c>
      <c r="S41" s="1">
        <f>(Main_L[[#This Row],[A/E]]-VLOOKUP(Main_L[[#This Row],[Industry]], Mean_AE_L, 2, FALSE))/(VLOOKUP(Main_L[[#This Row],[Industry]], Mean_AE_L, 3, FALSE))</f>
        <v>0.26698634364182217</v>
      </c>
      <c r="T41" s="1">
        <f>(Main_L[[#This Row],[P/E]]-VLOOKUP(Main_L[[#This Row],[Industry]], Mean_PE_L, 2, FALSE))/(VLOOKUP(Main_L[[#This Row],[Industry]], Mean_PE_L, 3, FALSE))</f>
        <v>-0.59467896399034903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105</v>
      </c>
      <c r="B42" s="67" t="s">
        <v>130</v>
      </c>
      <c r="C42" s="2">
        <v>69765</v>
      </c>
      <c r="D42">
        <f>RTD("tos.rtd", , "LAST", Main_L[[#This Row],[Symbol]])</f>
        <v>5.61</v>
      </c>
      <c r="E42">
        <v>-16.07</v>
      </c>
      <c r="F42">
        <v>27.75</v>
      </c>
      <c r="G42">
        <v>2.34</v>
      </c>
      <c r="H42" s="1">
        <f>IF(ISNUMBER(Main_L[[#This Row],[Free CF]]),IF(Main_L[[#This Row],[Free CF]]&lt;&gt;0,Main_L[[#This Row],[Current Price]]/Main_L[[#This Row],[Free CF]],""),"")</f>
        <v>-0.34909769757311765</v>
      </c>
      <c r="I42" s="1">
        <f>IF(ISNUMBER(Main_L[[#This Row],[BVPS]]),IF(Main_L[[#This Row],[BVPS]]&lt;&gt;0,Main_L[[#This Row],[Current Price]]/Main_L[[#This Row],[BVPS]],""),"")</f>
        <v>0.20216216216216218</v>
      </c>
      <c r="J42">
        <v>8.5299999999999994</v>
      </c>
      <c r="K42">
        <v>0.32</v>
      </c>
      <c r="L42">
        <v>27.13</v>
      </c>
      <c r="M42" s="1">
        <f>IF(ISNUMBER(Main_L[[#This Row],[EPS]]),IF(Main_L[[#This Row],[EPS]]&lt;&gt;0,Main_L[[#This Row],[Current Price]]/Main_L[[#This Row],[EPS]],""),"")</f>
        <v>2.3974358974358978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-2.6079913221259094E-2</v>
      </c>
      <c r="P42" s="1">
        <f>(Main_L[[#This Row],[P/B]]-VLOOKUP(Main_L[[#This Row],[Industry]], Mean_PB_L, 2, FALSE))/(VLOOKUP(Main_L[[#This Row],[Industry]], Mean_PB_L, 3, FALSE))</f>
        <v>-2.333471814032432</v>
      </c>
      <c r="Q42" s="1">
        <f>(Main_L[[#This Row],[ROE]]-VLOOKUP(Main_L[[#This Row],[Industry]], Mean_ROE_L, 2, FALSE))/(VLOOKUP(Main_L[[#This Row],[Industry]], Mean_ROE_L, 3, FALSE))</f>
        <v>-0.9300503086930777</v>
      </c>
      <c r="R42" s="1">
        <f>(Main_L[[#This Row],[ROA]]-VLOOKUP(Main_L[[#This Row],[Industry]], Mean_ROA_L, 2, FALSE))/(VLOOKUP(Main_L[[#This Row],[Industry]], Mean_ROA_L, 3, FALSE))</f>
        <v>-1.257703789610416</v>
      </c>
      <c r="S42" s="1">
        <f>(Main_L[[#This Row],[A/E]]-VLOOKUP(Main_L[[#This Row],[Industry]], Mean_AE_L, 2, FALSE))/(VLOOKUP(Main_L[[#This Row],[Industry]], Mean_AE_L, 3, FALSE))</f>
        <v>3.0666005871476845</v>
      </c>
      <c r="T42" s="1">
        <f>(Main_L[[#This Row],[P/E]]-VLOOKUP(Main_L[[#This Row],[Industry]], Mean_PE_L, 2, FALSE))/(VLOOKUP(Main_L[[#This Row],[Industry]], Mean_PE_L, 3, FALSE))</f>
        <v>-2.4613241897227236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105</v>
      </c>
      <c r="B43" s="67" t="s">
        <v>124</v>
      </c>
      <c r="C43" s="2">
        <v>63701</v>
      </c>
      <c r="D43">
        <f>RTD("tos.rtd", , "LAST", Main_L[[#This Row],[Symbol]])</f>
        <v>21.22</v>
      </c>
      <c r="E43">
        <v>-18.02</v>
      </c>
      <c r="F43">
        <v>18.329999999999998</v>
      </c>
      <c r="G43">
        <v>1.78</v>
      </c>
      <c r="H43" s="1">
        <f>IF(ISNUMBER(Main_L[[#This Row],[Free CF]]),IF(Main_L[[#This Row],[Free CF]]&lt;&gt;0,Main_L[[#This Row],[Current Price]]/Main_L[[#This Row],[Free CF]],""),"")</f>
        <v>-1.1775804661487237</v>
      </c>
      <c r="I43" s="1">
        <f>IF(ISNUMBER(Main_L[[#This Row],[BVPS]]),IF(Main_L[[#This Row],[BVPS]]&lt;&gt;0,Main_L[[#This Row],[Current Price]]/Main_L[[#This Row],[BVPS]],""),"")</f>
        <v>1.1576650300054556</v>
      </c>
      <c r="J43">
        <v>10.24</v>
      </c>
      <c r="K43">
        <v>0.52</v>
      </c>
      <c r="L43">
        <v>20.88</v>
      </c>
      <c r="M43" s="1">
        <f>IF(ISNUMBER(Main_L[[#This Row],[EPS]]),IF(Main_L[[#This Row],[EPS]]&lt;&gt;0,Main_L[[#This Row],[Current Price]]/Main_L[[#This Row],[EPS]],""),"")</f>
        <v>11.921348314606741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-9.4317625164592758E-2</v>
      </c>
      <c r="P43" s="1">
        <f>(Main_L[[#This Row],[P/B]]-VLOOKUP(Main_L[[#This Row],[Industry]], Mean_PB_L, 2, FALSE))/(VLOOKUP(Main_L[[#This Row],[Industry]], Mean_PB_L, 3, FALSE))</f>
        <v>-0.23561292544899498</v>
      </c>
      <c r="Q43" s="1">
        <f>(Main_L[[#This Row],[ROE]]-VLOOKUP(Main_L[[#This Row],[Industry]], Mean_ROE_L, 2, FALSE))/(VLOOKUP(Main_L[[#This Row],[Industry]], Mean_ROE_L, 3, FALSE))</f>
        <v>-0.42223474101479624</v>
      </c>
      <c r="R43" s="1">
        <f>(Main_L[[#This Row],[ROA]]-VLOOKUP(Main_L[[#This Row],[Industry]], Mean_ROA_L, 2, FALSE))/(VLOOKUP(Main_L[[#This Row],[Industry]], Mean_ROA_L, 3, FALSE))</f>
        <v>-0.85185361376634061</v>
      </c>
      <c r="S43" s="1">
        <f>(Main_L[[#This Row],[A/E]]-VLOOKUP(Main_L[[#This Row],[Industry]], Mean_AE_L, 2, FALSE))/(VLOOKUP(Main_L[[#This Row],[Industry]], Mean_AE_L, 3, FALSE))</f>
        <v>1.642874873403857</v>
      </c>
      <c r="T43" s="1">
        <f>(Main_L[[#This Row],[P/E]]-VLOOKUP(Main_L[[#This Row],[Industry]], Mean_PE_L, 2, FALSE))/(VLOOKUP(Main_L[[#This Row],[Industry]], Mean_PE_L, 3, FALSE))</f>
        <v>6.3108891200310921E-2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105</v>
      </c>
      <c r="B44" s="67" t="s">
        <v>118</v>
      </c>
      <c r="C44" s="2">
        <v>63469</v>
      </c>
      <c r="D44">
        <f>RTD("tos.rtd", , "LAST", Main_L[[#This Row],[Symbol]])</f>
        <v>68.709999999999994</v>
      </c>
      <c r="E44">
        <v>-19.53</v>
      </c>
      <c r="F44">
        <v>46.34</v>
      </c>
      <c r="G44">
        <v>5.77</v>
      </c>
      <c r="H44" s="1">
        <f>IF(ISNUMBER(Main_L[[#This Row],[Free CF]]),IF(Main_L[[#This Row],[Free CF]]&lt;&gt;0,Main_L[[#This Row],[Current Price]]/Main_L[[#This Row],[Free CF]],""),"")</f>
        <v>-3.5181771633384531</v>
      </c>
      <c r="I44" s="1">
        <f>IF(ISNUMBER(Main_L[[#This Row],[BVPS]]),IF(Main_L[[#This Row],[BVPS]]&lt;&gt;0,Main_L[[#This Row],[Current Price]]/Main_L[[#This Row],[BVPS]],""),"")</f>
        <v>1.4827362969356925</v>
      </c>
      <c r="J44">
        <v>13.36</v>
      </c>
      <c r="K44">
        <v>0.75</v>
      </c>
      <c r="L44">
        <v>18.27</v>
      </c>
      <c r="M44" s="1">
        <f>IF(ISNUMBER(Main_L[[#This Row],[EPS]]),IF(Main_L[[#This Row],[EPS]]&lt;&gt;0,Main_L[[#This Row],[Current Price]]/Main_L[[#This Row],[EPS]],""),"")</f>
        <v>11.908145580589254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-0.28710010568974492</v>
      </c>
      <c r="P44" s="1">
        <f>(Main_L[[#This Row],[P/B]]-VLOOKUP(Main_L[[#This Row],[Industry]], Mean_PB_L, 2, FALSE))/(VLOOKUP(Main_L[[#This Row],[Industry]], Mean_PB_L, 3, FALSE))</f>
        <v>0.47809884842766898</v>
      </c>
      <c r="Q44" s="1">
        <f>(Main_L[[#This Row],[ROE]]-VLOOKUP(Main_L[[#This Row],[Industry]], Mean_ROE_L, 2, FALSE))/(VLOOKUP(Main_L[[#This Row],[Industry]], Mean_ROE_L, 3, FALSE))</f>
        <v>0.50430594387189198</v>
      </c>
      <c r="R44" s="1">
        <f>(Main_L[[#This Row],[ROA]]-VLOOKUP(Main_L[[#This Row],[Industry]], Mean_ROA_L, 2, FALSE))/(VLOOKUP(Main_L[[#This Row],[Industry]], Mean_ROA_L, 3, FALSE))</f>
        <v>-0.38512591154565395</v>
      </c>
      <c r="S44" s="1">
        <f>(Main_L[[#This Row],[A/E]]-VLOOKUP(Main_L[[#This Row],[Industry]], Mean_AE_L, 2, FALSE))/(VLOOKUP(Main_L[[#This Row],[Industry]], Mean_AE_L, 3, FALSE))</f>
        <v>1.0483270153444346</v>
      </c>
      <c r="T44" s="1">
        <f>(Main_L[[#This Row],[P/E]]-VLOOKUP(Main_L[[#This Row],[Industry]], Mean_PE_L, 2, FALSE))/(VLOOKUP(Main_L[[#This Row],[Industry]], Mean_PE_L, 3, FALSE))</f>
        <v>5.9609340064972823E-2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105</v>
      </c>
      <c r="B45" s="67" t="s">
        <v>136</v>
      </c>
      <c r="C45" s="2">
        <v>178626</v>
      </c>
      <c r="D45">
        <f>RTD("tos.rtd", , "LAST", Main_L[[#This Row],[Symbol]])</f>
        <v>127.61</v>
      </c>
      <c r="E45">
        <v>-20.91</v>
      </c>
      <c r="F45">
        <v>62.83</v>
      </c>
      <c r="G45">
        <v>9.11</v>
      </c>
      <c r="H45" s="1">
        <f>IF(ISNUMBER(Main_L[[#This Row],[Free CF]]),IF(Main_L[[#This Row],[Free CF]]&lt;&gt;0,Main_L[[#This Row],[Current Price]]/Main_L[[#This Row],[Free CF]],""),"")</f>
        <v>-6.1028216164514584</v>
      </c>
      <c r="I45" s="1">
        <f>IF(ISNUMBER(Main_L[[#This Row],[BVPS]]),IF(Main_L[[#This Row],[BVPS]]&lt;&gt;0,Main_L[[#This Row],[Current Price]]/Main_L[[#This Row],[BVPS]],""),"")</f>
        <v>2.0310361292376253</v>
      </c>
      <c r="J45">
        <v>14.35</v>
      </c>
      <c r="K45">
        <v>0.85</v>
      </c>
      <c r="L45">
        <v>18.36</v>
      </c>
      <c r="M45" s="1">
        <f>IF(ISNUMBER(Main_L[[#This Row],[EPS]]),IF(Main_L[[#This Row],[EPS]]&lt;&gt;0,Main_L[[#This Row],[Current Price]]/Main_L[[#This Row],[EPS]],""),"")</f>
        <v>14.007683863885841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-0.49998349971698614</v>
      </c>
      <c r="P45" s="1">
        <f>(Main_L[[#This Row],[P/B]]-VLOOKUP(Main_L[[#This Row],[Industry]], Mean_PB_L, 2, FALSE))/(VLOOKUP(Main_L[[#This Row],[Industry]], Mean_PB_L, 3, FALSE))</f>
        <v>1.6819211659887969</v>
      </c>
      <c r="Q45" s="1">
        <f>(Main_L[[#This Row],[ROE]]-VLOOKUP(Main_L[[#This Row],[Industry]], Mean_ROE_L, 2, FALSE))/(VLOOKUP(Main_L[[#This Row],[Industry]], Mean_ROE_L, 3, FALSE))</f>
        <v>0.79830443042247579</v>
      </c>
      <c r="R45" s="1">
        <f>(Main_L[[#This Row],[ROA]]-VLOOKUP(Main_L[[#This Row],[Industry]], Mean_ROA_L, 2, FALSE))/(VLOOKUP(Main_L[[#This Row],[Industry]], Mean_ROA_L, 3, FALSE))</f>
        <v>-0.18220082362361634</v>
      </c>
      <c r="S45" s="1">
        <f>(Main_L[[#This Row],[A/E]]-VLOOKUP(Main_L[[#This Row],[Industry]], Mean_AE_L, 2, FALSE))/(VLOOKUP(Main_L[[#This Row],[Industry]], Mean_AE_L, 3, FALSE))</f>
        <v>1.0688286656223458</v>
      </c>
      <c r="T45" s="1">
        <f>(Main_L[[#This Row],[P/E]]-VLOOKUP(Main_L[[#This Row],[Industry]], Mean_PE_L, 2, FALSE))/(VLOOKUP(Main_L[[#This Row],[Industry]], Mean_PE_L, 3, FALSE))</f>
        <v>0.6161184368372753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7" t="s">
        <v>105</v>
      </c>
      <c r="B46" s="67" t="s">
        <v>127</v>
      </c>
      <c r="C46" s="2">
        <v>27441</v>
      </c>
      <c r="D46">
        <f>RTD("tos.rtd", , "LAST", Main_L[[#This Row],[Symbol]])</f>
        <v>81.260000000000005</v>
      </c>
      <c r="E46">
        <v>-26.4</v>
      </c>
      <c r="F46">
        <v>97.31</v>
      </c>
      <c r="G46">
        <v>9.8699999999999992</v>
      </c>
      <c r="H46" s="1">
        <f>IF(ISNUMBER(Main_L[[#This Row],[Free CF]]),IF(Main_L[[#This Row],[Free CF]]&lt;&gt;0,Main_L[[#This Row],[Current Price]]/Main_L[[#This Row],[Free CF]],""),"")</f>
        <v>-3.0780303030303036</v>
      </c>
      <c r="I46" s="1">
        <f>IF(ISNUMBER(Main_L[[#This Row],[BVPS]]),IF(Main_L[[#This Row],[BVPS]]&lt;&gt;0,Main_L[[#This Row],[Current Price]]/Main_L[[#This Row],[BVPS]],""),"")</f>
        <v>0.83506320008221158</v>
      </c>
      <c r="J46">
        <v>9.5</v>
      </c>
      <c r="K46">
        <v>0.75</v>
      </c>
      <c r="L46">
        <v>13.23</v>
      </c>
      <c r="M46" s="1">
        <f>IF(ISNUMBER(Main_L[[#This Row],[EPS]]),IF(Main_L[[#This Row],[EPS]]&lt;&gt;0,Main_L[[#This Row],[Current Price]]/Main_L[[#This Row],[EPS]],""),"")</f>
        <v>8.2330293819655527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-0.25084755366852646</v>
      </c>
      <c r="P46" s="1">
        <f>(Main_L[[#This Row],[P/B]]-VLOOKUP(Main_L[[#This Row],[Industry]], Mean_PB_L, 2, FALSE))/(VLOOKUP(Main_L[[#This Row],[Industry]], Mean_PB_L, 3, FALSE))</f>
        <v>-0.94390291510159896</v>
      </c>
      <c r="Q46" s="1">
        <f>(Main_L[[#This Row],[ROE]]-VLOOKUP(Main_L[[#This Row],[Industry]], Mean_ROE_L, 2, FALSE))/(VLOOKUP(Main_L[[#This Row],[Industry]], Mean_ROE_L, 3, FALSE))</f>
        <v>-0.64199118550715195</v>
      </c>
      <c r="R46" s="1">
        <f>(Main_L[[#This Row],[ROA]]-VLOOKUP(Main_L[[#This Row],[Industry]], Mean_ROA_L, 2, FALSE))/(VLOOKUP(Main_L[[#This Row],[Industry]], Mean_ROA_L, 3, FALSE))</f>
        <v>-0.38512591154565395</v>
      </c>
      <c r="S46" s="1">
        <f>(Main_L[[#This Row],[A/E]]-VLOOKUP(Main_L[[#This Row],[Industry]], Mean_AE_L, 2, FALSE))/(VLOOKUP(Main_L[[#This Row],[Industry]], Mean_AE_L, 3, FALSE))</f>
        <v>-9.9765400218587721E-2</v>
      </c>
      <c r="T46" s="1">
        <f>(Main_L[[#This Row],[P/E]]-VLOOKUP(Main_L[[#This Row],[Industry]], Mean_PE_L, 2, FALSE))/(VLOOKUP(Main_L[[#This Row],[Industry]], Mean_PE_L, 3, FALSE))</f>
        <v>-0.91452655090721291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7" t="s">
        <v>105</v>
      </c>
      <c r="B47" s="67" t="s">
        <v>713</v>
      </c>
      <c r="C47" s="2">
        <v>13939</v>
      </c>
      <c r="D47">
        <f>RTD("tos.rtd", , "LAST", Main_L[[#This Row],[Symbol]])</f>
        <v>27.28</v>
      </c>
      <c r="E47">
        <v>-30.71</v>
      </c>
      <c r="F47">
        <v>71.260000000000005</v>
      </c>
      <c r="G47">
        <v>11.82</v>
      </c>
      <c r="H47" s="1">
        <f>IF(ISNUMBER(Main_L[[#This Row],[Free CF]]),IF(Main_L[[#This Row],[Free CF]]&lt;&gt;0,Main_L[[#This Row],[Current Price]]/Main_L[[#This Row],[Free CF]],""),"")</f>
        <v>-0.88830999674373168</v>
      </c>
      <c r="I47" s="1">
        <f>IF(ISNUMBER(Main_L[[#This Row],[BVPS]]),IF(Main_L[[#This Row],[BVPS]]&lt;&gt;0,Main_L[[#This Row],[Current Price]]/Main_L[[#This Row],[BVPS]],""),"")</f>
        <v>0.3828234633735616</v>
      </c>
      <c r="J47">
        <v>15.2</v>
      </c>
      <c r="K47">
        <v>1.83</v>
      </c>
      <c r="L47">
        <v>9.07</v>
      </c>
      <c r="M47" s="1">
        <f>IF(ISNUMBER(Main_L[[#This Row],[EPS]]),IF(Main_L[[#This Row],[EPS]]&lt;&gt;0,Main_L[[#This Row],[Current Price]]/Main_L[[#This Row],[EPS]],""),"")</f>
        <v>2.3079526226734348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-7.0491957674962413E-2</v>
      </c>
      <c r="P47" s="1">
        <f>(Main_L[[#This Row],[P/B]]-VLOOKUP(Main_L[[#This Row],[Industry]], Mean_PB_L, 2, FALSE))/(VLOOKUP(Main_L[[#This Row],[Industry]], Mean_PB_L, 3, FALSE))</f>
        <v>-1.9368200306371131</v>
      </c>
      <c r="Q47" s="1">
        <f>(Main_L[[#This Row],[ROE]]-VLOOKUP(Main_L[[#This Row],[Industry]], Mean_ROE_L, 2, FALSE))/(VLOOKUP(Main_L[[#This Row],[Industry]], Mean_ROE_L, 3, FALSE))</f>
        <v>1.0507273734204516</v>
      </c>
      <c r="R47" s="1">
        <f>(Main_L[[#This Row],[ROA]]-VLOOKUP(Main_L[[#This Row],[Industry]], Mean_ROA_L, 2, FALSE))/(VLOOKUP(Main_L[[#This Row],[Industry]], Mean_ROA_L, 3, FALSE))</f>
        <v>1.806465038012353</v>
      </c>
      <c r="S47" s="1">
        <f>(Main_L[[#This Row],[A/E]]-VLOOKUP(Main_L[[#This Row],[Industry]], Mean_AE_L, 2, FALSE))/(VLOOKUP(Main_L[[#This Row],[Industry]], Mean_AE_L, 3, FALSE))</f>
        <v>-1.0473972352864795</v>
      </c>
      <c r="T47" s="1">
        <f>(Main_L[[#This Row],[P/E]]-VLOOKUP(Main_L[[#This Row],[Industry]], Mean_PE_L, 2, FALSE))/(VLOOKUP(Main_L[[#This Row],[Industry]], Mean_PE_L, 3, FALSE))</f>
        <v>-2.4850428600658505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105</v>
      </c>
      <c r="B48" s="67" t="s">
        <v>117</v>
      </c>
      <c r="C48" s="2">
        <v>140678</v>
      </c>
      <c r="D48">
        <f>RTD("tos.rtd", , "LAST", Main_L[[#This Row],[Symbol]])</f>
        <v>78.17</v>
      </c>
      <c r="E48">
        <v>-39.06</v>
      </c>
      <c r="F48">
        <v>103.9</v>
      </c>
      <c r="G48">
        <v>6.33</v>
      </c>
      <c r="H48" s="1">
        <f>IF(ISNUMBER(Main_L[[#This Row],[Free CF]]),IF(Main_L[[#This Row],[Free CF]]&lt;&gt;0,Main_L[[#This Row],[Current Price]]/Main_L[[#This Row],[Free CF]],""),"")</f>
        <v>-2.001280081925243</v>
      </c>
      <c r="I48" s="1">
        <f>IF(ISNUMBER(Main_L[[#This Row],[BVPS]]),IF(Main_L[[#This Row],[BVPS]]&lt;&gt;0,Main_L[[#This Row],[Current Price]]/Main_L[[#This Row],[BVPS]],""),"")</f>
        <v>0.75235803657362843</v>
      </c>
      <c r="J48">
        <v>6.44</v>
      </c>
      <c r="K48">
        <v>0.54</v>
      </c>
      <c r="L48">
        <v>13.25</v>
      </c>
      <c r="M48" s="1">
        <f>IF(ISNUMBER(Main_L[[#This Row],[EPS]]),IF(Main_L[[#This Row],[EPS]]&lt;&gt;0,Main_L[[#This Row],[Current Price]]/Main_L[[#This Row],[EPS]],""),"")</f>
        <v>12.349131121642969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-0.16216137429389446</v>
      </c>
      <c r="P48" s="1">
        <f>(Main_L[[#This Row],[P/B]]-VLOOKUP(Main_L[[#This Row],[Industry]], Mean_PB_L, 2, FALSE))/(VLOOKUP(Main_L[[#This Row],[Industry]], Mean_PB_L, 3, FALSE))</f>
        <v>-1.1254866321550605</v>
      </c>
      <c r="Q48" s="1">
        <f>(Main_L[[#This Row],[ROE]]-VLOOKUP(Main_L[[#This Row],[Industry]], Mean_ROE_L, 2, FALSE))/(VLOOKUP(Main_L[[#This Row],[Industry]], Mean_ROE_L, 3, FALSE))</f>
        <v>-1.5507137802998654</v>
      </c>
      <c r="R48" s="1">
        <f>(Main_L[[#This Row],[ROA]]-VLOOKUP(Main_L[[#This Row],[Industry]], Mean_ROA_L, 2, FALSE))/(VLOOKUP(Main_L[[#This Row],[Industry]], Mean_ROA_L, 3, FALSE))</f>
        <v>-0.81126859618193303</v>
      </c>
      <c r="S48" s="1">
        <f>(Main_L[[#This Row],[A/E]]-VLOOKUP(Main_L[[#This Row],[Industry]], Mean_AE_L, 2, FALSE))/(VLOOKUP(Main_L[[#This Row],[Industry]], Mean_AE_L, 3, FALSE))</f>
        <v>-9.5209477934607573E-2</v>
      </c>
      <c r="T48" s="1">
        <f>(Main_L[[#This Row],[P/E]]-VLOOKUP(Main_L[[#This Row],[Industry]], Mean_PE_L, 2, FALSE))/(VLOOKUP(Main_L[[#This Row],[Industry]], Mean_PE_L, 3, FALSE))</f>
        <v>0.17649811846634311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105</v>
      </c>
      <c r="B49" s="67" t="s">
        <v>126</v>
      </c>
      <c r="C49" s="2">
        <v>733676</v>
      </c>
      <c r="D49">
        <f>RTD("tos.rtd", , "LAST", Main_L[[#This Row],[Symbol]])</f>
        <v>266.74</v>
      </c>
      <c r="E49">
        <v>-48.99</v>
      </c>
      <c r="F49">
        <v>119.24</v>
      </c>
      <c r="G49">
        <v>20.39</v>
      </c>
      <c r="H49" s="1">
        <f>IF(ISNUMBER(Main_L[[#This Row],[Free CF]]),IF(Main_L[[#This Row],[Free CF]]&lt;&gt;0,Main_L[[#This Row],[Current Price]]/Main_L[[#This Row],[Free CF]],""),"")</f>
        <v>-5.4447846499285566</v>
      </c>
      <c r="I49" s="1">
        <f>IF(ISNUMBER(Main_L[[#This Row],[BVPS]]),IF(Main_L[[#This Row],[BVPS]]&lt;&gt;0,Main_L[[#This Row],[Current Price]]/Main_L[[#This Row],[BVPS]],""),"")</f>
        <v>2.2370010063737005</v>
      </c>
      <c r="J49">
        <v>17.350000000000001</v>
      </c>
      <c r="K49">
        <v>1.41</v>
      </c>
      <c r="L49">
        <v>13.15</v>
      </c>
      <c r="M49" s="1">
        <f>IF(ISNUMBER(Main_L[[#This Row],[EPS]]),IF(Main_L[[#This Row],[EPS]]&lt;&gt;0,Main_L[[#This Row],[Current Price]]/Main_L[[#This Row],[EPS]],""),"")</f>
        <v>13.081902893575283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-0.4457845004464816</v>
      </c>
      <c r="P49" s="1">
        <f>(Main_L[[#This Row],[P/B]]-VLOOKUP(Main_L[[#This Row],[Industry]], Mean_PB_L, 2, FALSE))/(VLOOKUP(Main_L[[#This Row],[Industry]], Mean_PB_L, 3, FALSE))</f>
        <v>2.1341283364509733</v>
      </c>
      <c r="Q49" s="1">
        <f>(Main_L[[#This Row],[ROE]]-VLOOKUP(Main_L[[#This Row],[Industry]], Mean_ROE_L, 2, FALSE))/(VLOOKUP(Main_L[[#This Row],[Industry]], Mean_ROE_L, 3, FALSE))</f>
        <v>1.6892089351212152</v>
      </c>
      <c r="R49" s="1">
        <f>(Main_L[[#This Row],[ROA]]-VLOOKUP(Main_L[[#This Row],[Industry]], Mean_ROA_L, 2, FALSE))/(VLOOKUP(Main_L[[#This Row],[Industry]], Mean_ROA_L, 3, FALSE))</f>
        <v>0.95417966873979454</v>
      </c>
      <c r="S49" s="1">
        <f>(Main_L[[#This Row],[A/E]]-VLOOKUP(Main_L[[#This Row],[Industry]], Mean_AE_L, 2, FALSE))/(VLOOKUP(Main_L[[#This Row],[Industry]], Mean_AE_L, 3, FALSE))</f>
        <v>-0.11798908935450873</v>
      </c>
      <c r="T49" s="1">
        <f>(Main_L[[#This Row],[P/E]]-VLOOKUP(Main_L[[#This Row],[Industry]], Mean_PE_L, 2, FALSE))/(VLOOKUP(Main_L[[#This Row],[Industry]], Mean_PE_L, 3, FALSE))</f>
        <v>0.37072851673181029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7" t="s">
        <v>105</v>
      </c>
      <c r="B50" s="67" t="s">
        <v>132</v>
      </c>
      <c r="C50" s="2">
        <v>38524</v>
      </c>
      <c r="D50">
        <f>RTD("tos.rtd", , "LAST", Main_L[[#This Row],[Symbol]])</f>
        <v>98.44</v>
      </c>
      <c r="E50">
        <v>-79.08</v>
      </c>
      <c r="F50">
        <v>58.01</v>
      </c>
      <c r="G50">
        <v>7.57</v>
      </c>
      <c r="H50" s="1">
        <f>IF(ISNUMBER(Main_L[[#This Row],[Free CF]]),IF(Main_L[[#This Row],[Free CF]]&lt;&gt;0,Main_L[[#This Row],[Current Price]]/Main_L[[#This Row],[Free CF]],""),"")</f>
        <v>-1.2448153768335863</v>
      </c>
      <c r="I50" s="1">
        <f>IF(ISNUMBER(Main_L[[#This Row],[BVPS]]),IF(Main_L[[#This Row],[BVPS]]&lt;&gt;0,Main_L[[#This Row],[Current Price]]/Main_L[[#This Row],[BVPS]],""),"")</f>
        <v>1.6969488019307015</v>
      </c>
      <c r="J50">
        <v>13.56</v>
      </c>
      <c r="K50">
        <v>0.79</v>
      </c>
      <c r="L50">
        <v>17.14</v>
      </c>
      <c r="M50" s="1">
        <f>IF(ISNUMBER(Main_L[[#This Row],[EPS]]),IF(Main_L[[#This Row],[EPS]]&lt;&gt;0,Main_L[[#This Row],[Current Price]]/Main_L[[#This Row],[EPS]],""),"")</f>
        <v>13.003963011889034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-9.985540656677859E-2</v>
      </c>
      <c r="P50" s="1">
        <f>(Main_L[[#This Row],[P/B]]-VLOOKUP(Main_L[[#This Row],[Industry]], Mean_PB_L, 2, FALSE))/(VLOOKUP(Main_L[[#This Row],[Industry]], Mean_PB_L, 3, FALSE))</f>
        <v>0.94841413765734506</v>
      </c>
      <c r="Q50" s="1">
        <f>(Main_L[[#This Row],[ROE]]-VLOOKUP(Main_L[[#This Row],[Industry]], Mean_ROE_L, 2, FALSE))/(VLOOKUP(Main_L[[#This Row],[Industry]], Mean_ROE_L, 3, FALSE))</f>
        <v>0.56369957751847488</v>
      </c>
      <c r="R50" s="1">
        <f>(Main_L[[#This Row],[ROA]]-VLOOKUP(Main_L[[#This Row],[Industry]], Mean_ROA_L, 2, FALSE))/(VLOOKUP(Main_L[[#This Row],[Industry]], Mean_ROA_L, 3, FALSE))</f>
        <v>-0.3039558763768388</v>
      </c>
      <c r="S50" s="1">
        <f>(Main_L[[#This Row],[A/E]]-VLOOKUP(Main_L[[#This Row],[Industry]], Mean_AE_L, 2, FALSE))/(VLOOKUP(Main_L[[#This Row],[Industry]], Mean_AE_L, 3, FALSE))</f>
        <v>0.79091740629955087</v>
      </c>
      <c r="T50" s="1">
        <f>(Main_L[[#This Row],[P/E]]-VLOOKUP(Main_L[[#This Row],[Industry]], Mean_PE_L, 2, FALSE))/(VLOOKUP(Main_L[[#This Row],[Industry]], Mean_PE_L, 3, FALSE))</f>
        <v>0.35006956828355901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7" t="s">
        <v>172</v>
      </c>
      <c r="B51" s="67" t="s">
        <v>193</v>
      </c>
      <c r="C51" s="2">
        <v>22847</v>
      </c>
      <c r="D51">
        <f>RTD("tos.rtd", , "LAST", Main_L[[#This Row],[Symbol]])</f>
        <v>204.67</v>
      </c>
      <c r="E51">
        <v>88.16</v>
      </c>
      <c r="F51">
        <v>41.32</v>
      </c>
      <c r="G51">
        <v>7.26</v>
      </c>
      <c r="H51" s="1">
        <f>IF(ISNUMBER(Main_L[[#This Row],[Free CF]]),IF(Main_L[[#This Row],[Free CF]]&lt;&gt;0,Main_L[[#This Row],[Current Price]]/Main_L[[#This Row],[Free CF]],""),"")</f>
        <v>2.3215744101633393</v>
      </c>
      <c r="I51" s="1">
        <f>IF(ISNUMBER(Main_L[[#This Row],[BVPS]]),IF(Main_L[[#This Row],[BVPS]]&lt;&gt;0,Main_L[[#This Row],[Current Price]]/Main_L[[#This Row],[BVPS]],""),"")</f>
        <v>4.953291384317521</v>
      </c>
      <c r="J51">
        <v>22.25</v>
      </c>
      <c r="K51">
        <v>2.4700000000000002</v>
      </c>
      <c r="L51">
        <v>35.020000000000003</v>
      </c>
      <c r="M51" s="1">
        <f>IF(ISNUMBER(Main_L[[#This Row],[EPS]]),IF(Main_L[[#This Row],[EPS]]&lt;&gt;0,Main_L[[#This Row],[Current Price]]/Main_L[[#This Row],[EPS]],""),"")</f>
        <v>28.191460055096417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-0.90085350951321208</v>
      </c>
      <c r="P51" s="1">
        <f>(Main_L[[#This Row],[P/B]]-VLOOKUP(Main_L[[#This Row],[Industry]], Mean_PB_L, 2, FALSE))/(VLOOKUP(Main_L[[#This Row],[Industry]], Mean_PB_L, 3, FALSE))</f>
        <v>0.16502333700556843</v>
      </c>
      <c r="Q51" s="1">
        <f>(Main_L[[#This Row],[ROE]]-VLOOKUP(Main_L[[#This Row],[Industry]], Mean_ROE_L, 2, FALSE))/(VLOOKUP(Main_L[[#This Row],[Industry]], Mean_ROE_L, 3, FALSE))</f>
        <v>0.78578626909014304</v>
      </c>
      <c r="R51" s="1">
        <f>(Main_L[[#This Row],[ROA]]-VLOOKUP(Main_L[[#This Row],[Industry]], Mean_ROA_L, 2, FALSE))/(VLOOKUP(Main_L[[#This Row],[Industry]], Mean_ROA_L, 3, FALSE))</f>
        <v>-0.55223977689197346</v>
      </c>
      <c r="S51" s="1">
        <f>(Main_L[[#This Row],[A/E]]-VLOOKUP(Main_L[[#This Row],[Industry]], Mean_AE_L, 2, FALSE))/(VLOOKUP(Main_L[[#This Row],[Industry]], Mean_AE_L, 3, FALSE))</f>
        <v>4.8807214569670059</v>
      </c>
      <c r="T51" s="1">
        <f>(Main_L[[#This Row],[P/E]]-VLOOKUP(Main_L[[#This Row],[Industry]], Mean_PE_L, 2, FALSE))/(VLOOKUP(Main_L[[#This Row],[Industry]], Mean_PE_L, 3, FALSE))</f>
        <v>6.4068850965433119E-2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7" t="s">
        <v>172</v>
      </c>
      <c r="B52" s="67" t="s">
        <v>173</v>
      </c>
      <c r="C52" s="2">
        <v>48491</v>
      </c>
      <c r="D52">
        <f>RTD("tos.rtd", , "LAST", Main_L[[#This Row],[Symbol]])</f>
        <v>518.09</v>
      </c>
      <c r="E52">
        <v>66.819999999999993</v>
      </c>
      <c r="F52">
        <v>56.79</v>
      </c>
      <c r="G52">
        <v>29.43</v>
      </c>
      <c r="H52" s="1">
        <f>IF(ISNUMBER(Main_L[[#This Row],[Free CF]]),IF(Main_L[[#This Row],[Free CF]]&lt;&gt;0,Main_L[[#This Row],[Current Price]]/Main_L[[#This Row],[Free CF]],""),"")</f>
        <v>7.7535169111044606</v>
      </c>
      <c r="I52" s="1">
        <f>IF(ISNUMBER(Main_L[[#This Row],[BVPS]]),IF(Main_L[[#This Row],[BVPS]]&lt;&gt;0,Main_L[[#This Row],[Current Price]]/Main_L[[#This Row],[BVPS]],""),"")</f>
        <v>9.1229089628455728</v>
      </c>
      <c r="J52">
        <v>58.11</v>
      </c>
      <c r="K52">
        <v>2.2200000000000002</v>
      </c>
      <c r="L52">
        <v>33</v>
      </c>
      <c r="M52" s="1">
        <f>IF(ISNUMBER(Main_L[[#This Row],[EPS]]),IF(Main_L[[#This Row],[EPS]]&lt;&gt;0,Main_L[[#This Row],[Current Price]]/Main_L[[#This Row],[EPS]],""),"")</f>
        <v>17.604145429833505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-0.57290718143838648</v>
      </c>
      <c r="P52" s="1">
        <f>(Main_L[[#This Row],[P/B]]-VLOOKUP(Main_L[[#This Row],[Industry]], Mean_PB_L, 2, FALSE))/(VLOOKUP(Main_L[[#This Row],[Industry]], Mean_PB_L, 3, FALSE))</f>
        <v>1.5331787314839991</v>
      </c>
      <c r="Q52" s="1">
        <f>(Main_L[[#This Row],[ROE]]-VLOOKUP(Main_L[[#This Row],[Industry]], Mean_ROE_L, 2, FALSE))/(VLOOKUP(Main_L[[#This Row],[Industry]], Mean_ROE_L, 3, FALSE))</f>
        <v>5.2151468487492059</v>
      </c>
      <c r="R52" s="1">
        <f>(Main_L[[#This Row],[ROA]]-VLOOKUP(Main_L[[#This Row],[Industry]], Mean_ROA_L, 2, FALSE))/(VLOOKUP(Main_L[[#This Row],[Industry]], Mean_ROA_L, 3, FALSE))</f>
        <v>-0.60828920986680002</v>
      </c>
      <c r="S52" s="1">
        <f>(Main_L[[#This Row],[A/E]]-VLOOKUP(Main_L[[#This Row],[Industry]], Mean_AE_L, 2, FALSE))/(VLOOKUP(Main_L[[#This Row],[Industry]], Mean_AE_L, 3, FALSE))</f>
        <v>4.5306217669149396</v>
      </c>
      <c r="T52" s="1">
        <f>(Main_L[[#This Row],[P/E]]-VLOOKUP(Main_L[[#This Row],[Industry]], Mean_PE_L, 2, FALSE))/(VLOOKUP(Main_L[[#This Row],[Industry]], Mean_PE_L, 3, FALSE))</f>
        <v>-0.76592596300787252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7" t="s">
        <v>172</v>
      </c>
      <c r="B53" s="67" t="s">
        <v>189</v>
      </c>
      <c r="C53" s="2">
        <v>14191</v>
      </c>
      <c r="D53">
        <f>RTD("tos.rtd", , "LAST", Main_L[[#This Row],[Symbol]])</f>
        <v>108.96</v>
      </c>
      <c r="E53">
        <v>28.76</v>
      </c>
      <c r="F53">
        <v>27.98</v>
      </c>
      <c r="G53">
        <v>6</v>
      </c>
      <c r="H53" s="1">
        <f>IF(ISNUMBER(Main_L[[#This Row],[Free CF]]),IF(Main_L[[#This Row],[Free CF]]&lt;&gt;0,Main_L[[#This Row],[Current Price]]/Main_L[[#This Row],[Free CF]],""),"")</f>
        <v>3.7885952712100135</v>
      </c>
      <c r="I53" s="1">
        <f>IF(ISNUMBER(Main_L[[#This Row],[BVPS]]),IF(Main_L[[#This Row],[BVPS]]&lt;&gt;0,Main_L[[#This Row],[Current Price]]/Main_L[[#This Row],[BVPS]],""),"")</f>
        <v>3.8942101501072193</v>
      </c>
      <c r="J53">
        <v>23.38</v>
      </c>
      <c r="K53">
        <v>4.54</v>
      </c>
      <c r="L53">
        <v>5.96</v>
      </c>
      <c r="M53" s="1">
        <f>IF(ISNUMBER(Main_L[[#This Row],[EPS]]),IF(Main_L[[#This Row],[EPS]]&lt;&gt;0,Main_L[[#This Row],[Current Price]]/Main_L[[#This Row],[EPS]],""),"")</f>
        <v>18.16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-0.8122840696662198</v>
      </c>
      <c r="P53" s="1">
        <f>(Main_L[[#This Row],[P/B]]-VLOOKUP(Main_L[[#This Row],[Industry]], Mean_PB_L, 2, FALSE))/(VLOOKUP(Main_L[[#This Row],[Industry]], Mean_PB_L, 3, FALSE))</f>
        <v>-0.18248759810690698</v>
      </c>
      <c r="Q53" s="1">
        <f>(Main_L[[#This Row],[ROE]]-VLOOKUP(Main_L[[#This Row],[Industry]], Mean_ROE_L, 2, FALSE))/(VLOOKUP(Main_L[[#This Row],[Industry]], Mean_ROE_L, 3, FALSE))</f>
        <v>0.92536176978770968</v>
      </c>
      <c r="R53" s="1">
        <f>(Main_L[[#This Row],[ROA]]-VLOOKUP(Main_L[[#This Row],[Industry]], Mean_ROA_L, 2, FALSE))/(VLOOKUP(Main_L[[#This Row],[Industry]], Mean_ROA_L, 3, FALSE))</f>
        <v>-8.8150471860409182E-2</v>
      </c>
      <c r="S53" s="1">
        <f>(Main_L[[#This Row],[A/E]]-VLOOKUP(Main_L[[#This Row],[Industry]], Mean_AE_L, 2, FALSE))/(VLOOKUP(Main_L[[#This Row],[Industry]], Mean_AE_L, 3, FALSE))</f>
        <v>-0.15586121279192031</v>
      </c>
      <c r="T53" s="1">
        <f>(Main_L[[#This Row],[P/E]]-VLOOKUP(Main_L[[#This Row],[Industry]], Mean_PE_L, 2, FALSE))/(VLOOKUP(Main_L[[#This Row],[Industry]], Mean_PE_L, 3, FALSE))</f>
        <v>-0.72234962406913095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s="67" t="s">
        <v>172</v>
      </c>
      <c r="B54" s="67" t="s">
        <v>179</v>
      </c>
      <c r="C54" s="2">
        <v>151811</v>
      </c>
      <c r="D54">
        <f>RTD("tos.rtd", , "LAST", Main_L[[#This Row],[Symbol]])</f>
        <v>988.84</v>
      </c>
      <c r="E54">
        <v>26.16</v>
      </c>
      <c r="F54">
        <v>309.86</v>
      </c>
      <c r="G54">
        <v>41.15</v>
      </c>
      <c r="H54" s="1">
        <f>IF(ISNUMBER(Main_L[[#This Row],[Free CF]]),IF(Main_L[[#This Row],[Free CF]]&lt;&gt;0,Main_L[[#This Row],[Current Price]]/Main_L[[#This Row],[Free CF]],""),"")</f>
        <v>37.799694189602448</v>
      </c>
      <c r="I54" s="1">
        <f>IF(ISNUMBER(Main_L[[#This Row],[BVPS]]),IF(Main_L[[#This Row],[BVPS]]&lt;&gt;0,Main_L[[#This Row],[Current Price]]/Main_L[[#This Row],[BVPS]],""),"")</f>
        <v>3.1912476602336537</v>
      </c>
      <c r="J54">
        <v>13.93</v>
      </c>
      <c r="K54">
        <v>3.67</v>
      </c>
      <c r="L54">
        <v>2.95</v>
      </c>
      <c r="M54" s="1">
        <f>IF(ISNUMBER(Main_L[[#This Row],[EPS]]),IF(Main_L[[#This Row],[EPS]]&lt;&gt;0,Main_L[[#This Row],[Current Price]]/Main_L[[#This Row],[EPS]],""),"")</f>
        <v>24.030133657351154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1.241090943442626</v>
      </c>
      <c r="P54" s="1">
        <f>(Main_L[[#This Row],[P/B]]-VLOOKUP(Main_L[[#This Row],[Industry]], Mean_PB_L, 2, FALSE))/(VLOOKUP(Main_L[[#This Row],[Industry]], Mean_PB_L, 3, FALSE))</f>
        <v>-0.41314710213174055</v>
      </c>
      <c r="Q54" s="1">
        <f>(Main_L[[#This Row],[ROE]]-VLOOKUP(Main_L[[#This Row],[Industry]], Mean_ROE_L, 2, FALSE))/(VLOOKUP(Main_L[[#This Row],[Industry]], Mean_ROE_L, 3, FALSE))</f>
        <v>-0.24188467409902056</v>
      </c>
      <c r="R54" s="1">
        <f>(Main_L[[#This Row],[ROA]]-VLOOKUP(Main_L[[#This Row],[Industry]], Mean_ROA_L, 2, FALSE))/(VLOOKUP(Main_L[[#This Row],[Industry]], Mean_ROA_L, 3, FALSE))</f>
        <v>-0.28320249861280578</v>
      </c>
      <c r="S54" s="1">
        <f>(Main_L[[#This Row],[A/E]]-VLOOKUP(Main_L[[#This Row],[Industry]], Mean_AE_L, 2, FALSE))/(VLOOKUP(Main_L[[#This Row],[Industry]], Mean_AE_L, 3, FALSE))</f>
        <v>-0.677544414305147</v>
      </c>
      <c r="T54" s="1">
        <f>(Main_L[[#This Row],[P/E]]-VLOOKUP(Main_L[[#This Row],[Industry]], Mean_PE_L, 2, FALSE))/(VLOOKUP(Main_L[[#This Row],[Industry]], Mean_PE_L, 3, FALSE))</f>
        <v>-0.26215922967905003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7" t="s">
        <v>172</v>
      </c>
      <c r="B55" s="67" t="s">
        <v>175</v>
      </c>
      <c r="C55" s="2">
        <v>36156</v>
      </c>
      <c r="D55">
        <f>RTD("tos.rtd", , "LAST", Main_L[[#This Row],[Symbol]])</f>
        <v>172.3</v>
      </c>
      <c r="E55">
        <v>19.48</v>
      </c>
      <c r="F55">
        <v>13.71</v>
      </c>
      <c r="G55">
        <v>1.76</v>
      </c>
      <c r="H55" s="1">
        <f>IF(ISNUMBER(Main_L[[#This Row],[Free CF]]),IF(Main_L[[#This Row],[Free CF]]&lt;&gt;0,Main_L[[#This Row],[Current Price]]/Main_L[[#This Row],[Free CF]],""),"")</f>
        <v>8.8449691991786459</v>
      </c>
      <c r="I55" s="1">
        <f>IF(ISNUMBER(Main_L[[#This Row],[BVPS]]),IF(Main_L[[#This Row],[BVPS]]&lt;&gt;0,Main_L[[#This Row],[Current Price]]/Main_L[[#This Row],[BVPS]],""),"")</f>
        <v>12.567469000729394</v>
      </c>
      <c r="J55">
        <v>14.91</v>
      </c>
      <c r="K55">
        <v>2.2999999999999998</v>
      </c>
      <c r="L55">
        <v>9.08</v>
      </c>
      <c r="M55" s="1">
        <f>IF(ISNUMBER(Main_L[[#This Row],[EPS]]),IF(Main_L[[#This Row],[EPS]]&lt;&gt;0,Main_L[[#This Row],[Current Price]]/Main_L[[#This Row],[EPS]],""),"")</f>
        <v>97.89772727272728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-0.50701219634221129</v>
      </c>
      <c r="P55" s="1">
        <f>(Main_L[[#This Row],[P/B]]-VLOOKUP(Main_L[[#This Row],[Industry]], Mean_PB_L, 2, FALSE))/(VLOOKUP(Main_L[[#This Row],[Industry]], Mean_PB_L, 3, FALSE))</f>
        <v>2.6634246853825436</v>
      </c>
      <c r="Q55" s="1">
        <f>(Main_L[[#This Row],[ROE]]-VLOOKUP(Main_L[[#This Row],[Industry]], Mean_ROE_L, 2, FALSE))/(VLOOKUP(Main_L[[#This Row],[Industry]], Mean_ROE_L, 3, FALSE))</f>
        <v>-0.12083689473298923</v>
      </c>
      <c r="R55" s="1">
        <f>(Main_L[[#This Row],[ROA]]-VLOOKUP(Main_L[[#This Row],[Industry]], Mean_ROA_L, 2, FALSE))/(VLOOKUP(Main_L[[#This Row],[Industry]], Mean_ROA_L, 3, FALSE))</f>
        <v>-0.59035339131485554</v>
      </c>
      <c r="S55" s="1">
        <f>(Main_L[[#This Row],[A/E]]-VLOOKUP(Main_L[[#This Row],[Industry]], Mean_AE_L, 2, FALSE))/(VLOOKUP(Main_L[[#This Row],[Industry]], Mean_AE_L, 3, FALSE))</f>
        <v>0.38488682332810203</v>
      </c>
      <c r="T55" s="1">
        <f>(Main_L[[#This Row],[P/E]]-VLOOKUP(Main_L[[#This Row],[Industry]], Mean_PE_L, 2, FALSE))/(VLOOKUP(Main_L[[#This Row],[Industry]], Mean_PE_L, 3, FALSE))</f>
        <v>5.5287067067271192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6" spans="1:26" x14ac:dyDescent="0.25">
      <c r="A56" s="67" t="s">
        <v>172</v>
      </c>
      <c r="B56" s="67" t="s">
        <v>211</v>
      </c>
      <c r="C56" s="2">
        <v>157285</v>
      </c>
      <c r="D56">
        <f>RTD("tos.rtd", , "LAST", Main_L[[#This Row],[Symbol]])</f>
        <v>515</v>
      </c>
      <c r="E56">
        <v>17.91</v>
      </c>
      <c r="F56">
        <v>108.81</v>
      </c>
      <c r="G56">
        <v>12.73</v>
      </c>
      <c r="H56" s="1">
        <f>IF(ISNUMBER(Main_L[[#This Row],[Free CF]]),IF(Main_L[[#This Row],[Free CF]]&lt;&gt;0,Main_L[[#This Row],[Current Price]]/Main_L[[#This Row],[Free CF]],""),"")</f>
        <v>28.754885538805137</v>
      </c>
      <c r="I56" s="1">
        <f>IF(ISNUMBER(Main_L[[#This Row],[BVPS]]),IF(Main_L[[#This Row],[BVPS]]&lt;&gt;0,Main_L[[#This Row],[Current Price]]/Main_L[[#This Row],[BVPS]],""),"")</f>
        <v>4.7330208620531202</v>
      </c>
      <c r="J56">
        <v>11.24</v>
      </c>
      <c r="K56">
        <v>6.19</v>
      </c>
      <c r="L56">
        <v>1.79</v>
      </c>
      <c r="M56" s="1">
        <f>IF(ISNUMBER(Main_L[[#This Row],[EPS]]),IF(Main_L[[#This Row],[EPS]]&lt;&gt;0,Main_L[[#This Row],[Current Price]]/Main_L[[#This Row],[EPS]],""),"")</f>
        <v>40.455616653574232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0.6950226106768651</v>
      </c>
      <c r="P56" s="1">
        <f>(Main_L[[#This Row],[P/B]]-VLOOKUP(Main_L[[#This Row],[Industry]], Mean_PB_L, 2, FALSE))/(VLOOKUP(Main_L[[#This Row],[Industry]], Mean_PB_L, 3, FALSE))</f>
        <v>9.2747091617374308E-2</v>
      </c>
      <c r="Q56" s="1">
        <f>(Main_L[[#This Row],[ROE]]-VLOOKUP(Main_L[[#This Row],[Industry]], Mean_ROE_L, 2, FALSE))/(VLOOKUP(Main_L[[#This Row],[Industry]], Mean_ROE_L, 3, FALSE))</f>
        <v>-0.57414847664455537</v>
      </c>
      <c r="R56" s="1">
        <f>(Main_L[[#This Row],[ROA]]-VLOOKUP(Main_L[[#This Row],[Industry]], Mean_ROA_L, 2, FALSE))/(VLOOKUP(Main_L[[#This Row],[Industry]], Mean_ROA_L, 3, FALSE))</f>
        <v>0.28177578577344647</v>
      </c>
      <c r="S56" s="1">
        <f>(Main_L[[#This Row],[A/E]]-VLOOKUP(Main_L[[#This Row],[Industry]], Mean_AE_L, 2, FALSE))/(VLOOKUP(Main_L[[#This Row],[Industry]], Mean_AE_L, 3, FALSE))</f>
        <v>-0.87859176106771941</v>
      </c>
      <c r="T56" s="1">
        <f>(Main_L[[#This Row],[P/E]]-VLOOKUP(Main_L[[#This Row],[Industry]], Mean_PE_L, 2, FALSE))/(VLOOKUP(Main_L[[#This Row],[Industry]], Mean_PE_L, 3, FALSE))</f>
        <v>1.0255200531620718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s="67" t="s">
        <v>172</v>
      </c>
      <c r="B57" s="67" t="s">
        <v>209</v>
      </c>
      <c r="C57" s="2">
        <v>43639</v>
      </c>
      <c r="D57">
        <f>RTD("tos.rtd", , "LAST", Main_L[[#This Row],[Symbol]])</f>
        <v>558</v>
      </c>
      <c r="E57">
        <v>17.61</v>
      </c>
      <c r="F57">
        <v>-12.35</v>
      </c>
      <c r="G57">
        <v>14.54</v>
      </c>
      <c r="H57" s="1">
        <f>IF(ISNUMBER(Main_L[[#This Row],[Free CF]]),IF(Main_L[[#This Row],[Free CF]]&lt;&gt;0,Main_L[[#This Row],[Current Price]]/Main_L[[#This Row],[Free CF]],""),"")</f>
        <v>31.686541737649065</v>
      </c>
      <c r="I57" s="1">
        <f>IF(ISNUMBER(Main_L[[#This Row],[BVPS]]),IF(Main_L[[#This Row],[BVPS]]&lt;&gt;0,Main_L[[#This Row],[Current Price]]/Main_L[[#This Row],[BVPS]],""),"")</f>
        <v>-45.182186234817813</v>
      </c>
      <c r="J57">
        <v>-141.91999999999999</v>
      </c>
      <c r="K57">
        <v>18.14</v>
      </c>
      <c r="L57">
        <v>-5.58</v>
      </c>
      <c r="M57" s="1">
        <f>IF(ISNUMBER(Main_L[[#This Row],[EPS]]),IF(Main_L[[#This Row],[EPS]]&lt;&gt;0,Main_L[[#This Row],[Current Price]]/Main_L[[#This Row],[EPS]],""),"")</f>
        <v>38.376891334250345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0.87201746756684395</v>
      </c>
      <c r="P57" s="1">
        <f>(Main_L[[#This Row],[P/B]]-VLOOKUP(Main_L[[#This Row],[Industry]], Mean_PB_L, 2, FALSE))/(VLOOKUP(Main_L[[#This Row],[Industry]], Mean_PB_L, 3, FALSE))</f>
        <v>-16.285675766097121</v>
      </c>
      <c r="Q57" s="1">
        <f>(Main_L[[#This Row],[ROE]]-VLOOKUP(Main_L[[#This Row],[Industry]], Mean_ROE_L, 2, FALSE))/(VLOOKUP(Main_L[[#This Row],[Industry]], Mean_ROE_L, 3, FALSE))</f>
        <v>-19.492187137564301</v>
      </c>
      <c r="R57" s="1">
        <f>(Main_L[[#This Row],[ROA]]-VLOOKUP(Main_L[[#This Row],[Industry]], Mean_ROA_L, 2, FALSE))/(VLOOKUP(Main_L[[#This Row],[Industry]], Mean_ROA_L, 3, FALSE))</f>
        <v>2.9609386819701582</v>
      </c>
      <c r="S57" s="1">
        <f>(Main_L[[#This Row],[A/E]]-VLOOKUP(Main_L[[#This Row],[Industry]], Mean_AE_L, 2, FALSE))/(VLOOKUP(Main_L[[#This Row],[Industry]], Mean_AE_L, 3, FALSE))</f>
        <v>-2.1559356797230285</v>
      </c>
      <c r="T57" s="1">
        <f>(Main_L[[#This Row],[P/E]]-VLOOKUP(Main_L[[#This Row],[Industry]], Mean_PE_L, 2, FALSE))/(VLOOKUP(Main_L[[#This Row],[Industry]], Mean_PE_L, 3, FALSE))</f>
        <v>0.862557933325099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s="67" t="s">
        <v>172</v>
      </c>
      <c r="B58" s="67" t="s">
        <v>205</v>
      </c>
      <c r="C58" s="2">
        <v>17390</v>
      </c>
      <c r="D58">
        <f>RTD("tos.rtd", , "LAST", Main_L[[#This Row],[Symbol]])</f>
        <v>426.76</v>
      </c>
      <c r="E58">
        <v>14.85</v>
      </c>
      <c r="F58">
        <v>54.14</v>
      </c>
      <c r="G58">
        <v>14.08</v>
      </c>
      <c r="H58" s="1">
        <f>IF(ISNUMBER(Main_L[[#This Row],[Free CF]]),IF(Main_L[[#This Row],[Free CF]]&lt;&gt;0,Main_L[[#This Row],[Current Price]]/Main_L[[#This Row],[Free CF]],""),"")</f>
        <v>28.73804713804714</v>
      </c>
      <c r="I58" s="1">
        <f>IF(ISNUMBER(Main_L[[#This Row],[BVPS]]),IF(Main_L[[#This Row],[BVPS]]&lt;&gt;0,Main_L[[#This Row],[Current Price]]/Main_L[[#This Row],[BVPS]],""),"")</f>
        <v>7.8825267824159582</v>
      </c>
      <c r="J58">
        <v>28.12</v>
      </c>
      <c r="K58">
        <v>10.81</v>
      </c>
      <c r="L58">
        <v>2.06</v>
      </c>
      <c r="M58" s="1">
        <f>IF(ISNUMBER(Main_L[[#This Row],[EPS]]),IF(Main_L[[#This Row],[EPS]]&lt;&gt;0,Main_L[[#This Row],[Current Price]]/Main_L[[#This Row],[EPS]],""),"")</f>
        <v>30.30965909090909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0.69400601455157829</v>
      </c>
      <c r="P58" s="1">
        <f>(Main_L[[#This Row],[P/B]]-VLOOKUP(Main_L[[#This Row],[Industry]], Mean_PB_L, 2, FALSE))/(VLOOKUP(Main_L[[#This Row],[Industry]], Mean_PB_L, 3, FALSE))</f>
        <v>1.1261784396325869</v>
      </c>
      <c r="Q58" s="1">
        <f>(Main_L[[#This Row],[ROE]]-VLOOKUP(Main_L[[#This Row],[Industry]], Mean_ROE_L, 2, FALSE))/(VLOOKUP(Main_L[[#This Row],[Industry]], Mean_ROE_L, 3, FALSE))</f>
        <v>1.5108377638642285</v>
      </c>
      <c r="R58" s="1">
        <f>(Main_L[[#This Row],[ROA]]-VLOOKUP(Main_L[[#This Row],[Industry]], Mean_ROA_L, 2, FALSE))/(VLOOKUP(Main_L[[#This Row],[Industry]], Mean_ROA_L, 3, FALSE))</f>
        <v>1.3175693071482422</v>
      </c>
      <c r="S58" s="1">
        <f>(Main_L[[#This Row],[A/E]]-VLOOKUP(Main_L[[#This Row],[Industry]], Mean_AE_L, 2, FALSE))/(VLOOKUP(Main_L[[#This Row],[Industry]], Mean_AE_L, 3, FALSE))</f>
        <v>-0.83179625794194834</v>
      </c>
      <c r="T58" s="1">
        <f>(Main_L[[#This Row],[P/E]]-VLOOKUP(Main_L[[#This Row],[Industry]], Mean_PE_L, 2, FALSE))/(VLOOKUP(Main_L[[#This Row],[Industry]], Mean_PE_L, 3, FALSE))</f>
        <v>0.23012552132192743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s="67" t="s">
        <v>172</v>
      </c>
      <c r="B59" s="67" t="s">
        <v>184</v>
      </c>
      <c r="C59" s="2">
        <v>20765</v>
      </c>
      <c r="D59">
        <f>RTD("tos.rtd", , "LAST", Main_L[[#This Row],[Symbol]])</f>
        <v>108.74</v>
      </c>
      <c r="E59">
        <v>14.45</v>
      </c>
      <c r="F59">
        <v>61.65</v>
      </c>
      <c r="G59">
        <v>10.76</v>
      </c>
      <c r="H59" s="1">
        <f>IF(ISNUMBER(Main_L[[#This Row],[Free CF]]),IF(Main_L[[#This Row],[Free CF]]&lt;&gt;0,Main_L[[#This Row],[Current Price]]/Main_L[[#This Row],[Free CF]],""),"")</f>
        <v>7.5252595155709345</v>
      </c>
      <c r="I59" s="1">
        <f>IF(ISNUMBER(Main_L[[#This Row],[BVPS]]),IF(Main_L[[#This Row],[BVPS]]&lt;&gt;0,Main_L[[#This Row],[Current Price]]/Main_L[[#This Row],[BVPS]],""),"")</f>
        <v>1.7638280616382807</v>
      </c>
      <c r="J59">
        <v>17.68</v>
      </c>
      <c r="K59">
        <v>1.38</v>
      </c>
      <c r="L59">
        <v>13.76</v>
      </c>
      <c r="M59" s="1">
        <f>IF(ISNUMBER(Main_L[[#This Row],[EPS]]),IF(Main_L[[#This Row],[EPS]]&lt;&gt;0,Main_L[[#This Row],[Current Price]]/Main_L[[#This Row],[EPS]],""),"")</f>
        <v>10.105947955390334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-0.58668791912258955</v>
      </c>
      <c r="P59" s="1">
        <f>(Main_L[[#This Row],[P/B]]-VLOOKUP(Main_L[[#This Row],[Industry]], Mean_PB_L, 2, FALSE))/(VLOOKUP(Main_L[[#This Row],[Industry]], Mean_PB_L, 3, FALSE))</f>
        <v>-0.88151903006569632</v>
      </c>
      <c r="Q59" s="1">
        <f>(Main_L[[#This Row],[ROE]]-VLOOKUP(Main_L[[#This Row],[Industry]], Mean_ROE_L, 2, FALSE))/(VLOOKUP(Main_L[[#This Row],[Industry]], Mean_ROE_L, 3, FALSE))</f>
        <v>0.22130835918936448</v>
      </c>
      <c r="R59" s="1">
        <f>(Main_L[[#This Row],[ROA]]-VLOOKUP(Main_L[[#This Row],[Industry]], Mean_ROA_L, 2, FALSE))/(VLOOKUP(Main_L[[#This Row],[Industry]], Mean_ROA_L, 3, FALSE))</f>
        <v>-0.79661530466221742</v>
      </c>
      <c r="S59" s="1">
        <f>(Main_L[[#This Row],[A/E]]-VLOOKUP(Main_L[[#This Row],[Industry]], Mean_AE_L, 2, FALSE))/(VLOOKUP(Main_L[[#This Row],[Industry]], Mean_AE_L, 3, FALSE))</f>
        <v>1.1960088775081354</v>
      </c>
      <c r="T59" s="1">
        <f>(Main_L[[#This Row],[P/E]]-VLOOKUP(Main_L[[#This Row],[Industry]], Mean_PE_L, 2, FALSE))/(VLOOKUP(Main_L[[#This Row],[Industry]], Mean_PE_L, 3, FALSE))</f>
        <v>-1.3537487715494694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s="67" t="s">
        <v>172</v>
      </c>
      <c r="B60" s="67" t="s">
        <v>207</v>
      </c>
      <c r="C60" s="2">
        <v>86248</v>
      </c>
      <c r="D60">
        <f>RTD("tos.rtd", , "LAST", Main_L[[#This Row],[Symbol]])</f>
        <v>485.55</v>
      </c>
      <c r="E60">
        <v>13.78</v>
      </c>
      <c r="F60">
        <v>20.56</v>
      </c>
      <c r="G60">
        <v>11.56</v>
      </c>
      <c r="H60" s="1">
        <f>IF(ISNUMBER(Main_L[[#This Row],[Free CF]]),IF(Main_L[[#This Row],[Free CF]]&lt;&gt;0,Main_L[[#This Row],[Current Price]]/Main_L[[#This Row],[Free CF]],""),"")</f>
        <v>35.235849056603776</v>
      </c>
      <c r="I60" s="1">
        <f>IF(ISNUMBER(Main_L[[#This Row],[BVPS]]),IF(Main_L[[#This Row],[BVPS]]&lt;&gt;0,Main_L[[#This Row],[Current Price]]/Main_L[[#This Row],[BVPS]],""),"")</f>
        <v>23.616245136186773</v>
      </c>
      <c r="J60">
        <v>55.5</v>
      </c>
      <c r="K60">
        <v>12.69</v>
      </c>
      <c r="L60">
        <v>4.08</v>
      </c>
      <c r="M60" s="1">
        <f>IF(ISNUMBER(Main_L[[#This Row],[EPS]]),IF(Main_L[[#This Row],[EPS]]&lt;&gt;0,Main_L[[#This Row],[Current Price]]/Main_L[[#This Row],[EPS]],""),"")</f>
        <v>42.002595155709344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1.0863021920937757</v>
      </c>
      <c r="P60" s="1">
        <f>(Main_L[[#This Row],[P/B]]-VLOOKUP(Main_L[[#This Row],[Industry]], Mean_PB_L, 2, FALSE))/(VLOOKUP(Main_L[[#This Row],[Industry]], Mean_PB_L, 3, FALSE))</f>
        <v>6.2888033651815025</v>
      </c>
      <c r="Q60" s="1">
        <f>(Main_L[[#This Row],[ROE]]-VLOOKUP(Main_L[[#This Row],[Industry]], Mean_ROE_L, 2, FALSE))/(VLOOKUP(Main_L[[#This Row],[Industry]], Mean_ROE_L, 3, FALSE))</f>
        <v>4.8927644975804903</v>
      </c>
      <c r="R60" s="1">
        <f>(Main_L[[#This Row],[ROA]]-VLOOKUP(Main_L[[#This Row],[Industry]], Mean_ROA_L, 2, FALSE))/(VLOOKUP(Main_L[[#This Row],[Industry]], Mean_ROA_L, 3, FALSE))</f>
        <v>1.7390610431189379</v>
      </c>
      <c r="S60" s="1">
        <f>(Main_L[[#This Row],[A/E]]-VLOOKUP(Main_L[[#This Row],[Industry]], Mean_AE_L, 2, FALSE))/(VLOOKUP(Main_L[[#This Row],[Industry]], Mean_AE_L, 3, FALSE))</f>
        <v>-0.48169656788988247</v>
      </c>
      <c r="T60" s="1">
        <f>(Main_L[[#This Row],[P/E]]-VLOOKUP(Main_L[[#This Row],[Industry]], Mean_PE_L, 2, FALSE))/(VLOOKUP(Main_L[[#This Row],[Industry]], Mean_PE_L, 3, FALSE))</f>
        <v>1.1467957665555848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s="67" t="s">
        <v>172</v>
      </c>
      <c r="B61" s="67" t="s">
        <v>191</v>
      </c>
      <c r="C61" s="2">
        <v>12192</v>
      </c>
      <c r="D61">
        <f>RTD("tos.rtd", , "LAST", Main_L[[#This Row],[Symbol]])</f>
        <v>175.94</v>
      </c>
      <c r="E61">
        <v>12.31</v>
      </c>
      <c r="F61">
        <v>31.14</v>
      </c>
      <c r="G61">
        <v>5.82</v>
      </c>
      <c r="H61" s="1">
        <f>IF(ISNUMBER(Main_L[[#This Row],[Free CF]]),IF(Main_L[[#This Row],[Free CF]]&lt;&gt;0,Main_L[[#This Row],[Current Price]]/Main_L[[#This Row],[Free CF]],""),"")</f>
        <v>14.292445166531275</v>
      </c>
      <c r="I61" s="1">
        <f>IF(ISNUMBER(Main_L[[#This Row],[BVPS]]),IF(Main_L[[#This Row],[BVPS]]&lt;&gt;0,Main_L[[#This Row],[Current Price]]/Main_L[[#This Row],[BVPS]],""),"")</f>
        <v>5.6499678869621066</v>
      </c>
      <c r="J61">
        <v>19.93</v>
      </c>
      <c r="K61">
        <v>11.44</v>
      </c>
      <c r="L61">
        <v>1.76</v>
      </c>
      <c r="M61" s="1">
        <f>IF(ISNUMBER(Main_L[[#This Row],[EPS]]),IF(Main_L[[#This Row],[EPS]]&lt;&gt;0,Main_L[[#This Row],[Current Price]]/Main_L[[#This Row],[EPS]],""),"")</f>
        <v>30.230240549828178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-0.17812805582348651</v>
      </c>
      <c r="P61" s="1">
        <f>(Main_L[[#This Row],[P/B]]-VLOOKUP(Main_L[[#This Row],[Industry]], Mean_PB_L, 2, FALSE))/(VLOOKUP(Main_L[[#This Row],[Industry]], Mean_PB_L, 3, FALSE))</f>
        <v>0.39362025203393397</v>
      </c>
      <c r="Q61" s="1">
        <f>(Main_L[[#This Row],[ROE]]-VLOOKUP(Main_L[[#This Row],[Industry]], Mean_ROE_L, 2, FALSE))/(VLOOKUP(Main_L[[#This Row],[Industry]], Mean_ROE_L, 3, FALSE))</f>
        <v>0.49922417916239548</v>
      </c>
      <c r="R61" s="1">
        <f>(Main_L[[#This Row],[ROA]]-VLOOKUP(Main_L[[#This Row],[Industry]], Mean_ROA_L, 2, FALSE))/(VLOOKUP(Main_L[[#This Row],[Industry]], Mean_ROA_L, 3, FALSE))</f>
        <v>1.4588138782448048</v>
      </c>
      <c r="S61" s="1">
        <f>(Main_L[[#This Row],[A/E]]-VLOOKUP(Main_L[[#This Row],[Industry]], Mean_AE_L, 2, FALSE))/(VLOOKUP(Main_L[[#This Row],[Industry]], Mean_AE_L, 3, FALSE))</f>
        <v>-0.8837912614150274</v>
      </c>
      <c r="T61" s="1">
        <f>(Main_L[[#This Row],[P/E]]-VLOOKUP(Main_L[[#This Row],[Industry]], Mean_PE_L, 2, FALSE))/(VLOOKUP(Main_L[[#This Row],[Industry]], Mean_PE_L, 3, FALSE))</f>
        <v>0.22389948766149428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s="67" t="s">
        <v>172</v>
      </c>
      <c r="B62" s="67" t="s">
        <v>208</v>
      </c>
      <c r="C62" s="2">
        <v>13030</v>
      </c>
      <c r="D62">
        <f>RTD("tos.rtd", , "LAST", Main_L[[#This Row],[Symbol]])</f>
        <v>307.12</v>
      </c>
      <c r="E62">
        <v>11.98</v>
      </c>
      <c r="F62">
        <v>37.86</v>
      </c>
      <c r="G62">
        <v>8.91</v>
      </c>
      <c r="H62" s="1">
        <f>IF(ISNUMBER(Main_L[[#This Row],[Free CF]]),IF(Main_L[[#This Row],[Free CF]]&lt;&gt;0,Main_L[[#This Row],[Current Price]]/Main_L[[#This Row],[Free CF]],""),"")</f>
        <v>25.636060100166944</v>
      </c>
      <c r="I62" s="1">
        <f>IF(ISNUMBER(Main_L[[#This Row],[BVPS]]),IF(Main_L[[#This Row],[BVPS]]&lt;&gt;0,Main_L[[#This Row],[Current Price]]/Main_L[[#This Row],[BVPS]],""),"")</f>
        <v>8.1119915478077136</v>
      </c>
      <c r="J62">
        <v>25.68</v>
      </c>
      <c r="K62">
        <v>7.93</v>
      </c>
      <c r="L62">
        <v>2.23</v>
      </c>
      <c r="M62" s="1">
        <f>IF(ISNUMBER(Main_L[[#This Row],[EPS]]),IF(Main_L[[#This Row],[EPS]]&lt;&gt;0,Main_L[[#This Row],[Current Price]]/Main_L[[#This Row],[EPS]],""),"")</f>
        <v>34.469135802469133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0.50672765904021866</v>
      </c>
      <c r="P62" s="1">
        <f>(Main_L[[#This Row],[P/B]]-VLOOKUP(Main_L[[#This Row],[Industry]], Mean_PB_L, 2, FALSE))/(VLOOKUP(Main_L[[#This Row],[Industry]], Mean_PB_L, 3, FALSE))</f>
        <v>1.2014715452234084</v>
      </c>
      <c r="Q62" s="1">
        <f>(Main_L[[#This Row],[ROE]]-VLOOKUP(Main_L[[#This Row],[Industry]], Mean_ROE_L, 2, FALSE))/(VLOOKUP(Main_L[[#This Row],[Industry]], Mean_ROE_L, 3, FALSE))</f>
        <v>1.2094534968712525</v>
      </c>
      <c r="R62" s="1">
        <f>(Main_L[[#This Row],[ROA]]-VLOOKUP(Main_L[[#This Row],[Industry]], Mean_ROA_L, 2, FALSE))/(VLOOKUP(Main_L[[#This Row],[Industry]], Mean_ROA_L, 3, FALSE))</f>
        <v>0.67187983927823947</v>
      </c>
      <c r="S62" s="1">
        <f>(Main_L[[#This Row],[A/E]]-VLOOKUP(Main_L[[#This Row],[Industry]], Mean_AE_L, 2, FALSE))/(VLOOKUP(Main_L[[#This Row],[Industry]], Mean_AE_L, 3, FALSE))</f>
        <v>-0.80233242264053684</v>
      </c>
      <c r="T62" s="1">
        <f>(Main_L[[#This Row],[P/E]]-VLOOKUP(Main_L[[#This Row],[Industry]], Mean_PE_L, 2, FALSE))/(VLOOKUP(Main_L[[#This Row],[Industry]], Mean_PE_L, 3, FALSE))</f>
        <v>0.55620859541890066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s="67" t="s">
        <v>172</v>
      </c>
      <c r="B63" s="67" t="s">
        <v>203</v>
      </c>
      <c r="C63" s="2">
        <v>104144</v>
      </c>
      <c r="D63">
        <f>RTD("tos.rtd", , "LAST", Main_L[[#This Row],[Symbol]])</f>
        <v>268.35000000000002</v>
      </c>
      <c r="E63">
        <v>10.64</v>
      </c>
      <c r="F63">
        <v>75.16</v>
      </c>
      <c r="G63">
        <v>9.94</v>
      </c>
      <c r="H63" s="1">
        <f>IF(ISNUMBER(Main_L[[#This Row],[Free CF]]),IF(Main_L[[#This Row],[Free CF]]&lt;&gt;0,Main_L[[#This Row],[Current Price]]/Main_L[[#This Row],[Free CF]],""),"")</f>
        <v>25.220864661654137</v>
      </c>
      <c r="I63" s="1">
        <f>IF(ISNUMBER(Main_L[[#This Row],[BVPS]]),IF(Main_L[[#This Row],[BVPS]]&lt;&gt;0,Main_L[[#This Row],[Current Price]]/Main_L[[#This Row],[BVPS]],""),"")</f>
        <v>3.5703831825439067</v>
      </c>
      <c r="J63">
        <v>13.39</v>
      </c>
      <c r="K63">
        <v>1.76</v>
      </c>
      <c r="L63">
        <v>5.84</v>
      </c>
      <c r="M63" s="1">
        <f>IF(ISNUMBER(Main_L[[#This Row],[EPS]]),IF(Main_L[[#This Row],[EPS]]&lt;&gt;0,Main_L[[#This Row],[Current Price]]/Main_L[[#This Row],[EPS]],""),"")</f>
        <v>26.996981891348092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0.48166078481058516</v>
      </c>
      <c r="P63" s="1">
        <f>(Main_L[[#This Row],[P/B]]-VLOOKUP(Main_L[[#This Row],[Industry]], Mean_PB_L, 2, FALSE))/(VLOOKUP(Main_L[[#This Row],[Industry]], Mean_PB_L, 3, FALSE))</f>
        <v>-0.2887432928331703</v>
      </c>
      <c r="Q63" s="1">
        <f>(Main_L[[#This Row],[ROE]]-VLOOKUP(Main_L[[#This Row],[Industry]], Mean_ROE_L, 2, FALSE))/(VLOOKUP(Main_L[[#This Row],[Industry]], Mean_ROE_L, 3, FALSE))</f>
        <v>-0.30858447089254792</v>
      </c>
      <c r="R63" s="1">
        <f>(Main_L[[#This Row],[ROA]]-VLOOKUP(Main_L[[#This Row],[Industry]], Mean_ROA_L, 2, FALSE))/(VLOOKUP(Main_L[[#This Row],[Industry]], Mean_ROA_L, 3, FALSE))</f>
        <v>-0.71142016654048101</v>
      </c>
      <c r="S63" s="1">
        <f>(Main_L[[#This Row],[A/E]]-VLOOKUP(Main_L[[#This Row],[Industry]], Mean_AE_L, 2, FALSE))/(VLOOKUP(Main_L[[#This Row],[Industry]], Mean_AE_L, 3, FALSE))</f>
        <v>-0.17665921418115196</v>
      </c>
      <c r="T63" s="1">
        <f>(Main_L[[#This Row],[P/E]]-VLOOKUP(Main_L[[#This Row],[Industry]], Mean_PE_L, 2, FALSE))/(VLOOKUP(Main_L[[#This Row],[Industry]], Mean_PE_L, 3, FALSE))</f>
        <v>-2.9572522357865786E-2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s="67" t="s">
        <v>172</v>
      </c>
      <c r="B64" s="67" t="s">
        <v>202</v>
      </c>
      <c r="C64" s="2">
        <v>23992</v>
      </c>
      <c r="D64">
        <f>RTD("tos.rtd", , "LAST", Main_L[[#This Row],[Symbol]])</f>
        <v>219.55</v>
      </c>
      <c r="E64">
        <v>10.01</v>
      </c>
      <c r="F64">
        <v>42.51</v>
      </c>
      <c r="G64">
        <v>7.62</v>
      </c>
      <c r="H64" s="1">
        <f>IF(ISNUMBER(Main_L[[#This Row],[Free CF]]),IF(Main_L[[#This Row],[Free CF]]&lt;&gt;0,Main_L[[#This Row],[Current Price]]/Main_L[[#This Row],[Free CF]],""),"")</f>
        <v>21.933066933066936</v>
      </c>
      <c r="I64" s="1">
        <f>IF(ISNUMBER(Main_L[[#This Row],[BVPS]]),IF(Main_L[[#This Row],[BVPS]]&lt;&gt;0,Main_L[[#This Row],[Current Price]]/Main_L[[#This Row],[BVPS]],""),"")</f>
        <v>5.1646671371442014</v>
      </c>
      <c r="J64">
        <v>19.02</v>
      </c>
      <c r="K64">
        <v>9.32</v>
      </c>
      <c r="L64">
        <v>1.95</v>
      </c>
      <c r="M64" s="1">
        <f>IF(ISNUMBER(Main_L[[#This Row],[EPS]]),IF(Main_L[[#This Row],[EPS]]&lt;&gt;0,Main_L[[#This Row],[Current Price]]/Main_L[[#This Row],[EPS]],""),"")</f>
        <v>28.812335958005249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0.28316435515284938</v>
      </c>
      <c r="P64" s="1">
        <f>(Main_L[[#This Row],[P/B]]-VLOOKUP(Main_L[[#This Row],[Industry]], Mean_PB_L, 2, FALSE))/(VLOOKUP(Main_L[[#This Row],[Industry]], Mean_PB_L, 3, FALSE))</f>
        <v>0.23438098696872237</v>
      </c>
      <c r="Q64" s="1">
        <f>(Main_L[[#This Row],[ROE]]-VLOOKUP(Main_L[[#This Row],[Industry]], Mean_ROE_L, 2, FALSE))/(VLOOKUP(Main_L[[#This Row],[Industry]], Mean_ROE_L, 3, FALSE))</f>
        <v>0.38682266975108071</v>
      </c>
      <c r="R64" s="1">
        <f>(Main_L[[#This Row],[ROA]]-VLOOKUP(Main_L[[#This Row],[Industry]], Mean_ROA_L, 2, FALSE))/(VLOOKUP(Main_L[[#This Row],[Industry]], Mean_ROA_L, 3, FALSE))</f>
        <v>0.98351468661827546</v>
      </c>
      <c r="S64" s="1">
        <f>(Main_L[[#This Row],[A/E]]-VLOOKUP(Main_L[[#This Row],[Industry]], Mean_AE_L, 2, FALSE))/(VLOOKUP(Main_L[[#This Row],[Industry]], Mean_AE_L, 3, FALSE))</f>
        <v>-0.85086109254874387</v>
      </c>
      <c r="T64" s="1">
        <f>(Main_L[[#This Row],[P/E]]-VLOOKUP(Main_L[[#This Row],[Industry]], Mean_PE_L, 2, FALSE))/(VLOOKUP(Main_L[[#This Row],[Industry]], Mean_PE_L, 3, FALSE))</f>
        <v>0.11274255131109819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s="67" t="s">
        <v>172</v>
      </c>
      <c r="B65" s="67" t="s">
        <v>382</v>
      </c>
      <c r="C65" s="2">
        <v>10056</v>
      </c>
      <c r="D65">
        <f>RTD("tos.rtd", , "LAST", Main_L[[#This Row],[Symbol]])</f>
        <v>149.44</v>
      </c>
      <c r="E65">
        <v>9.93</v>
      </c>
      <c r="F65">
        <v>20.78</v>
      </c>
      <c r="G65">
        <v>5.36</v>
      </c>
      <c r="H65" s="1">
        <f>IF(ISNUMBER(Main_L[[#This Row],[Free CF]]),IF(Main_L[[#This Row],[Free CF]]&lt;&gt;0,Main_L[[#This Row],[Current Price]]/Main_L[[#This Row],[Free CF]],""),"")</f>
        <v>15.049345417925478</v>
      </c>
      <c r="I65" s="1">
        <f>IF(ISNUMBER(Main_L[[#This Row],[BVPS]]),IF(Main_L[[#This Row],[BVPS]]&lt;&gt;0,Main_L[[#This Row],[Current Price]]/Main_L[[#This Row],[BVPS]],""),"")</f>
        <v>7.1915303176130889</v>
      </c>
      <c r="J65">
        <v>28.01</v>
      </c>
      <c r="K65">
        <v>3.89</v>
      </c>
      <c r="L65">
        <v>7.25</v>
      </c>
      <c r="M65" s="1">
        <f>IF(ISNUMBER(Main_L[[#This Row],[EPS]]),IF(Main_L[[#This Row],[EPS]]&lt;&gt;0,Main_L[[#This Row],[Current Price]]/Main_L[[#This Row],[EPS]],""),"")</f>
        <v>27.880597014925371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-0.13243120646975437</v>
      </c>
      <c r="P65" s="1">
        <f>(Main_L[[#This Row],[P/B]]-VLOOKUP(Main_L[[#This Row],[Industry]], Mean_PB_L, 2, FALSE))/(VLOOKUP(Main_L[[#This Row],[Industry]], Mean_PB_L, 3, FALSE))</f>
        <v>0.89944528651226885</v>
      </c>
      <c r="Q65" s="1">
        <f>(Main_L[[#This Row],[ROE]]-VLOOKUP(Main_L[[#This Row],[Industry]], Mean_ROE_L, 2, FALSE))/(VLOOKUP(Main_L[[#This Row],[Industry]], Mean_ROE_L, 3, FALSE))</f>
        <v>1.4972507682211027</v>
      </c>
      <c r="R65" s="1">
        <f>(Main_L[[#This Row],[ROA]]-VLOOKUP(Main_L[[#This Row],[Industry]], Mean_ROA_L, 2, FALSE))/(VLOOKUP(Main_L[[#This Row],[Industry]], Mean_ROA_L, 3, FALSE))</f>
        <v>-0.23387899759495834</v>
      </c>
      <c r="S65" s="1">
        <f>(Main_L[[#This Row],[A/E]]-VLOOKUP(Main_L[[#This Row],[Industry]], Mean_AE_L, 2, FALSE))/(VLOOKUP(Main_L[[#This Row],[Industry]], Mean_AE_L, 3, FALSE))</f>
        <v>6.7717302142319705E-2</v>
      </c>
      <c r="T65" s="1">
        <f>(Main_L[[#This Row],[P/E]]-VLOOKUP(Main_L[[#This Row],[Industry]], Mean_PE_L, 2, FALSE))/(VLOOKUP(Main_L[[#This Row],[Industry]], Mean_PE_L, 3, FALSE))</f>
        <v>3.9698675870958995E-2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s="67" t="s">
        <v>172</v>
      </c>
      <c r="B66" s="67" t="s">
        <v>201</v>
      </c>
      <c r="C66" s="2">
        <v>101659</v>
      </c>
      <c r="D66">
        <f>RTD("tos.rtd", , "LAST", Main_L[[#This Row],[Symbol]])</f>
        <v>32.93</v>
      </c>
      <c r="E66">
        <v>9.6999999999999993</v>
      </c>
      <c r="F66">
        <v>27.35</v>
      </c>
      <c r="G66">
        <v>1.51</v>
      </c>
      <c r="H66" s="1">
        <f>IF(ISNUMBER(Main_L[[#This Row],[Free CF]]),IF(Main_L[[#This Row],[Free CF]]&lt;&gt;0,Main_L[[#This Row],[Current Price]]/Main_L[[#This Row],[Free CF]],""),"")</f>
        <v>3.3948453608247426</v>
      </c>
      <c r="I66" s="1">
        <f>IF(ISNUMBER(Main_L[[#This Row],[BVPS]]),IF(Main_L[[#This Row],[BVPS]]&lt;&gt;0,Main_L[[#This Row],[Current Price]]/Main_L[[#This Row],[BVPS]],""),"")</f>
        <v>1.2040219378427788</v>
      </c>
      <c r="J66">
        <v>5.86</v>
      </c>
      <c r="K66">
        <v>0.32</v>
      </c>
      <c r="L66">
        <v>17.7</v>
      </c>
      <c r="M66" s="1">
        <f>IF(ISNUMBER(Main_L[[#This Row],[EPS]]),IF(Main_L[[#This Row],[EPS]]&lt;&gt;0,Main_L[[#This Row],[Current Price]]/Main_L[[#This Row],[EPS]],""),"")</f>
        <v>21.807947019867548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-0.83605619856269997</v>
      </c>
      <c r="P66" s="1">
        <f>(Main_L[[#This Row],[P/B]]-VLOOKUP(Main_L[[#This Row],[Industry]], Mean_PB_L, 2, FALSE))/(VLOOKUP(Main_L[[#This Row],[Industry]], Mean_PB_L, 3, FALSE))</f>
        <v>-1.0652053642937991</v>
      </c>
      <c r="Q66" s="1">
        <f>(Main_L[[#This Row],[ROE]]-VLOOKUP(Main_L[[#This Row],[Industry]], Mean_ROE_L, 2, FALSE))/(VLOOKUP(Main_L[[#This Row],[Industry]], Mean_ROE_L, 3, FALSE))</f>
        <v>-1.2386760817356253</v>
      </c>
      <c r="R66" s="1">
        <f>(Main_L[[#This Row],[ROA]]-VLOOKUP(Main_L[[#This Row],[Industry]], Mean_ROA_L, 2, FALSE))/(VLOOKUP(Main_L[[#This Row],[Industry]], Mean_ROA_L, 3, FALSE))</f>
        <v>-1.0342649004754823</v>
      </c>
      <c r="S66" s="1">
        <f>(Main_L[[#This Row],[A/E]]-VLOOKUP(Main_L[[#This Row],[Industry]], Mean_AE_L, 2, FALSE))/(VLOOKUP(Main_L[[#This Row],[Industry]], Mean_AE_L, 3, FALSE))</f>
        <v>1.8788765897879072</v>
      </c>
      <c r="T66" s="1">
        <f>(Main_L[[#This Row],[P/E]]-VLOOKUP(Main_L[[#This Row],[Industry]], Mean_PE_L, 2, FALSE))/(VLOOKUP(Main_L[[#This Row],[Industry]], Mean_PE_L, 3, FALSE))</f>
        <v>-0.43636803050104028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s="67" t="s">
        <v>172</v>
      </c>
      <c r="B67" s="67" t="s">
        <v>198</v>
      </c>
      <c r="C67" s="2">
        <v>29654</v>
      </c>
      <c r="D67">
        <f>RTD("tos.rtd", , "LAST", Main_L[[#This Row],[Symbol]])</f>
        <v>146.96</v>
      </c>
      <c r="E67">
        <v>9.64</v>
      </c>
      <c r="F67">
        <v>59.73</v>
      </c>
      <c r="G67">
        <v>10.38</v>
      </c>
      <c r="H67" s="1">
        <f>IF(ISNUMBER(Main_L[[#This Row],[Free CF]]),IF(Main_L[[#This Row],[Free CF]]&lt;&gt;0,Main_L[[#This Row],[Current Price]]/Main_L[[#This Row],[Free CF]],""),"")</f>
        <v>15.244813278008298</v>
      </c>
      <c r="I67" s="1">
        <f>IF(ISNUMBER(Main_L[[#This Row],[BVPS]]),IF(Main_L[[#This Row],[BVPS]]&lt;&gt;0,Main_L[[#This Row],[Current Price]]/Main_L[[#This Row],[BVPS]],""),"")</f>
        <v>2.4604051565377536</v>
      </c>
      <c r="J67">
        <v>18.87</v>
      </c>
      <c r="K67">
        <v>2.66</v>
      </c>
      <c r="L67">
        <v>6.85</v>
      </c>
      <c r="M67" s="1">
        <f>IF(ISNUMBER(Main_L[[#This Row],[EPS]]),IF(Main_L[[#This Row],[EPS]]&lt;&gt;0,Main_L[[#This Row],[Current Price]]/Main_L[[#This Row],[EPS]],""),"")</f>
        <v>14.157996146435453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-0.12063009352356648</v>
      </c>
      <c r="P67" s="1">
        <f>(Main_L[[#This Row],[P/B]]-VLOOKUP(Main_L[[#This Row],[Industry]], Mean_PB_L, 2, FALSE))/(VLOOKUP(Main_L[[#This Row],[Industry]], Mean_PB_L, 3, FALSE))</f>
        <v>-0.6529547331947918</v>
      </c>
      <c r="Q67" s="1">
        <f>(Main_L[[#This Row],[ROE]]-VLOOKUP(Main_L[[#This Row],[Industry]], Mean_ROE_L, 2, FALSE))/(VLOOKUP(Main_L[[#This Row],[Industry]], Mean_ROE_L, 3, FALSE))</f>
        <v>0.36829494841954546</v>
      </c>
      <c r="R67" s="1">
        <f>(Main_L[[#This Row],[ROA]]-VLOOKUP(Main_L[[#This Row],[Industry]], Mean_ROA_L, 2, FALSE))/(VLOOKUP(Main_L[[#This Row],[Industry]], Mean_ROA_L, 3, FALSE))</f>
        <v>-0.50964220783110525</v>
      </c>
      <c r="S67" s="1">
        <f>(Main_L[[#This Row],[A/E]]-VLOOKUP(Main_L[[#This Row],[Industry]], Mean_AE_L, 2, FALSE))/(VLOOKUP(Main_L[[#This Row],[Industry]], Mean_AE_L, 3, FALSE))</f>
        <v>-1.6093691551191237E-3</v>
      </c>
      <c r="T67" s="1">
        <f>(Main_L[[#This Row],[P/E]]-VLOOKUP(Main_L[[#This Row],[Industry]], Mean_PE_L, 2, FALSE))/(VLOOKUP(Main_L[[#This Row],[Industry]], Mean_PE_L, 3, FALSE))</f>
        <v>-1.0360875794930515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s="67" t="s">
        <v>172</v>
      </c>
      <c r="B68" s="67" t="s">
        <v>183</v>
      </c>
      <c r="C68" s="2">
        <v>108177</v>
      </c>
      <c r="D68">
        <f>RTD("tos.rtd", , "LAST", Main_L[[#This Row],[Symbol]])</f>
        <v>123.25</v>
      </c>
      <c r="E68">
        <v>8.48</v>
      </c>
      <c r="F68">
        <v>28.06</v>
      </c>
      <c r="G68">
        <v>2.37</v>
      </c>
      <c r="H68" s="1">
        <f>IF(ISNUMBER(Main_L[[#This Row],[Free CF]]),IF(Main_L[[#This Row],[Free CF]]&lt;&gt;0,Main_L[[#This Row],[Current Price]]/Main_L[[#This Row],[Free CF]],""),"")</f>
        <v>14.534198113207546</v>
      </c>
      <c r="I68" s="1">
        <f>IF(ISNUMBER(Main_L[[#This Row],[BVPS]]),IF(Main_L[[#This Row],[BVPS]]&lt;&gt;0,Main_L[[#This Row],[Current Price]]/Main_L[[#This Row],[BVPS]],""),"")</f>
        <v>4.392373485388454</v>
      </c>
      <c r="J68">
        <v>7.14</v>
      </c>
      <c r="K68">
        <v>1.26</v>
      </c>
      <c r="L68">
        <v>14.94</v>
      </c>
      <c r="M68" s="1">
        <f>IF(ISNUMBER(Main_L[[#This Row],[EPS]]),IF(Main_L[[#This Row],[EPS]]&lt;&gt;0,Main_L[[#This Row],[Current Price]]/Main_L[[#This Row],[EPS]],""),"")</f>
        <v>52.004219409282697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-0.16353254212833671</v>
      </c>
      <c r="P68" s="1">
        <f>(Main_L[[#This Row],[P/B]]-VLOOKUP(Main_L[[#This Row],[Industry]], Mean_PB_L, 2, FALSE))/(VLOOKUP(Main_L[[#This Row],[Industry]], Mean_PB_L, 3, FALSE))</f>
        <v>-1.9027798338652757E-2</v>
      </c>
      <c r="Q68" s="1">
        <f>(Main_L[[#This Row],[ROE]]-VLOOKUP(Main_L[[#This Row],[Industry]], Mean_ROE_L, 2, FALSE))/(VLOOKUP(Main_L[[#This Row],[Industry]], Mean_ROE_L, 3, FALSE))</f>
        <v>-1.0805728597065229</v>
      </c>
      <c r="R68" s="1">
        <f>(Main_L[[#This Row],[ROA]]-VLOOKUP(Main_L[[#This Row],[Industry]], Mean_ROA_L, 2, FALSE))/(VLOOKUP(Main_L[[#This Row],[Industry]], Mean_ROA_L, 3, FALSE))</f>
        <v>-0.82351903249013425</v>
      </c>
      <c r="S68" s="1">
        <f>(Main_L[[#This Row],[A/E]]-VLOOKUP(Main_L[[#This Row],[Industry]], Mean_AE_L, 2, FALSE))/(VLOOKUP(Main_L[[#This Row],[Industry]], Mean_AE_L, 3, FALSE))</f>
        <v>1.40052255783558</v>
      </c>
      <c r="T68" s="1">
        <f>(Main_L[[#This Row],[P/E]]-VLOOKUP(Main_L[[#This Row],[Industry]], Mean_PE_L, 2, FALSE))/(VLOOKUP(Main_L[[#This Row],[Industry]], Mean_PE_L, 3, FALSE))</f>
        <v>1.9308752574934838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s="67" t="s">
        <v>172</v>
      </c>
      <c r="B69" s="67" t="s">
        <v>204</v>
      </c>
      <c r="C69" s="2">
        <v>62815</v>
      </c>
      <c r="D69">
        <f>RTD("tos.rtd", , "LAST", Main_L[[#This Row],[Symbol]])</f>
        <v>256.63</v>
      </c>
      <c r="E69">
        <v>7.85</v>
      </c>
      <c r="F69">
        <v>41.12</v>
      </c>
      <c r="G69">
        <v>5.39</v>
      </c>
      <c r="H69" s="1">
        <f>IF(ISNUMBER(Main_L[[#This Row],[Free CF]]),IF(Main_L[[#This Row],[Free CF]]&lt;&gt;0,Main_L[[#This Row],[Current Price]]/Main_L[[#This Row],[Free CF]],""),"")</f>
        <v>32.691719745222933</v>
      </c>
      <c r="I69" s="1">
        <f>IF(ISNUMBER(Main_L[[#This Row],[BVPS]]),IF(Main_L[[#This Row],[BVPS]]&lt;&gt;0,Main_L[[#This Row],[Current Price]]/Main_L[[#This Row],[BVPS]],""),"")</f>
        <v>6.2410019455252925</v>
      </c>
      <c r="J69">
        <v>15.84</v>
      </c>
      <c r="K69">
        <v>0.22</v>
      </c>
      <c r="L69">
        <v>2.08</v>
      </c>
      <c r="M69" s="1">
        <f>IF(ISNUMBER(Main_L[[#This Row],[EPS]]),IF(Main_L[[#This Row],[EPS]]&lt;&gt;0,Main_L[[#This Row],[Current Price]]/Main_L[[#This Row],[EPS]],""),"")</f>
        <v>47.612244897959187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0.93270375734040212</v>
      </c>
      <c r="P69" s="1">
        <f>(Main_L[[#This Row],[P/B]]-VLOOKUP(Main_L[[#This Row],[Industry]], Mean_PB_L, 2, FALSE))/(VLOOKUP(Main_L[[#This Row],[Industry]], Mean_PB_L, 3, FALSE))</f>
        <v>0.5875532495605712</v>
      </c>
      <c r="Q69" s="1">
        <f>(Main_L[[#This Row],[ROE]]-VLOOKUP(Main_L[[#This Row],[Industry]], Mean_ROE_L, 2, FALSE))/(VLOOKUP(Main_L[[#This Row],[Industry]], Mean_ROE_L, 3, FALSE))</f>
        <v>-5.965022477469775E-3</v>
      </c>
      <c r="R69" s="1">
        <f>(Main_L[[#This Row],[ROA]]-VLOOKUP(Main_L[[#This Row],[Industry]], Mean_ROA_L, 2, FALSE))/(VLOOKUP(Main_L[[#This Row],[Industry]], Mean_ROA_L, 3, FALSE))</f>
        <v>-1.056684673665413</v>
      </c>
      <c r="S69" s="1">
        <f>(Main_L[[#This Row],[A/E]]-VLOOKUP(Main_L[[#This Row],[Industry]], Mean_AE_L, 2, FALSE))/(VLOOKUP(Main_L[[#This Row],[Industry]], Mean_AE_L, 3, FALSE))</f>
        <v>-0.82832992437707631</v>
      </c>
      <c r="T69" s="1">
        <f>(Main_L[[#This Row],[P/E]]-VLOOKUP(Main_L[[#This Row],[Industry]], Mean_PE_L, 2, FALSE))/(VLOOKUP(Main_L[[#This Row],[Industry]], Mean_PE_L, 3, FALSE))</f>
        <v>1.5865654682289627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s="67" t="s">
        <v>172</v>
      </c>
      <c r="B70" s="67" t="s">
        <v>206</v>
      </c>
      <c r="C70" s="2">
        <v>103138</v>
      </c>
      <c r="D70">
        <f>RTD("tos.rtd", , "LAST", Main_L[[#This Row],[Symbol]])</f>
        <v>175.97</v>
      </c>
      <c r="E70">
        <v>6.58</v>
      </c>
      <c r="F70">
        <v>48.74</v>
      </c>
      <c r="G70">
        <v>4.83</v>
      </c>
      <c r="H70" s="1">
        <f>IF(ISNUMBER(Main_L[[#This Row],[Free CF]]),IF(Main_L[[#This Row],[Free CF]]&lt;&gt;0,Main_L[[#This Row],[Current Price]]/Main_L[[#This Row],[Free CF]],""),"")</f>
        <v>26.743161094224924</v>
      </c>
      <c r="I70" s="1">
        <f>IF(ISNUMBER(Main_L[[#This Row],[BVPS]]),IF(Main_L[[#This Row],[BVPS]]&lt;&gt;0,Main_L[[#This Row],[Current Price]]/Main_L[[#This Row],[BVPS]],""),"")</f>
        <v>3.6103816167418956</v>
      </c>
      <c r="J70">
        <v>10.42</v>
      </c>
      <c r="K70">
        <v>2.09</v>
      </c>
      <c r="L70">
        <v>5.1100000000000003</v>
      </c>
      <c r="M70" s="1">
        <f>IF(ISNUMBER(Main_L[[#This Row],[EPS]]),IF(Main_L[[#This Row],[EPS]]&lt;&gt;0,Main_L[[#This Row],[Current Price]]/Main_L[[#This Row],[EPS]],""),"")</f>
        <v>36.432712215320912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0.57356741401671185</v>
      </c>
      <c r="P70" s="1">
        <f>(Main_L[[#This Row],[P/B]]-VLOOKUP(Main_L[[#This Row],[Industry]], Mean_PB_L, 2, FALSE))/(VLOOKUP(Main_L[[#This Row],[Industry]], Mean_PB_L, 3, FALSE))</f>
        <v>-0.2756188101946479</v>
      </c>
      <c r="Q70" s="1">
        <f>(Main_L[[#This Row],[ROE]]-VLOOKUP(Main_L[[#This Row],[Industry]], Mean_ROE_L, 2, FALSE))/(VLOOKUP(Main_L[[#This Row],[Industry]], Mean_ROE_L, 3, FALSE))</f>
        <v>-0.67543335325694898</v>
      </c>
      <c r="R70" s="1">
        <f>(Main_L[[#This Row],[ROA]]-VLOOKUP(Main_L[[#This Row],[Industry]], Mean_ROA_L, 2, FALSE))/(VLOOKUP(Main_L[[#This Row],[Industry]], Mean_ROA_L, 3, FALSE))</f>
        <v>-0.63743491501370997</v>
      </c>
      <c r="S70" s="1">
        <f>(Main_L[[#This Row],[A/E]]-VLOOKUP(Main_L[[#This Row],[Industry]], Mean_AE_L, 2, FALSE))/(VLOOKUP(Main_L[[#This Row],[Industry]], Mean_AE_L, 3, FALSE))</f>
        <v>-0.30318038929897762</v>
      </c>
      <c r="T70" s="1">
        <f>(Main_L[[#This Row],[P/E]]-VLOOKUP(Main_L[[#This Row],[Industry]], Mean_PE_L, 2, FALSE))/(VLOOKUP(Main_L[[#This Row],[Industry]], Mean_PE_L, 3, FALSE))</f>
        <v>0.71014359189274079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s="67" t="s">
        <v>172</v>
      </c>
      <c r="B71" s="67" t="s">
        <v>188</v>
      </c>
      <c r="C71" s="2">
        <v>20619</v>
      </c>
      <c r="D71">
        <f>RTD("tos.rtd", , "LAST", Main_L[[#This Row],[Symbol]])</f>
        <v>94.98</v>
      </c>
      <c r="E71">
        <v>5.75</v>
      </c>
      <c r="F71">
        <v>47.02</v>
      </c>
      <c r="G71">
        <v>8.81</v>
      </c>
      <c r="H71" s="1">
        <f>IF(ISNUMBER(Main_L[[#This Row],[Free CF]]),IF(Main_L[[#This Row],[Free CF]]&lt;&gt;0,Main_L[[#This Row],[Current Price]]/Main_L[[#This Row],[Free CF]],""),"")</f>
        <v>16.518260869565218</v>
      </c>
      <c r="I71" s="1">
        <f>IF(ISNUMBER(Main_L[[#This Row],[BVPS]]),IF(Main_L[[#This Row],[BVPS]]&lt;&gt;0,Main_L[[#This Row],[Current Price]]/Main_L[[#This Row],[BVPS]],""),"")</f>
        <v>2.0199914929817098</v>
      </c>
      <c r="J71">
        <v>18.45</v>
      </c>
      <c r="K71">
        <v>10.99</v>
      </c>
      <c r="L71">
        <v>1.35</v>
      </c>
      <c r="M71" s="1">
        <f>IF(ISNUMBER(Main_L[[#This Row],[EPS]]),IF(Main_L[[#This Row],[EPS]]&lt;&gt;0,Main_L[[#This Row],[Current Price]]/Main_L[[#This Row],[EPS]],""),"")</f>
        <v>10.780930760499432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1" s="1">
        <f>(Main_L[[#This Row],[P/FCF]]-VLOOKUP(Main_L[[#This Row],[Industry]], Mean_PFCF_L, 2, FALSE))/(VLOOKUP(Main_L[[#This Row],[Industry]], Mean_PFCF_L, 3, FALSE))</f>
        <v>-4.3747383227117971E-2</v>
      </c>
      <c r="P71" s="1">
        <f>(Main_L[[#This Row],[P/B]]-VLOOKUP(Main_L[[#This Row],[Industry]], Mean_PB_L, 2, FALSE))/(VLOOKUP(Main_L[[#This Row],[Industry]], Mean_PB_L, 3, FALSE))</f>
        <v>-0.79746542710090351</v>
      </c>
      <c r="Q71" s="1">
        <f>(Main_L[[#This Row],[ROE]]-VLOOKUP(Main_L[[#This Row],[Industry]], Mean_ROE_L, 2, FALSE))/(VLOOKUP(Main_L[[#This Row],[Industry]], Mean_ROE_L, 3, FALSE))</f>
        <v>0.31641732869124617</v>
      </c>
      <c r="R71" s="1">
        <f>(Main_L[[#This Row],[ROA]]-VLOOKUP(Main_L[[#This Row],[Industry]], Mean_ROA_L, 2, FALSE))/(VLOOKUP(Main_L[[#This Row],[Industry]], Mean_ROA_L, 3, FALSE))</f>
        <v>1.3579248988901171</v>
      </c>
      <c r="S71" s="1">
        <f>(Main_L[[#This Row],[A/E]]-VLOOKUP(Main_L[[#This Row],[Industry]], Mean_AE_L, 2, FALSE))/(VLOOKUP(Main_L[[#This Row],[Industry]], Mean_AE_L, 3, FALSE))</f>
        <v>-0.95485109949490199</v>
      </c>
      <c r="T71" s="1">
        <f>(Main_L[[#This Row],[P/E]]-VLOOKUP(Main_L[[#This Row],[Industry]], Mean_PE_L, 2, FALSE))/(VLOOKUP(Main_L[[#This Row],[Industry]], Mean_PE_L, 3, FALSE))</f>
        <v>-1.3008333489337187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s="67" t="s">
        <v>172</v>
      </c>
      <c r="B72" s="67" t="s">
        <v>199</v>
      </c>
      <c r="C72" s="2">
        <v>160511</v>
      </c>
      <c r="D72">
        <f>RTD("tos.rtd", , "LAST", Main_L[[#This Row],[Symbol]])</f>
        <v>88.21</v>
      </c>
      <c r="E72">
        <v>5.12</v>
      </c>
      <c r="F72">
        <v>22.2</v>
      </c>
      <c r="G72">
        <v>3.3</v>
      </c>
      <c r="H72" s="1">
        <f>IF(ISNUMBER(Main_L[[#This Row],[Free CF]]),IF(Main_L[[#This Row],[Free CF]]&lt;&gt;0,Main_L[[#This Row],[Current Price]]/Main_L[[#This Row],[Free CF]],""),"")</f>
        <v>17.228515625</v>
      </c>
      <c r="I72" s="1">
        <f>IF(ISNUMBER(Main_L[[#This Row],[BVPS]]),IF(Main_L[[#This Row],[BVPS]]&lt;&gt;0,Main_L[[#This Row],[Current Price]]/Main_L[[#This Row],[BVPS]],""),"")</f>
        <v>3.9734234234234234</v>
      </c>
      <c r="J72">
        <v>14.12</v>
      </c>
      <c r="K72">
        <v>1.39</v>
      </c>
      <c r="L72">
        <v>11.48</v>
      </c>
      <c r="M72" s="1">
        <f>IF(ISNUMBER(Main_L[[#This Row],[EPS]]),IF(Main_L[[#This Row],[EPS]]&lt;&gt;0,Main_L[[#This Row],[Current Price]]/Main_L[[#This Row],[EPS]],""),"")</f>
        <v>26.73030303030303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-8.6669386007032743E-4</v>
      </c>
      <c r="P72" s="1">
        <f>(Main_L[[#This Row],[P/B]]-VLOOKUP(Main_L[[#This Row],[Industry]], Mean_PB_L, 2, FALSE))/(VLOOKUP(Main_L[[#This Row],[Industry]], Mean_PB_L, 3, FALSE))</f>
        <v>-0.15649574989522574</v>
      </c>
      <c r="Q72" s="1">
        <f>(Main_L[[#This Row],[ROE]]-VLOOKUP(Main_L[[#This Row],[Industry]], Mean_ROE_L, 2, FALSE))/(VLOOKUP(Main_L[[#This Row],[Industry]], Mean_ROE_L, 3, FALSE))</f>
        <v>-0.21841622707907579</v>
      </c>
      <c r="R72" s="1">
        <f>(Main_L[[#This Row],[ROA]]-VLOOKUP(Main_L[[#This Row],[Industry]], Mean_ROA_L, 2, FALSE))/(VLOOKUP(Main_L[[#This Row],[Industry]], Mean_ROA_L, 3, FALSE))</f>
        <v>-0.79437332734322441</v>
      </c>
      <c r="S72" s="1">
        <f>(Main_L[[#This Row],[A/E]]-VLOOKUP(Main_L[[#This Row],[Industry]], Mean_AE_L, 2, FALSE))/(VLOOKUP(Main_L[[#This Row],[Industry]], Mean_AE_L, 3, FALSE))</f>
        <v>0.80084685111273468</v>
      </c>
      <c r="T72" s="1">
        <f>(Main_L[[#This Row],[P/E]]-VLOOKUP(Main_L[[#This Row],[Industry]], Mean_PE_L, 2, FALSE))/(VLOOKUP(Main_L[[#This Row],[Industry]], Mean_PE_L, 3, FALSE))</f>
        <v>-5.0478869198220727E-2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s="67" t="s">
        <v>172</v>
      </c>
      <c r="B73" s="67" t="s">
        <v>186</v>
      </c>
      <c r="C73" s="2">
        <v>10614</v>
      </c>
      <c r="D73">
        <f>RTD("tos.rtd", , "LAST", Main_L[[#This Row],[Symbol]])</f>
        <v>84.53</v>
      </c>
      <c r="E73">
        <v>4.68</v>
      </c>
      <c r="F73">
        <v>18.09</v>
      </c>
      <c r="G73">
        <v>4.59</v>
      </c>
      <c r="H73" s="1">
        <f>IF(ISNUMBER(Main_L[[#This Row],[Free CF]]),IF(Main_L[[#This Row],[Free CF]]&lt;&gt;0,Main_L[[#This Row],[Current Price]]/Main_L[[#This Row],[Free CF]],""),"")</f>
        <v>18.061965811965813</v>
      </c>
      <c r="I73" s="1">
        <f>IF(ISNUMBER(Main_L[[#This Row],[BVPS]]),IF(Main_L[[#This Row],[BVPS]]&lt;&gt;0,Main_L[[#This Row],[Current Price]]/Main_L[[#This Row],[BVPS]],""),"")</f>
        <v>4.6727473742399113</v>
      </c>
      <c r="J73">
        <v>26.62</v>
      </c>
      <c r="K73">
        <v>13.97</v>
      </c>
      <c r="L73">
        <v>1.1399999999999999</v>
      </c>
      <c r="M73" s="1">
        <f>IF(ISNUMBER(Main_L[[#This Row],[EPS]]),IF(Main_L[[#This Row],[EPS]]&lt;&gt;0,Main_L[[#This Row],[Current Price]]/Main_L[[#This Row],[EPS]],""),"")</f>
        <v>18.416122004357298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4.9451756381507041E-2</v>
      </c>
      <c r="P73" s="1">
        <f>(Main_L[[#This Row],[P/B]]-VLOOKUP(Main_L[[#This Row],[Industry]], Mean_PB_L, 2, FALSE))/(VLOOKUP(Main_L[[#This Row],[Industry]], Mean_PB_L, 3, FALSE))</f>
        <v>7.2969858827411152E-2</v>
      </c>
      <c r="Q73" s="1">
        <f>(Main_L[[#This Row],[ROE]]-VLOOKUP(Main_L[[#This Row],[Industry]], Mean_ROE_L, 2, FALSE))/(VLOOKUP(Main_L[[#This Row],[Industry]], Mean_ROE_L, 3, FALSE))</f>
        <v>1.3255605505488746</v>
      </c>
      <c r="R73" s="1">
        <f>(Main_L[[#This Row],[ROA]]-VLOOKUP(Main_L[[#This Row],[Industry]], Mean_ROA_L, 2, FALSE))/(VLOOKUP(Main_L[[#This Row],[Industry]], Mean_ROA_L, 3, FALSE))</f>
        <v>2.0260341399500503</v>
      </c>
      <c r="S73" s="1">
        <f>(Main_L[[#This Row],[A/E]]-VLOOKUP(Main_L[[#This Row],[Industry]], Mean_AE_L, 2, FALSE))/(VLOOKUP(Main_L[[#This Row],[Industry]], Mean_AE_L, 3, FALSE))</f>
        <v>-0.99124760192605743</v>
      </c>
      <c r="T73" s="1">
        <f>(Main_L[[#This Row],[P/E]]-VLOOKUP(Main_L[[#This Row],[Industry]], Mean_PE_L, 2, FALSE))/(VLOOKUP(Main_L[[#This Row],[Industry]], Mean_PE_L, 3, FALSE))</f>
        <v>-0.70227088428616857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s="67" t="s">
        <v>172</v>
      </c>
      <c r="B74" s="67" t="s">
        <v>181</v>
      </c>
      <c r="C74" s="2">
        <v>106118</v>
      </c>
      <c r="D74">
        <f>RTD("tos.rtd", , "LAST", Main_L[[#This Row],[Symbol]])</f>
        <v>139.97999999999999</v>
      </c>
      <c r="E74">
        <v>4.6500000000000004</v>
      </c>
      <c r="F74">
        <v>10.32</v>
      </c>
      <c r="G74">
        <v>3.31</v>
      </c>
      <c r="H74" s="1">
        <f>IF(ISNUMBER(Main_L[[#This Row],[Free CF]]),IF(Main_L[[#This Row],[Free CF]]&lt;&gt;0,Main_L[[#This Row],[Current Price]]/Main_L[[#This Row],[Free CF]],""),"")</f>
        <v>30.103225806451608</v>
      </c>
      <c r="I74" s="1">
        <f>IF(ISNUMBER(Main_L[[#This Row],[BVPS]]),IF(Main_L[[#This Row],[BVPS]]&lt;&gt;0,Main_L[[#This Row],[Current Price]]/Main_L[[#This Row],[BVPS]],""),"")</f>
        <v>13.563953488372091</v>
      </c>
      <c r="J74">
        <v>26.34</v>
      </c>
      <c r="K74">
        <v>11.89</v>
      </c>
      <c r="L74">
        <v>5.67</v>
      </c>
      <c r="M74" s="1">
        <f>IF(ISNUMBER(Main_L[[#This Row],[EPS]]),IF(Main_L[[#This Row],[EPS]]&lt;&gt;0,Main_L[[#This Row],[Current Price]]/Main_L[[#This Row],[EPS]],""),"")</f>
        <v>42.290030211480357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0.77642686701674291</v>
      </c>
      <c r="P74" s="1">
        <f>(Main_L[[#This Row],[P/B]]-VLOOKUP(Main_L[[#This Row],[Industry]], Mean_PB_L, 2, FALSE))/(VLOOKUP(Main_L[[#This Row],[Industry]], Mean_PB_L, 3, FALSE))</f>
        <v>2.9903960686343658</v>
      </c>
      <c r="Q74" s="1">
        <f>(Main_L[[#This Row],[ROE]]-VLOOKUP(Main_L[[#This Row],[Industry]], Mean_ROE_L, 2, FALSE))/(VLOOKUP(Main_L[[#This Row],[Industry]], Mean_ROE_L, 3, FALSE))</f>
        <v>1.2909754707300083</v>
      </c>
      <c r="R74" s="1">
        <f>(Main_L[[#This Row],[ROA]]-VLOOKUP(Main_L[[#This Row],[Industry]], Mean_ROA_L, 2, FALSE))/(VLOOKUP(Main_L[[#This Row],[Industry]], Mean_ROA_L, 3, FALSE))</f>
        <v>1.5597028575994931</v>
      </c>
      <c r="S74" s="1">
        <f>(Main_L[[#This Row],[A/E]]-VLOOKUP(Main_L[[#This Row],[Industry]], Mean_AE_L, 2, FALSE))/(VLOOKUP(Main_L[[#This Row],[Industry]], Mean_AE_L, 3, FALSE))</f>
        <v>-0.20612304948256344</v>
      </c>
      <c r="T74" s="1">
        <f>(Main_L[[#This Row],[P/E]]-VLOOKUP(Main_L[[#This Row],[Industry]], Mean_PE_L, 2, FALSE))/(VLOOKUP(Main_L[[#This Row],[Industry]], Mean_PE_L, 3, FALSE))</f>
        <v>1.1693292997590665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s="67" t="s">
        <v>172</v>
      </c>
      <c r="B75" s="67" t="s">
        <v>213</v>
      </c>
      <c r="C75" s="2">
        <v>30822</v>
      </c>
      <c r="D75">
        <f>RTD("tos.rtd", , "LAST", Main_L[[#This Row],[Symbol]])</f>
        <v>137.43</v>
      </c>
      <c r="E75">
        <v>3.91</v>
      </c>
      <c r="F75">
        <v>27.83</v>
      </c>
      <c r="G75">
        <v>2.4300000000000002</v>
      </c>
      <c r="H75" s="1">
        <f>IF(ISNUMBER(Main_L[[#This Row],[Free CF]]),IF(Main_L[[#This Row],[Free CF]]&lt;&gt;0,Main_L[[#This Row],[Current Price]]/Main_L[[#This Row],[Free CF]],""),"")</f>
        <v>35.148337595907925</v>
      </c>
      <c r="I75" s="1">
        <f>IF(ISNUMBER(Main_L[[#This Row],[BVPS]]),IF(Main_L[[#This Row],[BVPS]]&lt;&gt;0,Main_L[[#This Row],[Current Price]]/Main_L[[#This Row],[BVPS]],""),"")</f>
        <v>4.9381961911606185</v>
      </c>
      <c r="J75">
        <v>9.43</v>
      </c>
      <c r="K75">
        <v>8.06</v>
      </c>
      <c r="L75">
        <v>1.24</v>
      </c>
      <c r="M75" s="1">
        <f>IF(ISNUMBER(Main_L[[#This Row],[EPS]]),IF(Main_L[[#This Row],[EPS]]&lt;&gt;0,Main_L[[#This Row],[Current Price]]/Main_L[[#This Row],[EPS]],""),"")</f>
        <v>56.555555555555557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1.0810188036568222</v>
      </c>
      <c r="P75" s="1">
        <f>(Main_L[[#This Row],[P/B]]-VLOOKUP(Main_L[[#This Row],[Industry]], Mean_PB_L, 2, FALSE))/(VLOOKUP(Main_L[[#This Row],[Industry]], Mean_PB_L, 3, FALSE))</f>
        <v>0.16007022810304869</v>
      </c>
      <c r="Q75" s="1">
        <f>(Main_L[[#This Row],[ROE]]-VLOOKUP(Main_L[[#This Row],[Industry]], Mean_ROE_L, 2, FALSE))/(VLOOKUP(Main_L[[#This Row],[Industry]], Mean_ROE_L, 3, FALSE))</f>
        <v>-0.79771631404508259</v>
      </c>
      <c r="R75" s="1">
        <f>(Main_L[[#This Row],[ROA]]-VLOOKUP(Main_L[[#This Row],[Industry]], Mean_ROA_L, 2, FALSE))/(VLOOKUP(Main_L[[#This Row],[Industry]], Mean_ROA_L, 3, FALSE))</f>
        <v>0.70102554442514942</v>
      </c>
      <c r="S75" s="1">
        <f>(Main_L[[#This Row],[A/E]]-VLOOKUP(Main_L[[#This Row],[Industry]], Mean_AE_L, 2, FALSE))/(VLOOKUP(Main_L[[#This Row],[Industry]], Mean_AE_L, 3, FALSE))</f>
        <v>-0.97391593410169763</v>
      </c>
      <c r="T75" s="1">
        <f>(Main_L[[#This Row],[P/E]]-VLOOKUP(Main_L[[#This Row],[Industry]], Mean_PE_L, 2, FALSE))/(VLOOKUP(Main_L[[#This Row],[Industry]], Mean_PE_L, 3, FALSE))</f>
        <v>2.2876782365078072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s="67" t="s">
        <v>172</v>
      </c>
      <c r="B76" s="67" t="s">
        <v>390</v>
      </c>
      <c r="C76" s="2">
        <v>10202</v>
      </c>
      <c r="D76">
        <f>RTD("tos.rtd", , "LAST", Main_L[[#This Row],[Symbol]])</f>
        <v>19.5</v>
      </c>
      <c r="E76">
        <v>3.76</v>
      </c>
      <c r="F76">
        <v>6.94</v>
      </c>
      <c r="G76">
        <v>1.52</v>
      </c>
      <c r="H76" s="1">
        <f>IF(ISNUMBER(Main_L[[#This Row],[Free CF]]),IF(Main_L[[#This Row],[Free CF]]&lt;&gt;0,Main_L[[#This Row],[Current Price]]/Main_L[[#This Row],[Free CF]],""),"")</f>
        <v>5.1861702127659575</v>
      </c>
      <c r="I76" s="1">
        <f>IF(ISNUMBER(Main_L[[#This Row],[BVPS]]),IF(Main_L[[#This Row],[BVPS]]&lt;&gt;0,Main_L[[#This Row],[Current Price]]/Main_L[[#This Row],[BVPS]],""),"")</f>
        <v>2.8097982708933715</v>
      </c>
      <c r="J76">
        <v>22.77</v>
      </c>
      <c r="K76">
        <v>1.5</v>
      </c>
      <c r="L76">
        <v>16.63</v>
      </c>
      <c r="M76" s="1">
        <f>IF(ISNUMBER(Main_L[[#This Row],[EPS]]),IF(Main_L[[#This Row],[EPS]]&lt;&gt;0,Main_L[[#This Row],[Current Price]]/Main_L[[#This Row],[EPS]],""),"")</f>
        <v>12.828947368421053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-0.7279073351530595</v>
      </c>
      <c r="P76" s="1">
        <f>(Main_L[[#This Row],[P/B]]-VLOOKUP(Main_L[[#This Row],[Industry]], Mean_PB_L, 2, FALSE))/(VLOOKUP(Main_L[[#This Row],[Industry]], Mean_PB_L, 3, FALSE))</f>
        <v>-0.53831014884228412</v>
      </c>
      <c r="Q76" s="1">
        <f>(Main_L[[#This Row],[ROE]]-VLOOKUP(Main_L[[#This Row],[Industry]], Mean_ROE_L, 2, FALSE))/(VLOOKUP(Main_L[[#This Row],[Industry]], Mean_ROE_L, 3, FALSE))</f>
        <v>0.85001570303946572</v>
      </c>
      <c r="R76" s="1">
        <f>(Main_L[[#This Row],[ROA]]-VLOOKUP(Main_L[[#This Row],[Industry]], Mean_ROA_L, 2, FALSE))/(VLOOKUP(Main_L[[#This Row],[Industry]], Mean_ROA_L, 3, FALSE))</f>
        <v>-0.76971157683430069</v>
      </c>
      <c r="S76" s="1">
        <f>(Main_L[[#This Row],[A/E]]-VLOOKUP(Main_L[[#This Row],[Industry]], Mean_AE_L, 2, FALSE))/(VLOOKUP(Main_L[[#This Row],[Industry]], Mean_AE_L, 3, FALSE))</f>
        <v>1.6934277440672585</v>
      </c>
      <c r="T76" s="1">
        <f>(Main_L[[#This Row],[P/E]]-VLOOKUP(Main_L[[#This Row],[Industry]], Mean_PE_L, 2, FALSE))/(VLOOKUP(Main_L[[#This Row],[Industry]], Mean_PE_L, 3, FALSE))</f>
        <v>-1.1402786451516975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s="67" t="s">
        <v>172</v>
      </c>
      <c r="B77" s="67" t="s">
        <v>210</v>
      </c>
      <c r="C77" s="2">
        <v>47962</v>
      </c>
      <c r="D77">
        <f>RTD("tos.rtd", , "LAST", Main_L[[#This Row],[Symbol]])</f>
        <v>85.65</v>
      </c>
      <c r="E77">
        <v>3.22</v>
      </c>
      <c r="F77">
        <v>20.12</v>
      </c>
      <c r="G77">
        <v>2.21</v>
      </c>
      <c r="H77" s="1">
        <f>IF(ISNUMBER(Main_L[[#This Row],[Free CF]]),IF(Main_L[[#This Row],[Free CF]]&lt;&gt;0,Main_L[[#This Row],[Current Price]]/Main_L[[#This Row],[Free CF]],""),"")</f>
        <v>26.599378881987576</v>
      </c>
      <c r="I77" s="1">
        <f>IF(ISNUMBER(Main_L[[#This Row],[BVPS]]),IF(Main_L[[#This Row],[BVPS]]&lt;&gt;0,Main_L[[#This Row],[Current Price]]/Main_L[[#This Row],[BVPS]],""),"")</f>
        <v>4.2569582504970178</v>
      </c>
      <c r="J77">
        <v>11.42</v>
      </c>
      <c r="K77">
        <v>4.3499999999999996</v>
      </c>
      <c r="L77">
        <v>2.65</v>
      </c>
      <c r="M77" s="1">
        <f>IF(ISNUMBER(Main_L[[#This Row],[EPS]]),IF(Main_L[[#This Row],[EPS]]&lt;&gt;0,Main_L[[#This Row],[Current Price]]/Main_L[[#This Row],[EPS]],""),"")</f>
        <v>38.755656108597286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0.56488675354625506</v>
      </c>
      <c r="P77" s="1">
        <f>(Main_L[[#This Row],[P/B]]-VLOOKUP(Main_L[[#This Row],[Industry]], Mean_PB_L, 2, FALSE))/(VLOOKUP(Main_L[[#This Row],[Industry]], Mean_PB_L, 3, FALSE))</f>
        <v>-6.3460910158150946E-2</v>
      </c>
      <c r="Q77" s="1">
        <f>(Main_L[[#This Row],[ROE]]-VLOOKUP(Main_L[[#This Row],[Industry]], Mean_ROE_L, 2, FALSE))/(VLOOKUP(Main_L[[#This Row],[Industry]], Mean_ROE_L, 3, FALSE))</f>
        <v>-0.55191521104671293</v>
      </c>
      <c r="R77" s="1">
        <f>(Main_L[[#This Row],[ROA]]-VLOOKUP(Main_L[[#This Row],[Industry]], Mean_ROA_L, 2, FALSE))/(VLOOKUP(Main_L[[#This Row],[Industry]], Mean_ROA_L, 3, FALSE))</f>
        <v>-0.13074804092127748</v>
      </c>
      <c r="S77" s="1">
        <f>(Main_L[[#This Row],[A/E]]-VLOOKUP(Main_L[[#This Row],[Industry]], Mean_AE_L, 2, FALSE))/(VLOOKUP(Main_L[[#This Row],[Industry]], Mean_AE_L, 3, FALSE))</f>
        <v>-0.72953941777822617</v>
      </c>
      <c r="T77" s="1">
        <f>(Main_L[[#This Row],[P/E]]-VLOOKUP(Main_L[[#This Row],[Industry]], Mean_PE_L, 2, FALSE))/(VLOOKUP(Main_L[[#This Row],[Industry]], Mean_PE_L, 3, FALSE))</f>
        <v>0.89225127951824879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s="67" t="s">
        <v>172</v>
      </c>
      <c r="B78" s="67" t="s">
        <v>178</v>
      </c>
      <c r="C78" s="2">
        <v>63395</v>
      </c>
      <c r="D78">
        <f>RTD("tos.rtd", , "LAST", Main_L[[#This Row],[Symbol]])</f>
        <v>90.01</v>
      </c>
      <c r="E78">
        <v>2.86</v>
      </c>
      <c r="F78">
        <v>52.82</v>
      </c>
      <c r="G78">
        <v>6.13</v>
      </c>
      <c r="H78" s="1">
        <f>IF(ISNUMBER(Main_L[[#This Row],[Free CF]]),IF(Main_L[[#This Row],[Free CF]]&lt;&gt;0,Main_L[[#This Row],[Current Price]]/Main_L[[#This Row],[Free CF]],""),"")</f>
        <v>31.472027972027973</v>
      </c>
      <c r="I78" s="1">
        <f>IF(ISNUMBER(Main_L[[#This Row],[BVPS]]),IF(Main_L[[#This Row],[BVPS]]&lt;&gt;0,Main_L[[#This Row],[Current Price]]/Main_L[[#This Row],[BVPS]],""),"")</f>
        <v>1.7040893600908749</v>
      </c>
      <c r="J78">
        <v>11.23</v>
      </c>
      <c r="K78">
        <v>1.08</v>
      </c>
      <c r="L78">
        <v>11.66</v>
      </c>
      <c r="M78" s="1">
        <f>IF(ISNUMBER(Main_L[[#This Row],[EPS]]),IF(Main_L[[#This Row],[EPS]]&lt;&gt;0,Main_L[[#This Row],[Current Price]]/Main_L[[#This Row],[EPS]],""),"")</f>
        <v>14.68352365415987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0.85906648332046198</v>
      </c>
      <c r="P78" s="1">
        <f>(Main_L[[#This Row],[P/B]]-VLOOKUP(Main_L[[#This Row],[Industry]], Mean_PB_L, 2, FALSE))/(VLOOKUP(Main_L[[#This Row],[Industry]], Mean_PB_L, 3, FALSE))</f>
        <v>-0.90112078616009395</v>
      </c>
      <c r="Q78" s="1">
        <f>(Main_L[[#This Row],[ROE]]-VLOOKUP(Main_L[[#This Row],[Industry]], Mean_ROE_L, 2, FALSE))/(VLOOKUP(Main_L[[#This Row],[Industry]], Mean_ROE_L, 3, FALSE))</f>
        <v>-0.5753836580666577</v>
      </c>
      <c r="R78" s="1">
        <f>(Main_L[[#This Row],[ROA]]-VLOOKUP(Main_L[[#This Row],[Industry]], Mean_ROA_L, 2, FALSE))/(VLOOKUP(Main_L[[#This Row],[Industry]], Mean_ROA_L, 3, FALSE))</f>
        <v>-0.86387462423200934</v>
      </c>
      <c r="S78" s="1">
        <f>(Main_L[[#This Row],[A/E]]-VLOOKUP(Main_L[[#This Row],[Industry]], Mean_AE_L, 2, FALSE))/(VLOOKUP(Main_L[[#This Row],[Industry]], Mean_AE_L, 3, FALSE))</f>
        <v>0.83204385319658214</v>
      </c>
      <c r="T78" s="1">
        <f>(Main_L[[#This Row],[P/E]]-VLOOKUP(Main_L[[#This Row],[Industry]], Mean_PE_L, 2, FALSE))/(VLOOKUP(Main_L[[#This Row],[Industry]], Mean_PE_L, 3, FALSE))</f>
        <v>-0.99488873715669746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s="67" t="s">
        <v>172</v>
      </c>
      <c r="B79" s="67" t="s">
        <v>185</v>
      </c>
      <c r="C79" s="2">
        <v>11687</v>
      </c>
      <c r="D79">
        <f>RTD("tos.rtd", , "LAST", Main_L[[#This Row],[Symbol]])</f>
        <v>19.190000000000001</v>
      </c>
      <c r="E79">
        <v>1.54</v>
      </c>
      <c r="F79">
        <v>3.73</v>
      </c>
      <c r="G79">
        <v>0.16</v>
      </c>
      <c r="H79" s="1">
        <f>IF(ISNUMBER(Main_L[[#This Row],[Free CF]]),IF(Main_L[[#This Row],[Free CF]]&lt;&gt;0,Main_L[[#This Row],[Current Price]]/Main_L[[#This Row],[Free CF]],""),"")</f>
        <v>12.461038961038962</v>
      </c>
      <c r="I79" s="1">
        <f>IF(ISNUMBER(Main_L[[#This Row],[BVPS]]),IF(Main_L[[#This Row],[BVPS]]&lt;&gt;0,Main_L[[#This Row],[Current Price]]/Main_L[[#This Row],[BVPS]],""),"")</f>
        <v>5.144772117962467</v>
      </c>
      <c r="J79">
        <v>5.95</v>
      </c>
      <c r="K79">
        <v>4.67</v>
      </c>
      <c r="L79">
        <v>5.26</v>
      </c>
      <c r="M79" s="1">
        <f>IF(ISNUMBER(Main_L[[#This Row],[EPS]]),IF(Main_L[[#This Row],[EPS]]&lt;&gt;0,Main_L[[#This Row],[Current Price]]/Main_L[[#This Row],[EPS]],""),"")</f>
        <v>119.9375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-0.28869677782313852</v>
      </c>
      <c r="P79" s="1">
        <f>(Main_L[[#This Row],[P/B]]-VLOOKUP(Main_L[[#This Row],[Industry]], Mean_PB_L, 2, FALSE))/(VLOOKUP(Main_L[[#This Row],[Industry]], Mean_PB_L, 3, FALSE))</f>
        <v>0.22785293558172906</v>
      </c>
      <c r="Q79" s="1">
        <f>(Main_L[[#This Row],[ROE]]-VLOOKUP(Main_L[[#This Row],[Industry]], Mean_ROE_L, 2, FALSE))/(VLOOKUP(Main_L[[#This Row],[Industry]], Mean_ROE_L, 3, FALSE))</f>
        <v>-1.2275594489367041</v>
      </c>
      <c r="R79" s="1">
        <f>(Main_L[[#This Row],[ROA]]-VLOOKUP(Main_L[[#This Row],[Industry]], Mean_ROA_L, 2, FALSE))/(VLOOKUP(Main_L[[#This Row],[Industry]], Mean_ROA_L, 3, FALSE))</f>
        <v>-5.9004766713499378E-2</v>
      </c>
      <c r="S79" s="1">
        <f>(Main_L[[#This Row],[A/E]]-VLOOKUP(Main_L[[#This Row],[Industry]], Mean_AE_L, 2, FALSE))/(VLOOKUP(Main_L[[#This Row],[Industry]], Mean_AE_L, 3, FALSE))</f>
        <v>-0.2771828875624382</v>
      </c>
      <c r="T79" s="1">
        <f>(Main_L[[#This Row],[P/E]]-VLOOKUP(Main_L[[#This Row],[Industry]], Mean_PE_L, 2, FALSE))/(VLOOKUP(Main_L[[#This Row],[Industry]], Mean_PE_L, 3, FALSE))</f>
        <v>7.2565194441645309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0" spans="1:26" x14ac:dyDescent="0.25">
      <c r="A80" s="67" t="s">
        <v>172</v>
      </c>
      <c r="B80" s="67" t="s">
        <v>212</v>
      </c>
      <c r="C80" s="2">
        <v>11294</v>
      </c>
      <c r="D80">
        <f>RTD("tos.rtd", , "LAST", Main_L[[#This Row],[Symbol]])</f>
        <v>40.44</v>
      </c>
      <c r="E80">
        <v>1.49</v>
      </c>
      <c r="F80">
        <v>11.67</v>
      </c>
      <c r="G80">
        <v>1.1200000000000001</v>
      </c>
      <c r="H80" s="1">
        <f>IF(ISNUMBER(Main_L[[#This Row],[Free CF]]),IF(Main_L[[#This Row],[Free CF]]&lt;&gt;0,Main_L[[#This Row],[Current Price]]/Main_L[[#This Row],[Free CF]],""),"")</f>
        <v>27.140939597315434</v>
      </c>
      <c r="I80" s="1">
        <f>IF(ISNUMBER(Main_L[[#This Row],[BVPS]]),IF(Main_L[[#This Row],[BVPS]]&lt;&gt;0,Main_L[[#This Row],[Current Price]]/Main_L[[#This Row],[BVPS]],""),"")</f>
        <v>3.4652956298200515</v>
      </c>
      <c r="J80">
        <v>10.77</v>
      </c>
      <c r="K80">
        <v>0.79</v>
      </c>
      <c r="L80">
        <v>11.49</v>
      </c>
      <c r="M80" s="1">
        <f>IF(ISNUMBER(Main_L[[#This Row],[EPS]]),IF(Main_L[[#This Row],[EPS]]&lt;&gt;0,Main_L[[#This Row],[Current Price]]/Main_L[[#This Row],[EPS]],""),"")</f>
        <v>36.107142857142854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0.59758276385758957</v>
      </c>
      <c r="P80" s="1">
        <f>(Main_L[[#This Row],[P/B]]-VLOOKUP(Main_L[[#This Row],[Industry]], Mean_PB_L, 2, FALSE))/(VLOOKUP(Main_L[[#This Row],[Industry]], Mean_PB_L, 3, FALSE))</f>
        <v>-0.32322513665790648</v>
      </c>
      <c r="Q80" s="1">
        <f>(Main_L[[#This Row],[ROE]]-VLOOKUP(Main_L[[#This Row],[Industry]], Mean_ROE_L, 2, FALSE))/(VLOOKUP(Main_L[[#This Row],[Industry]], Mean_ROE_L, 3, FALSE))</f>
        <v>-0.63220200348336641</v>
      </c>
      <c r="R80" s="1">
        <f>(Main_L[[#This Row],[ROA]]-VLOOKUP(Main_L[[#This Row],[Industry]], Mean_ROA_L, 2, FALSE))/(VLOOKUP(Main_L[[#This Row],[Industry]], Mean_ROA_L, 3, FALSE))</f>
        <v>-0.92889196648280825</v>
      </c>
      <c r="S80" s="1">
        <f>(Main_L[[#This Row],[A/E]]-VLOOKUP(Main_L[[#This Row],[Industry]], Mean_AE_L, 2, FALSE))/(VLOOKUP(Main_L[[#This Row],[Industry]], Mean_AE_L, 3, FALSE))</f>
        <v>0.80258001789517064</v>
      </c>
      <c r="T80" s="1">
        <f>(Main_L[[#This Row],[P/E]]-VLOOKUP(Main_L[[#This Row],[Industry]], Mean_PE_L, 2, FALSE))/(VLOOKUP(Main_L[[#This Row],[Industry]], Mean_PE_L, 3, FALSE))</f>
        <v>0.68462051182561801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s="67" t="s">
        <v>172</v>
      </c>
      <c r="B81" s="67" t="s">
        <v>177</v>
      </c>
      <c r="C81" s="2">
        <v>11372</v>
      </c>
      <c r="D81">
        <f>RTD("tos.rtd", , "LAST", Main_L[[#This Row],[Symbol]])</f>
        <v>21.88</v>
      </c>
      <c r="E81">
        <v>1.29</v>
      </c>
      <c r="F81">
        <v>23.5</v>
      </c>
      <c r="G81">
        <v>0.69</v>
      </c>
      <c r="H81" s="1">
        <f>IF(ISNUMBER(Main_L[[#This Row],[Free CF]]),IF(Main_L[[#This Row],[Free CF]]&lt;&gt;0,Main_L[[#This Row],[Current Price]]/Main_L[[#This Row],[Free CF]],""),"")</f>
        <v>16.961240310077518</v>
      </c>
      <c r="I81" s="1">
        <f>IF(ISNUMBER(Main_L[[#This Row],[BVPS]]),IF(Main_L[[#This Row],[BVPS]]&lt;&gt;0,Main_L[[#This Row],[Current Price]]/Main_L[[#This Row],[BVPS]],""),"")</f>
        <v>0.93106382978723401</v>
      </c>
      <c r="J81">
        <v>2.8</v>
      </c>
      <c r="K81">
        <v>2.2200000000000002</v>
      </c>
      <c r="L81">
        <v>2.59</v>
      </c>
      <c r="M81" s="1">
        <f>IF(ISNUMBER(Main_L[[#This Row],[EPS]]),IF(Main_L[[#This Row],[EPS]]&lt;&gt;0,Main_L[[#This Row],[Current Price]]/Main_L[[#This Row],[EPS]],""),"")</f>
        <v>31.710144927536234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-1.7003086706401906E-2</v>
      </c>
      <c r="P81" s="1">
        <f>(Main_L[[#This Row],[P/B]]-VLOOKUP(Main_L[[#This Row],[Industry]], Mean_PB_L, 2, FALSE))/(VLOOKUP(Main_L[[#This Row],[Industry]], Mean_PB_L, 3, FALSE))</f>
        <v>-1.1547697190504418</v>
      </c>
      <c r="Q81" s="1">
        <f>(Main_L[[#This Row],[ROE]]-VLOOKUP(Main_L[[#This Row],[Industry]], Mean_ROE_L, 2, FALSE))/(VLOOKUP(Main_L[[#This Row],[Industry]], Mean_ROE_L, 3, FALSE))</f>
        <v>-1.6166415968989472</v>
      </c>
      <c r="R81" s="1">
        <f>(Main_L[[#This Row],[ROA]]-VLOOKUP(Main_L[[#This Row],[Industry]], Mean_ROA_L, 2, FALSE))/(VLOOKUP(Main_L[[#This Row],[Industry]], Mean_ROA_L, 3, FALSE))</f>
        <v>-0.60828920986680002</v>
      </c>
      <c r="S81" s="1">
        <f>(Main_L[[#This Row],[A/E]]-VLOOKUP(Main_L[[#This Row],[Industry]], Mean_AE_L, 2, FALSE))/(VLOOKUP(Main_L[[#This Row],[Industry]], Mean_AE_L, 3, FALSE))</f>
        <v>-0.73993841847284192</v>
      </c>
      <c r="T81" s="1">
        <f>(Main_L[[#This Row],[P/E]]-VLOOKUP(Main_L[[#This Row],[Industry]], Mean_PE_L, 2, FALSE))/(VLOOKUP(Main_L[[#This Row],[Industry]], Mean_PE_L, 3, FALSE))</f>
        <v>0.33991691060112628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s="67" t="s">
        <v>172</v>
      </c>
      <c r="B82" s="67" t="s">
        <v>192</v>
      </c>
      <c r="C82" s="2">
        <v>58375</v>
      </c>
      <c r="D82">
        <f>RTD("tos.rtd", , "LAST", Main_L[[#This Row],[Symbol]])</f>
        <v>73.400000000000006</v>
      </c>
      <c r="E82">
        <v>1.2</v>
      </c>
      <c r="F82">
        <v>8.99</v>
      </c>
      <c r="G82">
        <v>1.75</v>
      </c>
      <c r="H82" s="1">
        <f>IF(ISNUMBER(Main_L[[#This Row],[Free CF]]),IF(Main_L[[#This Row],[Free CF]]&lt;&gt;0,Main_L[[#This Row],[Current Price]]/Main_L[[#This Row],[Free CF]],""),"")</f>
        <v>61.166666666666671</v>
      </c>
      <c r="I82" s="1">
        <f>IF(ISNUMBER(Main_L[[#This Row],[BVPS]]),IF(Main_L[[#This Row],[BVPS]]&lt;&gt;0,Main_L[[#This Row],[Current Price]]/Main_L[[#This Row],[BVPS]],""),"")</f>
        <v>8.1646273637374858</v>
      </c>
      <c r="J82">
        <v>21.43</v>
      </c>
      <c r="K82">
        <v>4.32</v>
      </c>
      <c r="L82">
        <v>3.46</v>
      </c>
      <c r="M82" s="1">
        <f>IF(ISNUMBER(Main_L[[#This Row],[EPS]]),IF(Main_L[[#This Row],[EPS]]&lt;&gt;0,Main_L[[#This Row],[Current Price]]/Main_L[[#This Row],[EPS]],""),"")</f>
        <v>41.942857142857143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2.6518409321899363</v>
      </c>
      <c r="P82" s="1">
        <f>(Main_L[[#This Row],[P/B]]-VLOOKUP(Main_L[[#This Row],[Industry]], Mean_PB_L, 2, FALSE))/(VLOOKUP(Main_L[[#This Row],[Industry]], Mean_PB_L, 3, FALSE))</f>
        <v>1.2187426676107314</v>
      </c>
      <c r="Q82" s="1">
        <f>(Main_L[[#This Row],[ROE]]-VLOOKUP(Main_L[[#This Row],[Industry]], Mean_ROE_L, 2, FALSE))/(VLOOKUP(Main_L[[#This Row],[Industry]], Mean_ROE_L, 3, FALSE))</f>
        <v>0.68450139247774955</v>
      </c>
      <c r="R82" s="1">
        <f>(Main_L[[#This Row],[ROA]]-VLOOKUP(Main_L[[#This Row],[Industry]], Mean_ROA_L, 2, FALSE))/(VLOOKUP(Main_L[[#This Row],[Industry]], Mean_ROA_L, 3, FALSE))</f>
        <v>-0.13747397287825655</v>
      </c>
      <c r="S82" s="1">
        <f>(Main_L[[#This Row],[A/E]]-VLOOKUP(Main_L[[#This Row],[Industry]], Mean_AE_L, 2, FALSE))/(VLOOKUP(Main_L[[#This Row],[Industry]], Mean_AE_L, 3, FALSE))</f>
        <v>-0.58915290840091261</v>
      </c>
      <c r="T82" s="1">
        <f>(Main_L[[#This Row],[P/E]]-VLOOKUP(Main_L[[#This Row],[Industry]], Mean_PE_L, 2, FALSE))/(VLOOKUP(Main_L[[#This Row],[Industry]], Mean_PE_L, 3, FALSE))</f>
        <v>1.1421125921511814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s="67" t="s">
        <v>172</v>
      </c>
      <c r="B83" s="67" t="s">
        <v>176</v>
      </c>
      <c r="C83" s="2">
        <v>90473</v>
      </c>
      <c r="D83">
        <f>RTD("tos.rtd", , "LAST", Main_L[[#This Row],[Symbol]])</f>
        <v>55.05</v>
      </c>
      <c r="E83">
        <v>1.02</v>
      </c>
      <c r="F83">
        <v>5.26</v>
      </c>
      <c r="G83">
        <v>1.46</v>
      </c>
      <c r="H83" s="1">
        <f>IF(ISNUMBER(Main_L[[#This Row],[Free CF]]),IF(Main_L[[#This Row],[Free CF]]&lt;&gt;0,Main_L[[#This Row],[Current Price]]/Main_L[[#This Row],[Free CF]],""),"")</f>
        <v>53.970588235294116</v>
      </c>
      <c r="I83" s="1">
        <f>IF(ISNUMBER(Main_L[[#This Row],[BVPS]]),IF(Main_L[[#This Row],[BVPS]]&lt;&gt;0,Main_L[[#This Row],[Current Price]]/Main_L[[#This Row],[BVPS]],""),"")</f>
        <v>10.465779467680608</v>
      </c>
      <c r="J83">
        <v>20.23</v>
      </c>
      <c r="K83">
        <v>11.38</v>
      </c>
      <c r="L83">
        <v>1.76</v>
      </c>
      <c r="M83" s="1">
        <f>IF(ISNUMBER(Main_L[[#This Row],[EPS]]),IF(Main_L[[#This Row],[EPS]]&lt;&gt;0,Main_L[[#This Row],[Current Price]]/Main_L[[#This Row],[EPS]],""),"")</f>
        <v>37.705479452054796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2.2173872358008073</v>
      </c>
      <c r="P83" s="1">
        <f>(Main_L[[#This Row],[P/B]]-VLOOKUP(Main_L[[#This Row],[Industry]], Mean_PB_L, 2, FALSE))/(VLOOKUP(Main_L[[#This Row],[Industry]], Mean_PB_L, 3, FALSE))</f>
        <v>1.9738079956009762</v>
      </c>
      <c r="Q83" s="1">
        <f>(Main_L[[#This Row],[ROE]]-VLOOKUP(Main_L[[#This Row],[Industry]], Mean_ROE_L, 2, FALSE))/(VLOOKUP(Main_L[[#This Row],[Industry]], Mean_ROE_L, 3, FALSE))</f>
        <v>0.5362796218254664</v>
      </c>
      <c r="R83" s="1">
        <f>(Main_L[[#This Row],[ROA]]-VLOOKUP(Main_L[[#This Row],[Industry]], Mean_ROA_L, 2, FALSE))/(VLOOKUP(Main_L[[#This Row],[Industry]], Mean_ROA_L, 3, FALSE))</f>
        <v>1.4453620143308468</v>
      </c>
      <c r="S83" s="1">
        <f>(Main_L[[#This Row],[A/E]]-VLOOKUP(Main_L[[#This Row],[Industry]], Mean_AE_L, 2, FALSE))/(VLOOKUP(Main_L[[#This Row],[Industry]], Mean_AE_L, 3, FALSE))</f>
        <v>-0.8837912614150274</v>
      </c>
      <c r="T83" s="1">
        <f>(Main_L[[#This Row],[P/E]]-VLOOKUP(Main_L[[#This Row],[Industry]], Mean_PE_L, 2, FALSE))/(VLOOKUP(Main_L[[#This Row],[Industry]], Mean_PE_L, 3, FALSE))</f>
        <v>0.80992245398148555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s="67" t="s">
        <v>172</v>
      </c>
      <c r="B84" s="67" t="s">
        <v>711</v>
      </c>
      <c r="C84" s="2">
        <v>12985</v>
      </c>
      <c r="D84">
        <f>RTD("tos.rtd", , "LAST", Main_L[[#This Row],[Symbol]])</f>
        <v>7.11</v>
      </c>
      <c r="E84">
        <v>0.22</v>
      </c>
      <c r="F84">
        <v>0.63</v>
      </c>
      <c r="G84">
        <v>0.15</v>
      </c>
      <c r="H84" s="1">
        <f>IF(ISNUMBER(Main_L[[#This Row],[Free CF]]),IF(Main_L[[#This Row],[Free CF]]&lt;&gt;0,Main_L[[#This Row],[Current Price]]/Main_L[[#This Row],[Free CF]],""),"")</f>
        <v>32.31818181818182</v>
      </c>
      <c r="I84" s="1">
        <f>IF(ISNUMBER(Main_L[[#This Row],[BVPS]]),IF(Main_L[[#This Row],[BVPS]]&lt;&gt;0,Main_L[[#This Row],[Current Price]]/Main_L[[#This Row],[BVPS]],""),"")</f>
        <v>11.285714285714286</v>
      </c>
      <c r="J84">
        <v>24.46</v>
      </c>
      <c r="K84">
        <v>8.49</v>
      </c>
      <c r="L84">
        <v>2.46</v>
      </c>
      <c r="M84" s="1">
        <f>IF(ISNUMBER(Main_L[[#This Row],[EPS]]),IF(Main_L[[#This Row],[EPS]]&lt;&gt;0,Main_L[[#This Row],[Current Price]]/Main_L[[#This Row],[EPS]],""),"")</f>
        <v>47.400000000000006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0.91015190014592862</v>
      </c>
      <c r="P84" s="1">
        <f>(Main_L[[#This Row],[P/B]]-VLOOKUP(Main_L[[#This Row],[Industry]], Mean_PB_L, 2, FALSE))/(VLOOKUP(Main_L[[#This Row],[Industry]], Mean_PB_L, 3, FALSE))</f>
        <v>2.2428490343260385</v>
      </c>
      <c r="Q84" s="1">
        <f>(Main_L[[#This Row],[ROE]]-VLOOKUP(Main_L[[#This Row],[Industry]], Mean_ROE_L, 2, FALSE))/(VLOOKUP(Main_L[[#This Row],[Industry]], Mean_ROE_L, 3, FALSE))</f>
        <v>1.0587613633747648</v>
      </c>
      <c r="R84" s="1">
        <f>(Main_L[[#This Row],[ROA]]-VLOOKUP(Main_L[[#This Row],[Industry]], Mean_ROA_L, 2, FALSE))/(VLOOKUP(Main_L[[#This Row],[Industry]], Mean_ROA_L, 3, FALSE))</f>
        <v>0.79743056914185118</v>
      </c>
      <c r="S84" s="1">
        <f>(Main_L[[#This Row],[A/E]]-VLOOKUP(Main_L[[#This Row],[Industry]], Mean_AE_L, 2, FALSE))/(VLOOKUP(Main_L[[#This Row],[Industry]], Mean_AE_L, 3, FALSE))</f>
        <v>-0.76246958664450948</v>
      </c>
      <c r="T84" s="1">
        <f>(Main_L[[#This Row],[P/E]]-VLOOKUP(Main_L[[#This Row],[Industry]], Mean_PE_L, 2, FALSE))/(VLOOKUP(Main_L[[#This Row],[Industry]], Mean_PE_L, 3, FALSE))</f>
        <v>1.5699264836673756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s="67" t="s">
        <v>172</v>
      </c>
      <c r="B85" s="67" t="s">
        <v>180</v>
      </c>
      <c r="C85" s="2">
        <v>88530</v>
      </c>
      <c r="D85">
        <f>RTD("tos.rtd", , "LAST", Main_L[[#This Row],[Symbol]])</f>
        <v>58.59</v>
      </c>
      <c r="E85">
        <v>-1.53</v>
      </c>
      <c r="F85">
        <v>27.44</v>
      </c>
      <c r="G85">
        <v>0.28999999999999998</v>
      </c>
      <c r="H85" s="1">
        <f>IF(ISNUMBER(Main_L[[#This Row],[Free CF]]),IF(Main_L[[#This Row],[Free CF]]&lt;&gt;0,Main_L[[#This Row],[Current Price]]/Main_L[[#This Row],[Free CF]],""),"")</f>
        <v>-38.294117647058826</v>
      </c>
      <c r="I85" s="1">
        <f>IF(ISNUMBER(Main_L[[#This Row],[BVPS]]),IF(Main_L[[#This Row],[BVPS]]&lt;&gt;0,Main_L[[#This Row],[Current Price]]/Main_L[[#This Row],[BVPS]],""),"")</f>
        <v>2.135204081632653</v>
      </c>
      <c r="J85">
        <v>0.94</v>
      </c>
      <c r="K85">
        <v>2.69</v>
      </c>
      <c r="L85">
        <v>11.94</v>
      </c>
      <c r="M85" s="1">
        <f>IF(ISNUMBER(Main_L[[#This Row],[EPS]]),IF(Main_L[[#This Row],[EPS]]&lt;&gt;0,Main_L[[#This Row],[Current Price]]/Main_L[[#This Row],[EPS]],""),"")</f>
        <v>202.03448275862073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-3.352972078529016</v>
      </c>
      <c r="P85" s="1">
        <f>(Main_L[[#This Row],[P/B]]-VLOOKUP(Main_L[[#This Row],[Industry]], Mean_PB_L, 2, FALSE))/(VLOOKUP(Main_L[[#This Row],[Industry]], Mean_PB_L, 3, FALSE))</f>
        <v>-0.75966130676949939</v>
      </c>
      <c r="Q85" s="1">
        <f>(Main_L[[#This Row],[ROE]]-VLOOKUP(Main_L[[#This Row],[Industry]], Mean_ROE_L, 2, FALSE))/(VLOOKUP(Main_L[[#This Row],[Industry]], Mean_ROE_L, 3, FALSE))</f>
        <v>-1.8463853414099864</v>
      </c>
      <c r="R85" s="1">
        <f>(Main_L[[#This Row],[ROA]]-VLOOKUP(Main_L[[#This Row],[Industry]], Mean_ROA_L, 2, FALSE))/(VLOOKUP(Main_L[[#This Row],[Industry]], Mean_ROA_L, 3, FALSE))</f>
        <v>-0.50291627587412602</v>
      </c>
      <c r="S85" s="1">
        <f>(Main_L[[#This Row],[A/E]]-VLOOKUP(Main_L[[#This Row],[Industry]], Mean_AE_L, 2, FALSE))/(VLOOKUP(Main_L[[#This Row],[Industry]], Mean_AE_L, 3, FALSE))</f>
        <v>0.88057252310478917</v>
      </c>
      <c r="T85" s="1">
        <f>(Main_L[[#This Row],[P/E]]-VLOOKUP(Main_L[[#This Row],[Industry]], Mean_PE_L, 2, FALSE))/(VLOOKUP(Main_L[[#This Row],[Industry]], Mean_PE_L, 3, FALSE))</f>
        <v>13.692530117722745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6" spans="1:26" x14ac:dyDescent="0.25">
      <c r="A86" s="67" t="s">
        <v>172</v>
      </c>
      <c r="B86" s="67" t="s">
        <v>197</v>
      </c>
      <c r="C86" s="2">
        <v>18272</v>
      </c>
      <c r="D86">
        <f>RTD("tos.rtd", , "LAST", Main_L[[#This Row],[Symbol]])</f>
        <v>6.22</v>
      </c>
      <c r="E86">
        <v>-1.96</v>
      </c>
      <c r="F86">
        <v>7.83</v>
      </c>
      <c r="G86">
        <v>0.74</v>
      </c>
      <c r="H86" s="1">
        <f>IF(ISNUMBER(Main_L[[#This Row],[Free CF]]),IF(Main_L[[#This Row],[Free CF]]&lt;&gt;0,Main_L[[#This Row],[Current Price]]/Main_L[[#This Row],[Free CF]],""),"")</f>
        <v>-3.1734693877551021</v>
      </c>
      <c r="I86" s="1">
        <f>IF(ISNUMBER(Main_L[[#This Row],[BVPS]]),IF(Main_L[[#This Row],[BVPS]]&lt;&gt;0,Main_L[[#This Row],[Current Price]]/Main_L[[#This Row],[BVPS]],""),"")</f>
        <v>0.79438058748403573</v>
      </c>
      <c r="J86">
        <v>9.8800000000000008</v>
      </c>
      <c r="K86">
        <v>0.62</v>
      </c>
      <c r="L86">
        <v>16.36</v>
      </c>
      <c r="M86" s="1">
        <f>IF(ISNUMBER(Main_L[[#This Row],[EPS]]),IF(Main_L[[#This Row],[EPS]]&lt;&gt;0,Main_L[[#This Row],[Current Price]]/Main_L[[#This Row],[EPS]],""),"")</f>
        <v>8.4054054054054053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-1.2326094947478632</v>
      </c>
      <c r="P86" s="1">
        <f>(Main_L[[#This Row],[P/B]]-VLOOKUP(Main_L[[#This Row],[Industry]], Mean_PB_L, 2, FALSE))/(VLOOKUP(Main_L[[#This Row],[Industry]], Mean_PB_L, 3, FALSE))</f>
        <v>-1.1996188956883478</v>
      </c>
      <c r="Q86" s="1">
        <f>(Main_L[[#This Row],[ROE]]-VLOOKUP(Main_L[[#This Row],[Industry]], Mean_ROE_L, 2, FALSE))/(VLOOKUP(Main_L[[#This Row],[Industry]], Mean_ROE_L, 3, FALSE))</f>
        <v>-0.74213315005047631</v>
      </c>
      <c r="R86" s="1">
        <f>(Main_L[[#This Row],[ROA]]-VLOOKUP(Main_L[[#This Row],[Industry]], Mean_ROA_L, 2, FALSE))/(VLOOKUP(Main_L[[#This Row],[Industry]], Mean_ROA_L, 3, FALSE))</f>
        <v>-0.96700558090569033</v>
      </c>
      <c r="S86" s="1">
        <f>(Main_L[[#This Row],[A/E]]-VLOOKUP(Main_L[[#This Row],[Industry]], Mean_AE_L, 2, FALSE))/(VLOOKUP(Main_L[[#This Row],[Industry]], Mean_AE_L, 3, FALSE))</f>
        <v>1.6466322409414873</v>
      </c>
      <c r="T86" s="1">
        <f>(Main_L[[#This Row],[P/E]]-VLOOKUP(Main_L[[#This Row],[Industry]], Mean_PE_L, 2, FALSE))/(VLOOKUP(Main_L[[#This Row],[Industry]], Mean_PE_L, 3, FALSE))</f>
        <v>-1.4870631716014451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s="67" t="s">
        <v>172</v>
      </c>
      <c r="B87" s="67" t="s">
        <v>182</v>
      </c>
      <c r="C87" s="2">
        <v>16323</v>
      </c>
      <c r="D87">
        <f>RTD("tos.rtd", , "LAST", Main_L[[#This Row],[Symbol]])</f>
        <v>46.58</v>
      </c>
      <c r="E87">
        <v>-3.53</v>
      </c>
      <c r="F87">
        <v>15.45</v>
      </c>
      <c r="G87">
        <v>2.94</v>
      </c>
      <c r="H87" s="1">
        <f>IF(ISNUMBER(Main_L[[#This Row],[Free CF]]),IF(Main_L[[#This Row],[Free CF]]&lt;&gt;0,Main_L[[#This Row],[Current Price]]/Main_L[[#This Row],[Free CF]],""),"")</f>
        <v>-13.195467422096318</v>
      </c>
      <c r="I87" s="1">
        <f>IF(ISNUMBER(Main_L[[#This Row],[BVPS]]),IF(Main_L[[#This Row],[BVPS]]&lt;&gt;0,Main_L[[#This Row],[Current Price]]/Main_L[[#This Row],[BVPS]],""),"")</f>
        <v>3.0148867313915857</v>
      </c>
      <c r="J87">
        <v>18.98</v>
      </c>
      <c r="K87">
        <v>5.12</v>
      </c>
      <c r="L87">
        <v>4.32</v>
      </c>
      <c r="M87" s="1">
        <f>IF(ISNUMBER(Main_L[[#This Row],[EPS]]),IF(Main_L[[#This Row],[EPS]]&lt;&gt;0,Main_L[[#This Row],[Current Price]]/Main_L[[#This Row],[EPS]],""),"")</f>
        <v>15.843537414965986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-1.8376743412122509</v>
      </c>
      <c r="P87" s="1">
        <f>(Main_L[[#This Row],[P/B]]-VLOOKUP(Main_L[[#This Row],[Industry]], Mean_PB_L, 2, FALSE))/(VLOOKUP(Main_L[[#This Row],[Industry]], Mean_PB_L, 3, FALSE))</f>
        <v>-0.4710155161112502</v>
      </c>
      <c r="Q87" s="1">
        <f>(Main_L[[#This Row],[ROE]]-VLOOKUP(Main_L[[#This Row],[Industry]], Mean_ROE_L, 2, FALSE))/(VLOOKUP(Main_L[[#This Row],[Industry]], Mean_ROE_L, 3, FALSE))</f>
        <v>0.3818819440626714</v>
      </c>
      <c r="R87" s="1">
        <f>(Main_L[[#This Row],[ROA]]-VLOOKUP(Main_L[[#This Row],[Industry]], Mean_ROA_L, 2, FALSE))/(VLOOKUP(Main_L[[#This Row],[Industry]], Mean_ROA_L, 3, FALSE))</f>
        <v>4.1884212641188544E-2</v>
      </c>
      <c r="S87" s="1">
        <f>(Main_L[[#This Row],[A/E]]-VLOOKUP(Main_L[[#This Row],[Industry]], Mean_AE_L, 2, FALSE))/(VLOOKUP(Main_L[[#This Row],[Industry]], Mean_AE_L, 3, FALSE))</f>
        <v>-0.44010056511141921</v>
      </c>
      <c r="T87" s="1">
        <f>(Main_L[[#This Row],[P/E]]-VLOOKUP(Main_L[[#This Row],[Industry]], Mean_PE_L, 2, FALSE))/(VLOOKUP(Main_L[[#This Row],[Industry]], Mean_PE_L, 3, FALSE))</f>
        <v>-0.90394920813681268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s="67" t="s">
        <v>172</v>
      </c>
      <c r="B88" s="67" t="s">
        <v>174</v>
      </c>
      <c r="C88" s="2">
        <v>15307</v>
      </c>
      <c r="D88">
        <f>RTD("tos.rtd", , "LAST", Main_L[[#This Row],[Symbol]])</f>
        <v>22.21</v>
      </c>
      <c r="E88">
        <v>-3.73</v>
      </c>
      <c r="F88">
        <v>19.809999999999999</v>
      </c>
      <c r="G88">
        <v>2.04</v>
      </c>
      <c r="H88" s="1">
        <f>IF(ISNUMBER(Main_L[[#This Row],[Free CF]]),IF(Main_L[[#This Row],[Free CF]]&lt;&gt;0,Main_L[[#This Row],[Current Price]]/Main_L[[#This Row],[Free CF]],""),"")</f>
        <v>-5.9544235924932982</v>
      </c>
      <c r="I88" s="1">
        <f>IF(ISNUMBER(Main_L[[#This Row],[BVPS]]),IF(Main_L[[#This Row],[BVPS]]&lt;&gt;0,Main_L[[#This Row],[Current Price]]/Main_L[[#This Row],[BVPS]],""),"")</f>
        <v>1.121150933871782</v>
      </c>
      <c r="J88">
        <v>10.29</v>
      </c>
      <c r="K88">
        <v>5.37</v>
      </c>
      <c r="L88">
        <v>2.0699999999999998</v>
      </c>
      <c r="M88" s="1">
        <f>IF(ISNUMBER(Main_L[[#This Row],[EPS]]),IF(Main_L[[#This Row],[EPS]]&lt;&gt;0,Main_L[[#This Row],[Current Price]]/Main_L[[#This Row],[EPS]],""),"")</f>
        <v>10.887254901960784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-1.4005059185097362</v>
      </c>
      <c r="P88" s="1">
        <f>(Main_L[[#This Row],[P/B]]-VLOOKUP(Main_L[[#This Row],[Industry]], Mean_PB_L, 2, FALSE))/(VLOOKUP(Main_L[[#This Row],[Industry]], Mean_PB_L, 3, FALSE))</f>
        <v>-1.0923974050489582</v>
      </c>
      <c r="Q88" s="1">
        <f>(Main_L[[#This Row],[ROE]]-VLOOKUP(Main_L[[#This Row],[Industry]], Mean_ROE_L, 2, FALSE))/(VLOOKUP(Main_L[[#This Row],[Industry]], Mean_ROE_L, 3, FALSE))</f>
        <v>-0.69149071174427967</v>
      </c>
      <c r="R88" s="1">
        <f>(Main_L[[#This Row],[ROA]]-VLOOKUP(Main_L[[#This Row],[Industry]], Mean_ROA_L, 2, FALSE))/(VLOOKUP(Main_L[[#This Row],[Industry]], Mean_ROA_L, 3, FALSE))</f>
        <v>9.7933645616015141E-2</v>
      </c>
      <c r="S88" s="1">
        <f>(Main_L[[#This Row],[A/E]]-VLOOKUP(Main_L[[#This Row],[Industry]], Mean_AE_L, 2, FALSE))/(VLOOKUP(Main_L[[#This Row],[Industry]], Mean_AE_L, 3, FALSE))</f>
        <v>-0.83006309115951238</v>
      </c>
      <c r="T88" s="1">
        <f>(Main_L[[#This Row],[P/E]]-VLOOKUP(Main_L[[#This Row],[Industry]], Mean_PE_L, 2, FALSE))/(VLOOKUP(Main_L[[#This Row],[Industry]], Mean_PE_L, 3, FALSE))</f>
        <v>-1.2924980449273078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s="67" t="s">
        <v>172</v>
      </c>
      <c r="B89" s="67" t="s">
        <v>195</v>
      </c>
      <c r="C89" s="2">
        <v>30963</v>
      </c>
      <c r="D89">
        <f>RTD("tos.rtd", , "LAST", Main_L[[#This Row],[Symbol]])</f>
        <v>380.39</v>
      </c>
      <c r="E89">
        <v>-5.09</v>
      </c>
      <c r="F89">
        <v>41.89</v>
      </c>
      <c r="G89">
        <v>14.44</v>
      </c>
      <c r="H89" s="1">
        <f>IF(ISNUMBER(Main_L[[#This Row],[Free CF]]),IF(Main_L[[#This Row],[Free CF]]&lt;&gt;0,Main_L[[#This Row],[Current Price]]/Main_L[[#This Row],[Free CF]],""),"")</f>
        <v>-74.732809430255401</v>
      </c>
      <c r="I89" s="1">
        <f>IF(ISNUMBER(Main_L[[#This Row],[BVPS]]),IF(Main_L[[#This Row],[BVPS]]&lt;&gt;0,Main_L[[#This Row],[Current Price]]/Main_L[[#This Row],[BVPS]],""),"")</f>
        <v>9.0806875149200277</v>
      </c>
      <c r="J89">
        <v>40.36</v>
      </c>
      <c r="K89">
        <v>8.7100000000000009</v>
      </c>
      <c r="L89">
        <v>4.47</v>
      </c>
      <c r="M89" s="1">
        <f>IF(ISNUMBER(Main_L[[#This Row],[EPS]]),IF(Main_L[[#This Row],[EPS]]&lt;&gt;0,Main_L[[#This Row],[Current Price]]/Main_L[[#This Row],[EPS]],""),"")</f>
        <v>26.342797783933516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-5.552909792906374</v>
      </c>
      <c r="P89" s="1">
        <f>(Main_L[[#This Row],[P/B]]-VLOOKUP(Main_L[[#This Row],[Industry]], Mean_PB_L, 2, FALSE))/(VLOOKUP(Main_L[[#This Row],[Industry]], Mean_PB_L, 3, FALSE))</f>
        <v>1.5193248226652396</v>
      </c>
      <c r="Q89" s="1">
        <f>(Main_L[[#This Row],[ROE]]-VLOOKUP(Main_L[[#This Row],[Industry]], Mean_ROE_L, 2, FALSE))/(VLOOKUP(Main_L[[#This Row],[Industry]], Mean_ROE_L, 3, FALSE))</f>
        <v>3.0226998245175172</v>
      </c>
      <c r="R89" s="1">
        <f>(Main_L[[#This Row],[ROA]]-VLOOKUP(Main_L[[#This Row],[Industry]], Mean_ROA_L, 2, FALSE))/(VLOOKUP(Main_L[[#This Row],[Industry]], Mean_ROA_L, 3, FALSE))</f>
        <v>0.84675407015969872</v>
      </c>
      <c r="S89" s="1">
        <f>(Main_L[[#This Row],[A/E]]-VLOOKUP(Main_L[[#This Row],[Industry]], Mean_AE_L, 2, FALSE))/(VLOOKUP(Main_L[[#This Row],[Industry]], Mean_AE_L, 3, FALSE))</f>
        <v>-0.41410306337487973</v>
      </c>
      <c r="T89" s="1">
        <f>(Main_L[[#This Row],[P/E]]-VLOOKUP(Main_L[[#This Row],[Industry]], Mean_PE_L, 2, FALSE))/(VLOOKUP(Main_L[[#This Row],[Industry]], Mean_PE_L, 3, FALSE))</f>
        <v>-8.0857426581099859E-2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s="67" t="s">
        <v>172</v>
      </c>
      <c r="B90" s="67" t="s">
        <v>194</v>
      </c>
      <c r="C90" s="2">
        <v>10024</v>
      </c>
      <c r="D90">
        <f>RTD("tos.rtd", , "LAST", Main_L[[#This Row],[Symbol]])</f>
        <v>53.42</v>
      </c>
      <c r="E90">
        <v>-8.23</v>
      </c>
      <c r="F90">
        <v>49.47</v>
      </c>
      <c r="G90">
        <v>2.85</v>
      </c>
      <c r="H90" s="1">
        <f>IF(ISNUMBER(Main_L[[#This Row],[Free CF]]),IF(Main_L[[#This Row],[Free CF]]&lt;&gt;0,Main_L[[#This Row],[Current Price]]/Main_L[[#This Row],[Free CF]],""),"")</f>
        <v>-6.4908869987849327</v>
      </c>
      <c r="I90" s="1">
        <f>IF(ISNUMBER(Main_L[[#This Row],[BVPS]]),IF(Main_L[[#This Row],[BVPS]]&lt;&gt;0,Main_L[[#This Row],[Current Price]]/Main_L[[#This Row],[BVPS]],""),"")</f>
        <v>1.0798463715383062</v>
      </c>
      <c r="J90">
        <v>6.8</v>
      </c>
      <c r="K90">
        <v>1.04</v>
      </c>
      <c r="L90">
        <v>6.88</v>
      </c>
      <c r="M90" s="1">
        <f>IF(ISNUMBER(Main_L[[#This Row],[EPS]]),IF(Main_L[[#This Row],[EPS]]&lt;&gt;0,Main_L[[#This Row],[Current Price]]/Main_L[[#This Row],[EPS]],""),"")</f>
        <v>18.743859649122808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-1.4328941855448483</v>
      </c>
      <c r="P90" s="1">
        <f>(Main_L[[#This Row],[P/B]]-VLOOKUP(Main_L[[#This Row],[Industry]], Mean_PB_L, 2, FALSE))/(VLOOKUP(Main_L[[#This Row],[Industry]], Mean_PB_L, 3, FALSE))</f>
        <v>-1.1059504608649462</v>
      </c>
      <c r="Q90" s="1">
        <f>(Main_L[[#This Row],[ROE]]-VLOOKUP(Main_L[[#This Row],[Industry]], Mean_ROE_L, 2, FALSE))/(VLOOKUP(Main_L[[#This Row],[Industry]], Mean_ROE_L, 3, FALSE))</f>
        <v>-1.1225690280580032</v>
      </c>
      <c r="R90" s="1">
        <f>(Main_L[[#This Row],[ROA]]-VLOOKUP(Main_L[[#This Row],[Industry]], Mean_ROA_L, 2, FALSE))/(VLOOKUP(Main_L[[#This Row],[Industry]], Mean_ROA_L, 3, FALSE))</f>
        <v>-0.87284253350798158</v>
      </c>
      <c r="S90" s="1">
        <f>(Main_L[[#This Row],[A/E]]-VLOOKUP(Main_L[[#This Row],[Industry]], Mean_AE_L, 2, FALSE))/(VLOOKUP(Main_L[[#This Row],[Industry]], Mean_AE_L, 3, FALSE))</f>
        <v>3.5901311921888264E-3</v>
      </c>
      <c r="T90" s="1">
        <f>(Main_L[[#This Row],[P/E]]-VLOOKUP(Main_L[[#This Row],[Industry]], Mean_PE_L, 2, FALSE))/(VLOOKUP(Main_L[[#This Row],[Industry]], Mean_PE_L, 3, FALSE))</f>
        <v>-0.67657782092427354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s="67" t="s">
        <v>172</v>
      </c>
      <c r="B91" s="67" t="s">
        <v>196</v>
      </c>
      <c r="C91" s="2">
        <v>205401</v>
      </c>
      <c r="D91">
        <f>RTD("tos.rtd", , "LAST", Main_L[[#This Row],[Symbol]])</f>
        <v>131.94999999999999</v>
      </c>
      <c r="E91">
        <v>-19.12</v>
      </c>
      <c r="F91">
        <v>60.41</v>
      </c>
      <c r="G91">
        <v>8.5299999999999994</v>
      </c>
      <c r="H91" s="1">
        <f>IF(ISNUMBER(Main_L[[#This Row],[Free CF]]),IF(Main_L[[#This Row],[Free CF]]&lt;&gt;0,Main_L[[#This Row],[Current Price]]/Main_L[[#This Row],[Free CF]],""),"")</f>
        <v>-6.9011506276150616</v>
      </c>
      <c r="I91" s="1">
        <f>IF(ISNUMBER(Main_L[[#This Row],[BVPS]]),IF(Main_L[[#This Row],[BVPS]]&lt;&gt;0,Main_L[[#This Row],[Current Price]]/Main_L[[#This Row],[BVPS]],""),"")</f>
        <v>2.1842410196987254</v>
      </c>
      <c r="J91">
        <v>13.88</v>
      </c>
      <c r="K91">
        <v>1.1399999999999999</v>
      </c>
      <c r="L91">
        <v>13.4</v>
      </c>
      <c r="M91" s="1">
        <f>IF(ISNUMBER(Main_L[[#This Row],[EPS]]),IF(Main_L[[#This Row],[EPS]]&lt;&gt;0,Main_L[[#This Row],[Current Price]]/Main_L[[#This Row],[EPS]],""),"")</f>
        <v>15.468933177022274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-1.4576633083023485</v>
      </c>
      <c r="P91" s="1">
        <f>(Main_L[[#This Row],[P/B]]-VLOOKUP(Main_L[[#This Row],[Industry]], Mean_PB_L, 2, FALSE))/(VLOOKUP(Main_L[[#This Row],[Industry]], Mean_PB_L, 3, FALSE))</f>
        <v>-0.74357106585884836</v>
      </c>
      <c r="Q91" s="1">
        <f>(Main_L[[#This Row],[ROE]]-VLOOKUP(Main_L[[#This Row],[Industry]], Mean_ROE_L, 2, FALSE))/(VLOOKUP(Main_L[[#This Row],[Industry]], Mean_ROE_L, 3, FALSE))</f>
        <v>-0.24806058120953225</v>
      </c>
      <c r="R91" s="1">
        <f>(Main_L[[#This Row],[ROA]]-VLOOKUP(Main_L[[#This Row],[Industry]], Mean_ROA_L, 2, FALSE))/(VLOOKUP(Main_L[[#This Row],[Industry]], Mean_ROA_L, 3, FALSE))</f>
        <v>-0.85042276031805109</v>
      </c>
      <c r="S91" s="1">
        <f>(Main_L[[#This Row],[A/E]]-VLOOKUP(Main_L[[#This Row],[Industry]], Mean_AE_L, 2, FALSE))/(VLOOKUP(Main_L[[#This Row],[Industry]], Mean_AE_L, 3, FALSE))</f>
        <v>1.1336148733404408</v>
      </c>
      <c r="T91" s="1">
        <f>(Main_L[[#This Row],[P/E]]-VLOOKUP(Main_L[[#This Row],[Industry]], Mean_PE_L, 2, FALSE))/(VLOOKUP(Main_L[[#This Row],[Industry]], Mean_PE_L, 3, FALSE))</f>
        <v>-0.93331638818110862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s="67" t="s">
        <v>172</v>
      </c>
      <c r="B92" s="67" t="s">
        <v>200</v>
      </c>
      <c r="C92" s="2">
        <v>53915</v>
      </c>
      <c r="D92">
        <f>RTD("tos.rtd", , "LAST", Main_L[[#This Row],[Symbol]])</f>
        <v>28.14</v>
      </c>
      <c r="E92">
        <v>-34.67</v>
      </c>
      <c r="F92">
        <v>44.57</v>
      </c>
      <c r="G92">
        <v>1.79</v>
      </c>
      <c r="H92" s="1">
        <f>IF(ISNUMBER(Main_L[[#This Row],[Free CF]]),IF(Main_L[[#This Row],[Free CF]]&lt;&gt;0,Main_L[[#This Row],[Current Price]]/Main_L[[#This Row],[Free CF]],""),"")</f>
        <v>-0.8116527256994519</v>
      </c>
      <c r="I92" s="1">
        <f>IF(ISNUMBER(Main_L[[#This Row],[BVPS]]),IF(Main_L[[#This Row],[BVPS]]&lt;&gt;0,Main_L[[#This Row],[Current Price]]/Main_L[[#This Row],[BVPS]],""),"")</f>
        <v>0.63136638994839578</v>
      </c>
      <c r="J92">
        <v>5.16</v>
      </c>
      <c r="K92">
        <v>0.3</v>
      </c>
      <c r="L92">
        <v>17.71</v>
      </c>
      <c r="M92" s="1">
        <f>IF(ISNUMBER(Main_L[[#This Row],[EPS]]),IF(Main_L[[#This Row],[EPS]]&lt;&gt;0,Main_L[[#This Row],[Current Price]]/Main_L[[#This Row],[EPS]],""),"")</f>
        <v>15.720670391061452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-1.0900179445293374</v>
      </c>
      <c r="P92" s="1">
        <f>(Main_L[[#This Row],[P/B]]-VLOOKUP(Main_L[[#This Row],[Industry]], Mean_PB_L, 2, FALSE))/(VLOOKUP(Main_L[[#This Row],[Industry]], Mean_PB_L, 3, FALSE))</f>
        <v>-1.2531079146534136</v>
      </c>
      <c r="Q92" s="1">
        <f>(Main_L[[#This Row],[ROE]]-VLOOKUP(Main_L[[#This Row],[Industry]], Mean_ROE_L, 2, FALSE))/(VLOOKUP(Main_L[[#This Row],[Industry]], Mean_ROE_L, 3, FALSE))</f>
        <v>-1.3251387812827904</v>
      </c>
      <c r="R92" s="1">
        <f>(Main_L[[#This Row],[ROA]]-VLOOKUP(Main_L[[#This Row],[Industry]], Mean_ROA_L, 2, FALSE))/(VLOOKUP(Main_L[[#This Row],[Industry]], Mean_ROA_L, 3, FALSE))</f>
        <v>-1.0387488551134685</v>
      </c>
      <c r="S92" s="1">
        <f>(Main_L[[#This Row],[A/E]]-VLOOKUP(Main_L[[#This Row],[Industry]], Mean_AE_L, 2, FALSE))/(VLOOKUP(Main_L[[#This Row],[Industry]], Mean_AE_L, 3, FALSE))</f>
        <v>1.8806097565703435</v>
      </c>
      <c r="T92" s="1">
        <f>(Main_L[[#This Row],[P/E]]-VLOOKUP(Main_L[[#This Row],[Industry]], Mean_PE_L, 2, FALSE))/(VLOOKUP(Main_L[[#This Row],[Industry]], Mean_PE_L, 3, FALSE))</f>
        <v>-0.91358139498103486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s="67" t="s">
        <v>172</v>
      </c>
      <c r="B93" s="67" t="s">
        <v>187</v>
      </c>
      <c r="C93" s="2">
        <v>27457</v>
      </c>
      <c r="D93">
        <f>RTD("tos.rtd", , "LAST", Main_L[[#This Row],[Symbol]])</f>
        <v>98.86</v>
      </c>
      <c r="E93">
        <v>-36.979999999999997</v>
      </c>
      <c r="F93">
        <v>80.13</v>
      </c>
      <c r="G93">
        <v>8.9</v>
      </c>
      <c r="H93" s="1">
        <f>IF(ISNUMBER(Main_L[[#This Row],[Free CF]]),IF(Main_L[[#This Row],[Free CF]]&lt;&gt;0,Main_L[[#This Row],[Current Price]]/Main_L[[#This Row],[Free CF]],""),"")</f>
        <v>-2.6733369388858845</v>
      </c>
      <c r="I93" s="1">
        <f>IF(ISNUMBER(Main_L[[#This Row],[BVPS]]),IF(Main_L[[#This Row],[BVPS]]&lt;&gt;0,Main_L[[#This Row],[Current Price]]/Main_L[[#This Row],[BVPS]],""),"")</f>
        <v>1.2337451641083241</v>
      </c>
      <c r="J93">
        <v>11.22</v>
      </c>
      <c r="K93">
        <v>0.81</v>
      </c>
      <c r="L93">
        <v>16.11</v>
      </c>
      <c r="M93" s="1">
        <f>IF(ISNUMBER(Main_L[[#This Row],[EPS]]),IF(Main_L[[#This Row],[EPS]]&lt;&gt;0,Main_L[[#This Row],[Current Price]]/Main_L[[#This Row],[EPS]],""),"")</f>
        <v>11.107865168539325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-1.2024146611079061</v>
      </c>
      <c r="P93" s="1">
        <f>(Main_L[[#This Row],[P/B]]-VLOOKUP(Main_L[[#This Row],[Industry]], Mean_PB_L, 2, FALSE))/(VLOOKUP(Main_L[[#This Row],[Industry]], Mean_PB_L, 3, FALSE))</f>
        <v>-1.0554524333377509</v>
      </c>
      <c r="Q93" s="1">
        <f>(Main_L[[#This Row],[ROE]]-VLOOKUP(Main_L[[#This Row],[Industry]], Mean_ROE_L, 2, FALSE))/(VLOOKUP(Main_L[[#This Row],[Industry]], Mean_ROE_L, 3, FALSE))</f>
        <v>-0.57661883948876003</v>
      </c>
      <c r="R93" s="1">
        <f>(Main_L[[#This Row],[ROA]]-VLOOKUP(Main_L[[#This Row],[Industry]], Mean_ROA_L, 2, FALSE))/(VLOOKUP(Main_L[[#This Row],[Industry]], Mean_ROA_L, 3, FALSE))</f>
        <v>-0.92440801184482202</v>
      </c>
      <c r="S93" s="1">
        <f>(Main_L[[#This Row],[A/E]]-VLOOKUP(Main_L[[#This Row],[Industry]], Mean_AE_L, 2, FALSE))/(VLOOKUP(Main_L[[#This Row],[Industry]], Mean_AE_L, 3, FALSE))</f>
        <v>1.603303071380588</v>
      </c>
      <c r="T93" s="1">
        <f>(Main_L[[#This Row],[P/E]]-VLOOKUP(Main_L[[#This Row],[Industry]], Mean_PE_L, 2, FALSE))/(VLOOKUP(Main_L[[#This Row],[Industry]], Mean_PE_L, 3, FALSE))</f>
        <v>-1.2752032554882047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s="67" t="s">
        <v>172</v>
      </c>
      <c r="B94" s="67" t="s">
        <v>190</v>
      </c>
      <c r="C94" s="2">
        <v>184243</v>
      </c>
      <c r="D94">
        <f>RTD("tos.rtd", , "LAST", Main_L[[#This Row],[Symbol]])</f>
        <v>613.52</v>
      </c>
      <c r="E94">
        <v>-75.510000000000005</v>
      </c>
      <c r="F94">
        <v>371.45</v>
      </c>
      <c r="G94">
        <v>42.98</v>
      </c>
      <c r="H94" s="1">
        <f>IF(ISNUMBER(Main_L[[#This Row],[Free CF]]),IF(Main_L[[#This Row],[Free CF]]&lt;&gt;0,Main_L[[#This Row],[Current Price]]/Main_L[[#This Row],[Free CF]],""),"")</f>
        <v>-8.125016554098794</v>
      </c>
      <c r="I94" s="1">
        <f>IF(ISNUMBER(Main_L[[#This Row],[BVPS]]),IF(Main_L[[#This Row],[BVPS]]&lt;&gt;0,Main_L[[#This Row],[Current Price]]/Main_L[[#This Row],[BVPS]],""),"")</f>
        <v>1.6516893256158298</v>
      </c>
      <c r="J94">
        <v>12.22</v>
      </c>
      <c r="K94">
        <v>0.86</v>
      </c>
      <c r="L94">
        <v>16.18</v>
      </c>
      <c r="M94" s="1">
        <f>IF(ISNUMBER(Main_L[[#This Row],[EPS]]),IF(Main_L[[#This Row],[EPS]]&lt;&gt;0,Main_L[[#This Row],[Current Price]]/Main_L[[#This Row],[EPS]],""),"")</f>
        <v>14.274546300604934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-1.531552591293966</v>
      </c>
      <c r="P94" s="1">
        <f>(Main_L[[#This Row],[P/B]]-VLOOKUP(Main_L[[#This Row],[Industry]], Mean_PB_L, 2, FALSE))/(VLOOKUP(Main_L[[#This Row],[Industry]], Mean_PB_L, 3, FALSE))</f>
        <v>-0.91831454277870395</v>
      </c>
      <c r="Q94" s="1">
        <f>(Main_L[[#This Row],[ROE]]-VLOOKUP(Main_L[[#This Row],[Industry]], Mean_ROE_L, 2, FALSE))/(VLOOKUP(Main_L[[#This Row],[Industry]], Mean_ROE_L, 3, FALSE))</f>
        <v>-0.45310069727852403</v>
      </c>
      <c r="R94" s="1">
        <f>(Main_L[[#This Row],[ROA]]-VLOOKUP(Main_L[[#This Row],[Industry]], Mean_ROA_L, 2, FALSE))/(VLOOKUP(Main_L[[#This Row],[Industry]], Mean_ROA_L, 3, FALSE))</f>
        <v>-0.91319812524985666</v>
      </c>
      <c r="S94" s="1">
        <f>(Main_L[[#This Row],[A/E]]-VLOOKUP(Main_L[[#This Row],[Industry]], Mean_AE_L, 2, FALSE))/(VLOOKUP(Main_L[[#This Row],[Industry]], Mean_AE_L, 3, FALSE))</f>
        <v>1.6154352388576398</v>
      </c>
      <c r="T94" s="1">
        <f>(Main_L[[#This Row],[P/E]]-VLOOKUP(Main_L[[#This Row],[Industry]], Mean_PE_L, 2, FALSE))/(VLOOKUP(Main_L[[#This Row],[Industry]], Mean_PE_L, 3, FALSE))</f>
        <v>-1.0269506050144022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s="67" t="s">
        <v>166</v>
      </c>
      <c r="B95" s="67" t="s">
        <v>168</v>
      </c>
      <c r="C95" s="2">
        <v>121082</v>
      </c>
      <c r="D95">
        <f>RTD("tos.rtd", , "LAST", Main_L[[#This Row],[Symbol]])</f>
        <v>198.99</v>
      </c>
      <c r="E95">
        <v>47.75</v>
      </c>
      <c r="F95">
        <v>153.27000000000001</v>
      </c>
      <c r="G95">
        <v>11.9</v>
      </c>
      <c r="H95" s="1">
        <f>IF(ISNUMBER(Main_L[[#This Row],[Free CF]]),IF(Main_L[[#This Row],[Free CF]]&lt;&gt;0,Main_L[[#This Row],[Current Price]]/Main_L[[#This Row],[Free CF]],""),"")</f>
        <v>4.1673298429319372</v>
      </c>
      <c r="I95" s="1">
        <f>IF(ISNUMBER(Main_L[[#This Row],[BVPS]]),IF(Main_L[[#This Row],[BVPS]]&lt;&gt;0,Main_L[[#This Row],[Current Price]]/Main_L[[#This Row],[BVPS]],""),"")</f>
        <v>1.2982971227246036</v>
      </c>
      <c r="J95">
        <v>8.0299999999999994</v>
      </c>
      <c r="K95">
        <v>1</v>
      </c>
      <c r="L95">
        <v>8.41</v>
      </c>
      <c r="M95" s="1">
        <f>IF(ISNUMBER(Main_L[[#This Row],[EPS]]),IF(Main_L[[#This Row],[EPS]]&lt;&gt;0,Main_L[[#This Row],[Current Price]]/Main_L[[#This Row],[EPS]],""),"")</f>
        <v>16.721848739495798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-0.51989386080754241</v>
      </c>
      <c r="P95" s="1">
        <f>(Main_L[[#This Row],[P/B]]-VLOOKUP(Main_L[[#This Row],[Industry]], Mean_PB_L, 2, FALSE))/(VLOOKUP(Main_L[[#This Row],[Industry]], Mean_PB_L, 3, FALSE))</f>
        <v>-0.77170234631960632</v>
      </c>
      <c r="Q95" s="1">
        <f>(Main_L[[#This Row],[ROE]]-VLOOKUP(Main_L[[#This Row],[Industry]], Mean_ROE_L, 2, FALSE))/(VLOOKUP(Main_L[[#This Row],[Industry]], Mean_ROE_L, 3, FALSE))</f>
        <v>-0.53363718879769506</v>
      </c>
      <c r="R95" s="1">
        <f>(Main_L[[#This Row],[ROA]]-VLOOKUP(Main_L[[#This Row],[Industry]], Mean_ROA_L, 2, FALSE))/(VLOOKUP(Main_L[[#This Row],[Industry]], Mean_ROA_L, 3, FALSE))</f>
        <v>-0.60470728162973042</v>
      </c>
      <c r="S95" s="1">
        <f>(Main_L[[#This Row],[A/E]]-VLOOKUP(Main_L[[#This Row],[Industry]], Mean_AE_L, 2, FALSE))/(VLOOKUP(Main_L[[#This Row],[Industry]], Mean_AE_L, 3, FALSE))</f>
        <v>0.75361587653724804</v>
      </c>
      <c r="T95" s="1">
        <f>(Main_L[[#This Row],[P/E]]-VLOOKUP(Main_L[[#This Row],[Industry]], Mean_PE_L, 2, FALSE))/(VLOOKUP(Main_L[[#This Row],[Industry]], Mean_PE_L, 3, FALSE))</f>
        <v>-6.5919968214553135E-2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s="67" t="s">
        <v>166</v>
      </c>
      <c r="B96" s="67" t="s">
        <v>171</v>
      </c>
      <c r="C96" s="2">
        <v>21945</v>
      </c>
      <c r="D96">
        <f>RTD("tos.rtd", , "LAST", Main_L[[#This Row],[Symbol]])</f>
        <v>60.83</v>
      </c>
      <c r="E96">
        <v>24.81</v>
      </c>
      <c r="F96">
        <v>40.36</v>
      </c>
      <c r="G96">
        <v>7.27</v>
      </c>
      <c r="H96" s="1">
        <f>IF(ISNUMBER(Main_L[[#This Row],[Free CF]]),IF(Main_L[[#This Row],[Free CF]]&lt;&gt;0,Main_L[[#This Row],[Current Price]]/Main_L[[#This Row],[Free CF]],""),"")</f>
        <v>2.4518339379282548</v>
      </c>
      <c r="I96" s="1">
        <f>IF(ISNUMBER(Main_L[[#This Row],[BVPS]]),IF(Main_L[[#This Row],[BVPS]]&lt;&gt;0,Main_L[[#This Row],[Current Price]]/Main_L[[#This Row],[BVPS]],""),"")</f>
        <v>1.5071853320118929</v>
      </c>
      <c r="J96">
        <v>18.600000000000001</v>
      </c>
      <c r="K96">
        <v>2.44</v>
      </c>
      <c r="L96">
        <v>7.94</v>
      </c>
      <c r="M96" s="1">
        <f>IF(ISNUMBER(Main_L[[#This Row],[EPS]]),IF(Main_L[[#This Row],[EPS]]&lt;&gt;0,Main_L[[#This Row],[Current Price]]/Main_L[[#This Row],[EPS]],""),"")</f>
        <v>8.3672627235213213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-0.69105825051168868</v>
      </c>
      <c r="P96" s="1">
        <f>(Main_L[[#This Row],[P/B]]-VLOOKUP(Main_L[[#This Row],[Industry]], Mean_PB_L, 2, FALSE))/(VLOOKUP(Main_L[[#This Row],[Industry]], Mean_PB_L, 3, FALSE))</f>
        <v>-0.67384402078533501</v>
      </c>
      <c r="Q96" s="1">
        <f>(Main_L[[#This Row],[ROE]]-VLOOKUP(Main_L[[#This Row],[Industry]], Mean_ROE_L, 2, FALSE))/(VLOOKUP(Main_L[[#This Row],[Industry]], Mean_ROE_L, 3, FALSE))</f>
        <v>0.39347410074728134</v>
      </c>
      <c r="R96" s="1">
        <f>(Main_L[[#This Row],[ROA]]-VLOOKUP(Main_L[[#This Row],[Industry]], Mean_ROA_L, 2, FALSE))/(VLOOKUP(Main_L[[#This Row],[Industry]], Mean_ROA_L, 3, FALSE))</f>
        <v>0.56255610382175991</v>
      </c>
      <c r="S96" s="1">
        <f>(Main_L[[#This Row],[A/E]]-VLOOKUP(Main_L[[#This Row],[Industry]], Mean_AE_L, 2, FALSE))/(VLOOKUP(Main_L[[#This Row],[Industry]], Mean_AE_L, 3, FALSE))</f>
        <v>0.43509118051880707</v>
      </c>
      <c r="T96" s="1">
        <f>(Main_L[[#This Row],[P/E]]-VLOOKUP(Main_L[[#This Row],[Industry]], Mean_PE_L, 2, FALSE))/(VLOOKUP(Main_L[[#This Row],[Industry]], Mean_PE_L, 3, FALSE))</f>
        <v>-0.97091739751179817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s="67" t="s">
        <v>166</v>
      </c>
      <c r="B97" s="67" t="s">
        <v>167</v>
      </c>
      <c r="C97" s="2">
        <v>206008</v>
      </c>
      <c r="D97">
        <f>RTD("tos.rtd", , "LAST", Main_L[[#This Row],[Symbol]])</f>
        <v>301.56</v>
      </c>
      <c r="E97">
        <v>16</v>
      </c>
      <c r="F97">
        <v>44.51</v>
      </c>
      <c r="G97">
        <v>14.32</v>
      </c>
      <c r="H97" s="1">
        <f>IF(ISNUMBER(Main_L[[#This Row],[Free CF]]),IF(Main_L[[#This Row],[Free CF]]&lt;&gt;0,Main_L[[#This Row],[Current Price]]/Main_L[[#This Row],[Free CF]],""),"")</f>
        <v>18.8475</v>
      </c>
      <c r="I97" s="1">
        <f>IF(ISNUMBER(Main_L[[#This Row],[BVPS]]),IF(Main_L[[#This Row],[BVPS]]&lt;&gt;0,Main_L[[#This Row],[Current Price]]/Main_L[[#This Row],[BVPS]],""),"")</f>
        <v>6.7751067175915525</v>
      </c>
      <c r="J97">
        <v>34.270000000000003</v>
      </c>
      <c r="K97">
        <v>3.73</v>
      </c>
      <c r="L97">
        <v>9.0500000000000007</v>
      </c>
      <c r="M97" s="1">
        <f>IF(ISNUMBER(Main_L[[#This Row],[EPS]]),IF(Main_L[[#This Row],[EPS]]&lt;&gt;0,Main_L[[#This Row],[Current Price]]/Main_L[[#This Row],[EPS]],""),"")</f>
        <v>21.058659217877096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0.94482684086162405</v>
      </c>
      <c r="P97" s="1">
        <f>(Main_L[[#This Row],[P/B]]-VLOOKUP(Main_L[[#This Row],[Industry]], Mean_PB_L, 2, FALSE))/(VLOOKUP(Main_L[[#This Row],[Industry]], Mean_PB_L, 3, FALSE))</f>
        <v>1.7940308659681348</v>
      </c>
      <c r="Q97" s="1">
        <f>(Main_L[[#This Row],[ROE]]-VLOOKUP(Main_L[[#This Row],[Industry]], Mean_ROE_L, 2, FALSE))/(VLOOKUP(Main_L[[#This Row],[Industry]], Mean_ROE_L, 3, FALSE))</f>
        <v>1.7679143947084714</v>
      </c>
      <c r="R97" s="1">
        <f>(Main_L[[#This Row],[ROA]]-VLOOKUP(Main_L[[#This Row],[Industry]], Mean_ROA_L, 2, FALSE))/(VLOOKUP(Main_L[[#This Row],[Industry]], Mean_ROA_L, 3, FALSE))</f>
        <v>1.6082295532887201</v>
      </c>
      <c r="S97" s="1">
        <f>(Main_L[[#This Row],[A/E]]-VLOOKUP(Main_L[[#This Row],[Industry]], Mean_AE_L, 2, FALSE))/(VLOOKUP(Main_L[[#This Row],[Industry]], Mean_AE_L, 3, FALSE))</f>
        <v>1.187351632817679</v>
      </c>
      <c r="T97" s="1">
        <f>(Main_L[[#This Row],[P/E]]-VLOOKUP(Main_L[[#This Row],[Industry]], Mean_PE_L, 2, FALSE))/(VLOOKUP(Main_L[[#This Row],[Industry]], Mean_PE_L, 3, FALSE))</f>
        <v>0.40385822627407508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s="67" t="s">
        <v>166</v>
      </c>
      <c r="B98" s="67" t="s">
        <v>169</v>
      </c>
      <c r="C98" s="2">
        <v>15218</v>
      </c>
      <c r="D98">
        <f>RTD("tos.rtd", , "LAST", Main_L[[#This Row],[Symbol]])</f>
        <v>85.62</v>
      </c>
      <c r="E98">
        <v>5.45</v>
      </c>
      <c r="F98">
        <v>17.77</v>
      </c>
      <c r="G98">
        <v>11.1</v>
      </c>
      <c r="H98" s="1">
        <f>IF(ISNUMBER(Main_L[[#This Row],[Free CF]]),IF(Main_L[[#This Row],[Free CF]]&lt;&gt;0,Main_L[[#This Row],[Current Price]]/Main_L[[#This Row],[Free CF]],""),"")</f>
        <v>15.710091743119266</v>
      </c>
      <c r="I98" s="1">
        <f>IF(ISNUMBER(Main_L[[#This Row],[BVPS]]),IF(Main_L[[#This Row],[BVPS]]&lt;&gt;0,Main_L[[#This Row],[Current Price]]/Main_L[[#This Row],[BVPS]],""),"")</f>
        <v>4.8182329769274057</v>
      </c>
      <c r="J98">
        <v>69.209999999999994</v>
      </c>
      <c r="K98">
        <v>15.25</v>
      </c>
      <c r="L98">
        <v>5.44</v>
      </c>
      <c r="M98" s="1">
        <f>IF(ISNUMBER(Main_L[[#This Row],[EPS]]),IF(Main_L[[#This Row],[EPS]]&lt;&gt;0,Main_L[[#This Row],[Current Price]]/Main_L[[#This Row],[EPS]],""),"")</f>
        <v>7.7135135135135142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0.6317904949424028</v>
      </c>
      <c r="P98" s="1">
        <f>(Main_L[[#This Row],[P/B]]-VLOOKUP(Main_L[[#This Row],[Industry]], Mean_PB_L, 2, FALSE))/(VLOOKUP(Main_L[[#This Row],[Industry]], Mean_PB_L, 3, FALSE))</f>
        <v>0.87728985795839354</v>
      </c>
      <c r="Q98" s="1">
        <f>(Main_L[[#This Row],[ROE]]-VLOOKUP(Main_L[[#This Row],[Industry]], Mean_ROE_L, 2, FALSE))/(VLOOKUP(Main_L[[#This Row],[Industry]], Mean_ROE_L, 3, FALSE))</f>
        <v>4.8325566328070009</v>
      </c>
      <c r="R98" s="1">
        <f>(Main_L[[#This Row],[ROA]]-VLOOKUP(Main_L[[#This Row],[Industry]], Mean_ROA_L, 2, FALSE))/(VLOOKUP(Main_L[[#This Row],[Industry]], Mean_ROA_L, 3, FALSE))</f>
        <v>10.946336636900643</v>
      </c>
      <c r="S98" s="1">
        <f>(Main_L[[#This Row],[A/E]]-VLOOKUP(Main_L[[#This Row],[Industry]], Mean_AE_L, 2, FALSE))/(VLOOKUP(Main_L[[#This Row],[Industry]], Mean_AE_L, 3, FALSE))</f>
        <v>-1.2591891174516245</v>
      </c>
      <c r="T98" s="1">
        <f>(Main_L[[#This Row],[P/E]]-VLOOKUP(Main_L[[#This Row],[Industry]], Mean_PE_L, 2, FALSE))/(VLOOKUP(Main_L[[#This Row],[Industry]], Mean_PE_L, 3, FALSE))</f>
        <v>-1.0417337555373083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s="67" t="s">
        <v>166</v>
      </c>
      <c r="B99" s="67" t="s">
        <v>350</v>
      </c>
      <c r="C99" s="2">
        <v>10751</v>
      </c>
      <c r="D99">
        <f>RTD("tos.rtd", , "LAST", Main_L[[#This Row],[Symbol]])</f>
        <v>36.6</v>
      </c>
      <c r="E99">
        <v>1.7</v>
      </c>
      <c r="F99">
        <v>38.770000000000003</v>
      </c>
      <c r="G99">
        <v>0.61</v>
      </c>
      <c r="H99" s="1">
        <f>IF(ISNUMBER(Main_L[[#This Row],[Free CF]]),IF(Main_L[[#This Row],[Free CF]]&lt;&gt;0,Main_L[[#This Row],[Current Price]]/Main_L[[#This Row],[Free CF]],""),"")</f>
        <v>21.529411764705884</v>
      </c>
      <c r="I99" s="1">
        <f>IF(ISNUMBER(Main_L[[#This Row],[BVPS]]),IF(Main_L[[#This Row],[BVPS]]&lt;&gt;0,Main_L[[#This Row],[Current Price]]/Main_L[[#This Row],[BVPS]],""),"")</f>
        <v>0.94402888831570797</v>
      </c>
      <c r="J99">
        <v>2.16</v>
      </c>
      <c r="K99">
        <v>0.16</v>
      </c>
      <c r="L99">
        <v>16.239999999999998</v>
      </c>
      <c r="M99" s="1">
        <f>IF(ISNUMBER(Main_L[[#This Row],[EPS]]),IF(Main_L[[#This Row],[EPS]]&lt;&gt;0,Main_L[[#This Row],[Current Price]]/Main_L[[#This Row],[EPS]],""),"")</f>
        <v>60.000000000000007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1.2124158156340628</v>
      </c>
      <c r="P99" s="1">
        <f>(Main_L[[#This Row],[P/B]]-VLOOKUP(Main_L[[#This Row],[Industry]], Mean_PB_L, 2, FALSE))/(VLOOKUP(Main_L[[#This Row],[Industry]], Mean_PB_L, 3, FALSE))</f>
        <v>-0.93766717663493238</v>
      </c>
      <c r="Q99" s="1">
        <f>(Main_L[[#This Row],[ROE]]-VLOOKUP(Main_L[[#This Row],[Industry]], Mean_ROE_L, 2, FALSE))/(VLOOKUP(Main_L[[#This Row],[Industry]], Mean_ROE_L, 3, FALSE))</f>
        <v>-1.0485041017238077</v>
      </c>
      <c r="R99" s="1">
        <f>(Main_L[[#This Row],[ROA]]-VLOOKUP(Main_L[[#This Row],[Industry]], Mean_ROA_L, 2, FALSE))/(VLOOKUP(Main_L[[#This Row],[Industry]], Mean_ROA_L, 3, FALSE))</f>
        <v>-1.2856109231430999</v>
      </c>
      <c r="S99" s="1">
        <f>(Main_L[[#This Row],[A/E]]-VLOOKUP(Main_L[[#This Row],[Industry]], Mean_AE_L, 2, FALSE))/(VLOOKUP(Main_L[[#This Row],[Industry]], Mean_AE_L, 3, FALSE))</f>
        <v>6.0601017697806387</v>
      </c>
      <c r="T99" s="1">
        <f>(Main_L[[#This Row],[P/E]]-VLOOKUP(Main_L[[#This Row],[Industry]], Mean_PE_L, 2, FALSE))/(VLOOKUP(Main_L[[#This Row],[Industry]], Mean_PE_L, 3, FALSE))</f>
        <v>4.6221179023160381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0" spans="1:26" x14ac:dyDescent="0.25">
      <c r="A100" s="67" t="s">
        <v>166</v>
      </c>
      <c r="B100" s="67" t="s">
        <v>170</v>
      </c>
      <c r="C100" s="2">
        <v>14701</v>
      </c>
      <c r="D100">
        <f>RTD("tos.rtd", , "LAST", Main_L[[#This Row],[Symbol]])</f>
        <v>14.1</v>
      </c>
      <c r="E100">
        <v>-2.19</v>
      </c>
      <c r="F100">
        <v>6.05</v>
      </c>
      <c r="G100">
        <v>0.43</v>
      </c>
      <c r="H100" s="1">
        <f>IF(ISNUMBER(Main_L[[#This Row],[Free CF]]),IF(Main_L[[#This Row],[Free CF]]&lt;&gt;0,Main_L[[#This Row],[Current Price]]/Main_L[[#This Row],[Free CF]],""),"")</f>
        <v>-6.4383561643835616</v>
      </c>
      <c r="I100" s="1">
        <f>IF(ISNUMBER(Main_L[[#This Row],[BVPS]]),IF(Main_L[[#This Row],[BVPS]]&lt;&gt;0,Main_L[[#This Row],[Current Price]]/Main_L[[#This Row],[BVPS]],""),"")</f>
        <v>2.3305785123966944</v>
      </c>
      <c r="J100">
        <v>7.51</v>
      </c>
      <c r="K100">
        <v>1.4</v>
      </c>
      <c r="L100">
        <v>5.65</v>
      </c>
      <c r="M100" s="1">
        <f>IF(ISNUMBER(Main_L[[#This Row],[EPS]]),IF(Main_L[[#This Row],[EPS]]&lt;&gt;0,Main_L[[#This Row],[Current Price]]/Main_L[[#This Row],[EPS]],""),"")</f>
        <v>32.790697674418603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-1.5780810401188587</v>
      </c>
      <c r="P100" s="1">
        <f>(Main_L[[#This Row],[P/B]]-VLOOKUP(Main_L[[#This Row],[Industry]], Mean_PB_L, 2, FALSE))/(VLOOKUP(Main_L[[#This Row],[Industry]], Mean_PB_L, 3, FALSE))</f>
        <v>-0.28810718018665449</v>
      </c>
      <c r="Q100" s="1">
        <f>(Main_L[[#This Row],[ROE]]-VLOOKUP(Main_L[[#This Row],[Industry]], Mean_ROE_L, 2, FALSE))/(VLOOKUP(Main_L[[#This Row],[Industry]], Mean_ROE_L, 3, FALSE))</f>
        <v>-0.57924720493425008</v>
      </c>
      <c r="R100" s="1">
        <f>(Main_L[[#This Row],[ROA]]-VLOOKUP(Main_L[[#This Row],[Industry]], Mean_ROA_L, 2, FALSE))/(VLOOKUP(Main_L[[#This Row],[Industry]], Mean_ROA_L, 3, FALSE))</f>
        <v>-0.28046745233764986</v>
      </c>
      <c r="S100" s="1">
        <f>(Main_L[[#This Row],[A/E]]-VLOOKUP(Main_L[[#This Row],[Industry]], Mean_AE_L, 2, FALSE))/(VLOOKUP(Main_L[[#This Row],[Industry]], Mean_AE_L, 3, FALSE))</f>
        <v>-1.1168695724221083</v>
      </c>
      <c r="T100" s="1">
        <f>(Main_L[[#This Row],[P/E]]-VLOOKUP(Main_L[[#This Row],[Industry]], Mean_PE_L, 2, FALSE))/(VLOOKUP(Main_L[[#This Row],[Industry]], Mean_PE_L, 3, FALSE))</f>
        <v>1.6747128949895858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s="67" t="s">
        <v>150</v>
      </c>
      <c r="B101" s="67" t="s">
        <v>705</v>
      </c>
      <c r="C101" s="2">
        <v>60311</v>
      </c>
      <c r="D101">
        <f>RTD("tos.rtd", , "LAST", Main_L[[#This Row],[Symbol]])</f>
        <v>19.41</v>
      </c>
      <c r="E101">
        <v>53.31</v>
      </c>
      <c r="F101">
        <v>139.22999999999999</v>
      </c>
      <c r="G101">
        <v>30.65</v>
      </c>
      <c r="H101" s="1">
        <f>IF(ISNUMBER(Main_L[[#This Row],[Free CF]]),IF(Main_L[[#This Row],[Free CF]]&lt;&gt;0,Main_L[[#This Row],[Current Price]]/Main_L[[#This Row],[Free CF]],""),"")</f>
        <v>0.36409679234665165</v>
      </c>
      <c r="I101" s="1">
        <f>IF(ISNUMBER(Main_L[[#This Row],[BVPS]]),IF(Main_L[[#This Row],[BVPS]]&lt;&gt;0,Main_L[[#This Row],[Current Price]]/Main_L[[#This Row],[BVPS]],""),"")</f>
        <v>0.1394096099978453</v>
      </c>
      <c r="J101">
        <v>25.06</v>
      </c>
      <c r="K101">
        <v>5.36</v>
      </c>
      <c r="L101">
        <v>2.7</v>
      </c>
      <c r="M101" s="1">
        <f>IF(ISNUMBER(Main_L[[#This Row],[EPS]]),IF(Main_L[[#This Row],[EPS]]&lt;&gt;0,Main_L[[#This Row],[Current Price]]/Main_L[[#This Row],[EPS]],""),"")</f>
        <v>0.63327895595432304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01" s="1">
        <f>(Main_L[[#This Row],[P/FCF]]-VLOOKUP(Main_L[[#This Row],[Industry]], Mean_PFCF_L, 2, FALSE))/(VLOOKUP(Main_L[[#This Row],[Industry]], Mean_PFCF_L, 3, FALSE))</f>
        <v>-1.3930443171581885</v>
      </c>
      <c r="P101" s="1">
        <f>(Main_L[[#This Row],[P/B]]-VLOOKUP(Main_L[[#This Row],[Industry]], Mean_PB_L, 2, FALSE))/(VLOOKUP(Main_L[[#This Row],[Industry]], Mean_PB_L, 3, FALSE))</f>
        <v>-1.0573420633681234</v>
      </c>
      <c r="Q101" s="1">
        <f>(Main_L[[#This Row],[ROE]]-VLOOKUP(Main_L[[#This Row],[Industry]], Mean_ROE_L, 2, FALSE))/(VLOOKUP(Main_L[[#This Row],[Industry]], Mean_ROE_L, 3, FALSE))</f>
        <v>0.37581637905554366</v>
      </c>
      <c r="R101" s="1">
        <f>(Main_L[[#This Row],[ROA]]-VLOOKUP(Main_L[[#This Row],[Industry]], Mean_ROA_L, 2, FALSE))/(VLOOKUP(Main_L[[#This Row],[Industry]], Mean_ROA_L, 3, FALSE))</f>
        <v>1.28690258285648</v>
      </c>
      <c r="S101" s="1">
        <f>(Main_L[[#This Row],[A/E]]-VLOOKUP(Main_L[[#This Row],[Industry]], Mean_AE_L, 2, FALSE))/(VLOOKUP(Main_L[[#This Row],[Industry]], Mean_AE_L, 3, FALSE))</f>
        <v>-0.40082132138468479</v>
      </c>
      <c r="T101" s="1">
        <f>(Main_L[[#This Row],[P/E]]-VLOOKUP(Main_L[[#This Row],[Industry]], Mean_PE_L, 2, FALSE))/(VLOOKUP(Main_L[[#This Row],[Industry]], Mean_PE_L, 3, FALSE))</f>
        <v>-1.8826715264348908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2" spans="1:26" x14ac:dyDescent="0.25">
      <c r="A102" s="67" t="s">
        <v>150</v>
      </c>
      <c r="B102" s="67" t="s">
        <v>156</v>
      </c>
      <c r="C102" s="2">
        <v>22918</v>
      </c>
      <c r="D102">
        <f>RTD("tos.rtd", , "LAST", Main_L[[#This Row],[Symbol]])</f>
        <v>342.75</v>
      </c>
      <c r="E102">
        <v>19.12</v>
      </c>
      <c r="F102">
        <v>49.01</v>
      </c>
      <c r="G102">
        <v>14.26</v>
      </c>
      <c r="H102" s="1">
        <f>IF(ISNUMBER(Main_L[[#This Row],[Free CF]]),IF(Main_L[[#This Row],[Free CF]]&lt;&gt;0,Main_L[[#This Row],[Current Price]]/Main_L[[#This Row],[Free CF]],""),"")</f>
        <v>17.926255230125523</v>
      </c>
      <c r="I102" s="1">
        <f>IF(ISNUMBER(Main_L[[#This Row],[BVPS]]),IF(Main_L[[#This Row],[BVPS]]&lt;&gt;0,Main_L[[#This Row],[Current Price]]/Main_L[[#This Row],[BVPS]],""),"")</f>
        <v>6.9934707202611719</v>
      </c>
      <c r="J102">
        <v>30.04</v>
      </c>
      <c r="K102">
        <v>6.49</v>
      </c>
      <c r="L102">
        <v>5.37</v>
      </c>
      <c r="M102" s="1">
        <f>IF(ISNUMBER(Main_L[[#This Row],[EPS]]),IF(Main_L[[#This Row],[EPS]]&lt;&gt;0,Main_L[[#This Row],[Current Price]]/Main_L[[#This Row],[EPS]],""),"")</f>
        <v>24.035764375876578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-0.2898802990713879</v>
      </c>
      <c r="P102" s="1">
        <f>(Main_L[[#This Row],[P/B]]-VLOOKUP(Main_L[[#This Row],[Industry]], Mean_PB_L, 2, FALSE))/(VLOOKUP(Main_L[[#This Row],[Industry]], Mean_PB_L, 3, FALSE))</f>
        <v>0.10051432486960264</v>
      </c>
      <c r="Q102" s="1">
        <f>(Main_L[[#This Row],[ROE]]-VLOOKUP(Main_L[[#This Row],[Industry]], Mean_ROE_L, 2, FALSE))/(VLOOKUP(Main_L[[#This Row],[Industry]], Mean_ROE_L, 3, FALSE))</f>
        <v>0.71436978870105772</v>
      </c>
      <c r="R102" s="1">
        <f>(Main_L[[#This Row],[ROA]]-VLOOKUP(Main_L[[#This Row],[Industry]], Mean_ROA_L, 2, FALSE))/(VLOOKUP(Main_L[[#This Row],[Industry]], Mean_ROA_L, 3, FALSE))</f>
        <v>1.8395301306520693</v>
      </c>
      <c r="S102" s="1">
        <f>(Main_L[[#This Row],[A/E]]-VLOOKUP(Main_L[[#This Row],[Industry]], Mean_AE_L, 2, FALSE))/(VLOOKUP(Main_L[[#This Row],[Industry]], Mean_AE_L, 3, FALSE))</f>
        <v>0.43294055915841562</v>
      </c>
      <c r="T102" s="1">
        <f>(Main_L[[#This Row],[P/E]]-VLOOKUP(Main_L[[#This Row],[Industry]], Mean_PE_L, 2, FALSE))/(VLOOKUP(Main_L[[#This Row],[Industry]], Mean_PE_L, 3, FALSE))</f>
        <v>-1.6226682641966861E-2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s="67" t="s">
        <v>150</v>
      </c>
      <c r="B103" s="67" t="s">
        <v>161</v>
      </c>
      <c r="C103" s="2">
        <v>531773</v>
      </c>
      <c r="D103">
        <f>RTD("tos.rtd", , "LAST", Main_L[[#This Row],[Symbol]])</f>
        <v>584.33000000000004</v>
      </c>
      <c r="E103">
        <v>15.56</v>
      </c>
      <c r="F103">
        <v>7.33</v>
      </c>
      <c r="G103">
        <v>14.26</v>
      </c>
      <c r="H103" s="1">
        <f>IF(ISNUMBER(Main_L[[#This Row],[Free CF]]),IF(Main_L[[#This Row],[Free CF]]&lt;&gt;0,Main_L[[#This Row],[Current Price]]/Main_L[[#This Row],[Free CF]],""),"")</f>
        <v>37.553341902313626</v>
      </c>
      <c r="I103" s="1">
        <f>IF(ISNUMBER(Main_L[[#This Row],[BVPS]]),IF(Main_L[[#This Row],[BVPS]]&lt;&gt;0,Main_L[[#This Row],[Current Price]]/Main_L[[#This Row],[BVPS]],""),"")</f>
        <v>79.717598908594823</v>
      </c>
      <c r="J103">
        <v>187.7</v>
      </c>
      <c r="K103">
        <v>23.36</v>
      </c>
      <c r="L103">
        <v>7.27</v>
      </c>
      <c r="M103" s="1">
        <f>IF(ISNUMBER(Main_L[[#This Row],[EPS]]),IF(Main_L[[#This Row],[EPS]]&lt;&gt;0,Main_L[[#This Row],[Current Price]]/Main_L[[#This Row],[EPS]],""),"")</f>
        <v>40.976858345021043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0.94299183753639937</v>
      </c>
      <c r="P103" s="1">
        <f>(Main_L[[#This Row],[P/B]]-VLOOKUP(Main_L[[#This Row],[Industry]], Mean_PB_L, 2, FALSE))/(VLOOKUP(Main_L[[#This Row],[Industry]], Mean_PB_L, 3, FALSE))</f>
        <v>12.385799653854127</v>
      </c>
      <c r="Q103" s="1">
        <f>(Main_L[[#This Row],[ROE]]-VLOOKUP(Main_L[[#This Row],[Industry]], Mean_ROE_L, 2, FALSE))/(VLOOKUP(Main_L[[#This Row],[Industry]], Mean_ROE_L, 3, FALSE))</f>
        <v>11.432508456313858</v>
      </c>
      <c r="R103" s="1">
        <f>(Main_L[[#This Row],[ROA]]-VLOOKUP(Main_L[[#This Row],[Industry]], Mean_ROA_L, 2, FALSE))/(VLOOKUP(Main_L[[#This Row],[Industry]], Mean_ROA_L, 3, FALSE))</f>
        <v>10.08981927340569</v>
      </c>
      <c r="S103" s="1">
        <f>(Main_L[[#This Row],[A/E]]-VLOOKUP(Main_L[[#This Row],[Industry]], Mean_AE_L, 2, FALSE))/(VLOOKUP(Main_L[[#This Row],[Industry]], Mean_AE_L, 3, FALSE))</f>
        <v>1.0262542569231685</v>
      </c>
      <c r="T103" s="1">
        <f>(Main_L[[#This Row],[P/E]]-VLOOKUP(Main_L[[#This Row],[Industry]], Mean_PE_L, 2, FALSE))/(VLOOKUP(Main_L[[#This Row],[Industry]], Mean_PE_L, 3, FALSE))</f>
        <v>1.3348955131229192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s="67" t="s">
        <v>150</v>
      </c>
      <c r="B104" s="67" t="s">
        <v>159</v>
      </c>
      <c r="C104" s="2">
        <v>18440</v>
      </c>
      <c r="D104">
        <f>RTD("tos.rtd", , "LAST", Main_L[[#This Row],[Symbol]])</f>
        <v>78.95</v>
      </c>
      <c r="E104">
        <v>11.52</v>
      </c>
      <c r="F104">
        <v>90.68</v>
      </c>
      <c r="G104">
        <v>6.19</v>
      </c>
      <c r="H104" s="1">
        <f>IF(ISNUMBER(Main_L[[#This Row],[Free CF]]),IF(Main_L[[#This Row],[Free CF]]&lt;&gt;0,Main_L[[#This Row],[Current Price]]/Main_L[[#This Row],[Free CF]],""),"")</f>
        <v>6.8532986111111116</v>
      </c>
      <c r="I104" s="1">
        <f>IF(ISNUMBER(Main_L[[#This Row],[BVPS]]),IF(Main_L[[#This Row],[BVPS]]&lt;&gt;0,Main_L[[#This Row],[Current Price]]/Main_L[[#This Row],[BVPS]],""),"")</f>
        <v>0.87064402293780319</v>
      </c>
      <c r="J104">
        <v>7.1</v>
      </c>
      <c r="K104">
        <v>3.23</v>
      </c>
      <c r="L104">
        <v>2.14</v>
      </c>
      <c r="M104" s="1">
        <f>IF(ISNUMBER(Main_L[[#This Row],[EPS]]),IF(Main_L[[#This Row],[EPS]]&lt;&gt;0,Main_L[[#This Row],[Current Price]]/Main_L[[#This Row],[EPS]],""),"")</f>
        <v>12.754442649434571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-0.98542620017519722</v>
      </c>
      <c r="P104" s="1">
        <f>(Main_L[[#This Row],[P/B]]-VLOOKUP(Main_L[[#This Row],[Industry]], Mean_PB_L, 2, FALSE))/(VLOOKUP(Main_L[[#This Row],[Industry]], Mean_PB_L, 3, FALSE))</f>
        <v>-0.93381465053925461</v>
      </c>
      <c r="Q104" s="1">
        <f>(Main_L[[#This Row],[ROE]]-VLOOKUP(Main_L[[#This Row],[Industry]], Mean_ROE_L, 2, FALSE))/(VLOOKUP(Main_L[[#This Row],[Industry]], Mean_ROE_L, 3, FALSE))</f>
        <v>-0.84515133926442276</v>
      </c>
      <c r="R104" s="1">
        <f>(Main_L[[#This Row],[ROA]]-VLOOKUP(Main_L[[#This Row],[Industry]], Mean_ROA_L, 2, FALSE))/(VLOOKUP(Main_L[[#This Row],[Industry]], Mean_ROA_L, 3, FALSE))</f>
        <v>0.24522410780815654</v>
      </c>
      <c r="S104" s="1">
        <f>(Main_L[[#This Row],[A/E]]-VLOOKUP(Main_L[[#This Row],[Industry]], Mean_AE_L, 2, FALSE))/(VLOOKUP(Main_L[[#This Row],[Industry]], Mean_AE_L, 3, FALSE))</f>
        <v>-0.57569272704166463</v>
      </c>
      <c r="T104" s="1">
        <f>(Main_L[[#This Row],[P/E]]-VLOOKUP(Main_L[[#This Row],[Industry]], Mean_PE_L, 2, FALSE))/(VLOOKUP(Main_L[[#This Row],[Industry]], Mean_PE_L, 3, FALSE))</f>
        <v>-0.91595867220073746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s="67" t="s">
        <v>150</v>
      </c>
      <c r="B105" s="67" t="s">
        <v>164</v>
      </c>
      <c r="C105" s="2">
        <v>699585</v>
      </c>
      <c r="D105">
        <f>RTD("tos.rtd", , "LAST", Main_L[[#This Row],[Symbol]])</f>
        <v>366.66</v>
      </c>
      <c r="E105">
        <v>10.83</v>
      </c>
      <c r="F105">
        <v>19.8</v>
      </c>
      <c r="G105">
        <v>9.9600000000000009</v>
      </c>
      <c r="H105" s="1">
        <f>IF(ISNUMBER(Main_L[[#This Row],[Free CF]]),IF(Main_L[[#This Row],[Free CF]]&lt;&gt;0,Main_L[[#This Row],[Current Price]]/Main_L[[#This Row],[Free CF]],""),"")</f>
        <v>33.855955678670362</v>
      </c>
      <c r="I105" s="1">
        <f>IF(ISNUMBER(Main_L[[#This Row],[BVPS]]),IF(Main_L[[#This Row],[BVPS]]&lt;&gt;0,Main_L[[#This Row],[Current Price]]/Main_L[[#This Row],[BVPS]],""),"")</f>
        <v>18.518181818181819</v>
      </c>
      <c r="J105">
        <v>50.66</v>
      </c>
      <c r="K105">
        <v>16.940000000000001</v>
      </c>
      <c r="L105">
        <v>2.5</v>
      </c>
      <c r="M105" s="1">
        <f>IF(ISNUMBER(Main_L[[#This Row],[EPS]]),IF(Main_L[[#This Row],[EPS]]&lt;&gt;0,Main_L[[#This Row],[Current Price]]/Main_L[[#This Row],[EPS]],""),"")</f>
        <v>36.813253012048193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0.71074114595176385</v>
      </c>
      <c r="P105" s="1">
        <f>(Main_L[[#This Row],[P/B]]-VLOOKUP(Main_L[[#This Row],[Industry]], Mean_PB_L, 2, FALSE))/(VLOOKUP(Main_L[[#This Row],[Industry]], Mean_PB_L, 3, FALSE))</f>
        <v>2.047383509817529</v>
      </c>
      <c r="Q105" s="1">
        <f>(Main_L[[#This Row],[ROE]]-VLOOKUP(Main_L[[#This Row],[Industry]], Mean_ROE_L, 2, FALSE))/(VLOOKUP(Main_L[[#This Row],[Industry]], Mean_ROE_L, 3, FALSE))</f>
        <v>2.1161712559481463</v>
      </c>
      <c r="R105" s="1">
        <f>(Main_L[[#This Row],[ROA]]-VLOOKUP(Main_L[[#This Row],[Industry]], Mean_ROA_L, 2, FALSE))/(VLOOKUP(Main_L[[#This Row],[Industry]], Mean_ROA_L, 3, FALSE))</f>
        <v>6.9501123204431394</v>
      </c>
      <c r="S105" s="1">
        <f>(Main_L[[#This Row],[A/E]]-VLOOKUP(Main_L[[#This Row],[Industry]], Mean_AE_L, 2, FALSE))/(VLOOKUP(Main_L[[#This Row],[Industry]], Mean_AE_L, 3, FALSE))</f>
        <v>-0.46327539483360619</v>
      </c>
      <c r="T105" s="1">
        <f>(Main_L[[#This Row],[P/E]]-VLOOKUP(Main_L[[#This Row],[Industry]], Mean_PE_L, 2, FALSE))/(VLOOKUP(Main_L[[#This Row],[Industry]], Mean_PE_L, 3, FALSE))</f>
        <v>1.0028307958130038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6" spans="1:26" x14ac:dyDescent="0.25">
      <c r="A106" s="67" t="s">
        <v>150</v>
      </c>
      <c r="B106" s="67" t="s">
        <v>157</v>
      </c>
      <c r="C106" s="2">
        <v>90256</v>
      </c>
      <c r="D106">
        <f>RTD("tos.rtd", , "LAST", Main_L[[#This Row],[Symbol]])</f>
        <v>166.94</v>
      </c>
      <c r="E106">
        <v>8.69</v>
      </c>
      <c r="F106">
        <v>46.55</v>
      </c>
      <c r="G106">
        <v>5.65</v>
      </c>
      <c r="H106" s="1">
        <f>IF(ISNUMBER(Main_L[[#This Row],[Free CF]]),IF(Main_L[[#This Row],[Free CF]]&lt;&gt;0,Main_L[[#This Row],[Current Price]]/Main_L[[#This Row],[Free CF]],""),"")</f>
        <v>19.21058688147296</v>
      </c>
      <c r="I106" s="1">
        <f>IF(ISNUMBER(Main_L[[#This Row],[BVPS]]),IF(Main_L[[#This Row],[BVPS]]&lt;&gt;0,Main_L[[#This Row],[Current Price]]/Main_L[[#This Row],[BVPS]],""),"")</f>
        <v>3.5862513426423202</v>
      </c>
      <c r="J106">
        <v>11.68</v>
      </c>
      <c r="K106">
        <v>4.3899999999999997</v>
      </c>
      <c r="L106">
        <v>3.11</v>
      </c>
      <c r="M106" s="1">
        <f>IF(ISNUMBER(Main_L[[#This Row],[EPS]]),IF(Main_L[[#This Row],[EPS]]&lt;&gt;0,Main_L[[#This Row],[Current Price]]/Main_L[[#This Row],[EPS]],""),"")</f>
        <v>29.546902654867253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-0.20920522316450621</v>
      </c>
      <c r="P106" s="1">
        <f>(Main_L[[#This Row],[P/B]]-VLOOKUP(Main_L[[#This Row],[Industry]], Mean_PB_L, 2, FALSE))/(VLOOKUP(Main_L[[#This Row],[Industry]], Mean_PB_L, 3, FALSE))</f>
        <v>-0.4750671674803818</v>
      </c>
      <c r="Q106" s="1">
        <f>(Main_L[[#This Row],[ROE]]-VLOOKUP(Main_L[[#This Row],[Industry]], Mean_ROE_L, 2, FALSE))/(VLOOKUP(Main_L[[#This Row],[Industry]], Mean_ROE_L, 3, FALSE))</f>
        <v>-0.53379097457035563</v>
      </c>
      <c r="R106" s="1">
        <f>(Main_L[[#This Row],[ROA]]-VLOOKUP(Main_L[[#This Row],[Industry]], Mean_ROA_L, 2, FALSE))/(VLOOKUP(Main_L[[#This Row],[Industry]], Mean_ROA_L, 3, FALSE))</f>
        <v>0.81252318342132768</v>
      </c>
      <c r="S106" s="1">
        <f>(Main_L[[#This Row],[A/E]]-VLOOKUP(Main_L[[#This Row],[Industry]], Mean_AE_L, 2, FALSE))/(VLOOKUP(Main_L[[#This Row],[Industry]], Mean_AE_L, 3, FALSE))</f>
        <v>-0.27279047081439606</v>
      </c>
      <c r="T106" s="1">
        <f>(Main_L[[#This Row],[P/E]]-VLOOKUP(Main_L[[#This Row],[Industry]], Mean_PE_L, 2, FALSE))/(VLOOKUP(Main_L[[#This Row],[Industry]], Mean_PE_L, 3, FALSE))</f>
        <v>0.42330935123140134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s="67" t="s">
        <v>150</v>
      </c>
      <c r="B107" s="67" t="s">
        <v>151</v>
      </c>
      <c r="C107" s="2">
        <v>74689</v>
      </c>
      <c r="D107">
        <f>RTD("tos.rtd", , "LAST", Main_L[[#This Row],[Symbol]])</f>
        <v>133.51</v>
      </c>
      <c r="E107">
        <v>6.99</v>
      </c>
      <c r="F107">
        <v>29.06</v>
      </c>
      <c r="G107">
        <v>5.73</v>
      </c>
      <c r="H107" s="1">
        <f>IF(ISNUMBER(Main_L[[#This Row],[Free CF]]),IF(Main_L[[#This Row],[Free CF]]&lt;&gt;0,Main_L[[#This Row],[Current Price]]/Main_L[[#This Row],[Free CF]],""),"")</f>
        <v>19.100143061516452</v>
      </c>
      <c r="I107" s="1">
        <f>IF(ISNUMBER(Main_L[[#This Row],[BVPS]]),IF(Main_L[[#This Row],[BVPS]]&lt;&gt;0,Main_L[[#This Row],[Current Price]]/Main_L[[#This Row],[BVPS]],""),"")</f>
        <v>4.5942876806607016</v>
      </c>
      <c r="J107">
        <v>18.690000000000001</v>
      </c>
      <c r="K107">
        <v>1.52</v>
      </c>
      <c r="L107">
        <v>23.83</v>
      </c>
      <c r="M107" s="1">
        <f>IF(ISNUMBER(Main_L[[#This Row],[EPS]]),IF(Main_L[[#This Row],[EPS]]&lt;&gt;0,Main_L[[#This Row],[Current Price]]/Main_L[[#This Row],[EPS]],""),"")</f>
        <v>23.300174520069806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-0.21614273307410739</v>
      </c>
      <c r="P107" s="1">
        <f>(Main_L[[#This Row],[P/B]]-VLOOKUP(Main_L[[#This Row],[Industry]], Mean_PB_L, 2, FALSE))/(VLOOKUP(Main_L[[#This Row],[Industry]], Mean_PB_L, 3, FALSE))</f>
        <v>-0.30477961171251305</v>
      </c>
      <c r="Q107" s="1">
        <f>(Main_L[[#This Row],[ROE]]-VLOOKUP(Main_L[[#This Row],[Industry]], Mean_ROE_L, 2, FALSE))/(VLOOKUP(Main_L[[#This Row],[Industry]], Mean_ROE_L, 3, FALSE))</f>
        <v>-5.7232861796248306E-2</v>
      </c>
      <c r="R107" s="1">
        <f>(Main_L[[#This Row],[ROA]]-VLOOKUP(Main_L[[#This Row],[Industry]], Mean_ROA_L, 2, FALSE))/(VLOOKUP(Main_L[[#This Row],[Industry]], Mean_ROA_L, 3, FALSE))</f>
        <v>-0.59105297779401844</v>
      </c>
      <c r="S107" s="1">
        <f>(Main_L[[#This Row],[A/E]]-VLOOKUP(Main_L[[#This Row],[Industry]], Mean_AE_L, 2, FALSE))/(VLOOKUP(Main_L[[#This Row],[Industry]], Mean_AE_L, 3, FALSE))</f>
        <v>6.1974515384938575</v>
      </c>
      <c r="T107" s="1">
        <f>(Main_L[[#This Row],[P/E]]-VLOOKUP(Main_L[[#This Row],[Industry]], Mean_PE_L, 2, FALSE))/(VLOOKUP(Main_L[[#This Row],[Industry]], Mean_PE_L, 3, FALSE))</f>
        <v>-7.4893010977681349E-2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s="67" t="s">
        <v>150</v>
      </c>
      <c r="B108" s="67" t="s">
        <v>153</v>
      </c>
      <c r="C108" s="2">
        <v>16067</v>
      </c>
      <c r="D108">
        <f>RTD("tos.rtd", , "LAST", Main_L[[#This Row],[Symbol]])</f>
        <v>54.58</v>
      </c>
      <c r="E108">
        <v>6.19</v>
      </c>
      <c r="F108">
        <v>2.92</v>
      </c>
      <c r="G108">
        <v>3.76</v>
      </c>
      <c r="H108" s="1">
        <f>IF(ISNUMBER(Main_L[[#This Row],[Free CF]]),IF(Main_L[[#This Row],[Free CF]]&lt;&gt;0,Main_L[[#This Row],[Current Price]]/Main_L[[#This Row],[Free CF]],""),"")</f>
        <v>8.8174474959612272</v>
      </c>
      <c r="I108" s="1">
        <f>IF(ISNUMBER(Main_L[[#This Row],[BVPS]]),IF(Main_L[[#This Row],[BVPS]]&lt;&gt;0,Main_L[[#This Row],[Current Price]]/Main_L[[#This Row],[BVPS]],""),"")</f>
        <v>18.691780821917806</v>
      </c>
      <c r="J108">
        <v>38.479999999999997</v>
      </c>
      <c r="K108">
        <v>0.56999999999999995</v>
      </c>
      <c r="L108">
        <v>321.44</v>
      </c>
      <c r="M108" s="1">
        <f>IF(ISNUMBER(Main_L[[#This Row],[EPS]]),IF(Main_L[[#This Row],[EPS]]&lt;&gt;0,Main_L[[#This Row],[Current Price]]/Main_L[[#This Row],[EPS]],""),"")</f>
        <v>14.51595744680851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-0.86204851948699124</v>
      </c>
      <c r="P108" s="1">
        <f>(Main_L[[#This Row],[P/B]]-VLOOKUP(Main_L[[#This Row],[Industry]], Mean_PB_L, 2, FALSE))/(VLOOKUP(Main_L[[#This Row],[Industry]], Mean_PB_L, 3, FALSE))</f>
        <v>2.0767095855898083</v>
      </c>
      <c r="Q108" s="1">
        <f>(Main_L[[#This Row],[ROE]]-VLOOKUP(Main_L[[#This Row],[Industry]], Mean_ROE_L, 2, FALSE))/(VLOOKUP(Main_L[[#This Row],[Industry]], Mean_ROE_L, 3, FALSE))</f>
        <v>1.2881430371765874</v>
      </c>
      <c r="R108" s="1">
        <f>(Main_L[[#This Row],[ROA]]-VLOOKUP(Main_L[[#This Row],[Industry]], Mean_ROA_L, 2, FALSE))/(VLOOKUP(Main_L[[#This Row],[Industry]], Mean_ROA_L, 3, FALSE))</f>
        <v>-1.0556513586841156</v>
      </c>
      <c r="S108" s="1">
        <f>(Main_L[[#This Row],[A/E]]-VLOOKUP(Main_L[[#This Row],[Industry]], Mean_AE_L, 2, FALSE))/(VLOOKUP(Main_L[[#This Row],[Industry]], Mean_AE_L, 3, FALSE))</f>
        <v>99.13223553416131</v>
      </c>
      <c r="T108" s="1">
        <f>(Main_L[[#This Row],[P/E]]-VLOOKUP(Main_L[[#This Row],[Industry]], Mean_PE_L, 2, FALSE))/(VLOOKUP(Main_L[[#This Row],[Industry]], Mean_PE_L, 3, FALSE))</f>
        <v>-0.77547059361295267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9" spans="1:26" x14ac:dyDescent="0.25">
      <c r="A109" s="67" t="s">
        <v>150</v>
      </c>
      <c r="B109" s="67" t="s">
        <v>162</v>
      </c>
      <c r="C109" s="2">
        <v>68350</v>
      </c>
      <c r="D109">
        <f>RTD("tos.rtd", , "LAST", Main_L[[#This Row],[Symbol]])</f>
        <v>73.55</v>
      </c>
      <c r="E109">
        <v>5.91</v>
      </c>
      <c r="F109">
        <v>20.69</v>
      </c>
      <c r="G109">
        <v>4.45</v>
      </c>
      <c r="H109" s="1">
        <f>IF(ISNUMBER(Main_L[[#This Row],[Free CF]]),IF(Main_L[[#This Row],[Free CF]]&lt;&gt;0,Main_L[[#This Row],[Current Price]]/Main_L[[#This Row],[Free CF]],""),"")</f>
        <v>12.445008460236886</v>
      </c>
      <c r="I109" s="1">
        <f>IF(ISNUMBER(Main_L[[#This Row],[BVPS]]),IF(Main_L[[#This Row],[BVPS]]&lt;&gt;0,Main_L[[#This Row],[Current Price]]/Main_L[[#This Row],[BVPS]],""),"")</f>
        <v>3.5548574190430156</v>
      </c>
      <c r="J109">
        <v>22.2</v>
      </c>
      <c r="K109">
        <v>4.45</v>
      </c>
      <c r="L109">
        <v>4.01</v>
      </c>
      <c r="M109" s="1">
        <f>IF(ISNUMBER(Main_L[[#This Row],[EPS]]),IF(Main_L[[#This Row],[EPS]]&lt;&gt;0,Main_L[[#This Row],[Current Price]]/Main_L[[#This Row],[EPS]],""),"")</f>
        <v>16.528089887640448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-0.63418388978426088</v>
      </c>
      <c r="P109" s="1">
        <f>(Main_L[[#This Row],[P/B]]-VLOOKUP(Main_L[[#This Row],[Industry]], Mean_PB_L, 2, FALSE))/(VLOOKUP(Main_L[[#This Row],[Industry]], Mean_PB_L, 3, FALSE))</f>
        <v>-0.48037054228351445</v>
      </c>
      <c r="Q109" s="1">
        <f>(Main_L[[#This Row],[ROE]]-VLOOKUP(Main_L[[#This Row],[Industry]], Mean_ROE_L, 2, FALSE))/(VLOOKUP(Main_L[[#This Row],[Industry]], Mean_ROE_L, 3, FALSE))</f>
        <v>0.18138610765269825</v>
      </c>
      <c r="R109" s="1">
        <f>(Main_L[[#This Row],[ROA]]-VLOOKUP(Main_L[[#This Row],[Industry]], Mean_ROA_L, 2, FALSE))/(VLOOKUP(Main_L[[#This Row],[Industry]], Mean_ROA_L, 3, FALSE))</f>
        <v>0.84186623905649194</v>
      </c>
      <c r="S109" s="1">
        <f>(Main_L[[#This Row],[A/E]]-VLOOKUP(Main_L[[#This Row],[Industry]], Mean_AE_L, 2, FALSE))/(VLOOKUP(Main_L[[#This Row],[Industry]], Mean_AE_L, 3, FALSE))</f>
        <v>8.2528597057501298E-3</v>
      </c>
      <c r="T109" s="1">
        <f>(Main_L[[#This Row],[P/E]]-VLOOKUP(Main_L[[#This Row],[Industry]], Mean_PE_L, 2, FALSE))/(VLOOKUP(Main_L[[#This Row],[Industry]], Mean_PE_L, 3, FALSE))</f>
        <v>-0.61499472313031578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0" spans="1:26" x14ac:dyDescent="0.25">
      <c r="A110" s="67" t="s">
        <v>150</v>
      </c>
      <c r="B110" s="67" t="s">
        <v>708</v>
      </c>
      <c r="C110" s="2">
        <v>15441</v>
      </c>
      <c r="D110">
        <f>RTD("tos.rtd", , "LAST", Main_L[[#This Row],[Symbol]])</f>
        <v>15.32</v>
      </c>
      <c r="E110">
        <v>4.43</v>
      </c>
      <c r="F110">
        <v>1.54</v>
      </c>
      <c r="G110">
        <v>0.55000000000000004</v>
      </c>
      <c r="H110" s="1">
        <f>IF(ISNUMBER(Main_L[[#This Row],[Free CF]]),IF(Main_L[[#This Row],[Free CF]]&lt;&gt;0,Main_L[[#This Row],[Current Price]]/Main_L[[#This Row],[Free CF]],""),"")</f>
        <v>3.4582392776523703</v>
      </c>
      <c r="I110" s="1">
        <f>IF(ISNUMBER(Main_L[[#This Row],[BVPS]]),IF(Main_L[[#This Row],[BVPS]]&lt;&gt;0,Main_L[[#This Row],[Current Price]]/Main_L[[#This Row],[BVPS]],""),"")</f>
        <v>9.9480519480519476</v>
      </c>
      <c r="J110">
        <v>45.06</v>
      </c>
      <c r="K110">
        <v>2.35</v>
      </c>
      <c r="L110">
        <v>14.07</v>
      </c>
      <c r="M110" s="1">
        <f>IF(ISNUMBER(Main_L[[#This Row],[EPS]]),IF(Main_L[[#This Row],[EPS]]&lt;&gt;0,Main_L[[#This Row],[Current Price]]/Main_L[[#This Row],[EPS]],""),"")</f>
        <v>27.854545454545452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-1.1986862791803332</v>
      </c>
      <c r="P110" s="1">
        <f>(Main_L[[#This Row],[P/B]]-VLOOKUP(Main_L[[#This Row],[Industry]], Mean_PB_L, 2, FALSE))/(VLOOKUP(Main_L[[#This Row],[Industry]], Mean_PB_L, 3, FALSE))</f>
        <v>0.59963166481310126</v>
      </c>
      <c r="Q110" s="1">
        <f>(Main_L[[#This Row],[ROE]]-VLOOKUP(Main_L[[#This Row],[Industry]], Mean_ROE_L, 2, FALSE))/(VLOOKUP(Main_L[[#This Row],[Industry]], Mean_ROE_L, 3, FALSE))</f>
        <v>1.7354686266278896</v>
      </c>
      <c r="R110" s="1">
        <f>(Main_L[[#This Row],[ROA]]-VLOOKUP(Main_L[[#This Row],[Industry]], Mean_ROA_L, 2, FALSE))/(VLOOKUP(Main_L[[#This Row],[Industry]], Mean_ROA_L, 3, FALSE))</f>
        <v>-0.18514070817424927</v>
      </c>
      <c r="S110" s="1">
        <f>(Main_L[[#This Row],[A/E]]-VLOOKUP(Main_L[[#This Row],[Industry]], Mean_AE_L, 2, FALSE))/(VLOOKUP(Main_L[[#This Row],[Industry]], Mean_AE_L, 3, FALSE))</f>
        <v>3.1496927541864959</v>
      </c>
      <c r="T110" s="1">
        <f>(Main_L[[#This Row],[P/E]]-VLOOKUP(Main_L[[#This Row],[Industry]], Mean_PE_L, 2, FALSE))/(VLOOKUP(Main_L[[#This Row],[Industry]], Mean_PE_L, 3, FALSE))</f>
        <v>0.28833687656819751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s="67" t="s">
        <v>150</v>
      </c>
      <c r="B111" s="67" t="s">
        <v>160</v>
      </c>
      <c r="C111" s="2">
        <v>13192</v>
      </c>
      <c r="D111">
        <f>RTD("tos.rtd", , "LAST", Main_L[[#This Row],[Symbol]])</f>
        <v>179.96</v>
      </c>
      <c r="E111">
        <v>4.1500000000000004</v>
      </c>
      <c r="F111">
        <v>27.97</v>
      </c>
      <c r="G111">
        <v>5.87</v>
      </c>
      <c r="H111" s="1">
        <f>IF(ISNUMBER(Main_L[[#This Row],[Free CF]]),IF(Main_L[[#This Row],[Free CF]]&lt;&gt;0,Main_L[[#This Row],[Current Price]]/Main_L[[#This Row],[Free CF]],""),"")</f>
        <v>43.363855421686743</v>
      </c>
      <c r="I111" s="1">
        <f>IF(ISNUMBER(Main_L[[#This Row],[BVPS]]),IF(Main_L[[#This Row],[BVPS]]&lt;&gt;0,Main_L[[#This Row],[Current Price]]/Main_L[[#This Row],[BVPS]],""),"")</f>
        <v>6.4340364676439048</v>
      </c>
      <c r="J111">
        <v>22.49</v>
      </c>
      <c r="K111">
        <v>11.81</v>
      </c>
      <c r="L111">
        <v>1.44</v>
      </c>
      <c r="M111" s="1">
        <f>IF(ISNUMBER(Main_L[[#This Row],[EPS]]),IF(Main_L[[#This Row],[EPS]]&lt;&gt;0,Main_L[[#This Row],[Current Price]]/Main_L[[#This Row],[EPS]],""),"")</f>
        <v>30.657580919931856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1.3079782635437258</v>
      </c>
      <c r="P111" s="1">
        <f>(Main_L[[#This Row],[P/B]]-VLOOKUP(Main_L[[#This Row],[Industry]], Mean_PB_L, 2, FALSE))/(VLOOKUP(Main_L[[#This Row],[Industry]], Mean_PB_L, 3, FALSE))</f>
        <v>6.009109235916116E-3</v>
      </c>
      <c r="Q111" s="1">
        <f>(Main_L[[#This Row],[ROE]]-VLOOKUP(Main_L[[#This Row],[Industry]], Mean_ROE_L, 2, FALSE))/(VLOOKUP(Main_L[[#This Row],[Industry]], Mean_ROE_L, 3, FALSE))</f>
        <v>0.20110106524249718</v>
      </c>
      <c r="R111" s="1">
        <f>(Main_L[[#This Row],[ROA]]-VLOOKUP(Main_L[[#This Row],[Industry]], Mean_ROA_L, 2, FALSE))/(VLOOKUP(Main_L[[#This Row],[Industry]], Mean_ROA_L, 3, FALSE))</f>
        <v>4.4412810636366133</v>
      </c>
      <c r="S111" s="1">
        <f>(Main_L[[#This Row],[A/E]]-VLOOKUP(Main_L[[#This Row],[Industry]], Mean_AE_L, 2, FALSE))/(VLOOKUP(Main_L[[#This Row],[Industry]], Mean_AE_L, 3, FALSE))</f>
        <v>-0.79428198411288953</v>
      </c>
      <c r="T111" s="1">
        <f>(Main_L[[#This Row],[P/E]]-VLOOKUP(Main_L[[#This Row],[Industry]], Mean_PE_L, 2, FALSE))/(VLOOKUP(Main_L[[#This Row],[Industry]], Mean_PE_L, 3, FALSE))</f>
        <v>0.51189052898861354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s="67" t="s">
        <v>150</v>
      </c>
      <c r="B112" s="67" t="s">
        <v>158</v>
      </c>
      <c r="C112" s="2">
        <v>41827</v>
      </c>
      <c r="D112">
        <f>RTD("tos.rtd", , "LAST", Main_L[[#This Row],[Symbol]])</f>
        <v>81.69</v>
      </c>
      <c r="E112">
        <v>3.73</v>
      </c>
      <c r="F112">
        <v>28.64</v>
      </c>
      <c r="G112">
        <v>1.6</v>
      </c>
      <c r="H112" s="1">
        <f>IF(ISNUMBER(Main_L[[#This Row],[Free CF]]),IF(Main_L[[#This Row],[Free CF]]&lt;&gt;0,Main_L[[#This Row],[Current Price]]/Main_L[[#This Row],[Free CF]],""),"")</f>
        <v>21.900804289544237</v>
      </c>
      <c r="I112" s="1">
        <f>IF(ISNUMBER(Main_L[[#This Row],[BVPS]]),IF(Main_L[[#This Row],[BVPS]]&lt;&gt;0,Main_L[[#This Row],[Current Price]]/Main_L[[#This Row],[BVPS]],""),"")</f>
        <v>2.8523044692737427</v>
      </c>
      <c r="J112">
        <v>5.25</v>
      </c>
      <c r="K112">
        <v>3.44</v>
      </c>
      <c r="L112">
        <v>2.1800000000000002</v>
      </c>
      <c r="M112" s="1">
        <f>IF(ISNUMBER(Main_L[[#This Row],[EPS]]),IF(Main_L[[#This Row],[EPS]]&lt;&gt;0,Main_L[[#This Row],[Current Price]]/Main_L[[#This Row],[EPS]],""),"")</f>
        <v>51.056249999999999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-4.0219670737710878E-2</v>
      </c>
      <c r="P112" s="1">
        <f>(Main_L[[#This Row],[P/B]]-VLOOKUP(Main_L[[#This Row],[Industry]], Mean_PB_L, 2, FALSE))/(VLOOKUP(Main_L[[#This Row],[Industry]], Mean_PB_L, 3, FALSE))</f>
        <v>-0.59905279618806984</v>
      </c>
      <c r="Q112" s="1">
        <f>(Main_L[[#This Row],[ROE]]-VLOOKUP(Main_L[[#This Row],[Industry]], Mean_ROE_L, 2, FALSE))/(VLOOKUP(Main_L[[#This Row],[Industry]], Mean_ROE_L, 3, FALSE))</f>
        <v>-0.97091917216486467</v>
      </c>
      <c r="R112" s="1">
        <f>(Main_L[[#This Row],[ROA]]-VLOOKUP(Main_L[[#This Row],[Industry]], Mean_ROA_L, 2, FALSE))/(VLOOKUP(Main_L[[#This Row],[Industry]], Mean_ROA_L, 3, FALSE))</f>
        <v>0.34792480253123065</v>
      </c>
      <c r="S112" s="1">
        <f>(Main_L[[#This Row],[A/E]]-VLOOKUP(Main_L[[#This Row],[Industry]], Mean_AE_L, 2, FALSE))/(VLOOKUP(Main_L[[#This Row],[Industry]], Mean_AE_L, 3, FALSE))</f>
        <v>-0.56320191235188033</v>
      </c>
      <c r="T112" s="1">
        <f>(Main_L[[#This Row],[P/E]]-VLOOKUP(Main_L[[#This Row],[Industry]], Mean_PE_L, 2, FALSE))/(VLOOKUP(Main_L[[#This Row],[Industry]], Mean_PE_L, 3, FALSE))</f>
        <v>2.1387686165749966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3" spans="1:26" x14ac:dyDescent="0.25">
      <c r="A113" s="67" t="s">
        <v>150</v>
      </c>
      <c r="B113" s="67" t="s">
        <v>152</v>
      </c>
      <c r="C113" s="2">
        <v>17926</v>
      </c>
      <c r="D113">
        <f>RTD("tos.rtd", , "LAST", Main_L[[#This Row],[Symbol]])</f>
        <v>33.26</v>
      </c>
      <c r="E113">
        <v>3.6</v>
      </c>
      <c r="F113">
        <v>21.66</v>
      </c>
      <c r="G113">
        <v>1.17</v>
      </c>
      <c r="H113" s="1">
        <f>IF(ISNUMBER(Main_L[[#This Row],[Free CF]]),IF(Main_L[[#This Row],[Free CF]]&lt;&gt;0,Main_L[[#This Row],[Current Price]]/Main_L[[#This Row],[Free CF]],""),"")</f>
        <v>9.2388888888888889</v>
      </c>
      <c r="I113" s="1">
        <f>IF(ISNUMBER(Main_L[[#This Row],[BVPS]]),IF(Main_L[[#This Row],[BVPS]]&lt;&gt;0,Main_L[[#This Row],[Current Price]]/Main_L[[#This Row],[BVPS]],""),"")</f>
        <v>1.5355493998153278</v>
      </c>
      <c r="J113">
        <v>5.7</v>
      </c>
      <c r="K113">
        <v>0.28999999999999998</v>
      </c>
      <c r="L113">
        <v>32.56</v>
      </c>
      <c r="M113" s="1">
        <f>IF(ISNUMBER(Main_L[[#This Row],[EPS]]),IF(Main_L[[#This Row],[EPS]]&lt;&gt;0,Main_L[[#This Row],[Current Price]]/Main_L[[#This Row],[EPS]],""),"")</f>
        <v>28.427350427350426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-0.83557574952210667</v>
      </c>
      <c r="P113" s="1">
        <f>(Main_L[[#This Row],[P/B]]-VLOOKUP(Main_L[[#This Row],[Industry]], Mean_PB_L, 2, FALSE))/(VLOOKUP(Main_L[[#This Row],[Industry]], Mean_PB_L, 3, FALSE))</f>
        <v>-0.82149220027127356</v>
      </c>
      <c r="Q113" s="1">
        <f>(Main_L[[#This Row],[ROE]]-VLOOKUP(Main_L[[#This Row],[Industry]], Mean_ROE_L, 2, FALSE))/(VLOOKUP(Main_L[[#This Row],[Industry]], Mean_ROE_L, 3, FALSE))</f>
        <v>-0.94032699659448704</v>
      </c>
      <c r="R113" s="1">
        <f>(Main_L[[#This Row],[ROA]]-VLOOKUP(Main_L[[#This Row],[Industry]], Mean_ROA_L, 2, FALSE))/(VLOOKUP(Main_L[[#This Row],[Industry]], Mean_ROA_L, 3, FALSE))</f>
        <v>-1.1925856183148811</v>
      </c>
      <c r="S113" s="1">
        <f>(Main_L[[#This Row],[A/E]]-VLOOKUP(Main_L[[#This Row],[Industry]], Mean_AE_L, 2, FALSE))/(VLOOKUP(Main_L[[#This Row],[Industry]], Mean_AE_L, 3, FALSE))</f>
        <v>8.9235718445392767</v>
      </c>
      <c r="T113" s="1">
        <f>(Main_L[[#This Row],[P/E]]-VLOOKUP(Main_L[[#This Row],[Industry]], Mean_PE_L, 2, FALSE))/(VLOOKUP(Main_L[[#This Row],[Industry]], Mean_PE_L, 3, FALSE))</f>
        <v>0.33402043832701267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s="67" t="s">
        <v>150</v>
      </c>
      <c r="B114" s="67" t="s">
        <v>165</v>
      </c>
      <c r="C114" s="2">
        <v>37977</v>
      </c>
      <c r="D114">
        <f>RTD("tos.rtd", , "LAST", Main_L[[#This Row],[Symbol]])</f>
        <v>65.84</v>
      </c>
      <c r="E114">
        <v>1.94</v>
      </c>
      <c r="F114">
        <v>34.799999999999997</v>
      </c>
      <c r="G114">
        <v>4.12</v>
      </c>
      <c r="H114" s="1">
        <f>IF(ISNUMBER(Main_L[[#This Row],[Free CF]]),IF(Main_L[[#This Row],[Free CF]]&lt;&gt;0,Main_L[[#This Row],[Current Price]]/Main_L[[#This Row],[Free CF]],""),"")</f>
        <v>33.938144329896907</v>
      </c>
      <c r="I114" s="1">
        <f>IF(ISNUMBER(Main_L[[#This Row],[BVPS]]),IF(Main_L[[#This Row],[BVPS]]&lt;&gt;0,Main_L[[#This Row],[Current Price]]/Main_L[[#This Row],[BVPS]],""),"")</f>
        <v>1.8919540229885059</v>
      </c>
      <c r="J114">
        <v>12.79</v>
      </c>
      <c r="K114">
        <v>1.93</v>
      </c>
      <c r="L114">
        <v>1.7</v>
      </c>
      <c r="M114" s="1">
        <f>IF(ISNUMBER(Main_L[[#This Row],[EPS]]),IF(Main_L[[#This Row],[EPS]]&lt;&gt;0,Main_L[[#This Row],[Current Price]]/Main_L[[#This Row],[EPS]],""),"")</f>
        <v>15.980582524271846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0.71590381220656607</v>
      </c>
      <c r="P114" s="1">
        <f>(Main_L[[#This Row],[P/B]]-VLOOKUP(Main_L[[#This Row],[Industry]], Mean_PB_L, 2, FALSE))/(VLOOKUP(Main_L[[#This Row],[Industry]], Mean_PB_L, 3, FALSE))</f>
        <v>-0.76128477534467143</v>
      </c>
      <c r="Q114" s="1">
        <f>(Main_L[[#This Row],[ROE]]-VLOOKUP(Main_L[[#This Row],[Industry]], Mean_ROE_L, 2, FALSE))/(VLOOKUP(Main_L[[#This Row],[Industry]], Mean_ROE_L, 3, FALSE))</f>
        <v>-0.45833027483009042</v>
      </c>
      <c r="R114" s="1">
        <f>(Main_L[[#This Row],[ROA]]-VLOOKUP(Main_L[[#This Row],[Industry]], Mean_ROA_L, 2, FALSE))/(VLOOKUP(Main_L[[#This Row],[Industry]], Mean_ROA_L, 3, FALSE))</f>
        <v>-0.3905420976203976</v>
      </c>
      <c r="S114" s="1">
        <f>(Main_L[[#This Row],[A/E]]-VLOOKUP(Main_L[[#This Row],[Industry]], Mean_AE_L, 2, FALSE))/(VLOOKUP(Main_L[[#This Row],[Industry]], Mean_AE_L, 3, FALSE))</f>
        <v>-0.71309168862929184</v>
      </c>
      <c r="T114" s="1">
        <f>(Main_L[[#This Row],[P/E]]-VLOOKUP(Main_L[[#This Row],[Industry]], Mean_PE_L, 2, FALSE))/(VLOOKUP(Main_L[[#This Row],[Industry]], Mean_PE_L, 3, FALSE))</f>
        <v>-0.65866069607984112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s="67" t="s">
        <v>150</v>
      </c>
      <c r="B115" s="67" t="s">
        <v>155</v>
      </c>
      <c r="C115" s="2">
        <v>16743</v>
      </c>
      <c r="D115">
        <f>RTD("tos.rtd", , "LAST", Main_L[[#This Row],[Symbol]])</f>
        <v>61.34</v>
      </c>
      <c r="E115">
        <v>1.9</v>
      </c>
      <c r="F115">
        <v>8.91</v>
      </c>
      <c r="G115">
        <v>-0.19</v>
      </c>
      <c r="H115" s="1">
        <f>IF(ISNUMBER(Main_L[[#This Row],[Free CF]]),IF(Main_L[[#This Row],[Free CF]]&lt;&gt;0,Main_L[[#This Row],[Current Price]]/Main_L[[#This Row],[Free CF]],""),"")</f>
        <v>32.284210526315796</v>
      </c>
      <c r="I115" s="1">
        <f>IF(ISNUMBER(Main_L[[#This Row],[BVPS]]),IF(Main_L[[#This Row],[BVPS]]&lt;&gt;0,Main_L[[#This Row],[Current Price]]/Main_L[[#This Row],[BVPS]],""),"")</f>
        <v>6.8843995510662177</v>
      </c>
      <c r="J115">
        <v>-2.2599999999999998</v>
      </c>
      <c r="K115">
        <v>-1.38</v>
      </c>
      <c r="L115">
        <v>3.63</v>
      </c>
      <c r="M115" s="1">
        <f>IF(ISNUMBER(Main_L[[#This Row],[EPS]]),IF(Main_L[[#This Row],[EPS]]&lt;&gt;0,Main_L[[#This Row],[Current Price]]/Main_L[[#This Row],[EPS]],""),"")</f>
        <v>-322.84210526315792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0.61201223948944394</v>
      </c>
      <c r="P115" s="1">
        <f>(Main_L[[#This Row],[P/B]]-VLOOKUP(Main_L[[#This Row],[Industry]], Mean_PB_L, 2, FALSE))/(VLOOKUP(Main_L[[#This Row],[Industry]], Mean_PB_L, 3, FALSE))</f>
        <v>8.2088934725965054E-2</v>
      </c>
      <c r="Q115" s="1">
        <f>(Main_L[[#This Row],[ROE]]-VLOOKUP(Main_L[[#This Row],[Industry]], Mean_ROE_L, 2, FALSE))/(VLOOKUP(Main_L[[#This Row],[Industry]], Mean_ROE_L, 3, FALSE))</f>
        <v>-1.4814685911282803</v>
      </c>
      <c r="R115" s="1">
        <f>(Main_L[[#This Row],[ROA]]-VLOOKUP(Main_L[[#This Row],[Industry]], Mean_ROA_L, 2, FALSE))/(VLOOKUP(Main_L[[#This Row],[Industry]], Mean_ROA_L, 3, FALSE))</f>
        <v>-2.0093006668269466</v>
      </c>
      <c r="S115" s="1">
        <f>(Main_L[[#This Row],[A/E]]-VLOOKUP(Main_L[[#This Row],[Industry]], Mean_AE_L, 2, FALSE))/(VLOOKUP(Main_L[[#This Row],[Industry]], Mean_AE_L, 3, FALSE))</f>
        <v>-0.11040987984720045</v>
      </c>
      <c r="T115" s="1">
        <f>(Main_L[[#This Row],[P/E]]-VLOOKUP(Main_L[[#This Row],[Industry]], Mean_PE_L, 2, FALSE))/(VLOOKUP(Main_L[[#This Row],[Industry]], Mean_PE_L, 3, FALSE))</f>
        <v>-27.681169084977661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6" spans="1:26" x14ac:dyDescent="0.25">
      <c r="A116" s="67" t="s">
        <v>150</v>
      </c>
      <c r="B116" s="67" t="s">
        <v>163</v>
      </c>
      <c r="C116" s="2">
        <v>24402</v>
      </c>
      <c r="D116">
        <f>RTD("tos.rtd", , "LAST", Main_L[[#This Row],[Symbol]])</f>
        <v>43.45</v>
      </c>
      <c r="E116">
        <v>0.72</v>
      </c>
      <c r="F116">
        <v>2.9</v>
      </c>
      <c r="G116">
        <v>0.25</v>
      </c>
      <c r="H116" s="1">
        <f>IF(ISNUMBER(Main_L[[#This Row],[Free CF]]),IF(Main_L[[#This Row],[Free CF]]&lt;&gt;0,Main_L[[#This Row],[Current Price]]/Main_L[[#This Row],[Free CF]],""),"")</f>
        <v>60.347222222222229</v>
      </c>
      <c r="I116" s="1">
        <f>IF(ISNUMBER(Main_L[[#This Row],[BVPS]]),IF(Main_L[[#This Row],[BVPS]]&lt;&gt;0,Main_L[[#This Row],[Current Price]]/Main_L[[#This Row],[BVPS]],""),"")</f>
        <v>14.982758620689657</v>
      </c>
      <c r="J116">
        <v>10.99</v>
      </c>
      <c r="K116">
        <v>3.57</v>
      </c>
      <c r="L116">
        <v>1.53</v>
      </c>
      <c r="M116" s="1">
        <f>IF(ISNUMBER(Main_L[[#This Row],[EPS]]),IF(Main_L[[#This Row],[EPS]]&lt;&gt;0,Main_L[[#This Row],[Current Price]]/Main_L[[#This Row],[EPS]],""),"")</f>
        <v>173.8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2.3747855826268931</v>
      </c>
      <c r="P116" s="1">
        <f>(Main_L[[#This Row],[P/B]]-VLOOKUP(Main_L[[#This Row],[Industry]], Mean_PB_L, 2, FALSE))/(VLOOKUP(Main_L[[#This Row],[Industry]], Mean_PB_L, 3, FALSE))</f>
        <v>1.4501445490778164</v>
      </c>
      <c r="Q116" s="1">
        <f>(Main_L[[#This Row],[ROE]]-VLOOKUP(Main_L[[#This Row],[Industry]], Mean_ROE_L, 2, FALSE))/(VLOOKUP(Main_L[[#This Row],[Industry]], Mean_ROE_L, 3, FALSE))</f>
        <v>-0.58069897711160146</v>
      </c>
      <c r="R116" s="1">
        <f>(Main_L[[#This Row],[ROA]]-VLOOKUP(Main_L[[#This Row],[Industry]], Mean_ROA_L, 2, FALSE))/(VLOOKUP(Main_L[[#This Row],[Industry]], Mean_ROA_L, 3, FALSE))</f>
        <v>0.41150142307408599</v>
      </c>
      <c r="S116" s="1">
        <f>(Main_L[[#This Row],[A/E]]-VLOOKUP(Main_L[[#This Row],[Industry]], Mean_AE_L, 2, FALSE))/(VLOOKUP(Main_L[[#This Row],[Industry]], Mean_AE_L, 3, FALSE))</f>
        <v>-0.76617765106087499</v>
      </c>
      <c r="T116" s="1">
        <f>(Main_L[[#This Row],[P/E]]-VLOOKUP(Main_L[[#This Row],[Industry]], Mean_PE_L, 2, FALSE))/(VLOOKUP(Main_L[[#This Row],[Industry]], Mean_PE_L, 3, FALSE))</f>
        <v>11.928089502137109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7" spans="1:26" x14ac:dyDescent="0.25">
      <c r="A117" s="67" t="s">
        <v>150</v>
      </c>
      <c r="B117" s="67" t="s">
        <v>154</v>
      </c>
      <c r="C117" s="2">
        <v>24158</v>
      </c>
      <c r="D117">
        <f>RTD("tos.rtd", , "LAST", Main_L[[#This Row],[Symbol]])</f>
        <v>21.54</v>
      </c>
      <c r="E117">
        <v>-0.34</v>
      </c>
      <c r="F117">
        <v>24</v>
      </c>
      <c r="G117">
        <v>2.0499999999999998</v>
      </c>
      <c r="H117" s="1">
        <f>IF(ISNUMBER(Main_L[[#This Row],[Free CF]]),IF(Main_L[[#This Row],[Free CF]]&lt;&gt;0,Main_L[[#This Row],[Current Price]]/Main_L[[#This Row],[Free CF]],""),"")</f>
        <v>-63.35294117647058</v>
      </c>
      <c r="I117" s="1">
        <f>IF(ISNUMBER(Main_L[[#This Row],[BVPS]]),IF(Main_L[[#This Row],[BVPS]]&lt;&gt;0,Main_L[[#This Row],[Current Price]]/Main_L[[#This Row],[BVPS]],""),"")</f>
        <v>0.89749999999999996</v>
      </c>
      <c r="J117">
        <v>8.58</v>
      </c>
      <c r="K117">
        <v>1.99</v>
      </c>
      <c r="L117">
        <v>4.12</v>
      </c>
      <c r="M117" s="1">
        <f>IF(ISNUMBER(Main_L[[#This Row],[EPS]]),IF(Main_L[[#This Row],[EPS]]&lt;&gt;0,Main_L[[#This Row],[Current Price]]/Main_L[[#This Row],[EPS]],""),"")</f>
        <v>10.507317073170732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-5.3954193028583761</v>
      </c>
      <c r="P117" s="1">
        <f>(Main_L[[#This Row],[P/B]]-VLOOKUP(Main_L[[#This Row],[Industry]], Mean_PB_L, 2, FALSE))/(VLOOKUP(Main_L[[#This Row],[Industry]], Mean_PB_L, 3, FALSE))</f>
        <v>-0.92927787094193415</v>
      </c>
      <c r="Q117" s="1">
        <f>(Main_L[[#This Row],[ROE]]-VLOOKUP(Main_L[[#This Row],[Industry]], Mean_ROE_L, 2, FALSE))/(VLOOKUP(Main_L[[#This Row],[Industry]], Mean_ROE_L, 3, FALSE))</f>
        <v>-0.74453707294406912</v>
      </c>
      <c r="R117" s="1">
        <f>(Main_L[[#This Row],[ROA]]-VLOOKUP(Main_L[[#This Row],[Industry]], Mean_ROA_L, 2, FALSE))/(VLOOKUP(Main_L[[#This Row],[Industry]], Mean_ROA_L, 3, FALSE))</f>
        <v>-0.3611990419852335</v>
      </c>
      <c r="S117" s="1">
        <f>(Main_L[[#This Row],[A/E]]-VLOOKUP(Main_L[[#This Row],[Industry]], Mean_AE_L, 2, FALSE))/(VLOOKUP(Main_L[[#This Row],[Industry]], Mean_AE_L, 3, FALSE))</f>
        <v>4.2602600102656984E-2</v>
      </c>
      <c r="T117" s="1">
        <f>(Main_L[[#This Row],[P/E]]-VLOOKUP(Main_L[[#This Row],[Industry]], Mean_PE_L, 2, FALSE))/(VLOOKUP(Main_L[[#This Row],[Industry]], Mean_PE_L, 3, FALSE))</f>
        <v>-1.0951762155477542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s="67" t="s">
        <v>214</v>
      </c>
      <c r="B118" s="67" t="s">
        <v>243</v>
      </c>
      <c r="C118" s="2">
        <v>24630</v>
      </c>
      <c r="D118">
        <f>RTD("tos.rtd", , "LAST", Main_L[[#This Row],[Symbol]])</f>
        <v>1943.58</v>
      </c>
      <c r="E118">
        <v>160.80000000000001</v>
      </c>
      <c r="F118">
        <v>1303.4000000000001</v>
      </c>
      <c r="G118">
        <v>135.94</v>
      </c>
      <c r="H118" s="1">
        <f>IF(ISNUMBER(Main_L[[#This Row],[Free CF]]),IF(Main_L[[#This Row],[Free CF]]&lt;&gt;0,Main_L[[#This Row],[Current Price]]/Main_L[[#This Row],[Free CF]],""),"")</f>
        <v>12.086940298507461</v>
      </c>
      <c r="I118" s="1">
        <f>IF(ISNUMBER(Main_L[[#This Row],[BVPS]]),IF(Main_L[[#This Row],[BVPS]]&lt;&gt;0,Main_L[[#This Row],[Current Price]]/Main_L[[#This Row],[BVPS]],""),"")</f>
        <v>1.4911615774129199</v>
      </c>
      <c r="J118">
        <v>11.32</v>
      </c>
      <c r="K118">
        <v>2.73</v>
      </c>
      <c r="L118">
        <v>3.9</v>
      </c>
      <c r="M118" s="1">
        <f>IF(ISNUMBER(Main_L[[#This Row],[EPS]]),IF(Main_L[[#This Row],[EPS]]&lt;&gt;0,Main_L[[#This Row],[Current Price]]/Main_L[[#This Row],[EPS]],""),"")</f>
        <v>14.297337060467854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0.11833284344949087</v>
      </c>
      <c r="P118" s="1">
        <f>(Main_L[[#This Row],[P/B]]-VLOOKUP(Main_L[[#This Row],[Industry]], Mean_PB_L, 2, FALSE))/(VLOOKUP(Main_L[[#This Row],[Industry]], Mean_PB_L, 3, FALSE))</f>
        <v>-0.55615399918371422</v>
      </c>
      <c r="Q118" s="1">
        <f>(Main_L[[#This Row],[ROE]]-VLOOKUP(Main_L[[#This Row],[Industry]], Mean_ROE_L, 2, FALSE))/(VLOOKUP(Main_L[[#This Row],[Industry]], Mean_ROE_L, 3, FALSE))</f>
        <v>-0.39377925208798237</v>
      </c>
      <c r="R118" s="1">
        <f>(Main_L[[#This Row],[ROA]]-VLOOKUP(Main_L[[#This Row],[Industry]], Mean_ROA_L, 2, FALSE))/(VLOOKUP(Main_L[[#This Row],[Industry]], Mean_ROA_L, 3, FALSE))</f>
        <v>0.15735199276682502</v>
      </c>
      <c r="S118" s="1">
        <f>(Main_L[[#This Row],[A/E]]-VLOOKUP(Main_L[[#This Row],[Industry]], Mean_AE_L, 2, FALSE))/(VLOOKUP(Main_L[[#This Row],[Industry]], Mean_AE_L, 3, FALSE))</f>
        <v>-0.58969278954493265</v>
      </c>
      <c r="T118" s="1">
        <f>(Main_L[[#This Row],[P/E]]-VLOOKUP(Main_L[[#This Row],[Industry]], Mean_PE_L, 2, FALSE))/(VLOOKUP(Main_L[[#This Row],[Industry]], Mean_PE_L, 3, FALSE))</f>
        <v>-0.36624843771457072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9" spans="1:26" x14ac:dyDescent="0.25">
      <c r="A119" s="67" t="s">
        <v>214</v>
      </c>
      <c r="B119" s="67" t="s">
        <v>703</v>
      </c>
      <c r="C119" s="2">
        <v>37879</v>
      </c>
      <c r="D119">
        <f>RTD("tos.rtd", , "LAST", Main_L[[#This Row],[Symbol]])</f>
        <v>1656.81</v>
      </c>
      <c r="E119">
        <v>118.24</v>
      </c>
      <c r="F119">
        <v>1080.3800000000001</v>
      </c>
      <c r="G119">
        <v>172.81</v>
      </c>
      <c r="H119" s="1">
        <f>IF(ISNUMBER(Main_L[[#This Row],[Free CF]]),IF(Main_L[[#This Row],[Free CF]]&lt;&gt;0,Main_L[[#This Row],[Current Price]]/Main_L[[#This Row],[Free CF]],""),"")</f>
        <v>14.012263193504737</v>
      </c>
      <c r="I119" s="1">
        <f>IF(ISNUMBER(Main_L[[#This Row],[BVPS]]),IF(Main_L[[#This Row],[BVPS]]&lt;&gt;0,Main_L[[#This Row],[Current Price]]/Main_L[[#This Row],[BVPS]],""),"")</f>
        <v>1.5335437531239007</v>
      </c>
      <c r="J119">
        <v>15.92</v>
      </c>
      <c r="K119">
        <v>4.22</v>
      </c>
      <c r="L119">
        <v>4.24</v>
      </c>
      <c r="M119" s="1">
        <f>IF(ISNUMBER(Main_L[[#This Row],[EPS]]),IF(Main_L[[#This Row],[EPS]]&lt;&gt;0,Main_L[[#This Row],[Current Price]]/Main_L[[#This Row],[EPS]],""),"")</f>
        <v>9.5874660031248187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0.36120227304815439</v>
      </c>
      <c r="P119" s="1">
        <f>(Main_L[[#This Row],[P/B]]-VLOOKUP(Main_L[[#This Row],[Industry]], Mean_PB_L, 2, FALSE))/(VLOOKUP(Main_L[[#This Row],[Industry]], Mean_PB_L, 3, FALSE))</f>
        <v>-0.51592644404622379</v>
      </c>
      <c r="Q119" s="1">
        <f>(Main_L[[#This Row],[ROE]]-VLOOKUP(Main_L[[#This Row],[Industry]], Mean_ROE_L, 2, FALSE))/(VLOOKUP(Main_L[[#This Row],[Industry]], Mean_ROE_L, 3, FALSE))</f>
        <v>0.3726155873102388</v>
      </c>
      <c r="R119" s="1">
        <f>(Main_L[[#This Row],[ROA]]-VLOOKUP(Main_L[[#This Row],[Industry]], Mean_ROA_L, 2, FALSE))/(VLOOKUP(Main_L[[#This Row],[Industry]], Mean_ROA_L, 3, FALSE))</f>
        <v>0.97848285271683599</v>
      </c>
      <c r="S119" s="1">
        <f>(Main_L[[#This Row],[A/E]]-VLOOKUP(Main_L[[#This Row],[Industry]], Mean_AE_L, 2, FALSE))/(VLOOKUP(Main_L[[#This Row],[Industry]], Mean_AE_L, 3, FALSE))</f>
        <v>-0.51145511426501267</v>
      </c>
      <c r="T119" s="1">
        <f>(Main_L[[#This Row],[P/E]]-VLOOKUP(Main_L[[#This Row],[Industry]], Mean_PE_L, 2, FALSE))/(VLOOKUP(Main_L[[#This Row],[Industry]], Mean_PE_L, 3, FALSE))</f>
        <v>-1.2594860092756144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s="67" t="s">
        <v>214</v>
      </c>
      <c r="B120" s="67" t="s">
        <v>704</v>
      </c>
      <c r="C120" s="2">
        <v>152640</v>
      </c>
      <c r="D120">
        <f>RTD("tos.rtd", , "LAST", Main_L[[#This Row],[Symbol]])</f>
        <v>39.99</v>
      </c>
      <c r="E120">
        <v>79.97</v>
      </c>
      <c r="F120">
        <v>161.83000000000001</v>
      </c>
      <c r="G120">
        <v>26.08</v>
      </c>
      <c r="H120" s="1">
        <f>IF(ISNUMBER(Main_L[[#This Row],[Free CF]]),IF(Main_L[[#This Row],[Free CF]]&lt;&gt;0,Main_L[[#This Row],[Current Price]]/Main_L[[#This Row],[Free CF]],""),"")</f>
        <v>0.50006252344629243</v>
      </c>
      <c r="I120" s="1">
        <f>IF(ISNUMBER(Main_L[[#This Row],[BVPS]]),IF(Main_L[[#This Row],[BVPS]]&lt;&gt;0,Main_L[[#This Row],[Current Price]]/Main_L[[#This Row],[BVPS]],""),"")</f>
        <v>0.24711116603843539</v>
      </c>
      <c r="J120">
        <v>16.78</v>
      </c>
      <c r="K120">
        <v>1</v>
      </c>
      <c r="L120">
        <v>17.329999999999998</v>
      </c>
      <c r="M120" s="1">
        <f>IF(ISNUMBER(Main_L[[#This Row],[EPS]]),IF(Main_L[[#This Row],[EPS]]&lt;&gt;0,Main_L[[#This Row],[Current Price]]/Main_L[[#This Row],[EPS]],""),"")</f>
        <v>1.5333588957055218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-1.3432912837920434</v>
      </c>
      <c r="P120" s="1">
        <f>(Main_L[[#This Row],[P/B]]-VLOOKUP(Main_L[[#This Row],[Industry]], Mean_PB_L, 2, FALSE))/(VLOOKUP(Main_L[[#This Row],[Industry]], Mean_PB_L, 3, FALSE))</f>
        <v>-1.7369595071090309</v>
      </c>
      <c r="Q120" s="1">
        <f>(Main_L[[#This Row],[ROE]]-VLOOKUP(Main_L[[#This Row],[Industry]], Mean_ROE_L, 2, FALSE))/(VLOOKUP(Main_L[[#This Row],[Industry]], Mean_ROE_L, 3, FALSE))</f>
        <v>0.51589810076294995</v>
      </c>
      <c r="R120" s="1">
        <f>(Main_L[[#This Row],[ROA]]-VLOOKUP(Main_L[[#This Row],[Industry]], Mean_ROA_L, 2, FALSE))/(VLOOKUP(Main_L[[#This Row],[Industry]], Mean_ROA_L, 3, FALSE))</f>
        <v>-0.79604155603419458</v>
      </c>
      <c r="S120" s="1">
        <f>(Main_L[[#This Row],[A/E]]-VLOOKUP(Main_L[[#This Row],[Industry]], Mean_AE_L, 2, FALSE))/(VLOOKUP(Main_L[[#This Row],[Industry]], Mean_AE_L, 3, FALSE))</f>
        <v>2.5006953840119048</v>
      </c>
      <c r="T120" s="1">
        <f>(Main_L[[#This Row],[P/E]]-VLOOKUP(Main_L[[#This Row],[Industry]], Mean_PE_L, 2, FALSE))/(VLOOKUP(Main_L[[#This Row],[Industry]], Mean_PE_L, 3, FALSE))</f>
        <v>-2.7869654213727713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1" spans="1:26" x14ac:dyDescent="0.25">
      <c r="A121" s="67" t="s">
        <v>214</v>
      </c>
      <c r="B121" s="67" t="s">
        <v>248</v>
      </c>
      <c r="C121" s="2">
        <v>13435</v>
      </c>
      <c r="D121">
        <f>RTD("tos.rtd", , "LAST", Main_L[[#This Row],[Symbol]])</f>
        <v>203.2</v>
      </c>
      <c r="E121">
        <v>76.95</v>
      </c>
      <c r="F121">
        <v>172.53</v>
      </c>
      <c r="G121">
        <v>11.84</v>
      </c>
      <c r="H121" s="1">
        <f>IF(ISNUMBER(Main_L[[#This Row],[Free CF]]),IF(Main_L[[#This Row],[Free CF]]&lt;&gt;0,Main_L[[#This Row],[Current Price]]/Main_L[[#This Row],[Free CF]],""),"")</f>
        <v>2.6406757634827809</v>
      </c>
      <c r="I121" s="1">
        <f>IF(ISNUMBER(Main_L[[#This Row],[BVPS]]),IF(Main_L[[#This Row],[BVPS]]&lt;&gt;0,Main_L[[#This Row],[Current Price]]/Main_L[[#This Row],[BVPS]],""),"")</f>
        <v>1.1777661855909116</v>
      </c>
      <c r="J121">
        <v>7.6</v>
      </c>
      <c r="K121">
        <v>0.74</v>
      </c>
      <c r="L121">
        <v>11.24</v>
      </c>
      <c r="M121" s="1">
        <f>IF(ISNUMBER(Main_L[[#This Row],[EPS]]),IF(Main_L[[#This Row],[EPS]]&lt;&gt;0,Main_L[[#This Row],[Current Price]]/Main_L[[#This Row],[EPS]],""),"")</f>
        <v>17.162162162162161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-1.07326410136468</v>
      </c>
      <c r="P121" s="1">
        <f>(Main_L[[#This Row],[P/B]]-VLOOKUP(Main_L[[#This Row],[Industry]], Mean_PB_L, 2, FALSE))/(VLOOKUP(Main_L[[#This Row],[Industry]], Mean_PB_L, 3, FALSE))</f>
        <v>-0.85361702916895554</v>
      </c>
      <c r="Q121" s="1">
        <f>(Main_L[[#This Row],[ROE]]-VLOOKUP(Main_L[[#This Row],[Industry]], Mean_ROE_L, 2, FALSE))/(VLOOKUP(Main_L[[#This Row],[Industry]], Mean_ROE_L, 3, FALSE))</f>
        <v>-1.0135594265578485</v>
      </c>
      <c r="R121" s="1">
        <f>(Main_L[[#This Row],[ROA]]-VLOOKUP(Main_L[[#This Row],[Industry]], Mean_ROA_L, 2, FALSE))/(VLOOKUP(Main_L[[#This Row],[Industry]], Mean_ROA_L, 3, FALSE))</f>
        <v>-0.93932613562278711</v>
      </c>
      <c r="S121" s="1">
        <f>(Main_L[[#This Row],[A/E]]-VLOOKUP(Main_L[[#This Row],[Industry]], Mean_AE_L, 2, FALSE))/(VLOOKUP(Main_L[[#This Row],[Industry]], Mean_AE_L, 3, FALSE))</f>
        <v>1.099320553262751</v>
      </c>
      <c r="T121" s="1">
        <f>(Main_L[[#This Row],[P/E]]-VLOOKUP(Main_L[[#This Row],[Industry]], Mean_PE_L, 2, FALSE))/(VLOOKUP(Main_L[[#This Row],[Industry]], Mean_PE_L, 3, FALSE))</f>
        <v>0.17707204508185789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2" spans="1:26" x14ac:dyDescent="0.25">
      <c r="A122" s="67" t="s">
        <v>214</v>
      </c>
      <c r="B122" s="67" t="s">
        <v>249</v>
      </c>
      <c r="C122" s="2">
        <v>12134</v>
      </c>
      <c r="D122">
        <f>RTD("tos.rtd", , "LAST", Main_L[[#This Row],[Symbol]])</f>
        <v>243.88</v>
      </c>
      <c r="E122">
        <v>71.569999999999993</v>
      </c>
      <c r="F122">
        <v>196.17</v>
      </c>
      <c r="G122">
        <v>31.81</v>
      </c>
      <c r="H122" s="1">
        <f>IF(ISNUMBER(Main_L[[#This Row],[Free CF]]),IF(Main_L[[#This Row],[Free CF]]&lt;&gt;0,Main_L[[#This Row],[Current Price]]/Main_L[[#This Row],[Free CF]],""),"")</f>
        <v>3.407573005449211</v>
      </c>
      <c r="I122" s="1">
        <f>IF(ISNUMBER(Main_L[[#This Row],[BVPS]]),IF(Main_L[[#This Row],[BVPS]]&lt;&gt;0,Main_L[[#This Row],[Current Price]]/Main_L[[#This Row],[BVPS]],""),"")</f>
        <v>1.2432074221338636</v>
      </c>
      <c r="J122">
        <v>13.99</v>
      </c>
      <c r="K122">
        <v>2.91</v>
      </c>
      <c r="L122">
        <v>5.59</v>
      </c>
      <c r="M122" s="1">
        <f>IF(ISNUMBER(Main_L[[#This Row],[EPS]]),IF(Main_L[[#This Row],[EPS]]&lt;&gt;0,Main_L[[#This Row],[Current Price]]/Main_L[[#This Row],[EPS]],""),"")</f>
        <v>7.6667714555171331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-0.97652401885636975</v>
      </c>
      <c r="P122" s="1">
        <f>(Main_L[[#This Row],[P/B]]-VLOOKUP(Main_L[[#This Row],[Industry]], Mean_PB_L, 2, FALSE))/(VLOOKUP(Main_L[[#This Row],[Industry]], Mean_PB_L, 3, FALSE))</f>
        <v>-0.79150268729917073</v>
      </c>
      <c r="Q122" s="1">
        <f>(Main_L[[#This Row],[ROE]]-VLOOKUP(Main_L[[#This Row],[Industry]], Mean_ROE_L, 2, FALSE))/(VLOOKUP(Main_L[[#This Row],[Industry]], Mean_ROE_L, 3, FALSE))</f>
        <v>5.1062969910550357E-2</v>
      </c>
      <c r="R122" s="1">
        <f>(Main_L[[#This Row],[ROA]]-VLOOKUP(Main_L[[#This Row],[Industry]], Mean_ROA_L, 2, FALSE))/(VLOOKUP(Main_L[[#This Row],[Industry]], Mean_ROA_L, 3, FALSE))</f>
        <v>0.25654900940508146</v>
      </c>
      <c r="S122" s="1">
        <f>(Main_L[[#This Row],[A/E]]-VLOOKUP(Main_L[[#This Row],[Industry]], Mean_AE_L, 2, FALSE))/(VLOOKUP(Main_L[[#This Row],[Industry]], Mean_AE_L, 3, FALSE))</f>
        <v>-0.20080552124180115</v>
      </c>
      <c r="T122" s="1">
        <f>(Main_L[[#This Row],[P/E]]-VLOOKUP(Main_L[[#This Row],[Industry]], Mean_PE_L, 2, FALSE))/(VLOOKUP(Main_L[[#This Row],[Industry]], Mean_PE_L, 3, FALSE))</f>
        <v>-1.6237500225633719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3" spans="1:26" x14ac:dyDescent="0.25">
      <c r="A123" s="67" t="s">
        <v>214</v>
      </c>
      <c r="B123" s="67" t="s">
        <v>241</v>
      </c>
      <c r="C123" s="2">
        <v>11003</v>
      </c>
      <c r="D123">
        <f>RTD("tos.rtd", , "LAST", Main_L[[#This Row],[Symbol]])</f>
        <v>463.51</v>
      </c>
      <c r="E123">
        <v>41.57</v>
      </c>
      <c r="F123">
        <v>67.92</v>
      </c>
      <c r="G123">
        <v>17.37</v>
      </c>
      <c r="H123" s="1">
        <f>IF(ISNUMBER(Main_L[[#This Row],[Free CF]]),IF(Main_L[[#This Row],[Free CF]]&lt;&gt;0,Main_L[[#This Row],[Current Price]]/Main_L[[#This Row],[Free CF]],""),"")</f>
        <v>11.150108251142651</v>
      </c>
      <c r="I123" s="1">
        <f>IF(ISNUMBER(Main_L[[#This Row],[BVPS]]),IF(Main_L[[#This Row],[BVPS]]&lt;&gt;0,Main_L[[#This Row],[Current Price]]/Main_L[[#This Row],[BVPS]],""),"")</f>
        <v>6.8243521790341575</v>
      </c>
      <c r="J123">
        <v>29.42</v>
      </c>
      <c r="K123">
        <v>7.05</v>
      </c>
      <c r="L123">
        <v>3.29</v>
      </c>
      <c r="M123" s="1">
        <f>IF(ISNUMBER(Main_L[[#This Row],[EPS]]),IF(Main_L[[#This Row],[EPS]]&lt;&gt;0,Main_L[[#This Row],[Current Price]]/Main_L[[#This Row],[EPS]],""),"")</f>
        <v>26.684513529073111</v>
      </c>
      <c r="N1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3" s="1">
        <f>(Main_L[[#This Row],[P/FCF]]-VLOOKUP(Main_L[[#This Row],[Industry]], Mean_PFCF_L, 2, FALSE))/(VLOOKUP(Main_L[[#This Row],[Industry]], Mean_PFCF_L, 3, FALSE))</f>
        <v>1.5637260169502453E-4</v>
      </c>
      <c r="P123" s="1">
        <f>(Main_L[[#This Row],[P/B]]-VLOOKUP(Main_L[[#This Row],[Industry]], Mean_PB_L, 2, FALSE))/(VLOOKUP(Main_L[[#This Row],[Industry]], Mean_PB_L, 3, FALSE))</f>
        <v>4.5059084217853558</v>
      </c>
      <c r="Q123" s="1">
        <f>(Main_L[[#This Row],[ROE]]-VLOOKUP(Main_L[[#This Row],[Industry]], Mean_ROE_L, 2, FALSE))/(VLOOKUP(Main_L[[#This Row],[Industry]], Mean_ROE_L, 3, FALSE))</f>
        <v>2.621817833370236</v>
      </c>
      <c r="R123" s="1">
        <f>(Main_L[[#This Row],[ROA]]-VLOOKUP(Main_L[[#This Row],[Industry]], Mean_ROA_L, 2, FALSE))/(VLOOKUP(Main_L[[#This Row],[Industry]], Mean_ROA_L, 3, FALSE))</f>
        <v>2.5380803920849777</v>
      </c>
      <c r="S123" s="1">
        <f>(Main_L[[#This Row],[A/E]]-VLOOKUP(Main_L[[#This Row],[Industry]], Mean_AE_L, 2, FALSE))/(VLOOKUP(Main_L[[#This Row],[Industry]], Mean_AE_L, 3, FALSE))</f>
        <v>-0.73006038342949486</v>
      </c>
      <c r="T123" s="1">
        <f>(Main_L[[#This Row],[P/E]]-VLOOKUP(Main_L[[#This Row],[Industry]], Mean_PE_L, 2, FALSE))/(VLOOKUP(Main_L[[#This Row],[Industry]], Mean_PE_L, 3, FALSE))</f>
        <v>1.9830072621977228</v>
      </c>
      <c r="U1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4" spans="1:26" x14ac:dyDescent="0.25">
      <c r="A124" s="67" t="s">
        <v>214</v>
      </c>
      <c r="B124" s="67" t="s">
        <v>245</v>
      </c>
      <c r="C124" s="2">
        <v>62465</v>
      </c>
      <c r="D124">
        <f>RTD("tos.rtd", , "LAST", Main_L[[#This Row],[Symbol]])</f>
        <v>267.77999999999997</v>
      </c>
      <c r="E124">
        <v>39.46</v>
      </c>
      <c r="F124">
        <v>124.41</v>
      </c>
      <c r="G124">
        <v>18.38</v>
      </c>
      <c r="H124" s="1">
        <f>IF(ISNUMBER(Main_L[[#This Row],[Free CF]]),IF(Main_L[[#This Row],[Free CF]]&lt;&gt;0,Main_L[[#This Row],[Current Price]]/Main_L[[#This Row],[Free CF]],""),"")</f>
        <v>6.7861125190065881</v>
      </c>
      <c r="I124" s="1">
        <f>IF(ISNUMBER(Main_L[[#This Row],[BVPS]]),IF(Main_L[[#This Row],[BVPS]]&lt;&gt;0,Main_L[[#This Row],[Current Price]]/Main_L[[#This Row],[BVPS]],""),"")</f>
        <v>2.1523993248131177</v>
      </c>
      <c r="J124">
        <v>16.05</v>
      </c>
      <c r="K124">
        <v>2.69</v>
      </c>
      <c r="L124">
        <v>4.82</v>
      </c>
      <c r="M124" s="1">
        <f>IF(ISNUMBER(Main_L[[#This Row],[EPS]]),IF(Main_L[[#This Row],[EPS]]&lt;&gt;0,Main_L[[#This Row],[Current Price]]/Main_L[[#This Row],[EPS]],""),"")</f>
        <v>14.569096844396082</v>
      </c>
      <c r="N1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4" s="1">
        <f>(Main_L[[#This Row],[P/FCF]]-VLOOKUP(Main_L[[#This Row],[Industry]], Mean_PFCF_L, 2, FALSE))/(VLOOKUP(Main_L[[#This Row],[Industry]], Mean_PFCF_L, 3, FALSE))</f>
        <v>-0.55033890119828088</v>
      </c>
      <c r="P124" s="1">
        <f>(Main_L[[#This Row],[P/B]]-VLOOKUP(Main_L[[#This Row],[Industry]], Mean_PB_L, 2, FALSE))/(VLOOKUP(Main_L[[#This Row],[Industry]], Mean_PB_L, 3, FALSE))</f>
        <v>7.1467813436906433E-2</v>
      </c>
      <c r="Q124" s="1">
        <f>(Main_L[[#This Row],[ROE]]-VLOOKUP(Main_L[[#This Row],[Industry]], Mean_ROE_L, 2, FALSE))/(VLOOKUP(Main_L[[#This Row],[Industry]], Mean_ROE_L, 3, FALSE))</f>
        <v>0.39427457190192777</v>
      </c>
      <c r="R124" s="1">
        <f>(Main_L[[#This Row],[ROA]]-VLOOKUP(Main_L[[#This Row],[Industry]], Mean_ROA_L, 2, FALSE))/(VLOOKUP(Main_L[[#This Row],[Industry]], Mean_ROA_L, 3, FALSE))</f>
        <v>0.1353082112916569</v>
      </c>
      <c r="S124" s="1">
        <f>(Main_L[[#This Row],[A/E]]-VLOOKUP(Main_L[[#This Row],[Industry]], Mean_AE_L, 2, FALSE))/(VLOOKUP(Main_L[[#This Row],[Industry]], Mean_AE_L, 3, FALSE))</f>
        <v>-0.37799084466985505</v>
      </c>
      <c r="T124" s="1">
        <f>(Main_L[[#This Row],[P/E]]-VLOOKUP(Main_L[[#This Row],[Industry]], Mean_PE_L, 2, FALSE))/(VLOOKUP(Main_L[[#This Row],[Industry]], Mean_PE_L, 3, FALSE))</f>
        <v>-0.3147085873686582</v>
      </c>
      <c r="U1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5" spans="1:26" x14ac:dyDescent="0.25">
      <c r="A125" s="67" t="s">
        <v>214</v>
      </c>
      <c r="B125" s="67" t="s">
        <v>235</v>
      </c>
      <c r="C125" s="2">
        <v>119102</v>
      </c>
      <c r="D125">
        <f>RTD("tos.rtd", , "LAST", Main_L[[#This Row],[Symbol]])</f>
        <v>289.8</v>
      </c>
      <c r="E125">
        <v>36.049999999999997</v>
      </c>
      <c r="F125">
        <v>164.01</v>
      </c>
      <c r="G125">
        <v>20.78</v>
      </c>
      <c r="H125" s="1">
        <f>IF(ISNUMBER(Main_L[[#This Row],[Free CF]]),IF(Main_L[[#This Row],[Free CF]]&lt;&gt;0,Main_L[[#This Row],[Current Price]]/Main_L[[#This Row],[Free CF]],""),"")</f>
        <v>8.0388349514563124</v>
      </c>
      <c r="I125" s="1">
        <f>IF(ISNUMBER(Main_L[[#This Row],[BVPS]]),IF(Main_L[[#This Row],[BVPS]]&lt;&gt;0,Main_L[[#This Row],[Current Price]]/Main_L[[#This Row],[BVPS]],""),"")</f>
        <v>1.7669654289372601</v>
      </c>
      <c r="J125">
        <v>12.86</v>
      </c>
      <c r="K125">
        <v>2.71</v>
      </c>
      <c r="L125">
        <v>3.83</v>
      </c>
      <c r="M125" s="1">
        <f>IF(ISNUMBER(Main_L[[#This Row],[EPS]]),IF(Main_L[[#This Row],[EPS]]&lt;&gt;0,Main_L[[#This Row],[Current Price]]/Main_L[[#This Row],[EPS]],""),"")</f>
        <v>13.946102021174205</v>
      </c>
      <c r="N1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5" s="1">
        <f>(Main_L[[#This Row],[P/FCF]]-VLOOKUP(Main_L[[#This Row],[Industry]], Mean_PFCF_L, 2, FALSE))/(VLOOKUP(Main_L[[#This Row],[Industry]], Mean_PFCF_L, 3, FALSE))</f>
        <v>-0.39231450778091315</v>
      </c>
      <c r="P125" s="1">
        <f>(Main_L[[#This Row],[P/B]]-VLOOKUP(Main_L[[#This Row],[Industry]], Mean_PB_L, 2, FALSE))/(VLOOKUP(Main_L[[#This Row],[Industry]], Mean_PB_L, 3, FALSE))</f>
        <v>-0.29437143473993016</v>
      </c>
      <c r="Q125" s="1">
        <f>(Main_L[[#This Row],[ROE]]-VLOOKUP(Main_L[[#This Row],[Industry]], Mean_ROE_L, 2, FALSE))/(VLOOKUP(Main_L[[#This Row],[Industry]], Mean_ROE_L, 3, FALSE))</f>
        <v>-0.13720358846336064</v>
      </c>
      <c r="R125" s="1">
        <f>(Main_L[[#This Row],[ROA]]-VLOOKUP(Main_L[[#This Row],[Industry]], Mean_ROA_L, 2, FALSE))/(VLOOKUP(Main_L[[#This Row],[Industry]], Mean_ROA_L, 3, FALSE))</f>
        <v>0.14633010202924096</v>
      </c>
      <c r="S125" s="1">
        <f>(Main_L[[#This Row],[A/E]]-VLOOKUP(Main_L[[#This Row],[Industry]], Mean_AE_L, 2, FALSE))/(VLOOKUP(Main_L[[#This Row],[Industry]], Mean_AE_L, 3, FALSE))</f>
        <v>-0.60580054622021029</v>
      </c>
      <c r="T125" s="1">
        <f>(Main_L[[#This Row],[P/E]]-VLOOKUP(Main_L[[#This Row],[Industry]], Mean_PE_L, 2, FALSE))/(VLOOKUP(Main_L[[#This Row],[Industry]], Mean_PE_L, 3, FALSE))</f>
        <v>-0.43286094785042001</v>
      </c>
      <c r="U1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6" spans="1:26" x14ac:dyDescent="0.25">
      <c r="A126" s="67" t="s">
        <v>214</v>
      </c>
      <c r="B126" s="67" t="s">
        <v>234</v>
      </c>
      <c r="C126" s="2">
        <v>55577</v>
      </c>
      <c r="D126">
        <f>RTD("tos.rtd", , "LAST", Main_L[[#This Row],[Symbol]])</f>
        <v>200.77</v>
      </c>
      <c r="E126">
        <v>33.43</v>
      </c>
      <c r="F126">
        <v>75.680000000000007</v>
      </c>
      <c r="G126">
        <v>14.64</v>
      </c>
      <c r="H126" s="1">
        <f>IF(ISNUMBER(Main_L[[#This Row],[Free CF]]),IF(Main_L[[#This Row],[Free CF]]&lt;&gt;0,Main_L[[#This Row],[Current Price]]/Main_L[[#This Row],[Free CF]],""),"")</f>
        <v>6.0056835177983849</v>
      </c>
      <c r="I126" s="1">
        <f>IF(ISNUMBER(Main_L[[#This Row],[BVPS]]),IF(Main_L[[#This Row],[BVPS]]&lt;&gt;0,Main_L[[#This Row],[Current Price]]/Main_L[[#This Row],[BVPS]],""),"")</f>
        <v>2.6528805496828753</v>
      </c>
      <c r="J126">
        <v>19.72</v>
      </c>
      <c r="K126">
        <v>3.11</v>
      </c>
      <c r="L126">
        <v>5.74</v>
      </c>
      <c r="M126" s="1">
        <f>IF(ISNUMBER(Main_L[[#This Row],[EPS]]),IF(Main_L[[#This Row],[EPS]]&lt;&gt;0,Main_L[[#This Row],[Current Price]]/Main_L[[#This Row],[EPS]],""),"")</f>
        <v>13.71379781420765</v>
      </c>
      <c r="N1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6" s="1">
        <f>(Main_L[[#This Row],[P/FCF]]-VLOOKUP(Main_L[[#This Row],[Industry]], Mean_PFCF_L, 2, FALSE))/(VLOOKUP(Main_L[[#This Row],[Industry]], Mean_PFCF_L, 3, FALSE))</f>
        <v>-0.64878594447512261</v>
      </c>
      <c r="P126" s="1">
        <f>(Main_L[[#This Row],[P/B]]-VLOOKUP(Main_L[[#This Row],[Industry]], Mean_PB_L, 2, FALSE))/(VLOOKUP(Main_L[[#This Row],[Industry]], Mean_PB_L, 3, FALSE))</f>
        <v>0.54650562664456148</v>
      </c>
      <c r="Q126" s="1">
        <f>(Main_L[[#This Row],[ROE]]-VLOOKUP(Main_L[[#This Row],[Industry]], Mean_ROE_L, 2, FALSE))/(VLOOKUP(Main_L[[#This Row],[Industry]], Mean_ROE_L, 3, FALSE))</f>
        <v>1.0057243676826821</v>
      </c>
      <c r="R126" s="1">
        <f>(Main_L[[#This Row],[ROA]]-VLOOKUP(Main_L[[#This Row],[Industry]], Mean_ROA_L, 2, FALSE))/(VLOOKUP(Main_L[[#This Row],[Industry]], Mean_ROA_L, 3, FALSE))</f>
        <v>0.36676791678092174</v>
      </c>
      <c r="S126" s="1">
        <f>(Main_L[[#This Row],[A/E]]-VLOOKUP(Main_L[[#This Row],[Industry]], Mean_AE_L, 2, FALSE))/(VLOOKUP(Main_L[[#This Row],[Industry]], Mean_AE_L, 3, FALSE))</f>
        <v>-0.16628889979477754</v>
      </c>
      <c r="T126" s="1">
        <f>(Main_L[[#This Row],[P/E]]-VLOOKUP(Main_L[[#This Row],[Industry]], Mean_PE_L, 2, FALSE))/(VLOOKUP(Main_L[[#This Row],[Industry]], Mean_PE_L, 3, FALSE))</f>
        <v>-0.47691795985093066</v>
      </c>
      <c r="U1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7" spans="1:26" x14ac:dyDescent="0.25">
      <c r="A127" s="67" t="s">
        <v>214</v>
      </c>
      <c r="B127" s="67" t="s">
        <v>233</v>
      </c>
      <c r="C127" s="2">
        <v>10292</v>
      </c>
      <c r="D127">
        <f>RTD("tos.rtd", , "LAST", Main_L[[#This Row],[Symbol]])</f>
        <v>198.68</v>
      </c>
      <c r="E127">
        <v>27.33</v>
      </c>
      <c r="F127">
        <v>103</v>
      </c>
      <c r="G127">
        <v>12.82</v>
      </c>
      <c r="H127" s="1">
        <f>IF(ISNUMBER(Main_L[[#This Row],[Free CF]]),IF(Main_L[[#This Row],[Free CF]]&lt;&gt;0,Main_L[[#This Row],[Current Price]]/Main_L[[#This Row],[Free CF]],""),"")</f>
        <v>7.2696670325649473</v>
      </c>
      <c r="I127" s="1">
        <f>IF(ISNUMBER(Main_L[[#This Row],[BVPS]]),IF(Main_L[[#This Row],[BVPS]]&lt;&gt;0,Main_L[[#This Row],[Current Price]]/Main_L[[#This Row],[BVPS]],""),"")</f>
        <v>1.9289320388349516</v>
      </c>
      <c r="J127">
        <v>13.2</v>
      </c>
      <c r="K127">
        <v>1.71</v>
      </c>
      <c r="L127">
        <v>6.68</v>
      </c>
      <c r="M127" s="1">
        <f>IF(ISNUMBER(Main_L[[#This Row],[EPS]]),IF(Main_L[[#This Row],[EPS]]&lt;&gt;0,Main_L[[#This Row],[Current Price]]/Main_L[[#This Row],[EPS]],""),"")</f>
        <v>15.497659906396256</v>
      </c>
      <c r="N1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7" s="1">
        <f>(Main_L[[#This Row],[P/FCF]]-VLOOKUP(Main_L[[#This Row],[Industry]], Mean_PFCF_L, 2, FALSE))/(VLOOKUP(Main_L[[#This Row],[Industry]], Mean_PFCF_L, 3, FALSE))</f>
        <v>-0.48934102432633719</v>
      </c>
      <c r="P127" s="1">
        <f>(Main_L[[#This Row],[P/B]]-VLOOKUP(Main_L[[#This Row],[Industry]], Mean_PB_L, 2, FALSE))/(VLOOKUP(Main_L[[#This Row],[Industry]], Mean_PB_L, 3, FALSE))</f>
        <v>-0.14063886625351149</v>
      </c>
      <c r="Q127" s="1">
        <f>(Main_L[[#This Row],[ROE]]-VLOOKUP(Main_L[[#This Row],[Industry]], Mean_ROE_L, 2, FALSE))/(VLOOKUP(Main_L[[#This Row],[Industry]], Mean_ROE_L, 3, FALSE))</f>
        <v>-8.0557013377405187E-2</v>
      </c>
      <c r="R127" s="1">
        <f>(Main_L[[#This Row],[ROA]]-VLOOKUP(Main_L[[#This Row],[Industry]], Mean_ROA_L, 2, FALSE))/(VLOOKUP(Main_L[[#This Row],[Industry]], Mean_ROA_L, 3, FALSE))</f>
        <v>-0.40476443484996111</v>
      </c>
      <c r="S127" s="1">
        <f>(Main_L[[#This Row],[A/E]]-VLOOKUP(Main_L[[#This Row],[Industry]], Mean_AE_L, 2, FALSE))/(VLOOKUP(Main_L[[#This Row],[Industry]], Mean_AE_L, 3, FALSE))</f>
        <v>5.0015261273236314E-2</v>
      </c>
      <c r="T127" s="1">
        <f>(Main_L[[#This Row],[P/E]]-VLOOKUP(Main_L[[#This Row],[Industry]], Mean_PE_L, 2, FALSE))/(VLOOKUP(Main_L[[#This Row],[Industry]], Mean_PE_L, 3, FALSE))</f>
        <v>-0.13860452752413566</v>
      </c>
      <c r="U1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8" spans="1:26" x14ac:dyDescent="0.25">
      <c r="A128" s="67" t="s">
        <v>214</v>
      </c>
      <c r="B128" s="67" t="s">
        <v>244</v>
      </c>
      <c r="C128" s="2">
        <v>167033</v>
      </c>
      <c r="D128">
        <f>RTD("tos.rtd", , "LAST", Main_L[[#This Row],[Symbol]])</f>
        <v>271.31</v>
      </c>
      <c r="E128">
        <v>26.86</v>
      </c>
      <c r="F128">
        <v>49.39</v>
      </c>
      <c r="G128">
        <v>14.83</v>
      </c>
      <c r="H128" s="1">
        <f>IF(ISNUMBER(Main_L[[#This Row],[Free CF]]),IF(Main_L[[#This Row],[Free CF]]&lt;&gt;0,Main_L[[#This Row],[Current Price]]/Main_L[[#This Row],[Free CF]],""),"")</f>
        <v>10.100893521965748</v>
      </c>
      <c r="I128" s="1">
        <f>IF(ISNUMBER(Main_L[[#This Row],[BVPS]]),IF(Main_L[[#This Row],[BVPS]]&lt;&gt;0,Main_L[[#This Row],[Current Price]]/Main_L[[#This Row],[BVPS]],""),"")</f>
        <v>5.4932172504555581</v>
      </c>
      <c r="J128">
        <v>34.340000000000003</v>
      </c>
      <c r="K128">
        <v>6.86</v>
      </c>
      <c r="L128">
        <v>3.85</v>
      </c>
      <c r="M128" s="1">
        <f>IF(ISNUMBER(Main_L[[#This Row],[EPS]]),IF(Main_L[[#This Row],[EPS]]&lt;&gt;0,Main_L[[#This Row],[Current Price]]/Main_L[[#This Row],[EPS]],""),"")</f>
        <v>18.294672960215777</v>
      </c>
      <c r="N1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8" s="1">
        <f>(Main_L[[#This Row],[P/FCF]]-VLOOKUP(Main_L[[#This Row],[Industry]], Mean_PFCF_L, 2, FALSE))/(VLOOKUP(Main_L[[#This Row],[Industry]], Mean_PFCF_L, 3, FALSE))</f>
        <v>-0.13219658671948481</v>
      </c>
      <c r="P128" s="1">
        <f>(Main_L[[#This Row],[P/B]]-VLOOKUP(Main_L[[#This Row],[Industry]], Mean_PB_L, 2, FALSE))/(VLOOKUP(Main_L[[#This Row],[Industry]], Mean_PB_L, 3, FALSE))</f>
        <v>3.2424455901459424</v>
      </c>
      <c r="Q128" s="1">
        <f>(Main_L[[#This Row],[ROE]]-VLOOKUP(Main_L[[#This Row],[Industry]], Mean_ROE_L, 2, FALSE))/(VLOOKUP(Main_L[[#This Row],[Industry]], Mean_ROE_L, 3, FALSE))</f>
        <v>3.4415270963787692</v>
      </c>
      <c r="R128" s="1">
        <f>(Main_L[[#This Row],[ROA]]-VLOOKUP(Main_L[[#This Row],[Industry]], Mean_ROA_L, 2, FALSE))/(VLOOKUP(Main_L[[#This Row],[Industry]], Mean_ROA_L, 3, FALSE))</f>
        <v>2.4333724300779296</v>
      </c>
      <c r="S128" s="1">
        <f>(Main_L[[#This Row],[A/E]]-VLOOKUP(Main_L[[#This Row],[Industry]], Mean_AE_L, 2, FALSE))/(VLOOKUP(Main_L[[#This Row],[Industry]], Mean_AE_L, 3, FALSE))</f>
        <v>-0.60119833002727374</v>
      </c>
      <c r="T128" s="1">
        <f>(Main_L[[#This Row],[P/E]]-VLOOKUP(Main_L[[#This Row],[Industry]], Mean_PE_L, 2, FALSE))/(VLOOKUP(Main_L[[#This Row],[Industry]], Mean_PE_L, 3, FALSE))</f>
        <v>0.39185524884768308</v>
      </c>
      <c r="U1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9" spans="1:26" x14ac:dyDescent="0.25">
      <c r="A129" s="67" t="s">
        <v>214</v>
      </c>
      <c r="B129" s="67" t="s">
        <v>223</v>
      </c>
      <c r="C129" s="2">
        <v>52751</v>
      </c>
      <c r="D129">
        <f>RTD("tos.rtd", , "LAST", Main_L[[#This Row],[Symbol]])</f>
        <v>79.62</v>
      </c>
      <c r="E129">
        <v>23.46</v>
      </c>
      <c r="F129">
        <v>40.83</v>
      </c>
      <c r="G129">
        <v>6.14</v>
      </c>
      <c r="H129" s="1">
        <f>IF(ISNUMBER(Main_L[[#This Row],[Free CF]]),IF(Main_L[[#This Row],[Free CF]]&lt;&gt;0,Main_L[[#This Row],[Current Price]]/Main_L[[#This Row],[Free CF]],""),"")</f>
        <v>3.3938618925831201</v>
      </c>
      <c r="I129" s="1">
        <f>IF(ISNUMBER(Main_L[[#This Row],[BVPS]]),IF(Main_L[[#This Row],[BVPS]]&lt;&gt;0,Main_L[[#This Row],[Current Price]]/Main_L[[#This Row],[BVPS]],""),"")</f>
        <v>1.9500367376928731</v>
      </c>
      <c r="J129">
        <v>15.98</v>
      </c>
      <c r="K129">
        <v>0.63</v>
      </c>
      <c r="L129">
        <v>25.04</v>
      </c>
      <c r="M129" s="1">
        <f>IF(ISNUMBER(Main_L[[#This Row],[EPS]]),IF(Main_L[[#This Row],[EPS]]&lt;&gt;0,Main_L[[#This Row],[Current Price]]/Main_L[[#This Row],[EPS]],""),"")</f>
        <v>12.967426710097721</v>
      </c>
      <c r="N1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9" s="1">
        <f>(Main_L[[#This Row],[P/FCF]]-VLOOKUP(Main_L[[#This Row],[Industry]], Mean_PFCF_L, 2, FALSE))/(VLOOKUP(Main_L[[#This Row],[Industry]], Mean_PFCF_L, 3, FALSE))</f>
        <v>-0.9782536041480645</v>
      </c>
      <c r="P129" s="1">
        <f>(Main_L[[#This Row],[P/B]]-VLOOKUP(Main_L[[#This Row],[Industry]], Mean_PB_L, 2, FALSE))/(VLOOKUP(Main_L[[#This Row],[Industry]], Mean_PB_L, 3, FALSE))</f>
        <v>-0.12060708584759888</v>
      </c>
      <c r="Q129" s="1">
        <f>(Main_L[[#This Row],[ROE]]-VLOOKUP(Main_L[[#This Row],[Industry]], Mean_ROE_L, 2, FALSE))/(VLOOKUP(Main_L[[#This Row],[Industry]], Mean_ROE_L, 3, FALSE))</f>
        <v>0.38261204173717217</v>
      </c>
      <c r="R129" s="1">
        <f>(Main_L[[#This Row],[ROA]]-VLOOKUP(Main_L[[#This Row],[Industry]], Mean_ROA_L, 2, FALSE))/(VLOOKUP(Main_L[[#This Row],[Industry]], Mean_ROA_L, 3, FALSE))</f>
        <v>-0.99994653467949934</v>
      </c>
      <c r="S129" s="1">
        <f>(Main_L[[#This Row],[A/E]]-VLOOKUP(Main_L[[#This Row],[Industry]], Mean_AE_L, 2, FALSE))/(VLOOKUP(Main_L[[#This Row],[Industry]], Mean_AE_L, 3, FALSE))</f>
        <v>4.2748497263889131</v>
      </c>
      <c r="T129" s="1">
        <f>(Main_L[[#This Row],[P/E]]-VLOOKUP(Main_L[[#This Row],[Industry]], Mean_PE_L, 2, FALSE))/(VLOOKUP(Main_L[[#This Row],[Industry]], Mean_PE_L, 3, FALSE))</f>
        <v>-0.61846890772222629</v>
      </c>
      <c r="U1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0" spans="1:26" x14ac:dyDescent="0.25">
      <c r="A130" s="67" t="s">
        <v>214</v>
      </c>
      <c r="B130" s="67" t="s">
        <v>239</v>
      </c>
      <c r="C130" s="2">
        <v>15042</v>
      </c>
      <c r="D130">
        <f>RTD("tos.rtd", , "LAST", Main_L[[#This Row],[Symbol]])</f>
        <v>54.84</v>
      </c>
      <c r="E130">
        <v>22.8</v>
      </c>
      <c r="F130">
        <v>28.7</v>
      </c>
      <c r="G130">
        <v>4.04</v>
      </c>
      <c r="H130" s="1">
        <f>IF(ISNUMBER(Main_L[[#This Row],[Free CF]]),IF(Main_L[[#This Row],[Free CF]]&lt;&gt;0,Main_L[[#This Row],[Current Price]]/Main_L[[#This Row],[Free CF]],""),"")</f>
        <v>2.405263157894737</v>
      </c>
      <c r="I130" s="1">
        <f>IF(ISNUMBER(Main_L[[#This Row],[BVPS]]),IF(Main_L[[#This Row],[BVPS]]&lt;&gt;0,Main_L[[#This Row],[Current Price]]/Main_L[[#This Row],[BVPS]],""),"")</f>
        <v>1.9108013937282231</v>
      </c>
      <c r="J130">
        <v>14.49</v>
      </c>
      <c r="K130">
        <v>1.26</v>
      </c>
      <c r="L130">
        <v>12.44</v>
      </c>
      <c r="M130" s="1">
        <f>IF(ISNUMBER(Main_L[[#This Row],[EPS]]),IF(Main_L[[#This Row],[EPS]]&lt;&gt;0,Main_L[[#This Row],[Current Price]]/Main_L[[#This Row],[EPS]],""),"")</f>
        <v>13.574257425742575</v>
      </c>
      <c r="N1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0" s="1">
        <f>(Main_L[[#This Row],[P/FCF]]-VLOOKUP(Main_L[[#This Row],[Industry]], Mean_PFCF_L, 2, FALSE))/(VLOOKUP(Main_L[[#This Row],[Industry]], Mean_PFCF_L, 3, FALSE))</f>
        <v>-1.1029601722876741</v>
      </c>
      <c r="P130" s="1">
        <f>(Main_L[[#This Row],[P/B]]-VLOOKUP(Main_L[[#This Row],[Industry]], Mean_PB_L, 2, FALSE))/(VLOOKUP(Main_L[[#This Row],[Industry]], Mean_PB_L, 3, FALSE))</f>
        <v>-0.15784778753879183</v>
      </c>
      <c r="Q130" s="1">
        <f>(Main_L[[#This Row],[ROE]]-VLOOKUP(Main_L[[#This Row],[Industry]], Mean_ROE_L, 2, FALSE))/(VLOOKUP(Main_L[[#This Row],[Industry]], Mean_ROE_L, 3, FALSE))</f>
        <v>0.13436675680166135</v>
      </c>
      <c r="R130" s="1">
        <f>(Main_L[[#This Row],[ROA]]-VLOOKUP(Main_L[[#This Row],[Industry]], Mean_ROA_L, 2, FALSE))/(VLOOKUP(Main_L[[#This Row],[Industry]], Mean_ROA_L, 3, FALSE))</f>
        <v>-0.65275697644560204</v>
      </c>
      <c r="S130" s="1">
        <f>(Main_L[[#This Row],[A/E]]-VLOOKUP(Main_L[[#This Row],[Industry]], Mean_AE_L, 2, FALSE))/(VLOOKUP(Main_L[[#This Row],[Industry]], Mean_AE_L, 3, FALSE))</f>
        <v>1.375453524838939</v>
      </c>
      <c r="T130" s="1">
        <f>(Main_L[[#This Row],[P/E]]-VLOOKUP(Main_L[[#This Row],[Industry]], Mean_PE_L, 2, FALSE))/(VLOOKUP(Main_L[[#This Row],[Industry]], Mean_PE_L, 3, FALSE))</f>
        <v>-0.50338210636570657</v>
      </c>
      <c r="U1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1" spans="1:26" x14ac:dyDescent="0.25">
      <c r="A131" s="67" t="s">
        <v>214</v>
      </c>
      <c r="B131" s="67" t="s">
        <v>225</v>
      </c>
      <c r="C131" s="2">
        <v>17462</v>
      </c>
      <c r="D131">
        <f>RTD("tos.rtd", , "LAST", Main_L[[#This Row],[Symbol]])</f>
        <v>76.84</v>
      </c>
      <c r="E131">
        <v>21.48</v>
      </c>
      <c r="F131">
        <v>49.86</v>
      </c>
      <c r="G131">
        <v>4.68</v>
      </c>
      <c r="H131" s="1">
        <f>IF(ISNUMBER(Main_L[[#This Row],[Free CF]]),IF(Main_L[[#This Row],[Free CF]]&lt;&gt;0,Main_L[[#This Row],[Current Price]]/Main_L[[#This Row],[Free CF]],""),"")</f>
        <v>3.5772811918063314</v>
      </c>
      <c r="I131" s="1">
        <f>IF(ISNUMBER(Main_L[[#This Row],[BVPS]]),IF(Main_L[[#This Row],[BVPS]]&lt;&gt;0,Main_L[[#This Row],[Current Price]]/Main_L[[#This Row],[BVPS]],""),"")</f>
        <v>1.5411151223425592</v>
      </c>
      <c r="J131">
        <v>9.73</v>
      </c>
      <c r="K131">
        <v>0.28000000000000003</v>
      </c>
      <c r="L131">
        <v>27.9</v>
      </c>
      <c r="M131" s="1">
        <f>IF(ISNUMBER(Main_L[[#This Row],[EPS]]),IF(Main_L[[#This Row],[EPS]]&lt;&gt;0,Main_L[[#This Row],[Current Price]]/Main_L[[#This Row],[EPS]],""),"")</f>
        <v>16.418803418803421</v>
      </c>
      <c r="N1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1" s="1">
        <f>(Main_L[[#This Row],[P/FCF]]-VLOOKUP(Main_L[[#This Row],[Industry]], Mean_PFCF_L, 2, FALSE))/(VLOOKUP(Main_L[[#This Row],[Industry]], Mean_PFCF_L, 3, FALSE))</f>
        <v>-0.95511621732558494</v>
      </c>
      <c r="P131" s="1">
        <f>(Main_L[[#This Row],[P/B]]-VLOOKUP(Main_L[[#This Row],[Industry]], Mean_PB_L, 2, FALSE))/(VLOOKUP(Main_L[[#This Row],[Industry]], Mean_PB_L, 3, FALSE))</f>
        <v>-0.50873998729641212</v>
      </c>
      <c r="Q131" s="1">
        <f>(Main_L[[#This Row],[ROE]]-VLOOKUP(Main_L[[#This Row],[Industry]], Mean_ROE_L, 2, FALSE))/(VLOOKUP(Main_L[[#This Row],[Industry]], Mean_ROE_L, 3, FALSE))</f>
        <v>-0.65868529440171542</v>
      </c>
      <c r="R131" s="1">
        <f>(Main_L[[#This Row],[ROA]]-VLOOKUP(Main_L[[#This Row],[Industry]], Mean_ROA_L, 2, FALSE))/(VLOOKUP(Main_L[[#This Row],[Industry]], Mean_ROA_L, 3, FALSE))</f>
        <v>-1.1928296225872199</v>
      </c>
      <c r="S131" s="1">
        <f>(Main_L[[#This Row],[A/E]]-VLOOKUP(Main_L[[#This Row],[Industry]], Mean_AE_L, 2, FALSE))/(VLOOKUP(Main_L[[#This Row],[Industry]], Mean_AE_L, 3, FALSE))</f>
        <v>4.9329666419788278</v>
      </c>
      <c r="T131" s="1">
        <f>(Main_L[[#This Row],[P/E]]-VLOOKUP(Main_L[[#This Row],[Industry]], Mean_PE_L, 2, FALSE))/(VLOOKUP(Main_L[[#This Row],[Industry]], Mean_PE_L, 3, FALSE))</f>
        <v>3.6092398158995329E-2</v>
      </c>
      <c r="U1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2" spans="1:26" x14ac:dyDescent="0.25">
      <c r="A132" s="67" t="s">
        <v>214</v>
      </c>
      <c r="B132" s="67" t="s">
        <v>247</v>
      </c>
      <c r="C132" s="2">
        <v>14041</v>
      </c>
      <c r="D132">
        <f>RTD("tos.rtd", , "LAST", Main_L[[#This Row],[Symbol]])</f>
        <v>58.54</v>
      </c>
      <c r="E132">
        <v>19.940000000000001</v>
      </c>
      <c r="F132">
        <v>50.47</v>
      </c>
      <c r="G132">
        <v>2.2799999999999998</v>
      </c>
      <c r="H132" s="1">
        <f>IF(ISNUMBER(Main_L[[#This Row],[Free CF]]),IF(Main_L[[#This Row],[Free CF]]&lt;&gt;0,Main_L[[#This Row],[Current Price]]/Main_L[[#This Row],[Free CF]],""),"")</f>
        <v>2.9358074222668002</v>
      </c>
      <c r="I132" s="1">
        <f>IF(ISNUMBER(Main_L[[#This Row],[BVPS]]),IF(Main_L[[#This Row],[BVPS]]&lt;&gt;0,Main_L[[#This Row],[Current Price]]/Main_L[[#This Row],[BVPS]],""),"")</f>
        <v>1.1598969684961364</v>
      </c>
      <c r="J132">
        <v>5.66</v>
      </c>
      <c r="K132">
        <v>0.87</v>
      </c>
      <c r="L132">
        <v>11.57</v>
      </c>
      <c r="M132" s="1">
        <f>IF(ISNUMBER(Main_L[[#This Row],[EPS]]),IF(Main_L[[#This Row],[EPS]]&lt;&gt;0,Main_L[[#This Row],[Current Price]]/Main_L[[#This Row],[EPS]],""),"")</f>
        <v>25.67543859649123</v>
      </c>
      <c r="N1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2" s="1">
        <f>(Main_L[[#This Row],[P/FCF]]-VLOOKUP(Main_L[[#This Row],[Industry]], Mean_PFCF_L, 2, FALSE))/(VLOOKUP(Main_L[[#This Row],[Industry]], Mean_PFCF_L, 3, FALSE))</f>
        <v>-1.0360347837205435</v>
      </c>
      <c r="P132" s="1">
        <f>(Main_L[[#This Row],[P/B]]-VLOOKUP(Main_L[[#This Row],[Industry]], Mean_PB_L, 2, FALSE))/(VLOOKUP(Main_L[[#This Row],[Industry]], Mean_PB_L, 3, FALSE))</f>
        <v>-0.87057781289194902</v>
      </c>
      <c r="Q132" s="1">
        <f>(Main_L[[#This Row],[ROE]]-VLOOKUP(Main_L[[#This Row],[Industry]], Mean_ROE_L, 2, FALSE))/(VLOOKUP(Main_L[[#This Row],[Industry]], Mean_ROE_L, 3, FALSE))</f>
        <v>-1.336778119695359</v>
      </c>
      <c r="R132" s="1">
        <f>(Main_L[[#This Row],[ROA]]-VLOOKUP(Main_L[[#This Row],[Industry]], Mean_ROA_L, 2, FALSE))/(VLOOKUP(Main_L[[#This Row],[Industry]], Mean_ROA_L, 3, FALSE))</f>
        <v>-0.86768384582849079</v>
      </c>
      <c r="S132" s="1">
        <f>(Main_L[[#This Row],[A/E]]-VLOOKUP(Main_L[[#This Row],[Industry]], Mean_AE_L, 2, FALSE))/(VLOOKUP(Main_L[[#This Row],[Industry]], Mean_AE_L, 3, FALSE))</f>
        <v>1.1752571204462028</v>
      </c>
      <c r="T132" s="1">
        <f>(Main_L[[#This Row],[P/E]]-VLOOKUP(Main_L[[#This Row],[Industry]], Mean_PE_L, 2, FALSE))/(VLOOKUP(Main_L[[#This Row],[Industry]], Mean_PE_L, 3, FALSE))</f>
        <v>1.7916339461708852</v>
      </c>
      <c r="U1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3" spans="1:26" x14ac:dyDescent="0.25">
      <c r="A133" s="67" t="s">
        <v>214</v>
      </c>
      <c r="B133" s="67" t="s">
        <v>240</v>
      </c>
      <c r="C133" s="2">
        <v>36888</v>
      </c>
      <c r="D133">
        <f>RTD("tos.rtd", , "LAST", Main_L[[#This Row],[Symbol]])</f>
        <v>126.87</v>
      </c>
      <c r="E133">
        <v>19.39</v>
      </c>
      <c r="F133">
        <v>57.91</v>
      </c>
      <c r="G133">
        <v>10.039999999999999</v>
      </c>
      <c r="H133" s="1">
        <f>IF(ISNUMBER(Main_L[[#This Row],[Free CF]]),IF(Main_L[[#This Row],[Free CF]]&lt;&gt;0,Main_L[[#This Row],[Current Price]]/Main_L[[#This Row],[Free CF]],""),"")</f>
        <v>6.5430634347601861</v>
      </c>
      <c r="I133" s="1">
        <f>IF(ISNUMBER(Main_L[[#This Row],[BVPS]]),IF(Main_L[[#This Row],[BVPS]]&lt;&gt;0,Main_L[[#This Row],[Current Price]]/Main_L[[#This Row],[BVPS]],""),"")</f>
        <v>2.1908133310309101</v>
      </c>
      <c r="J133">
        <v>18.5</v>
      </c>
      <c r="K133">
        <v>3.08</v>
      </c>
      <c r="L133">
        <v>4.99</v>
      </c>
      <c r="M133" s="1">
        <f>IF(ISNUMBER(Main_L[[#This Row],[EPS]]),IF(Main_L[[#This Row],[EPS]]&lt;&gt;0,Main_L[[#This Row],[Current Price]]/Main_L[[#This Row],[EPS]],""),"")</f>
        <v>12.636454183266935</v>
      </c>
      <c r="N1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3" s="1">
        <f>(Main_L[[#This Row],[P/FCF]]-VLOOKUP(Main_L[[#This Row],[Industry]], Mean_PFCF_L, 2, FALSE))/(VLOOKUP(Main_L[[#This Row],[Industry]], Mean_PFCF_L, 3, FALSE))</f>
        <v>-0.58099827402804438</v>
      </c>
      <c r="P133" s="1">
        <f>(Main_L[[#This Row],[P/B]]-VLOOKUP(Main_L[[#This Row],[Industry]], Mean_PB_L, 2, FALSE))/(VLOOKUP(Main_L[[#This Row],[Industry]], Mean_PB_L, 3, FALSE))</f>
        <v>0.10792893246288822</v>
      </c>
      <c r="Q133" s="1">
        <f>(Main_L[[#This Row],[ROE]]-VLOOKUP(Main_L[[#This Row],[Industry]], Mean_ROE_L, 2, FALSE))/(VLOOKUP(Main_L[[#This Row],[Industry]], Mean_ROE_L, 3, FALSE))</f>
        <v>0.80246312766837158</v>
      </c>
      <c r="R133" s="1">
        <f>(Main_L[[#This Row],[ROA]]-VLOOKUP(Main_L[[#This Row],[Industry]], Mean_ROA_L, 2, FALSE))/(VLOOKUP(Main_L[[#This Row],[Industry]], Mean_ROA_L, 3, FALSE))</f>
        <v>0.35023508067454578</v>
      </c>
      <c r="S133" s="1">
        <f>(Main_L[[#This Row],[A/E]]-VLOOKUP(Main_L[[#This Row],[Industry]], Mean_AE_L, 2, FALSE))/(VLOOKUP(Main_L[[#This Row],[Industry]], Mean_AE_L, 3, FALSE))</f>
        <v>-0.33887200702989506</v>
      </c>
      <c r="T133" s="1">
        <f>(Main_L[[#This Row],[P/E]]-VLOOKUP(Main_L[[#This Row],[Industry]], Mean_PE_L, 2, FALSE))/(VLOOKUP(Main_L[[#This Row],[Industry]], Mean_PE_L, 3, FALSE))</f>
        <v>-0.68123858708719198</v>
      </c>
      <c r="U1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4" spans="1:26" x14ac:dyDescent="0.25">
      <c r="A134" s="67" t="s">
        <v>214</v>
      </c>
      <c r="B134" s="67" t="s">
        <v>230</v>
      </c>
      <c r="C134" s="2">
        <v>35617</v>
      </c>
      <c r="D134">
        <f>RTD("tos.rtd", , "LAST", Main_L[[#This Row],[Symbol]])</f>
        <v>92.35</v>
      </c>
      <c r="E134">
        <v>17.38</v>
      </c>
      <c r="F134">
        <v>55.38</v>
      </c>
      <c r="G134">
        <v>9.75</v>
      </c>
      <c r="H134" s="1">
        <f>IF(ISNUMBER(Main_L[[#This Row],[Free CF]]),IF(Main_L[[#This Row],[Free CF]]&lt;&gt;0,Main_L[[#This Row],[Current Price]]/Main_L[[#This Row],[Free CF]],""),"")</f>
        <v>5.3135788262370545</v>
      </c>
      <c r="I134" s="1">
        <f>IF(ISNUMBER(Main_L[[#This Row],[BVPS]]),IF(Main_L[[#This Row],[BVPS]]&lt;&gt;0,Main_L[[#This Row],[Current Price]]/Main_L[[#This Row],[BVPS]],""),"")</f>
        <v>1.6675695196821956</v>
      </c>
      <c r="J134">
        <v>18.420000000000002</v>
      </c>
      <c r="K134">
        <v>3.8</v>
      </c>
      <c r="L134">
        <v>3.63</v>
      </c>
      <c r="M134" s="1">
        <f>IF(ISNUMBER(Main_L[[#This Row],[EPS]]),IF(Main_L[[#This Row],[EPS]]&lt;&gt;0,Main_L[[#This Row],[Current Price]]/Main_L[[#This Row],[EPS]],""),"")</f>
        <v>9.4717948717948719</v>
      </c>
      <c r="N1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4" s="1">
        <f>(Main_L[[#This Row],[P/FCF]]-VLOOKUP(Main_L[[#This Row],[Industry]], Mean_PFCF_L, 2, FALSE))/(VLOOKUP(Main_L[[#This Row],[Industry]], Mean_PFCF_L, 3, FALSE))</f>
        <v>-0.73609133729978804</v>
      </c>
      <c r="P134" s="1">
        <f>(Main_L[[#This Row],[P/B]]-VLOOKUP(Main_L[[#This Row],[Industry]], Mean_PB_L, 2, FALSE))/(VLOOKUP(Main_L[[#This Row],[Industry]], Mean_PB_L, 3, FALSE))</f>
        <v>-0.38871426525589958</v>
      </c>
      <c r="Q134" s="1">
        <f>(Main_L[[#This Row],[ROE]]-VLOOKUP(Main_L[[#This Row],[Industry]], Mean_ROE_L, 2, FALSE))/(VLOOKUP(Main_L[[#This Row],[Industry]], Mean_ROE_L, 3, FALSE))</f>
        <v>0.78913452176579413</v>
      </c>
      <c r="R134" s="1">
        <f>(Main_L[[#This Row],[ROA]]-VLOOKUP(Main_L[[#This Row],[Industry]], Mean_ROA_L, 2, FALSE))/(VLOOKUP(Main_L[[#This Row],[Industry]], Mean_ROA_L, 3, FALSE))</f>
        <v>0.74702314722757113</v>
      </c>
      <c r="S134" s="1">
        <f>(Main_L[[#This Row],[A/E]]-VLOOKUP(Main_L[[#This Row],[Industry]], Mean_AE_L, 2, FALSE))/(VLOOKUP(Main_L[[#This Row],[Industry]], Mean_AE_L, 3, FALSE))</f>
        <v>-0.65182270814957499</v>
      </c>
      <c r="T134" s="1">
        <f>(Main_L[[#This Row],[P/E]]-VLOOKUP(Main_L[[#This Row],[Industry]], Mean_PE_L, 2, FALSE))/(VLOOKUP(Main_L[[#This Row],[Industry]], Mean_PE_L, 3, FALSE))</f>
        <v>-1.2814232978321225</v>
      </c>
      <c r="U1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5" spans="1:26" x14ac:dyDescent="0.25">
      <c r="A135" s="67" t="s">
        <v>214</v>
      </c>
      <c r="B135" s="67" t="s">
        <v>236</v>
      </c>
      <c r="C135" s="2">
        <v>23574</v>
      </c>
      <c r="D135">
        <f>RTD("tos.rtd", , "LAST", Main_L[[#This Row],[Symbol]])</f>
        <v>148.97</v>
      </c>
      <c r="E135">
        <v>16.559999999999999</v>
      </c>
      <c r="F135">
        <v>87.77</v>
      </c>
      <c r="G135">
        <v>9.1999999999999993</v>
      </c>
      <c r="H135" s="1">
        <f>IF(ISNUMBER(Main_L[[#This Row],[Free CF]]),IF(Main_L[[#This Row],[Free CF]]&lt;&gt;0,Main_L[[#This Row],[Current Price]]/Main_L[[#This Row],[Free CF]],""),"")</f>
        <v>8.9957729468599048</v>
      </c>
      <c r="I135" s="1">
        <f>IF(ISNUMBER(Main_L[[#This Row],[BVPS]]),IF(Main_L[[#This Row],[BVPS]]&lt;&gt;0,Main_L[[#This Row],[Current Price]]/Main_L[[#This Row],[BVPS]],""),"")</f>
        <v>1.6972769739090807</v>
      </c>
      <c r="J135">
        <v>10.97</v>
      </c>
      <c r="K135">
        <v>3.22</v>
      </c>
      <c r="L135">
        <v>2.72</v>
      </c>
      <c r="M135" s="1">
        <f>IF(ISNUMBER(Main_L[[#This Row],[EPS]]),IF(Main_L[[#This Row],[EPS]]&lt;&gt;0,Main_L[[#This Row],[Current Price]]/Main_L[[#This Row],[EPS]],""),"")</f>
        <v>16.192391304347826</v>
      </c>
      <c r="N1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5" s="1">
        <f>(Main_L[[#This Row],[P/FCF]]-VLOOKUP(Main_L[[#This Row],[Industry]], Mean_PFCF_L, 2, FALSE))/(VLOOKUP(Main_L[[#This Row],[Industry]], Mean_PFCF_L, 3, FALSE))</f>
        <v>-0.27160177657678553</v>
      </c>
      <c r="P135" s="1">
        <f>(Main_L[[#This Row],[P/B]]-VLOOKUP(Main_L[[#This Row],[Industry]], Mean_PB_L, 2, FALSE))/(VLOOKUP(Main_L[[#This Row],[Industry]], Mean_PB_L, 3, FALSE))</f>
        <v>-0.36051707545007122</v>
      </c>
      <c r="Q135" s="1">
        <f>(Main_L[[#This Row],[ROE]]-VLOOKUP(Main_L[[#This Row],[Industry]], Mean_ROE_L, 2, FALSE))/(VLOOKUP(Main_L[[#This Row],[Industry]], Mean_ROE_L, 3, FALSE))</f>
        <v>-0.45209190291176005</v>
      </c>
      <c r="R135" s="1">
        <f>(Main_L[[#This Row],[ROA]]-VLOOKUP(Main_L[[#This Row],[Industry]], Mean_ROA_L, 2, FALSE))/(VLOOKUP(Main_L[[#This Row],[Industry]], Mean_ROA_L, 3, FALSE))</f>
        <v>0.42738831583763415</v>
      </c>
      <c r="S135" s="1">
        <f>(Main_L[[#This Row],[A/E]]-VLOOKUP(Main_L[[#This Row],[Industry]], Mean_AE_L, 2, FALSE))/(VLOOKUP(Main_L[[#This Row],[Industry]], Mean_AE_L, 3, FALSE))</f>
        <v>-0.8612235449281842</v>
      </c>
      <c r="T135" s="1">
        <f>(Main_L[[#This Row],[P/E]]-VLOOKUP(Main_L[[#This Row],[Industry]], Mean_PE_L, 2, FALSE))/(VLOOKUP(Main_L[[#This Row],[Industry]], Mean_PE_L, 3, FALSE))</f>
        <v>-6.8471653292683466E-3</v>
      </c>
      <c r="U1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6" spans="1:26" x14ac:dyDescent="0.25">
      <c r="A136" s="67" t="s">
        <v>214</v>
      </c>
      <c r="B136" s="67" t="s">
        <v>231</v>
      </c>
      <c r="C136" s="2">
        <v>10355</v>
      </c>
      <c r="D136">
        <f>RTD("tos.rtd", , "LAST", Main_L[[#This Row],[Symbol]])</f>
        <v>124.62</v>
      </c>
      <c r="E136">
        <v>16.53</v>
      </c>
      <c r="F136">
        <v>52.49</v>
      </c>
      <c r="G136">
        <v>9.52</v>
      </c>
      <c r="H136" s="1">
        <f>IF(ISNUMBER(Main_L[[#This Row],[Free CF]]),IF(Main_L[[#This Row],[Free CF]]&lt;&gt;0,Main_L[[#This Row],[Current Price]]/Main_L[[#This Row],[Free CF]],""),"")</f>
        <v>7.5390199637023594</v>
      </c>
      <c r="I136" s="1">
        <f>IF(ISNUMBER(Main_L[[#This Row],[BVPS]]),IF(Main_L[[#This Row],[BVPS]]&lt;&gt;0,Main_L[[#This Row],[Current Price]]/Main_L[[#This Row],[BVPS]],""),"")</f>
        <v>2.3741665079062679</v>
      </c>
      <c r="J136">
        <v>18.510000000000002</v>
      </c>
      <c r="K136">
        <v>2.34</v>
      </c>
      <c r="L136">
        <v>6.9</v>
      </c>
      <c r="M136" s="1">
        <f>IF(ISNUMBER(Main_L[[#This Row],[EPS]]),IF(Main_L[[#This Row],[EPS]]&lt;&gt;0,Main_L[[#This Row],[Current Price]]/Main_L[[#This Row],[EPS]],""),"")</f>
        <v>13.090336134453782</v>
      </c>
      <c r="N1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6" s="1">
        <f>(Main_L[[#This Row],[P/FCF]]-VLOOKUP(Main_L[[#This Row],[Industry]], Mean_PFCF_L, 2, FALSE))/(VLOOKUP(Main_L[[#This Row],[Industry]], Mean_PFCF_L, 3, FALSE))</f>
        <v>-0.45536355856407401</v>
      </c>
      <c r="P136" s="1">
        <f>(Main_L[[#This Row],[P/B]]-VLOOKUP(Main_L[[#This Row],[Industry]], Mean_PB_L, 2, FALSE))/(VLOOKUP(Main_L[[#This Row],[Industry]], Mean_PB_L, 3, FALSE))</f>
        <v>0.28196081989325622</v>
      </c>
      <c r="Q136" s="1">
        <f>(Main_L[[#This Row],[ROE]]-VLOOKUP(Main_L[[#This Row],[Industry]], Mean_ROE_L, 2, FALSE))/(VLOOKUP(Main_L[[#This Row],[Industry]], Mean_ROE_L, 3, FALSE))</f>
        <v>0.80412920340619409</v>
      </c>
      <c r="R136" s="1">
        <f>(Main_L[[#This Row],[ROA]]-VLOOKUP(Main_L[[#This Row],[Industry]], Mean_ROA_L, 2, FALSE))/(VLOOKUP(Main_L[[#This Row],[Industry]], Mean_ROA_L, 3, FALSE))</f>
        <v>-5.7574876616063857E-2</v>
      </c>
      <c r="S136" s="1">
        <f>(Main_L[[#This Row],[A/E]]-VLOOKUP(Main_L[[#This Row],[Industry]], Mean_AE_L, 2, FALSE))/(VLOOKUP(Main_L[[#This Row],[Industry]], Mean_AE_L, 3, FALSE))</f>
        <v>0.10063963939553761</v>
      </c>
      <c r="T136" s="1">
        <f>(Main_L[[#This Row],[P/E]]-VLOOKUP(Main_L[[#This Row],[Industry]], Mean_PE_L, 2, FALSE))/(VLOOKUP(Main_L[[#This Row],[Industry]], Mean_PE_L, 3, FALSE))</f>
        <v>-0.59515886071730728</v>
      </c>
      <c r="U1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7" spans="1:26" x14ac:dyDescent="0.25">
      <c r="A137" s="67" t="s">
        <v>214</v>
      </c>
      <c r="B137" s="67" t="s">
        <v>222</v>
      </c>
      <c r="C137" s="2">
        <v>10060</v>
      </c>
      <c r="D137">
        <f>RTD("tos.rtd", , "LAST", Main_L[[#This Row],[Symbol]])</f>
        <v>120.66</v>
      </c>
      <c r="E137">
        <v>16.260000000000002</v>
      </c>
      <c r="F137">
        <v>65.430000000000007</v>
      </c>
      <c r="G137">
        <v>12.31</v>
      </c>
      <c r="H137" s="1">
        <f>IF(ISNUMBER(Main_L[[#This Row],[Free CF]]),IF(Main_L[[#This Row],[Free CF]]&lt;&gt;0,Main_L[[#This Row],[Current Price]]/Main_L[[#This Row],[Free CF]],""),"")</f>
        <v>7.4206642066420656</v>
      </c>
      <c r="I137" s="1">
        <f>IF(ISNUMBER(Main_L[[#This Row],[BVPS]]),IF(Main_L[[#This Row],[BVPS]]&lt;&gt;0,Main_L[[#This Row],[Current Price]]/Main_L[[#This Row],[BVPS]],""),"")</f>
        <v>1.8441082072443831</v>
      </c>
      <c r="J137">
        <v>20.47</v>
      </c>
      <c r="K137">
        <v>3.19</v>
      </c>
      <c r="L137">
        <v>5.48</v>
      </c>
      <c r="M137" s="1">
        <f>IF(ISNUMBER(Main_L[[#This Row],[EPS]]),IF(Main_L[[#This Row],[EPS]]&lt;&gt;0,Main_L[[#This Row],[Current Price]]/Main_L[[#This Row],[EPS]],""),"")</f>
        <v>9.80178716490658</v>
      </c>
      <c r="N1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7" s="1">
        <f>(Main_L[[#This Row],[P/FCF]]-VLOOKUP(Main_L[[#This Row],[Industry]], Mean_PFCF_L, 2, FALSE))/(VLOOKUP(Main_L[[#This Row],[Industry]], Mean_PFCF_L, 3, FALSE))</f>
        <v>-0.47029351928995644</v>
      </c>
      <c r="P137" s="1">
        <f>(Main_L[[#This Row],[P/B]]-VLOOKUP(Main_L[[#This Row],[Industry]], Mean_PB_L, 2, FALSE))/(VLOOKUP(Main_L[[#This Row],[Industry]], Mean_PB_L, 3, FALSE))</f>
        <v>-0.22115043285056832</v>
      </c>
      <c r="Q137" s="1">
        <f>(Main_L[[#This Row],[ROE]]-VLOOKUP(Main_L[[#This Row],[Industry]], Mean_ROE_L, 2, FALSE))/(VLOOKUP(Main_L[[#This Row],[Industry]], Mean_ROE_L, 3, FALSE))</f>
        <v>1.1306800480193488</v>
      </c>
      <c r="R137" s="1">
        <f>(Main_L[[#This Row],[ROA]]-VLOOKUP(Main_L[[#This Row],[Industry]], Mean_ROA_L, 2, FALSE))/(VLOOKUP(Main_L[[#This Row],[Industry]], Mean_ROA_L, 3, FALSE))</f>
        <v>0.41085547973125797</v>
      </c>
      <c r="S137" s="1">
        <f>(Main_L[[#This Row],[A/E]]-VLOOKUP(Main_L[[#This Row],[Industry]], Mean_AE_L, 2, FALSE))/(VLOOKUP(Main_L[[#This Row],[Industry]], Mean_AE_L, 3, FALSE))</f>
        <v>-0.22611771030295158</v>
      </c>
      <c r="T137" s="1">
        <f>(Main_L[[#This Row],[P/E]]-VLOOKUP(Main_L[[#This Row],[Industry]], Mean_PE_L, 2, FALSE))/(VLOOKUP(Main_L[[#This Row],[Industry]], Mean_PE_L, 3, FALSE))</f>
        <v>-1.2188395219825889</v>
      </c>
      <c r="U1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8" spans="1:26" x14ac:dyDescent="0.25">
      <c r="A138" s="67" t="s">
        <v>214</v>
      </c>
      <c r="B138" s="67" t="s">
        <v>242</v>
      </c>
      <c r="C138" s="2">
        <v>18724</v>
      </c>
      <c r="D138">
        <f>RTD("tos.rtd", , "LAST", Main_L[[#This Row],[Symbol]])</f>
        <v>88.36</v>
      </c>
      <c r="E138">
        <v>13.74</v>
      </c>
      <c r="F138">
        <v>81.73</v>
      </c>
      <c r="G138">
        <v>6.09</v>
      </c>
      <c r="H138" s="1">
        <f>IF(ISNUMBER(Main_L[[#This Row],[Free CF]]),IF(Main_L[[#This Row],[Free CF]]&lt;&gt;0,Main_L[[#This Row],[Current Price]]/Main_L[[#This Row],[Free CF]],""),"")</f>
        <v>6.4308588064046575</v>
      </c>
      <c r="I138" s="1">
        <f>IF(ISNUMBER(Main_L[[#This Row],[BVPS]]),IF(Main_L[[#This Row],[BVPS]]&lt;&gt;0,Main_L[[#This Row],[Current Price]]/Main_L[[#This Row],[BVPS]],""),"")</f>
        <v>1.0811207634895386</v>
      </c>
      <c r="J138">
        <v>8</v>
      </c>
      <c r="K138">
        <v>1.65</v>
      </c>
      <c r="L138">
        <v>4.84</v>
      </c>
      <c r="M138" s="1">
        <f>IF(ISNUMBER(Main_L[[#This Row],[EPS]]),IF(Main_L[[#This Row],[EPS]]&lt;&gt;0,Main_L[[#This Row],[Current Price]]/Main_L[[#This Row],[EPS]],""),"")</f>
        <v>14.509031198686371</v>
      </c>
      <c r="N1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8" s="1">
        <f>(Main_L[[#This Row],[P/FCF]]-VLOOKUP(Main_L[[#This Row],[Industry]], Mean_PFCF_L, 2, FALSE))/(VLOOKUP(Main_L[[#This Row],[Industry]], Mean_PFCF_L, 3, FALSE))</f>
        <v>-0.59515230198763802</v>
      </c>
      <c r="P138" s="1">
        <f>(Main_L[[#This Row],[P/B]]-VLOOKUP(Main_L[[#This Row],[Industry]], Mean_PB_L, 2, FALSE))/(VLOOKUP(Main_L[[#This Row],[Industry]], Mean_PB_L, 3, FALSE))</f>
        <v>-0.94534920150671797</v>
      </c>
      <c r="Q138" s="1">
        <f>(Main_L[[#This Row],[ROE]]-VLOOKUP(Main_L[[#This Row],[Industry]], Mean_ROE_L, 2, FALSE))/(VLOOKUP(Main_L[[#This Row],[Industry]], Mean_ROE_L, 3, FALSE))</f>
        <v>-0.94691639704495956</v>
      </c>
      <c r="R138" s="1">
        <f>(Main_L[[#This Row],[ROA]]-VLOOKUP(Main_L[[#This Row],[Industry]], Mean_ROA_L, 2, FALSE))/(VLOOKUP(Main_L[[#This Row],[Industry]], Mean_ROA_L, 3, FALSE))</f>
        <v>-0.43783010706271325</v>
      </c>
      <c r="S138" s="1">
        <f>(Main_L[[#This Row],[A/E]]-VLOOKUP(Main_L[[#This Row],[Industry]], Mean_AE_L, 2, FALSE))/(VLOOKUP(Main_L[[#This Row],[Industry]], Mean_AE_L, 3, FALSE))</f>
        <v>-0.37338862847691867</v>
      </c>
      <c r="T138" s="1">
        <f>(Main_L[[#This Row],[P/E]]-VLOOKUP(Main_L[[#This Row],[Industry]], Mean_PE_L, 2, FALSE))/(VLOOKUP(Main_L[[#This Row],[Industry]], Mean_PE_L, 3, FALSE))</f>
        <v>-0.32610017131114</v>
      </c>
      <c r="U1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9" spans="1:26" x14ac:dyDescent="0.25">
      <c r="A139" s="67" t="s">
        <v>214</v>
      </c>
      <c r="B139" s="67" t="s">
        <v>706</v>
      </c>
      <c r="C139" s="2">
        <v>40612</v>
      </c>
      <c r="D139">
        <f>RTD("tos.rtd", , "LAST", Main_L[[#This Row],[Symbol]])</f>
        <v>225.12</v>
      </c>
      <c r="E139">
        <v>12.42</v>
      </c>
      <c r="F139">
        <v>67.989999999999995</v>
      </c>
      <c r="G139">
        <v>8.6</v>
      </c>
      <c r="H139" s="1">
        <f>IF(ISNUMBER(Main_L[[#This Row],[Free CF]]),IF(Main_L[[#This Row],[Free CF]]&lt;&gt;0,Main_L[[#This Row],[Current Price]]/Main_L[[#This Row],[Free CF]],""),"")</f>
        <v>18.125603864734298</v>
      </c>
      <c r="I139" s="1">
        <f>IF(ISNUMBER(Main_L[[#This Row],[BVPS]]),IF(Main_L[[#This Row],[BVPS]]&lt;&gt;0,Main_L[[#This Row],[Current Price]]/Main_L[[#This Row],[BVPS]],""),"")</f>
        <v>3.3110751581114872</v>
      </c>
      <c r="J139">
        <v>12.92</v>
      </c>
      <c r="K139">
        <v>3.37</v>
      </c>
      <c r="L139">
        <v>3.47</v>
      </c>
      <c r="M139" s="1">
        <f>IF(ISNUMBER(Main_L[[#This Row],[EPS]]),IF(Main_L[[#This Row],[EPS]]&lt;&gt;0,Main_L[[#This Row],[Current Price]]/Main_L[[#This Row],[EPS]],""),"")</f>
        <v>26.176744186046513</v>
      </c>
      <c r="N1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9" s="1">
        <f>(Main_L[[#This Row],[P/FCF]]-VLOOKUP(Main_L[[#This Row],[Industry]], Mean_PFCF_L, 2, FALSE))/(VLOOKUP(Main_L[[#This Row],[Industry]], Mean_PFCF_L, 3, FALSE))</f>
        <v>0.880078719779403</v>
      </c>
      <c r="P139" s="1">
        <f>(Main_L[[#This Row],[P/B]]-VLOOKUP(Main_L[[#This Row],[Industry]], Mean_PB_L, 2, FALSE))/(VLOOKUP(Main_L[[#This Row],[Industry]], Mean_PB_L, 3, FALSE))</f>
        <v>1.1712390070712964</v>
      </c>
      <c r="Q139" s="1">
        <f>(Main_L[[#This Row],[ROE]]-VLOOKUP(Main_L[[#This Row],[Industry]], Mean_ROE_L, 2, FALSE))/(VLOOKUP(Main_L[[#This Row],[Industry]], Mean_ROE_L, 3, FALSE))</f>
        <v>-0.12720713403642725</v>
      </c>
      <c r="R139" s="1">
        <f>(Main_L[[#This Row],[ROA]]-VLOOKUP(Main_L[[#This Row],[Industry]], Mean_ROA_L, 2, FALSE))/(VLOOKUP(Main_L[[#This Row],[Industry]], Mean_ROA_L, 3, FALSE))</f>
        <v>0.51005249636951444</v>
      </c>
      <c r="S139" s="1">
        <f>(Main_L[[#This Row],[A/E]]-VLOOKUP(Main_L[[#This Row],[Industry]], Mean_AE_L, 2, FALSE))/(VLOOKUP(Main_L[[#This Row],[Industry]], Mean_AE_L, 3, FALSE))</f>
        <v>-0.6886404376930666</v>
      </c>
      <c r="T139" s="1">
        <f>(Main_L[[#This Row],[P/E]]-VLOOKUP(Main_L[[#This Row],[Industry]], Mean_PE_L, 2, FALSE))/(VLOOKUP(Main_L[[#This Row],[Industry]], Mean_PE_L, 3, FALSE))</f>
        <v>1.886707671538846</v>
      </c>
      <c r="U1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0" spans="1:26" x14ac:dyDescent="0.25">
      <c r="A140" s="67" t="s">
        <v>214</v>
      </c>
      <c r="B140" s="67" t="s">
        <v>216</v>
      </c>
      <c r="C140" s="2">
        <v>80347</v>
      </c>
      <c r="D140">
        <f>RTD("tos.rtd", , "LAST", Main_L[[#This Row],[Symbol]])</f>
        <v>353.83</v>
      </c>
      <c r="E140">
        <v>12.24</v>
      </c>
      <c r="F140">
        <v>32.409999999999997</v>
      </c>
      <c r="G140">
        <v>11.75</v>
      </c>
      <c r="H140" s="1">
        <f>IF(ISNUMBER(Main_L[[#This Row],[Free CF]]),IF(Main_L[[#This Row],[Free CF]]&lt;&gt;0,Main_L[[#This Row],[Current Price]]/Main_L[[#This Row],[Free CF]],""),"")</f>
        <v>28.907679738562091</v>
      </c>
      <c r="I140" s="1">
        <f>IF(ISNUMBER(Main_L[[#This Row],[BVPS]]),IF(Main_L[[#This Row],[BVPS]]&lt;&gt;0,Main_L[[#This Row],[Current Price]]/Main_L[[#This Row],[BVPS]],""),"")</f>
        <v>10.917309472385067</v>
      </c>
      <c r="J140">
        <v>72.010000000000005</v>
      </c>
      <c r="K140">
        <v>6.01</v>
      </c>
      <c r="L140">
        <v>7.18</v>
      </c>
      <c r="M140" s="1">
        <f>IF(ISNUMBER(Main_L[[#This Row],[EPS]]),IF(Main_L[[#This Row],[EPS]]&lt;&gt;0,Main_L[[#This Row],[Current Price]]/Main_L[[#This Row],[EPS]],""),"")</f>
        <v>30.1131914893617</v>
      </c>
      <c r="N1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0" s="1">
        <f>(Main_L[[#This Row],[P/FCF]]-VLOOKUP(Main_L[[#This Row],[Industry]], Mean_PFCF_L, 2, FALSE))/(VLOOKUP(Main_L[[#This Row],[Industry]], Mean_PFCF_L, 3, FALSE))</f>
        <v>2.2401812896757489</v>
      </c>
      <c r="P140" s="1">
        <f>(Main_L[[#This Row],[P/B]]-VLOOKUP(Main_L[[#This Row],[Industry]], Mean_PB_L, 2, FALSE))/(VLOOKUP(Main_L[[#This Row],[Industry]], Mean_PB_L, 3, FALSE))</f>
        <v>8.3907883844487205</v>
      </c>
      <c r="Q140" s="1">
        <f>(Main_L[[#This Row],[ROE]]-VLOOKUP(Main_L[[#This Row],[Industry]], Mean_ROE_L, 2, FALSE))/(VLOOKUP(Main_L[[#This Row],[Industry]], Mean_ROE_L, 3, FALSE))</f>
        <v>9.7176344007550721</v>
      </c>
      <c r="R140" s="1">
        <f>(Main_L[[#This Row],[ROA]]-VLOOKUP(Main_L[[#This Row],[Industry]], Mean_ROA_L, 2, FALSE))/(VLOOKUP(Main_L[[#This Row],[Industry]], Mean_ROA_L, 3, FALSE))</f>
        <v>1.9649420737306076</v>
      </c>
      <c r="S140" s="1">
        <f>(Main_L[[#This Row],[A/E]]-VLOOKUP(Main_L[[#This Row],[Industry]], Mean_AE_L, 2, FALSE))/(VLOOKUP(Main_L[[#This Row],[Industry]], Mean_AE_L, 3, FALSE))</f>
        <v>0.165070666096648</v>
      </c>
      <c r="T140" s="1">
        <f>(Main_L[[#This Row],[P/E]]-VLOOKUP(Main_L[[#This Row],[Industry]], Mean_PE_L, 2, FALSE))/(VLOOKUP(Main_L[[#This Row],[Industry]], Mean_PE_L, 3, FALSE))</f>
        <v>2.6332636997148806</v>
      </c>
      <c r="U1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1" spans="1:26" x14ac:dyDescent="0.25">
      <c r="A141" s="67" t="s">
        <v>214</v>
      </c>
      <c r="B141" s="67" t="s">
        <v>219</v>
      </c>
      <c r="C141" s="2">
        <v>31386</v>
      </c>
      <c r="D141">
        <f>RTD("tos.rtd", , "LAST", Main_L[[#This Row],[Symbol]])</f>
        <v>301.17</v>
      </c>
      <c r="E141">
        <v>12.02</v>
      </c>
      <c r="F141">
        <v>81.98</v>
      </c>
      <c r="G141">
        <v>-0.52</v>
      </c>
      <c r="H141" s="1">
        <f>IF(ISNUMBER(Main_L[[#This Row],[Free CF]]),IF(Main_L[[#This Row],[Free CF]]&lt;&gt;0,Main_L[[#This Row],[Current Price]]/Main_L[[#This Row],[Free CF]],""),"")</f>
        <v>25.055740432612314</v>
      </c>
      <c r="I141" s="1">
        <f>IF(ISNUMBER(Main_L[[#This Row],[BVPS]]),IF(Main_L[[#This Row],[BVPS]]&lt;&gt;0,Main_L[[#This Row],[Current Price]]/Main_L[[#This Row],[BVPS]],""),"")</f>
        <v>3.6737009026591854</v>
      </c>
      <c r="J141">
        <v>-0.48</v>
      </c>
      <c r="K141">
        <v>4.53</v>
      </c>
      <c r="L141">
        <v>3.45</v>
      </c>
      <c r="M141" s="1">
        <f>IF(ISNUMBER(Main_L[[#This Row],[EPS]]),IF(Main_L[[#This Row],[EPS]]&lt;&gt;0,Main_L[[#This Row],[Current Price]]/Main_L[[#This Row],[EPS]],""),"")</f>
        <v>-579.17307692307691</v>
      </c>
      <c r="N1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1" s="1">
        <f>(Main_L[[#This Row],[P/FCF]]-VLOOKUP(Main_L[[#This Row],[Industry]], Mean_PFCF_L, 2, FALSE))/(VLOOKUP(Main_L[[#This Row],[Industry]], Mean_PFCF_L, 3, FALSE))</f>
        <v>1.7542792601951211</v>
      </c>
      <c r="P141" s="1">
        <f>(Main_L[[#This Row],[P/B]]-VLOOKUP(Main_L[[#This Row],[Industry]], Mean_PB_L, 2, FALSE))/(VLOOKUP(Main_L[[#This Row],[Industry]], Mean_PB_L, 3, FALSE))</f>
        <v>1.51542962230879</v>
      </c>
      <c r="Q141" s="1">
        <f>(Main_L[[#This Row],[ROE]]-VLOOKUP(Main_L[[#This Row],[Industry]], Mean_ROE_L, 2, FALSE))/(VLOOKUP(Main_L[[#This Row],[Industry]], Mean_ROE_L, 3, FALSE))</f>
        <v>-2.3597486227182021</v>
      </c>
      <c r="R141" s="1">
        <f>(Main_L[[#This Row],[ROA]]-VLOOKUP(Main_L[[#This Row],[Industry]], Mean_ROA_L, 2, FALSE))/(VLOOKUP(Main_L[[#This Row],[Industry]], Mean_ROA_L, 3, FALSE))</f>
        <v>1.149322159149389</v>
      </c>
      <c r="S141" s="1">
        <f>(Main_L[[#This Row],[A/E]]-VLOOKUP(Main_L[[#This Row],[Industry]], Mean_AE_L, 2, FALSE))/(VLOOKUP(Main_L[[#This Row],[Industry]], Mean_AE_L, 3, FALSE))</f>
        <v>-0.69324265388600315</v>
      </c>
      <c r="T141" s="1">
        <f>(Main_L[[#This Row],[P/E]]-VLOOKUP(Main_L[[#This Row],[Industry]], Mean_PE_L, 2, FALSE))/(VLOOKUP(Main_L[[#This Row],[Industry]], Mean_PE_L, 3, FALSE))</f>
        <v>-112.91923872680289</v>
      </c>
      <c r="U1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2" spans="1:26" x14ac:dyDescent="0.25">
      <c r="A142" s="67" t="s">
        <v>214</v>
      </c>
      <c r="B142" s="67" t="s">
        <v>224</v>
      </c>
      <c r="C142" s="2">
        <v>54533</v>
      </c>
      <c r="D142">
        <f>RTD("tos.rtd", , "LAST", Main_L[[#This Row],[Symbol]])</f>
        <v>32.33</v>
      </c>
      <c r="E142">
        <v>11.18</v>
      </c>
      <c r="F142">
        <v>19.93</v>
      </c>
      <c r="G142">
        <v>1.85</v>
      </c>
      <c r="H142" s="1">
        <f>IF(ISNUMBER(Main_L[[#This Row],[Free CF]]),IF(Main_L[[#This Row],[Free CF]]&lt;&gt;0,Main_L[[#This Row],[Current Price]]/Main_L[[#This Row],[Free CF]],""),"")</f>
        <v>2.8917710196779964</v>
      </c>
      <c r="I142" s="1">
        <f>IF(ISNUMBER(Main_L[[#This Row],[BVPS]]),IF(Main_L[[#This Row],[BVPS]]&lt;&gt;0,Main_L[[#This Row],[Current Price]]/Main_L[[#This Row],[BVPS]],""),"")</f>
        <v>1.6221776216758654</v>
      </c>
      <c r="J142">
        <v>10.73</v>
      </c>
      <c r="K142">
        <v>0.55000000000000004</v>
      </c>
      <c r="L142">
        <v>19.920000000000002</v>
      </c>
      <c r="M142" s="1">
        <f>IF(ISNUMBER(Main_L[[#This Row],[EPS]]),IF(Main_L[[#This Row],[EPS]]&lt;&gt;0,Main_L[[#This Row],[Current Price]]/Main_L[[#This Row],[EPS]],""),"")</f>
        <v>17.475675675675674</v>
      </c>
      <c r="N1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2" s="1">
        <f>(Main_L[[#This Row],[P/FCF]]-VLOOKUP(Main_L[[#This Row],[Industry]], Mean_PFCF_L, 2, FALSE))/(VLOOKUP(Main_L[[#This Row],[Industry]], Mean_PFCF_L, 3, FALSE))</f>
        <v>-1.0415897459588825</v>
      </c>
      <c r="P142" s="1">
        <f>(Main_L[[#This Row],[P/B]]-VLOOKUP(Main_L[[#This Row],[Industry]], Mean_PB_L, 2, FALSE))/(VLOOKUP(Main_L[[#This Row],[Industry]], Mean_PB_L, 3, FALSE))</f>
        <v>-0.43179853474449709</v>
      </c>
      <c r="Q142" s="1">
        <f>(Main_L[[#This Row],[ROE]]-VLOOKUP(Main_L[[#This Row],[Industry]], Mean_ROE_L, 2, FALSE))/(VLOOKUP(Main_L[[#This Row],[Industry]], Mean_ROE_L, 3, FALSE))</f>
        <v>-0.49207772061949334</v>
      </c>
      <c r="R142" s="1">
        <f>(Main_L[[#This Row],[ROA]]-VLOOKUP(Main_L[[#This Row],[Industry]], Mean_ROA_L, 2, FALSE))/(VLOOKUP(Main_L[[#This Row],[Industry]], Mean_ROA_L, 3, FALSE))</f>
        <v>-1.0440340976298355</v>
      </c>
      <c r="S142" s="1">
        <f>(Main_L[[#This Row],[A/E]]-VLOOKUP(Main_L[[#This Row],[Industry]], Mean_AE_L, 2, FALSE))/(VLOOKUP(Main_L[[#This Row],[Industry]], Mean_AE_L, 3, FALSE))</f>
        <v>3.0966823809971782</v>
      </c>
      <c r="T142" s="1">
        <f>(Main_L[[#This Row],[P/E]]-VLOOKUP(Main_L[[#This Row],[Industry]], Mean_PE_L, 2, FALSE))/(VLOOKUP(Main_L[[#This Row],[Industry]], Mean_PE_L, 3, FALSE))</f>
        <v>0.23653058355411069</v>
      </c>
      <c r="U1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3" spans="1:26" x14ac:dyDescent="0.25">
      <c r="A143" s="67" t="s">
        <v>214</v>
      </c>
      <c r="B143" s="67" t="s">
        <v>215</v>
      </c>
      <c r="C143" s="2">
        <v>88963</v>
      </c>
      <c r="D143">
        <f>RTD("tos.rtd", , "LAST", Main_L[[#This Row],[Symbol]])</f>
        <v>317.83</v>
      </c>
      <c r="E143">
        <v>10.99</v>
      </c>
      <c r="F143">
        <v>87.15</v>
      </c>
      <c r="G143">
        <v>6.66</v>
      </c>
      <c r="H143" s="1">
        <f>IF(ISNUMBER(Main_L[[#This Row],[Free CF]]),IF(Main_L[[#This Row],[Free CF]]&lt;&gt;0,Main_L[[#This Row],[Current Price]]/Main_L[[#This Row],[Free CF]],""),"")</f>
        <v>28.91992720655141</v>
      </c>
      <c r="I143" s="1">
        <f>IF(ISNUMBER(Main_L[[#This Row],[BVPS]]),IF(Main_L[[#This Row],[BVPS]]&lt;&gt;0,Main_L[[#This Row],[Current Price]]/Main_L[[#This Row],[BVPS]],""),"")</f>
        <v>3.6469305794606997</v>
      </c>
      <c r="J143">
        <v>9.3000000000000007</v>
      </c>
      <c r="K143">
        <v>2.68</v>
      </c>
      <c r="L143">
        <v>3.32</v>
      </c>
      <c r="M143" s="1">
        <f>IF(ISNUMBER(Main_L[[#This Row],[EPS]]),IF(Main_L[[#This Row],[EPS]]&lt;&gt;0,Main_L[[#This Row],[Current Price]]/Main_L[[#This Row],[EPS]],""),"")</f>
        <v>47.722222222222221</v>
      </c>
      <c r="N1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3" s="1">
        <f>(Main_L[[#This Row],[P/FCF]]-VLOOKUP(Main_L[[#This Row],[Industry]], Mean_PFCF_L, 2, FALSE))/(VLOOKUP(Main_L[[#This Row],[Industry]], Mean_PFCF_L, 3, FALSE))</f>
        <v>2.2417262438090648</v>
      </c>
      <c r="P143" s="1">
        <f>(Main_L[[#This Row],[P/B]]-VLOOKUP(Main_L[[#This Row],[Industry]], Mean_PB_L, 2, FALSE))/(VLOOKUP(Main_L[[#This Row],[Industry]], Mean_PB_L, 3, FALSE))</f>
        <v>1.4900202459742828</v>
      </c>
      <c r="Q143" s="1">
        <f>(Main_L[[#This Row],[ROE]]-VLOOKUP(Main_L[[#This Row],[Industry]], Mean_ROE_L, 2, FALSE))/(VLOOKUP(Main_L[[#This Row],[Industry]], Mean_ROE_L, 3, FALSE))</f>
        <v>-0.73032655112807077</v>
      </c>
      <c r="R143" s="1">
        <f>(Main_L[[#This Row],[ROA]]-VLOOKUP(Main_L[[#This Row],[Industry]], Mean_ROA_L, 2, FALSE))/(VLOOKUP(Main_L[[#This Row],[Industry]], Mean_ROA_L, 3, FALSE))</f>
        <v>0.129797265922865</v>
      </c>
      <c r="S143" s="1">
        <f>(Main_L[[#This Row],[A/E]]-VLOOKUP(Main_L[[#This Row],[Industry]], Mean_AE_L, 2, FALSE))/(VLOOKUP(Main_L[[#This Row],[Industry]], Mean_AE_L, 3, FALSE))</f>
        <v>-0.72315705914009021</v>
      </c>
      <c r="T143" s="1">
        <f>(Main_L[[#This Row],[P/E]]-VLOOKUP(Main_L[[#This Row],[Industry]], Mean_PE_L, 2, FALSE))/(VLOOKUP(Main_L[[#This Row],[Industry]], Mean_PE_L, 3, FALSE))</f>
        <v>5.972855730550072</v>
      </c>
      <c r="U1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4" spans="1:26" x14ac:dyDescent="0.25">
      <c r="A144" s="67" t="s">
        <v>214</v>
      </c>
      <c r="B144" s="67" t="s">
        <v>238</v>
      </c>
      <c r="C144" s="2">
        <v>18746</v>
      </c>
      <c r="D144">
        <f>RTD("tos.rtd", , "LAST", Main_L[[#This Row],[Symbol]])</f>
        <v>361.69</v>
      </c>
      <c r="E144">
        <v>9.76</v>
      </c>
      <c r="F144">
        <v>39.54</v>
      </c>
      <c r="G144">
        <v>11.75</v>
      </c>
      <c r="H144" s="1">
        <f>IF(ISNUMBER(Main_L[[#This Row],[Free CF]]),IF(Main_L[[#This Row],[Free CF]]&lt;&gt;0,Main_L[[#This Row],[Current Price]]/Main_L[[#This Row],[Free CF]],""),"")</f>
        <v>37.058401639344261</v>
      </c>
      <c r="I144" s="1">
        <f>IF(ISNUMBER(Main_L[[#This Row],[BVPS]]),IF(Main_L[[#This Row],[BVPS]]&lt;&gt;0,Main_L[[#This Row],[Current Price]]/Main_L[[#This Row],[BVPS]],""),"")</f>
        <v>9.1474456246838649</v>
      </c>
      <c r="J144">
        <v>32.380000000000003</v>
      </c>
      <c r="K144">
        <v>16.29</v>
      </c>
      <c r="L144">
        <v>1.44</v>
      </c>
      <c r="M144" s="1">
        <f>IF(ISNUMBER(Main_L[[#This Row],[EPS]]),IF(Main_L[[#This Row],[EPS]]&lt;&gt;0,Main_L[[#This Row],[Current Price]]/Main_L[[#This Row],[EPS]],""),"")</f>
        <v>30.782127659574467</v>
      </c>
      <c r="N1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4" s="1">
        <f>(Main_L[[#This Row],[P/FCF]]-VLOOKUP(Main_L[[#This Row],[Industry]], Mean_PFCF_L, 2, FALSE))/(VLOOKUP(Main_L[[#This Row],[Industry]], Mean_PFCF_L, 3, FALSE))</f>
        <v>3.268352296213902</v>
      </c>
      <c r="P144" s="1">
        <f>(Main_L[[#This Row],[P/B]]-VLOOKUP(Main_L[[#This Row],[Industry]], Mean_PB_L, 2, FALSE))/(VLOOKUP(Main_L[[#This Row],[Industry]], Mean_PB_L, 3, FALSE))</f>
        <v>6.7109006881499065</v>
      </c>
      <c r="Q144" s="1">
        <f>(Main_L[[#This Row],[ROE]]-VLOOKUP(Main_L[[#This Row],[Industry]], Mean_ROE_L, 2, FALSE))/(VLOOKUP(Main_L[[#This Row],[Industry]], Mean_ROE_L, 3, FALSE))</f>
        <v>3.1149762517656137</v>
      </c>
      <c r="R144" s="1">
        <f>(Main_L[[#This Row],[ROA]]-VLOOKUP(Main_L[[#This Row],[Industry]], Mean_ROA_L, 2, FALSE))/(VLOOKUP(Main_L[[#This Row],[Industry]], Mean_ROA_L, 3, FALSE))</f>
        <v>7.6301939128488048</v>
      </c>
      <c r="S144" s="1">
        <f>(Main_L[[#This Row],[A/E]]-VLOOKUP(Main_L[[#This Row],[Industry]], Mean_AE_L, 2, FALSE))/(VLOOKUP(Main_L[[#This Row],[Industry]], Mean_AE_L, 3, FALSE))</f>
        <v>-1.1557653812761182</v>
      </c>
      <c r="T144" s="1">
        <f>(Main_L[[#This Row],[P/E]]-VLOOKUP(Main_L[[#This Row],[Industry]], Mean_PE_L, 2, FALSE))/(VLOOKUP(Main_L[[#This Row],[Industry]], Mean_PE_L, 3, FALSE))</f>
        <v>2.7601289393223687</v>
      </c>
      <c r="U1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5" spans="1:26" x14ac:dyDescent="0.25">
      <c r="A145" s="67" t="s">
        <v>214</v>
      </c>
      <c r="B145" s="67" t="s">
        <v>237</v>
      </c>
      <c r="C145" s="2">
        <v>12965</v>
      </c>
      <c r="D145">
        <f>RTD("tos.rtd", , "LAST", Main_L[[#This Row],[Symbol]])</f>
        <v>46.53</v>
      </c>
      <c r="E145">
        <v>9.6199999999999992</v>
      </c>
      <c r="F145">
        <v>37.979999999999997</v>
      </c>
      <c r="G145">
        <v>3.28</v>
      </c>
      <c r="H145" s="1">
        <f>IF(ISNUMBER(Main_L[[#This Row],[Free CF]]),IF(Main_L[[#This Row],[Free CF]]&lt;&gt;0,Main_L[[#This Row],[Current Price]]/Main_L[[#This Row],[Free CF]],""),"")</f>
        <v>4.8367983367983376</v>
      </c>
      <c r="I145" s="1">
        <f>IF(ISNUMBER(Main_L[[#This Row],[BVPS]]),IF(Main_L[[#This Row],[BVPS]]&lt;&gt;0,Main_L[[#This Row],[Current Price]]/Main_L[[#This Row],[BVPS]],""),"")</f>
        <v>1.2251184834123223</v>
      </c>
      <c r="J145">
        <v>8.98</v>
      </c>
      <c r="K145">
        <v>1.19</v>
      </c>
      <c r="L145">
        <v>6.55</v>
      </c>
      <c r="M145" s="1">
        <f>IF(ISNUMBER(Main_L[[#This Row],[EPS]]),IF(Main_L[[#This Row],[EPS]]&lt;&gt;0,Main_L[[#This Row],[Current Price]]/Main_L[[#This Row],[EPS]],""),"")</f>
        <v>14.185975609756099</v>
      </c>
      <c r="N1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5" s="1">
        <f>(Main_L[[#This Row],[P/FCF]]-VLOOKUP(Main_L[[#This Row],[Industry]], Mean_PFCF_L, 2, FALSE))/(VLOOKUP(Main_L[[#This Row],[Industry]], Mean_PFCF_L, 3, FALSE))</f>
        <v>-0.79623470640147664</v>
      </c>
      <c r="P145" s="1">
        <f>(Main_L[[#This Row],[P/B]]-VLOOKUP(Main_L[[#This Row],[Industry]], Mean_PB_L, 2, FALSE))/(VLOOKUP(Main_L[[#This Row],[Industry]], Mean_PB_L, 3, FALSE))</f>
        <v>-0.80867202246407011</v>
      </c>
      <c r="Q145" s="1">
        <f>(Main_L[[#This Row],[ROE]]-VLOOKUP(Main_L[[#This Row],[Industry]], Mean_ROE_L, 2, FALSE))/(VLOOKUP(Main_L[[#This Row],[Industry]], Mean_ROE_L, 3, FALSE))</f>
        <v>-0.7836409747383819</v>
      </c>
      <c r="R145" s="1">
        <f>(Main_L[[#This Row],[ROA]]-VLOOKUP(Main_L[[#This Row],[Industry]], Mean_ROA_L, 2, FALSE))/(VLOOKUP(Main_L[[#This Row],[Industry]], Mean_ROA_L, 3, FALSE))</f>
        <v>-0.69133359402714623</v>
      </c>
      <c r="S145" s="1">
        <f>(Main_L[[#This Row],[A/E]]-VLOOKUP(Main_L[[#This Row],[Industry]], Mean_AE_L, 2, FALSE))/(VLOOKUP(Main_L[[#This Row],[Industry]], Mean_AE_L, 3, FALSE))</f>
        <v>2.01008560191493E-2</v>
      </c>
      <c r="T145" s="1">
        <f>(Main_L[[#This Row],[P/E]]-VLOOKUP(Main_L[[#This Row],[Industry]], Mean_PE_L, 2, FALSE))/(VLOOKUP(Main_L[[#This Row],[Industry]], Mean_PE_L, 3, FALSE))</f>
        <v>-0.38736838571064125</v>
      </c>
      <c r="U1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6" spans="1:26" x14ac:dyDescent="0.25">
      <c r="A146" s="67" t="s">
        <v>214</v>
      </c>
      <c r="B146" s="67" t="s">
        <v>246</v>
      </c>
      <c r="C146" s="2">
        <v>28334</v>
      </c>
      <c r="D146">
        <f>RTD("tos.rtd", , "LAST", Main_L[[#This Row],[Symbol]])</f>
        <v>72.739999999999995</v>
      </c>
      <c r="E146">
        <v>9.06</v>
      </c>
      <c r="F146">
        <v>23.5</v>
      </c>
      <c r="G146">
        <v>4.3099999999999996</v>
      </c>
      <c r="H146" s="1">
        <f>IF(ISNUMBER(Main_L[[#This Row],[Free CF]]),IF(Main_L[[#This Row],[Free CF]]&lt;&gt;0,Main_L[[#This Row],[Current Price]]/Main_L[[#This Row],[Free CF]],""),"")</f>
        <v>8.028697571743928</v>
      </c>
      <c r="I146" s="1">
        <f>IF(ISNUMBER(Main_L[[#This Row],[BVPS]]),IF(Main_L[[#This Row],[BVPS]]&lt;&gt;0,Main_L[[#This Row],[Current Price]]/Main_L[[#This Row],[BVPS]],""),"")</f>
        <v>3.09531914893617</v>
      </c>
      <c r="J146">
        <v>20.69</v>
      </c>
      <c r="K146">
        <v>3.69</v>
      </c>
      <c r="L146">
        <v>4.6399999999999997</v>
      </c>
      <c r="M146" s="1">
        <f>IF(ISNUMBER(Main_L[[#This Row],[EPS]]),IF(Main_L[[#This Row],[EPS]]&lt;&gt;0,Main_L[[#This Row],[Current Price]]/Main_L[[#This Row],[EPS]],""),"")</f>
        <v>16.877030162412993</v>
      </c>
      <c r="N1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6" s="1">
        <f>(Main_L[[#This Row],[P/FCF]]-VLOOKUP(Main_L[[#This Row],[Industry]], Mean_PFCF_L, 2, FALSE))/(VLOOKUP(Main_L[[#This Row],[Industry]], Mean_PFCF_L, 3, FALSE))</f>
        <v>-0.3935932852965025</v>
      </c>
      <c r="P146" s="1">
        <f>(Main_L[[#This Row],[P/B]]-VLOOKUP(Main_L[[#This Row],[Industry]], Mean_PB_L, 2, FALSE))/(VLOOKUP(Main_L[[#This Row],[Industry]], Mean_PB_L, 3, FALSE))</f>
        <v>0.96645157910788893</v>
      </c>
      <c r="Q146" s="1">
        <f>(Main_L[[#This Row],[ROE]]-VLOOKUP(Main_L[[#This Row],[Industry]], Mean_ROE_L, 2, FALSE))/(VLOOKUP(Main_L[[#This Row],[Industry]], Mean_ROE_L, 3, FALSE))</f>
        <v>1.1673337142514379</v>
      </c>
      <c r="R146" s="1">
        <f>(Main_L[[#This Row],[ROA]]-VLOOKUP(Main_L[[#This Row],[Industry]], Mean_ROA_L, 2, FALSE))/(VLOOKUP(Main_L[[#This Row],[Industry]], Mean_ROA_L, 3, FALSE))</f>
        <v>0.686402748170859</v>
      </c>
      <c r="S146" s="1">
        <f>(Main_L[[#This Row],[A/E]]-VLOOKUP(Main_L[[#This Row],[Industry]], Mean_AE_L, 2, FALSE))/(VLOOKUP(Main_L[[#This Row],[Industry]], Mean_AE_L, 3, FALSE))</f>
        <v>-0.41941079040628337</v>
      </c>
      <c r="T146" s="1">
        <f>(Main_L[[#This Row],[P/E]]-VLOOKUP(Main_L[[#This Row],[Industry]], Mean_PE_L, 2, FALSE))/(VLOOKUP(Main_L[[#This Row],[Industry]], Mean_PE_L, 3, FALSE))</f>
        <v>0.12299612412151439</v>
      </c>
      <c r="U1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7" spans="1:26" x14ac:dyDescent="0.25">
      <c r="A147" s="67" t="s">
        <v>214</v>
      </c>
      <c r="B147" s="67" t="s">
        <v>218</v>
      </c>
      <c r="C147" s="2">
        <v>115131</v>
      </c>
      <c r="D147">
        <f>RTD("tos.rtd", , "LAST", Main_L[[#This Row],[Symbol]])</f>
        <v>222.52</v>
      </c>
      <c r="E147">
        <v>8.49</v>
      </c>
      <c r="F147">
        <v>28.55</v>
      </c>
      <c r="G147">
        <v>8.15</v>
      </c>
      <c r="H147" s="1">
        <f>IF(ISNUMBER(Main_L[[#This Row],[Free CF]]),IF(Main_L[[#This Row],[Free CF]]&lt;&gt;0,Main_L[[#This Row],[Current Price]]/Main_L[[#This Row],[Free CF]],""),"")</f>
        <v>26.209658421672557</v>
      </c>
      <c r="I147" s="1">
        <f>IF(ISNUMBER(Main_L[[#This Row],[BVPS]]),IF(Main_L[[#This Row],[BVPS]]&lt;&gt;0,Main_L[[#This Row],[Current Price]]/Main_L[[#This Row],[BVPS]],""),"")</f>
        <v>7.7940455341506132</v>
      </c>
      <c r="J147">
        <v>30.53</v>
      </c>
      <c r="K147">
        <v>7.93</v>
      </c>
      <c r="L147">
        <v>4.05</v>
      </c>
      <c r="M147" s="1">
        <f>IF(ISNUMBER(Main_L[[#This Row],[EPS]]),IF(Main_L[[#This Row],[EPS]]&lt;&gt;0,Main_L[[#This Row],[Current Price]]/Main_L[[#This Row],[EPS]],""),"")</f>
        <v>27.303067484662577</v>
      </c>
      <c r="N1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7" s="1">
        <f>(Main_L[[#This Row],[P/FCF]]-VLOOKUP(Main_L[[#This Row],[Industry]], Mean_PFCF_L, 2, FALSE))/(VLOOKUP(Main_L[[#This Row],[Industry]], Mean_PFCF_L, 3, FALSE))</f>
        <v>1.8998399890135953</v>
      </c>
      <c r="P147" s="1">
        <f>(Main_L[[#This Row],[P/B]]-VLOOKUP(Main_L[[#This Row],[Industry]], Mean_PB_L, 2, FALSE))/(VLOOKUP(Main_L[[#This Row],[Industry]], Mean_PB_L, 3, FALSE))</f>
        <v>5.4263046085082234</v>
      </c>
      <c r="Q147" s="1">
        <f>(Main_L[[#This Row],[ROE]]-VLOOKUP(Main_L[[#This Row],[Industry]], Mean_ROE_L, 2, FALSE))/(VLOOKUP(Main_L[[#This Row],[Industry]], Mean_ROE_L, 3, FALSE))</f>
        <v>2.8067522402685028</v>
      </c>
      <c r="R147" s="1">
        <f>(Main_L[[#This Row],[ROA]]-VLOOKUP(Main_L[[#This Row],[Industry]], Mean_ROA_L, 2, FALSE))/(VLOOKUP(Main_L[[#This Row],[Industry]], Mean_ROA_L, 3, FALSE))</f>
        <v>3.0230435845386756</v>
      </c>
      <c r="S147" s="1">
        <f>(Main_L[[#This Row],[A/E]]-VLOOKUP(Main_L[[#This Row],[Industry]], Mean_AE_L, 2, FALSE))/(VLOOKUP(Main_L[[#This Row],[Industry]], Mean_AE_L, 3, FALSE))</f>
        <v>-0.55517616809790915</v>
      </c>
      <c r="T147" s="1">
        <f>(Main_L[[#This Row],[P/E]]-VLOOKUP(Main_L[[#This Row],[Industry]], Mean_PE_L, 2, FALSE))/(VLOOKUP(Main_L[[#This Row],[Industry]], Mean_PE_L, 3, FALSE))</f>
        <v>2.1003174022086259</v>
      </c>
      <c r="U1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8" spans="1:26" x14ac:dyDescent="0.25">
      <c r="A148" s="67" t="s">
        <v>214</v>
      </c>
      <c r="B148" s="67" t="s">
        <v>229</v>
      </c>
      <c r="C148" s="2">
        <v>14367</v>
      </c>
      <c r="D148">
        <f>RTD("tos.rtd", , "LAST", Main_L[[#This Row],[Symbol]])</f>
        <v>80.45</v>
      </c>
      <c r="E148">
        <v>7.8</v>
      </c>
      <c r="F148">
        <v>63.78</v>
      </c>
      <c r="G148">
        <v>8.5399999999999991</v>
      </c>
      <c r="H148" s="1">
        <f>IF(ISNUMBER(Main_L[[#This Row],[Free CF]]),IF(Main_L[[#This Row],[Free CF]]&lt;&gt;0,Main_L[[#This Row],[Current Price]]/Main_L[[#This Row],[Free CF]],""),"")</f>
        <v>10.314102564102564</v>
      </c>
      <c r="I148" s="1">
        <f>IF(ISNUMBER(Main_L[[#This Row],[BVPS]]),IF(Main_L[[#This Row],[BVPS]]&lt;&gt;0,Main_L[[#This Row],[Current Price]]/Main_L[[#This Row],[BVPS]],""),"")</f>
        <v>1.2613671997491376</v>
      </c>
      <c r="J148">
        <v>14.68</v>
      </c>
      <c r="K148">
        <v>2.2200000000000002</v>
      </c>
      <c r="L148">
        <v>5.57</v>
      </c>
      <c r="M148" s="1">
        <f>IF(ISNUMBER(Main_L[[#This Row],[EPS]]),IF(Main_L[[#This Row],[EPS]]&lt;&gt;0,Main_L[[#This Row],[Current Price]]/Main_L[[#This Row],[EPS]],""),"")</f>
        <v>9.4203747072599544</v>
      </c>
      <c r="N1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8" s="1">
        <f>(Main_L[[#This Row],[P/FCF]]-VLOOKUP(Main_L[[#This Row],[Industry]], Mean_PFCF_L, 2, FALSE))/(VLOOKUP(Main_L[[#This Row],[Industry]], Mean_PFCF_L, 3, FALSE))</f>
        <v>-0.10530137938382429</v>
      </c>
      <c r="P148" s="1">
        <f>(Main_L[[#This Row],[P/B]]-VLOOKUP(Main_L[[#This Row],[Industry]], Mean_PB_L, 2, FALSE))/(VLOOKUP(Main_L[[#This Row],[Industry]], Mean_PB_L, 3, FALSE))</f>
        <v>-0.77426611454073802</v>
      </c>
      <c r="Q148" s="1">
        <f>(Main_L[[#This Row],[ROE]]-VLOOKUP(Main_L[[#This Row],[Industry]], Mean_ROE_L, 2, FALSE))/(VLOOKUP(Main_L[[#This Row],[Industry]], Mean_ROE_L, 3, FALSE))</f>
        <v>0.16602219582028346</v>
      </c>
      <c r="R148" s="1">
        <f>(Main_L[[#This Row],[ROA]]-VLOOKUP(Main_L[[#This Row],[Industry]], Mean_ROA_L, 2, FALSE))/(VLOOKUP(Main_L[[#This Row],[Industry]], Mean_ROA_L, 3, FALSE))</f>
        <v>-0.12370622104156792</v>
      </c>
      <c r="S148" s="1">
        <f>(Main_L[[#This Row],[A/E]]-VLOOKUP(Main_L[[#This Row],[Industry]], Mean_AE_L, 2, FALSE))/(VLOOKUP(Main_L[[#This Row],[Industry]], Mean_AE_L, 3, FALSE))</f>
        <v>-0.2054077374347375</v>
      </c>
      <c r="T148" s="1">
        <f>(Main_L[[#This Row],[P/E]]-VLOOKUP(Main_L[[#This Row],[Industry]], Mean_PE_L, 2, FALSE))/(VLOOKUP(Main_L[[#This Row],[Industry]], Mean_PE_L, 3, FALSE))</f>
        <v>-1.2911752469490374</v>
      </c>
      <c r="U1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9" spans="1:26" x14ac:dyDescent="0.25">
      <c r="A149" s="67" t="s">
        <v>214</v>
      </c>
      <c r="B149" s="67" t="s">
        <v>228</v>
      </c>
      <c r="C149" s="2">
        <v>36691</v>
      </c>
      <c r="D149">
        <f>RTD("tos.rtd", , "LAST", Main_L[[#This Row],[Symbol]])</f>
        <v>65.06</v>
      </c>
      <c r="E149">
        <v>5.44</v>
      </c>
      <c r="F149">
        <v>29.05</v>
      </c>
      <c r="G149">
        <v>3.8</v>
      </c>
      <c r="H149" s="1">
        <f>IF(ISNUMBER(Main_L[[#This Row],[Free CF]]),IF(Main_L[[#This Row],[Free CF]]&lt;&gt;0,Main_L[[#This Row],[Current Price]]/Main_L[[#This Row],[Free CF]],""),"")</f>
        <v>11.959558823529411</v>
      </c>
      <c r="I149" s="1">
        <f>IF(ISNUMBER(Main_L[[#This Row],[BVPS]]),IF(Main_L[[#This Row],[BVPS]]&lt;&gt;0,Main_L[[#This Row],[Current Price]]/Main_L[[#This Row],[BVPS]],""),"")</f>
        <v>2.2395869191049913</v>
      </c>
      <c r="J149">
        <v>13.14</v>
      </c>
      <c r="K149">
        <v>0.9</v>
      </c>
      <c r="L149">
        <v>15.72</v>
      </c>
      <c r="M149" s="1">
        <f>IF(ISNUMBER(Main_L[[#This Row],[EPS]]),IF(Main_L[[#This Row],[EPS]]&lt;&gt;0,Main_L[[#This Row],[Current Price]]/Main_L[[#This Row],[EPS]],""),"")</f>
        <v>17.121052631578948</v>
      </c>
      <c r="N1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9" s="1">
        <f>(Main_L[[#This Row],[P/FCF]]-VLOOKUP(Main_L[[#This Row],[Industry]], Mean_PFCF_L, 2, FALSE))/(VLOOKUP(Main_L[[#This Row],[Industry]], Mean_PFCF_L, 3, FALSE))</f>
        <v>0.10226433553856246</v>
      </c>
      <c r="P149" s="1">
        <f>(Main_L[[#This Row],[P/B]]-VLOOKUP(Main_L[[#This Row],[Industry]], Mean_PB_L, 2, FALSE))/(VLOOKUP(Main_L[[#This Row],[Industry]], Mean_PB_L, 3, FALSE))</f>
        <v>0.15422297401665863</v>
      </c>
      <c r="Q149" s="1">
        <f>(Main_L[[#This Row],[ROE]]-VLOOKUP(Main_L[[#This Row],[Industry]], Mean_ROE_L, 2, FALSE))/(VLOOKUP(Main_L[[#This Row],[Industry]], Mean_ROE_L, 3, FALSE))</f>
        <v>-9.0553467804338289E-2</v>
      </c>
      <c r="R149" s="1">
        <f>(Main_L[[#This Row],[ROA]]-VLOOKUP(Main_L[[#This Row],[Industry]], Mean_ROA_L, 2, FALSE))/(VLOOKUP(Main_L[[#This Row],[Industry]], Mean_ROA_L, 3, FALSE))</f>
        <v>-0.85115100972211477</v>
      </c>
      <c r="S149" s="1">
        <f>(Main_L[[#This Row],[A/E]]-VLOOKUP(Main_L[[#This Row],[Industry]], Mean_AE_L, 2, FALSE))/(VLOOKUP(Main_L[[#This Row],[Industry]], Mean_AE_L, 3, FALSE))</f>
        <v>2.1302169804805198</v>
      </c>
      <c r="T149" s="1">
        <f>(Main_L[[#This Row],[P/E]]-VLOOKUP(Main_L[[#This Row],[Industry]], Mean_PE_L, 2, FALSE))/(VLOOKUP(Main_L[[#This Row],[Industry]], Mean_PE_L, 3, FALSE))</f>
        <v>0.16927553073590484</v>
      </c>
      <c r="U1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0" spans="1:26" x14ac:dyDescent="0.25">
      <c r="A150" s="67" t="s">
        <v>214</v>
      </c>
      <c r="B150" s="67" t="s">
        <v>707</v>
      </c>
      <c r="C150" s="2">
        <v>24759</v>
      </c>
      <c r="D150">
        <f>RTD("tos.rtd", , "LAST", Main_L[[#This Row],[Symbol]])</f>
        <v>38.130000000000003</v>
      </c>
      <c r="E150">
        <v>4.74</v>
      </c>
      <c r="F150">
        <v>25.09</v>
      </c>
      <c r="G150">
        <v>2.89</v>
      </c>
      <c r="H150" s="1">
        <f>IF(ISNUMBER(Main_L[[#This Row],[Free CF]]),IF(Main_L[[#This Row],[Free CF]]&lt;&gt;0,Main_L[[#This Row],[Current Price]]/Main_L[[#This Row],[Free CF]],""),"")</f>
        <v>8.0443037974683538</v>
      </c>
      <c r="I150" s="1">
        <f>IF(ISNUMBER(Main_L[[#This Row],[BVPS]]),IF(Main_L[[#This Row],[BVPS]]&lt;&gt;0,Main_L[[#This Row],[Current Price]]/Main_L[[#This Row],[BVPS]],""),"")</f>
        <v>1.519728975687525</v>
      </c>
      <c r="J150">
        <v>10.41</v>
      </c>
      <c r="K150">
        <v>0.44</v>
      </c>
      <c r="L150">
        <v>36.85</v>
      </c>
      <c r="M150" s="1">
        <f>IF(ISNUMBER(Main_L[[#This Row],[EPS]]),IF(Main_L[[#This Row],[EPS]]&lt;&gt;0,Main_L[[#This Row],[Current Price]]/Main_L[[#This Row],[EPS]],""),"")</f>
        <v>13.193771626297579</v>
      </c>
      <c r="N1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0" s="1">
        <f>(Main_L[[#This Row],[P/FCF]]-VLOOKUP(Main_L[[#This Row],[Industry]], Mean_PFCF_L, 2, FALSE))/(VLOOKUP(Main_L[[#This Row],[Industry]], Mean_PFCF_L, 3, FALSE))</f>
        <v>-0.391624641413584</v>
      </c>
      <c r="P150" s="1">
        <f>(Main_L[[#This Row],[P/B]]-VLOOKUP(Main_L[[#This Row],[Industry]], Mean_PB_L, 2, FALSE))/(VLOOKUP(Main_L[[#This Row],[Industry]], Mean_PB_L, 3, FALSE))</f>
        <v>-0.52903890728604697</v>
      </c>
      <c r="Q150" s="1">
        <f>(Main_L[[#This Row],[ROE]]-VLOOKUP(Main_L[[#This Row],[Industry]], Mean_ROE_L, 2, FALSE))/(VLOOKUP(Main_L[[#This Row],[Industry]], Mean_ROE_L, 3, FALSE))</f>
        <v>-0.54539214422980442</v>
      </c>
      <c r="R150" s="1">
        <f>(Main_L[[#This Row],[ROA]]-VLOOKUP(Main_L[[#This Row],[Industry]], Mean_ROA_L, 2, FALSE))/(VLOOKUP(Main_L[[#This Row],[Industry]], Mean_ROA_L, 3, FALSE))</f>
        <v>-1.1046544966865477</v>
      </c>
      <c r="S150" s="1">
        <f>(Main_L[[#This Row],[A/E]]-VLOOKUP(Main_L[[#This Row],[Industry]], Mean_AE_L, 2, FALSE))/(VLOOKUP(Main_L[[#This Row],[Industry]], Mean_AE_L, 3, FALSE))</f>
        <v>6.9924583883178979</v>
      </c>
      <c r="T150" s="1">
        <f>(Main_L[[#This Row],[P/E]]-VLOOKUP(Main_L[[#This Row],[Industry]], Mean_PE_L, 2, FALSE))/(VLOOKUP(Main_L[[#This Row],[Industry]], Mean_PE_L, 3, FALSE))</f>
        <v>-0.57554208853333666</v>
      </c>
      <c r="U1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1" spans="1:26" x14ac:dyDescent="0.25">
      <c r="A151" s="67" t="s">
        <v>214</v>
      </c>
      <c r="B151" s="67" t="s">
        <v>217</v>
      </c>
      <c r="C151" s="2">
        <v>32360</v>
      </c>
      <c r="D151">
        <f>RTD("tos.rtd", , "LAST", Main_L[[#This Row],[Symbol]])</f>
        <v>107.86</v>
      </c>
      <c r="E151">
        <v>4.5599999999999996</v>
      </c>
      <c r="F151">
        <v>23.77</v>
      </c>
      <c r="G151">
        <v>3.59</v>
      </c>
      <c r="H151" s="1">
        <f>IF(ISNUMBER(Main_L[[#This Row],[Free CF]]),IF(Main_L[[#This Row],[Free CF]]&lt;&gt;0,Main_L[[#This Row],[Current Price]]/Main_L[[#This Row],[Free CF]],""),"")</f>
        <v>23.653508771929825</v>
      </c>
      <c r="I151" s="1">
        <f>IF(ISNUMBER(Main_L[[#This Row],[BVPS]]),IF(Main_L[[#This Row],[BVPS]]&lt;&gt;0,Main_L[[#This Row],[Current Price]]/Main_L[[#This Row],[BVPS]],""),"")</f>
        <v>4.5376525031552379</v>
      </c>
      <c r="J151">
        <v>16.52</v>
      </c>
      <c r="K151">
        <v>5.68</v>
      </c>
      <c r="L151">
        <v>2.46</v>
      </c>
      <c r="M151" s="1">
        <f>IF(ISNUMBER(Main_L[[#This Row],[EPS]]),IF(Main_L[[#This Row],[EPS]]&lt;&gt;0,Main_L[[#This Row],[Current Price]]/Main_L[[#This Row],[EPS]],""),"")</f>
        <v>30.044568245125348</v>
      </c>
      <c r="N1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1" s="1">
        <f>(Main_L[[#This Row],[P/FCF]]-VLOOKUP(Main_L[[#This Row],[Industry]], Mean_PFCF_L, 2, FALSE))/(VLOOKUP(Main_L[[#This Row],[Industry]], Mean_PFCF_L, 3, FALSE))</f>
        <v>1.5773950583399177</v>
      </c>
      <c r="P151" s="1">
        <f>(Main_L[[#This Row],[P/B]]-VLOOKUP(Main_L[[#This Row],[Industry]], Mean_PB_L, 2, FALSE))/(VLOOKUP(Main_L[[#This Row],[Industry]], Mean_PB_L, 3, FALSE))</f>
        <v>2.3354597425669499</v>
      </c>
      <c r="Q151" s="1">
        <f>(Main_L[[#This Row],[ROE]]-VLOOKUP(Main_L[[#This Row],[Industry]], Mean_ROE_L, 2, FALSE))/(VLOOKUP(Main_L[[#This Row],[Industry]], Mean_ROE_L, 3, FALSE))</f>
        <v>0.4725801315795719</v>
      </c>
      <c r="R151" s="1">
        <f>(Main_L[[#This Row],[ROA]]-VLOOKUP(Main_L[[#This Row],[Industry]], Mean_ROA_L, 2, FALSE))/(VLOOKUP(Main_L[[#This Row],[Industry]], Mean_ROA_L, 3, FALSE))</f>
        <v>1.7830808765604709</v>
      </c>
      <c r="S151" s="1">
        <f>(Main_L[[#This Row],[A/E]]-VLOOKUP(Main_L[[#This Row],[Industry]], Mean_AE_L, 2, FALSE))/(VLOOKUP(Main_L[[#This Row],[Industry]], Mean_AE_L, 3, FALSE))</f>
        <v>-0.92105235543635833</v>
      </c>
      <c r="T151" s="1">
        <f>(Main_L[[#This Row],[P/E]]-VLOOKUP(Main_L[[#This Row],[Industry]], Mean_PE_L, 2, FALSE))/(VLOOKUP(Main_L[[#This Row],[Industry]], Mean_PE_L, 3, FALSE))</f>
        <v>2.6202491480874528</v>
      </c>
      <c r="U1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52" spans="1:26" x14ac:dyDescent="0.25">
      <c r="A152" s="67" t="s">
        <v>214</v>
      </c>
      <c r="B152" s="67" t="s">
        <v>221</v>
      </c>
      <c r="C152" s="2">
        <v>55978</v>
      </c>
      <c r="D152">
        <f>RTD("tos.rtd", , "LAST", Main_L[[#This Row],[Symbol]])</f>
        <v>102.51</v>
      </c>
      <c r="E152">
        <v>4.41</v>
      </c>
      <c r="F152">
        <v>48.55</v>
      </c>
      <c r="G152">
        <v>6.44</v>
      </c>
      <c r="H152" s="1">
        <f>IF(ISNUMBER(Main_L[[#This Row],[Free CF]]),IF(Main_L[[#This Row],[Free CF]]&lt;&gt;0,Main_L[[#This Row],[Current Price]]/Main_L[[#This Row],[Free CF]],""),"")</f>
        <v>23.244897959183675</v>
      </c>
      <c r="I152" s="1">
        <f>IF(ISNUMBER(Main_L[[#This Row],[BVPS]]),IF(Main_L[[#This Row],[BVPS]]&lt;&gt;0,Main_L[[#This Row],[Current Price]]/Main_L[[#This Row],[BVPS]],""),"")</f>
        <v>2.1114315139031929</v>
      </c>
      <c r="J152">
        <v>14.41</v>
      </c>
      <c r="K152">
        <v>2.34</v>
      </c>
      <c r="L152">
        <v>4.57</v>
      </c>
      <c r="M152" s="1">
        <f>IF(ISNUMBER(Main_L[[#This Row],[EPS]]),IF(Main_L[[#This Row],[EPS]]&lt;&gt;0,Main_L[[#This Row],[Current Price]]/Main_L[[#This Row],[EPS]],""),"")</f>
        <v>15.917701863354036</v>
      </c>
      <c r="N1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2" s="1">
        <f>(Main_L[[#This Row],[P/FCF]]-VLOOKUP(Main_L[[#This Row],[Industry]], Mean_PFCF_L, 2, FALSE))/(VLOOKUP(Main_L[[#This Row],[Industry]], Mean_PFCF_L, 3, FALSE))</f>
        <v>1.525850937986202</v>
      </c>
      <c r="P152" s="1">
        <f>(Main_L[[#This Row],[P/B]]-VLOOKUP(Main_L[[#This Row],[Industry]], Mean_PB_L, 2, FALSE))/(VLOOKUP(Main_L[[#This Row],[Industry]], Mean_PB_L, 3, FALSE))</f>
        <v>3.2582719772064471E-2</v>
      </c>
      <c r="Q152" s="1">
        <f>(Main_L[[#This Row],[ROE]]-VLOOKUP(Main_L[[#This Row],[Industry]], Mean_ROE_L, 2, FALSE))/(VLOOKUP(Main_L[[#This Row],[Industry]], Mean_ROE_L, 3, FALSE))</f>
        <v>0.12103815089908358</v>
      </c>
      <c r="R152" s="1">
        <f>(Main_L[[#This Row],[ROA]]-VLOOKUP(Main_L[[#This Row],[Industry]], Mean_ROA_L, 2, FALSE))/(VLOOKUP(Main_L[[#This Row],[Industry]], Mean_ROA_L, 3, FALSE))</f>
        <v>-5.7574876616063857E-2</v>
      </c>
      <c r="S152" s="1">
        <f>(Main_L[[#This Row],[A/E]]-VLOOKUP(Main_L[[#This Row],[Industry]], Mean_AE_L, 2, FALSE))/(VLOOKUP(Main_L[[#This Row],[Industry]], Mean_AE_L, 3, FALSE))</f>
        <v>-0.4355185470815609</v>
      </c>
      <c r="T152" s="1">
        <f>(Main_L[[#This Row],[P/E]]-VLOOKUP(Main_L[[#This Row],[Industry]], Mean_PE_L, 2, FALSE))/(VLOOKUP(Main_L[[#This Row],[Industry]], Mean_PE_L, 3, FALSE))</f>
        <v>-5.8942631684809919E-2</v>
      </c>
      <c r="U1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3" spans="1:26" x14ac:dyDescent="0.25">
      <c r="A153" s="67" t="s">
        <v>214</v>
      </c>
      <c r="B153" s="67" t="s">
        <v>232</v>
      </c>
      <c r="C153" s="2">
        <v>48781</v>
      </c>
      <c r="D153">
        <f>RTD("tos.rtd", , "LAST", Main_L[[#This Row],[Symbol]])</f>
        <v>85.18</v>
      </c>
      <c r="E153">
        <v>4.28</v>
      </c>
      <c r="F153">
        <v>71.39</v>
      </c>
      <c r="G153">
        <v>3.97</v>
      </c>
      <c r="H153" s="1">
        <f>IF(ISNUMBER(Main_L[[#This Row],[Free CF]]),IF(Main_L[[#This Row],[Free CF]]&lt;&gt;0,Main_L[[#This Row],[Current Price]]/Main_L[[#This Row],[Free CF]],""),"")</f>
        <v>19.901869158878505</v>
      </c>
      <c r="I153" s="1">
        <f>IF(ISNUMBER(Main_L[[#This Row],[BVPS]]),IF(Main_L[[#This Row],[BVPS]]&lt;&gt;0,Main_L[[#This Row],[Current Price]]/Main_L[[#This Row],[BVPS]],""),"")</f>
        <v>1.1931643087267125</v>
      </c>
      <c r="J153">
        <v>5.74</v>
      </c>
      <c r="K153">
        <v>0.73</v>
      </c>
      <c r="L153">
        <v>3.91</v>
      </c>
      <c r="M153" s="1">
        <f>IF(ISNUMBER(Main_L[[#This Row],[EPS]]),IF(Main_L[[#This Row],[EPS]]&lt;&gt;0,Main_L[[#This Row],[Current Price]]/Main_L[[#This Row],[EPS]],""),"")</f>
        <v>21.455919395465994</v>
      </c>
      <c r="N1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3" s="1">
        <f>(Main_L[[#This Row],[P/FCF]]-VLOOKUP(Main_L[[#This Row],[Industry]], Mean_PFCF_L, 2, FALSE))/(VLOOKUP(Main_L[[#This Row],[Industry]], Mean_PFCF_L, 3, FALSE))</f>
        <v>1.1041453113758821</v>
      </c>
      <c r="P153" s="1">
        <f>(Main_L[[#This Row],[P/B]]-VLOOKUP(Main_L[[#This Row],[Industry]], Mean_PB_L, 2, FALSE))/(VLOOKUP(Main_L[[#This Row],[Industry]], Mean_PB_L, 3, FALSE))</f>
        <v>-0.83900171419118275</v>
      </c>
      <c r="Q153" s="1">
        <f>(Main_L[[#This Row],[ROE]]-VLOOKUP(Main_L[[#This Row],[Industry]], Mean_ROE_L, 2, FALSE))/(VLOOKUP(Main_L[[#This Row],[Industry]], Mean_ROE_L, 3, FALSE))</f>
        <v>-1.3234495137927813</v>
      </c>
      <c r="R153" s="1">
        <f>(Main_L[[#This Row],[ROA]]-VLOOKUP(Main_L[[#This Row],[Industry]], Mean_ROA_L, 2, FALSE))/(VLOOKUP(Main_L[[#This Row],[Industry]], Mean_ROA_L, 3, FALSE))</f>
        <v>-0.94483708099157915</v>
      </c>
      <c r="S153" s="1">
        <f>(Main_L[[#This Row],[A/E]]-VLOOKUP(Main_L[[#This Row],[Industry]], Mean_AE_L, 2, FALSE))/(VLOOKUP(Main_L[[#This Row],[Industry]], Mean_AE_L, 3, FALSE))</f>
        <v>-0.58739168144846432</v>
      </c>
      <c r="T153" s="1">
        <f>(Main_L[[#This Row],[P/E]]-VLOOKUP(Main_L[[#This Row],[Industry]], Mean_PE_L, 2, FALSE))/(VLOOKUP(Main_L[[#This Row],[Industry]], Mean_PE_L, 3, FALSE))</f>
        <v>0.99139269999010549</v>
      </c>
      <c r="U1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4" spans="1:26" x14ac:dyDescent="0.25">
      <c r="A154" s="67" t="s">
        <v>214</v>
      </c>
      <c r="B154" s="67" t="s">
        <v>709</v>
      </c>
      <c r="C154" s="2">
        <v>35646</v>
      </c>
      <c r="D154">
        <f>RTD("tos.rtd", , "LAST", Main_L[[#This Row],[Symbol]])</f>
        <v>37.6</v>
      </c>
      <c r="E154">
        <v>3.13</v>
      </c>
      <c r="F154">
        <v>20.309999999999999</v>
      </c>
      <c r="G154">
        <v>2.86</v>
      </c>
      <c r="H154" s="1">
        <f>IF(ISNUMBER(Main_L[[#This Row],[Free CF]]),IF(Main_L[[#This Row],[Free CF]]&lt;&gt;0,Main_L[[#This Row],[Current Price]]/Main_L[[#This Row],[Free CF]],""),"")</f>
        <v>12.012779552715656</v>
      </c>
      <c r="I154" s="1">
        <f>IF(ISNUMBER(Main_L[[#This Row],[BVPS]]),IF(Main_L[[#This Row],[BVPS]]&lt;&gt;0,Main_L[[#This Row],[Current Price]]/Main_L[[#This Row],[BVPS]],""),"")</f>
        <v>1.8513047759724275</v>
      </c>
      <c r="J154">
        <v>12.87</v>
      </c>
      <c r="K154">
        <v>0.74</v>
      </c>
      <c r="L154">
        <v>29.57</v>
      </c>
      <c r="M154" s="1">
        <f>IF(ISNUMBER(Main_L[[#This Row],[EPS]]),IF(Main_L[[#This Row],[EPS]]&lt;&gt;0,Main_L[[#This Row],[Current Price]]/Main_L[[#This Row],[EPS]],""),"")</f>
        <v>13.146853146853148</v>
      </c>
      <c r="N1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4" s="1">
        <f>(Main_L[[#This Row],[P/FCF]]-VLOOKUP(Main_L[[#This Row],[Industry]], Mean_PFCF_L, 2, FALSE))/(VLOOKUP(Main_L[[#This Row],[Industry]], Mean_PFCF_L, 3, FALSE))</f>
        <v>0.10897785261867105</v>
      </c>
      <c r="P154" s="1">
        <f>(Main_L[[#This Row],[P/B]]-VLOOKUP(Main_L[[#This Row],[Industry]], Mean_PB_L, 2, FALSE))/(VLOOKUP(Main_L[[#This Row],[Industry]], Mean_PB_L, 3, FALSE))</f>
        <v>-0.21431972252360557</v>
      </c>
      <c r="Q154" s="1">
        <f>(Main_L[[#This Row],[ROE]]-VLOOKUP(Main_L[[#This Row],[Industry]], Mean_ROE_L, 2, FALSE))/(VLOOKUP(Main_L[[#This Row],[Industry]], Mean_ROE_L, 3, FALSE))</f>
        <v>-0.13553751272553846</v>
      </c>
      <c r="R154" s="1">
        <f>(Main_L[[#This Row],[ROA]]-VLOOKUP(Main_L[[#This Row],[Industry]], Mean_ROA_L, 2, FALSE))/(VLOOKUP(Main_L[[#This Row],[Industry]], Mean_ROA_L, 3, FALSE))</f>
        <v>-0.93932613562278711</v>
      </c>
      <c r="S154" s="1">
        <f>(Main_L[[#This Row],[A/E]]-VLOOKUP(Main_L[[#This Row],[Industry]], Mean_AE_L, 2, FALSE))/(VLOOKUP(Main_L[[#This Row],[Industry]], Mean_AE_L, 3, FALSE))</f>
        <v>5.3172516940890233</v>
      </c>
      <c r="T154" s="1">
        <f>(Main_L[[#This Row],[P/E]]-VLOOKUP(Main_L[[#This Row],[Industry]], Mean_PE_L, 2, FALSE))/(VLOOKUP(Main_L[[#This Row],[Industry]], Mean_PE_L, 3, FALSE))</f>
        <v>-0.58444028301255491</v>
      </c>
      <c r="U1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5" spans="1:26" x14ac:dyDescent="0.25">
      <c r="A155" s="67" t="s">
        <v>214</v>
      </c>
      <c r="B155" s="67" t="s">
        <v>226</v>
      </c>
      <c r="C155" s="2">
        <v>36778</v>
      </c>
      <c r="D155">
        <f>RTD("tos.rtd", , "LAST", Main_L[[#This Row],[Symbol]])</f>
        <v>105.82</v>
      </c>
      <c r="E155">
        <v>2.17</v>
      </c>
      <c r="F155">
        <v>84.41</v>
      </c>
      <c r="G155">
        <v>6.33</v>
      </c>
      <c r="H155" s="1">
        <f>IF(ISNUMBER(Main_L[[#This Row],[Free CF]]),IF(Main_L[[#This Row],[Free CF]]&lt;&gt;0,Main_L[[#This Row],[Current Price]]/Main_L[[#This Row],[Free CF]],""),"")</f>
        <v>48.764976958525345</v>
      </c>
      <c r="I155" s="1">
        <f>IF(ISNUMBER(Main_L[[#This Row],[BVPS]]),IF(Main_L[[#This Row],[BVPS]]&lt;&gt;0,Main_L[[#This Row],[Current Price]]/Main_L[[#This Row],[BVPS]],""),"")</f>
        <v>1.2536429333017414</v>
      </c>
      <c r="J155">
        <v>7.91</v>
      </c>
      <c r="K155">
        <v>0.23</v>
      </c>
      <c r="L155">
        <v>24.74</v>
      </c>
      <c r="M155" s="1">
        <f>IF(ISNUMBER(Main_L[[#This Row],[EPS]]),IF(Main_L[[#This Row],[EPS]]&lt;&gt;0,Main_L[[#This Row],[Current Price]]/Main_L[[#This Row],[EPS]],""),"")</f>
        <v>16.717219589257503</v>
      </c>
      <c r="N1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5" s="1">
        <f>(Main_L[[#This Row],[P/FCF]]-VLOOKUP(Main_L[[#This Row],[Industry]], Mean_PFCF_L, 2, FALSE))/(VLOOKUP(Main_L[[#This Row],[Industry]], Mean_PFCF_L, 3, FALSE))</f>
        <v>4.7450756436123784</v>
      </c>
      <c r="P155" s="1">
        <f>(Main_L[[#This Row],[P/B]]-VLOOKUP(Main_L[[#This Row],[Industry]], Mean_PB_L, 2, FALSE))/(VLOOKUP(Main_L[[#This Row],[Industry]], Mean_PB_L, 3, FALSE))</f>
        <v>-0.78159769554611791</v>
      </c>
      <c r="Q155" s="1">
        <f>(Main_L[[#This Row],[ROE]]-VLOOKUP(Main_L[[#This Row],[Industry]], Mean_ROE_L, 2, FALSE))/(VLOOKUP(Main_L[[#This Row],[Industry]], Mean_ROE_L, 3, FALSE))</f>
        <v>-0.96191107868535941</v>
      </c>
      <c r="R155" s="1">
        <f>(Main_L[[#This Row],[ROA]]-VLOOKUP(Main_L[[#This Row],[Industry]], Mean_ROA_L, 2, FALSE))/(VLOOKUP(Main_L[[#This Row],[Industry]], Mean_ROA_L, 3, FALSE))</f>
        <v>-1.2203843494311801</v>
      </c>
      <c r="S155" s="1">
        <f>(Main_L[[#This Row],[A/E]]-VLOOKUP(Main_L[[#This Row],[Industry]], Mean_AE_L, 2, FALSE))/(VLOOKUP(Main_L[[#This Row],[Industry]], Mean_AE_L, 3, FALSE))</f>
        <v>4.2058164834948659</v>
      </c>
      <c r="T155" s="1">
        <f>(Main_L[[#This Row],[P/E]]-VLOOKUP(Main_L[[#This Row],[Industry]], Mean_PE_L, 2, FALSE))/(VLOOKUP(Main_L[[#This Row],[Industry]], Mean_PE_L, 3, FALSE))</f>
        <v>9.2687691780753784E-2</v>
      </c>
      <c r="U1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6" spans="1:26" x14ac:dyDescent="0.25">
      <c r="A156" s="67" t="s">
        <v>214</v>
      </c>
      <c r="B156" s="67" t="s">
        <v>227</v>
      </c>
      <c r="C156" s="2">
        <v>29509</v>
      </c>
      <c r="D156">
        <f>RTD("tos.rtd", , "LAST", Main_L[[#This Row],[Symbol]])</f>
        <v>23.86</v>
      </c>
      <c r="E156">
        <v>1.29</v>
      </c>
      <c r="F156">
        <v>6.62</v>
      </c>
      <c r="G156">
        <v>0.84</v>
      </c>
      <c r="H156" s="1">
        <f>IF(ISNUMBER(Main_L[[#This Row],[Free CF]]),IF(Main_L[[#This Row],[Free CF]]&lt;&gt;0,Main_L[[#This Row],[Current Price]]/Main_L[[#This Row],[Free CF]],""),"")</f>
        <v>18.496124031007749</v>
      </c>
      <c r="I156" s="1">
        <f>IF(ISNUMBER(Main_L[[#This Row],[BVPS]]),IF(Main_L[[#This Row],[BVPS]]&lt;&gt;0,Main_L[[#This Row],[Current Price]]/Main_L[[#This Row],[BVPS]],""),"")</f>
        <v>3.6042296072507551</v>
      </c>
      <c r="J156">
        <v>13.18</v>
      </c>
      <c r="K156">
        <v>1.47</v>
      </c>
      <c r="L156">
        <v>10.4</v>
      </c>
      <c r="M156" s="1">
        <f>IF(ISNUMBER(Main_L[[#This Row],[EPS]]),IF(Main_L[[#This Row],[EPS]]&lt;&gt;0,Main_L[[#This Row],[Current Price]]/Main_L[[#This Row],[EPS]],""),"")</f>
        <v>28.404761904761905</v>
      </c>
      <c r="N1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6" s="1">
        <f>(Main_L[[#This Row],[P/FCF]]-VLOOKUP(Main_L[[#This Row],[Industry]], Mean_PFCF_L, 2, FALSE))/(VLOOKUP(Main_L[[#This Row],[Industry]], Mean_PFCF_L, 3, FALSE))</f>
        <v>0.92681790398141828</v>
      </c>
      <c r="P156" s="1">
        <f>(Main_L[[#This Row],[P/B]]-VLOOKUP(Main_L[[#This Row],[Industry]], Mean_PB_L, 2, FALSE))/(VLOOKUP(Main_L[[#This Row],[Industry]], Mean_PB_L, 3, FALSE))</f>
        <v>1.4494901012805799</v>
      </c>
      <c r="Q156" s="1">
        <f>(Main_L[[#This Row],[ROE]]-VLOOKUP(Main_L[[#This Row],[Industry]], Mean_ROE_L, 2, FALSE))/(VLOOKUP(Main_L[[#This Row],[Industry]], Mean_ROE_L, 3, FALSE))</f>
        <v>-8.388916485304955E-2</v>
      </c>
      <c r="R156" s="1">
        <f>(Main_L[[#This Row],[ROA]]-VLOOKUP(Main_L[[#This Row],[Industry]], Mean_ROA_L, 2, FALSE))/(VLOOKUP(Main_L[[#This Row],[Industry]], Mean_ROA_L, 3, FALSE))</f>
        <v>-0.53702712370096961</v>
      </c>
      <c r="S156" s="1">
        <f>(Main_L[[#This Row],[A/E]]-VLOOKUP(Main_L[[#This Row],[Industry]], Mean_AE_L, 2, FALSE))/(VLOOKUP(Main_L[[#This Row],[Industry]], Mean_AE_L, 3, FALSE))</f>
        <v>0.90602747315941945</v>
      </c>
      <c r="T156" s="1">
        <f>(Main_L[[#This Row],[P/E]]-VLOOKUP(Main_L[[#This Row],[Industry]], Mean_PE_L, 2, FALSE))/(VLOOKUP(Main_L[[#This Row],[Industry]], Mean_PE_L, 3, FALSE))</f>
        <v>2.3092562110275279</v>
      </c>
      <c r="U1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7" spans="1:26" x14ac:dyDescent="0.25">
      <c r="A157" s="67" t="s">
        <v>214</v>
      </c>
      <c r="B157" s="67" t="s">
        <v>220</v>
      </c>
      <c r="C157" s="2">
        <v>11450</v>
      </c>
      <c r="D157">
        <f>RTD("tos.rtd", , "LAST", Main_L[[#This Row],[Symbol]])</f>
        <v>7.26</v>
      </c>
      <c r="E157">
        <v>0.44</v>
      </c>
      <c r="F157">
        <v>4.76</v>
      </c>
      <c r="G157">
        <v>0.39</v>
      </c>
      <c r="H157" s="1">
        <f>IF(ISNUMBER(Main_L[[#This Row],[Free CF]]),IF(Main_L[[#This Row],[Free CF]]&lt;&gt;0,Main_L[[#This Row],[Current Price]]/Main_L[[#This Row],[Free CF]],""),"")</f>
        <v>16.5</v>
      </c>
      <c r="I157" s="1">
        <f>IF(ISNUMBER(Main_L[[#This Row],[BVPS]]),IF(Main_L[[#This Row],[BVPS]]&lt;&gt;0,Main_L[[#This Row],[Current Price]]/Main_L[[#This Row],[BVPS]],""),"")</f>
        <v>1.5252100840336136</v>
      </c>
      <c r="J157">
        <v>7.17</v>
      </c>
      <c r="K157">
        <v>7.0000000000000007E-2</v>
      </c>
      <c r="L157">
        <v>35.64</v>
      </c>
      <c r="M157" s="1">
        <f>IF(ISNUMBER(Main_L[[#This Row],[EPS]]),IF(Main_L[[#This Row],[EPS]]&lt;&gt;0,Main_L[[#This Row],[Current Price]]/Main_L[[#This Row],[EPS]],""),"")</f>
        <v>18.615384615384613</v>
      </c>
      <c r="N1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7" s="1">
        <f>(Main_L[[#This Row],[P/FCF]]-VLOOKUP(Main_L[[#This Row],[Industry]], Mean_PFCF_L, 2, FALSE))/(VLOOKUP(Main_L[[#This Row],[Industry]], Mean_PFCF_L, 3, FALSE))</f>
        <v>0.6750172807827195</v>
      </c>
      <c r="P157" s="1">
        <f>(Main_L[[#This Row],[P/B]]-VLOOKUP(Main_L[[#This Row],[Industry]], Mean_PB_L, 2, FALSE))/(VLOOKUP(Main_L[[#This Row],[Industry]], Mean_PB_L, 3, FALSE))</f>
        <v>-0.5238364469472846</v>
      </c>
      <c r="Q157" s="1">
        <f>(Main_L[[#This Row],[ROE]]-VLOOKUP(Main_L[[#This Row],[Industry]], Mean_ROE_L, 2, FALSE))/(VLOOKUP(Main_L[[#This Row],[Industry]], Mean_ROE_L, 3, FALSE))</f>
        <v>-1.0852006832842038</v>
      </c>
      <c r="R157" s="1">
        <f>(Main_L[[#This Row],[ROA]]-VLOOKUP(Main_L[[#This Row],[Industry]], Mean_ROA_L, 2, FALSE))/(VLOOKUP(Main_L[[#This Row],[Industry]], Mean_ROA_L, 3, FALSE))</f>
        <v>-1.3085594753318526</v>
      </c>
      <c r="S157" s="1">
        <f>(Main_L[[#This Row],[A/E]]-VLOOKUP(Main_L[[#This Row],[Industry]], Mean_AE_L, 2, FALSE))/(VLOOKUP(Main_L[[#This Row],[Industry]], Mean_AE_L, 3, FALSE))</f>
        <v>6.714024308645242</v>
      </c>
      <c r="T157" s="1">
        <f>(Main_L[[#This Row],[P/E]]-VLOOKUP(Main_L[[#This Row],[Industry]], Mean_PE_L, 2, FALSE))/(VLOOKUP(Main_L[[#This Row],[Industry]], Mean_PE_L, 3, FALSE))</f>
        <v>0.45267893097114659</v>
      </c>
      <c r="U1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8" spans="1:26" x14ac:dyDescent="0.25">
      <c r="A158" s="67" t="s">
        <v>250</v>
      </c>
      <c r="B158" s="67" t="s">
        <v>251</v>
      </c>
      <c r="C158" s="2">
        <v>11466</v>
      </c>
      <c r="D158">
        <f>RTD("tos.rtd", , "LAST", Main_L[[#This Row],[Symbol]])</f>
        <v>19.190000000000001</v>
      </c>
      <c r="E158">
        <v>1.45</v>
      </c>
      <c r="F158">
        <v>19.02</v>
      </c>
      <c r="G158">
        <v>0.93</v>
      </c>
      <c r="H158" s="1">
        <f>IF(ISNUMBER(Main_L[[#This Row],[Free CF]]),IF(Main_L[[#This Row],[Free CF]]&lt;&gt;0,Main_L[[#This Row],[Current Price]]/Main_L[[#This Row],[Free CF]],""),"")</f>
        <v>13.234482758620691</v>
      </c>
      <c r="I158" s="1">
        <f>IF(ISNUMBER(Main_L[[#This Row],[BVPS]]),IF(Main_L[[#This Row],[BVPS]]&lt;&gt;0,Main_L[[#This Row],[Current Price]]/Main_L[[#This Row],[BVPS]],""),"")</f>
        <v>1.0089379600420612</v>
      </c>
      <c r="J158">
        <v>5.51</v>
      </c>
      <c r="K158">
        <v>0.69</v>
      </c>
      <c r="L158">
        <v>9.17</v>
      </c>
      <c r="M158" s="1">
        <f>IF(ISNUMBER(Main_L[[#This Row],[EPS]]),IF(Main_L[[#This Row],[EPS]]&lt;&gt;0,Main_L[[#This Row],[Current Price]]/Main_L[[#This Row],[EPS]],""),"")</f>
        <v>20.634408602150536</v>
      </c>
      <c r="N1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8" s="1" t="e">
        <f>(Main_L[[#This Row],[P/FCF]]-VLOOKUP(Main_L[[#This Row],[Industry]], Mean_PFCF_L, 2, FALSE))/(VLOOKUP(Main_L[[#This Row],[Industry]], Mean_PFCF_L, 3, FALSE))</f>
        <v>#DIV/0!</v>
      </c>
      <c r="P158" s="1" t="e">
        <f>(Main_L[[#This Row],[P/B]]-VLOOKUP(Main_L[[#This Row],[Industry]], Mean_PB_L, 2, FALSE))/(VLOOKUP(Main_L[[#This Row],[Industry]], Mean_PB_L, 3, FALSE))</f>
        <v>#DIV/0!</v>
      </c>
      <c r="Q158" s="1" t="e">
        <f>(Main_L[[#This Row],[ROE]]-VLOOKUP(Main_L[[#This Row],[Industry]], Mean_ROE_L, 2, FALSE))/(VLOOKUP(Main_L[[#This Row],[Industry]], Mean_ROE_L, 3, FALSE))</f>
        <v>#DIV/0!</v>
      </c>
      <c r="R158" s="1" t="e">
        <f>(Main_L[[#This Row],[ROA]]-VLOOKUP(Main_L[[#This Row],[Industry]], Mean_ROA_L, 2, FALSE))/(VLOOKUP(Main_L[[#This Row],[Industry]], Mean_ROA_L, 3, FALSE))</f>
        <v>#DIV/0!</v>
      </c>
      <c r="S158" s="1" t="e">
        <f>(Main_L[[#This Row],[A/E]]-VLOOKUP(Main_L[[#This Row],[Industry]], Mean_AE_L, 2, FALSE))/(VLOOKUP(Main_L[[#This Row],[Industry]], Mean_AE_L, 3, FALSE))</f>
        <v>#DIV/0!</v>
      </c>
      <c r="T158" s="1" t="e">
        <f>(Main_L[[#This Row],[P/E]]-VLOOKUP(Main_L[[#This Row],[Industry]], Mean_PE_L, 2, FALSE))/(VLOOKUP(Main_L[[#This Row],[Industry]], Mean_PE_L, 3, FALSE))</f>
        <v>#DIV/0!</v>
      </c>
      <c r="U1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84"/>
  <sheetViews>
    <sheetView topLeftCell="H1"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255</v>
      </c>
      <c r="C2" s="2">
        <v>9962</v>
      </c>
      <c r="D2">
        <f>RTD("tos.rtd", , "LAST", Main_M[[#This Row],[Symbol]])</f>
        <v>41.99</v>
      </c>
      <c r="H2" s="1" t="str">
        <f>IF(ISNUMBER(Main_M[[#This Row],[Free CF]]),IF(Main_M[[#This Row],[Free CF]]&lt;&gt;0,Main_M[[#This Row],[Current Price]]/Main_M[[#This Row],[Free CF]],""),"")</f>
        <v/>
      </c>
      <c r="I2" s="1" t="str">
        <f>IF(ISNUMBER(Main_M[[#This Row],[BVPS]]),IF(Main_M[[#This Row],[BVPS]]&lt;&gt;0,Main_M[[#This Row],[Current Price]]/Main_M[[#This Row],[BVPS]],""),"")</f>
        <v/>
      </c>
      <c r="J2">
        <v>16.29</v>
      </c>
      <c r="K2">
        <v>1.84</v>
      </c>
      <c r="L2">
        <v>8.9600000000000009</v>
      </c>
      <c r="M2" s="1" t="str">
        <f>IF(ISNUMBER(Main_M[[#This Row],[EPS]]),IF(Main_M[[#This Row],[EPS]]&lt;&gt;0,Main_M[[#This Row],[Current Price]]/Main_M[[#This Row],[EPS]],""),"")</f>
        <v/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 t="e">
        <f>(Main_M[[#This Row],[P/FCF]]-VLOOKUP(Main_M[[#This Row],[Industry]], Mean_PFCF_M, 2, FALSE))/(VLOOKUP(Main_M[[#This Row],[Industry]], Mean_PFCF_M, 3, FALSE))</f>
        <v>#VALUE!</v>
      </c>
      <c r="P2" s="1" t="e">
        <f>(Main_M[[#This Row],[P/B]]-VLOOKUP(Main_M[[#This Row],[Industry]], Mean_PB_M, 2, FALSE))/(VLOOKUP(Main_M[[#This Row],[Industry]], Mean_PB_M, 3, FALSE))</f>
        <v>#VALUE!</v>
      </c>
      <c r="Q2" s="1">
        <f>(Main_M[[#This Row],[ROE]]-VLOOKUP(Main_M[[#This Row],[Industry]], Mean_ROE_M, 2, FALSE))/(VLOOKUP(Main_M[[#This Row],[Industry]], Mean_ROE_M, 3, FALSE))</f>
        <v>1.8287505128761652</v>
      </c>
      <c r="R2" s="1">
        <f>(Main_M[[#This Row],[ROA]]-VLOOKUP(Main_M[[#This Row],[Industry]], Mean_ROA_M, 2, FALSE))/(VLOOKUP(Main_M[[#This Row],[Industry]], Mean_ROA_M, 3, FALSE))</f>
        <v>1.3540498072563796</v>
      </c>
      <c r="S2" s="1">
        <f>(Main_M[[#This Row],[A/E]]-VLOOKUP(Main_M[[#This Row],[Industry]], Mean_AE_M, 2, FALSE))/(VLOOKUP(Main_M[[#This Row],[Industry]], Mean_AE_M, 3, FALSE))</f>
        <v>0.10551956209993439</v>
      </c>
      <c r="T2" s="1" t="e">
        <f>(Main_M[[#This Row],[P/E]]-VLOOKUP(Main_M[[#This Row],[Industry]], Mean_PE_M, 2, FALSE))/(VLOOKUP(Main_M[[#This Row],[Industry]], Mean_PE_M, 3, FALSE))</f>
        <v>#VALUE!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" spans="1:26" x14ac:dyDescent="0.25">
      <c r="A3" s="67" t="s">
        <v>105</v>
      </c>
      <c r="B3" s="67" t="s">
        <v>694</v>
      </c>
      <c r="C3" s="2">
        <v>4187</v>
      </c>
      <c r="D3">
        <f>RTD("tos.rtd", , "LAST", Main_M[[#This Row],[Symbol]])</f>
        <v>912.01</v>
      </c>
      <c r="E3">
        <v>76.62</v>
      </c>
      <c r="F3">
        <v>704.81</v>
      </c>
      <c r="G3">
        <v>69.290000000000006</v>
      </c>
      <c r="H3" s="1">
        <f>IF(ISNUMBER(Main_M[[#This Row],[Free CF]]),IF(Main_M[[#This Row],[Free CF]]&lt;&gt;0,Main_M[[#This Row],[Current Price]]/Main_M[[#This Row],[Free CF]],""),"")</f>
        <v>11.903027930044374</v>
      </c>
      <c r="I3" s="1">
        <f>IF(ISNUMBER(Main_M[[#This Row],[BVPS]]),IF(Main_M[[#This Row],[BVPS]]&lt;&gt;0,Main_M[[#This Row],[Current Price]]/Main_M[[#This Row],[BVPS]],""),"")</f>
        <v>1.2939799378555923</v>
      </c>
      <c r="J3">
        <v>10.45</v>
      </c>
      <c r="K3">
        <v>1.6</v>
      </c>
      <c r="L3">
        <v>6.19</v>
      </c>
      <c r="M3" s="1">
        <f>IF(ISNUMBER(Main_M[[#This Row],[EPS]]),IF(Main_M[[#This Row],[EPS]]&lt;&gt;0,Main_M[[#This Row],[Current Price]]/Main_M[[#This Row],[EPS]],""),"")</f>
        <v>13.162216770096693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0.12964325803672175</v>
      </c>
      <c r="P3" s="1">
        <f>(Main_M[[#This Row],[P/B]]-VLOOKUP(Main_M[[#This Row],[Industry]], Mean_PB_M, 2, FALSE))/(VLOOKUP(Main_M[[#This Row],[Industry]], Mean_PB_M, 3, FALSE))</f>
        <v>6.6266038091498863E-2</v>
      </c>
      <c r="Q3" s="1">
        <f>(Main_M[[#This Row],[ROE]]-VLOOKUP(Main_M[[#This Row],[Industry]], Mean_ROE_M, 2, FALSE))/(VLOOKUP(Main_M[[#This Row],[Industry]], Mean_ROE_M, 3, FALSE))</f>
        <v>0.20820130966433012</v>
      </c>
      <c r="R3" s="1">
        <f>(Main_M[[#This Row],[ROA]]-VLOOKUP(Main_M[[#This Row],[Industry]], Mean_ROA_M, 2, FALSE))/(VLOOKUP(Main_M[[#This Row],[Industry]], Mean_ROA_M, 3, FALSE))</f>
        <v>0.88719440837722785</v>
      </c>
      <c r="S3" s="1">
        <f>(Main_M[[#This Row],[A/E]]-VLOOKUP(Main_M[[#This Row],[Industry]], Mean_AE_M, 2, FALSE))/(VLOOKUP(Main_M[[#This Row],[Industry]], Mean_AE_M, 3, FALSE))</f>
        <v>-1.2213195105421912</v>
      </c>
      <c r="T3" s="1">
        <f>(Main_M[[#This Row],[P/E]]-VLOOKUP(Main_M[[#This Row],[Industry]], Mean_PE_M, 2, FALSE))/(VLOOKUP(Main_M[[#This Row],[Industry]], Mean_PE_M, 3, FALSE))</f>
        <v>-0.10235388702797857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105</v>
      </c>
      <c r="B4" s="67" t="s">
        <v>269</v>
      </c>
      <c r="C4" s="2">
        <v>6068</v>
      </c>
      <c r="D4">
        <f>RTD("tos.rtd", , "LAST", Main_M[[#This Row],[Symbol]])</f>
        <v>95.67</v>
      </c>
      <c r="E4">
        <v>17.190000000000001</v>
      </c>
      <c r="F4">
        <v>89.82</v>
      </c>
      <c r="G4">
        <v>8.7200000000000006</v>
      </c>
      <c r="H4" s="1">
        <f>IF(ISNUMBER(Main_M[[#This Row],[Free CF]]),IF(Main_M[[#This Row],[Free CF]]&lt;&gt;0,Main_M[[#This Row],[Current Price]]/Main_M[[#This Row],[Free CF]],""),"")</f>
        <v>5.5654450261780104</v>
      </c>
      <c r="I4" s="1">
        <f>IF(ISNUMBER(Main_M[[#This Row],[BVPS]]),IF(Main_M[[#This Row],[BVPS]]&lt;&gt;0,Main_M[[#This Row],[Current Price]]/Main_M[[#This Row],[BVPS]],""),"")</f>
        <v>1.0651302605210422</v>
      </c>
      <c r="J4">
        <v>10.26</v>
      </c>
      <c r="K4">
        <v>1.1100000000000001</v>
      </c>
      <c r="L4">
        <v>8.74</v>
      </c>
      <c r="M4" s="1">
        <f>IF(ISNUMBER(Main_M[[#This Row],[EPS]]),IF(Main_M[[#This Row],[EPS]]&lt;&gt;0,Main_M[[#This Row],[Current Price]]/Main_M[[#This Row],[EPS]],""),"")</f>
        <v>10.971330275229358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-1.2109080491459234</v>
      </c>
      <c r="P4" s="1">
        <f>(Main_M[[#This Row],[P/B]]-VLOOKUP(Main_M[[#This Row],[Industry]], Mean_PB_M, 2, FALSE))/(VLOOKUP(Main_M[[#This Row],[Industry]], Mean_PB_M, 3, FALSE))</f>
        <v>-0.42444659747830421</v>
      </c>
      <c r="Q4" s="1">
        <f>(Main_M[[#This Row],[ROE]]-VLOOKUP(Main_M[[#This Row],[Industry]], Mean_ROE_M, 2, FALSE))/(VLOOKUP(Main_M[[#This Row],[Industry]], Mean_ROE_M, 3, FALSE))</f>
        <v>0.15547796229956165</v>
      </c>
      <c r="R4" s="1">
        <f>(Main_M[[#This Row],[ROA]]-VLOOKUP(Main_M[[#This Row],[Industry]], Mean_ROA_M, 2, FALSE))/(VLOOKUP(Main_M[[#This Row],[Industry]], Mean_ROA_M, 3, FALSE))</f>
        <v>-6.5968697667706605E-2</v>
      </c>
      <c r="S4" s="1">
        <f>(Main_M[[#This Row],[A/E]]-VLOOKUP(Main_M[[#This Row],[Industry]], Mean_AE_M, 2, FALSE))/(VLOOKUP(Main_M[[#This Row],[Industry]], Mean_AE_M, 3, FALSE))</f>
        <v>1.388415290793626E-4</v>
      </c>
      <c r="T4" s="1">
        <f>(Main_M[[#This Row],[P/E]]-VLOOKUP(Main_M[[#This Row],[Industry]], Mean_PE_M, 2, FALSE))/(VLOOKUP(Main_M[[#This Row],[Industry]], Mean_PE_M, 3, FALSE))</f>
        <v>-0.72879999543915541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105</v>
      </c>
      <c r="B5" s="67" t="s">
        <v>302</v>
      </c>
      <c r="C5" s="2">
        <v>2632</v>
      </c>
      <c r="D5">
        <f>RTD("tos.rtd", , "LAST", Main_M[[#This Row],[Symbol]])</f>
        <v>162.6</v>
      </c>
      <c r="E5">
        <v>10.81</v>
      </c>
      <c r="F5">
        <v>79</v>
      </c>
      <c r="G5">
        <v>9.75</v>
      </c>
      <c r="H5" s="1">
        <f>IF(ISNUMBER(Main_M[[#This Row],[Free CF]]),IF(Main_M[[#This Row],[Free CF]]&lt;&gt;0,Main_M[[#This Row],[Current Price]]/Main_M[[#This Row],[Free CF]],""),"")</f>
        <v>15.041628122109158</v>
      </c>
      <c r="I5" s="1">
        <f>IF(ISNUMBER(Main_M[[#This Row],[BVPS]]),IF(Main_M[[#This Row],[BVPS]]&lt;&gt;0,Main_M[[#This Row],[Current Price]]/Main_M[[#This Row],[BVPS]],""),"")</f>
        <v>2.0582278481012657</v>
      </c>
      <c r="J5">
        <v>12.98</v>
      </c>
      <c r="K5">
        <v>1.6</v>
      </c>
      <c r="L5">
        <v>7.73</v>
      </c>
      <c r="M5" s="1">
        <f>IF(ISNUMBER(Main_M[[#This Row],[EPS]]),IF(Main_M[[#This Row],[EPS]]&lt;&gt;0,Main_M[[#This Row],[Current Price]]/Main_M[[#This Row],[EPS]],""),"")</f>
        <v>16.676923076923078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0.79353273356994269</v>
      </c>
      <c r="P5" s="1">
        <f>(Main_M[[#This Row],[P/B]]-VLOOKUP(Main_M[[#This Row],[Industry]], Mean_PB_M, 2, FALSE))/(VLOOKUP(Main_M[[#This Row],[Industry]], Mean_PB_M, 3, FALSE))</f>
        <v>1.705010346728328</v>
      </c>
      <c r="Q5" s="1">
        <f>(Main_M[[#This Row],[ROE]]-VLOOKUP(Main_M[[#This Row],[Industry]], Mean_ROE_M, 2, FALSE))/(VLOOKUP(Main_M[[#This Row],[Industry]], Mean_ROE_M, 3, FALSE))</f>
        <v>0.91025430352151249</v>
      </c>
      <c r="R5" s="1">
        <f>(Main_M[[#This Row],[ROA]]-VLOOKUP(Main_M[[#This Row],[Industry]], Mean_ROA_M, 2, FALSE))/(VLOOKUP(Main_M[[#This Row],[Industry]], Mean_ROA_M, 3, FALSE))</f>
        <v>0.88719440837722785</v>
      </c>
      <c r="S5" s="1">
        <f>(Main_M[[#This Row],[A/E]]-VLOOKUP(Main_M[[#This Row],[Industry]], Mean_AE_M, 2, FALSE))/(VLOOKUP(Main_M[[#This Row],[Industry]], Mean_AE_M, 3, FALSE))</f>
        <v>-0.48365446654620808</v>
      </c>
      <c r="T5" s="1">
        <f>(Main_M[[#This Row],[P/E]]-VLOOKUP(Main_M[[#This Row],[Industry]], Mean_PE_M, 2, FALSE))/(VLOOKUP(Main_M[[#This Row],[Industry]], Mean_PE_M, 3, FALSE))</f>
        <v>0.9026156051286347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105</v>
      </c>
      <c r="B6" s="67" t="s">
        <v>323</v>
      </c>
      <c r="C6" s="2">
        <v>7992</v>
      </c>
      <c r="D6">
        <f>RTD("tos.rtd", , "LAST", Main_M[[#This Row],[Symbol]])</f>
        <v>122.14</v>
      </c>
      <c r="E6">
        <v>10.26</v>
      </c>
      <c r="F6">
        <v>92.47</v>
      </c>
      <c r="G6">
        <v>10.130000000000001</v>
      </c>
      <c r="H6" s="1">
        <f>IF(ISNUMBER(Main_M[[#This Row],[Free CF]]),IF(Main_M[[#This Row],[Free CF]]&lt;&gt;0,Main_M[[#This Row],[Current Price]]/Main_M[[#This Row],[Free CF]],""),"")</f>
        <v>11.904483430799221</v>
      </c>
      <c r="I6" s="1">
        <f>IF(ISNUMBER(Main_M[[#This Row],[BVPS]]),IF(Main_M[[#This Row],[BVPS]]&lt;&gt;0,Main_M[[#This Row],[Current Price]]/Main_M[[#This Row],[BVPS]],""),"")</f>
        <v>1.3208608197253164</v>
      </c>
      <c r="J6">
        <v>11.58</v>
      </c>
      <c r="K6">
        <v>1.1299999999999999</v>
      </c>
      <c r="L6">
        <v>10.64</v>
      </c>
      <c r="M6" s="1">
        <f>IF(ISNUMBER(Main_M[[#This Row],[EPS]]),IF(Main_M[[#This Row],[EPS]]&lt;&gt;0,Main_M[[#This Row],[Current Price]]/Main_M[[#This Row],[EPS]],""),"")</f>
        <v>12.057255676209278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0.1299511314750835</v>
      </c>
      <c r="P6" s="1">
        <f>(Main_M[[#This Row],[P/B]]-VLOOKUP(Main_M[[#This Row],[Industry]], Mean_PB_M, 2, FALSE))/(VLOOKUP(Main_M[[#This Row],[Industry]], Mean_PB_M, 3, FALSE))</f>
        <v>0.1239055704796069</v>
      </c>
      <c r="Q6" s="1">
        <f>(Main_M[[#This Row],[ROE]]-VLOOKUP(Main_M[[#This Row],[Industry]], Mean_ROE_M, 2, FALSE))/(VLOOKUP(Main_M[[#This Row],[Industry]], Mean_ROE_M, 3, FALSE))</f>
        <v>0.52176648083374366</v>
      </c>
      <c r="R6" s="1">
        <f>(Main_M[[#This Row],[ROA]]-VLOOKUP(Main_M[[#This Row],[Industry]], Mean_ROA_M, 2, FALSE))/(VLOOKUP(Main_M[[#This Row],[Industry]], Mean_ROA_M, 3, FALSE))</f>
        <v>-2.7064081094444366E-2</v>
      </c>
      <c r="S6" s="1">
        <f>(Main_M[[#This Row],[A/E]]-VLOOKUP(Main_M[[#This Row],[Industry]], Mean_AE_M, 2, FALSE))/(VLOOKUP(Main_M[[#This Row],[Industry]], Mean_AE_M, 3, FALSE))</f>
        <v>0.91024506464100663</v>
      </c>
      <c r="T6" s="1">
        <f>(Main_M[[#This Row],[P/E]]-VLOOKUP(Main_M[[#This Row],[Industry]], Mean_PE_M, 2, FALSE))/(VLOOKUP(Main_M[[#This Row],[Industry]], Mean_PE_M, 3, FALSE))</f>
        <v>-0.41829840484447206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105</v>
      </c>
      <c r="B7" s="67" t="s">
        <v>317</v>
      </c>
      <c r="C7" s="2">
        <v>7829</v>
      </c>
      <c r="D7">
        <f>RTD("tos.rtd", , "LAST", Main_M[[#This Row],[Symbol]])</f>
        <v>105.89</v>
      </c>
      <c r="E7">
        <v>9.49</v>
      </c>
      <c r="F7">
        <v>87.43</v>
      </c>
      <c r="G7">
        <v>7.71</v>
      </c>
      <c r="H7" s="1">
        <f>IF(ISNUMBER(Main_M[[#This Row],[Free CF]]),IF(Main_M[[#This Row],[Free CF]]&lt;&gt;0,Main_M[[#This Row],[Current Price]]/Main_M[[#This Row],[Free CF]],""),"")</f>
        <v>11.158061116965227</v>
      </c>
      <c r="I7" s="1">
        <f>IF(ISNUMBER(Main_M[[#This Row],[BVPS]]),IF(Main_M[[#This Row],[BVPS]]&lt;&gt;0,Main_M[[#This Row],[Current Price]]/Main_M[[#This Row],[BVPS]],""),"")</f>
        <v>1.2111403408441037</v>
      </c>
      <c r="J7">
        <v>8.33</v>
      </c>
      <c r="K7">
        <v>0.72</v>
      </c>
      <c r="L7">
        <v>10.45</v>
      </c>
      <c r="M7" s="1">
        <f>IF(ISNUMBER(Main_M[[#This Row],[EPS]]),IF(Main_M[[#This Row],[EPS]]&lt;&gt;0,Main_M[[#This Row],[Current Price]]/Main_M[[#This Row],[EPS]],""),"")</f>
        <v>13.734111543450066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-2.7935151623479176E-2</v>
      </c>
      <c r="P7" s="1">
        <f>(Main_M[[#This Row],[P/B]]-VLOOKUP(Main_M[[#This Row],[Industry]], Mean_PB_M, 2, FALSE))/(VLOOKUP(Main_M[[#This Row],[Industry]], Mean_PB_M, 3, FALSE))</f>
        <v>-0.11136338858067425</v>
      </c>
      <c r="Q7" s="1">
        <f>(Main_M[[#This Row],[ROE]]-VLOOKUP(Main_M[[#This Row],[Industry]], Mean_ROE_M, 2, FALSE))/(VLOOKUP(Main_M[[#This Row],[Industry]], Mean_ROE_M, 3, FALSE))</f>
        <v>-0.38008025040571941</v>
      </c>
      <c r="R7" s="1">
        <f>(Main_M[[#This Row],[ROA]]-VLOOKUP(Main_M[[#This Row],[Industry]], Mean_ROA_M, 2, FALSE))/(VLOOKUP(Main_M[[#This Row],[Industry]], Mean_ROA_M, 3, FALSE))</f>
        <v>-0.82460872084632819</v>
      </c>
      <c r="S7" s="1">
        <f>(Main_M[[#This Row],[A/E]]-VLOOKUP(Main_M[[#This Row],[Industry]], Mean_AE_M, 2, FALSE))/(VLOOKUP(Main_M[[#This Row],[Industry]], Mean_AE_M, 3, FALSE))</f>
        <v>0.81923444232981335</v>
      </c>
      <c r="T7" s="1">
        <f>(Main_M[[#This Row],[P/E]]-VLOOKUP(Main_M[[#This Row],[Industry]], Mean_PE_M, 2, FALSE))/(VLOOKUP(Main_M[[#This Row],[Industry]], Mean_PE_M, 3, FALSE))</f>
        <v>6.1169534211425319E-2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105</v>
      </c>
      <c r="B8" s="67" t="s">
        <v>266</v>
      </c>
      <c r="C8" s="2">
        <v>2132</v>
      </c>
      <c r="D8">
        <f>RTD("tos.rtd", , "LAST", Main_M[[#This Row],[Symbol]])</f>
        <v>62.72</v>
      </c>
      <c r="E8">
        <v>8.2799999999999994</v>
      </c>
      <c r="F8">
        <v>53.16</v>
      </c>
      <c r="G8">
        <v>5.09</v>
      </c>
      <c r="H8" s="1">
        <f>IF(ISNUMBER(Main_M[[#This Row],[Free CF]]),IF(Main_M[[#This Row],[Free CF]]&lt;&gt;0,Main_M[[#This Row],[Current Price]]/Main_M[[#This Row],[Free CF]],""),"")</f>
        <v>7.5748792270531409</v>
      </c>
      <c r="I8" s="1">
        <f>IF(ISNUMBER(Main_M[[#This Row],[BVPS]]),IF(Main_M[[#This Row],[BVPS]]&lt;&gt;0,Main_M[[#This Row],[Current Price]]/Main_M[[#This Row],[BVPS]],""),"")</f>
        <v>1.1798344620015049</v>
      </c>
      <c r="J8">
        <v>10.09</v>
      </c>
      <c r="K8">
        <v>1.1100000000000001</v>
      </c>
      <c r="L8">
        <v>8.82</v>
      </c>
      <c r="M8" s="1">
        <f>IF(ISNUMBER(Main_M[[#This Row],[EPS]]),IF(Main_M[[#This Row],[EPS]]&lt;&gt;0,Main_M[[#This Row],[Current Price]]/Main_M[[#This Row],[EPS]],""),"")</f>
        <v>12.322200392927309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-0.78586435574708879</v>
      </c>
      <c r="P8" s="1">
        <f>(Main_M[[#This Row],[P/B]]-VLOOKUP(Main_M[[#This Row],[Industry]], Mean_PB_M, 2, FALSE))/(VLOOKUP(Main_M[[#This Row],[Industry]], Mean_PB_M, 3, FALSE))</f>
        <v>-0.17849125388774645</v>
      </c>
      <c r="Q8" s="1">
        <f>(Main_M[[#This Row],[ROE]]-VLOOKUP(Main_M[[#This Row],[Industry]], Mean_ROE_M, 2, FALSE))/(VLOOKUP(Main_M[[#This Row],[Industry]], Mean_ROE_M, 3, FALSE))</f>
        <v>0.10830444097318975</v>
      </c>
      <c r="R8" s="1">
        <f>(Main_M[[#This Row],[ROA]]-VLOOKUP(Main_M[[#This Row],[Industry]], Mean_ROA_M, 2, FALSE))/(VLOOKUP(Main_M[[#This Row],[Industry]], Mean_ROA_M, 3, FALSE))</f>
        <v>-6.5968697667706605E-2</v>
      </c>
      <c r="S8" s="1">
        <f>(Main_M[[#This Row],[A/E]]-VLOOKUP(Main_M[[#This Row],[Industry]], Mean_AE_M, 2, FALSE))/(VLOOKUP(Main_M[[#This Row],[Industry]], Mean_AE_M, 3, FALSE))</f>
        <v>3.8459103554844748E-2</v>
      </c>
      <c r="T8" s="1">
        <f>(Main_M[[#This Row],[P/E]]-VLOOKUP(Main_M[[#This Row],[Industry]], Mean_PE_M, 2, FALSE))/(VLOOKUP(Main_M[[#This Row],[Industry]], Mean_PE_M, 3, FALSE))</f>
        <v>-0.34254204452140474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105</v>
      </c>
      <c r="B9" s="67" t="s">
        <v>293</v>
      </c>
      <c r="C9" s="2">
        <v>3892</v>
      </c>
      <c r="D9">
        <f>RTD("tos.rtd", , "LAST", Main_M[[#This Row],[Symbol]])</f>
        <v>64.88</v>
      </c>
      <c r="E9">
        <v>7.46</v>
      </c>
      <c r="F9">
        <v>46.53</v>
      </c>
      <c r="G9">
        <v>6.57</v>
      </c>
      <c r="H9" s="1">
        <f>IF(ISNUMBER(Main_M[[#This Row],[Free CF]]),IF(Main_M[[#This Row],[Free CF]]&lt;&gt;0,Main_M[[#This Row],[Current Price]]/Main_M[[#This Row],[Free CF]],""),"")</f>
        <v>8.6970509383378012</v>
      </c>
      <c r="I9" s="1">
        <f>IF(ISNUMBER(Main_M[[#This Row],[BVPS]]),IF(Main_M[[#This Row],[BVPS]]&lt;&gt;0,Main_M[[#This Row],[Current Price]]/Main_M[[#This Row],[BVPS]],""),"")</f>
        <v>1.394369224156458</v>
      </c>
      <c r="J9">
        <v>15.2</v>
      </c>
      <c r="K9">
        <v>2.58</v>
      </c>
      <c r="L9">
        <v>5.62</v>
      </c>
      <c r="M9" s="1">
        <f>IF(ISNUMBER(Main_M[[#This Row],[EPS]]),IF(Main_M[[#This Row],[EPS]]&lt;&gt;0,Main_M[[#This Row],[Current Price]]/Main_M[[#This Row],[EPS]],""),"")</f>
        <v>9.8751902587519016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-0.54849803213997783</v>
      </c>
      <c r="P9" s="1">
        <f>(Main_M[[#This Row],[P/B]]-VLOOKUP(Main_M[[#This Row],[Industry]], Mean_PB_M, 2, FALSE))/(VLOOKUP(Main_M[[#This Row],[Industry]], Mean_PB_M, 3, FALSE))</f>
        <v>0.28152651753562735</v>
      </c>
      <c r="Q9" s="1">
        <f>(Main_M[[#This Row],[ROE]]-VLOOKUP(Main_M[[#This Row],[Industry]], Mean_ROE_M, 2, FALSE))/(VLOOKUP(Main_M[[#This Row],[Industry]], Mean_ROE_M, 3, FALSE))</f>
        <v>1.5262849937835454</v>
      </c>
      <c r="R9" s="1">
        <f>(Main_M[[#This Row],[ROA]]-VLOOKUP(Main_M[[#This Row],[Industry]], Mean_ROA_M, 2, FALSE))/(VLOOKUP(Main_M[[#This Row],[Industry]], Mean_ROA_M, 3, FALSE))</f>
        <v>2.7935206204670968</v>
      </c>
      <c r="S9" s="1">
        <f>(Main_M[[#This Row],[A/E]]-VLOOKUP(Main_M[[#This Row],[Industry]], Mean_AE_M, 2, FALSE))/(VLOOKUP(Main_M[[#This Row],[Industry]], Mean_AE_M, 3, FALSE))</f>
        <v>-1.4943513774757693</v>
      </c>
      <c r="T9" s="1">
        <f>(Main_M[[#This Row],[P/E]]-VLOOKUP(Main_M[[#This Row],[Industry]], Mean_PE_M, 2, FALSE))/(VLOOKUP(Main_M[[#This Row],[Industry]], Mean_PE_M, 3, FALSE))</f>
        <v>-1.042222278704289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105</v>
      </c>
      <c r="B10" s="67" t="s">
        <v>300</v>
      </c>
      <c r="C10" s="2">
        <v>8243</v>
      </c>
      <c r="D10">
        <f>RTD("tos.rtd", , "LAST", Main_M[[#This Row],[Symbol]])</f>
        <v>108.02</v>
      </c>
      <c r="E10">
        <v>7.43</v>
      </c>
      <c r="F10">
        <v>82.29</v>
      </c>
      <c r="G10">
        <v>6.16</v>
      </c>
      <c r="H10" s="1">
        <f>IF(ISNUMBER(Main_M[[#This Row],[Free CF]]),IF(Main_M[[#This Row],[Free CF]]&lt;&gt;0,Main_M[[#This Row],[Current Price]]/Main_M[[#This Row],[Free CF]],""),"")</f>
        <v>14.53835800807537</v>
      </c>
      <c r="I10" s="1">
        <f>IF(ISNUMBER(Main_M[[#This Row],[BVPS]]),IF(Main_M[[#This Row],[BVPS]]&lt;&gt;0,Main_M[[#This Row],[Current Price]]/Main_M[[#This Row],[BVPS]],""),"")</f>
        <v>1.3126746870822699</v>
      </c>
      <c r="J10">
        <v>7.77</v>
      </c>
      <c r="K10">
        <v>0.95</v>
      </c>
      <c r="L10">
        <v>8.58</v>
      </c>
      <c r="M10" s="1">
        <f>IF(ISNUMBER(Main_M[[#This Row],[EPS]]),IF(Main_M[[#This Row],[EPS]]&lt;&gt;0,Main_M[[#This Row],[Current Price]]/Main_M[[#This Row],[EPS]],""),"")</f>
        <v>17.535714285714285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0.68707899253527094</v>
      </c>
      <c r="P10" s="1">
        <f>(Main_M[[#This Row],[P/B]]-VLOOKUP(Main_M[[#This Row],[Industry]], Mean_PB_M, 2, FALSE))/(VLOOKUP(Main_M[[#This Row],[Industry]], Mean_PB_M, 3, FALSE))</f>
        <v>0.10635239421481818</v>
      </c>
      <c r="Q10" s="1">
        <f>(Main_M[[#This Row],[ROE]]-VLOOKUP(Main_M[[#This Row],[Industry]], Mean_ROE_M, 2, FALSE))/(VLOOKUP(Main_M[[#This Row],[Industry]], Mean_ROE_M, 3, FALSE))</f>
        <v>-0.53547537948082702</v>
      </c>
      <c r="R10" s="1">
        <f>(Main_M[[#This Row],[ROA]]-VLOOKUP(Main_M[[#This Row],[Industry]], Mean_ROA_M, 2, FALSE))/(VLOOKUP(Main_M[[#This Row],[Industry]], Mean_ROA_M, 3, FALSE))</f>
        <v>-0.37720563025380793</v>
      </c>
      <c r="S10" s="1">
        <f>(Main_M[[#This Row],[A/E]]-VLOOKUP(Main_M[[#This Row],[Industry]], Mean_AE_M, 2, FALSE))/(VLOOKUP(Main_M[[#This Row],[Industry]], Mean_AE_M, 3, FALSE))</f>
        <v>-7.6501682522451403E-2</v>
      </c>
      <c r="T10" s="1">
        <f>(Main_M[[#This Row],[P/E]]-VLOOKUP(Main_M[[#This Row],[Industry]], Mean_PE_M, 2, FALSE))/(VLOOKUP(Main_M[[#This Row],[Industry]], Mean_PE_M, 3, FALSE))</f>
        <v>1.1481721010700452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105</v>
      </c>
      <c r="B11" s="67" t="s">
        <v>320</v>
      </c>
      <c r="C11" s="2">
        <v>8660</v>
      </c>
      <c r="D11">
        <f>RTD("tos.rtd", , "LAST", Main_M[[#This Row],[Symbol]])</f>
        <v>53.81</v>
      </c>
      <c r="E11">
        <v>7.19</v>
      </c>
      <c r="F11">
        <v>52.91</v>
      </c>
      <c r="G11">
        <v>4.4400000000000004</v>
      </c>
      <c r="H11" s="1">
        <f>IF(ISNUMBER(Main_M[[#This Row],[Free CF]]),IF(Main_M[[#This Row],[Free CF]]&lt;&gt;0,Main_M[[#This Row],[Current Price]]/Main_M[[#This Row],[Free CF]],""),"")</f>
        <v>7.4840055632823361</v>
      </c>
      <c r="I11" s="1">
        <f>IF(ISNUMBER(Main_M[[#This Row],[BVPS]]),IF(Main_M[[#This Row],[BVPS]]&lt;&gt;0,Main_M[[#This Row],[Current Price]]/Main_M[[#This Row],[BVPS]],""),"")</f>
        <v>1.0170100170100171</v>
      </c>
      <c r="J11">
        <v>8.68</v>
      </c>
      <c r="K11">
        <v>1</v>
      </c>
      <c r="L11">
        <v>9</v>
      </c>
      <c r="M11" s="1">
        <f>IF(ISNUMBER(Main_M[[#This Row],[EPS]]),IF(Main_M[[#This Row],[EPS]]&lt;&gt;0,Main_M[[#This Row],[Current Price]]/Main_M[[#This Row],[EPS]],""),"")</f>
        <v>12.11936936936937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-0.80508632263956281</v>
      </c>
      <c r="P11" s="1">
        <f>(Main_M[[#This Row],[P/B]]-VLOOKUP(Main_M[[#This Row],[Industry]], Mean_PB_M, 2, FALSE))/(VLOOKUP(Main_M[[#This Row],[Industry]], Mean_PB_M, 3, FALSE))</f>
        <v>-0.52762879022850939</v>
      </c>
      <c r="Q11" s="1">
        <f>(Main_M[[#This Row],[ROE]]-VLOOKUP(Main_M[[#This Row],[Industry]], Mean_ROE_M, 2, FALSE))/(VLOOKUP(Main_M[[#This Row],[Industry]], Mean_ROE_M, 3, FALSE))</f>
        <v>-0.28295829473377737</v>
      </c>
      <c r="R11" s="1">
        <f>(Main_M[[#This Row],[ROA]]-VLOOKUP(Main_M[[#This Row],[Industry]], Mean_ROA_M, 2, FALSE))/(VLOOKUP(Main_M[[#This Row],[Industry]], Mean_ROA_M, 3, FALSE))</f>
        <v>-0.27994408882065125</v>
      </c>
      <c r="S11" s="1">
        <f>(Main_M[[#This Row],[A/E]]-VLOOKUP(Main_M[[#This Row],[Industry]], Mean_AE_M, 2, FALSE))/(VLOOKUP(Main_M[[#This Row],[Industry]], Mean_AE_M, 3, FALSE))</f>
        <v>0.12467969311281665</v>
      </c>
      <c r="T11" s="1">
        <f>(Main_M[[#This Row],[P/E]]-VLOOKUP(Main_M[[#This Row],[Industry]], Mean_PE_M, 2, FALSE))/(VLOOKUP(Main_M[[#This Row],[Industry]], Mean_PE_M, 3, FALSE))</f>
        <v>-0.40053806835495381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105</v>
      </c>
      <c r="B12" s="67" t="s">
        <v>265</v>
      </c>
      <c r="C12" s="2">
        <v>4112</v>
      </c>
      <c r="D12">
        <f>RTD("tos.rtd", , "LAST", Main_M[[#This Row],[Symbol]])</f>
        <v>122.98</v>
      </c>
      <c r="E12">
        <v>7.07</v>
      </c>
      <c r="F12">
        <v>50.32</v>
      </c>
      <c r="G12">
        <v>6.6</v>
      </c>
      <c r="H12" s="1">
        <f>IF(ISNUMBER(Main_M[[#This Row],[Free CF]]),IF(Main_M[[#This Row],[Free CF]]&lt;&gt;0,Main_M[[#This Row],[Current Price]]/Main_M[[#This Row],[Free CF]],""),"")</f>
        <v>17.394625176803395</v>
      </c>
      <c r="I12" s="1">
        <f>IF(ISNUMBER(Main_M[[#This Row],[BVPS]]),IF(Main_M[[#This Row],[BVPS]]&lt;&gt;0,Main_M[[#This Row],[Current Price]]/Main_M[[#This Row],[BVPS]],""),"")</f>
        <v>2.4439586645469</v>
      </c>
      <c r="J12">
        <v>14.14</v>
      </c>
      <c r="K12">
        <v>1.67</v>
      </c>
      <c r="L12">
        <v>8.39</v>
      </c>
      <c r="M12" s="1">
        <f>IF(ISNUMBER(Main_M[[#This Row],[EPS]]),IF(Main_M[[#This Row],[EPS]]&lt;&gt;0,Main_M[[#This Row],[Current Price]]/Main_M[[#This Row],[EPS]],""),"")</f>
        <v>18.633333333333336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1.2912482388839519</v>
      </c>
      <c r="P12" s="1">
        <f>(Main_M[[#This Row],[P/B]]-VLOOKUP(Main_M[[#This Row],[Industry]], Mean_PB_M, 2, FALSE))/(VLOOKUP(Main_M[[#This Row],[Industry]], Mean_PB_M, 3, FALSE))</f>
        <v>2.5321165404671144</v>
      </c>
      <c r="Q12" s="1">
        <f>(Main_M[[#This Row],[ROE]]-VLOOKUP(Main_M[[#This Row],[Industry]], Mean_ROE_M, 2, FALSE))/(VLOOKUP(Main_M[[#This Row],[Industry]], Mean_ROE_M, 3, FALSE))</f>
        <v>1.2321442137485208</v>
      </c>
      <c r="R12" s="1">
        <f>(Main_M[[#This Row],[ROA]]-VLOOKUP(Main_M[[#This Row],[Industry]], Mean_ROA_M, 2, FALSE))/(VLOOKUP(Main_M[[#This Row],[Industry]], Mean_ROA_M, 3, FALSE))</f>
        <v>1.0233605663836467</v>
      </c>
      <c r="S12" s="1">
        <f>(Main_M[[#This Row],[A/E]]-VLOOKUP(Main_M[[#This Row],[Industry]], Mean_AE_M, 2, FALSE))/(VLOOKUP(Main_M[[#This Row],[Industry]], Mean_AE_M, 3, FALSE))</f>
        <v>-0.16751230483364388</v>
      </c>
      <c r="T12" s="1">
        <f>(Main_M[[#This Row],[P/E]]-VLOOKUP(Main_M[[#This Row],[Industry]], Mean_PE_M, 2, FALSE))/(VLOOKUP(Main_M[[#This Row],[Industry]], Mean_PE_M, 3, FALSE))</f>
        <v>1.4620172877147204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105</v>
      </c>
      <c r="B13" s="67" t="s">
        <v>256</v>
      </c>
      <c r="C13" s="2">
        <v>7502</v>
      </c>
      <c r="D13">
        <f>RTD("tos.rtd", , "LAST", Main_M[[#This Row],[Symbol]])</f>
        <v>58.56</v>
      </c>
      <c r="E13">
        <v>7.04</v>
      </c>
      <c r="F13">
        <v>50.74</v>
      </c>
      <c r="G13">
        <v>5.29</v>
      </c>
      <c r="H13" s="1">
        <f>IF(ISNUMBER(Main_M[[#This Row],[Free CF]]),IF(Main_M[[#This Row],[Free CF]]&lt;&gt;0,Main_M[[#This Row],[Current Price]]/Main_M[[#This Row],[Free CF]],""),"")</f>
        <v>8.3181818181818183</v>
      </c>
      <c r="I13" s="1">
        <f>IF(ISNUMBER(Main_M[[#This Row],[BVPS]]),IF(Main_M[[#This Row],[BVPS]]&lt;&gt;0,Main_M[[#This Row],[Current Price]]/Main_M[[#This Row],[BVPS]],""),"")</f>
        <v>1.1541190382341349</v>
      </c>
      <c r="J13">
        <v>11.17</v>
      </c>
      <c r="K13">
        <v>0.93</v>
      </c>
      <c r="L13">
        <v>11.66</v>
      </c>
      <c r="M13" s="1">
        <f>IF(ISNUMBER(Main_M[[#This Row],[EPS]]),IF(Main_M[[#This Row],[EPS]]&lt;&gt;0,Main_M[[#This Row],[Current Price]]/Main_M[[#This Row],[EPS]],""),"")</f>
        <v>11.069943289224954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-0.62863796908129843</v>
      </c>
      <c r="P13" s="1">
        <f>(Main_M[[#This Row],[P/B]]-VLOOKUP(Main_M[[#This Row],[Industry]], Mean_PB_M, 2, FALSE))/(VLOOKUP(Main_M[[#This Row],[Industry]], Mean_PB_M, 3, FALSE))</f>
        <v>-0.23363174400621509</v>
      </c>
      <c r="Q13" s="1">
        <f>(Main_M[[#This Row],[ROE]]-VLOOKUP(Main_M[[#This Row],[Industry]], Mean_ROE_M, 2, FALSE))/(VLOOKUP(Main_M[[#This Row],[Industry]], Mean_ROE_M, 3, FALSE))</f>
        <v>0.40799504704661133</v>
      </c>
      <c r="R13" s="1">
        <f>(Main_M[[#This Row],[ROA]]-VLOOKUP(Main_M[[#This Row],[Industry]], Mean_ROA_M, 2, FALSE))/(VLOOKUP(Main_M[[#This Row],[Industry]], Mean_ROA_M, 3, FALSE))</f>
        <v>-0.41611024682707037</v>
      </c>
      <c r="S13" s="1">
        <f>(Main_M[[#This Row],[A/E]]-VLOOKUP(Main_M[[#This Row],[Industry]], Mean_AE_M, 2, FALSE))/(VLOOKUP(Main_M[[#This Row],[Industry]], Mean_AE_M, 3, FALSE))</f>
        <v>1.3988284054695146</v>
      </c>
      <c r="T13" s="1">
        <f>(Main_M[[#This Row],[P/E]]-VLOOKUP(Main_M[[#This Row],[Industry]], Mean_PE_M, 2, FALSE))/(VLOOKUP(Main_M[[#This Row],[Industry]], Mean_PE_M, 3, FALSE))</f>
        <v>-0.70060330930276171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105</v>
      </c>
      <c r="B14" s="67" t="s">
        <v>311</v>
      </c>
      <c r="C14" s="2">
        <v>3291</v>
      </c>
      <c r="D14">
        <f>RTD("tos.rtd", , "LAST", Main_M[[#This Row],[Symbol]])</f>
        <v>77.959999999999994</v>
      </c>
      <c r="E14">
        <v>6.94</v>
      </c>
      <c r="F14">
        <v>68</v>
      </c>
      <c r="G14">
        <v>1.74</v>
      </c>
      <c r="H14" s="1">
        <f>IF(ISNUMBER(Main_M[[#This Row],[Free CF]]),IF(Main_M[[#This Row],[Free CF]]&lt;&gt;0,Main_M[[#This Row],[Current Price]]/Main_M[[#This Row],[Free CF]],""),"")</f>
        <v>11.233429394812678</v>
      </c>
      <c r="I14" s="1">
        <f>IF(ISNUMBER(Main_M[[#This Row],[BVPS]]),IF(Main_M[[#This Row],[BVPS]]&lt;&gt;0,Main_M[[#This Row],[Current Price]]/Main_M[[#This Row],[BVPS]],""),"")</f>
        <v>1.1464705882352941</v>
      </c>
      <c r="J14">
        <v>2.98</v>
      </c>
      <c r="K14">
        <v>0.32</v>
      </c>
      <c r="L14">
        <v>10.02</v>
      </c>
      <c r="M14" s="1">
        <f>IF(ISNUMBER(Main_M[[#This Row],[EPS]]),IF(Main_M[[#This Row],[EPS]]&lt;&gt;0,Main_M[[#This Row],[Current Price]]/Main_M[[#This Row],[EPS]],""),"")</f>
        <v>44.804597701149419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-1.1992947013127369E-2</v>
      </c>
      <c r="P14" s="1">
        <f>(Main_M[[#This Row],[P/B]]-VLOOKUP(Main_M[[#This Row],[Industry]], Mean_PB_M, 2, FALSE))/(VLOOKUP(Main_M[[#This Row],[Industry]], Mean_PB_M, 3, FALSE))</f>
        <v>-0.25003199023189926</v>
      </c>
      <c r="Q14" s="1">
        <f>(Main_M[[#This Row],[ROE]]-VLOOKUP(Main_M[[#This Row],[Industry]], Mean_ROE_M, 2, FALSE))/(VLOOKUP(Main_M[[#This Row],[Industry]], Mean_ROE_M, 3, FALSE))</f>
        <v>-1.8646587156768355</v>
      </c>
      <c r="R14" s="1">
        <f>(Main_M[[#This Row],[ROA]]-VLOOKUP(Main_M[[#This Row],[Industry]], Mean_ROA_M, 2, FALSE))/(VLOOKUP(Main_M[[#This Row],[Industry]], Mean_ROA_M, 3, FALSE))</f>
        <v>-1.6027010523115808</v>
      </c>
      <c r="S14" s="1">
        <f>(Main_M[[#This Row],[A/E]]-VLOOKUP(Main_M[[#This Row],[Industry]], Mean_AE_M, 2, FALSE))/(VLOOKUP(Main_M[[#This Row],[Industry]], Mean_AE_M, 3, FALSE))</f>
        <v>0.61326303394132464</v>
      </c>
      <c r="T14" s="1">
        <f>(Main_M[[#This Row],[P/E]]-VLOOKUP(Main_M[[#This Row],[Industry]], Mean_PE_M, 2, FALSE))/(VLOOKUP(Main_M[[#This Row],[Industry]], Mean_PE_M, 3, FALSE))</f>
        <v>8.9452377803451437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s="67" t="s">
        <v>105</v>
      </c>
      <c r="B15" s="67" t="s">
        <v>270</v>
      </c>
      <c r="C15" s="2">
        <v>7093</v>
      </c>
      <c r="D15">
        <f>RTD("tos.rtd", , "LAST", Main_M[[#This Row],[Symbol]])</f>
        <v>105.85</v>
      </c>
      <c r="E15">
        <v>6.68</v>
      </c>
      <c r="F15">
        <v>83.75</v>
      </c>
      <c r="G15">
        <v>9.68</v>
      </c>
      <c r="H15" s="1">
        <f>IF(ISNUMBER(Main_M[[#This Row],[Free CF]]),IF(Main_M[[#This Row],[Free CF]]&lt;&gt;0,Main_M[[#This Row],[Current Price]]/Main_M[[#This Row],[Free CF]],""),"")</f>
        <v>15.845808383233532</v>
      </c>
      <c r="I15" s="1">
        <f>IF(ISNUMBER(Main_M[[#This Row],[BVPS]]),IF(Main_M[[#This Row],[BVPS]]&lt;&gt;0,Main_M[[#This Row],[Current Price]]/Main_M[[#This Row],[BVPS]],""),"")</f>
        <v>1.2638805970149254</v>
      </c>
      <c r="J15">
        <v>12.54</v>
      </c>
      <c r="K15">
        <v>0.95</v>
      </c>
      <c r="L15">
        <v>12.82</v>
      </c>
      <c r="M15" s="1">
        <f>IF(ISNUMBER(Main_M[[#This Row],[EPS]]),IF(Main_M[[#This Row],[EPS]]&lt;&gt;0,Main_M[[#This Row],[Current Price]]/Main_M[[#This Row],[EPS]],""),"")</f>
        <v>10.934917355371901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0.96363621254819465</v>
      </c>
      <c r="P15" s="1">
        <f>(Main_M[[#This Row],[P/B]]-VLOOKUP(Main_M[[#This Row],[Industry]], Mean_PB_M, 2, FALSE))/(VLOOKUP(Main_M[[#This Row],[Industry]], Mean_PB_M, 3, FALSE))</f>
        <v>1.7253009365787921E-3</v>
      </c>
      <c r="Q15" s="1">
        <f>(Main_M[[#This Row],[ROE]]-VLOOKUP(Main_M[[#This Row],[Industry]], Mean_ROE_M, 2, FALSE))/(VLOOKUP(Main_M[[#This Row],[Industry]], Mean_ROE_M, 3, FALSE))</f>
        <v>0.78815813067678475</v>
      </c>
      <c r="R15" s="1">
        <f>(Main_M[[#This Row],[ROA]]-VLOOKUP(Main_M[[#This Row],[Industry]], Mean_ROA_M, 2, FALSE))/(VLOOKUP(Main_M[[#This Row],[Industry]], Mean_ROA_M, 3, FALSE))</f>
        <v>-0.37720563025380793</v>
      </c>
      <c r="S15" s="1">
        <f>(Main_M[[#This Row],[A/E]]-VLOOKUP(Main_M[[#This Row],[Industry]], Mean_AE_M, 2, FALSE))/(VLOOKUP(Main_M[[#This Row],[Industry]], Mean_AE_M, 3, FALSE))</f>
        <v>1.9544722048431122</v>
      </c>
      <c r="T15" s="1">
        <f>(Main_M[[#This Row],[P/E]]-VLOOKUP(Main_M[[#This Row],[Industry]], Mean_PE_M, 2, FALSE))/(VLOOKUP(Main_M[[#This Row],[Industry]], Mean_PE_M, 3, FALSE))</f>
        <v>-0.73921164022040309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105</v>
      </c>
      <c r="B16" s="67" t="s">
        <v>263</v>
      </c>
      <c r="C16" s="2">
        <v>3920</v>
      </c>
      <c r="D16">
        <f>RTD("tos.rtd", , "LAST", Main_M[[#This Row],[Symbol]])</f>
        <v>71.849999999999994</v>
      </c>
      <c r="E16">
        <v>6.56</v>
      </c>
      <c r="F16">
        <v>45.79</v>
      </c>
      <c r="G16">
        <v>7.33</v>
      </c>
      <c r="H16" s="1">
        <f>IF(ISNUMBER(Main_M[[#This Row],[Free CF]]),IF(Main_M[[#This Row],[Free CF]]&lt;&gt;0,Main_M[[#This Row],[Current Price]]/Main_M[[#This Row],[Free CF]],""),"")</f>
        <v>10.952743902439025</v>
      </c>
      <c r="I16" s="1">
        <f>IF(ISNUMBER(Main_M[[#This Row],[BVPS]]),IF(Main_M[[#This Row],[BVPS]]&lt;&gt;0,Main_M[[#This Row],[Current Price]]/Main_M[[#This Row],[BVPS]],""),"")</f>
        <v>1.5691198951736185</v>
      </c>
      <c r="J16">
        <v>17.8</v>
      </c>
      <c r="K16">
        <v>1.83</v>
      </c>
      <c r="L16">
        <v>9.2100000000000009</v>
      </c>
      <c r="M16" s="1">
        <f>IF(ISNUMBER(Main_M[[#This Row],[EPS]]),IF(Main_M[[#This Row],[EPS]]&lt;&gt;0,Main_M[[#This Row],[Current Price]]/Main_M[[#This Row],[EPS]],""),"")</f>
        <v>9.8021828103683486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-7.1364683748776581E-2</v>
      </c>
      <c r="P16" s="1">
        <f>(Main_M[[#This Row],[P/B]]-VLOOKUP(Main_M[[#This Row],[Industry]], Mean_PB_M, 2, FALSE))/(VLOOKUP(Main_M[[#This Row],[Industry]], Mean_PB_M, 3, FALSE))</f>
        <v>0.65623695340424781</v>
      </c>
      <c r="Q16" s="1">
        <f>(Main_M[[#This Row],[ROE]]-VLOOKUP(Main_M[[#This Row],[Industry]], Mean_ROE_M, 2, FALSE))/(VLOOKUP(Main_M[[#This Row],[Industry]], Mean_ROE_M, 3, FALSE))</f>
        <v>2.2477623787751164</v>
      </c>
      <c r="R16" s="1">
        <f>(Main_M[[#This Row],[ROA]]-VLOOKUP(Main_M[[#This Row],[Industry]], Mean_ROA_M, 2, FALSE))/(VLOOKUP(Main_M[[#This Row],[Industry]], Mean_ROA_M, 3, FALSE))</f>
        <v>1.3345974989697482</v>
      </c>
      <c r="S16" s="1">
        <f>(Main_M[[#This Row],[A/E]]-VLOOKUP(Main_M[[#This Row],[Industry]], Mean_AE_M, 2, FALSE))/(VLOOKUP(Main_M[[#This Row],[Industry]], Mean_AE_M, 3, FALSE))</f>
        <v>0.2252703809304511</v>
      </c>
      <c r="T16" s="1">
        <f>(Main_M[[#This Row],[P/E]]-VLOOKUP(Main_M[[#This Row],[Industry]], Mean_PE_M, 2, FALSE))/(VLOOKUP(Main_M[[#This Row],[Industry]], Mean_PE_M, 3, FALSE))</f>
        <v>-1.063097496125206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105</v>
      </c>
      <c r="B17" s="67" t="s">
        <v>297</v>
      </c>
      <c r="C17" s="2">
        <v>4992</v>
      </c>
      <c r="D17">
        <f>RTD("tos.rtd", , "LAST", Main_M[[#This Row],[Symbol]])</f>
        <v>46</v>
      </c>
      <c r="E17">
        <v>6.51</v>
      </c>
      <c r="F17">
        <v>48.29</v>
      </c>
      <c r="G17">
        <v>6.1</v>
      </c>
      <c r="H17" s="1">
        <f>IF(ISNUMBER(Main_M[[#This Row],[Free CF]]),IF(Main_M[[#This Row],[Free CF]]&lt;&gt;0,Main_M[[#This Row],[Current Price]]/Main_M[[#This Row],[Free CF]],""),"")</f>
        <v>7.0660522273425501</v>
      </c>
      <c r="I17" s="1">
        <f>IF(ISNUMBER(Main_M[[#This Row],[BVPS]]),IF(Main_M[[#This Row],[BVPS]]&lt;&gt;0,Main_M[[#This Row],[Current Price]]/Main_M[[#This Row],[BVPS]],""),"")</f>
        <v>0.95257817353489338</v>
      </c>
      <c r="J17">
        <v>12.85</v>
      </c>
      <c r="K17">
        <v>1.9</v>
      </c>
      <c r="L17">
        <v>7.13</v>
      </c>
      <c r="M17" s="1">
        <f>IF(ISNUMBER(Main_M[[#This Row],[EPS]]),IF(Main_M[[#This Row],[EPS]]&lt;&gt;0,Main_M[[#This Row],[Current Price]]/Main_M[[#This Row],[EPS]],""),"")</f>
        <v>7.5409836065573774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-0.8934935118368218</v>
      </c>
      <c r="P17" s="1">
        <f>(Main_M[[#This Row],[P/B]]-VLOOKUP(Main_M[[#This Row],[Industry]], Mean_PB_M, 2, FALSE))/(VLOOKUP(Main_M[[#This Row],[Industry]], Mean_PB_M, 3, FALSE))</f>
        <v>-0.66578725343699396</v>
      </c>
      <c r="Q17" s="1">
        <f>(Main_M[[#This Row],[ROE]]-VLOOKUP(Main_M[[#This Row],[Industry]], Mean_ROE_M, 2, FALSE))/(VLOOKUP(Main_M[[#This Row],[Industry]], Mean_ROE_M, 3, FALSE))</f>
        <v>0.8741804342719337</v>
      </c>
      <c r="R17" s="1">
        <f>(Main_M[[#This Row],[ROA]]-VLOOKUP(Main_M[[#This Row],[Industry]], Mean_ROA_M, 2, FALSE))/(VLOOKUP(Main_M[[#This Row],[Industry]], Mean_ROA_M, 3, FALSE))</f>
        <v>1.4707636569761671</v>
      </c>
      <c r="S17" s="1">
        <f>(Main_M[[#This Row],[A/E]]-VLOOKUP(Main_M[[#This Row],[Industry]], Mean_AE_M, 2, FALSE))/(VLOOKUP(Main_M[[#This Row],[Industry]], Mean_AE_M, 3, FALSE))</f>
        <v>-0.77105643173944849</v>
      </c>
      <c r="T17" s="1">
        <f>(Main_M[[#This Row],[P/E]]-VLOOKUP(Main_M[[#This Row],[Industry]], Mean_PE_M, 2, FALSE))/(VLOOKUP(Main_M[[#This Row],[Industry]], Mean_PE_M, 3, FALSE))</f>
        <v>-1.7096483078118738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105</v>
      </c>
      <c r="B18" s="67" t="s">
        <v>292</v>
      </c>
      <c r="C18" s="2">
        <v>4682</v>
      </c>
      <c r="D18">
        <f>RTD("tos.rtd", , "LAST", Main_M[[#This Row],[Symbol]])</f>
        <v>54.96</v>
      </c>
      <c r="E18">
        <v>6.39</v>
      </c>
      <c r="F18">
        <v>49.73</v>
      </c>
      <c r="G18">
        <v>5.42</v>
      </c>
      <c r="H18" s="1">
        <f>IF(ISNUMBER(Main_M[[#This Row],[Free CF]]),IF(Main_M[[#This Row],[Free CF]]&lt;&gt;0,Main_M[[#This Row],[Current Price]]/Main_M[[#This Row],[Free CF]],""),"")</f>
        <v>8.60093896713615</v>
      </c>
      <c r="I18" s="1">
        <f>IF(ISNUMBER(Main_M[[#This Row],[BVPS]]),IF(Main_M[[#This Row],[BVPS]]&lt;&gt;0,Main_M[[#This Row],[Current Price]]/Main_M[[#This Row],[BVPS]],""),"")</f>
        <v>1.1051679066961593</v>
      </c>
      <c r="J18">
        <v>11.6</v>
      </c>
      <c r="K18">
        <v>1.35</v>
      </c>
      <c r="L18">
        <v>8.1199999999999992</v>
      </c>
      <c r="M18" s="1">
        <f>IF(ISNUMBER(Main_M[[#This Row],[EPS]]),IF(Main_M[[#This Row],[EPS]]&lt;&gt;0,Main_M[[#This Row],[Current Price]]/Main_M[[#This Row],[EPS]],""),"")</f>
        <v>10.140221402214022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-0.5688280271214512</v>
      </c>
      <c r="P18" s="1">
        <f>(Main_M[[#This Row],[P/B]]-VLOOKUP(Main_M[[#This Row],[Industry]], Mean_PB_M, 2, FALSE))/(VLOOKUP(Main_M[[#This Row],[Industry]], Mean_PB_M, 3, FALSE))</f>
        <v>-0.33859557463468676</v>
      </c>
      <c r="Q18" s="1">
        <f>(Main_M[[#This Row],[ROE]]-VLOOKUP(Main_M[[#This Row],[Industry]], Mean_ROE_M, 2, FALSE))/(VLOOKUP(Main_M[[#This Row],[Industry]], Mean_ROE_M, 3, FALSE))</f>
        <v>0.52731630687214026</v>
      </c>
      <c r="R18" s="1">
        <f>(Main_M[[#This Row],[ROA]]-VLOOKUP(Main_M[[#This Row],[Industry]], Mean_ROA_M, 2, FALSE))/(VLOOKUP(Main_M[[#This Row],[Industry]], Mean_ROA_M, 3, FALSE))</f>
        <v>0.40088670121144498</v>
      </c>
      <c r="S18" s="1">
        <f>(Main_M[[#This Row],[A/E]]-VLOOKUP(Main_M[[#This Row],[Industry]], Mean_AE_M, 2, FALSE))/(VLOOKUP(Main_M[[#This Row],[Industry]], Mean_AE_M, 3, FALSE))</f>
        <v>-0.29684318917060259</v>
      </c>
      <c r="T18" s="1">
        <f>(Main_M[[#This Row],[P/E]]-VLOOKUP(Main_M[[#This Row],[Industry]], Mean_PE_M, 2, FALSE))/(VLOOKUP(Main_M[[#This Row],[Industry]], Mean_PE_M, 3, FALSE))</f>
        <v>-0.9664412061482397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7" t="s">
        <v>105</v>
      </c>
      <c r="B19" s="67" t="s">
        <v>324</v>
      </c>
      <c r="C19" s="2">
        <v>6989</v>
      </c>
      <c r="D19">
        <f>RTD("tos.rtd", , "LAST", Main_M[[#This Row],[Symbol]])</f>
        <v>49.3</v>
      </c>
      <c r="E19">
        <v>6.39</v>
      </c>
      <c r="F19">
        <v>42.43</v>
      </c>
      <c r="G19">
        <v>5.12</v>
      </c>
      <c r="H19" s="1">
        <f>IF(ISNUMBER(Main_M[[#This Row],[Free CF]]),IF(Main_M[[#This Row],[Free CF]]&lt;&gt;0,Main_M[[#This Row],[Current Price]]/Main_M[[#This Row],[Free CF]],""),"")</f>
        <v>7.7151799687010953</v>
      </c>
      <c r="I19" s="1">
        <f>IF(ISNUMBER(Main_M[[#This Row],[BVPS]]),IF(Main_M[[#This Row],[BVPS]]&lt;&gt;0,Main_M[[#This Row],[Current Price]]/Main_M[[#This Row],[BVPS]],""),"")</f>
        <v>1.161913740278105</v>
      </c>
      <c r="J19">
        <v>13.18</v>
      </c>
      <c r="K19">
        <v>0.92</v>
      </c>
      <c r="L19">
        <v>14.05</v>
      </c>
      <c r="M19" s="1">
        <f>IF(ISNUMBER(Main_M[[#This Row],[EPS]]),IF(Main_M[[#This Row],[EPS]]&lt;&gt;0,Main_M[[#This Row],[Current Price]]/Main_M[[#This Row],[EPS]],""),"")</f>
        <v>9.62890625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-0.75618737235013511</v>
      </c>
      <c r="P19" s="1">
        <f>(Main_M[[#This Row],[P/B]]-VLOOKUP(Main_M[[#This Row],[Industry]], Mean_PB_M, 2, FALSE))/(VLOOKUP(Main_M[[#This Row],[Industry]], Mean_PB_M, 3, FALSE))</f>
        <v>-0.21691789573678402</v>
      </c>
      <c r="Q19" s="1">
        <f>(Main_M[[#This Row],[ROE]]-VLOOKUP(Main_M[[#This Row],[Industry]], Mean_ROE_M, 2, FALSE))/(VLOOKUP(Main_M[[#This Row],[Industry]], Mean_ROE_M, 3, FALSE))</f>
        <v>0.96575256390547926</v>
      </c>
      <c r="R19" s="1">
        <f>(Main_M[[#This Row],[ROA]]-VLOOKUP(Main_M[[#This Row],[Industry]], Mean_ROA_M, 2, FALSE))/(VLOOKUP(Main_M[[#This Row],[Industry]], Mean_ROA_M, 3, FALSE))</f>
        <v>-0.43556255511370173</v>
      </c>
      <c r="S19" s="1">
        <f>(Main_M[[#This Row],[A/E]]-VLOOKUP(Main_M[[#This Row],[Industry]], Mean_AE_M, 2, FALSE))/(VLOOKUP(Main_M[[#This Row],[Industry]], Mean_AE_M, 3, FALSE))</f>
        <v>2.5436462334892549</v>
      </c>
      <c r="T19" s="1">
        <f>(Main_M[[#This Row],[P/E]]-VLOOKUP(Main_M[[#This Row],[Industry]], Mean_PE_M, 2, FALSE))/(VLOOKUP(Main_M[[#This Row],[Industry]], Mean_PE_M, 3, FALSE))</f>
        <v>-1.112642932265292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105</v>
      </c>
      <c r="B20" s="67" t="s">
        <v>310</v>
      </c>
      <c r="C20" s="2">
        <v>2387</v>
      </c>
      <c r="D20">
        <f>RTD("tos.rtd", , "LAST", Main_M[[#This Row],[Symbol]])</f>
        <v>53.45</v>
      </c>
      <c r="E20">
        <v>5.76</v>
      </c>
      <c r="F20">
        <v>17.66</v>
      </c>
      <c r="G20">
        <v>4.42</v>
      </c>
      <c r="H20" s="1">
        <f>IF(ISNUMBER(Main_M[[#This Row],[Free CF]]),IF(Main_M[[#This Row],[Free CF]]&lt;&gt;0,Main_M[[#This Row],[Current Price]]/Main_M[[#This Row],[Free CF]],""),"")</f>
        <v>9.2795138888888893</v>
      </c>
      <c r="I20" s="1">
        <f>IF(ISNUMBER(Main_M[[#This Row],[BVPS]]),IF(Main_M[[#This Row],[BVPS]]&lt;&gt;0,Main_M[[#This Row],[Current Price]]/Main_M[[#This Row],[BVPS]],""),"")</f>
        <v>3.0266138165345415</v>
      </c>
      <c r="J20">
        <v>26.52</v>
      </c>
      <c r="K20">
        <v>2.52</v>
      </c>
      <c r="L20">
        <v>11.31</v>
      </c>
      <c r="M20" s="1">
        <f>IF(ISNUMBER(Main_M[[#This Row],[EPS]]),IF(Main_M[[#This Row],[EPS]]&lt;&gt;0,Main_M[[#This Row],[Current Price]]/Main_M[[#This Row],[EPS]],""),"")</f>
        <v>12.092760180995477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-0.42529310029279577</v>
      </c>
      <c r="P20" s="1">
        <f>(Main_M[[#This Row],[P/B]]-VLOOKUP(Main_M[[#This Row],[Industry]], Mean_PB_M, 2, FALSE))/(VLOOKUP(Main_M[[#This Row],[Industry]], Mean_PB_M, 3, FALSE))</f>
        <v>3.781479216396106</v>
      </c>
      <c r="Q20" s="1">
        <f>(Main_M[[#This Row],[ROE]]-VLOOKUP(Main_M[[#This Row],[Industry]], Mean_ROE_M, 2, FALSE))/(VLOOKUP(Main_M[[#This Row],[Industry]], Mean_ROE_M, 3, FALSE))</f>
        <v>4.667486531516075</v>
      </c>
      <c r="R20" s="1">
        <f>(Main_M[[#This Row],[ROA]]-VLOOKUP(Main_M[[#This Row],[Industry]], Mean_ROA_M, 2, FALSE))/(VLOOKUP(Main_M[[#This Row],[Industry]], Mean_ROA_M, 3, FALSE))</f>
        <v>2.6768067707473091</v>
      </c>
      <c r="S20" s="1">
        <f>(Main_M[[#This Row],[A/E]]-VLOOKUP(Main_M[[#This Row],[Industry]], Mean_AE_M, 2, FALSE))/(VLOOKUP(Main_M[[#This Row],[Industry]], Mean_AE_M, 3, FALSE))</f>
        <v>1.2311772591067913</v>
      </c>
      <c r="T20" s="1">
        <f>(Main_M[[#This Row],[P/E]]-VLOOKUP(Main_M[[#This Row],[Industry]], Mean_PE_M, 2, FALSE))/(VLOOKUP(Main_M[[#This Row],[Industry]], Mean_PE_M, 3, FALSE))</f>
        <v>-0.40814650564454269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105</v>
      </c>
      <c r="B21" s="67" t="s">
        <v>307</v>
      </c>
      <c r="C21" s="2">
        <v>6649</v>
      </c>
      <c r="D21">
        <f>RTD("tos.rtd", , "LAST", Main_M[[#This Row],[Symbol]])</f>
        <v>49.17</v>
      </c>
      <c r="E21">
        <v>5.33</v>
      </c>
      <c r="F21">
        <v>34.86</v>
      </c>
      <c r="G21">
        <v>3.54</v>
      </c>
      <c r="H21" s="1">
        <f>IF(ISNUMBER(Main_M[[#This Row],[Free CF]]),IF(Main_M[[#This Row],[Free CF]]&lt;&gt;0,Main_M[[#This Row],[Current Price]]/Main_M[[#This Row],[Free CF]],""),"")</f>
        <v>9.225140712945592</v>
      </c>
      <c r="I21" s="1">
        <f>IF(ISNUMBER(Main_M[[#This Row],[BVPS]]),IF(Main_M[[#This Row],[BVPS]]&lt;&gt;0,Main_M[[#This Row],[Current Price]]/Main_M[[#This Row],[BVPS]],""),"")</f>
        <v>1.4104991394148021</v>
      </c>
      <c r="J21">
        <v>10.53</v>
      </c>
      <c r="K21">
        <v>0.92</v>
      </c>
      <c r="L21">
        <v>12.43</v>
      </c>
      <c r="M21" s="1">
        <f>IF(ISNUMBER(Main_M[[#This Row],[EPS]]),IF(Main_M[[#This Row],[EPS]]&lt;&gt;0,Main_M[[#This Row],[Current Price]]/Main_M[[#This Row],[EPS]],""),"")</f>
        <v>13.889830508474576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-0.43679433557320391</v>
      </c>
      <c r="P21" s="1">
        <f>(Main_M[[#This Row],[P/B]]-VLOOKUP(Main_M[[#This Row],[Industry]], Mean_PB_M, 2, FALSE))/(VLOOKUP(Main_M[[#This Row],[Industry]], Mean_PB_M, 3, FALSE))</f>
        <v>0.31611320920209018</v>
      </c>
      <c r="Q21" s="1">
        <f>(Main_M[[#This Row],[ROE]]-VLOOKUP(Main_M[[#This Row],[Industry]], Mean_ROE_M, 2, FALSE))/(VLOOKUP(Main_M[[#This Row],[Industry]], Mean_ROE_M, 3, FALSE))</f>
        <v>0.23040061381791693</v>
      </c>
      <c r="R21" s="1">
        <f>(Main_M[[#This Row],[ROA]]-VLOOKUP(Main_M[[#This Row],[Industry]], Mean_ROA_M, 2, FALSE))/(VLOOKUP(Main_M[[#This Row],[Industry]], Mean_ROA_M, 3, FALSE))</f>
        <v>-0.43556255511370173</v>
      </c>
      <c r="S21" s="1">
        <f>(Main_M[[#This Row],[A/E]]-VLOOKUP(Main_M[[#This Row],[Industry]], Mean_AE_M, 2, FALSE))/(VLOOKUP(Main_M[[#This Row],[Industry]], Mean_AE_M, 3, FALSE))</f>
        <v>1.7676609274675059</v>
      </c>
      <c r="T21" s="1">
        <f>(Main_M[[#This Row],[P/E]]-VLOOKUP(Main_M[[#This Row],[Industry]], Mean_PE_M, 2, FALSE))/(VLOOKUP(Main_M[[#This Row],[Industry]], Mean_PE_M, 3, FALSE))</f>
        <v>0.10569467956877418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105</v>
      </c>
      <c r="B22" s="67" t="s">
        <v>267</v>
      </c>
      <c r="C22" s="2">
        <v>2556</v>
      </c>
      <c r="D22">
        <f>RTD("tos.rtd", , "LAST", Main_M[[#This Row],[Symbol]])</f>
        <v>34.840000000000003</v>
      </c>
      <c r="E22">
        <v>5.21</v>
      </c>
      <c r="F22">
        <v>38.51</v>
      </c>
      <c r="G22">
        <v>3.21</v>
      </c>
      <c r="H22" s="1">
        <f>IF(ISNUMBER(Main_M[[#This Row],[Free CF]]),IF(Main_M[[#This Row],[Free CF]]&lt;&gt;0,Main_M[[#This Row],[Current Price]]/Main_M[[#This Row],[Free CF]],""),"")</f>
        <v>6.6871401151631487</v>
      </c>
      <c r="I22" s="1">
        <f>IF(ISNUMBER(Main_M[[#This Row],[BVPS]]),IF(Main_M[[#This Row],[BVPS]]&lt;&gt;0,Main_M[[#This Row],[Current Price]]/Main_M[[#This Row],[BVPS]],""),"")</f>
        <v>0.90470007790184381</v>
      </c>
      <c r="J22">
        <v>8.77</v>
      </c>
      <c r="K22">
        <v>0.69</v>
      </c>
      <c r="L22">
        <v>12.02</v>
      </c>
      <c r="M22" s="1">
        <f>IF(ISNUMBER(Main_M[[#This Row],[EPS]]),IF(Main_M[[#This Row],[EPS]]&lt;&gt;0,Main_M[[#This Row],[Current Price]]/Main_M[[#This Row],[EPS]],""),"")</f>
        <v>10.853582554517136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-0.97364254262576</v>
      </c>
      <c r="P22" s="1">
        <f>(Main_M[[#This Row],[P/B]]-VLOOKUP(Main_M[[#This Row],[Industry]], Mean_PB_M, 2, FALSE))/(VLOOKUP(Main_M[[#This Row],[Industry]], Mean_PB_M, 3, FALSE))</f>
        <v>-0.76845021878525155</v>
      </c>
      <c r="Q22" s="1">
        <f>(Main_M[[#This Row],[ROE]]-VLOOKUP(Main_M[[#This Row],[Industry]], Mean_ROE_M, 2, FALSE))/(VLOOKUP(Main_M[[#This Row],[Industry]], Mean_ROE_M, 3, FALSE))</f>
        <v>-0.25798407756099229</v>
      </c>
      <c r="R22" s="1">
        <f>(Main_M[[#This Row],[ROA]]-VLOOKUP(Main_M[[#This Row],[Industry]], Mean_ROA_M, 2, FALSE))/(VLOOKUP(Main_M[[#This Row],[Industry]], Mean_ROA_M, 3, FALSE))</f>
        <v>-0.88296564570622216</v>
      </c>
      <c r="S22" s="1">
        <f>(Main_M[[#This Row],[A/E]]-VLOOKUP(Main_M[[#This Row],[Industry]], Mean_AE_M, 2, FALSE))/(VLOOKUP(Main_M[[#This Row],[Industry]], Mean_AE_M, 3, FALSE))</f>
        <v>1.5712695845854585</v>
      </c>
      <c r="T22" s="1">
        <f>(Main_M[[#This Row],[P/E]]-VLOOKUP(Main_M[[#This Row],[Industry]], Mean_PE_M, 2, FALSE))/(VLOOKUP(Main_M[[#This Row],[Industry]], Mean_PE_M, 3, FALSE))</f>
        <v>-0.76246792008393449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105</v>
      </c>
      <c r="B23" s="67" t="s">
        <v>261</v>
      </c>
      <c r="C23" s="2">
        <v>4236</v>
      </c>
      <c r="D23">
        <f>RTD("tos.rtd", , "LAST", Main_M[[#This Row],[Symbol]])</f>
        <v>62.4</v>
      </c>
      <c r="E23">
        <v>4.68</v>
      </c>
      <c r="F23">
        <v>55.58</v>
      </c>
      <c r="G23">
        <v>5.38</v>
      </c>
      <c r="H23" s="1">
        <f>IF(ISNUMBER(Main_M[[#This Row],[Free CF]]),IF(Main_M[[#This Row],[Free CF]]&lt;&gt;0,Main_M[[#This Row],[Current Price]]/Main_M[[#This Row],[Free CF]],""),"")</f>
        <v>13.333333333333334</v>
      </c>
      <c r="I23" s="1">
        <f>IF(ISNUMBER(Main_M[[#This Row],[BVPS]]),IF(Main_M[[#This Row],[BVPS]]&lt;&gt;0,Main_M[[#This Row],[Current Price]]/Main_M[[#This Row],[BVPS]],""),"")</f>
        <v>1.1227060093558834</v>
      </c>
      <c r="J23">
        <v>10.19</v>
      </c>
      <c r="K23">
        <v>1.43</v>
      </c>
      <c r="L23">
        <v>6.93</v>
      </c>
      <c r="M23" s="1">
        <f>IF(ISNUMBER(Main_M[[#This Row],[EPS]]),IF(Main_M[[#This Row],[EPS]]&lt;&gt;0,Main_M[[#This Row],[Current Price]]/Main_M[[#This Row],[EPS]],""),"")</f>
        <v>11.598513011152416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0.43218727318162359</v>
      </c>
      <c r="P23" s="1">
        <f>(Main_M[[#This Row],[P/B]]-VLOOKUP(Main_M[[#This Row],[Industry]], Mean_PB_M, 2, FALSE))/(VLOOKUP(Main_M[[#This Row],[Industry]], Mean_PB_M, 3, FALSE))</f>
        <v>-0.30098936658019237</v>
      </c>
      <c r="Q23" s="1">
        <f>(Main_M[[#This Row],[ROE]]-VLOOKUP(Main_M[[#This Row],[Industry]], Mean_ROE_M, 2, FALSE))/(VLOOKUP(Main_M[[#This Row],[Industry]], Mean_ROE_M, 3, FALSE))</f>
        <v>0.13605357116517314</v>
      </c>
      <c r="R23" s="1">
        <f>(Main_M[[#This Row],[ROA]]-VLOOKUP(Main_M[[#This Row],[Industry]], Mean_ROA_M, 2, FALSE))/(VLOOKUP(Main_M[[#This Row],[Industry]], Mean_ROA_M, 3, FALSE))</f>
        <v>0.55650516750449519</v>
      </c>
      <c r="S23" s="1">
        <f>(Main_M[[#This Row],[A/E]]-VLOOKUP(Main_M[[#This Row],[Industry]], Mean_AE_M, 2, FALSE))/(VLOOKUP(Main_M[[#This Row],[Industry]], Mean_AE_M, 3, FALSE))</f>
        <v>-0.86685708680386198</v>
      </c>
      <c r="T23" s="1">
        <f>(Main_M[[#This Row],[P/E]]-VLOOKUP(Main_M[[#This Row],[Industry]], Mean_PE_M, 2, FALSE))/(VLOOKUP(Main_M[[#This Row],[Industry]], Mean_PE_M, 3, FALSE))</f>
        <v>-0.54946793734206711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105</v>
      </c>
      <c r="B24" s="67" t="s">
        <v>272</v>
      </c>
      <c r="C24" s="2">
        <v>3005</v>
      </c>
      <c r="D24">
        <f>RTD("tos.rtd", , "LAST", Main_M[[#This Row],[Symbol]])</f>
        <v>44.61</v>
      </c>
      <c r="E24">
        <v>4.68</v>
      </c>
      <c r="F24">
        <v>40.909999999999997</v>
      </c>
      <c r="G24">
        <v>3.95</v>
      </c>
      <c r="H24" s="1">
        <f>IF(ISNUMBER(Main_M[[#This Row],[Free CF]]),IF(Main_M[[#This Row],[Free CF]]&lt;&gt;0,Main_M[[#This Row],[Current Price]]/Main_M[[#This Row],[Free CF]],""),"")</f>
        <v>9.5320512820512828</v>
      </c>
      <c r="I24" s="1">
        <f>IF(ISNUMBER(Main_M[[#This Row],[BVPS]]),IF(Main_M[[#This Row],[BVPS]]&lt;&gt;0,Main_M[[#This Row],[Current Price]]/Main_M[[#This Row],[BVPS]],""),"")</f>
        <v>1.0904424346125643</v>
      </c>
      <c r="J24">
        <v>10.07</v>
      </c>
      <c r="K24">
        <v>1.22</v>
      </c>
      <c r="L24">
        <v>8.1</v>
      </c>
      <c r="M24" s="1">
        <f>IF(ISNUMBER(Main_M[[#This Row],[EPS]]),IF(Main_M[[#This Row],[EPS]]&lt;&gt;0,Main_M[[#This Row],[Current Price]]/Main_M[[#This Row],[EPS]],""),"")</f>
        <v>11.293670886075949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-0.37187536396467424</v>
      </c>
      <c r="P24" s="1">
        <f>(Main_M[[#This Row],[P/B]]-VLOOKUP(Main_M[[#This Row],[Industry]], Mean_PB_M, 2, FALSE))/(VLOOKUP(Main_M[[#This Row],[Industry]], Mean_PB_M, 3, FALSE))</f>
        <v>-0.37017077849912988</v>
      </c>
      <c r="Q24" s="1">
        <f>(Main_M[[#This Row],[ROE]]-VLOOKUP(Main_M[[#This Row],[Industry]], Mean_ROE_M, 2, FALSE))/(VLOOKUP(Main_M[[#This Row],[Industry]], Mean_ROE_M, 3, FALSE))</f>
        <v>0.10275461493479317</v>
      </c>
      <c r="R24" s="1">
        <f>(Main_M[[#This Row],[ROA]]-VLOOKUP(Main_M[[#This Row],[Industry]], Mean_ROA_M, 2, FALSE))/(VLOOKUP(Main_M[[#This Row],[Industry]], Mean_ROA_M, 3, FALSE))</f>
        <v>0.14800669348523765</v>
      </c>
      <c r="S24" s="1">
        <f>(Main_M[[#This Row],[A/E]]-VLOOKUP(Main_M[[#This Row],[Industry]], Mean_AE_M, 2, FALSE))/(VLOOKUP(Main_M[[#This Row],[Industry]], Mean_AE_M, 3, FALSE))</f>
        <v>-0.30642325467704373</v>
      </c>
      <c r="T24" s="1">
        <f>(Main_M[[#This Row],[P/E]]-VLOOKUP(Main_M[[#This Row],[Industry]], Mean_PE_M, 2, FALSE))/(VLOOKUP(Main_M[[#This Row],[Industry]], Mean_PE_M, 3, FALSE))</f>
        <v>-0.63663227167948333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105</v>
      </c>
      <c r="B25" s="67" t="s">
        <v>298</v>
      </c>
      <c r="C25" s="2">
        <v>6636</v>
      </c>
      <c r="D25">
        <f>RTD("tos.rtd", , "LAST", Main_M[[#This Row],[Symbol]])</f>
        <v>70.23</v>
      </c>
      <c r="E25">
        <v>4.6399999999999997</v>
      </c>
      <c r="F25">
        <v>78.91</v>
      </c>
      <c r="G25">
        <v>5.23</v>
      </c>
      <c r="H25" s="1">
        <f>IF(ISNUMBER(Main_M[[#This Row],[Free CF]]),IF(Main_M[[#This Row],[Free CF]]&lt;&gt;0,Main_M[[#This Row],[Current Price]]/Main_M[[#This Row],[Free CF]],""),"")</f>
        <v>15.135775862068968</v>
      </c>
      <c r="I25" s="1">
        <f>IF(ISNUMBER(Main_M[[#This Row],[BVPS]]),IF(Main_M[[#This Row],[BVPS]]&lt;&gt;0,Main_M[[#This Row],[Current Price]]/Main_M[[#This Row],[BVPS]],""),"")</f>
        <v>0.89000126726650619</v>
      </c>
      <c r="J25">
        <v>6.83</v>
      </c>
      <c r="K25">
        <v>1.29</v>
      </c>
      <c r="L25">
        <v>5.16</v>
      </c>
      <c r="M25" s="1">
        <f>IF(ISNUMBER(Main_M[[#This Row],[EPS]]),IF(Main_M[[#This Row],[EPS]]&lt;&gt;0,Main_M[[#This Row],[Current Price]]/Main_M[[#This Row],[EPS]],""),"")</f>
        <v>13.4282982791587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0.81344724637172683</v>
      </c>
      <c r="P25" s="1">
        <f>(Main_M[[#This Row],[P/B]]-VLOOKUP(Main_M[[#This Row],[Industry]], Mean_PB_M, 2, FALSE))/(VLOOKUP(Main_M[[#This Row],[Industry]], Mean_PB_M, 3, FALSE))</f>
        <v>-0.79996825363947421</v>
      </c>
      <c r="Q25" s="1">
        <f>(Main_M[[#This Row],[ROE]]-VLOOKUP(Main_M[[#This Row],[Industry]], Mean_ROE_M, 2, FALSE))/(VLOOKUP(Main_M[[#This Row],[Industry]], Mean_ROE_M, 3, FALSE))</f>
        <v>-0.79631720328547162</v>
      </c>
      <c r="R25" s="1">
        <f>(Main_M[[#This Row],[ROA]]-VLOOKUP(Main_M[[#This Row],[Industry]], Mean_ROA_M, 2, FALSE))/(VLOOKUP(Main_M[[#This Row],[Industry]], Mean_ROA_M, 3, FALSE))</f>
        <v>0.284172851491657</v>
      </c>
      <c r="S25" s="1">
        <f>(Main_M[[#This Row],[A/E]]-VLOOKUP(Main_M[[#This Row],[Industry]], Mean_AE_M, 2, FALSE))/(VLOOKUP(Main_M[[#This Row],[Industry]], Mean_AE_M, 3, FALSE))</f>
        <v>-1.7146928841239202</v>
      </c>
      <c r="T25" s="1">
        <f>(Main_M[[#This Row],[P/E]]-VLOOKUP(Main_M[[#This Row],[Industry]], Mean_PE_M, 2, FALSE))/(VLOOKUP(Main_M[[#This Row],[Industry]], Mean_PE_M, 3, FALSE))</f>
        <v>-2.6272480591557679E-2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105</v>
      </c>
      <c r="B26" s="67" t="s">
        <v>309</v>
      </c>
      <c r="C26" s="2">
        <v>2168</v>
      </c>
      <c r="D26">
        <f>RTD("tos.rtd", , "LAST", Main_M[[#This Row],[Symbol]])</f>
        <v>76.53</v>
      </c>
      <c r="E26">
        <v>4.6100000000000003</v>
      </c>
      <c r="F26">
        <v>33.1</v>
      </c>
      <c r="G26">
        <v>4.1399999999999997</v>
      </c>
      <c r="H26" s="1">
        <f>IF(ISNUMBER(Main_M[[#This Row],[Free CF]]),IF(Main_M[[#This Row],[Free CF]]&lt;&gt;0,Main_M[[#This Row],[Current Price]]/Main_M[[#This Row],[Free CF]],""),"")</f>
        <v>16.600867678958785</v>
      </c>
      <c r="I26" s="1">
        <f>IF(ISNUMBER(Main_M[[#This Row],[BVPS]]),IF(Main_M[[#This Row],[BVPS]]&lt;&gt;0,Main_M[[#This Row],[Current Price]]/Main_M[[#This Row],[BVPS]],""),"")</f>
        <v>2.3120845921450148</v>
      </c>
      <c r="J26">
        <v>13.18</v>
      </c>
      <c r="K26">
        <v>1.42</v>
      </c>
      <c r="L26">
        <v>9.2200000000000006</v>
      </c>
      <c r="M26" s="1">
        <f>IF(ISNUMBER(Main_M[[#This Row],[EPS]]),IF(Main_M[[#This Row],[EPS]]&lt;&gt;0,Main_M[[#This Row],[Current Price]]/Main_M[[#This Row],[EPS]],""),"")</f>
        <v>18.485507246376812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1.1233494251781053</v>
      </c>
      <c r="P26" s="1">
        <f>(Main_M[[#This Row],[P/B]]-VLOOKUP(Main_M[[#This Row],[Industry]], Mean_PB_M, 2, FALSE))/(VLOOKUP(Main_M[[#This Row],[Industry]], Mean_PB_M, 3, FALSE))</f>
        <v>2.2493445724863568</v>
      </c>
      <c r="Q26" s="1">
        <f>(Main_M[[#This Row],[ROE]]-VLOOKUP(Main_M[[#This Row],[Industry]], Mean_ROE_M, 2, FALSE))/(VLOOKUP(Main_M[[#This Row],[Industry]], Mean_ROE_M, 3, FALSE))</f>
        <v>0.96575256390547926</v>
      </c>
      <c r="R26" s="1">
        <f>(Main_M[[#This Row],[ROA]]-VLOOKUP(Main_M[[#This Row],[Industry]], Mean_ROA_M, 2, FALSE))/(VLOOKUP(Main_M[[#This Row],[Industry]], Mean_ROA_M, 3, FALSE))</f>
        <v>0.53705285921786383</v>
      </c>
      <c r="S26" s="1">
        <f>(Main_M[[#This Row],[A/E]]-VLOOKUP(Main_M[[#This Row],[Industry]], Mean_AE_M, 2, FALSE))/(VLOOKUP(Main_M[[#This Row],[Industry]], Mean_AE_M, 3, FALSE))</f>
        <v>0.23006041368367167</v>
      </c>
      <c r="T26" s="1">
        <f>(Main_M[[#This Row],[P/E]]-VLOOKUP(Main_M[[#This Row],[Industry]], Mean_PE_M, 2, FALSE))/(VLOOKUP(Main_M[[#This Row],[Industry]], Mean_PE_M, 3, FALSE))</f>
        <v>1.419748974357312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105</v>
      </c>
      <c r="B27" s="67" t="s">
        <v>288</v>
      </c>
      <c r="C27" s="2">
        <v>2198</v>
      </c>
      <c r="D27">
        <f>RTD("tos.rtd", , "LAST", Main_M[[#This Row],[Symbol]])</f>
        <v>37.25</v>
      </c>
      <c r="E27">
        <v>4.5999999999999996</v>
      </c>
      <c r="F27">
        <v>39.909999999999997</v>
      </c>
      <c r="G27">
        <v>3.55</v>
      </c>
      <c r="H27" s="1">
        <f>IF(ISNUMBER(Main_M[[#This Row],[Free CF]]),IF(Main_M[[#This Row],[Free CF]]&lt;&gt;0,Main_M[[#This Row],[Current Price]]/Main_M[[#This Row],[Free CF]],""),"")</f>
        <v>8.0978260869565215</v>
      </c>
      <c r="I27" s="1">
        <f>IF(ISNUMBER(Main_M[[#This Row],[BVPS]]),IF(Main_M[[#This Row],[BVPS]]&lt;&gt;0,Main_M[[#This Row],[Current Price]]/Main_M[[#This Row],[BVPS]],""),"")</f>
        <v>0.93335003758456536</v>
      </c>
      <c r="J27">
        <v>9.16</v>
      </c>
      <c r="K27">
        <v>1.1399999999999999</v>
      </c>
      <c r="L27">
        <v>7.99</v>
      </c>
      <c r="M27" s="1">
        <f>IF(ISNUMBER(Main_M[[#This Row],[EPS]]),IF(Main_M[[#This Row],[EPS]]&lt;&gt;0,Main_M[[#This Row],[Current Price]]/Main_M[[#This Row],[EPS]],""),"")</f>
        <v>10.492957746478874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-0.67524850941191028</v>
      </c>
      <c r="P27" s="1">
        <f>(Main_M[[#This Row],[P/B]]-VLOOKUP(Main_M[[#This Row],[Industry]], Mean_PB_M, 2, FALSE))/(VLOOKUP(Main_M[[#This Row],[Industry]], Mean_PB_M, 3, FALSE))</f>
        <v>-0.7070173280395744</v>
      </c>
      <c r="Q27" s="1">
        <f>(Main_M[[#This Row],[ROE]]-VLOOKUP(Main_M[[#This Row],[Industry]], Mean_ROE_M, 2, FALSE))/(VLOOKUP(Main_M[[#This Row],[Industry]], Mean_ROE_M, 3, FALSE))</f>
        <v>-0.14976246981225655</v>
      </c>
      <c r="R27" s="1">
        <f>(Main_M[[#This Row],[ROA]]-VLOOKUP(Main_M[[#This Row],[Industry]], Mean_ROA_M, 2, FALSE))/(VLOOKUP(Main_M[[#This Row],[Industry]], Mean_ROA_M, 3, FALSE))</f>
        <v>-7.611772807813031E-3</v>
      </c>
      <c r="S27" s="1">
        <f>(Main_M[[#This Row],[A/E]]-VLOOKUP(Main_M[[#This Row],[Industry]], Mean_AE_M, 2, FALSE))/(VLOOKUP(Main_M[[#This Row],[Industry]], Mean_AE_M, 3, FALSE))</f>
        <v>-0.3591136149624708</v>
      </c>
      <c r="T27" s="1">
        <f>(Main_M[[#This Row],[P/E]]-VLOOKUP(Main_M[[#This Row],[Industry]], Mean_PE_M, 2, FALSE))/(VLOOKUP(Main_M[[#This Row],[Industry]], Mean_PE_M, 3, FALSE))</f>
        <v>-0.8655823480204563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105</v>
      </c>
      <c r="B28" s="67" t="s">
        <v>305</v>
      </c>
      <c r="C28" s="2">
        <v>4065</v>
      </c>
      <c r="D28">
        <f>RTD("tos.rtd", , "LAST", Main_M[[#This Row],[Symbol]])</f>
        <v>75.25</v>
      </c>
      <c r="E28">
        <v>4.4400000000000004</v>
      </c>
      <c r="F28">
        <v>30.56</v>
      </c>
      <c r="G28">
        <v>4.4000000000000004</v>
      </c>
      <c r="H28" s="1">
        <f>IF(ISNUMBER(Main_M[[#This Row],[Free CF]]),IF(Main_M[[#This Row],[Free CF]]&lt;&gt;0,Main_M[[#This Row],[Current Price]]/Main_M[[#This Row],[Free CF]],""),"")</f>
        <v>16.948198198198195</v>
      </c>
      <c r="I28" s="1">
        <f>IF(ISNUMBER(Main_M[[#This Row],[BVPS]]),IF(Main_M[[#This Row],[BVPS]]&lt;&gt;0,Main_M[[#This Row],[Current Price]]/Main_M[[#This Row],[BVPS]],""),"")</f>
        <v>2.4623691099476441</v>
      </c>
      <c r="J28">
        <v>15.29</v>
      </c>
      <c r="K28">
        <v>1.4</v>
      </c>
      <c r="L28">
        <v>11.17</v>
      </c>
      <c r="M28" s="1">
        <f>IF(ISNUMBER(Main_M[[#This Row],[EPS]]),IF(Main_M[[#This Row],[EPS]]&lt;&gt;0,Main_M[[#This Row],[Current Price]]/Main_M[[#This Row],[EPS]],""),"")</f>
        <v>17.102272727272727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1.196818189003942</v>
      </c>
      <c r="P28" s="1">
        <f>(Main_M[[#This Row],[P/B]]-VLOOKUP(Main_M[[#This Row],[Industry]], Mean_PB_M, 2, FALSE))/(VLOOKUP(Main_M[[#This Row],[Industry]], Mean_PB_M, 3, FALSE))</f>
        <v>2.5715932759811704</v>
      </c>
      <c r="Q28" s="1">
        <f>(Main_M[[#This Row],[ROE]]-VLOOKUP(Main_M[[#This Row],[Industry]], Mean_ROE_M, 2, FALSE))/(VLOOKUP(Main_M[[#This Row],[Industry]], Mean_ROE_M, 3, FALSE))</f>
        <v>1.5512592109563306</v>
      </c>
      <c r="R28" s="1">
        <f>(Main_M[[#This Row],[ROA]]-VLOOKUP(Main_M[[#This Row],[Industry]], Mean_ROA_M, 2, FALSE))/(VLOOKUP(Main_M[[#This Row],[Industry]], Mean_ROA_M, 3, FALSE))</f>
        <v>0.49814824264460122</v>
      </c>
      <c r="S28" s="1">
        <f>(Main_M[[#This Row],[A/E]]-VLOOKUP(Main_M[[#This Row],[Industry]], Mean_AE_M, 2, FALSE))/(VLOOKUP(Main_M[[#This Row],[Industry]], Mean_AE_M, 3, FALSE))</f>
        <v>1.1641168005617017</v>
      </c>
      <c r="T28" s="1">
        <f>(Main_M[[#This Row],[P/E]]-VLOOKUP(Main_M[[#This Row],[Industry]], Mean_PE_M, 2, FALSE))/(VLOOKUP(Main_M[[#This Row],[Industry]], Mean_PE_M, 3, FALSE))</f>
        <v>1.0242369825025122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105</v>
      </c>
      <c r="B29" s="67" t="s">
        <v>294</v>
      </c>
      <c r="C29" s="2">
        <v>2621</v>
      </c>
      <c r="D29">
        <f>RTD("tos.rtd", , "LAST", Main_M[[#This Row],[Symbol]])</f>
        <v>64.72</v>
      </c>
      <c r="E29">
        <v>4.0999999999999996</v>
      </c>
      <c r="F29">
        <v>71.19</v>
      </c>
      <c r="G29">
        <v>4.4400000000000004</v>
      </c>
      <c r="H29" s="1">
        <f>IF(ISNUMBER(Main_M[[#This Row],[Free CF]]),IF(Main_M[[#This Row],[Free CF]]&lt;&gt;0,Main_M[[#This Row],[Current Price]]/Main_M[[#This Row],[Free CF]],""),"")</f>
        <v>15.785365853658538</v>
      </c>
      <c r="I29" s="1">
        <f>IF(ISNUMBER(Main_M[[#This Row],[BVPS]]),IF(Main_M[[#This Row],[BVPS]]&lt;&gt;0,Main_M[[#This Row],[Current Price]]/Main_M[[#This Row],[BVPS]],""),"")</f>
        <v>0.90911644893945776</v>
      </c>
      <c r="J29">
        <v>6.38</v>
      </c>
      <c r="K29">
        <v>0.96</v>
      </c>
      <c r="L29">
        <v>6.56</v>
      </c>
      <c r="M29" s="1">
        <f>IF(ISNUMBER(Main_M[[#This Row],[EPS]]),IF(Main_M[[#This Row],[EPS]]&lt;&gt;0,Main_M[[#This Row],[Current Price]]/Main_M[[#This Row],[EPS]],""),"")</f>
        <v>14.576576576576574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0.95085116290698957</v>
      </c>
      <c r="P29" s="1">
        <f>(Main_M[[#This Row],[P/B]]-VLOOKUP(Main_M[[#This Row],[Industry]], Mean_PB_M, 2, FALSE))/(VLOOKUP(Main_M[[#This Row],[Industry]], Mean_PB_M, 3, FALSE))</f>
        <v>-0.75898038209261098</v>
      </c>
      <c r="Q29" s="1">
        <f>(Main_M[[#This Row],[ROE]]-VLOOKUP(Main_M[[#This Row],[Industry]], Mean_ROE_M, 2, FALSE))/(VLOOKUP(Main_M[[#This Row],[Industry]], Mean_ROE_M, 3, FALSE))</f>
        <v>-0.92118828914939732</v>
      </c>
      <c r="R29" s="1">
        <f>(Main_M[[#This Row],[ROA]]-VLOOKUP(Main_M[[#This Row],[Industry]], Mean_ROA_M, 2, FALSE))/(VLOOKUP(Main_M[[#This Row],[Industry]], Mean_ROA_M, 3, FALSE))</f>
        <v>-0.35775332196717663</v>
      </c>
      <c r="S29" s="1">
        <f>(Main_M[[#This Row],[A/E]]-VLOOKUP(Main_M[[#This Row],[Industry]], Mean_AE_M, 2, FALSE))/(VLOOKUP(Main_M[[#This Row],[Industry]], Mean_AE_M, 3, FALSE))</f>
        <v>-1.0440882986730267</v>
      </c>
      <c r="T29" s="1">
        <f>(Main_M[[#This Row],[P/E]]-VLOOKUP(Main_M[[#This Row],[Industry]], Mean_PE_M, 2, FALSE))/(VLOOKUP(Main_M[[#This Row],[Industry]], Mean_PE_M, 3, FALSE))</f>
        <v>0.30205784253364709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105</v>
      </c>
      <c r="B30" s="67" t="s">
        <v>273</v>
      </c>
      <c r="C30" s="2">
        <v>8407</v>
      </c>
      <c r="D30">
        <f>RTD("tos.rtd", , "LAST", Main_M[[#This Row],[Symbol]])</f>
        <v>63.51</v>
      </c>
      <c r="E30">
        <v>3.98</v>
      </c>
      <c r="F30">
        <v>25.98</v>
      </c>
      <c r="G30">
        <v>4.03</v>
      </c>
      <c r="H30" s="1">
        <f>IF(ISNUMBER(Main_M[[#This Row],[Free CF]]),IF(Main_M[[#This Row],[Free CF]]&lt;&gt;0,Main_M[[#This Row],[Current Price]]/Main_M[[#This Row],[Free CF]],""),"")</f>
        <v>15.957286432160803</v>
      </c>
      <c r="I30" s="1">
        <f>IF(ISNUMBER(Main_M[[#This Row],[BVPS]]),IF(Main_M[[#This Row],[BVPS]]&lt;&gt;0,Main_M[[#This Row],[Current Price]]/Main_M[[#This Row],[BVPS]],""),"")</f>
        <v>2.4445727482678983</v>
      </c>
      <c r="J30">
        <v>17.010000000000002</v>
      </c>
      <c r="K30">
        <v>1.75</v>
      </c>
      <c r="L30">
        <v>9.31</v>
      </c>
      <c r="M30" s="1">
        <f>IF(ISNUMBER(Main_M[[#This Row],[EPS]]),IF(Main_M[[#This Row],[EPS]]&lt;&gt;0,Main_M[[#This Row],[Current Price]]/Main_M[[#This Row],[EPS]],""),"")</f>
        <v>15.759305210918113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0.98721650277531792</v>
      </c>
      <c r="P30" s="1">
        <f>(Main_M[[#This Row],[P/B]]-VLOOKUP(Main_M[[#This Row],[Industry]], Mean_PB_M, 2, FALSE))/(VLOOKUP(Main_M[[#This Row],[Industry]], Mean_PB_M, 3, FALSE))</f>
        <v>2.5334332940876627</v>
      </c>
      <c r="Q30" s="1">
        <f>(Main_M[[#This Row],[ROE]]-VLOOKUP(Main_M[[#This Row],[Industry]], Mean_ROE_M, 2, FALSE))/(VLOOKUP(Main_M[[#This Row],[Industry]], Mean_ROE_M, 3, FALSE))</f>
        <v>2.028544250258447</v>
      </c>
      <c r="R30" s="1">
        <f>(Main_M[[#This Row],[ROA]]-VLOOKUP(Main_M[[#This Row],[Industry]], Mean_ROA_M, 2, FALSE))/(VLOOKUP(Main_M[[#This Row],[Industry]], Mean_ROA_M, 3, FALSE))</f>
        <v>1.1789790326766976</v>
      </c>
      <c r="S30" s="1">
        <f>(Main_M[[#This Row],[A/E]]-VLOOKUP(Main_M[[#This Row],[Industry]], Mean_AE_M, 2, FALSE))/(VLOOKUP(Main_M[[#This Row],[Industry]], Mean_AE_M, 3, FALSE))</f>
        <v>0.27317070846265762</v>
      </c>
      <c r="T30" s="1">
        <f>(Main_M[[#This Row],[P/E]]-VLOOKUP(Main_M[[#This Row],[Industry]], Mean_PE_M, 2, FALSE))/(VLOOKUP(Main_M[[#This Row],[Industry]], Mean_PE_M, 3, FALSE))</f>
        <v>0.64023864378715389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105</v>
      </c>
      <c r="B31" s="67" t="s">
        <v>295</v>
      </c>
      <c r="C31" s="2">
        <v>2192</v>
      </c>
      <c r="D31">
        <f>RTD("tos.rtd", , "LAST", Main_M[[#This Row],[Symbol]])</f>
        <v>42.12</v>
      </c>
      <c r="E31">
        <v>3.83</v>
      </c>
      <c r="F31">
        <v>33.130000000000003</v>
      </c>
      <c r="G31">
        <v>3.03</v>
      </c>
      <c r="H31" s="1">
        <f>IF(ISNUMBER(Main_M[[#This Row],[Free CF]]),IF(Main_M[[#This Row],[Free CF]]&lt;&gt;0,Main_M[[#This Row],[Current Price]]/Main_M[[#This Row],[Free CF]],""),"")</f>
        <v>10.997389033942557</v>
      </c>
      <c r="I31" s="1">
        <f>IF(ISNUMBER(Main_M[[#This Row],[BVPS]]),IF(Main_M[[#This Row],[BVPS]]&lt;&gt;0,Main_M[[#This Row],[Current Price]]/Main_M[[#This Row],[BVPS]],""),"")</f>
        <v>1.2713552671294897</v>
      </c>
      <c r="J31">
        <v>9.5500000000000007</v>
      </c>
      <c r="K31">
        <v>1.05</v>
      </c>
      <c r="L31">
        <v>8.85</v>
      </c>
      <c r="M31" s="1">
        <f>IF(ISNUMBER(Main_M[[#This Row],[EPS]]),IF(Main_M[[#This Row],[EPS]]&lt;&gt;0,Main_M[[#This Row],[Current Price]]/Main_M[[#This Row],[EPS]],""),"")</f>
        <v>13.900990099009901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-6.1921163986709313E-2</v>
      </c>
      <c r="P31" s="1">
        <f>(Main_M[[#This Row],[P/B]]-VLOOKUP(Main_M[[#This Row],[Industry]], Mean_PB_M, 2, FALSE))/(VLOOKUP(Main_M[[#This Row],[Industry]], Mean_PB_M, 3, FALSE))</f>
        <v>1.7752918343137906E-2</v>
      </c>
      <c r="Q31" s="1">
        <f>(Main_M[[#This Row],[ROE]]-VLOOKUP(Main_M[[#This Row],[Industry]], Mean_ROE_M, 2, FALSE))/(VLOOKUP(Main_M[[#This Row],[Industry]], Mean_ROE_M, 3, FALSE))</f>
        <v>-4.1540862063520805E-2</v>
      </c>
      <c r="R31" s="1">
        <f>(Main_M[[#This Row],[ROA]]-VLOOKUP(Main_M[[#This Row],[Industry]], Mean_ROA_M, 2, FALSE))/(VLOOKUP(Main_M[[#This Row],[Industry]], Mean_ROA_M, 3, FALSE))</f>
        <v>-0.18268254738749459</v>
      </c>
      <c r="S31" s="1">
        <f>(Main_M[[#This Row],[A/E]]-VLOOKUP(Main_M[[#This Row],[Industry]], Mean_AE_M, 2, FALSE))/(VLOOKUP(Main_M[[#This Row],[Industry]], Mean_AE_M, 3, FALSE))</f>
        <v>5.2829201814506448E-2</v>
      </c>
      <c r="T31" s="1">
        <f>(Main_M[[#This Row],[P/E]]-VLOOKUP(Main_M[[#This Row],[Industry]], Mean_PE_M, 2, FALSE))/(VLOOKUP(Main_M[[#This Row],[Industry]], Mean_PE_M, 3, FALSE))</f>
        <v>0.10888557151077766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105</v>
      </c>
      <c r="B32" s="67" t="s">
        <v>299</v>
      </c>
      <c r="C32" s="2">
        <v>2182</v>
      </c>
      <c r="D32">
        <f>RTD("tos.rtd", , "LAST", Main_M[[#This Row],[Symbol]])</f>
        <v>16.87</v>
      </c>
      <c r="E32">
        <v>3.82</v>
      </c>
      <c r="F32">
        <v>20.350000000000001</v>
      </c>
      <c r="G32">
        <v>1.19</v>
      </c>
      <c r="H32" s="1">
        <f>IF(ISNUMBER(Main_M[[#This Row],[Free CF]]),IF(Main_M[[#This Row],[Free CF]]&lt;&gt;0,Main_M[[#This Row],[Current Price]]/Main_M[[#This Row],[Free CF]],""),"")</f>
        <v>4.4162303664921474</v>
      </c>
      <c r="I32" s="1">
        <f>IF(ISNUMBER(Main_M[[#This Row],[BVPS]]),IF(Main_M[[#This Row],[BVPS]]&lt;&gt;0,Main_M[[#This Row],[Current Price]]/Main_M[[#This Row],[BVPS]],""),"")</f>
        <v>0.82899262899262893</v>
      </c>
      <c r="J32">
        <v>6.77</v>
      </c>
      <c r="K32">
        <v>0.77</v>
      </c>
      <c r="L32">
        <v>9.11</v>
      </c>
      <c r="M32" s="1">
        <f>IF(ISNUMBER(Main_M[[#This Row],[EPS]]),IF(Main_M[[#This Row],[EPS]]&lt;&gt;0,Main_M[[#This Row],[Current Price]]/Main_M[[#This Row],[EPS]],""),"")</f>
        <v>14.176470588235295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-1.453994607167197</v>
      </c>
      <c r="P32" s="1">
        <f>(Main_M[[#This Row],[P/B]]-VLOOKUP(Main_M[[#This Row],[Industry]], Mean_PB_M, 2, FALSE))/(VLOOKUP(Main_M[[#This Row],[Industry]], Mean_PB_M, 3, FALSE))</f>
        <v>-0.93078648344249826</v>
      </c>
      <c r="Q32" s="1">
        <f>(Main_M[[#This Row],[ROE]]-VLOOKUP(Main_M[[#This Row],[Industry]], Mean_ROE_M, 2, FALSE))/(VLOOKUP(Main_M[[#This Row],[Industry]], Mean_ROE_M, 3, FALSE))</f>
        <v>-0.81296668140066186</v>
      </c>
      <c r="R32" s="1">
        <f>(Main_M[[#This Row],[ROA]]-VLOOKUP(Main_M[[#This Row],[Industry]], Mean_ROA_M, 2, FALSE))/(VLOOKUP(Main_M[[#This Row],[Industry]], Mean_ROA_M, 3, FALSE))</f>
        <v>-0.72734717941317151</v>
      </c>
      <c r="S32" s="1">
        <f>(Main_M[[#This Row],[A/E]]-VLOOKUP(Main_M[[#This Row],[Industry]], Mean_AE_M, 2, FALSE))/(VLOOKUP(Main_M[[#This Row],[Industry]], Mean_AE_M, 3, FALSE))</f>
        <v>0.17737005339824374</v>
      </c>
      <c r="T32" s="1">
        <f>(Main_M[[#This Row],[P/E]]-VLOOKUP(Main_M[[#This Row],[Industry]], Mean_PE_M, 2, FALSE))/(VLOOKUP(Main_M[[#This Row],[Industry]], Mean_PE_M, 3, FALSE))</f>
        <v>0.18765445379781062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105</v>
      </c>
      <c r="B33" s="67" t="s">
        <v>314</v>
      </c>
      <c r="C33" s="2">
        <v>2084</v>
      </c>
      <c r="D33">
        <f>RTD("tos.rtd", , "LAST", Main_M[[#This Row],[Symbol]])</f>
        <v>34.979999999999997</v>
      </c>
      <c r="E33">
        <v>3.8</v>
      </c>
      <c r="F33">
        <v>33.29</v>
      </c>
      <c r="G33">
        <v>0.99</v>
      </c>
      <c r="H33" s="1">
        <f>IF(ISNUMBER(Main_M[[#This Row],[Free CF]]),IF(Main_M[[#This Row],[Free CF]]&lt;&gt;0,Main_M[[#This Row],[Current Price]]/Main_M[[#This Row],[Free CF]],""),"")</f>
        <v>9.2052631578947359</v>
      </c>
      <c r="I33" s="1">
        <f>IF(ISNUMBER(Main_M[[#This Row],[BVPS]]),IF(Main_M[[#This Row],[BVPS]]&lt;&gt;0,Main_M[[#This Row],[Current Price]]/Main_M[[#This Row],[BVPS]],""),"")</f>
        <v>1.0507659957945328</v>
      </c>
      <c r="J33">
        <v>3.28</v>
      </c>
      <c r="K33">
        <v>0.33</v>
      </c>
      <c r="L33">
        <v>9.0500000000000007</v>
      </c>
      <c r="M33" s="1">
        <f>IF(ISNUMBER(Main_M[[#This Row],[EPS]]),IF(Main_M[[#This Row],[EPS]]&lt;&gt;0,Main_M[[#This Row],[Current Price]]/Main_M[[#This Row],[EPS]],""),"")</f>
        <v>35.333333333333329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-0.44099891684830861</v>
      </c>
      <c r="P33" s="1">
        <f>(Main_M[[#This Row],[P/B]]-VLOOKUP(Main_M[[#This Row],[Industry]], Mean_PB_M, 2, FALSE))/(VLOOKUP(Main_M[[#This Row],[Industry]], Mean_PB_M, 3, FALSE))</f>
        <v>-0.45524727976051438</v>
      </c>
      <c r="Q33" s="1">
        <f>(Main_M[[#This Row],[ROE]]-VLOOKUP(Main_M[[#This Row],[Industry]], Mean_ROE_M, 2, FALSE))/(VLOOKUP(Main_M[[#This Row],[Industry]], Mean_ROE_M, 3, FALSE))</f>
        <v>-1.7814113251008854</v>
      </c>
      <c r="R33" s="1">
        <f>(Main_M[[#This Row],[ROA]]-VLOOKUP(Main_M[[#This Row],[Industry]], Mean_ROA_M, 2, FALSE))/(VLOOKUP(Main_M[[#This Row],[Industry]], Mean_ROA_M, 3, FALSE))</f>
        <v>-1.5832487440249494</v>
      </c>
      <c r="S33" s="1">
        <f>(Main_M[[#This Row],[A/E]]-VLOOKUP(Main_M[[#This Row],[Industry]], Mean_AE_M, 2, FALSE))/(VLOOKUP(Main_M[[#This Row],[Industry]], Mean_AE_M, 3, FALSE))</f>
        <v>0.14862985687892033</v>
      </c>
      <c r="T33" s="1">
        <f>(Main_M[[#This Row],[P/E]]-VLOOKUP(Main_M[[#This Row],[Industry]], Mean_PE_M, 2, FALSE))/(VLOOKUP(Main_M[[#This Row],[Industry]], Mean_PE_M, 3, FALSE))</f>
        <v>6.2370935114148134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4" spans="1:26" x14ac:dyDescent="0.25">
      <c r="A34" s="67" t="s">
        <v>105</v>
      </c>
      <c r="B34" s="67" t="s">
        <v>274</v>
      </c>
      <c r="C34" s="2">
        <v>2972</v>
      </c>
      <c r="D34">
        <f>RTD("tos.rtd", , "LAST", Main_M[[#This Row],[Symbol]])</f>
        <v>57.27</v>
      </c>
      <c r="E34">
        <v>3.73</v>
      </c>
      <c r="F34">
        <v>34.71</v>
      </c>
      <c r="G34">
        <v>3.61</v>
      </c>
      <c r="H34" s="1">
        <f>IF(ISNUMBER(Main_M[[#This Row],[Free CF]]),IF(Main_M[[#This Row],[Free CF]]&lt;&gt;0,Main_M[[#This Row],[Current Price]]/Main_M[[#This Row],[Free CF]],""),"")</f>
        <v>15.353887399463808</v>
      </c>
      <c r="I34" s="1">
        <f>IF(ISNUMBER(Main_M[[#This Row],[BVPS]]),IF(Main_M[[#This Row],[BVPS]]&lt;&gt;0,Main_M[[#This Row],[Current Price]]/Main_M[[#This Row],[BVPS]],""),"")</f>
        <v>1.6499567847882455</v>
      </c>
      <c r="J34">
        <v>10.96</v>
      </c>
      <c r="K34">
        <v>1.17</v>
      </c>
      <c r="L34">
        <v>9.14</v>
      </c>
      <c r="M34" s="1">
        <f>IF(ISNUMBER(Main_M[[#This Row],[EPS]]),IF(Main_M[[#This Row],[EPS]]&lt;&gt;0,Main_M[[#This Row],[Current Price]]/Main_M[[#This Row],[EPS]],""),"")</f>
        <v>15.86426592797784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0.85958308569745645</v>
      </c>
      <c r="P34" s="1">
        <f>(Main_M[[#This Row],[P/B]]-VLOOKUP(Main_M[[#This Row],[Industry]], Mean_PB_M, 2, FALSE))/(VLOOKUP(Main_M[[#This Row],[Industry]], Mean_PB_M, 3, FALSE))</f>
        <v>0.82957205973288628</v>
      </c>
      <c r="Q34" s="1">
        <f>(Main_M[[#This Row],[ROE]]-VLOOKUP(Main_M[[#This Row],[Industry]], Mean_ROE_M, 2, FALSE))/(VLOOKUP(Main_M[[#This Row],[Industry]], Mean_ROE_M, 3, FALSE))</f>
        <v>0.34972187364344631</v>
      </c>
      <c r="R34" s="1">
        <f>(Main_M[[#This Row],[ROA]]-VLOOKUP(Main_M[[#This Row],[Industry]], Mean_ROA_M, 2, FALSE))/(VLOOKUP(Main_M[[#This Row],[Industry]], Mean_ROA_M, 3, FALSE))</f>
        <v>5.0745152052080973E-2</v>
      </c>
      <c r="S34" s="1">
        <f>(Main_M[[#This Row],[A/E]]-VLOOKUP(Main_M[[#This Row],[Industry]], Mean_AE_M, 2, FALSE))/(VLOOKUP(Main_M[[#This Row],[Industry]], Mean_AE_M, 3, FALSE))</f>
        <v>0.19174015165790628</v>
      </c>
      <c r="T34" s="1">
        <f>(Main_M[[#This Row],[P/E]]-VLOOKUP(Main_M[[#This Row],[Industry]], Mean_PE_M, 2, FALSE))/(VLOOKUP(Main_M[[#This Row],[Industry]], Mean_PE_M, 3, FALSE))</f>
        <v>0.67025034585029264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105</v>
      </c>
      <c r="B35" s="67" t="s">
        <v>271</v>
      </c>
      <c r="C35" s="2">
        <v>5561</v>
      </c>
      <c r="D35">
        <f>RTD("tos.rtd", , "LAST", Main_M[[#This Row],[Symbol]])</f>
        <v>31.05</v>
      </c>
      <c r="E35">
        <v>3.39</v>
      </c>
      <c r="F35">
        <v>30.16</v>
      </c>
      <c r="G35">
        <v>2.85</v>
      </c>
      <c r="H35" s="1">
        <f>IF(ISNUMBER(Main_M[[#This Row],[Free CF]]),IF(Main_M[[#This Row],[Free CF]]&lt;&gt;0,Main_M[[#This Row],[Current Price]]/Main_M[[#This Row],[Free CF]],""),"")</f>
        <v>9.1592920353982308</v>
      </c>
      <c r="I35" s="1">
        <f>IF(ISNUMBER(Main_M[[#This Row],[BVPS]]),IF(Main_M[[#This Row],[BVPS]]&lt;&gt;0,Main_M[[#This Row],[Current Price]]/Main_M[[#This Row],[BVPS]],""),"")</f>
        <v>1.0295092838196287</v>
      </c>
      <c r="J35">
        <v>9.9</v>
      </c>
      <c r="K35">
        <v>1.1200000000000001</v>
      </c>
      <c r="L35">
        <v>8.6</v>
      </c>
      <c r="M35" s="1">
        <f>IF(ISNUMBER(Main_M[[#This Row],[EPS]]),IF(Main_M[[#This Row],[EPS]]&lt;&gt;0,Main_M[[#This Row],[Current Price]]/Main_M[[#This Row],[EPS]],""),"")</f>
        <v>10.894736842105264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-0.45072291561726308</v>
      </c>
      <c r="P35" s="1">
        <f>(Main_M[[#This Row],[P/B]]-VLOOKUP(Main_M[[#This Row],[Industry]], Mean_PB_M, 2, FALSE))/(VLOOKUP(Main_M[[#This Row],[Industry]], Mean_PB_M, 3, FALSE))</f>
        <v>-0.50082714370545944</v>
      </c>
      <c r="Q35" s="1">
        <f>(Main_M[[#This Row],[ROE]]-VLOOKUP(Main_M[[#This Row],[Industry]], Mean_ROE_M, 2, FALSE))/(VLOOKUP(Main_M[[#This Row],[Industry]], Mean_ROE_M, 3, FALSE))</f>
        <v>5.5581093608421277E-2</v>
      </c>
      <c r="R35" s="1">
        <f>(Main_M[[#This Row],[ROA]]-VLOOKUP(Main_M[[#This Row],[Industry]], Mean_ROA_M, 2, FALSE))/(VLOOKUP(Main_M[[#This Row],[Industry]], Mean_ROA_M, 3, FALSE))</f>
        <v>-4.6516389381075267E-2</v>
      </c>
      <c r="S35" s="1">
        <f>(Main_M[[#This Row],[A/E]]-VLOOKUP(Main_M[[#This Row],[Industry]], Mean_AE_M, 2, FALSE))/(VLOOKUP(Main_M[[#This Row],[Industry]], Mean_AE_M, 3, FALSE))</f>
        <v>-6.6921617016010279E-2</v>
      </c>
      <c r="T35" s="1">
        <f>(Main_M[[#This Row],[P/E]]-VLOOKUP(Main_M[[#This Row],[Industry]], Mean_PE_M, 2, FALSE))/(VLOOKUP(Main_M[[#This Row],[Industry]], Mean_PE_M, 3, FALSE))</f>
        <v>-0.75070056318780354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105</v>
      </c>
      <c r="B36" s="67" t="s">
        <v>315</v>
      </c>
      <c r="C36" s="2">
        <v>5134</v>
      </c>
      <c r="D36">
        <f>RTD("tos.rtd", , "LAST", Main_M[[#This Row],[Symbol]])</f>
        <v>36.56</v>
      </c>
      <c r="E36">
        <v>3.23</v>
      </c>
      <c r="F36">
        <v>37.28</v>
      </c>
      <c r="G36">
        <v>2.7</v>
      </c>
      <c r="H36" s="1">
        <f>IF(ISNUMBER(Main_M[[#This Row],[Free CF]]),IF(Main_M[[#This Row],[Free CF]]&lt;&gt;0,Main_M[[#This Row],[Current Price]]/Main_M[[#This Row],[Free CF]],""),"")</f>
        <v>11.31888544891641</v>
      </c>
      <c r="I36" s="1">
        <f>IF(ISNUMBER(Main_M[[#This Row],[BVPS]]),IF(Main_M[[#This Row],[BVPS]]&lt;&gt;0,Main_M[[#This Row],[Current Price]]/Main_M[[#This Row],[BVPS]],""),"")</f>
        <v>0.98068669527897001</v>
      </c>
      <c r="J36">
        <v>7.32</v>
      </c>
      <c r="K36">
        <v>1.18</v>
      </c>
      <c r="L36">
        <v>6.17</v>
      </c>
      <c r="M36" s="1">
        <f>IF(ISNUMBER(Main_M[[#This Row],[EPS]]),IF(Main_M[[#This Row],[EPS]]&lt;&gt;0,Main_M[[#This Row],[Current Price]]/Main_M[[#This Row],[EPS]],""),"")</f>
        <v>13.540740740740741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6.0830650522201686E-3</v>
      </c>
      <c r="P36" s="1">
        <f>(Main_M[[#This Row],[P/B]]-VLOOKUP(Main_M[[#This Row],[Industry]], Mean_PB_M, 2, FALSE))/(VLOOKUP(Main_M[[#This Row],[Industry]], Mean_PB_M, 3, FALSE))</f>
        <v>-0.60551534504866367</v>
      </c>
      <c r="Q36" s="1">
        <f>(Main_M[[#This Row],[ROE]]-VLOOKUP(Main_M[[#This Row],[Industry]], Mean_ROE_M, 2, FALSE))/(VLOOKUP(Main_M[[#This Row],[Industry]], Mean_ROE_M, 3, FALSE))</f>
        <v>-0.6603464653447525</v>
      </c>
      <c r="R36" s="1">
        <f>(Main_M[[#This Row],[ROA]]-VLOOKUP(Main_M[[#This Row],[Industry]], Mean_ROA_M, 2, FALSE))/(VLOOKUP(Main_M[[#This Row],[Industry]], Mean_ROA_M, 3, FALSE))</f>
        <v>7.0197460338712311E-2</v>
      </c>
      <c r="S36" s="1">
        <f>(Main_M[[#This Row],[A/E]]-VLOOKUP(Main_M[[#This Row],[Industry]], Mean_AE_M, 2, FALSE))/(VLOOKUP(Main_M[[#This Row],[Industry]], Mean_AE_M, 3, FALSE))</f>
        <v>-1.2308995760486328</v>
      </c>
      <c r="T36" s="1">
        <f>(Main_M[[#This Row],[P/E]]-VLOOKUP(Main_M[[#This Row],[Industry]], Mean_PE_M, 2, FALSE))/(VLOOKUP(Main_M[[#This Row],[Industry]], Mean_PE_M, 3, FALSE))</f>
        <v>5.8784969434553941E-3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7" t="s">
        <v>105</v>
      </c>
      <c r="B37" s="67" t="s">
        <v>285</v>
      </c>
      <c r="C37" s="2">
        <v>2848</v>
      </c>
      <c r="D37">
        <f>RTD("tos.rtd", , "LAST", Main_M[[#This Row],[Symbol]])</f>
        <v>27.86</v>
      </c>
      <c r="E37">
        <v>3.16</v>
      </c>
      <c r="F37">
        <v>32.04</v>
      </c>
      <c r="G37">
        <v>2.11</v>
      </c>
      <c r="H37" s="1">
        <f>IF(ISNUMBER(Main_M[[#This Row],[Free CF]]),IF(Main_M[[#This Row],[Free CF]]&lt;&gt;0,Main_M[[#This Row],[Current Price]]/Main_M[[#This Row],[Free CF]],""),"")</f>
        <v>8.8164556962025316</v>
      </c>
      <c r="I37" s="1">
        <f>IF(ISNUMBER(Main_M[[#This Row],[BVPS]]),IF(Main_M[[#This Row],[BVPS]]&lt;&gt;0,Main_M[[#This Row],[Current Price]]/Main_M[[#This Row],[BVPS]],""),"")</f>
        <v>0.86953807740324596</v>
      </c>
      <c r="J37">
        <v>6.63</v>
      </c>
      <c r="K37">
        <v>0.75</v>
      </c>
      <c r="L37">
        <v>8.41</v>
      </c>
      <c r="M37" s="1">
        <f>IF(ISNUMBER(Main_M[[#This Row],[EPS]]),IF(Main_M[[#This Row],[EPS]]&lt;&gt;0,Main_M[[#This Row],[Current Price]]/Main_M[[#This Row],[EPS]],""),"")</f>
        <v>13.203791469194313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-0.52324105220497164</v>
      </c>
      <c r="P37" s="1">
        <f>(Main_M[[#This Row],[P/B]]-VLOOKUP(Main_M[[#This Row],[Industry]], Mean_PB_M, 2, FALSE))/(VLOOKUP(Main_M[[#This Row],[Industry]], Mean_PB_M, 3, FALSE))</f>
        <v>-0.84384660185006055</v>
      </c>
      <c r="Q37" s="1">
        <f>(Main_M[[#This Row],[ROE]]-VLOOKUP(Main_M[[#This Row],[Industry]], Mean_ROE_M, 2, FALSE))/(VLOOKUP(Main_M[[#This Row],[Industry]], Mean_ROE_M, 3, FALSE))</f>
        <v>-0.85181546366943861</v>
      </c>
      <c r="R37" s="1">
        <f>(Main_M[[#This Row],[ROA]]-VLOOKUP(Main_M[[#This Row],[Industry]], Mean_ROA_M, 2, FALSE))/(VLOOKUP(Main_M[[#This Row],[Industry]], Mean_ROA_M, 3, FALSE))</f>
        <v>-0.76625179598643423</v>
      </c>
      <c r="S37" s="1">
        <f>(Main_M[[#This Row],[A/E]]-VLOOKUP(Main_M[[#This Row],[Industry]], Mean_AE_M, 2, FALSE))/(VLOOKUP(Main_M[[#This Row],[Industry]], Mean_AE_M, 3, FALSE))</f>
        <v>-0.15793223932720274</v>
      </c>
      <c r="T37" s="1">
        <f>(Main_M[[#This Row],[P/E]]-VLOOKUP(Main_M[[#This Row],[Industry]], Mean_PE_M, 2, FALSE))/(VLOOKUP(Main_M[[#This Row],[Industry]], Mean_PE_M, 3, FALSE))</f>
        <v>-9.0466320730461861E-2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105</v>
      </c>
      <c r="B38" s="67" t="s">
        <v>286</v>
      </c>
      <c r="C38" s="2">
        <v>4782</v>
      </c>
      <c r="D38">
        <f>RTD("tos.rtd", , "LAST", Main_M[[#This Row],[Symbol]])</f>
        <v>11.85</v>
      </c>
      <c r="E38">
        <v>3.03</v>
      </c>
      <c r="F38">
        <v>18.43</v>
      </c>
      <c r="G38">
        <v>-2.4900000000000002</v>
      </c>
      <c r="H38" s="1">
        <f>IF(ISNUMBER(Main_M[[#This Row],[Free CF]]),IF(Main_M[[#This Row],[Free CF]]&lt;&gt;0,Main_M[[#This Row],[Current Price]]/Main_M[[#This Row],[Free CF]],""),"")</f>
        <v>3.9108910891089108</v>
      </c>
      <c r="I38" s="1">
        <f>IF(ISNUMBER(Main_M[[#This Row],[BVPS]]),IF(Main_M[[#This Row],[BVPS]]&lt;&gt;0,Main_M[[#This Row],[Current Price]]/Main_M[[#This Row],[BVPS]],""),"")</f>
        <v>0.64297341291372756</v>
      </c>
      <c r="J38">
        <v>-10.4</v>
      </c>
      <c r="K38">
        <v>-0.85</v>
      </c>
      <c r="L38">
        <v>12.76</v>
      </c>
      <c r="M38" s="1">
        <f>IF(ISNUMBER(Main_M[[#This Row],[EPS]]),IF(Main_M[[#This Row],[EPS]]&lt;&gt;0,Main_M[[#This Row],[Current Price]]/Main_M[[#This Row],[EPS]],""),"")</f>
        <v>-4.7590361445783129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-1.5608860260476585</v>
      </c>
      <c r="P38" s="1">
        <f>(Main_M[[#This Row],[P/B]]-VLOOKUP(Main_M[[#This Row],[Industry]], Mean_PB_M, 2, FALSE))/(VLOOKUP(Main_M[[#This Row],[Industry]], Mean_PB_M, 3, FALSE))</f>
        <v>-1.3296595815035603</v>
      </c>
      <c r="Q38" s="1">
        <f>(Main_M[[#This Row],[ROE]]-VLOOKUP(Main_M[[#This Row],[Industry]], Mean_ROE_M, 2, FALSE))/(VLOOKUP(Main_M[[#This Row],[Industry]], Mean_ROE_M, 3, FALSE))</f>
        <v>-5.5774923353642256</v>
      </c>
      <c r="R38" s="1">
        <f>(Main_M[[#This Row],[ROA]]-VLOOKUP(Main_M[[#This Row],[Industry]], Mean_ROA_M, 2, FALSE))/(VLOOKUP(Main_M[[#This Row],[Industry]], Mean_ROA_M, 3, FALSE))</f>
        <v>-3.8786211218474445</v>
      </c>
      <c r="S38" s="1">
        <f>(Main_M[[#This Row],[A/E]]-VLOOKUP(Main_M[[#This Row],[Industry]], Mean_AE_M, 2, FALSE))/(VLOOKUP(Main_M[[#This Row],[Industry]], Mean_AE_M, 3, FALSE))</f>
        <v>1.9257320083237881</v>
      </c>
      <c r="T38" s="1">
        <f>(Main_M[[#This Row],[P/E]]-VLOOKUP(Main_M[[#This Row],[Industry]], Mean_PE_M, 2, FALSE))/(VLOOKUP(Main_M[[#This Row],[Industry]], Mean_PE_M, 3, FALSE))</f>
        <v>-5.2266262637813101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9" spans="1:26" x14ac:dyDescent="0.25">
      <c r="A39" s="67" t="s">
        <v>105</v>
      </c>
      <c r="B39" s="67" t="s">
        <v>262</v>
      </c>
      <c r="C39" s="2">
        <v>3842</v>
      </c>
      <c r="D39">
        <f>RTD("tos.rtd", , "LAST", Main_M[[#This Row],[Symbol]])</f>
        <v>23.65</v>
      </c>
      <c r="E39">
        <v>3.01</v>
      </c>
      <c r="F39">
        <v>27.5</v>
      </c>
      <c r="G39">
        <v>0.83</v>
      </c>
      <c r="H39" s="1">
        <f>IF(ISNUMBER(Main_M[[#This Row],[Free CF]]),IF(Main_M[[#This Row],[Free CF]]&lt;&gt;0,Main_M[[#This Row],[Current Price]]/Main_M[[#This Row],[Free CF]],""),"")</f>
        <v>7.8571428571428577</v>
      </c>
      <c r="I39" s="1">
        <f>IF(ISNUMBER(Main_M[[#This Row],[BVPS]]),IF(Main_M[[#This Row],[BVPS]]&lt;&gt;0,Main_M[[#This Row],[Current Price]]/Main_M[[#This Row],[BVPS]],""),"")</f>
        <v>0.86</v>
      </c>
      <c r="J39">
        <v>3.24</v>
      </c>
      <c r="K39">
        <v>0.34</v>
      </c>
      <c r="L39">
        <v>9.64</v>
      </c>
      <c r="M39" s="1">
        <f>IF(ISNUMBER(Main_M[[#This Row],[EPS]]),IF(Main_M[[#This Row],[EPS]]&lt;&gt;0,Main_M[[#This Row],[Current Price]]/Main_M[[#This Row],[EPS]],""),"")</f>
        <v>28.493975903614459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-0.72615880490434637</v>
      </c>
      <c r="P39" s="1">
        <f>(Main_M[[#This Row],[P/B]]-VLOOKUP(Main_M[[#This Row],[Industry]], Mean_PB_M, 2, FALSE))/(VLOOKUP(Main_M[[#This Row],[Industry]], Mean_PB_M, 3, FALSE))</f>
        <v>-0.86429869579806018</v>
      </c>
      <c r="Q39" s="1">
        <f>(Main_M[[#This Row],[ROE]]-VLOOKUP(Main_M[[#This Row],[Industry]], Mean_ROE_M, 2, FALSE))/(VLOOKUP(Main_M[[#This Row],[Industry]], Mean_ROE_M, 3, FALSE))</f>
        <v>-1.7925109771776786</v>
      </c>
      <c r="R39" s="1">
        <f>(Main_M[[#This Row],[ROA]]-VLOOKUP(Main_M[[#This Row],[Industry]], Mean_ROA_M, 2, FALSE))/(VLOOKUP(Main_M[[#This Row],[Industry]], Mean_ROA_M, 3, FALSE))</f>
        <v>-1.5637964357383181</v>
      </c>
      <c r="S39" s="1">
        <f>(Main_M[[#This Row],[A/E]]-VLOOKUP(Main_M[[#This Row],[Industry]], Mean_AE_M, 2, FALSE))/(VLOOKUP(Main_M[[#This Row],[Industry]], Mean_AE_M, 3, FALSE))</f>
        <v>0.43124178931893975</v>
      </c>
      <c r="T39" s="1">
        <f>(Main_M[[#This Row],[P/E]]-VLOOKUP(Main_M[[#This Row],[Industry]], Mean_PE_M, 2, FALSE))/(VLOOKUP(Main_M[[#This Row],[Industry]], Mean_PE_M, 3, FALSE))</f>
        <v>4.2814975205143835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0" spans="1:26" x14ac:dyDescent="0.25">
      <c r="A40" s="67" t="s">
        <v>105</v>
      </c>
      <c r="B40" s="67" t="s">
        <v>318</v>
      </c>
      <c r="C40" s="2">
        <v>2278</v>
      </c>
      <c r="D40">
        <f>RTD("tos.rtd", , "LAST", Main_M[[#This Row],[Symbol]])</f>
        <v>29.03</v>
      </c>
      <c r="E40">
        <v>2.99</v>
      </c>
      <c r="F40">
        <v>33.840000000000003</v>
      </c>
      <c r="G40">
        <v>2.64</v>
      </c>
      <c r="H40" s="1">
        <f>IF(ISNUMBER(Main_M[[#This Row],[Free CF]]),IF(Main_M[[#This Row],[Free CF]]&lt;&gt;0,Main_M[[#This Row],[Current Price]]/Main_M[[#This Row],[Free CF]],""),"")</f>
        <v>9.7090301003344486</v>
      </c>
      <c r="I40" s="1">
        <f>IF(ISNUMBER(Main_M[[#This Row],[BVPS]]),IF(Main_M[[#This Row],[BVPS]]&lt;&gt;0,Main_M[[#This Row],[Current Price]]/Main_M[[#This Row],[BVPS]],""),"")</f>
        <v>0.8578605200945626</v>
      </c>
      <c r="J40">
        <v>7.7</v>
      </c>
      <c r="K40">
        <v>0.79</v>
      </c>
      <c r="L40">
        <v>10.119999999999999</v>
      </c>
      <c r="M40" s="1">
        <f>IF(ISNUMBER(Main_M[[#This Row],[EPS]]),IF(Main_M[[#This Row],[EPS]]&lt;&gt;0,Main_M[[#This Row],[Current Price]]/Main_M[[#This Row],[EPS]],""),"")</f>
        <v>10.996212121212121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-0.33444008464889607</v>
      </c>
      <c r="P40" s="1">
        <f>(Main_M[[#This Row],[P/B]]-VLOOKUP(Main_M[[#This Row],[Industry]], Mean_PB_M, 2, FALSE))/(VLOOKUP(Main_M[[#This Row],[Industry]], Mean_PB_M, 3, FALSE))</f>
        <v>-0.8688862916180492</v>
      </c>
      <c r="Q40" s="1">
        <f>(Main_M[[#This Row],[ROE]]-VLOOKUP(Main_M[[#This Row],[Industry]], Mean_ROE_M, 2, FALSE))/(VLOOKUP(Main_M[[#This Row],[Industry]], Mean_ROE_M, 3, FALSE))</f>
        <v>-0.55489977061521534</v>
      </c>
      <c r="R40" s="1">
        <f>(Main_M[[#This Row],[ROA]]-VLOOKUP(Main_M[[#This Row],[Industry]], Mean_ROA_M, 2, FALSE))/(VLOOKUP(Main_M[[#This Row],[Industry]], Mean_ROA_M, 3, FALSE))</f>
        <v>-0.6884425628399089</v>
      </c>
      <c r="S40" s="1">
        <f>(Main_M[[#This Row],[A/E]]-VLOOKUP(Main_M[[#This Row],[Industry]], Mean_AE_M, 2, FALSE))/(VLOOKUP(Main_M[[#This Row],[Industry]], Mean_AE_M, 3, FALSE))</f>
        <v>0.66116336147353116</v>
      </c>
      <c r="T40" s="1">
        <f>(Main_M[[#This Row],[P/E]]-VLOOKUP(Main_M[[#This Row],[Industry]], Mean_PE_M, 2, FALSE))/(VLOOKUP(Main_M[[#This Row],[Industry]], Mean_PE_M, 3, FALSE))</f>
        <v>-0.72168546183711579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105</v>
      </c>
      <c r="B41" s="67" t="s">
        <v>281</v>
      </c>
      <c r="C41" s="2">
        <v>2313</v>
      </c>
      <c r="D41">
        <f>RTD("tos.rtd", , "LAST", Main_M[[#This Row],[Symbol]])</f>
        <v>24.12</v>
      </c>
      <c r="E41">
        <v>2.84</v>
      </c>
      <c r="F41">
        <v>26.13</v>
      </c>
      <c r="G41">
        <v>2.41</v>
      </c>
      <c r="H41" s="1">
        <f>IF(ISNUMBER(Main_M[[#This Row],[Free CF]]),IF(Main_M[[#This Row],[Free CF]]&lt;&gt;0,Main_M[[#This Row],[Current Price]]/Main_M[[#This Row],[Free CF]],""),"")</f>
        <v>8.4929577464788739</v>
      </c>
      <c r="I41" s="1">
        <f>IF(ISNUMBER(Main_M[[#This Row],[BVPS]]),IF(Main_M[[#This Row],[BVPS]]&lt;&gt;0,Main_M[[#This Row],[Current Price]]/Main_M[[#This Row],[BVPS]],""),"")</f>
        <v>0.92307692307692313</v>
      </c>
      <c r="J41">
        <v>9.58</v>
      </c>
      <c r="K41">
        <v>1.27</v>
      </c>
      <c r="L41">
        <v>7.38</v>
      </c>
      <c r="M41" s="1">
        <f>IF(ISNUMBER(Main_M[[#This Row],[EPS]]),IF(Main_M[[#This Row],[EPS]]&lt;&gt;0,Main_M[[#This Row],[Current Price]]/Main_M[[#This Row],[EPS]],""),"")</f>
        <v>10.008298755186722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-0.59166865401328705</v>
      </c>
      <c r="P41" s="1">
        <f>(Main_M[[#This Row],[P/B]]-VLOOKUP(Main_M[[#This Row],[Industry]], Mean_PB_M, 2, FALSE))/(VLOOKUP(Main_M[[#This Row],[Industry]], Mean_PB_M, 3, FALSE))</f>
        <v>-0.72904553080686929</v>
      </c>
      <c r="Q41" s="1">
        <f>(Main_M[[#This Row],[ROE]]-VLOOKUP(Main_M[[#This Row],[Industry]], Mean_ROE_M, 2, FALSE))/(VLOOKUP(Main_M[[#This Row],[Industry]], Mean_ROE_M, 3, FALSE))</f>
        <v>-3.321612300592594E-2</v>
      </c>
      <c r="R41" s="1">
        <f>(Main_M[[#This Row],[ROA]]-VLOOKUP(Main_M[[#This Row],[Industry]], Mean_ROA_M, 2, FALSE))/(VLOOKUP(Main_M[[#This Row],[Industry]], Mean_ROA_M, 3, FALSE))</f>
        <v>0.24526823491839431</v>
      </c>
      <c r="S41" s="1">
        <f>(Main_M[[#This Row],[A/E]]-VLOOKUP(Main_M[[#This Row],[Industry]], Mean_AE_M, 2, FALSE))/(VLOOKUP(Main_M[[#This Row],[Industry]], Mean_AE_M, 3, FALSE))</f>
        <v>-0.65130561290893174</v>
      </c>
      <c r="T41" s="1">
        <f>(Main_M[[#This Row],[P/E]]-VLOOKUP(Main_M[[#This Row],[Industry]], Mean_PE_M, 2, FALSE))/(VLOOKUP(Main_M[[#This Row],[Industry]], Mean_PE_M, 3, FALSE))</f>
        <v>-1.0041622058600745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105</v>
      </c>
      <c r="B42" s="67" t="s">
        <v>306</v>
      </c>
      <c r="C42" s="2">
        <v>2363</v>
      </c>
      <c r="D42">
        <f>RTD("tos.rtd", , "LAST", Main_M[[#This Row],[Symbol]])</f>
        <v>18.98</v>
      </c>
      <c r="E42">
        <v>2.83</v>
      </c>
      <c r="F42">
        <v>28.04</v>
      </c>
      <c r="G42">
        <v>1.1599999999999999</v>
      </c>
      <c r="H42" s="1">
        <f>IF(ISNUMBER(Main_M[[#This Row],[Free CF]]),IF(Main_M[[#This Row],[Free CF]]&lt;&gt;0,Main_M[[#This Row],[Current Price]]/Main_M[[#This Row],[Free CF]],""),"")</f>
        <v>6.7067137809187276</v>
      </c>
      <c r="I42" s="1">
        <f>IF(ISNUMBER(Main_M[[#This Row],[BVPS]]),IF(Main_M[[#This Row],[BVPS]]&lt;&gt;0,Main_M[[#This Row],[Current Price]]/Main_M[[#This Row],[BVPS]],""),"")</f>
        <v>0.67689015691868759</v>
      </c>
      <c r="J42">
        <v>4.2</v>
      </c>
      <c r="K42">
        <v>0.54</v>
      </c>
      <c r="L42">
        <v>7.59</v>
      </c>
      <c r="M42" s="1">
        <f>IF(ISNUMBER(Main_M[[#This Row],[EPS]]),IF(Main_M[[#This Row],[EPS]]&lt;&gt;0,Main_M[[#This Row],[Current Price]]/Main_M[[#This Row],[EPS]],""),"")</f>
        <v>16.362068965517242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-0.96950224125013784</v>
      </c>
      <c r="P42" s="1">
        <f>(Main_M[[#This Row],[P/B]]-VLOOKUP(Main_M[[#This Row],[Industry]], Mean_PB_M, 2, FALSE))/(VLOOKUP(Main_M[[#This Row],[Industry]], Mean_PB_M, 3, FALSE))</f>
        <v>-1.2569333490068908</v>
      </c>
      <c r="Q42" s="1">
        <f>(Main_M[[#This Row],[ROE]]-VLOOKUP(Main_M[[#This Row],[Industry]], Mean_ROE_M, 2, FALSE))/(VLOOKUP(Main_M[[#This Row],[Industry]], Mean_ROE_M, 3, FALSE))</f>
        <v>-1.5261193273346372</v>
      </c>
      <c r="R42" s="1">
        <f>(Main_M[[#This Row],[ROA]]-VLOOKUP(Main_M[[#This Row],[Industry]], Mean_ROA_M, 2, FALSE))/(VLOOKUP(Main_M[[#This Row],[Industry]], Mean_ROA_M, 3, FALSE))</f>
        <v>-1.1747502700056918</v>
      </c>
      <c r="S42" s="1">
        <f>(Main_M[[#This Row],[A/E]]-VLOOKUP(Main_M[[#This Row],[Industry]], Mean_AE_M, 2, FALSE))/(VLOOKUP(Main_M[[#This Row],[Industry]], Mean_AE_M, 3, FALSE))</f>
        <v>-0.55071492509129771</v>
      </c>
      <c r="T42" s="1">
        <f>(Main_M[[#This Row],[P/E]]-VLOOKUP(Main_M[[#This Row],[Industry]], Mean_PE_M, 2, FALSE))/(VLOOKUP(Main_M[[#This Row],[Industry]], Mean_PE_M, 3, FALSE))</f>
        <v>0.81258851642754315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105</v>
      </c>
      <c r="B43" s="67" t="s">
        <v>290</v>
      </c>
      <c r="C43" s="2">
        <v>4708</v>
      </c>
      <c r="D43">
        <f>RTD("tos.rtd", , "LAST", Main_M[[#This Row],[Symbol]])</f>
        <v>42.96</v>
      </c>
      <c r="E43">
        <v>2.82</v>
      </c>
      <c r="F43">
        <v>28.96</v>
      </c>
      <c r="G43">
        <v>1.87</v>
      </c>
      <c r="H43" s="1">
        <f>IF(ISNUMBER(Main_M[[#This Row],[Free CF]]),IF(Main_M[[#This Row],[Free CF]]&lt;&gt;0,Main_M[[#This Row],[Current Price]]/Main_M[[#This Row],[Free CF]],""),"")</f>
        <v>15.234042553191491</v>
      </c>
      <c r="I43" s="1">
        <f>IF(ISNUMBER(Main_M[[#This Row],[BVPS]]),IF(Main_M[[#This Row],[BVPS]]&lt;&gt;0,Main_M[[#This Row],[Current Price]]/Main_M[[#This Row],[BVPS]],""),"")</f>
        <v>1.4834254143646408</v>
      </c>
      <c r="J43">
        <v>6.63</v>
      </c>
      <c r="K43">
        <v>0.76</v>
      </c>
      <c r="L43">
        <v>8.4700000000000006</v>
      </c>
      <c r="M43" s="1">
        <f>IF(ISNUMBER(Main_M[[#This Row],[EPS]]),IF(Main_M[[#This Row],[EPS]]&lt;&gt;0,Main_M[[#This Row],[Current Price]]/Main_M[[#This Row],[EPS]],""),"")</f>
        <v>22.973262032085561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0.8342330164728875</v>
      </c>
      <c r="P43" s="1">
        <f>(Main_M[[#This Row],[P/B]]-VLOOKUP(Main_M[[#This Row],[Industry]], Mean_PB_M, 2, FALSE))/(VLOOKUP(Main_M[[#This Row],[Industry]], Mean_PB_M, 3, FALSE))</f>
        <v>0.47248592075548673</v>
      </c>
      <c r="Q43" s="1">
        <f>(Main_M[[#This Row],[ROE]]-VLOOKUP(Main_M[[#This Row],[Industry]], Mean_ROE_M, 2, FALSE))/(VLOOKUP(Main_M[[#This Row],[Industry]], Mean_ROE_M, 3, FALSE))</f>
        <v>-0.85181546366943861</v>
      </c>
      <c r="R43" s="1">
        <f>(Main_M[[#This Row],[ROA]]-VLOOKUP(Main_M[[#This Row],[Industry]], Mean_ROA_M, 2, FALSE))/(VLOOKUP(Main_M[[#This Row],[Industry]], Mean_ROA_M, 3, FALSE))</f>
        <v>-0.74679948769980287</v>
      </c>
      <c r="S43" s="1">
        <f>(Main_M[[#This Row],[A/E]]-VLOOKUP(Main_M[[#This Row],[Industry]], Mean_AE_M, 2, FALSE))/(VLOOKUP(Main_M[[#This Row],[Industry]], Mean_AE_M, 3, FALSE))</f>
        <v>-0.12919204280787849</v>
      </c>
      <c r="T43" s="1">
        <f>(Main_M[[#This Row],[P/E]]-VLOOKUP(Main_M[[#This Row],[Industry]], Mean_PE_M, 2, FALSE))/(VLOOKUP(Main_M[[#This Row],[Industry]], Mean_PE_M, 3, FALSE))</f>
        <v>2.7029448531018723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7" t="s">
        <v>105</v>
      </c>
      <c r="B44" s="67" t="s">
        <v>268</v>
      </c>
      <c r="C44" s="2">
        <v>2643</v>
      </c>
      <c r="D44">
        <f>RTD("tos.rtd", , "LAST", Main_M[[#This Row],[Symbol]])</f>
        <v>67.680000000000007</v>
      </c>
      <c r="E44">
        <v>2.8</v>
      </c>
      <c r="F44">
        <v>34.229999999999997</v>
      </c>
      <c r="G44">
        <v>3.56</v>
      </c>
      <c r="H44" s="1">
        <f>IF(ISNUMBER(Main_M[[#This Row],[Free CF]]),IF(Main_M[[#This Row],[Free CF]]&lt;&gt;0,Main_M[[#This Row],[Current Price]]/Main_M[[#This Row],[Free CF]],""),"")</f>
        <v>24.171428571428574</v>
      </c>
      <c r="I44" s="1">
        <f>IF(ISNUMBER(Main_M[[#This Row],[BVPS]]),IF(Main_M[[#This Row],[BVPS]]&lt;&gt;0,Main_M[[#This Row],[Current Price]]/Main_M[[#This Row],[BVPS]],""),"")</f>
        <v>1.9772129710780022</v>
      </c>
      <c r="J44">
        <v>10.039999999999999</v>
      </c>
      <c r="K44">
        <v>0.67</v>
      </c>
      <c r="L44">
        <v>17.559999999999999</v>
      </c>
      <c r="M44" s="1">
        <f>IF(ISNUMBER(Main_M[[#This Row],[EPS]]),IF(Main_M[[#This Row],[EPS]]&lt;&gt;0,Main_M[[#This Row],[Current Price]]/Main_M[[#This Row],[EPS]],""),"")</f>
        <v>19.011235955056183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2.7247052503326392</v>
      </c>
      <c r="P44" s="1">
        <f>(Main_M[[#This Row],[P/B]]-VLOOKUP(Main_M[[#This Row],[Industry]], Mean_PB_M, 2, FALSE))/(VLOOKUP(Main_M[[#This Row],[Industry]], Mean_PB_M, 3, FALSE))</f>
        <v>1.5312935895649251</v>
      </c>
      <c r="Q44" s="1">
        <f>(Main_M[[#This Row],[ROE]]-VLOOKUP(Main_M[[#This Row],[Industry]], Mean_ROE_M, 2, FALSE))/(VLOOKUP(Main_M[[#This Row],[Industry]], Mean_ROE_M, 3, FALSE))</f>
        <v>9.4429875877197811E-2</v>
      </c>
      <c r="R44" s="1">
        <f>(Main_M[[#This Row],[ROA]]-VLOOKUP(Main_M[[#This Row],[Industry]], Mean_ROA_M, 2, FALSE))/(VLOOKUP(Main_M[[#This Row],[Industry]], Mean_ROA_M, 3, FALSE))</f>
        <v>-0.92187026227948465</v>
      </c>
      <c r="S44" s="1">
        <f>(Main_M[[#This Row],[A/E]]-VLOOKUP(Main_M[[#This Row],[Industry]], Mean_AE_M, 2, FALSE))/(VLOOKUP(Main_M[[#This Row],[Industry]], Mean_AE_M, 3, FALSE))</f>
        <v>4.2249477298697089</v>
      </c>
      <c r="T44" s="1">
        <f>(Main_M[[#This Row],[P/E]]-VLOOKUP(Main_M[[#This Row],[Industry]], Mean_PE_M, 2, FALSE))/(VLOOKUP(Main_M[[#This Row],[Industry]], Mean_PE_M, 3, FALSE))</f>
        <v>1.5700720077064985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105</v>
      </c>
      <c r="B45" s="67" t="s">
        <v>276</v>
      </c>
      <c r="C45" s="2">
        <v>4914</v>
      </c>
      <c r="D45">
        <f>RTD("tos.rtd", , "LAST", Main_M[[#This Row],[Symbol]])</f>
        <v>24.01</v>
      </c>
      <c r="E45">
        <v>2.71</v>
      </c>
      <c r="F45">
        <v>24.93</v>
      </c>
      <c r="G45">
        <v>2.37</v>
      </c>
      <c r="H45" s="1">
        <f>IF(ISNUMBER(Main_M[[#This Row],[Free CF]]),IF(Main_M[[#This Row],[Free CF]]&lt;&gt;0,Main_M[[#This Row],[Current Price]]/Main_M[[#This Row],[Free CF]],""),"")</f>
        <v>8.8597785977859793</v>
      </c>
      <c r="I45" s="1">
        <f>IF(ISNUMBER(Main_M[[#This Row],[BVPS]]),IF(Main_M[[#This Row],[BVPS]]&lt;&gt;0,Main_M[[#This Row],[Current Price]]/Main_M[[#This Row],[BVPS]],""),"")</f>
        <v>0.96309667067789817</v>
      </c>
      <c r="J45">
        <v>9.73</v>
      </c>
      <c r="K45">
        <v>0.96</v>
      </c>
      <c r="L45">
        <v>9.84</v>
      </c>
      <c r="M45" s="1">
        <f>IF(ISNUMBER(Main_M[[#This Row],[EPS]]),IF(Main_M[[#This Row],[EPS]]&lt;&gt;0,Main_M[[#This Row],[Current Price]]/Main_M[[#This Row],[EPS]],""),"")</f>
        <v>10.130801687763713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-0.51407721589236011</v>
      </c>
      <c r="P45" s="1">
        <f>(Main_M[[#This Row],[P/B]]-VLOOKUP(Main_M[[#This Row],[Industry]], Mean_PB_M, 2, FALSE))/(VLOOKUP(Main_M[[#This Row],[Industry]], Mean_PB_M, 3, FALSE))</f>
        <v>-0.64323288711498361</v>
      </c>
      <c r="Q45" s="1">
        <f>(Main_M[[#This Row],[ROE]]-VLOOKUP(Main_M[[#This Row],[Industry]], Mean_ROE_M, 2, FALSE))/(VLOOKUP(Main_M[[#This Row],[Industry]], Mean_ROE_M, 3, FALSE))</f>
        <v>8.4075722820493772E-3</v>
      </c>
      <c r="R45" s="1">
        <f>(Main_M[[#This Row],[ROA]]-VLOOKUP(Main_M[[#This Row],[Industry]], Mean_ROA_M, 2, FALSE))/(VLOOKUP(Main_M[[#This Row],[Industry]], Mean_ROA_M, 3, FALSE))</f>
        <v>-0.35775332196717663</v>
      </c>
      <c r="S45" s="1">
        <f>(Main_M[[#This Row],[A/E]]-VLOOKUP(Main_M[[#This Row],[Industry]], Mean_AE_M, 2, FALSE))/(VLOOKUP(Main_M[[#This Row],[Industry]], Mean_AE_M, 3, FALSE))</f>
        <v>0.52704244438335279</v>
      </c>
      <c r="T45" s="1">
        <f>(Main_M[[#This Row],[P/E]]-VLOOKUP(Main_M[[#This Row],[Industry]], Mean_PE_M, 2, FALSE))/(VLOOKUP(Main_M[[#This Row],[Industry]], Mean_PE_M, 3, FALSE))</f>
        <v>-0.96913461060966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7" t="s">
        <v>105</v>
      </c>
      <c r="B46" s="67" t="s">
        <v>316</v>
      </c>
      <c r="C46" s="2">
        <v>3492</v>
      </c>
      <c r="D46">
        <f>RTD("tos.rtd", , "LAST", Main_M[[#This Row],[Symbol]])</f>
        <v>29.49</v>
      </c>
      <c r="E46">
        <v>2.63</v>
      </c>
      <c r="F46">
        <v>28.55</v>
      </c>
      <c r="G46">
        <v>2.11</v>
      </c>
      <c r="H46" s="1">
        <f>IF(ISNUMBER(Main_M[[#This Row],[Free CF]]),IF(Main_M[[#This Row],[Free CF]]&lt;&gt;0,Main_M[[#This Row],[Current Price]]/Main_M[[#This Row],[Free CF]],""),"")</f>
        <v>11.212927756653992</v>
      </c>
      <c r="I46" s="1">
        <f>IF(ISNUMBER(Main_M[[#This Row],[BVPS]]),IF(Main_M[[#This Row],[BVPS]]&lt;&gt;0,Main_M[[#This Row],[Current Price]]/Main_M[[#This Row],[BVPS]],""),"")</f>
        <v>1.0329246935201399</v>
      </c>
      <c r="J46">
        <v>7.68</v>
      </c>
      <c r="K46">
        <v>0.95</v>
      </c>
      <c r="L46">
        <v>8.17</v>
      </c>
      <c r="M46" s="1">
        <f>IF(ISNUMBER(Main_M[[#This Row],[EPS]]),IF(Main_M[[#This Row],[EPS]]&lt;&gt;0,Main_M[[#This Row],[Current Price]]/Main_M[[#This Row],[EPS]],""),"")</f>
        <v>13.976303317535544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-1.6329536884992488E-2</v>
      </c>
      <c r="P46" s="1">
        <f>(Main_M[[#This Row],[P/B]]-VLOOKUP(Main_M[[#This Row],[Industry]], Mean_PB_M, 2, FALSE))/(VLOOKUP(Main_M[[#This Row],[Industry]], Mean_PB_M, 3, FALSE))</f>
        <v>-0.49350362586086816</v>
      </c>
      <c r="Q46" s="1">
        <f>(Main_M[[#This Row],[ROE]]-VLOOKUP(Main_M[[#This Row],[Industry]], Mean_ROE_M, 2, FALSE))/(VLOOKUP(Main_M[[#This Row],[Industry]], Mean_ROE_M, 3, FALSE))</f>
        <v>-0.56044959665361216</v>
      </c>
      <c r="R46" s="1">
        <f>(Main_M[[#This Row],[ROA]]-VLOOKUP(Main_M[[#This Row],[Industry]], Mean_ROA_M, 2, FALSE))/(VLOOKUP(Main_M[[#This Row],[Industry]], Mean_ROA_M, 3, FALSE))</f>
        <v>-0.37720563025380793</v>
      </c>
      <c r="S46" s="1">
        <f>(Main_M[[#This Row],[A/E]]-VLOOKUP(Main_M[[#This Row],[Industry]], Mean_AE_M, 2, FALSE))/(VLOOKUP(Main_M[[#This Row],[Industry]], Mean_AE_M, 3, FALSE))</f>
        <v>-0.27289302540449889</v>
      </c>
      <c r="T46" s="1">
        <f>(Main_M[[#This Row],[P/E]]-VLOOKUP(Main_M[[#This Row],[Industry]], Mean_PE_M, 2, FALSE))/(VLOOKUP(Main_M[[#This Row],[Industry]], Mean_PE_M, 3, FALSE))</f>
        <v>0.13042008403246202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105</v>
      </c>
      <c r="B47" s="67" t="s">
        <v>303</v>
      </c>
      <c r="C47" s="2">
        <v>3330</v>
      </c>
      <c r="D47">
        <f>RTD("tos.rtd", , "LAST", Main_M[[#This Row],[Symbol]])</f>
        <v>36.04</v>
      </c>
      <c r="E47">
        <v>2.54</v>
      </c>
      <c r="F47">
        <v>42.79</v>
      </c>
      <c r="G47">
        <v>3.2</v>
      </c>
      <c r="H47" s="1">
        <f>IF(ISNUMBER(Main_M[[#This Row],[Free CF]]),IF(Main_M[[#This Row],[Free CF]]&lt;&gt;0,Main_M[[#This Row],[Current Price]]/Main_M[[#This Row],[Free CF]],""),"")</f>
        <v>14.188976377952756</v>
      </c>
      <c r="I47" s="1">
        <f>IF(ISNUMBER(Main_M[[#This Row],[BVPS]]),IF(Main_M[[#This Row],[BVPS]]&lt;&gt;0,Main_M[[#This Row],[Current Price]]/Main_M[[#This Row],[BVPS]],""),"")</f>
        <v>0.84225286281841549</v>
      </c>
      <c r="J47">
        <v>7.83</v>
      </c>
      <c r="K47">
        <v>1.1100000000000001</v>
      </c>
      <c r="L47">
        <v>6.7</v>
      </c>
      <c r="M47" s="1">
        <f>IF(ISNUMBER(Main_M[[#This Row],[EPS]]),IF(Main_M[[#This Row],[EPS]]&lt;&gt;0,Main_M[[#This Row],[Current Price]]/Main_M[[#This Row],[EPS]],""),"")</f>
        <v>11.262499999999999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0.61317636939471365</v>
      </c>
      <c r="P47" s="1">
        <f>(Main_M[[#This Row],[P/B]]-VLOOKUP(Main_M[[#This Row],[Industry]], Mean_PB_M, 2, FALSE))/(VLOOKUP(Main_M[[#This Row],[Industry]], Mean_PB_M, 3, FALSE))</f>
        <v>-0.90235312769250875</v>
      </c>
      <c r="Q47" s="1">
        <f>(Main_M[[#This Row],[ROE]]-VLOOKUP(Main_M[[#This Row],[Industry]], Mean_ROE_M, 2, FALSE))/(VLOOKUP(Main_M[[#This Row],[Industry]], Mean_ROE_M, 3, FALSE))</f>
        <v>-0.51882590136563689</v>
      </c>
      <c r="R47" s="1">
        <f>(Main_M[[#This Row],[ROA]]-VLOOKUP(Main_M[[#This Row],[Industry]], Mean_ROA_M, 2, FALSE))/(VLOOKUP(Main_M[[#This Row],[Industry]], Mean_ROA_M, 3, FALSE))</f>
        <v>-6.5968697667706605E-2</v>
      </c>
      <c r="S47" s="1">
        <f>(Main_M[[#This Row],[A/E]]-VLOOKUP(Main_M[[#This Row],[Industry]], Mean_AE_M, 2, FALSE))/(VLOOKUP(Main_M[[#This Row],[Industry]], Mean_AE_M, 3, FALSE))</f>
        <v>-0.97702784012793709</v>
      </c>
      <c r="T47" s="1">
        <f>(Main_M[[#This Row],[P/E]]-VLOOKUP(Main_M[[#This Row],[Industry]], Mean_PE_M, 2, FALSE))/(VLOOKUP(Main_M[[#This Row],[Industry]], Mean_PE_M, 3, FALSE))</f>
        <v>-0.64554504754612596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7" t="s">
        <v>105</v>
      </c>
      <c r="B48" s="67" t="s">
        <v>280</v>
      </c>
      <c r="C48" s="2">
        <v>3228</v>
      </c>
      <c r="D48">
        <f>RTD("tos.rtd", , "LAST", Main_M[[#This Row],[Symbol]])</f>
        <v>20.260000000000002</v>
      </c>
      <c r="E48">
        <v>2.37</v>
      </c>
      <c r="F48">
        <v>10.98</v>
      </c>
      <c r="G48">
        <v>1.84</v>
      </c>
      <c r="H48" s="1">
        <f>IF(ISNUMBER(Main_M[[#This Row],[Free CF]]),IF(Main_M[[#This Row],[Free CF]]&lt;&gt;0,Main_M[[#This Row],[Current Price]]/Main_M[[#This Row],[Free CF]],""),"")</f>
        <v>8.5485232067510548</v>
      </c>
      <c r="I48" s="1">
        <f>IF(ISNUMBER(Main_M[[#This Row],[BVPS]]),IF(Main_M[[#This Row],[BVPS]]&lt;&gt;0,Main_M[[#This Row],[Current Price]]/Main_M[[#This Row],[BVPS]],""),"")</f>
        <v>1.8451730418943535</v>
      </c>
      <c r="J48">
        <v>18.55</v>
      </c>
      <c r="K48">
        <v>1.59</v>
      </c>
      <c r="L48">
        <v>10.74</v>
      </c>
      <c r="M48" s="1">
        <f>IF(ISNUMBER(Main_M[[#This Row],[EPS]]),IF(Main_M[[#This Row],[EPS]]&lt;&gt;0,Main_M[[#This Row],[Current Price]]/Main_M[[#This Row],[EPS]],""),"")</f>
        <v>11.010869565217392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-0.57991522190328904</v>
      </c>
      <c r="P48" s="1">
        <f>(Main_M[[#This Row],[P/B]]-VLOOKUP(Main_M[[#This Row],[Industry]], Mean_PB_M, 2, FALSE))/(VLOOKUP(Main_M[[#This Row],[Industry]], Mean_PB_M, 3, FALSE))</f>
        <v>1.2481659819369797</v>
      </c>
      <c r="Q48" s="1">
        <f>(Main_M[[#This Row],[ROE]]-VLOOKUP(Main_M[[#This Row],[Industry]], Mean_ROE_M, 2, FALSE))/(VLOOKUP(Main_M[[#This Row],[Industry]], Mean_ROE_M, 3, FALSE))</f>
        <v>2.4558808552149922</v>
      </c>
      <c r="R48" s="1">
        <f>(Main_M[[#This Row],[ROA]]-VLOOKUP(Main_M[[#This Row],[Industry]], Mean_ROA_M, 2, FALSE))/(VLOOKUP(Main_M[[#This Row],[Industry]], Mean_ROA_M, 3, FALSE))</f>
        <v>0.8677421000905966</v>
      </c>
      <c r="S48" s="1">
        <f>(Main_M[[#This Row],[A/E]]-VLOOKUP(Main_M[[#This Row],[Industry]], Mean_AE_M, 2, FALSE))/(VLOOKUP(Main_M[[#This Row],[Industry]], Mean_AE_M, 3, FALSE))</f>
        <v>0.95814539217321315</v>
      </c>
      <c r="T48" s="1">
        <f>(Main_M[[#This Row],[P/E]]-VLOOKUP(Main_M[[#This Row],[Industry]], Mean_PE_M, 2, FALSE))/(VLOOKUP(Main_M[[#This Row],[Industry]], Mean_PE_M, 3, FALSE))</f>
        <v>-0.71749441918024226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7" t="s">
        <v>105</v>
      </c>
      <c r="B49" s="67" t="s">
        <v>313</v>
      </c>
      <c r="C49" s="2">
        <v>2606</v>
      </c>
      <c r="D49">
        <f>RTD("tos.rtd", , "LAST", Main_M[[#This Row],[Symbol]])</f>
        <v>34.4</v>
      </c>
      <c r="E49">
        <v>2.1800000000000002</v>
      </c>
      <c r="F49">
        <v>29.6</v>
      </c>
      <c r="G49">
        <v>2.36</v>
      </c>
      <c r="H49" s="1">
        <f>IF(ISNUMBER(Main_M[[#This Row],[Free CF]]),IF(Main_M[[#This Row],[Free CF]]&lt;&gt;0,Main_M[[#This Row],[Current Price]]/Main_M[[#This Row],[Free CF]],""),"")</f>
        <v>15.779816513761466</v>
      </c>
      <c r="I49" s="1">
        <f>IF(ISNUMBER(Main_M[[#This Row],[BVPS]]),IF(Main_M[[#This Row],[BVPS]]&lt;&gt;0,Main_M[[#This Row],[Current Price]]/Main_M[[#This Row],[BVPS]],""),"")</f>
        <v>1.1621621621621621</v>
      </c>
      <c r="J49">
        <v>8.34</v>
      </c>
      <c r="K49">
        <v>1.04</v>
      </c>
      <c r="L49">
        <v>7.96</v>
      </c>
      <c r="M49" s="1">
        <f>IF(ISNUMBER(Main_M[[#This Row],[EPS]]),IF(Main_M[[#This Row],[EPS]]&lt;&gt;0,Main_M[[#This Row],[Current Price]]/Main_M[[#This Row],[EPS]],""),"")</f>
        <v>14.576271186440678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0.94967734396594139</v>
      </c>
      <c r="P49" s="1">
        <f>(Main_M[[#This Row],[P/B]]-VLOOKUP(Main_M[[#This Row],[Industry]], Mean_PB_M, 2, FALSE))/(VLOOKUP(Main_M[[#This Row],[Industry]], Mean_PB_M, 3, FALSE))</f>
        <v>-0.21638521525028004</v>
      </c>
      <c r="Q49" s="1">
        <f>(Main_M[[#This Row],[ROE]]-VLOOKUP(Main_M[[#This Row],[Industry]], Mean_ROE_M, 2, FALSE))/(VLOOKUP(Main_M[[#This Row],[Industry]], Mean_ROE_M, 3, FALSE))</f>
        <v>-0.37730533738652117</v>
      </c>
      <c r="R49" s="1">
        <f>(Main_M[[#This Row],[ROA]]-VLOOKUP(Main_M[[#This Row],[Industry]], Mean_ROA_M, 2, FALSE))/(VLOOKUP(Main_M[[#This Row],[Industry]], Mean_ROA_M, 3, FALSE))</f>
        <v>-0.20213485567412595</v>
      </c>
      <c r="S49" s="1">
        <f>(Main_M[[#This Row],[A/E]]-VLOOKUP(Main_M[[#This Row],[Industry]], Mean_AE_M, 2, FALSE))/(VLOOKUP(Main_M[[#This Row],[Industry]], Mean_AE_M, 3, FALSE))</f>
        <v>-0.37348371322213292</v>
      </c>
      <c r="T49" s="1">
        <f>(Main_M[[#This Row],[P/E]]-VLOOKUP(Main_M[[#This Row],[Industry]], Mean_PE_M, 2, FALSE))/(VLOOKUP(Main_M[[#This Row],[Industry]], Mean_PE_M, 3, FALSE))</f>
        <v>0.30197052150509202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105</v>
      </c>
      <c r="B50" s="67" t="s">
        <v>304</v>
      </c>
      <c r="C50" s="2">
        <v>2221</v>
      </c>
      <c r="D50">
        <f>RTD("tos.rtd", , "LAST", Main_M[[#This Row],[Symbol]])</f>
        <v>26.26</v>
      </c>
      <c r="E50">
        <v>2.13</v>
      </c>
      <c r="F50">
        <v>26.34</v>
      </c>
      <c r="G50">
        <v>1.48</v>
      </c>
      <c r="H50" s="1">
        <f>IF(ISNUMBER(Main_M[[#This Row],[Free CF]]),IF(Main_M[[#This Row],[Free CF]]&lt;&gt;0,Main_M[[#This Row],[Current Price]]/Main_M[[#This Row],[Free CF]],""),"")</f>
        <v>12.328638497652584</v>
      </c>
      <c r="I50" s="1">
        <f>IF(ISNUMBER(Main_M[[#This Row],[BVPS]]),IF(Main_M[[#This Row],[BVPS]]&lt;&gt;0,Main_M[[#This Row],[Current Price]]/Main_M[[#This Row],[BVPS]],""),"")</f>
        <v>0.99696279422930911</v>
      </c>
      <c r="J50">
        <v>5.82</v>
      </c>
      <c r="K50">
        <v>0.83</v>
      </c>
      <c r="L50">
        <v>7.06</v>
      </c>
      <c r="M50" s="1">
        <f>IF(ISNUMBER(Main_M[[#This Row],[EPS]]),IF(Main_M[[#This Row],[EPS]]&lt;&gt;0,Main_M[[#This Row],[Current Price]]/Main_M[[#This Row],[EPS]],""),"")</f>
        <v>17.743243243243246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0.21967013601410598</v>
      </c>
      <c r="P50" s="1">
        <f>(Main_M[[#This Row],[P/B]]-VLOOKUP(Main_M[[#This Row],[Industry]], Mean_PB_M, 2, FALSE))/(VLOOKUP(Main_M[[#This Row],[Industry]], Mean_PB_M, 3, FALSE))</f>
        <v>-0.57061519790517456</v>
      </c>
      <c r="Q50" s="1">
        <f>(Main_M[[#This Row],[ROE]]-VLOOKUP(Main_M[[#This Row],[Industry]], Mean_ROE_M, 2, FALSE))/(VLOOKUP(Main_M[[#This Row],[Industry]], Mean_ROE_M, 3, FALSE))</f>
        <v>-1.0765834182245047</v>
      </c>
      <c r="R50" s="1">
        <f>(Main_M[[#This Row],[ROA]]-VLOOKUP(Main_M[[#This Row],[Industry]], Mean_ROA_M, 2, FALSE))/(VLOOKUP(Main_M[[#This Row],[Industry]], Mean_ROA_M, 3, FALSE))</f>
        <v>-0.61063332969338369</v>
      </c>
      <c r="S50" s="1">
        <f>(Main_M[[#This Row],[A/E]]-VLOOKUP(Main_M[[#This Row],[Industry]], Mean_AE_M, 2, FALSE))/(VLOOKUP(Main_M[[#This Row],[Industry]], Mean_AE_M, 3, FALSE))</f>
        <v>-0.80458666101199328</v>
      </c>
      <c r="T50" s="1">
        <f>(Main_M[[#This Row],[P/E]]-VLOOKUP(Main_M[[#This Row],[Industry]], Mean_PE_M, 2, FALSE))/(VLOOKUP(Main_M[[#This Row],[Industry]], Mean_PE_M, 3, FALSE))</f>
        <v>1.2075114178859618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7" t="s">
        <v>105</v>
      </c>
      <c r="B51" s="67" t="s">
        <v>282</v>
      </c>
      <c r="C51" s="2">
        <v>5044</v>
      </c>
      <c r="D51">
        <f>RTD("tos.rtd", , "LAST", Main_M[[#This Row],[Symbol]])</f>
        <v>36.729999999999997</v>
      </c>
      <c r="E51">
        <v>2.0699999999999998</v>
      </c>
      <c r="F51">
        <v>11.83</v>
      </c>
      <c r="G51">
        <v>1.62</v>
      </c>
      <c r="H51" s="1">
        <f>IF(ISNUMBER(Main_M[[#This Row],[Free CF]]),IF(Main_M[[#This Row],[Free CF]]&lt;&gt;0,Main_M[[#This Row],[Current Price]]/Main_M[[#This Row],[Free CF]],""),"")</f>
        <v>17.743961352657006</v>
      </c>
      <c r="I51" s="1">
        <f>IF(ISNUMBER(Main_M[[#This Row],[BVPS]]),IF(Main_M[[#This Row],[BVPS]]&lt;&gt;0,Main_M[[#This Row],[Current Price]]/Main_M[[#This Row],[BVPS]],""),"")</f>
        <v>3.1048182586644124</v>
      </c>
      <c r="J51">
        <v>14.6</v>
      </c>
      <c r="K51">
        <v>1.68</v>
      </c>
      <c r="L51">
        <v>8.52</v>
      </c>
      <c r="M51" s="1">
        <f>IF(ISNUMBER(Main_M[[#This Row],[EPS]]),IF(Main_M[[#This Row],[EPS]]&lt;&gt;0,Main_M[[#This Row],[Current Price]]/Main_M[[#This Row],[EPS]],""),"")</f>
        <v>22.672839506172835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1.3651412473526929</v>
      </c>
      <c r="P51" s="1">
        <f>(Main_M[[#This Row],[P/B]]-VLOOKUP(Main_M[[#This Row],[Industry]], Mean_PB_M, 2, FALSE))/(VLOOKUP(Main_M[[#This Row],[Industry]], Mean_PB_M, 3, FALSE))</f>
        <v>3.9491696774786189</v>
      </c>
      <c r="Q51" s="1">
        <f>(Main_M[[#This Row],[ROE]]-VLOOKUP(Main_M[[#This Row],[Industry]], Mean_ROE_M, 2, FALSE))/(VLOOKUP(Main_M[[#This Row],[Industry]], Mean_ROE_M, 3, FALSE))</f>
        <v>1.3597902126316446</v>
      </c>
      <c r="R51" s="1">
        <f>(Main_M[[#This Row],[ROA]]-VLOOKUP(Main_M[[#This Row],[Industry]], Mean_ROA_M, 2, FALSE))/(VLOOKUP(Main_M[[#This Row],[Industry]], Mean_ROA_M, 3, FALSE))</f>
        <v>1.0428128746702781</v>
      </c>
      <c r="S51" s="1">
        <f>(Main_M[[#This Row],[A/E]]-VLOOKUP(Main_M[[#This Row],[Industry]], Mean_AE_M, 2, FALSE))/(VLOOKUP(Main_M[[#This Row],[Industry]], Mean_AE_M, 3, FALSE))</f>
        <v>-0.10524187904177566</v>
      </c>
      <c r="T51" s="1">
        <f>(Main_M[[#This Row],[P/E]]-VLOOKUP(Main_M[[#This Row],[Industry]], Mean_PE_M, 2, FALSE))/(VLOOKUP(Main_M[[#This Row],[Industry]], Mean_PE_M, 3, FALSE))</f>
        <v>2.6170442267216458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7" t="s">
        <v>105</v>
      </c>
      <c r="B52" s="67" t="s">
        <v>283</v>
      </c>
      <c r="C52" s="2">
        <v>3002</v>
      </c>
      <c r="D52">
        <f>RTD("tos.rtd", , "LAST", Main_M[[#This Row],[Symbol]])</f>
        <v>24.17</v>
      </c>
      <c r="E52">
        <v>2.0099999999999998</v>
      </c>
      <c r="F52">
        <v>21.07</v>
      </c>
      <c r="G52">
        <v>1.84</v>
      </c>
      <c r="H52" s="1">
        <f>IF(ISNUMBER(Main_M[[#This Row],[Free CF]]),IF(Main_M[[#This Row],[Free CF]]&lt;&gt;0,Main_M[[#This Row],[Current Price]]/Main_M[[#This Row],[Free CF]],""),"")</f>
        <v>12.024875621890549</v>
      </c>
      <c r="I52" s="1">
        <f>IF(ISNUMBER(Main_M[[#This Row],[BVPS]]),IF(Main_M[[#This Row],[BVPS]]&lt;&gt;0,Main_M[[#This Row],[Current Price]]/Main_M[[#This Row],[BVPS]],""),"")</f>
        <v>1.1471286188894163</v>
      </c>
      <c r="J52">
        <v>9.11</v>
      </c>
      <c r="K52">
        <v>0.98</v>
      </c>
      <c r="L52">
        <v>8.9600000000000009</v>
      </c>
      <c r="M52" s="1">
        <f>IF(ISNUMBER(Main_M[[#This Row],[EPS]]),IF(Main_M[[#This Row],[EPS]]&lt;&gt;0,Main_M[[#This Row],[Current Price]]/Main_M[[#This Row],[EPS]],""),"")</f>
        <v>13.135869565217392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0.15541697730151094</v>
      </c>
      <c r="P52" s="1">
        <f>(Main_M[[#This Row],[P/B]]-VLOOKUP(Main_M[[#This Row],[Industry]], Mean_PB_M, 2, FALSE))/(VLOOKUP(Main_M[[#This Row],[Industry]], Mean_PB_M, 3, FALSE))</f>
        <v>-0.24862100307067214</v>
      </c>
      <c r="Q52" s="1">
        <f>(Main_M[[#This Row],[ROE]]-VLOOKUP(Main_M[[#This Row],[Industry]], Mean_ROE_M, 2, FALSE))/(VLOOKUP(Main_M[[#This Row],[Industry]], Mean_ROE_M, 3, FALSE))</f>
        <v>-0.16363703490824846</v>
      </c>
      <c r="R52" s="1">
        <f>(Main_M[[#This Row],[ROA]]-VLOOKUP(Main_M[[#This Row],[Industry]], Mean_ROA_M, 2, FALSE))/(VLOOKUP(Main_M[[#This Row],[Industry]], Mean_ROA_M, 3, FALSE))</f>
        <v>-0.31884870539391397</v>
      </c>
      <c r="S52" s="1">
        <f>(Main_M[[#This Row],[A/E]]-VLOOKUP(Main_M[[#This Row],[Industry]], Mean_AE_M, 2, FALSE))/(VLOOKUP(Main_M[[#This Row],[Industry]], Mean_AE_M, 3, FALSE))</f>
        <v>0.10551956209993439</v>
      </c>
      <c r="T52" s="1">
        <f>(Main_M[[#This Row],[P/E]]-VLOOKUP(Main_M[[#This Row],[Industry]], Mean_PE_M, 2, FALSE))/(VLOOKUP(Main_M[[#This Row],[Industry]], Mean_PE_M, 3, FALSE))</f>
        <v>-0.10988741466750571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105</v>
      </c>
      <c r="B53" s="67" t="s">
        <v>301</v>
      </c>
      <c r="C53" s="2">
        <v>2058</v>
      </c>
      <c r="D53">
        <f>RTD("tos.rtd", , "LAST", Main_M[[#This Row],[Symbol]])</f>
        <v>21.72</v>
      </c>
      <c r="E53">
        <v>1.98</v>
      </c>
      <c r="F53">
        <v>30.57</v>
      </c>
      <c r="G53">
        <v>1.53</v>
      </c>
      <c r="H53" s="1">
        <f>IF(ISNUMBER(Main_M[[#This Row],[Free CF]]),IF(Main_M[[#This Row],[Free CF]]&lt;&gt;0,Main_M[[#This Row],[Current Price]]/Main_M[[#This Row],[Free CF]],""),"")</f>
        <v>10.969696969696969</v>
      </c>
      <c r="I53" s="1">
        <f>IF(ISNUMBER(Main_M[[#This Row],[BVPS]]),IF(Main_M[[#This Row],[BVPS]]&lt;&gt;0,Main_M[[#This Row],[Current Price]]/Main_M[[#This Row],[BVPS]],""),"")</f>
        <v>0.71050049067713439</v>
      </c>
      <c r="J53">
        <v>5.04</v>
      </c>
      <c r="K53">
        <v>0.8</v>
      </c>
      <c r="L53">
        <v>6.1</v>
      </c>
      <c r="M53" s="1">
        <f>IF(ISNUMBER(Main_M[[#This Row],[EPS]]),IF(Main_M[[#This Row],[EPS]]&lt;&gt;0,Main_M[[#This Row],[Current Price]]/Main_M[[#This Row],[EPS]],""),"")</f>
        <v>14.196078431372548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-6.7778702023862561E-2</v>
      </c>
      <c r="P53" s="1">
        <f>(Main_M[[#This Row],[P/B]]-VLOOKUP(Main_M[[#This Row],[Industry]], Mean_PB_M, 2, FALSE))/(VLOOKUP(Main_M[[#This Row],[Industry]], Mean_PB_M, 3, FALSE))</f>
        <v>-1.1848641389774732</v>
      </c>
      <c r="Q53" s="1">
        <f>(Main_M[[#This Row],[ROE]]-VLOOKUP(Main_M[[#This Row],[Industry]], Mean_ROE_M, 2, FALSE))/(VLOOKUP(Main_M[[#This Row],[Industry]], Mean_ROE_M, 3, FALSE))</f>
        <v>-1.293026633721976</v>
      </c>
      <c r="R53" s="1">
        <f>(Main_M[[#This Row],[ROA]]-VLOOKUP(Main_M[[#This Row],[Industry]], Mean_ROA_M, 2, FALSE))/(VLOOKUP(Main_M[[#This Row],[Industry]], Mean_ROA_M, 3, FALSE))</f>
        <v>-0.66899025455327754</v>
      </c>
      <c r="S53" s="1">
        <f>(Main_M[[#This Row],[A/E]]-VLOOKUP(Main_M[[#This Row],[Industry]], Mean_AE_M, 2, FALSE))/(VLOOKUP(Main_M[[#This Row],[Industry]], Mean_AE_M, 3, FALSE))</f>
        <v>-1.2644298053211775</v>
      </c>
      <c r="T53" s="1">
        <f>(Main_M[[#This Row],[P/E]]-VLOOKUP(Main_M[[#This Row],[Industry]], Mean_PE_M, 2, FALSE))/(VLOOKUP(Main_M[[#This Row],[Industry]], Mean_PE_M, 3, FALSE))</f>
        <v>0.19326097748420212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7" t="s">
        <v>105</v>
      </c>
      <c r="B54" s="67" t="s">
        <v>291</v>
      </c>
      <c r="C54" s="2">
        <v>5586</v>
      </c>
      <c r="D54">
        <f>RTD("tos.rtd", , "LAST", Main_M[[#This Row],[Symbol]])</f>
        <v>28.57</v>
      </c>
      <c r="E54">
        <v>1.94</v>
      </c>
      <c r="F54">
        <v>20.399999999999999</v>
      </c>
      <c r="G54">
        <v>2.09</v>
      </c>
      <c r="H54" s="1">
        <f>IF(ISNUMBER(Main_M[[#This Row],[Free CF]]),IF(Main_M[[#This Row],[Free CF]]&lt;&gt;0,Main_M[[#This Row],[Current Price]]/Main_M[[#This Row],[Free CF]],""),"")</f>
        <v>14.726804123711341</v>
      </c>
      <c r="I54" s="1">
        <f>IF(ISNUMBER(Main_M[[#This Row],[BVPS]]),IF(Main_M[[#This Row],[BVPS]]&lt;&gt;0,Main_M[[#This Row],[Current Price]]/Main_M[[#This Row],[BVPS]],""),"")</f>
        <v>1.4004901960784315</v>
      </c>
      <c r="J54">
        <v>10.63</v>
      </c>
      <c r="K54">
        <v>1.82</v>
      </c>
      <c r="L54">
        <v>5.69</v>
      </c>
      <c r="M54" s="1">
        <f>IF(ISNUMBER(Main_M[[#This Row],[EPS]]),IF(Main_M[[#This Row],[EPS]]&lt;&gt;0,Main_M[[#This Row],[Current Price]]/Main_M[[#This Row],[EPS]],""),"")</f>
        <v>13.669856459330145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0.72693988121811182</v>
      </c>
      <c r="P54" s="1">
        <f>(Main_M[[#This Row],[P/B]]-VLOOKUP(Main_M[[#This Row],[Industry]], Mean_PB_M, 2, FALSE))/(VLOOKUP(Main_M[[#This Row],[Industry]], Mean_PB_M, 3, FALSE))</f>
        <v>0.29465145744843052</v>
      </c>
      <c r="Q54" s="1">
        <f>(Main_M[[#This Row],[ROE]]-VLOOKUP(Main_M[[#This Row],[Industry]], Mean_ROE_M, 2, FALSE))/(VLOOKUP(Main_M[[#This Row],[Industry]], Mean_ROE_M, 3, FALSE))</f>
        <v>0.25814974400990082</v>
      </c>
      <c r="R54" s="1">
        <f>(Main_M[[#This Row],[ROA]]-VLOOKUP(Main_M[[#This Row],[Industry]], Mean_ROA_M, 2, FALSE))/(VLOOKUP(Main_M[[#This Row],[Industry]], Mean_ROA_M, 3, FALSE))</f>
        <v>1.3151451906831169</v>
      </c>
      <c r="S54" s="1">
        <f>(Main_M[[#This Row],[A/E]]-VLOOKUP(Main_M[[#This Row],[Industry]], Mean_AE_M, 2, FALSE))/(VLOOKUP(Main_M[[#This Row],[Industry]], Mean_AE_M, 3, FALSE))</f>
        <v>-1.4608211482032245</v>
      </c>
      <c r="T54" s="1">
        <f>(Main_M[[#This Row],[P/E]]-VLOOKUP(Main_M[[#This Row],[Industry]], Mean_PE_M, 2, FALSE))/(VLOOKUP(Main_M[[#This Row],[Industry]], Mean_PE_M, 3, FALSE))</f>
        <v>4.2796904005863397E-2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105</v>
      </c>
      <c r="B55" s="67" t="s">
        <v>296</v>
      </c>
      <c r="C55" s="2">
        <v>7717</v>
      </c>
      <c r="D55">
        <f>RTD("tos.rtd", , "LAST", Main_M[[#This Row],[Symbol]])</f>
        <v>21.34</v>
      </c>
      <c r="E55">
        <v>1.85</v>
      </c>
      <c r="F55">
        <v>19.75</v>
      </c>
      <c r="G55">
        <v>1.72</v>
      </c>
      <c r="H55" s="1">
        <f>IF(ISNUMBER(Main_M[[#This Row],[Free CF]]),IF(Main_M[[#This Row],[Free CF]]&lt;&gt;0,Main_M[[#This Row],[Current Price]]/Main_M[[#This Row],[Free CF]],""),"")</f>
        <v>11.535135135135134</v>
      </c>
      <c r="I55" s="1">
        <f>IF(ISNUMBER(Main_M[[#This Row],[BVPS]]),IF(Main_M[[#This Row],[BVPS]]&lt;&gt;0,Main_M[[#This Row],[Current Price]]/Main_M[[#This Row],[BVPS]],""),"")</f>
        <v>1.0805063291139241</v>
      </c>
      <c r="J55">
        <v>9.2899999999999991</v>
      </c>
      <c r="K55">
        <v>1.0900000000000001</v>
      </c>
      <c r="L55">
        <v>8.5500000000000007</v>
      </c>
      <c r="M55" s="1">
        <f>IF(ISNUMBER(Main_M[[#This Row],[EPS]]),IF(Main_M[[#This Row],[EPS]]&lt;&gt;0,Main_M[[#This Row],[Current Price]]/Main_M[[#This Row],[EPS]],""),"")</f>
        <v>12.406976744186046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5.1825078046084445E-2</v>
      </c>
      <c r="P55" s="1">
        <f>(Main_M[[#This Row],[P/B]]-VLOOKUP(Main_M[[#This Row],[Industry]], Mean_PB_M, 2, FALSE))/(VLOOKUP(Main_M[[#This Row],[Industry]], Mean_PB_M, 3, FALSE))</f>
        <v>-0.39147634717340674</v>
      </c>
      <c r="Q55" s="1">
        <f>(Main_M[[#This Row],[ROE]]-VLOOKUP(Main_M[[#This Row],[Industry]], Mean_ROE_M, 2, FALSE))/(VLOOKUP(Main_M[[#This Row],[Industry]], Mean_ROE_M, 3, FALSE))</f>
        <v>-0.11368860056267829</v>
      </c>
      <c r="R55" s="1">
        <f>(Main_M[[#This Row],[ROA]]-VLOOKUP(Main_M[[#This Row],[Industry]], Mean_ROA_M, 2, FALSE))/(VLOOKUP(Main_M[[#This Row],[Industry]], Mean_ROA_M, 3, FALSE))</f>
        <v>-0.10487331424096927</v>
      </c>
      <c r="S55" s="1">
        <f>(Main_M[[#This Row],[A/E]]-VLOOKUP(Main_M[[#This Row],[Industry]], Mean_AE_M, 2, FALSE))/(VLOOKUP(Main_M[[#This Row],[Industry]], Mean_AE_M, 3, FALSE))</f>
        <v>-9.087178078211311E-2</v>
      </c>
      <c r="T55" s="1">
        <f>(Main_M[[#This Row],[P/E]]-VLOOKUP(Main_M[[#This Row],[Industry]], Mean_PE_M, 2, FALSE))/(VLOOKUP(Main_M[[#This Row],[Industry]], Mean_PE_M, 3, FALSE))</f>
        <v>-0.31830171283112663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7" t="s">
        <v>105</v>
      </c>
      <c r="B56" s="67" t="s">
        <v>322</v>
      </c>
      <c r="C56" s="2">
        <v>3003</v>
      </c>
      <c r="D56">
        <f>RTD("tos.rtd", , "LAST", Main_M[[#This Row],[Symbol]])</f>
        <v>53.24</v>
      </c>
      <c r="E56">
        <v>1.75</v>
      </c>
      <c r="F56">
        <v>46.31</v>
      </c>
      <c r="G56">
        <v>4.4400000000000004</v>
      </c>
      <c r="H56" s="1">
        <f>IF(ISNUMBER(Main_M[[#This Row],[Free CF]]),IF(Main_M[[#This Row],[Free CF]]&lt;&gt;0,Main_M[[#This Row],[Current Price]]/Main_M[[#This Row],[Free CF]],""),"")</f>
        <v>30.422857142857143</v>
      </c>
      <c r="I56" s="1">
        <f>IF(ISNUMBER(Main_M[[#This Row],[BVPS]]),IF(Main_M[[#This Row],[BVPS]]&lt;&gt;0,Main_M[[#This Row],[Current Price]]/Main_M[[#This Row],[BVPS]],""),"")</f>
        <v>1.149643705463183</v>
      </c>
      <c r="J56">
        <v>10.28</v>
      </c>
      <c r="K56">
        <v>1.28</v>
      </c>
      <c r="L56">
        <v>7.69</v>
      </c>
      <c r="M56" s="1">
        <f>IF(ISNUMBER(Main_M[[#This Row],[EPS]]),IF(Main_M[[#This Row],[EPS]]&lt;&gt;0,Main_M[[#This Row],[Current Price]]/Main_M[[#This Row],[EPS]],""),"")</f>
        <v>11.990990990990991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4.047032842777214</v>
      </c>
      <c r="P56" s="1">
        <f>(Main_M[[#This Row],[P/B]]-VLOOKUP(Main_M[[#This Row],[Industry]], Mean_PB_M, 2, FALSE))/(VLOOKUP(Main_M[[#This Row],[Industry]], Mean_PB_M, 3, FALSE))</f>
        <v>-0.24322800983741086</v>
      </c>
      <c r="Q56" s="1">
        <f>(Main_M[[#This Row],[ROE]]-VLOOKUP(Main_M[[#This Row],[Industry]], Mean_ROE_M, 2, FALSE))/(VLOOKUP(Main_M[[#This Row],[Industry]], Mean_ROE_M, 3, FALSE))</f>
        <v>0.16102778833795822</v>
      </c>
      <c r="R56" s="1">
        <f>(Main_M[[#This Row],[ROA]]-VLOOKUP(Main_M[[#This Row],[Industry]], Mean_ROA_M, 2, FALSE))/(VLOOKUP(Main_M[[#This Row],[Industry]], Mean_ROA_M, 3, FALSE))</f>
        <v>0.26472054320502564</v>
      </c>
      <c r="S56" s="1">
        <f>(Main_M[[#This Row],[A/E]]-VLOOKUP(Main_M[[#This Row],[Industry]], Mean_AE_M, 2, FALSE))/(VLOOKUP(Main_M[[#This Row],[Industry]], Mean_AE_M, 3, FALSE))</f>
        <v>-0.50281459755909075</v>
      </c>
      <c r="T56" s="1">
        <f>(Main_M[[#This Row],[P/E]]-VLOOKUP(Main_M[[#This Row],[Industry]], Mean_PE_M, 2, FALSE))/(VLOOKUP(Main_M[[#This Row],[Industry]], Mean_PE_M, 3, FALSE))</f>
        <v>-0.43724564573410185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7" t="s">
        <v>105</v>
      </c>
      <c r="B57" s="67" t="s">
        <v>277</v>
      </c>
      <c r="C57" s="2">
        <v>2584</v>
      </c>
      <c r="D57">
        <f>RTD("tos.rtd", , "LAST", Main_M[[#This Row],[Symbol]])</f>
        <v>19.16</v>
      </c>
      <c r="E57">
        <v>1.51</v>
      </c>
      <c r="F57">
        <v>16.02</v>
      </c>
      <c r="G57">
        <v>1.45</v>
      </c>
      <c r="H57" s="1">
        <f>IF(ISNUMBER(Main_M[[#This Row],[Free CF]]),IF(Main_M[[#This Row],[Free CF]]&lt;&gt;0,Main_M[[#This Row],[Current Price]]/Main_M[[#This Row],[Free CF]],""),"")</f>
        <v>12.688741721854305</v>
      </c>
      <c r="I57" s="1">
        <f>IF(ISNUMBER(Main_M[[#This Row],[BVPS]]),IF(Main_M[[#This Row],[BVPS]]&lt;&gt;0,Main_M[[#This Row],[Current Price]]/Main_M[[#This Row],[BVPS]],""),"")</f>
        <v>1.1960049937578028</v>
      </c>
      <c r="J57">
        <v>9.42</v>
      </c>
      <c r="K57">
        <v>1.28</v>
      </c>
      <c r="L57">
        <v>6.85</v>
      </c>
      <c r="M57" s="1">
        <f>IF(ISNUMBER(Main_M[[#This Row],[EPS]]),IF(Main_M[[#This Row],[EPS]]&lt;&gt;0,Main_M[[#This Row],[Current Price]]/Main_M[[#This Row],[EPS]],""),"")</f>
        <v>13.213793103448277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0.29584063433292074</v>
      </c>
      <c r="P57" s="1">
        <f>(Main_M[[#This Row],[P/B]]-VLOOKUP(Main_M[[#This Row],[Industry]], Mean_PB_M, 2, FALSE))/(VLOOKUP(Main_M[[#This Row],[Industry]], Mean_PB_M, 3, FALSE))</f>
        <v>-0.14381746999117567</v>
      </c>
      <c r="Q57" s="1">
        <f>(Main_M[[#This Row],[ROE]]-VLOOKUP(Main_M[[#This Row],[Industry]], Mean_ROE_M, 2, FALSE))/(VLOOKUP(Main_M[[#This Row],[Industry]], Mean_ROE_M, 3, FALSE))</f>
        <v>-7.7614731313099553E-2</v>
      </c>
      <c r="R57" s="1">
        <f>(Main_M[[#This Row],[ROA]]-VLOOKUP(Main_M[[#This Row],[Industry]], Mean_ROA_M, 2, FALSE))/(VLOOKUP(Main_M[[#This Row],[Industry]], Mean_ROA_M, 3, FALSE))</f>
        <v>0.26472054320502564</v>
      </c>
      <c r="S57" s="1">
        <f>(Main_M[[#This Row],[A/E]]-VLOOKUP(Main_M[[#This Row],[Industry]], Mean_AE_M, 2, FALSE))/(VLOOKUP(Main_M[[#This Row],[Industry]], Mean_AE_M, 3, FALSE))</f>
        <v>-0.9051773488296273</v>
      </c>
      <c r="T57" s="1">
        <f>(Main_M[[#This Row],[P/E]]-VLOOKUP(Main_M[[#This Row],[Industry]], Mean_PE_M, 2, FALSE))/(VLOOKUP(Main_M[[#This Row],[Industry]], Mean_PE_M, 3, FALSE))</f>
        <v>-8.7606526363740445E-2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7" t="s">
        <v>105</v>
      </c>
      <c r="B58" s="67" t="s">
        <v>278</v>
      </c>
      <c r="C58" s="2">
        <v>2902</v>
      </c>
      <c r="D58">
        <f>RTD("tos.rtd", , "LAST", Main_M[[#This Row],[Symbol]])</f>
        <v>15.12</v>
      </c>
      <c r="E58">
        <v>1.5</v>
      </c>
      <c r="F58">
        <v>17.91</v>
      </c>
      <c r="G58">
        <v>-0.72</v>
      </c>
      <c r="H58" s="1">
        <f>IF(ISNUMBER(Main_M[[#This Row],[Free CF]]),IF(Main_M[[#This Row],[Free CF]]&lt;&gt;0,Main_M[[#This Row],[Current Price]]/Main_M[[#This Row],[Free CF]],""),"")</f>
        <v>10.08</v>
      </c>
      <c r="I58" s="1">
        <f>IF(ISNUMBER(Main_M[[#This Row],[BVPS]]),IF(Main_M[[#This Row],[BVPS]]&lt;&gt;0,Main_M[[#This Row],[Current Price]]/Main_M[[#This Row],[BVPS]],""),"")</f>
        <v>0.84422110552763818</v>
      </c>
      <c r="J58">
        <v>-4.18</v>
      </c>
      <c r="K58">
        <v>-0.59</v>
      </c>
      <c r="L58">
        <v>6.97</v>
      </c>
      <c r="M58" s="1">
        <f>IF(ISNUMBER(Main_M[[#This Row],[EPS]]),IF(Main_M[[#This Row],[EPS]]&lt;&gt;0,Main_M[[#This Row],[Current Price]]/Main_M[[#This Row],[EPS]],""),"")</f>
        <v>-21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-0.25597102294736318</v>
      </c>
      <c r="P58" s="1">
        <f>(Main_M[[#This Row],[P/B]]-VLOOKUP(Main_M[[#This Row],[Industry]], Mean_PB_M, 2, FALSE))/(VLOOKUP(Main_M[[#This Row],[Industry]], Mean_PB_M, 3, FALSE))</f>
        <v>-0.89813270851371407</v>
      </c>
      <c r="Q58" s="1">
        <f>(Main_M[[#This Row],[ROE]]-VLOOKUP(Main_M[[#This Row],[Industry]], Mean_ROE_M, 2, FALSE))/(VLOOKUP(Main_M[[#This Row],[Industry]], Mean_ROE_M, 3, FALSE))</f>
        <v>-3.8514964374228526</v>
      </c>
      <c r="R58" s="1">
        <f>(Main_M[[#This Row],[ROA]]-VLOOKUP(Main_M[[#This Row],[Industry]], Mean_ROA_M, 2, FALSE))/(VLOOKUP(Main_M[[#This Row],[Industry]], Mean_ROA_M, 3, FALSE))</f>
        <v>-3.3728611063950309</v>
      </c>
      <c r="S58" s="1">
        <f>(Main_M[[#This Row],[A/E]]-VLOOKUP(Main_M[[#This Row],[Industry]], Mean_AE_M, 2, FALSE))/(VLOOKUP(Main_M[[#This Row],[Industry]], Mean_AE_M, 3, FALSE))</f>
        <v>-0.84769695579097926</v>
      </c>
      <c r="T58" s="1">
        <f>(Main_M[[#This Row],[P/E]]-VLOOKUP(Main_M[[#This Row],[Industry]], Mean_PE_M, 2, FALSE))/(VLOOKUP(Main_M[[#This Row],[Industry]], Mean_PE_M, 3, FALSE))</f>
        <v>-9.8704490395894968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9" spans="1:26" x14ac:dyDescent="0.25">
      <c r="A59" s="67" t="s">
        <v>105</v>
      </c>
      <c r="B59" s="67" t="s">
        <v>321</v>
      </c>
      <c r="C59" s="2">
        <v>2945</v>
      </c>
      <c r="D59">
        <f>RTD("tos.rtd", , "LAST", Main_M[[#This Row],[Symbol]])</f>
        <v>31.24</v>
      </c>
      <c r="E59">
        <v>1.46</v>
      </c>
      <c r="F59">
        <v>38.020000000000003</v>
      </c>
      <c r="G59">
        <v>1.44</v>
      </c>
      <c r="H59" s="1">
        <f>IF(ISNUMBER(Main_M[[#This Row],[Free CF]]),IF(Main_M[[#This Row],[Free CF]]&lt;&gt;0,Main_M[[#This Row],[Current Price]]/Main_M[[#This Row],[Free CF]],""),"")</f>
        <v>21.397260273972602</v>
      </c>
      <c r="I59" s="1">
        <f>IF(ISNUMBER(Main_M[[#This Row],[BVPS]]),IF(Main_M[[#This Row],[BVPS]]&lt;&gt;0,Main_M[[#This Row],[Current Price]]/Main_M[[#This Row],[BVPS]],""),"")</f>
        <v>0.8216728037874802</v>
      </c>
      <c r="J59">
        <v>3.38</v>
      </c>
      <c r="K59">
        <v>0.47</v>
      </c>
      <c r="L59">
        <v>7.54</v>
      </c>
      <c r="M59" s="1">
        <f>IF(ISNUMBER(Main_M[[#This Row],[EPS]]),IF(Main_M[[#This Row],[EPS]]&lt;&gt;0,Main_M[[#This Row],[Current Price]]/Main_M[[#This Row],[EPS]],""),"")</f>
        <v>21.694444444444443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2.1379018910849896</v>
      </c>
      <c r="P59" s="1">
        <f>(Main_M[[#This Row],[P/B]]-VLOOKUP(Main_M[[#This Row],[Industry]], Mean_PB_M, 2, FALSE))/(VLOOKUP(Main_M[[#This Row],[Industry]], Mean_PB_M, 3, FALSE))</f>
        <v>-0.94648207349167213</v>
      </c>
      <c r="Q59" s="1">
        <f>(Main_M[[#This Row],[ROE]]-VLOOKUP(Main_M[[#This Row],[Industry]], Mean_ROE_M, 2, FALSE))/(VLOOKUP(Main_M[[#This Row],[Industry]], Mean_ROE_M, 3, FALSE))</f>
        <v>-1.7536621949089017</v>
      </c>
      <c r="R59" s="1">
        <f>(Main_M[[#This Row],[ROA]]-VLOOKUP(Main_M[[#This Row],[Industry]], Mean_ROA_M, 2, FALSE))/(VLOOKUP(Main_M[[#This Row],[Industry]], Mean_ROA_M, 3, FALSE))</f>
        <v>-1.3109164280121111</v>
      </c>
      <c r="S59" s="1">
        <f>(Main_M[[#This Row],[A/E]]-VLOOKUP(Main_M[[#This Row],[Industry]], Mean_AE_M, 2, FALSE))/(VLOOKUP(Main_M[[#This Row],[Industry]], Mean_AE_M, 3, FALSE))</f>
        <v>-0.57466508885740097</v>
      </c>
      <c r="T59" s="1">
        <f>(Main_M[[#This Row],[P/E]]-VLOOKUP(Main_M[[#This Row],[Industry]], Mean_PE_M, 2, FALSE))/(VLOOKUP(Main_M[[#This Row],[Industry]], Mean_PE_M, 3, FALSE))</f>
        <v>2.3372890772219552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s="67" t="s">
        <v>105</v>
      </c>
      <c r="B60" s="67" t="s">
        <v>254</v>
      </c>
      <c r="C60" s="2">
        <v>5309</v>
      </c>
      <c r="D60">
        <f>RTD("tos.rtd", , "LAST", Main_M[[#This Row],[Symbol]])</f>
        <v>75.83</v>
      </c>
      <c r="E60">
        <v>1.21</v>
      </c>
      <c r="F60">
        <v>6.15</v>
      </c>
      <c r="G60">
        <v>0.49</v>
      </c>
      <c r="H60" s="1">
        <f>IF(ISNUMBER(Main_M[[#This Row],[Free CF]]),IF(Main_M[[#This Row],[Free CF]]&lt;&gt;0,Main_M[[#This Row],[Current Price]]/Main_M[[#This Row],[Free CF]],""),"")</f>
        <v>62.669421487603309</v>
      </c>
      <c r="I60" s="1">
        <f>IF(ISNUMBER(Main_M[[#This Row],[BVPS]]),IF(Main_M[[#This Row],[BVPS]]&lt;&gt;0,Main_M[[#This Row],[Current Price]]/Main_M[[#This Row],[BVPS]],""),"")</f>
        <v>12.330081300813006</v>
      </c>
      <c r="J60">
        <v>7.66</v>
      </c>
      <c r="K60">
        <v>2.23</v>
      </c>
      <c r="L60">
        <v>3.58</v>
      </c>
      <c r="M60" s="1">
        <f>IF(ISNUMBER(Main_M[[#This Row],[EPS]]),IF(Main_M[[#This Row],[EPS]]&lt;&gt;0,Main_M[[#This Row],[Current Price]]/Main_M[[#This Row],[EPS]],""),"")</f>
        <v>154.75510204081633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10.867957261474219</v>
      </c>
      <c r="P60" s="1">
        <f>(Main_M[[#This Row],[P/B]]-VLOOKUP(Main_M[[#This Row],[Industry]], Mean_PB_M, 2, FALSE))/(VLOOKUP(Main_M[[#This Row],[Industry]], Mean_PB_M, 3, FALSE))</f>
        <v>23.730509087538554</v>
      </c>
      <c r="Q60" s="1">
        <f>(Main_M[[#This Row],[ROE]]-VLOOKUP(Main_M[[#This Row],[Industry]], Mean_ROE_M, 2, FALSE))/(VLOOKUP(Main_M[[#This Row],[Industry]], Mean_ROE_M, 3, FALSE))</f>
        <v>-0.56599942269200876</v>
      </c>
      <c r="R60" s="1">
        <f>(Main_M[[#This Row],[ROA]]-VLOOKUP(Main_M[[#This Row],[Industry]], Mean_ROA_M, 2, FALSE))/(VLOOKUP(Main_M[[#This Row],[Industry]], Mean_ROA_M, 3, FALSE))</f>
        <v>2.1126898304350008</v>
      </c>
      <c r="S60" s="1">
        <f>(Main_M[[#This Row],[A/E]]-VLOOKUP(Main_M[[#This Row],[Industry]], Mean_AE_M, 2, FALSE))/(VLOOKUP(Main_M[[#This Row],[Industry]], Mean_AE_M, 3, FALSE))</f>
        <v>-2.4715180591327859</v>
      </c>
      <c r="T60" s="1">
        <f>(Main_M[[#This Row],[P/E]]-VLOOKUP(Main_M[[#This Row],[Industry]], Mean_PE_M, 2, FALSE))/(VLOOKUP(Main_M[[#This Row],[Industry]], Mean_PE_M, 3, FALSE))</f>
        <v>40.38368323281086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1" spans="1:26" x14ac:dyDescent="0.25">
      <c r="A61" s="67" t="s">
        <v>105</v>
      </c>
      <c r="B61" s="67" t="s">
        <v>289</v>
      </c>
      <c r="C61" s="2">
        <v>3136</v>
      </c>
      <c r="D61">
        <f>RTD("tos.rtd", , "LAST", Main_M[[#This Row],[Symbol]])</f>
        <v>17.600000000000001</v>
      </c>
      <c r="E61">
        <v>1.19</v>
      </c>
      <c r="F61">
        <v>16.91</v>
      </c>
      <c r="G61">
        <v>1.7</v>
      </c>
      <c r="H61" s="1">
        <f>IF(ISNUMBER(Main_M[[#This Row],[Free CF]]),IF(Main_M[[#This Row],[Free CF]]&lt;&gt;0,Main_M[[#This Row],[Current Price]]/Main_M[[#This Row],[Free CF]],""),"")</f>
        <v>14.789915966386557</v>
      </c>
      <c r="I61" s="1">
        <f>IF(ISNUMBER(Main_M[[#This Row],[BVPS]]),IF(Main_M[[#This Row],[BVPS]]&lt;&gt;0,Main_M[[#This Row],[Current Price]]/Main_M[[#This Row],[BVPS]],""),"")</f>
        <v>1.0408042578356003</v>
      </c>
      <c r="J61">
        <v>10.6</v>
      </c>
      <c r="K61">
        <v>1.07</v>
      </c>
      <c r="L61">
        <v>10.43</v>
      </c>
      <c r="M61" s="1">
        <f>IF(ISNUMBER(Main_M[[#This Row],[EPS]]),IF(Main_M[[#This Row],[EPS]]&lt;&gt;0,Main_M[[#This Row],[Current Price]]/Main_M[[#This Row],[EPS]],""),"")</f>
        <v>10.352941176470589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0.74028955482085901</v>
      </c>
      <c r="P61" s="1">
        <f>(Main_M[[#This Row],[P/B]]-VLOOKUP(Main_M[[#This Row],[Industry]], Mean_PB_M, 2, FALSE))/(VLOOKUP(Main_M[[#This Row],[Industry]], Mean_PB_M, 3, FALSE))</f>
        <v>-0.47660781102985655</v>
      </c>
      <c r="Q61" s="1">
        <f>(Main_M[[#This Row],[ROE]]-VLOOKUP(Main_M[[#This Row],[Industry]], Mean_ROE_M, 2, FALSE))/(VLOOKUP(Main_M[[#This Row],[Industry]], Mean_ROE_M, 3, FALSE))</f>
        <v>0.24982500495230545</v>
      </c>
      <c r="R61" s="1">
        <f>(Main_M[[#This Row],[ROA]]-VLOOKUP(Main_M[[#This Row],[Industry]], Mean_ROA_M, 2, FALSE))/(VLOOKUP(Main_M[[#This Row],[Industry]], Mean_ROA_M, 3, FALSE))</f>
        <v>-0.14377793081423193</v>
      </c>
      <c r="S61" s="1">
        <f>(Main_M[[#This Row],[A/E]]-VLOOKUP(Main_M[[#This Row],[Industry]], Mean_AE_M, 2, FALSE))/(VLOOKUP(Main_M[[#This Row],[Industry]], Mean_AE_M, 3, FALSE))</f>
        <v>0.80965437682337216</v>
      </c>
      <c r="T61" s="1">
        <f>(Main_M[[#This Row],[P/E]]-VLOOKUP(Main_M[[#This Row],[Industry]], Mean_PE_M, 2, FALSE))/(VLOOKUP(Main_M[[#This Row],[Industry]], Mean_PE_M, 3, FALSE))</f>
        <v>-0.90561766504863606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7" t="s">
        <v>105</v>
      </c>
      <c r="B62" s="67" t="s">
        <v>275</v>
      </c>
      <c r="C62" s="2">
        <v>8163</v>
      </c>
      <c r="D62">
        <f>RTD("tos.rtd", , "LAST", Main_M[[#This Row],[Symbol]])</f>
        <v>128.63999999999999</v>
      </c>
      <c r="E62">
        <v>1.06</v>
      </c>
      <c r="F62">
        <v>61.74</v>
      </c>
      <c r="G62">
        <v>9.11</v>
      </c>
      <c r="H62" s="1">
        <f>IF(ISNUMBER(Main_M[[#This Row],[Free CF]]),IF(Main_M[[#This Row],[Free CF]]&lt;&gt;0,Main_M[[#This Row],[Current Price]]/Main_M[[#This Row],[Free CF]],""),"")</f>
        <v>121.35849056603772</v>
      </c>
      <c r="I62" s="1">
        <f>IF(ISNUMBER(Main_M[[#This Row],[BVPS]]),IF(Main_M[[#This Row],[BVPS]]&lt;&gt;0,Main_M[[#This Row],[Current Price]]/Main_M[[#This Row],[BVPS]],""),"")</f>
        <v>2.08357628765792</v>
      </c>
      <c r="J62">
        <v>15.42</v>
      </c>
      <c r="K62">
        <v>1.18</v>
      </c>
      <c r="L62">
        <v>13.1</v>
      </c>
      <c r="M62" s="1">
        <f>IF(ISNUMBER(Main_M[[#This Row],[EPS]]),IF(Main_M[[#This Row],[EPS]]&lt;&gt;0,Main_M[[#This Row],[Current Price]]/Main_M[[#This Row],[EPS]],""),"")</f>
        <v>14.120746432491767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23.282107808117196</v>
      </c>
      <c r="P62" s="1">
        <f>(Main_M[[#This Row],[P/B]]-VLOOKUP(Main_M[[#This Row],[Industry]], Mean_PB_M, 2, FALSE))/(VLOOKUP(Main_M[[#This Row],[Industry]], Mean_PB_M, 3, FALSE))</f>
        <v>1.7593639282028768</v>
      </c>
      <c r="Q62" s="1">
        <f>(Main_M[[#This Row],[ROE]]-VLOOKUP(Main_M[[#This Row],[Industry]], Mean_ROE_M, 2, FALSE))/(VLOOKUP(Main_M[[#This Row],[Industry]], Mean_ROE_M, 3, FALSE))</f>
        <v>1.5873330802059091</v>
      </c>
      <c r="R62" s="1">
        <f>(Main_M[[#This Row],[ROA]]-VLOOKUP(Main_M[[#This Row],[Industry]], Mean_ROA_M, 2, FALSE))/(VLOOKUP(Main_M[[#This Row],[Industry]], Mean_ROA_M, 3, FALSE))</f>
        <v>7.0197460338712311E-2</v>
      </c>
      <c r="S62" s="1">
        <f>(Main_M[[#This Row],[A/E]]-VLOOKUP(Main_M[[#This Row],[Industry]], Mean_AE_M, 2, FALSE))/(VLOOKUP(Main_M[[#This Row],[Industry]], Mean_AE_M, 3, FALSE))</f>
        <v>2.0885931219332909</v>
      </c>
      <c r="T62" s="1">
        <f>(Main_M[[#This Row],[P/E]]-VLOOKUP(Main_M[[#This Row],[Industry]], Mean_PE_M, 2, FALSE))/(VLOOKUP(Main_M[[#This Row],[Industry]], Mean_PE_M, 3, FALSE))</f>
        <v>0.17172109504471594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s="67" t="s">
        <v>105</v>
      </c>
      <c r="B63" s="67" t="s">
        <v>287</v>
      </c>
      <c r="C63" s="2">
        <v>4991</v>
      </c>
      <c r="D63">
        <f>RTD("tos.rtd", , "LAST", Main_M[[#This Row],[Symbol]])</f>
        <v>14.1</v>
      </c>
      <c r="E63">
        <v>0.91</v>
      </c>
      <c r="F63">
        <v>17.86</v>
      </c>
      <c r="G63">
        <v>1.27</v>
      </c>
      <c r="H63" s="1">
        <f>IF(ISNUMBER(Main_M[[#This Row],[Free CF]]),IF(Main_M[[#This Row],[Free CF]]&lt;&gt;0,Main_M[[#This Row],[Current Price]]/Main_M[[#This Row],[Free CF]],""),"")</f>
        <v>15.494505494505493</v>
      </c>
      <c r="I63" s="1">
        <f>IF(ISNUMBER(Main_M[[#This Row],[BVPS]]),IF(Main_M[[#This Row],[BVPS]]&lt;&gt;0,Main_M[[#This Row],[Current Price]]/Main_M[[#This Row],[BVPS]],""),"")</f>
        <v>0.78947368421052633</v>
      </c>
      <c r="J63">
        <v>7.4</v>
      </c>
      <c r="K63">
        <v>0.97</v>
      </c>
      <c r="L63">
        <v>7.64</v>
      </c>
      <c r="M63" s="1">
        <f>IF(ISNUMBER(Main_M[[#This Row],[EPS]]),IF(Main_M[[#This Row],[EPS]]&lt;&gt;0,Main_M[[#This Row],[Current Price]]/Main_M[[#This Row],[EPS]],""),"")</f>
        <v>11.102362204724409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0.88932719697474838</v>
      </c>
      <c r="P63" s="1">
        <f>(Main_M[[#This Row],[P/B]]-VLOOKUP(Main_M[[#This Row],[Industry]], Mean_PB_M, 2, FALSE))/(VLOOKUP(Main_M[[#This Row],[Industry]], Mean_PB_M, 3, FALSE))</f>
        <v>-1.0155252769371192</v>
      </c>
      <c r="Q63" s="1">
        <f>(Main_M[[#This Row],[ROE]]-VLOOKUP(Main_M[[#This Row],[Industry]], Mean_ROE_M, 2, FALSE))/(VLOOKUP(Main_M[[#This Row],[Industry]], Mean_ROE_M, 3, FALSE))</f>
        <v>-0.63814716119116577</v>
      </c>
      <c r="R63" s="1">
        <f>(Main_M[[#This Row],[ROA]]-VLOOKUP(Main_M[[#This Row],[Industry]], Mean_ROA_M, 2, FALSE))/(VLOOKUP(Main_M[[#This Row],[Industry]], Mean_ROA_M, 3, FALSE))</f>
        <v>-0.33830101368054527</v>
      </c>
      <c r="S63" s="1">
        <f>(Main_M[[#This Row],[A/E]]-VLOOKUP(Main_M[[#This Row],[Industry]], Mean_AE_M, 2, FALSE))/(VLOOKUP(Main_M[[#This Row],[Industry]], Mean_AE_M, 3, FALSE))</f>
        <v>-0.52676476132519445</v>
      </c>
      <c r="T63" s="1">
        <f>(Main_M[[#This Row],[P/E]]-VLOOKUP(Main_M[[#This Row],[Industry]], Mean_PE_M, 2, FALSE))/(VLOOKUP(Main_M[[#This Row],[Industry]], Mean_PE_M, 3, FALSE))</f>
        <v>-0.69133368100338488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7" t="s">
        <v>105</v>
      </c>
      <c r="B64" s="67" t="s">
        <v>308</v>
      </c>
      <c r="C64" s="2">
        <v>8911</v>
      </c>
      <c r="D64">
        <f>RTD("tos.rtd", , "LAST", Main_M[[#This Row],[Symbol]])</f>
        <v>90.5</v>
      </c>
      <c r="E64">
        <v>0.78</v>
      </c>
      <c r="F64">
        <v>84.99</v>
      </c>
      <c r="G64">
        <v>6.12</v>
      </c>
      <c r="H64" s="1">
        <f>IF(ISNUMBER(Main_M[[#This Row],[Free CF]]),IF(Main_M[[#This Row],[Free CF]]&lt;&gt;0,Main_M[[#This Row],[Current Price]]/Main_M[[#This Row],[Free CF]],""),"")</f>
        <v>116.02564102564102</v>
      </c>
      <c r="I64" s="1">
        <f>IF(ISNUMBER(Main_M[[#This Row],[BVPS]]),IF(Main_M[[#This Row],[BVPS]]&lt;&gt;0,Main_M[[#This Row],[Current Price]]/Main_M[[#This Row],[BVPS]],""),"")</f>
        <v>1.0648311566066597</v>
      </c>
      <c r="J64">
        <v>7.18</v>
      </c>
      <c r="K64">
        <v>0.92</v>
      </c>
      <c r="L64">
        <v>7.55</v>
      </c>
      <c r="M64" s="1">
        <f>IF(ISNUMBER(Main_M[[#This Row],[EPS]]),IF(Main_M[[#This Row],[EPS]]&lt;&gt;0,Main_M[[#This Row],[Current Price]]/Main_M[[#This Row],[EPS]],""),"")</f>
        <v>14.787581699346404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22.154081787656651</v>
      </c>
      <c r="P64" s="1">
        <f>(Main_M[[#This Row],[P/B]]-VLOOKUP(Main_M[[#This Row],[Industry]], Mean_PB_M, 2, FALSE))/(VLOOKUP(Main_M[[#This Row],[Industry]], Mean_PB_M, 3, FALSE))</f>
        <v>-0.42508795328813265</v>
      </c>
      <c r="Q64" s="1">
        <f>(Main_M[[#This Row],[ROE]]-VLOOKUP(Main_M[[#This Row],[Industry]], Mean_ROE_M, 2, FALSE))/(VLOOKUP(Main_M[[#This Row],[Industry]], Mean_ROE_M, 3, FALSE))</f>
        <v>-0.69919524761352958</v>
      </c>
      <c r="R64" s="1">
        <f>(Main_M[[#This Row],[ROA]]-VLOOKUP(Main_M[[#This Row],[Industry]], Mean_ROA_M, 2, FALSE))/(VLOOKUP(Main_M[[#This Row],[Industry]], Mean_ROA_M, 3, FALSE))</f>
        <v>-0.43556255511370173</v>
      </c>
      <c r="S64" s="1">
        <f>(Main_M[[#This Row],[A/E]]-VLOOKUP(Main_M[[#This Row],[Industry]], Mean_AE_M, 2, FALSE))/(VLOOKUP(Main_M[[#This Row],[Industry]], Mean_AE_M, 3, FALSE))</f>
        <v>-0.56987505610418043</v>
      </c>
      <c r="T64" s="1">
        <f>(Main_M[[#This Row],[P/E]]-VLOOKUP(Main_M[[#This Row],[Industry]], Mean_PE_M, 2, FALSE))/(VLOOKUP(Main_M[[#This Row],[Industry]], Mean_PE_M, 3, FALSE))</f>
        <v>0.36239110869036173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s="67" t="s">
        <v>105</v>
      </c>
      <c r="B65" s="67" t="s">
        <v>264</v>
      </c>
      <c r="C65" s="2">
        <v>2160</v>
      </c>
      <c r="D65">
        <f>RTD("tos.rtd", , "LAST", Main_M[[#This Row],[Symbol]])</f>
        <v>13.97</v>
      </c>
      <c r="E65">
        <v>0.78</v>
      </c>
      <c r="F65">
        <v>18.190000000000001</v>
      </c>
      <c r="G65">
        <v>0.65</v>
      </c>
      <c r="H65" s="1">
        <f>IF(ISNUMBER(Main_M[[#This Row],[Free CF]]),IF(Main_M[[#This Row],[Free CF]]&lt;&gt;0,Main_M[[#This Row],[Current Price]]/Main_M[[#This Row],[Free CF]],""),"")</f>
        <v>17.910256410256409</v>
      </c>
      <c r="I65" s="1">
        <f>IF(ISNUMBER(Main_M[[#This Row],[BVPS]]),IF(Main_M[[#This Row],[BVPS]]&lt;&gt;0,Main_M[[#This Row],[Current Price]]/Main_M[[#This Row],[BVPS]],""),"")</f>
        <v>0.7680043980208906</v>
      </c>
      <c r="J65">
        <v>4.33</v>
      </c>
      <c r="K65">
        <v>0.43</v>
      </c>
      <c r="L65">
        <v>11.17</v>
      </c>
      <c r="M65" s="1">
        <f>IF(ISNUMBER(Main_M[[#This Row],[EPS]]),IF(Main_M[[#This Row],[EPS]]&lt;&gt;0,Main_M[[#This Row],[Current Price]]/Main_M[[#This Row],[EPS]],""),"")</f>
        <v>21.492307692307694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1.4003166541638434</v>
      </c>
      <c r="P65" s="1">
        <f>(Main_M[[#This Row],[P/B]]-VLOOKUP(Main_M[[#This Row],[Industry]], Mean_PB_M, 2, FALSE))/(VLOOKUP(Main_M[[#This Row],[Industry]], Mean_PB_M, 3, FALSE))</f>
        <v>-1.0615609547349834</v>
      </c>
      <c r="Q65" s="1">
        <f>(Main_M[[#This Row],[ROE]]-VLOOKUP(Main_M[[#This Row],[Industry]], Mean_ROE_M, 2, FALSE))/(VLOOKUP(Main_M[[#This Row],[Industry]], Mean_ROE_M, 3, FALSE))</f>
        <v>-1.4900454580850586</v>
      </c>
      <c r="R65" s="1">
        <f>(Main_M[[#This Row],[ROA]]-VLOOKUP(Main_M[[#This Row],[Industry]], Mean_ROA_M, 2, FALSE))/(VLOOKUP(Main_M[[#This Row],[Industry]], Mean_ROA_M, 3, FALSE))</f>
        <v>-1.3887256611586365</v>
      </c>
      <c r="S65" s="1">
        <f>(Main_M[[#This Row],[A/E]]-VLOOKUP(Main_M[[#This Row],[Industry]], Mean_AE_M, 2, FALSE))/(VLOOKUP(Main_M[[#This Row],[Industry]], Mean_AE_M, 3, FALSE))</f>
        <v>1.1641168005617017</v>
      </c>
      <c r="T65" s="1">
        <f>(Main_M[[#This Row],[P/E]]-VLOOKUP(Main_M[[#This Row],[Industry]], Mean_PE_M, 2, FALSE))/(VLOOKUP(Main_M[[#This Row],[Industry]], Mean_PE_M, 3, FALSE))</f>
        <v>2.2794915682959584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s="67" t="s">
        <v>105</v>
      </c>
      <c r="B66" s="67" t="s">
        <v>312</v>
      </c>
      <c r="C66" s="2">
        <v>3710</v>
      </c>
      <c r="D66">
        <f>RTD("tos.rtd", , "LAST", Main_M[[#This Row],[Symbol]])</f>
        <v>13.3</v>
      </c>
      <c r="E66">
        <v>0.34</v>
      </c>
      <c r="F66">
        <v>6.8</v>
      </c>
      <c r="G66">
        <v>0.28000000000000003</v>
      </c>
      <c r="H66" s="1">
        <f>IF(ISNUMBER(Main_M[[#This Row],[Free CF]]),IF(Main_M[[#This Row],[Free CF]]&lt;&gt;0,Main_M[[#This Row],[Current Price]]/Main_M[[#This Row],[Free CF]],""),"")</f>
        <v>39.117647058823529</v>
      </c>
      <c r="I66" s="1">
        <f>IF(ISNUMBER(Main_M[[#This Row],[BVPS]]),IF(Main_M[[#This Row],[BVPS]]&lt;&gt;0,Main_M[[#This Row],[Current Price]]/Main_M[[#This Row],[BVPS]],""),"")</f>
        <v>1.9558823529411766</v>
      </c>
      <c r="J66">
        <v>4.29</v>
      </c>
      <c r="K66">
        <v>0.48</v>
      </c>
      <c r="L66">
        <v>9.02</v>
      </c>
      <c r="M66" s="1">
        <f>IF(ISNUMBER(Main_M[[#This Row],[EPS]]),IF(Main_M[[#This Row],[EPS]]&lt;&gt;0,Main_M[[#This Row],[Current Price]]/Main_M[[#This Row],[EPS]],""),"")</f>
        <v>47.5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5.8861901625838504</v>
      </c>
      <c r="P66" s="1">
        <f>(Main_M[[#This Row],[P/B]]-VLOOKUP(Main_M[[#This Row],[Industry]], Mean_PB_M, 2, FALSE))/(VLOOKUP(Main_M[[#This Row],[Industry]], Mean_PB_M, 3, FALSE))</f>
        <v>1.4855552517784447</v>
      </c>
      <c r="Q66" s="1">
        <f>(Main_M[[#This Row],[ROE]]-VLOOKUP(Main_M[[#This Row],[Industry]], Mean_ROE_M, 2, FALSE))/(VLOOKUP(Main_M[[#This Row],[Industry]], Mean_ROE_M, 3, FALSE))</f>
        <v>-1.501145110161852</v>
      </c>
      <c r="R66" s="1">
        <f>(Main_M[[#This Row],[ROA]]-VLOOKUP(Main_M[[#This Row],[Industry]], Mean_ROA_M, 2, FALSE))/(VLOOKUP(Main_M[[#This Row],[Industry]], Mean_ROA_M, 3, FALSE))</f>
        <v>-1.2914641197254797</v>
      </c>
      <c r="S66" s="1">
        <f>(Main_M[[#This Row],[A/E]]-VLOOKUP(Main_M[[#This Row],[Industry]], Mean_AE_M, 2, FALSE))/(VLOOKUP(Main_M[[#This Row],[Industry]], Mean_AE_M, 3, FALSE))</f>
        <v>0.13425975861925779</v>
      </c>
      <c r="T66" s="1">
        <f>(Main_M[[#This Row],[P/E]]-VLOOKUP(Main_M[[#This Row],[Industry]], Mean_PE_M, 2, FALSE))/(VLOOKUP(Main_M[[#This Row],[Industry]], Mean_PE_M, 3, FALSE))</f>
        <v>9.7159414588210709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7" spans="1:26" x14ac:dyDescent="0.25">
      <c r="A67" s="67" t="s">
        <v>105</v>
      </c>
      <c r="B67" s="67" t="s">
        <v>698</v>
      </c>
      <c r="C67" s="2">
        <v>7420</v>
      </c>
      <c r="D67">
        <f>RTD("tos.rtd", , "LAST", Main_M[[#This Row],[Symbol]])</f>
        <v>18.357500000000002</v>
      </c>
      <c r="E67">
        <v>0.16</v>
      </c>
      <c r="F67">
        <v>7.52</v>
      </c>
      <c r="G67">
        <v>0.48</v>
      </c>
      <c r="H67" s="1">
        <f>IF(ISNUMBER(Main_M[[#This Row],[Free CF]]),IF(Main_M[[#This Row],[Free CF]]&lt;&gt;0,Main_M[[#This Row],[Current Price]]/Main_M[[#This Row],[Free CF]],""),"")</f>
        <v>114.73437500000001</v>
      </c>
      <c r="I67" s="1">
        <f>IF(ISNUMBER(Main_M[[#This Row],[BVPS]]),IF(Main_M[[#This Row],[BVPS]]&lt;&gt;0,Main_M[[#This Row],[Current Price]]/Main_M[[#This Row],[BVPS]],""),"")</f>
        <v>2.4411569148936172</v>
      </c>
      <c r="J67">
        <v>6.45</v>
      </c>
      <c r="K67">
        <v>0.34</v>
      </c>
      <c r="L67">
        <v>19.25</v>
      </c>
      <c r="M67" s="1">
        <f>IF(ISNUMBER(Main_M[[#This Row],[EPS]]),IF(Main_M[[#This Row],[EPS]]&lt;&gt;0,Main_M[[#This Row],[Current Price]]/Main_M[[#This Row],[EPS]],""),"")</f>
        <v>38.244791666666671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21.880947947066169</v>
      </c>
      <c r="P67" s="1">
        <f>(Main_M[[#This Row],[P/B]]-VLOOKUP(Main_M[[#This Row],[Industry]], Mean_PB_M, 2, FALSE))/(VLOOKUP(Main_M[[#This Row],[Industry]], Mean_PB_M, 3, FALSE))</f>
        <v>2.5261088677774155</v>
      </c>
      <c r="Q67" s="1">
        <f>(Main_M[[#This Row],[ROE]]-VLOOKUP(Main_M[[#This Row],[Industry]], Mean_ROE_M, 2, FALSE))/(VLOOKUP(Main_M[[#This Row],[Industry]], Mean_ROE_M, 3, FALSE))</f>
        <v>-0.90176389801500878</v>
      </c>
      <c r="R67" s="1">
        <f>(Main_M[[#This Row],[ROA]]-VLOOKUP(Main_M[[#This Row],[Industry]], Mean_ROA_M, 2, FALSE))/(VLOOKUP(Main_M[[#This Row],[Industry]], Mean_ROA_M, 3, FALSE))</f>
        <v>-1.5637964357383181</v>
      </c>
      <c r="S67" s="1">
        <f>(Main_M[[#This Row],[A/E]]-VLOOKUP(Main_M[[#This Row],[Industry]], Mean_AE_M, 2, FALSE))/(VLOOKUP(Main_M[[#This Row],[Industry]], Mean_AE_M, 3, FALSE))</f>
        <v>5.0344632651640024</v>
      </c>
      <c r="T67" s="1">
        <f>(Main_M[[#This Row],[P/E]]-VLOOKUP(Main_M[[#This Row],[Industry]], Mean_PE_M, 2, FALSE))/(VLOOKUP(Main_M[[#This Row],[Industry]], Mean_PE_M, 3, FALSE))</f>
        <v>7.0695746769114329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8" spans="1:26" x14ac:dyDescent="0.25">
      <c r="A68" s="67" t="s">
        <v>105</v>
      </c>
      <c r="B68" s="67" t="s">
        <v>252</v>
      </c>
      <c r="C68" s="2">
        <v>3360</v>
      </c>
      <c r="D68">
        <f>RTD("tos.rtd", , "LAST", Main_M[[#This Row],[Symbol]])</f>
        <v>2.76</v>
      </c>
      <c r="E68">
        <v>-0.14000000000000001</v>
      </c>
      <c r="F68">
        <v>0.17</v>
      </c>
      <c r="G68">
        <v>0.01</v>
      </c>
      <c r="H68" s="1">
        <f>IF(ISNUMBER(Main_M[[#This Row],[Free CF]]),IF(Main_M[[#This Row],[Free CF]]&lt;&gt;0,Main_M[[#This Row],[Current Price]]/Main_M[[#This Row],[Free CF]],""),"")</f>
        <v>-19.714285714285712</v>
      </c>
      <c r="I68" s="1">
        <f>IF(ISNUMBER(Main_M[[#This Row],[BVPS]]),IF(Main_M[[#This Row],[BVPS]]&lt;&gt;0,Main_M[[#This Row],[Current Price]]/Main_M[[#This Row],[BVPS]],""),"")</f>
        <v>16.235294117647058</v>
      </c>
      <c r="J68">
        <v>7.91</v>
      </c>
      <c r="K68">
        <v>0.79</v>
      </c>
      <c r="L68">
        <v>19.21</v>
      </c>
      <c r="M68" s="1">
        <f>IF(ISNUMBER(Main_M[[#This Row],[EPS]]),IF(Main_M[[#This Row],[EPS]]&lt;&gt;0,Main_M[[#This Row],[Current Price]]/Main_M[[#This Row],[EPS]],""),"")</f>
        <v>276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-6.5581794937024034</v>
      </c>
      <c r="P68" s="1">
        <f>(Main_M[[#This Row],[P/B]]-VLOOKUP(Main_M[[#This Row],[Industry]], Mean_PB_M, 2, FALSE))/(VLOOKUP(Main_M[[#This Row],[Industry]], Mean_PB_M, 3, FALSE))</f>
        <v>32.104290934773424</v>
      </c>
      <c r="Q68" s="1">
        <f>(Main_M[[#This Row],[ROE]]-VLOOKUP(Main_M[[#This Row],[Industry]], Mean_ROE_M, 2, FALSE))/(VLOOKUP(Main_M[[#This Row],[Industry]], Mean_ROE_M, 3, FALSE))</f>
        <v>-0.49662659721205005</v>
      </c>
      <c r="R68" s="1">
        <f>(Main_M[[#This Row],[ROA]]-VLOOKUP(Main_M[[#This Row],[Industry]], Mean_ROA_M, 2, FALSE))/(VLOOKUP(Main_M[[#This Row],[Industry]], Mean_ROA_M, 3, FALSE))</f>
        <v>-0.6884425628399089</v>
      </c>
      <c r="S68" s="1">
        <f>(Main_M[[#This Row],[A/E]]-VLOOKUP(Main_M[[#This Row],[Industry]], Mean_AE_M, 2, FALSE))/(VLOOKUP(Main_M[[#This Row],[Industry]], Mean_AE_M, 3, FALSE))</f>
        <v>5.0153031341511198</v>
      </c>
      <c r="T68" s="1">
        <f>(Main_M[[#This Row],[P/E]]-VLOOKUP(Main_M[[#This Row],[Industry]], Mean_PE_M, 2, FALSE))/(VLOOKUP(Main_M[[#This Row],[Industry]], Mean_PE_M, 3, FALSE))</f>
        <v>75.051565238190634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9" spans="1:26" x14ac:dyDescent="0.25">
      <c r="A69" s="67" t="s">
        <v>105</v>
      </c>
      <c r="B69" s="67" t="s">
        <v>257</v>
      </c>
      <c r="C69" s="2">
        <v>9324</v>
      </c>
      <c r="D69">
        <f>RTD("tos.rtd", , "LAST", Main_M[[#This Row],[Symbol]])</f>
        <v>54.02</v>
      </c>
      <c r="E69">
        <v>-1.91</v>
      </c>
      <c r="F69">
        <v>3.7</v>
      </c>
      <c r="G69">
        <v>1.06</v>
      </c>
      <c r="H69" s="1">
        <f>IF(ISNUMBER(Main_M[[#This Row],[Free CF]]),IF(Main_M[[#This Row],[Free CF]]&lt;&gt;0,Main_M[[#This Row],[Current Price]]/Main_M[[#This Row],[Free CF]],""),"")</f>
        <v>-28.282722513089009</v>
      </c>
      <c r="I69" s="1">
        <f>IF(ISNUMBER(Main_M[[#This Row],[BVPS]]),IF(Main_M[[#This Row],[BVPS]]&lt;&gt;0,Main_M[[#This Row],[Current Price]]/Main_M[[#This Row],[BVPS]],""),"")</f>
        <v>14.6</v>
      </c>
      <c r="J69">
        <v>31.07</v>
      </c>
      <c r="K69">
        <v>5.93</v>
      </c>
      <c r="L69">
        <v>5.36</v>
      </c>
      <c r="M69" s="1">
        <f>IF(ISNUMBER(Main_M[[#This Row],[EPS]]),IF(Main_M[[#This Row],[EPS]]&lt;&gt;0,Main_M[[#This Row],[Current Price]]/Main_M[[#This Row],[EPS]],""),"")</f>
        <v>50.962264150943398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-8.3706100883602073</v>
      </c>
      <c r="P69" s="1">
        <f>(Main_M[[#This Row],[P/B]]-VLOOKUP(Main_M[[#This Row],[Industry]], Mean_PB_M, 2, FALSE))/(VLOOKUP(Main_M[[#This Row],[Industry]], Mean_PB_M, 3, FALSE))</f>
        <v>28.597799268502527</v>
      </c>
      <c r="Q69" s="1">
        <f>(Main_M[[#This Row],[ROE]]-VLOOKUP(Main_M[[#This Row],[Industry]], Mean_ROE_M, 2, FALSE))/(VLOOKUP(Main_M[[#This Row],[Industry]], Mean_ROE_M, 3, FALSE))</f>
        <v>5.9300719552513241</v>
      </c>
      <c r="R69" s="1">
        <f>(Main_M[[#This Row],[ROA]]-VLOOKUP(Main_M[[#This Row],[Industry]], Mean_ROA_M, 2, FALSE))/(VLOOKUP(Main_M[[#This Row],[Industry]], Mean_ROA_M, 3, FALSE))</f>
        <v>9.3100438964885868</v>
      </c>
      <c r="S69" s="1">
        <f>(Main_M[[#This Row],[A/E]]-VLOOKUP(Main_M[[#This Row],[Industry]], Mean_AE_M, 2, FALSE))/(VLOOKUP(Main_M[[#This Row],[Industry]], Mean_AE_M, 3, FALSE))</f>
        <v>-1.6188922290595067</v>
      </c>
      <c r="T69" s="1">
        <f>(Main_M[[#This Row],[P/E]]-VLOOKUP(Main_M[[#This Row],[Industry]], Mean_PE_M, 2, FALSE))/(VLOOKUP(Main_M[[#This Row],[Industry]], Mean_PE_M, 3, FALSE))</f>
        <v>10.70591602333239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0" spans="1:26" x14ac:dyDescent="0.25">
      <c r="A70" s="67" t="s">
        <v>105</v>
      </c>
      <c r="B70" s="67" t="s">
        <v>259</v>
      </c>
      <c r="C70" s="2">
        <v>3130</v>
      </c>
      <c r="D70">
        <f>RTD("tos.rtd", , "LAST", Main_M[[#This Row],[Symbol]])</f>
        <v>6.8</v>
      </c>
      <c r="E70">
        <v>-2.12</v>
      </c>
      <c r="F70">
        <v>3.55</v>
      </c>
      <c r="G70">
        <v>0.4</v>
      </c>
      <c r="H70" s="1">
        <f>IF(ISNUMBER(Main_M[[#This Row],[Free CF]]),IF(Main_M[[#This Row],[Free CF]]&lt;&gt;0,Main_M[[#This Row],[Current Price]]/Main_M[[#This Row],[Free CF]],""),"")</f>
        <v>-3.2075471698113205</v>
      </c>
      <c r="I70" s="1">
        <f>IF(ISNUMBER(Main_M[[#This Row],[BVPS]]),IF(Main_M[[#This Row],[BVPS]]&lt;&gt;0,Main_M[[#This Row],[Current Price]]/Main_M[[#This Row],[BVPS]],""),"")</f>
        <v>1.915492957746479</v>
      </c>
      <c r="J70">
        <v>12.36</v>
      </c>
      <c r="K70">
        <v>1.52</v>
      </c>
      <c r="L70">
        <v>9.0500000000000007</v>
      </c>
      <c r="M70" s="1">
        <f>IF(ISNUMBER(Main_M[[#This Row],[EPS]]),IF(Main_M[[#This Row],[EPS]]&lt;&gt;0,Main_M[[#This Row],[Current Price]]/Main_M[[#This Row],[EPS]],""),"")</f>
        <v>17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-3.0666070332273523</v>
      </c>
      <c r="P70" s="1">
        <f>(Main_M[[#This Row],[P/B]]-VLOOKUP(Main_M[[#This Row],[Industry]], Mean_PB_M, 2, FALSE))/(VLOOKUP(Main_M[[#This Row],[Industry]], Mean_PB_M, 3, FALSE))</f>
        <v>1.398949988463668</v>
      </c>
      <c r="Q70" s="1">
        <f>(Main_M[[#This Row],[ROE]]-VLOOKUP(Main_M[[#This Row],[Industry]], Mean_ROE_M, 2, FALSE))/(VLOOKUP(Main_M[[#This Row],[Industry]], Mean_ROE_M, 3, FALSE))</f>
        <v>0.73820969633121458</v>
      </c>
      <c r="R70" s="1">
        <f>(Main_M[[#This Row],[ROA]]-VLOOKUP(Main_M[[#This Row],[Industry]], Mean_ROA_M, 2, FALSE))/(VLOOKUP(Main_M[[#This Row],[Industry]], Mean_ROA_M, 3, FALSE))</f>
        <v>0.7315759420841772</v>
      </c>
      <c r="S70" s="1">
        <f>(Main_M[[#This Row],[A/E]]-VLOOKUP(Main_M[[#This Row],[Industry]], Mean_AE_M, 2, FALSE))/(VLOOKUP(Main_M[[#This Row],[Industry]], Mean_AE_M, 3, FALSE))</f>
        <v>0.14862985687892033</v>
      </c>
      <c r="T70" s="1">
        <f>(Main_M[[#This Row],[P/E]]-VLOOKUP(Main_M[[#This Row],[Industry]], Mean_PE_M, 2, FALSE))/(VLOOKUP(Main_M[[#This Row],[Industry]], Mean_PE_M, 3, FALSE))</f>
        <v>0.99499386463826311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7" t="s">
        <v>105</v>
      </c>
      <c r="B71" s="67" t="s">
        <v>258</v>
      </c>
      <c r="C71" s="2">
        <v>3921</v>
      </c>
      <c r="D71">
        <f>RTD("tos.rtd", , "LAST", Main_M[[#This Row],[Symbol]])</f>
        <v>35.229999999999997</v>
      </c>
      <c r="E71">
        <v>-7.16</v>
      </c>
      <c r="F71">
        <v>26.47</v>
      </c>
      <c r="G71">
        <v>3.83</v>
      </c>
      <c r="H71" s="1">
        <f>IF(ISNUMBER(Main_M[[#This Row],[Free CF]]),IF(Main_M[[#This Row],[Free CF]]&lt;&gt;0,Main_M[[#This Row],[Current Price]]/Main_M[[#This Row],[Free CF]],""),"")</f>
        <v>-4.9203910614525137</v>
      </c>
      <c r="I71" s="1">
        <f>IF(ISNUMBER(Main_M[[#This Row],[BVPS]]),IF(Main_M[[#This Row],[BVPS]]&lt;&gt;0,Main_M[[#This Row],[Current Price]]/Main_M[[#This Row],[BVPS]],""),"")</f>
        <v>1.3309406875708349</v>
      </c>
      <c r="J71">
        <v>15.17</v>
      </c>
      <c r="K71">
        <v>1.72</v>
      </c>
      <c r="L71">
        <v>8.77</v>
      </c>
      <c r="M71" s="1">
        <f>IF(ISNUMBER(Main_M[[#This Row],[EPS]]),IF(Main_M[[#This Row],[EPS]]&lt;&gt;0,Main_M[[#This Row],[Current Price]]/Main_M[[#This Row],[EPS]],""),"")</f>
        <v>9.198433420365534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-3.4289147383523764</v>
      </c>
      <c r="P71" s="1">
        <f>(Main_M[[#This Row],[P/B]]-VLOOKUP(Main_M[[#This Row],[Industry]], Mean_PB_M, 2, FALSE))/(VLOOKUP(Main_M[[#This Row],[Industry]], Mean_PB_M, 3, FALSE))</f>
        <v>0.14551940264349844</v>
      </c>
      <c r="Q71" s="1">
        <f>(Main_M[[#This Row],[ROE]]-VLOOKUP(Main_M[[#This Row],[Industry]], Mean_ROE_M, 2, FALSE))/(VLOOKUP(Main_M[[#This Row],[Industry]], Mean_ROE_M, 3, FALSE))</f>
        <v>1.5179602547259505</v>
      </c>
      <c r="R71" s="1">
        <f>(Main_M[[#This Row],[ROA]]-VLOOKUP(Main_M[[#This Row],[Industry]], Mean_ROA_M, 2, FALSE))/(VLOOKUP(Main_M[[#This Row],[Industry]], Mean_ROA_M, 3, FALSE))</f>
        <v>1.1206221078168035</v>
      </c>
      <c r="S71" s="1">
        <f>(Main_M[[#This Row],[A/E]]-VLOOKUP(Main_M[[#This Row],[Industry]], Mean_AE_M, 2, FALSE))/(VLOOKUP(Main_M[[#This Row],[Industry]], Mean_AE_M, 3, FALSE))</f>
        <v>1.4508939788741064E-2</v>
      </c>
      <c r="T71" s="1">
        <f>(Main_M[[#This Row],[P/E]]-VLOOKUP(Main_M[[#This Row],[Industry]], Mean_PE_M, 2, FALSE))/(VLOOKUP(Main_M[[#This Row],[Industry]], Mean_PE_M, 3, FALSE))</f>
        <v>-1.2357291941656776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7" t="s">
        <v>105</v>
      </c>
      <c r="B72" s="67" t="s">
        <v>253</v>
      </c>
      <c r="C72" s="2">
        <v>4015</v>
      </c>
      <c r="D72">
        <f>RTD("tos.rtd", , "LAST", Main_M[[#This Row],[Symbol]])</f>
        <v>17.71</v>
      </c>
      <c r="E72">
        <v>-8.4499999999999993</v>
      </c>
      <c r="F72">
        <v>4.21</v>
      </c>
      <c r="G72">
        <v>0.56999999999999995</v>
      </c>
      <c r="H72" s="1">
        <f>IF(ISNUMBER(Main_M[[#This Row],[Free CF]]),IF(Main_M[[#This Row],[Free CF]]&lt;&gt;0,Main_M[[#This Row],[Current Price]]/Main_M[[#This Row],[Free CF]],""),"")</f>
        <v>-2.0958579881656809</v>
      </c>
      <c r="I72" s="1">
        <f>IF(ISNUMBER(Main_M[[#This Row],[BVPS]]),IF(Main_M[[#This Row],[BVPS]]&lt;&gt;0,Main_M[[#This Row],[Current Price]]/Main_M[[#This Row],[BVPS]],""),"")</f>
        <v>4.2066508313539197</v>
      </c>
      <c r="J72">
        <v>15.62</v>
      </c>
      <c r="K72">
        <v>3.16</v>
      </c>
      <c r="L72">
        <v>5.88</v>
      </c>
      <c r="M72" s="1">
        <f>IF(ISNUMBER(Main_M[[#This Row],[EPS]]),IF(Main_M[[#This Row],[EPS]]&lt;&gt;0,Main_M[[#This Row],[Current Price]]/Main_M[[#This Row],[EPS]],""),"")</f>
        <v>31.070175438596497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-2.8314580169159922</v>
      </c>
      <c r="P72" s="1">
        <f>(Main_M[[#This Row],[P/B]]-VLOOKUP(Main_M[[#This Row],[Industry]], Mean_PB_M, 2, FALSE))/(VLOOKUP(Main_M[[#This Row],[Industry]], Mean_PB_M, 3, FALSE))</f>
        <v>6.3117824283400177</v>
      </c>
      <c r="Q72" s="1">
        <f>(Main_M[[#This Row],[ROE]]-VLOOKUP(Main_M[[#This Row],[Industry]], Mean_ROE_M, 2, FALSE))/(VLOOKUP(Main_M[[#This Row],[Industry]], Mean_ROE_M, 3, FALSE))</f>
        <v>1.642831340589876</v>
      </c>
      <c r="R72" s="1">
        <f>(Main_M[[#This Row],[ROA]]-VLOOKUP(Main_M[[#This Row],[Industry]], Mean_ROA_M, 2, FALSE))/(VLOOKUP(Main_M[[#This Row],[Industry]], Mean_ROA_M, 3, FALSE))</f>
        <v>3.921754501091713</v>
      </c>
      <c r="S72" s="1">
        <f>(Main_M[[#This Row],[A/E]]-VLOOKUP(Main_M[[#This Row],[Industry]], Mean_AE_M, 2, FALSE))/(VLOOKUP(Main_M[[#This Row],[Industry]], Mean_AE_M, 3, FALSE))</f>
        <v>-1.3698105258920321</v>
      </c>
      <c r="T72" s="1">
        <f>(Main_M[[#This Row],[P/E]]-VLOOKUP(Main_M[[#This Row],[Industry]], Mean_PE_M, 2, FALSE))/(VLOOKUP(Main_M[[#This Row],[Industry]], Mean_PE_M, 3, FALSE))</f>
        <v>5.0181172299155792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3" spans="1:26" x14ac:dyDescent="0.25">
      <c r="A73" s="67" t="s">
        <v>105</v>
      </c>
      <c r="B73" s="67" t="s">
        <v>702</v>
      </c>
      <c r="C73" s="2">
        <v>2641</v>
      </c>
      <c r="D73">
        <f>RTD("tos.rtd", , "LAST", Main_M[[#This Row],[Symbol]])</f>
        <v>67.75</v>
      </c>
      <c r="E73">
        <v>-20.13</v>
      </c>
      <c r="F73">
        <v>50.88</v>
      </c>
      <c r="G73">
        <v>8.33</v>
      </c>
      <c r="H73" s="1">
        <f>IF(ISNUMBER(Main_M[[#This Row],[Free CF]]),IF(Main_M[[#This Row],[Free CF]]&lt;&gt;0,Main_M[[#This Row],[Current Price]]/Main_M[[#This Row],[Free CF]],""),"")</f>
        <v>-3.3656234475906608</v>
      </c>
      <c r="I73" s="1">
        <f>IF(ISNUMBER(Main_M[[#This Row],[BVPS]]),IF(Main_M[[#This Row],[BVPS]]&lt;&gt;0,Main_M[[#This Row],[Current Price]]/Main_M[[#This Row],[BVPS]],""),"")</f>
        <v>1.331564465408805</v>
      </c>
      <c r="J73">
        <v>13.42</v>
      </c>
      <c r="K73">
        <v>0.76</v>
      </c>
      <c r="L73">
        <v>16.72</v>
      </c>
      <c r="M73" s="1">
        <f>IF(ISNUMBER(Main_M[[#This Row],[EPS]]),IF(Main_M[[#This Row],[EPS]]&lt;&gt;0,Main_M[[#This Row],[Current Price]]/Main_M[[#This Row],[EPS]],""),"")</f>
        <v>8.1332533013205275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-3.1000439703098448</v>
      </c>
      <c r="P73" s="1">
        <f>(Main_M[[#This Row],[P/B]]-VLOOKUP(Main_M[[#This Row],[Industry]], Mean_PB_M, 2, FALSE))/(VLOOKUP(Main_M[[#This Row],[Industry]], Mean_PB_M, 3, FALSE))</f>
        <v>0.14685694294700891</v>
      </c>
      <c r="Q73" s="1">
        <f>(Main_M[[#This Row],[ROE]]-VLOOKUP(Main_M[[#This Row],[Industry]], Mean_ROE_M, 2, FALSE))/(VLOOKUP(Main_M[[#This Row],[Industry]], Mean_ROE_M, 3, FALSE))</f>
        <v>1.0323504763662397</v>
      </c>
      <c r="R73" s="1">
        <f>(Main_M[[#This Row],[ROA]]-VLOOKUP(Main_M[[#This Row],[Industry]], Mean_ROA_M, 2, FALSE))/(VLOOKUP(Main_M[[#This Row],[Industry]], Mean_ROA_M, 3, FALSE))</f>
        <v>-0.74679948769980287</v>
      </c>
      <c r="S73" s="1">
        <f>(Main_M[[#This Row],[A/E]]-VLOOKUP(Main_M[[#This Row],[Industry]], Mean_AE_M, 2, FALSE))/(VLOOKUP(Main_M[[#This Row],[Industry]], Mean_AE_M, 3, FALSE))</f>
        <v>3.8225849785991723</v>
      </c>
      <c r="T73" s="1">
        <f>(Main_M[[#This Row],[P/E]]-VLOOKUP(Main_M[[#This Row],[Industry]], Mean_PE_M, 2, FALSE))/(VLOOKUP(Main_M[[#This Row],[Industry]], Mean_PE_M, 3, FALSE))</f>
        <v>-1.5402990301183632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7" t="s">
        <v>105</v>
      </c>
      <c r="B74" s="67" t="s">
        <v>319</v>
      </c>
      <c r="C74" s="2">
        <v>7994</v>
      </c>
      <c r="D74">
        <f>RTD("tos.rtd", , "LAST", Main_M[[#This Row],[Symbol]])</f>
        <v>73.91</v>
      </c>
      <c r="E74">
        <v>-30.64</v>
      </c>
      <c r="F74">
        <v>60.78</v>
      </c>
      <c r="G74">
        <v>7.28</v>
      </c>
      <c r="H74" s="1">
        <f>IF(ISNUMBER(Main_M[[#This Row],[Free CF]]),IF(Main_M[[#This Row],[Free CF]]&lt;&gt;0,Main_M[[#This Row],[Current Price]]/Main_M[[#This Row],[Free CF]],""),"")</f>
        <v>-2.4122062663185377</v>
      </c>
      <c r="I74" s="1">
        <f>IF(ISNUMBER(Main_M[[#This Row],[BVPS]]),IF(Main_M[[#This Row],[BVPS]]&lt;&gt;0,Main_M[[#This Row],[Current Price]]/Main_M[[#This Row],[BVPS]],""),"")</f>
        <v>1.2160250082263901</v>
      </c>
      <c r="J74">
        <v>12.09</v>
      </c>
      <c r="K74">
        <v>1.01</v>
      </c>
      <c r="L74">
        <v>12.53</v>
      </c>
      <c r="M74" s="1">
        <f>IF(ISNUMBER(Main_M[[#This Row],[EPS]]),IF(Main_M[[#This Row],[EPS]]&lt;&gt;0,Main_M[[#This Row],[Current Price]]/Main_M[[#This Row],[EPS]],""),"")</f>
        <v>10.152472527472527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-2.8983732911199911</v>
      </c>
      <c r="P74" s="1">
        <f>(Main_M[[#This Row],[P/B]]-VLOOKUP(Main_M[[#This Row],[Industry]], Mean_PB_M, 2, FALSE))/(VLOOKUP(Main_M[[#This Row],[Industry]], Mean_PB_M, 3, FALSE))</f>
        <v>-0.10088940394166794</v>
      </c>
      <c r="Q74" s="1">
        <f>(Main_M[[#This Row],[ROE]]-VLOOKUP(Main_M[[#This Row],[Industry]], Mean_ROE_M, 2, FALSE))/(VLOOKUP(Main_M[[#This Row],[Industry]], Mean_ROE_M, 3, FALSE))</f>
        <v>0.66328704481285938</v>
      </c>
      <c r="R74" s="1">
        <f>(Main_M[[#This Row],[ROA]]-VLOOKUP(Main_M[[#This Row],[Industry]], Mean_ROA_M, 2, FALSE))/(VLOOKUP(Main_M[[#This Row],[Industry]], Mean_ROA_M, 3, FALSE))</f>
        <v>-0.26049178053401995</v>
      </c>
      <c r="S74" s="1">
        <f>(Main_M[[#This Row],[A/E]]-VLOOKUP(Main_M[[#This Row],[Industry]], Mean_AE_M, 2, FALSE))/(VLOOKUP(Main_M[[#This Row],[Industry]], Mean_AE_M, 3, FALSE))</f>
        <v>1.8155612549997124</v>
      </c>
      <c r="T74" s="1">
        <f>(Main_M[[#This Row],[P/E]]-VLOOKUP(Main_M[[#This Row],[Industry]], Mean_PE_M, 2, FALSE))/(VLOOKUP(Main_M[[#This Row],[Industry]], Mean_PE_M, 3, FALSE))</f>
        <v>-0.96293820872695479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7" t="s">
        <v>172</v>
      </c>
      <c r="B75" s="67" t="s">
        <v>692</v>
      </c>
      <c r="C75" s="2">
        <v>4955</v>
      </c>
      <c r="D75">
        <f>RTD("tos.rtd", , "LAST", Main_M[[#This Row],[Symbol]])</f>
        <v>75.97</v>
      </c>
      <c r="H75" s="1" t="str">
        <f>IF(ISNUMBER(Main_M[[#This Row],[Free CF]]),IF(Main_M[[#This Row],[Free CF]]&lt;&gt;0,Main_M[[#This Row],[Current Price]]/Main_M[[#This Row],[Free CF]],""),"")</f>
        <v/>
      </c>
      <c r="I75" s="1" t="str">
        <f>IF(ISNUMBER(Main_M[[#This Row],[BVPS]]),IF(Main_M[[#This Row],[BVPS]]&lt;&gt;0,Main_M[[#This Row],[Current Price]]/Main_M[[#This Row],[BVPS]],""),"")</f>
        <v/>
      </c>
      <c r="J75">
        <v>26.91</v>
      </c>
      <c r="K75">
        <v>19.32</v>
      </c>
      <c r="L75">
        <v>2.74</v>
      </c>
      <c r="M75" s="1" t="str">
        <f>IF(ISNUMBER(Main_M[[#This Row],[EPS]]),IF(Main_M[[#This Row],[EPS]]&lt;&gt;0,Main_M[[#This Row],[Current Price]]/Main_M[[#This Row],[EPS]],""),"")</f>
        <v/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 t="e">
        <f>(Main_M[[#This Row],[P/FCF]]-VLOOKUP(Main_M[[#This Row],[Industry]], Mean_PFCF_M, 2, FALSE))/(VLOOKUP(Main_M[[#This Row],[Industry]], Mean_PFCF_M, 3, FALSE))</f>
        <v>#VALUE!</v>
      </c>
      <c r="P75" s="1" t="e">
        <f>(Main_M[[#This Row],[P/B]]-VLOOKUP(Main_M[[#This Row],[Industry]], Mean_PB_M, 2, FALSE))/(VLOOKUP(Main_M[[#This Row],[Industry]], Mean_PB_M, 3, FALSE))</f>
        <v>#VALUE!</v>
      </c>
      <c r="Q75" s="1">
        <f>(Main_M[[#This Row],[ROE]]-VLOOKUP(Main_M[[#This Row],[Industry]], Mean_ROE_M, 2, FALSE))/(VLOOKUP(Main_M[[#This Row],[Industry]], Mean_ROE_M, 3, FALSE))</f>
        <v>0.56337804834220495</v>
      </c>
      <c r="R75" s="1">
        <f>(Main_M[[#This Row],[ROA]]-VLOOKUP(Main_M[[#This Row],[Industry]], Mean_ROA_M, 2, FALSE))/(VLOOKUP(Main_M[[#This Row],[Industry]], Mean_ROA_M, 3, FALSE))</f>
        <v>2.1842709968155662</v>
      </c>
      <c r="S75" s="1">
        <f>(Main_M[[#This Row],[A/E]]-VLOOKUP(Main_M[[#This Row],[Industry]], Mean_AE_M, 2, FALSE))/(VLOOKUP(Main_M[[#This Row],[Industry]], Mean_AE_M, 3, FALSE))</f>
        <v>0.11487891447449236</v>
      </c>
      <c r="T75" s="1" t="e">
        <f>(Main_M[[#This Row],[P/E]]-VLOOKUP(Main_M[[#This Row],[Industry]], Mean_PE_M, 2, FALSE))/(VLOOKUP(Main_M[[#This Row],[Industry]], Mean_PE_M, 3, FALSE))</f>
        <v>#VALUE!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6" spans="1:26" x14ac:dyDescent="0.25">
      <c r="A76" s="67" t="s">
        <v>172</v>
      </c>
      <c r="B76" s="67" t="s">
        <v>363</v>
      </c>
      <c r="C76" s="2">
        <v>5003</v>
      </c>
      <c r="D76">
        <f>RTD("tos.rtd", , "LAST", Main_M[[#This Row],[Symbol]])</f>
        <v>182.85</v>
      </c>
      <c r="E76">
        <v>30.72</v>
      </c>
      <c r="F76">
        <v>107.71</v>
      </c>
      <c r="G76">
        <v>13.18</v>
      </c>
      <c r="H76" s="1">
        <f>IF(ISNUMBER(Main_M[[#This Row],[Free CF]]),IF(Main_M[[#This Row],[Free CF]]&lt;&gt;0,Main_M[[#This Row],[Current Price]]/Main_M[[#This Row],[Free CF]],""),"")</f>
        <v>5.9521484375</v>
      </c>
      <c r="I76" s="1">
        <f>IF(ISNUMBER(Main_M[[#This Row],[BVPS]]),IF(Main_M[[#This Row],[BVPS]]&lt;&gt;0,Main_M[[#This Row],[Current Price]]/Main_M[[#This Row],[BVPS]],""),"")</f>
        <v>1.6976139634202954</v>
      </c>
      <c r="J76">
        <v>13.67</v>
      </c>
      <c r="K76">
        <v>4.17</v>
      </c>
      <c r="L76">
        <v>2.73</v>
      </c>
      <c r="M76" s="1">
        <f>IF(ISNUMBER(Main_M[[#This Row],[EPS]]),IF(Main_M[[#This Row],[EPS]]&lt;&gt;0,Main_M[[#This Row],[Current Price]]/Main_M[[#This Row],[EPS]],""),"")</f>
        <v>13.873292867981791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-0.80939162161033629</v>
      </c>
      <c r="P76" s="1">
        <f>(Main_M[[#This Row],[P/B]]-VLOOKUP(Main_M[[#This Row],[Industry]], Mean_PB_M, 2, FALSE))/(VLOOKUP(Main_M[[#This Row],[Industry]], Mean_PB_M, 3, FALSE))</f>
        <v>-0.67874836829727014</v>
      </c>
      <c r="Q76" s="1">
        <f>(Main_M[[#This Row],[ROE]]-VLOOKUP(Main_M[[#This Row],[Industry]], Mean_ROE_M, 2, FALSE))/(VLOOKUP(Main_M[[#This Row],[Industry]], Mean_ROE_M, 3, FALSE))</f>
        <v>-0.19433313320409537</v>
      </c>
      <c r="R76" s="1">
        <f>(Main_M[[#This Row],[ROA]]-VLOOKUP(Main_M[[#This Row],[Industry]], Mean_ROA_M, 2, FALSE))/(VLOOKUP(Main_M[[#This Row],[Industry]], Mean_ROA_M, 3, FALSE))</f>
        <v>-0.51115844697656121</v>
      </c>
      <c r="S76" s="1">
        <f>(Main_M[[#This Row],[A/E]]-VLOOKUP(Main_M[[#This Row],[Industry]], Mean_AE_M, 2, FALSE))/(VLOOKUP(Main_M[[#This Row],[Industry]], Mean_AE_M, 3, FALSE))</f>
        <v>0.10866345081822305</v>
      </c>
      <c r="T76" s="1">
        <f>(Main_M[[#This Row],[P/E]]-VLOOKUP(Main_M[[#This Row],[Industry]], Mean_PE_M, 2, FALSE))/(VLOOKUP(Main_M[[#This Row],[Industry]], Mean_PE_M, 3, FALSE))</f>
        <v>-0.49558366911890328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s="67" t="s">
        <v>172</v>
      </c>
      <c r="B77" s="67" t="s">
        <v>387</v>
      </c>
      <c r="C77" s="2">
        <v>3681</v>
      </c>
      <c r="D77">
        <f>RTD("tos.rtd", , "LAST", Main_M[[#This Row],[Symbol]])</f>
        <v>155.18</v>
      </c>
      <c r="E77">
        <v>19.239999999999998</v>
      </c>
      <c r="F77">
        <v>6.01</v>
      </c>
      <c r="G77">
        <v>5.63</v>
      </c>
      <c r="H77" s="1">
        <f>IF(ISNUMBER(Main_M[[#This Row],[Free CF]]),IF(Main_M[[#This Row],[Free CF]]&lt;&gt;0,Main_M[[#This Row],[Current Price]]/Main_M[[#This Row],[Free CF]],""),"")</f>
        <v>8.0654885654885664</v>
      </c>
      <c r="I77" s="1">
        <f>IF(ISNUMBER(Main_M[[#This Row],[BVPS]]),IF(Main_M[[#This Row],[BVPS]]&lt;&gt;0,Main_M[[#This Row],[Current Price]]/Main_M[[#This Row],[BVPS]],""),"")</f>
        <v>25.82029950083195</v>
      </c>
      <c r="J77">
        <v>31.38</v>
      </c>
      <c r="K77">
        <v>19.22</v>
      </c>
      <c r="L77">
        <v>9.3800000000000008</v>
      </c>
      <c r="M77" s="1">
        <f>IF(ISNUMBER(Main_M[[#This Row],[EPS]]),IF(Main_M[[#This Row],[EPS]]&lt;&gt;0,Main_M[[#This Row],[Current Price]]/Main_M[[#This Row],[EPS]],""),"")</f>
        <v>27.563055062166963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-0.46769036587288776</v>
      </c>
      <c r="P77" s="1">
        <f>(Main_M[[#This Row],[P/B]]-VLOOKUP(Main_M[[#This Row],[Industry]], Mean_PB_M, 2, FALSE))/(VLOOKUP(Main_M[[#This Row],[Industry]], Mean_PB_M, 3, FALSE))</f>
        <v>7.6353621584279248</v>
      </c>
      <c r="Q77" s="1">
        <f>(Main_M[[#This Row],[ROE]]-VLOOKUP(Main_M[[#This Row],[Industry]], Mean_ROE_M, 2, FALSE))/(VLOOKUP(Main_M[[#This Row],[Industry]], Mean_ROE_M, 3, FALSE))</f>
        <v>0.81919141552588781</v>
      </c>
      <c r="R77" s="1">
        <f>(Main_M[[#This Row],[ROA]]-VLOOKUP(Main_M[[#This Row],[Industry]], Mean_ROA_M, 2, FALSE))/(VLOOKUP(Main_M[[#This Row],[Industry]], Mean_ROA_M, 3, FALSE))</f>
        <v>2.1664793833251892</v>
      </c>
      <c r="S77" s="1">
        <f>(Main_M[[#This Row],[A/E]]-VLOOKUP(Main_M[[#This Row],[Industry]], Mean_AE_M, 2, FALSE))/(VLOOKUP(Main_M[[#This Row],[Industry]], Mean_AE_M, 3, FALSE))</f>
        <v>4.2419467822372132</v>
      </c>
      <c r="T77" s="1">
        <f>(Main_M[[#This Row],[P/E]]-VLOOKUP(Main_M[[#This Row],[Industry]], Mean_PE_M, 2, FALSE))/(VLOOKUP(Main_M[[#This Row],[Industry]], Mean_PE_M, 3, FALSE))</f>
        <v>1.0559151113247642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s="67" t="s">
        <v>172</v>
      </c>
      <c r="B78" s="67" t="s">
        <v>381</v>
      </c>
      <c r="C78" s="2">
        <v>8949</v>
      </c>
      <c r="D78">
        <f>RTD("tos.rtd", , "LAST", Main_M[[#This Row],[Symbol]])</f>
        <v>247.66</v>
      </c>
      <c r="E78">
        <v>17.46</v>
      </c>
      <c r="F78">
        <v>38.97</v>
      </c>
      <c r="G78">
        <v>10.47</v>
      </c>
      <c r="H78" s="1">
        <f>IF(ISNUMBER(Main_M[[#This Row],[Free CF]]),IF(Main_M[[#This Row],[Free CF]]&lt;&gt;0,Main_M[[#This Row],[Current Price]]/Main_M[[#This Row],[Free CF]],""),"")</f>
        <v>14.184421534936998</v>
      </c>
      <c r="I78" s="1">
        <f>IF(ISNUMBER(Main_M[[#This Row],[BVPS]]),IF(Main_M[[#This Row],[BVPS]]&lt;&gt;0,Main_M[[#This Row],[Current Price]]/Main_M[[#This Row],[BVPS]],""),"")</f>
        <v>6.3551449833205034</v>
      </c>
      <c r="J78">
        <v>28.14</v>
      </c>
      <c r="K78">
        <v>15.24</v>
      </c>
      <c r="L78">
        <v>2.17</v>
      </c>
      <c r="M78" s="1">
        <f>IF(ISNUMBER(Main_M[[#This Row],[EPS]]),IF(Main_M[[#This Row],[EPS]]&lt;&gt;0,Main_M[[#This Row],[Current Price]]/Main_M[[#This Row],[EPS]],""),"")</f>
        <v>23.654250238777458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0.52166626997721988</v>
      </c>
      <c r="P78" s="1">
        <f>(Main_M[[#This Row],[P/B]]-VLOOKUP(Main_M[[#This Row],[Industry]], Mean_PB_M, 2, FALSE))/(VLOOKUP(Main_M[[#This Row],[Industry]], Mean_PB_M, 3, FALSE))</f>
        <v>0.92651351769987333</v>
      </c>
      <c r="Q78" s="1">
        <f>(Main_M[[#This Row],[ROE]]-VLOOKUP(Main_M[[#This Row],[Industry]], Mean_ROE_M, 2, FALSE))/(VLOOKUP(Main_M[[#This Row],[Industry]], Mean_ROE_M, 3, FALSE))</f>
        <v>0.63376964602362107</v>
      </c>
      <c r="R78" s="1">
        <f>(Main_M[[#This Row],[ROA]]-VLOOKUP(Main_M[[#This Row],[Industry]], Mean_ROA_M, 2, FALSE))/(VLOOKUP(Main_M[[#This Row],[Industry]], Mean_ROA_M, 3, FALSE))</f>
        <v>1.4583731664081816</v>
      </c>
      <c r="S78" s="1">
        <f>(Main_M[[#This Row],[A/E]]-VLOOKUP(Main_M[[#This Row],[Industry]], Mean_AE_M, 2, FALSE))/(VLOOKUP(Main_M[[#This Row],[Industry]], Mean_AE_M, 3, FALSE))</f>
        <v>-0.23940251393284981</v>
      </c>
      <c r="T78" s="1">
        <f>(Main_M[[#This Row],[P/E]]-VLOOKUP(Main_M[[#This Row],[Industry]], Mean_PE_M, 2, FALSE))/(VLOOKUP(Main_M[[#This Row],[Industry]], Mean_PE_M, 3, FALSE))</f>
        <v>0.61291940179687432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s="67" t="s">
        <v>172</v>
      </c>
      <c r="B79" s="67" t="s">
        <v>386</v>
      </c>
      <c r="C79" s="2">
        <v>4132</v>
      </c>
      <c r="D79">
        <f>RTD("tos.rtd", , "LAST", Main_M[[#This Row],[Symbol]])</f>
        <v>263.74</v>
      </c>
      <c r="E79">
        <v>17.3</v>
      </c>
      <c r="F79">
        <v>73.47</v>
      </c>
      <c r="G79">
        <v>11.46</v>
      </c>
      <c r="H79" s="1">
        <f>IF(ISNUMBER(Main_M[[#This Row],[Free CF]]),IF(Main_M[[#This Row],[Free CF]]&lt;&gt;0,Main_M[[#This Row],[Current Price]]/Main_M[[#This Row],[Free CF]],""),"")</f>
        <v>15.245086705202311</v>
      </c>
      <c r="I79" s="1">
        <f>IF(ISNUMBER(Main_M[[#This Row],[BVPS]]),IF(Main_M[[#This Row],[BVPS]]&lt;&gt;0,Main_M[[#This Row],[Current Price]]/Main_M[[#This Row],[BVPS]],""),"")</f>
        <v>3.5897645297400302</v>
      </c>
      <c r="J79">
        <v>10.7</v>
      </c>
      <c r="K79">
        <v>7.94</v>
      </c>
      <c r="L79">
        <v>1.5</v>
      </c>
      <c r="M79" s="1">
        <f>IF(ISNUMBER(Main_M[[#This Row],[EPS]]),IF(Main_M[[#This Row],[EPS]]&lt;&gt;0,Main_M[[#This Row],[Current Price]]/Main_M[[#This Row],[EPS]],""),"")</f>
        <v>23.01396160558464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0.69316285767585317</v>
      </c>
      <c r="P79" s="1">
        <f>(Main_M[[#This Row],[P/B]]-VLOOKUP(Main_M[[#This Row],[Industry]], Mean_PB_M, 2, FALSE))/(VLOOKUP(Main_M[[#This Row],[Industry]], Mean_PB_M, 3, FALSE))</f>
        <v>-2.6600873475848677E-2</v>
      </c>
      <c r="Q79" s="1">
        <f>(Main_M[[#This Row],[ROE]]-VLOOKUP(Main_M[[#This Row],[Industry]], Mean_ROE_M, 2, FALSE))/(VLOOKUP(Main_M[[#This Row],[Industry]], Mean_ROE_M, 3, FALSE))</f>
        <v>-0.36430308858117333</v>
      </c>
      <c r="R79" s="1">
        <f>(Main_M[[#This Row],[ROA]]-VLOOKUP(Main_M[[#This Row],[Industry]], Mean_ROA_M, 2, FALSE))/(VLOOKUP(Main_M[[#This Row],[Industry]], Mean_ROA_M, 3, FALSE))</f>
        <v>0.15958538161065478</v>
      </c>
      <c r="S79" s="1">
        <f>(Main_M[[#This Row],[A/E]]-VLOOKUP(Main_M[[#This Row],[Industry]], Mean_AE_M, 2, FALSE))/(VLOOKUP(Main_M[[#This Row],[Industry]], Mean_AE_M, 3, FALSE))</f>
        <v>-0.65583857890288333</v>
      </c>
      <c r="T79" s="1">
        <f>(Main_M[[#This Row],[P/E]]-VLOOKUP(Main_M[[#This Row],[Industry]], Mean_PE_M, 2, FALSE))/(VLOOKUP(Main_M[[#This Row],[Industry]], Mean_PE_M, 3, FALSE))</f>
        <v>0.54035371223708373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s="67" t="s">
        <v>172</v>
      </c>
      <c r="B80" s="67" t="s">
        <v>385</v>
      </c>
      <c r="C80" s="2">
        <v>3141</v>
      </c>
      <c r="D80">
        <f>RTD("tos.rtd", , "LAST", Main_M[[#This Row],[Symbol]])</f>
        <v>40.69</v>
      </c>
      <c r="E80">
        <v>16.52</v>
      </c>
      <c r="F80">
        <v>12.66</v>
      </c>
      <c r="G80">
        <v>3.09</v>
      </c>
      <c r="H80" s="1">
        <f>IF(ISNUMBER(Main_M[[#This Row],[Free CF]]),IF(Main_M[[#This Row],[Free CF]]&lt;&gt;0,Main_M[[#This Row],[Current Price]]/Main_M[[#This Row],[Free CF]],""),"")</f>
        <v>2.4630750605326877</v>
      </c>
      <c r="I80" s="1">
        <f>IF(ISNUMBER(Main_M[[#This Row],[BVPS]]),IF(Main_M[[#This Row],[BVPS]]&lt;&gt;0,Main_M[[#This Row],[Current Price]]/Main_M[[#This Row],[BVPS]],""),"")</f>
        <v>3.2140600315955763</v>
      </c>
      <c r="J80">
        <v>27.1</v>
      </c>
      <c r="K80">
        <v>1.04</v>
      </c>
      <c r="L80">
        <v>23.28</v>
      </c>
      <c r="M80" s="1">
        <f>IF(ISNUMBER(Main_M[[#This Row],[EPS]]),IF(Main_M[[#This Row],[EPS]]&lt;&gt;0,Main_M[[#This Row],[Current Price]]/Main_M[[#This Row],[EPS]],""),"")</f>
        <v>13.168284789644012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-1.3735321205675779</v>
      </c>
      <c r="P80" s="1">
        <f>(Main_M[[#This Row],[P/B]]-VLOOKUP(Main_M[[#This Row],[Industry]], Mean_PB_M, 2, FALSE))/(VLOOKUP(Main_M[[#This Row],[Industry]], Mean_PB_M, 3, FALSE))</f>
        <v>-0.1560909635454793</v>
      </c>
      <c r="Q80" s="1">
        <f>(Main_M[[#This Row],[ROE]]-VLOOKUP(Main_M[[#This Row],[Industry]], Mean_ROE_M, 2, FALSE))/(VLOOKUP(Main_M[[#This Row],[Industry]], Mean_ROE_M, 3, FALSE))</f>
        <v>0.57425154717104165</v>
      </c>
      <c r="R80" s="1">
        <f>(Main_M[[#This Row],[ROA]]-VLOOKUP(Main_M[[#This Row],[Industry]], Mean_ROA_M, 2, FALSE))/(VLOOKUP(Main_M[[#This Row],[Industry]], Mean_ROA_M, 3, FALSE))</f>
        <v>-1.0680359492253637</v>
      </c>
      <c r="S80" s="1">
        <f>(Main_M[[#This Row],[A/E]]-VLOOKUP(Main_M[[#This Row],[Industry]], Mean_AE_M, 2, FALSE))/(VLOOKUP(Main_M[[#This Row],[Industry]], Mean_AE_M, 3, FALSE))</f>
        <v>12.881441264451343</v>
      </c>
      <c r="T80" s="1">
        <f>(Main_M[[#This Row],[P/E]]-VLOOKUP(Main_M[[#This Row],[Industry]], Mean_PE_M, 2, FALSE))/(VLOOKUP(Main_M[[#This Row],[Industry]], Mean_PE_M, 3, FALSE))</f>
        <v>-0.57548419319145472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s="67" t="s">
        <v>172</v>
      </c>
      <c r="B81" s="67" t="s">
        <v>389</v>
      </c>
      <c r="C81" s="2">
        <v>3453</v>
      </c>
      <c r="D81">
        <f>RTD("tos.rtd", , "LAST", Main_M[[#This Row],[Symbol]])</f>
        <v>41.39</v>
      </c>
      <c r="E81">
        <v>10.98</v>
      </c>
      <c r="F81">
        <v>15.27</v>
      </c>
      <c r="G81">
        <v>3.46</v>
      </c>
      <c r="H81" s="1">
        <f>IF(ISNUMBER(Main_M[[#This Row],[Free CF]]),IF(Main_M[[#This Row],[Free CF]]&lt;&gt;0,Main_M[[#This Row],[Current Price]]/Main_M[[#This Row],[Free CF]],""),"")</f>
        <v>3.7695810564663024</v>
      </c>
      <c r="I81" s="1">
        <f>IF(ISNUMBER(Main_M[[#This Row],[BVPS]]),IF(Main_M[[#This Row],[BVPS]]&lt;&gt;0,Main_M[[#This Row],[Current Price]]/Main_M[[#This Row],[BVPS]],""),"")</f>
        <v>2.710543549443353</v>
      </c>
      <c r="J81">
        <v>41.05</v>
      </c>
      <c r="K81">
        <v>4.04</v>
      </c>
      <c r="L81">
        <v>13.4</v>
      </c>
      <c r="M81" s="1">
        <f>IF(ISNUMBER(Main_M[[#This Row],[EPS]]),IF(Main_M[[#This Row],[EPS]]&lt;&gt;0,Main_M[[#This Row],[Current Price]]/Main_M[[#This Row],[EPS]],""),"")</f>
        <v>11.962427745664741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-1.1622860776204214</v>
      </c>
      <c r="P81" s="1">
        <f>(Main_M[[#This Row],[P/B]]-VLOOKUP(Main_M[[#This Row],[Industry]], Mean_PB_M, 2, FALSE))/(VLOOKUP(Main_M[[#This Row],[Industry]], Mean_PB_M, 3, FALSE))</f>
        <v>-0.32963265641168016</v>
      </c>
      <c r="Q81" s="1">
        <f>(Main_M[[#This Row],[ROE]]-VLOOKUP(Main_M[[#This Row],[Industry]], Mean_ROE_M, 2, FALSE))/(VLOOKUP(Main_M[[#This Row],[Industry]], Mean_ROE_M, 3, FALSE))</f>
        <v>1.3725952769724681</v>
      </c>
      <c r="R81" s="1">
        <f>(Main_M[[#This Row],[ROA]]-VLOOKUP(Main_M[[#This Row],[Industry]], Mean_ROA_M, 2, FALSE))/(VLOOKUP(Main_M[[#This Row],[Industry]], Mean_ROA_M, 3, FALSE))</f>
        <v>-0.53428754451405136</v>
      </c>
      <c r="S81" s="1">
        <f>(Main_M[[#This Row],[A/E]]-VLOOKUP(Main_M[[#This Row],[Industry]], Mean_AE_M, 2, FALSE))/(VLOOKUP(Main_M[[#This Row],[Industry]], Mean_AE_M, 3, FALSE))</f>
        <v>6.7405631720574144</v>
      </c>
      <c r="T81" s="1">
        <f>(Main_M[[#This Row],[P/E]]-VLOOKUP(Main_M[[#This Row],[Industry]], Mean_PE_M, 2, FALSE))/(VLOOKUP(Main_M[[#This Row],[Industry]], Mean_PE_M, 3, FALSE))</f>
        <v>-0.71214732192848407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s="67" t="s">
        <v>172</v>
      </c>
      <c r="B82" s="67" t="s">
        <v>391</v>
      </c>
      <c r="C82" s="2">
        <v>8116</v>
      </c>
      <c r="D82">
        <f>RTD("tos.rtd", , "LAST", Main_M[[#This Row],[Symbol]])</f>
        <v>223.25</v>
      </c>
      <c r="E82">
        <v>9.64</v>
      </c>
      <c r="F82">
        <v>35.86</v>
      </c>
      <c r="G82">
        <v>5.76</v>
      </c>
      <c r="H82" s="1">
        <f>IF(ISNUMBER(Main_M[[#This Row],[Free CF]]),IF(Main_M[[#This Row],[Free CF]]&lt;&gt;0,Main_M[[#This Row],[Current Price]]/Main_M[[#This Row],[Free CF]],""),"")</f>
        <v>23.158713692946058</v>
      </c>
      <c r="I82" s="1">
        <f>IF(ISNUMBER(Main_M[[#This Row],[BVPS]]),IF(Main_M[[#This Row],[BVPS]]&lt;&gt;0,Main_M[[#This Row],[Current Price]]/Main_M[[#This Row],[BVPS]],""),"")</f>
        <v>6.2255995538204125</v>
      </c>
      <c r="J82">
        <v>16.25</v>
      </c>
      <c r="K82">
        <v>11.06</v>
      </c>
      <c r="L82">
        <v>1.39</v>
      </c>
      <c r="M82" s="1">
        <f>IF(ISNUMBER(Main_M[[#This Row],[EPS]]),IF(Main_M[[#This Row],[EPS]]&lt;&gt;0,Main_M[[#This Row],[Current Price]]/Main_M[[#This Row],[EPS]],""),"")</f>
        <v>38.758680555555557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1.9726995698867285</v>
      </c>
      <c r="P82" s="1">
        <f>(Main_M[[#This Row],[P/B]]-VLOOKUP(Main_M[[#This Row],[Industry]], Mean_PB_M, 2, FALSE))/(VLOOKUP(Main_M[[#This Row],[Industry]], Mean_PB_M, 3, FALSE))</f>
        <v>0.88186446660539852</v>
      </c>
      <c r="Q82" s="1">
        <f>(Main_M[[#This Row],[ROE]]-VLOOKUP(Main_M[[#This Row],[Industry]], Mean_ROE_M, 2, FALSE))/(VLOOKUP(Main_M[[#This Row],[Industry]], Mean_ROE_M, 3, FALSE))</f>
        <v>-4.6682464896734735E-2</v>
      </c>
      <c r="R82" s="1">
        <f>(Main_M[[#This Row],[ROA]]-VLOOKUP(Main_M[[#This Row],[Industry]], Mean_ROA_M, 2, FALSE))/(VLOOKUP(Main_M[[#This Row],[Industry]], Mean_ROA_M, 3, FALSE))</f>
        <v>0.71468372251041967</v>
      </c>
      <c r="S82" s="1">
        <f>(Main_M[[#This Row],[A/E]]-VLOOKUP(Main_M[[#This Row],[Industry]], Mean_AE_M, 2, FALSE))/(VLOOKUP(Main_M[[#This Row],[Industry]], Mean_AE_M, 3, FALSE))</f>
        <v>-0.72420867912184417</v>
      </c>
      <c r="T82" s="1">
        <f>(Main_M[[#This Row],[P/E]]-VLOOKUP(Main_M[[#This Row],[Industry]], Mean_PE_M, 2, FALSE))/(VLOOKUP(Main_M[[#This Row],[Industry]], Mean_PE_M, 3, FALSE))</f>
        <v>2.3247464506064994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s="67" t="s">
        <v>172</v>
      </c>
      <c r="B83" s="67" t="s">
        <v>388</v>
      </c>
      <c r="C83" s="2">
        <v>9679</v>
      </c>
      <c r="D83">
        <f>RTD("tos.rtd", , "LAST", Main_M[[#This Row],[Symbol]])</f>
        <v>96.62</v>
      </c>
      <c r="E83">
        <v>7.4</v>
      </c>
      <c r="F83">
        <v>47.08</v>
      </c>
      <c r="G83">
        <v>5.24</v>
      </c>
      <c r="H83" s="1">
        <f>IF(ISNUMBER(Main_M[[#This Row],[Free CF]]),IF(Main_M[[#This Row],[Free CF]]&lt;&gt;0,Main_M[[#This Row],[Current Price]]/Main_M[[#This Row],[Free CF]],""),"")</f>
        <v>13.056756756756757</v>
      </c>
      <c r="I83" s="1">
        <f>IF(ISNUMBER(Main_M[[#This Row],[BVPS]]),IF(Main_M[[#This Row],[BVPS]]&lt;&gt;0,Main_M[[#This Row],[Current Price]]/Main_M[[#This Row],[BVPS]],""),"")</f>
        <v>2.0522514868309263</v>
      </c>
      <c r="J83">
        <v>11.48</v>
      </c>
      <c r="K83">
        <v>1.58</v>
      </c>
      <c r="L83">
        <v>8.32</v>
      </c>
      <c r="M83" s="1">
        <f>IF(ISNUMBER(Main_M[[#This Row],[EPS]]),IF(Main_M[[#This Row],[EPS]]&lt;&gt;0,Main_M[[#This Row],[Current Price]]/Main_M[[#This Row],[EPS]],""),"")</f>
        <v>18.438931297709924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0.33933666498276788</v>
      </c>
      <c r="P83" s="1">
        <f>(Main_M[[#This Row],[P/B]]-VLOOKUP(Main_M[[#This Row],[Industry]], Mean_PB_M, 2, FALSE))/(VLOOKUP(Main_M[[#This Row],[Industry]], Mean_PB_M, 3, FALSE))</f>
        <v>-0.55651920927651011</v>
      </c>
      <c r="Q83" s="1">
        <f>(Main_M[[#This Row],[ROE]]-VLOOKUP(Main_M[[#This Row],[Industry]], Mean_ROE_M, 2, FALSE))/(VLOOKUP(Main_M[[#This Row],[Industry]], Mean_ROE_M, 3, FALSE))</f>
        <v>-0.31966451444173866</v>
      </c>
      <c r="R83" s="1">
        <f>(Main_M[[#This Row],[ROA]]-VLOOKUP(Main_M[[#This Row],[Industry]], Mean_ROA_M, 2, FALSE))/(VLOOKUP(Main_M[[#This Row],[Industry]], Mean_ROA_M, 3, FALSE))</f>
        <v>-0.97196123637732756</v>
      </c>
      <c r="S83" s="1">
        <f>(Main_M[[#This Row],[A/E]]-VLOOKUP(Main_M[[#This Row],[Industry]], Mean_AE_M, 2, FALSE))/(VLOOKUP(Main_M[[#This Row],[Industry]], Mean_AE_M, 3, FALSE))</f>
        <v>3.583107634672682</v>
      </c>
      <c r="T83" s="1">
        <f>(Main_M[[#This Row],[P/E]]-VLOOKUP(Main_M[[#This Row],[Industry]], Mean_PE_M, 2, FALSE))/(VLOOKUP(Main_M[[#This Row],[Industry]], Mean_PE_M, 3, FALSE))</f>
        <v>2.1852817738315076E-2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s="67" t="s">
        <v>172</v>
      </c>
      <c r="B84" s="67" t="s">
        <v>370</v>
      </c>
      <c r="C84" s="2">
        <v>6457</v>
      </c>
      <c r="D84">
        <f>RTD("tos.rtd", , "LAST", Main_M[[#This Row],[Symbol]])</f>
        <v>151.72999999999999</v>
      </c>
      <c r="E84">
        <v>7.28</v>
      </c>
      <c r="F84">
        <v>22.77</v>
      </c>
      <c r="G84">
        <v>5.41</v>
      </c>
      <c r="H84" s="1">
        <f>IF(ISNUMBER(Main_M[[#This Row],[Free CF]]),IF(Main_M[[#This Row],[Free CF]]&lt;&gt;0,Main_M[[#This Row],[Current Price]]/Main_M[[#This Row],[Free CF]],""),"")</f>
        <v>20.842032967032964</v>
      </c>
      <c r="I84" s="1">
        <f>IF(ISNUMBER(Main_M[[#This Row],[BVPS]]),IF(Main_M[[#This Row],[BVPS]]&lt;&gt;0,Main_M[[#This Row],[Current Price]]/Main_M[[#This Row],[BVPS]],""),"")</f>
        <v>6.6635924462011413</v>
      </c>
      <c r="J84">
        <v>39.22</v>
      </c>
      <c r="K84">
        <v>13.36</v>
      </c>
      <c r="L84">
        <v>1.83</v>
      </c>
      <c r="M84" s="1">
        <f>IF(ISNUMBER(Main_M[[#This Row],[EPS]]),IF(Main_M[[#This Row],[EPS]]&lt;&gt;0,Main_M[[#This Row],[Current Price]]/Main_M[[#This Row],[EPS]],""),"")</f>
        <v>28.046210720887242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1.5981206260133212</v>
      </c>
      <c r="P84" s="1">
        <f>(Main_M[[#This Row],[P/B]]-VLOOKUP(Main_M[[#This Row],[Industry]], Mean_PB_M, 2, FALSE))/(VLOOKUP(Main_M[[#This Row],[Industry]], Mean_PB_M, 3, FALSE))</f>
        <v>1.0328228377836752</v>
      </c>
      <c r="Q84" s="1">
        <f>(Main_M[[#This Row],[ROE]]-VLOOKUP(Main_M[[#This Row],[Industry]], Mean_ROE_M, 2, FALSE))/(VLOOKUP(Main_M[[#This Row],[Industry]], Mean_ROE_M, 3, FALSE))</f>
        <v>1.2678663145684099</v>
      </c>
      <c r="R84" s="1">
        <f>(Main_M[[#This Row],[ROA]]-VLOOKUP(Main_M[[#This Row],[Industry]], Mean_ROA_M, 2, FALSE))/(VLOOKUP(Main_M[[#This Row],[Industry]], Mean_ROA_M, 3, FALSE))</f>
        <v>1.1238908327890924</v>
      </c>
      <c r="S84" s="1">
        <f>(Main_M[[#This Row],[A/E]]-VLOOKUP(Main_M[[#This Row],[Industry]], Mean_AE_M, 2, FALSE))/(VLOOKUP(Main_M[[#This Row],[Industry]], Mean_AE_M, 3, FALSE))</f>
        <v>-0.45072827824600109</v>
      </c>
      <c r="T84" s="1">
        <f>(Main_M[[#This Row],[P/E]]-VLOOKUP(Main_M[[#This Row],[Industry]], Mean_PE_M, 2, FALSE))/(VLOOKUP(Main_M[[#This Row],[Industry]], Mean_PE_M, 3, FALSE))</f>
        <v>1.110672484362798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s="67" t="s">
        <v>172</v>
      </c>
      <c r="B85" s="67" t="s">
        <v>383</v>
      </c>
      <c r="C85" s="2">
        <v>4086</v>
      </c>
      <c r="D85">
        <f>RTD("tos.rtd", , "LAST", Main_M[[#This Row],[Symbol]])</f>
        <v>43.94</v>
      </c>
      <c r="E85">
        <v>5.98</v>
      </c>
      <c r="F85">
        <v>6.41</v>
      </c>
      <c r="G85">
        <v>2.87</v>
      </c>
      <c r="H85" s="1">
        <f>IF(ISNUMBER(Main_M[[#This Row],[Free CF]]),IF(Main_M[[#This Row],[Free CF]]&lt;&gt;0,Main_M[[#This Row],[Current Price]]/Main_M[[#This Row],[Free CF]],""),"")</f>
        <v>7.3478260869565206</v>
      </c>
      <c r="I85" s="1">
        <f>IF(ISNUMBER(Main_M[[#This Row],[BVPS]]),IF(Main_M[[#This Row],[BVPS]]&lt;&gt;0,Main_M[[#This Row],[Current Price]]/Main_M[[#This Row],[BVPS]],""),"")</f>
        <v>6.8549141965678624</v>
      </c>
      <c r="J85">
        <v>48.6</v>
      </c>
      <c r="K85">
        <v>7</v>
      </c>
      <c r="L85">
        <v>7.02</v>
      </c>
      <c r="M85" s="1">
        <f>IF(ISNUMBER(Main_M[[#This Row],[EPS]]),IF(Main_M[[#This Row],[EPS]]&lt;&gt;0,Main_M[[#This Row],[Current Price]]/Main_M[[#This Row],[EPS]],""),"")</f>
        <v>15.310104529616723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-0.58372761272318585</v>
      </c>
      <c r="P85" s="1">
        <f>(Main_M[[#This Row],[P/B]]-VLOOKUP(Main_M[[#This Row],[Industry]], Mean_PB_M, 2, FALSE))/(VLOOKUP(Main_M[[#This Row],[Industry]], Mean_PB_M, 3, FALSE))</f>
        <v>1.0987636790821487</v>
      </c>
      <c r="Q85" s="1">
        <f>(Main_M[[#This Row],[ROE]]-VLOOKUP(Main_M[[#This Row],[Industry]], Mean_ROE_M, 2, FALSE))/(VLOOKUP(Main_M[[#This Row],[Industry]], Mean_ROE_M, 3, FALSE))</f>
        <v>1.8046737830657136</v>
      </c>
      <c r="R85" s="1">
        <f>(Main_M[[#This Row],[ROA]]-VLOOKUP(Main_M[[#This Row],[Industry]], Mean_ROA_M, 2, FALSE))/(VLOOKUP(Main_M[[#This Row],[Industry]], Mean_ROA_M, 3, FALSE))</f>
        <v>-7.6557851988898369E-3</v>
      </c>
      <c r="S85" s="1">
        <f>(Main_M[[#This Row],[A/E]]-VLOOKUP(Main_M[[#This Row],[Industry]], Mean_AE_M, 2, FALSE))/(VLOOKUP(Main_M[[#This Row],[Industry]], Mean_AE_M, 3, FALSE))</f>
        <v>2.7750973593576913</v>
      </c>
      <c r="T85" s="1">
        <f>(Main_M[[#This Row],[P/E]]-VLOOKUP(Main_M[[#This Row],[Industry]], Mean_PE_M, 2, FALSE))/(VLOOKUP(Main_M[[#This Row],[Industry]], Mean_PE_M, 3, FALSE))</f>
        <v>-0.3327458119572419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s="67" t="s">
        <v>172</v>
      </c>
      <c r="B86" s="67" t="s">
        <v>364</v>
      </c>
      <c r="C86" s="2">
        <v>2838</v>
      </c>
      <c r="D86">
        <f>RTD("tos.rtd", , "LAST", Main_M[[#This Row],[Symbol]])</f>
        <v>41.36</v>
      </c>
      <c r="E86">
        <v>5.84</v>
      </c>
      <c r="F86">
        <v>5.0599999999999996</v>
      </c>
      <c r="G86">
        <v>3.64</v>
      </c>
      <c r="H86" s="1">
        <f>IF(ISNUMBER(Main_M[[#This Row],[Free CF]]),IF(Main_M[[#This Row],[Free CF]]&lt;&gt;0,Main_M[[#This Row],[Current Price]]/Main_M[[#This Row],[Free CF]],""),"")</f>
        <v>7.0821917808219181</v>
      </c>
      <c r="I86" s="1">
        <f>IF(ISNUMBER(Main_M[[#This Row],[BVPS]]),IF(Main_M[[#This Row],[BVPS]]&lt;&gt;0,Main_M[[#This Row],[Current Price]]/Main_M[[#This Row],[BVPS]],""),"")</f>
        <v>8.1739130434782616</v>
      </c>
      <c r="J86">
        <v>60.8</v>
      </c>
      <c r="K86">
        <v>16.3</v>
      </c>
      <c r="L86">
        <v>3.84</v>
      </c>
      <c r="M86" s="1">
        <f>IF(ISNUMBER(Main_M[[#This Row],[EPS]]),IF(Main_M[[#This Row],[EPS]]&lt;&gt;0,Main_M[[#This Row],[Current Price]]/Main_M[[#This Row],[EPS]],""),"")</f>
        <v>11.362637362637361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-0.62667743171873491</v>
      </c>
      <c r="P86" s="1">
        <f>(Main_M[[#This Row],[P/B]]-VLOOKUP(Main_M[[#This Row],[Industry]], Mean_PB_M, 2, FALSE))/(VLOOKUP(Main_M[[#This Row],[Industry]], Mean_PB_M, 3, FALSE))</f>
        <v>1.5533690413594379</v>
      </c>
      <c r="Q86" s="1">
        <f>(Main_M[[#This Row],[ROE]]-VLOOKUP(Main_M[[#This Row],[Industry]], Mean_ROE_M, 2, FALSE))/(VLOOKUP(Main_M[[#This Row],[Industry]], Mean_ROE_M, 3, FALSE))</f>
        <v>2.502866865759434</v>
      </c>
      <c r="R86" s="1">
        <f>(Main_M[[#This Row],[ROA]]-VLOOKUP(Main_M[[#This Row],[Industry]], Mean_ROA_M, 2, FALSE))/(VLOOKUP(Main_M[[#This Row],[Industry]], Mean_ROA_M, 3, FALSE))</f>
        <v>1.6469642694061786</v>
      </c>
      <c r="S86" s="1">
        <f>(Main_M[[#This Row],[A/E]]-VLOOKUP(Main_M[[#This Row],[Industry]], Mean_AE_M, 2, FALSE))/(VLOOKUP(Main_M[[#This Row],[Industry]], Mean_AE_M, 3, FALSE))</f>
        <v>0.79857991666409944</v>
      </c>
      <c r="T86" s="1">
        <f>(Main_M[[#This Row],[P/E]]-VLOOKUP(Main_M[[#This Row],[Industry]], Mean_PE_M, 2, FALSE))/(VLOOKUP(Main_M[[#This Row],[Industry]], Mean_PE_M, 3, FALSE))</f>
        <v>-0.78012323229046876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s="67" t="s">
        <v>172</v>
      </c>
      <c r="B87" s="67" t="s">
        <v>384</v>
      </c>
      <c r="C87" s="2">
        <v>4237</v>
      </c>
      <c r="D87">
        <f>RTD("tos.rtd", , "LAST", Main_M[[#This Row],[Symbol]])</f>
        <v>58.47</v>
      </c>
      <c r="E87">
        <v>5.62</v>
      </c>
      <c r="F87">
        <v>6.53</v>
      </c>
      <c r="G87">
        <v>2.29</v>
      </c>
      <c r="H87" s="1">
        <f>IF(ISNUMBER(Main_M[[#This Row],[Free CF]]),IF(Main_M[[#This Row],[Free CF]]&lt;&gt;0,Main_M[[#This Row],[Current Price]]/Main_M[[#This Row],[Free CF]],""),"")</f>
        <v>10.40391459074733</v>
      </c>
      <c r="I87" s="1">
        <f>IF(ISNUMBER(Main_M[[#This Row],[BVPS]]),IF(Main_M[[#This Row],[BVPS]]&lt;&gt;0,Main_M[[#This Row],[Current Price]]/Main_M[[#This Row],[BVPS]],""),"")</f>
        <v>8.9540581929555891</v>
      </c>
      <c r="J87">
        <v>39.17</v>
      </c>
      <c r="K87">
        <v>16.93</v>
      </c>
      <c r="L87">
        <v>2.4900000000000002</v>
      </c>
      <c r="M87" s="1">
        <f>IF(ISNUMBER(Main_M[[#This Row],[EPS]]),IF(Main_M[[#This Row],[EPS]]&lt;&gt;0,Main_M[[#This Row],[Current Price]]/Main_M[[#This Row],[EPS]],""),"")</f>
        <v>25.532751091703055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-8.959547300745821E-2</v>
      </c>
      <c r="P87" s="1">
        <f>(Main_M[[#This Row],[P/B]]-VLOOKUP(Main_M[[#This Row],[Industry]], Mean_PB_M, 2, FALSE))/(VLOOKUP(Main_M[[#This Row],[Industry]], Mean_PB_M, 3, FALSE))</f>
        <v>1.8222534070567662</v>
      </c>
      <c r="Q87" s="1">
        <f>(Main_M[[#This Row],[ROE]]-VLOOKUP(Main_M[[#This Row],[Industry]], Mean_ROE_M, 2, FALSE))/(VLOOKUP(Main_M[[#This Row],[Industry]], Mean_ROE_M, 3, FALSE))</f>
        <v>1.26500486750819</v>
      </c>
      <c r="R87" s="1">
        <f>(Main_M[[#This Row],[ROA]]-VLOOKUP(Main_M[[#This Row],[Industry]], Mean_ROA_M, 2, FALSE))/(VLOOKUP(Main_M[[#This Row],[Industry]], Mean_ROA_M, 3, FALSE))</f>
        <v>1.7590514343955541</v>
      </c>
      <c r="S87" s="1">
        <f>(Main_M[[#This Row],[A/E]]-VLOOKUP(Main_M[[#This Row],[Industry]], Mean_AE_M, 2, FALSE))/(VLOOKUP(Main_M[[#This Row],[Industry]], Mean_AE_M, 3, FALSE))</f>
        <v>-4.0507676932236586E-2</v>
      </c>
      <c r="T87" s="1">
        <f>(Main_M[[#This Row],[P/E]]-VLOOKUP(Main_M[[#This Row],[Industry]], Mean_PE_M, 2, FALSE))/(VLOOKUP(Main_M[[#This Row],[Industry]], Mean_PE_M, 3, FALSE))</f>
        <v>0.82581512204644925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s="67" t="s">
        <v>172</v>
      </c>
      <c r="B88" s="67" t="s">
        <v>379</v>
      </c>
      <c r="C88" s="2">
        <v>4169</v>
      </c>
      <c r="D88">
        <f>RTD("tos.rtd", , "LAST", Main_M[[#This Row],[Symbol]])</f>
        <v>63.74</v>
      </c>
      <c r="E88">
        <v>5.43</v>
      </c>
      <c r="F88">
        <v>17.899999999999999</v>
      </c>
      <c r="G88">
        <v>4.5</v>
      </c>
      <c r="H88" s="1">
        <f>IF(ISNUMBER(Main_M[[#This Row],[Free CF]]),IF(Main_M[[#This Row],[Free CF]]&lt;&gt;0,Main_M[[#This Row],[Current Price]]/Main_M[[#This Row],[Free CF]],""),"")</f>
        <v>11.738489871086557</v>
      </c>
      <c r="I88" s="1">
        <f>IF(ISNUMBER(Main_M[[#This Row],[BVPS]]),IF(Main_M[[#This Row],[BVPS]]&lt;&gt;0,Main_M[[#This Row],[Current Price]]/Main_M[[#This Row],[BVPS]],""),"")</f>
        <v>3.5608938547486035</v>
      </c>
      <c r="J88">
        <v>26.57</v>
      </c>
      <c r="K88">
        <v>10.71</v>
      </c>
      <c r="L88">
        <v>2.2599999999999998</v>
      </c>
      <c r="M88" s="1">
        <f>IF(ISNUMBER(Main_M[[#This Row],[EPS]]),IF(Main_M[[#This Row],[EPS]]&lt;&gt;0,Main_M[[#This Row],[Current Price]]/Main_M[[#This Row],[EPS]],""),"")</f>
        <v>14.164444444444445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0.12618902998312631</v>
      </c>
      <c r="P88" s="1">
        <f>(Main_M[[#This Row],[P/B]]-VLOOKUP(Main_M[[#This Row],[Industry]], Mean_PB_M, 2, FALSE))/(VLOOKUP(Main_M[[#This Row],[Industry]], Mean_PB_M, 3, FALSE))</f>
        <v>-3.6551423238959262E-2</v>
      </c>
      <c r="Q88" s="1">
        <f>(Main_M[[#This Row],[ROE]]-VLOOKUP(Main_M[[#This Row],[Industry]], Mean_ROE_M, 2, FALSE))/(VLOOKUP(Main_M[[#This Row],[Industry]], Mean_ROE_M, 3, FALSE))</f>
        <v>0.54392020833270782</v>
      </c>
      <c r="R88" s="1">
        <f>(Main_M[[#This Row],[ROA]]-VLOOKUP(Main_M[[#This Row],[Industry]], Mean_ROA_M, 2, FALSE))/(VLOOKUP(Main_M[[#This Row],[Industry]], Mean_ROA_M, 3, FALSE))</f>
        <v>0.65241307529409998</v>
      </c>
      <c r="S88" s="1">
        <f>(Main_M[[#This Row],[A/E]]-VLOOKUP(Main_M[[#This Row],[Industry]], Mean_AE_M, 2, FALSE))/(VLOOKUP(Main_M[[#This Row],[Industry]], Mean_AE_M, 3, FALSE))</f>
        <v>-0.18346334102642747</v>
      </c>
      <c r="T88" s="1">
        <f>(Main_M[[#This Row],[P/E]]-VLOOKUP(Main_M[[#This Row],[Industry]], Mean_PE_M, 2, FALSE))/(VLOOKUP(Main_M[[#This Row],[Industry]], Mean_PE_M, 3, FALSE))</f>
        <v>-0.46258665212192929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s="67" t="s">
        <v>172</v>
      </c>
      <c r="B89" s="67" t="s">
        <v>373</v>
      </c>
      <c r="C89" s="2">
        <v>5724</v>
      </c>
      <c r="D89">
        <f>RTD("tos.rtd", , "LAST", Main_M[[#This Row],[Symbol]])</f>
        <v>36.78</v>
      </c>
      <c r="E89">
        <v>4.4800000000000004</v>
      </c>
      <c r="F89">
        <v>29.81</v>
      </c>
      <c r="G89">
        <v>2.52</v>
      </c>
      <c r="H89" s="1">
        <f>IF(ISNUMBER(Main_M[[#This Row],[Free CF]]),IF(Main_M[[#This Row],[Free CF]]&lt;&gt;0,Main_M[[#This Row],[Current Price]]/Main_M[[#This Row],[Free CF]],""),"")</f>
        <v>8.2098214285714288</v>
      </c>
      <c r="I89" s="1">
        <f>IF(ISNUMBER(Main_M[[#This Row],[BVPS]]),IF(Main_M[[#This Row],[BVPS]]&lt;&gt;0,Main_M[[#This Row],[Current Price]]/Main_M[[#This Row],[BVPS]],""),"")</f>
        <v>1.2338141563233815</v>
      </c>
      <c r="J89">
        <v>8.3699999999999992</v>
      </c>
      <c r="K89">
        <v>6.31</v>
      </c>
      <c r="L89">
        <v>1.52</v>
      </c>
      <c r="M89" s="1">
        <f>IF(ISNUMBER(Main_M[[#This Row],[EPS]]),IF(Main_M[[#This Row],[EPS]]&lt;&gt;0,Main_M[[#This Row],[Current Price]]/Main_M[[#This Row],[EPS]],""),"")</f>
        <v>14.595238095238095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-0.44435350688534003</v>
      </c>
      <c r="P89" s="1">
        <f>(Main_M[[#This Row],[P/B]]-VLOOKUP(Main_M[[#This Row],[Industry]], Mean_PB_M, 2, FALSE))/(VLOOKUP(Main_M[[#This Row],[Industry]], Mean_PB_M, 3, FALSE))</f>
        <v>-0.83860133543466464</v>
      </c>
      <c r="Q89" s="1">
        <f>(Main_M[[#This Row],[ROE]]-VLOOKUP(Main_M[[#This Row],[Industry]], Mean_ROE_M, 2, FALSE))/(VLOOKUP(Main_M[[#This Row],[Industry]], Mean_ROE_M, 3, FALSE))</f>
        <v>-0.49764652158743311</v>
      </c>
      <c r="R89" s="1">
        <f>(Main_M[[#This Row],[ROA]]-VLOOKUP(Main_M[[#This Row],[Industry]], Mean_ROA_M, 2, FALSE))/(VLOOKUP(Main_M[[#This Row],[Industry]], Mean_ROA_M, 3, FALSE))</f>
        <v>-0.13041791828249175</v>
      </c>
      <c r="S89" s="1">
        <f>(Main_M[[#This Row],[A/E]]-VLOOKUP(Main_M[[#This Row],[Industry]], Mean_AE_M, 2, FALSE))/(VLOOKUP(Main_M[[#This Row],[Industry]], Mean_AE_M, 3, FALSE))</f>
        <v>-0.64340765159034496</v>
      </c>
      <c r="T89" s="1">
        <f>(Main_M[[#This Row],[P/E]]-VLOOKUP(Main_M[[#This Row],[Industry]], Mean_PE_M, 2, FALSE))/(VLOOKUP(Main_M[[#This Row],[Industry]], Mean_PE_M, 3, FALSE))</f>
        <v>-0.41376361090700448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s="67" t="s">
        <v>172</v>
      </c>
      <c r="B90" s="67" t="s">
        <v>367</v>
      </c>
      <c r="C90" s="2">
        <v>3338</v>
      </c>
      <c r="D90">
        <f>RTD("tos.rtd", , "LAST", Main_M[[#This Row],[Symbol]])</f>
        <v>42.06</v>
      </c>
      <c r="E90">
        <v>4.3499999999999996</v>
      </c>
      <c r="F90">
        <v>14.26</v>
      </c>
      <c r="G90">
        <v>3.58</v>
      </c>
      <c r="H90" s="1">
        <f>IF(ISNUMBER(Main_M[[#This Row],[Free CF]]),IF(Main_M[[#This Row],[Free CF]]&lt;&gt;0,Main_M[[#This Row],[Current Price]]/Main_M[[#This Row],[Free CF]],""),"")</f>
        <v>9.6689655172413804</v>
      </c>
      <c r="I90" s="1">
        <f>IF(ISNUMBER(Main_M[[#This Row],[BVPS]]),IF(Main_M[[#This Row],[BVPS]]&lt;&gt;0,Main_M[[#This Row],[Current Price]]/Main_M[[#This Row],[BVPS]],""),"")</f>
        <v>2.9495091164095375</v>
      </c>
      <c r="J90">
        <v>25.15</v>
      </c>
      <c r="K90">
        <v>14.02</v>
      </c>
      <c r="L90">
        <v>1.86</v>
      </c>
      <c r="M90" s="1">
        <f>IF(ISNUMBER(Main_M[[#This Row],[EPS]]),IF(Main_M[[#This Row],[EPS]]&lt;&gt;0,Main_M[[#This Row],[Current Price]]/Main_M[[#This Row],[EPS]],""),"")</f>
        <v>11.748603351955307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0" s="1">
        <f>(Main_M[[#This Row],[P/FCF]]-VLOOKUP(Main_M[[#This Row],[Industry]], Mean_PFCF_M, 2, FALSE))/(VLOOKUP(Main_M[[#This Row],[Industry]], Mean_PFCF_M, 3, FALSE))</f>
        <v>-0.20842775087608542</v>
      </c>
      <c r="P90" s="1">
        <f>(Main_M[[#This Row],[P/B]]-VLOOKUP(Main_M[[#This Row],[Industry]], Mean_PB_M, 2, FALSE))/(VLOOKUP(Main_M[[#This Row],[Industry]], Mean_PB_M, 3, FALSE))</f>
        <v>-0.24727092546936361</v>
      </c>
      <c r="Q90" s="1">
        <f>(Main_M[[#This Row],[ROE]]-VLOOKUP(Main_M[[#This Row],[Industry]], Mean_ROE_M, 2, FALSE))/(VLOOKUP(Main_M[[#This Row],[Industry]], Mean_ROE_M, 3, FALSE))</f>
        <v>0.46265511182245495</v>
      </c>
      <c r="R90" s="1">
        <f>(Main_M[[#This Row],[ROA]]-VLOOKUP(Main_M[[#This Row],[Industry]], Mean_ROA_M, 2, FALSE))/(VLOOKUP(Main_M[[#This Row],[Industry]], Mean_ROA_M, 3, FALSE))</f>
        <v>1.2413154818255812</v>
      </c>
      <c r="S90" s="1">
        <f>(Main_M[[#This Row],[A/E]]-VLOOKUP(Main_M[[#This Row],[Industry]], Mean_AE_M, 2, FALSE))/(VLOOKUP(Main_M[[#This Row],[Industry]], Mean_AE_M, 3, FALSE))</f>
        <v>-0.4320818872771936</v>
      </c>
      <c r="T90" s="1">
        <f>(Main_M[[#This Row],[P/E]]-VLOOKUP(Main_M[[#This Row],[Industry]], Mean_PE_M, 2, FALSE))/(VLOOKUP(Main_M[[#This Row],[Industry]], Mean_PE_M, 3, FALSE))</f>
        <v>-0.7363806344845053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s="67" t="s">
        <v>172</v>
      </c>
      <c r="B91" s="67" t="s">
        <v>368</v>
      </c>
      <c r="C91" s="2">
        <v>5940</v>
      </c>
      <c r="D91">
        <f>RTD("tos.rtd", , "LAST", Main_M[[#This Row],[Symbol]])</f>
        <v>21.41</v>
      </c>
      <c r="E91">
        <v>3.63</v>
      </c>
      <c r="F91">
        <v>23.37</v>
      </c>
      <c r="G91">
        <v>1.9</v>
      </c>
      <c r="H91" s="1">
        <f>IF(ISNUMBER(Main_M[[#This Row],[Free CF]]),IF(Main_M[[#This Row],[Free CF]]&lt;&gt;0,Main_M[[#This Row],[Current Price]]/Main_M[[#This Row],[Free CF]],""),"")</f>
        <v>5.898071625344353</v>
      </c>
      <c r="I91" s="1">
        <f>IF(ISNUMBER(Main_M[[#This Row],[BVPS]]),IF(Main_M[[#This Row],[BVPS]]&lt;&gt;0,Main_M[[#This Row],[Current Price]]/Main_M[[#This Row],[BVPS]],""),"")</f>
        <v>0.9161317928968763</v>
      </c>
      <c r="J91">
        <v>7.97</v>
      </c>
      <c r="K91">
        <v>5.29</v>
      </c>
      <c r="L91">
        <v>2.2799999999999998</v>
      </c>
      <c r="M91" s="1">
        <f>IF(ISNUMBER(Main_M[[#This Row],[EPS]]),IF(Main_M[[#This Row],[EPS]]&lt;&gt;0,Main_M[[#This Row],[Current Price]]/Main_M[[#This Row],[EPS]],""),"")</f>
        <v>11.268421052631579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-0.81813518085815584</v>
      </c>
      <c r="P91" s="1">
        <f>(Main_M[[#This Row],[P/B]]-VLOOKUP(Main_M[[#This Row],[Industry]], Mean_PB_M, 2, FALSE))/(VLOOKUP(Main_M[[#This Row],[Industry]], Mean_PB_M, 3, FALSE))</f>
        <v>-0.94809355087738401</v>
      </c>
      <c r="Q91" s="1">
        <f>(Main_M[[#This Row],[ROE]]-VLOOKUP(Main_M[[#This Row],[Industry]], Mean_ROE_M, 2, FALSE))/(VLOOKUP(Main_M[[#This Row],[Industry]], Mean_ROE_M, 3, FALSE))</f>
        <v>-0.52053809806919449</v>
      </c>
      <c r="R91" s="1">
        <f>(Main_M[[#This Row],[ROA]]-VLOOKUP(Main_M[[#This Row],[Industry]], Mean_ROA_M, 2, FALSE))/(VLOOKUP(Main_M[[#This Row],[Industry]], Mean_ROA_M, 3, FALSE))</f>
        <v>-0.31189237588433788</v>
      </c>
      <c r="S91" s="1">
        <f>(Main_M[[#This Row],[A/E]]-VLOOKUP(Main_M[[#This Row],[Industry]], Mean_AE_M, 2, FALSE))/(VLOOKUP(Main_M[[#This Row],[Industry]], Mean_AE_M, 3, FALSE))</f>
        <v>-0.17103241371388914</v>
      </c>
      <c r="T91" s="1">
        <f>(Main_M[[#This Row],[P/E]]-VLOOKUP(Main_M[[#This Row],[Industry]], Mean_PE_M, 2, FALSE))/(VLOOKUP(Main_M[[#This Row],[Industry]], Mean_PE_M, 3, FALSE))</f>
        <v>-0.7908010284419581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s="67" t="s">
        <v>172</v>
      </c>
      <c r="B92" s="67" t="s">
        <v>362</v>
      </c>
      <c r="C92" s="2">
        <v>4422</v>
      </c>
      <c r="D92">
        <f>RTD("tos.rtd", , "LAST", Main_M[[#This Row],[Symbol]])</f>
        <v>40.72</v>
      </c>
      <c r="E92">
        <v>3.25</v>
      </c>
      <c r="F92">
        <v>18.04</v>
      </c>
      <c r="G92">
        <v>3.72</v>
      </c>
      <c r="H92" s="1">
        <f>IF(ISNUMBER(Main_M[[#This Row],[Free CF]]),IF(Main_M[[#This Row],[Free CF]]&lt;&gt;0,Main_M[[#This Row],[Current Price]]/Main_M[[#This Row],[Free CF]],""),"")</f>
        <v>12.529230769230768</v>
      </c>
      <c r="I92" s="1">
        <f>IF(ISNUMBER(Main_M[[#This Row],[BVPS]]),IF(Main_M[[#This Row],[BVPS]]&lt;&gt;0,Main_M[[#This Row],[Current Price]]/Main_M[[#This Row],[BVPS]],""),"")</f>
        <v>2.2572062084257207</v>
      </c>
      <c r="J92">
        <v>20.67</v>
      </c>
      <c r="K92">
        <v>4.12</v>
      </c>
      <c r="L92">
        <v>1</v>
      </c>
      <c r="M92" s="1">
        <f>IF(ISNUMBER(Main_M[[#This Row],[EPS]]),IF(Main_M[[#This Row],[EPS]]&lt;&gt;0,Main_M[[#This Row],[Current Price]]/Main_M[[#This Row],[EPS]],""),"")</f>
        <v>10.946236559139784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0.25404216364599908</v>
      </c>
      <c r="P92" s="1">
        <f>(Main_M[[#This Row],[P/B]]-VLOOKUP(Main_M[[#This Row],[Industry]], Mean_PB_M, 2, FALSE))/(VLOOKUP(Main_M[[#This Row],[Industry]], Mean_PB_M, 3, FALSE))</f>
        <v>-0.48587963617961882</v>
      </c>
      <c r="Q92" s="1">
        <f>(Main_M[[#This Row],[ROE]]-VLOOKUP(Main_M[[#This Row],[Industry]], Mean_ROE_M, 2, FALSE))/(VLOOKUP(Main_M[[#This Row],[Industry]], Mean_ROE_M, 3, FALSE))</f>
        <v>0.20626945522672815</v>
      </c>
      <c r="R92" s="1">
        <f>(Main_M[[#This Row],[ROA]]-VLOOKUP(Main_M[[#This Row],[Industry]], Mean_ROA_M, 2, FALSE))/(VLOOKUP(Main_M[[#This Row],[Industry]], Mean_ROA_M, 3, FALSE))</f>
        <v>-0.52005425372174974</v>
      </c>
      <c r="S92" s="1">
        <f>(Main_M[[#This Row],[A/E]]-VLOOKUP(Main_M[[#This Row],[Industry]], Mean_AE_M, 2, FALSE))/(VLOOKUP(Main_M[[#This Row],[Industry]], Mean_AE_M, 3, FALSE))</f>
        <v>-0.96661176171634122</v>
      </c>
      <c r="T92" s="1">
        <f>(Main_M[[#This Row],[P/E]]-VLOOKUP(Main_M[[#This Row],[Industry]], Mean_PE_M, 2, FALSE))/(VLOOKUP(Main_M[[#This Row],[Industry]], Mean_PE_M, 3, FALSE))</f>
        <v>-0.82731509213714072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s="67" t="s">
        <v>172</v>
      </c>
      <c r="B93" s="67" t="s">
        <v>695</v>
      </c>
      <c r="C93" s="2">
        <v>7555</v>
      </c>
      <c r="D93">
        <f>RTD("tos.rtd", , "LAST", Main_M[[#This Row],[Symbol]])</f>
        <v>32.217500000000001</v>
      </c>
      <c r="E93">
        <v>2.85</v>
      </c>
      <c r="F93">
        <v>23.13</v>
      </c>
      <c r="G93">
        <v>2.76</v>
      </c>
      <c r="H93" s="1">
        <f>IF(ISNUMBER(Main_M[[#This Row],[Free CF]]),IF(Main_M[[#This Row],[Free CF]]&lt;&gt;0,Main_M[[#This Row],[Current Price]]/Main_M[[#This Row],[Free CF]],""),"")</f>
        <v>11.304385964912282</v>
      </c>
      <c r="I93" s="1">
        <f>IF(ISNUMBER(Main_M[[#This Row],[BVPS]]),IF(Main_M[[#This Row],[BVPS]]&lt;&gt;0,Main_M[[#This Row],[Current Price]]/Main_M[[#This Row],[BVPS]],""),"")</f>
        <v>1.3928880242109816</v>
      </c>
      <c r="J93">
        <v>12.72</v>
      </c>
      <c r="K93">
        <v>4.93</v>
      </c>
      <c r="L93">
        <v>2.57</v>
      </c>
      <c r="M93" s="1">
        <f>IF(ISNUMBER(Main_M[[#This Row],[EPS]]),IF(Main_M[[#This Row],[EPS]]&lt;&gt;0,Main_M[[#This Row],[Current Price]]/Main_M[[#This Row],[EPS]],""),"")</f>
        <v>11.673007246376812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5.5999736789956046E-2</v>
      </c>
      <c r="P93" s="1">
        <f>(Main_M[[#This Row],[P/B]]-VLOOKUP(Main_M[[#This Row],[Industry]], Mean_PB_M, 2, FALSE))/(VLOOKUP(Main_M[[#This Row],[Industry]], Mean_PB_M, 3, FALSE))</f>
        <v>-0.78377503023410788</v>
      </c>
      <c r="Q93" s="1">
        <f>(Main_M[[#This Row],[ROE]]-VLOOKUP(Main_M[[#This Row],[Industry]], Mean_ROE_M, 2, FALSE))/(VLOOKUP(Main_M[[#This Row],[Industry]], Mean_ROE_M, 3, FALSE))</f>
        <v>-0.2487006273482785</v>
      </c>
      <c r="R93" s="1">
        <f>(Main_M[[#This Row],[ROA]]-VLOOKUP(Main_M[[#This Row],[Industry]], Mean_ROA_M, 2, FALSE))/(VLOOKUP(Main_M[[#This Row],[Industry]], Mean_ROA_M, 3, FALSE))</f>
        <v>-0.37594218444969546</v>
      </c>
      <c r="S93" s="1">
        <f>(Main_M[[#This Row],[A/E]]-VLOOKUP(Main_M[[#This Row],[Industry]], Mean_AE_M, 2, FALSE))/(VLOOKUP(Main_M[[#This Row],[Industry]], Mean_AE_M, 3, FALSE))</f>
        <v>9.2160323179164456E-3</v>
      </c>
      <c r="T93" s="1">
        <f>(Main_M[[#This Row],[P/E]]-VLOOKUP(Main_M[[#This Row],[Industry]], Mean_PE_M, 2, FALSE))/(VLOOKUP(Main_M[[#This Row],[Industry]], Mean_PE_M, 3, FALSE))</f>
        <v>-0.74494815114021051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s="67" t="s">
        <v>172</v>
      </c>
      <c r="B94" s="67" t="s">
        <v>376</v>
      </c>
      <c r="C94" s="2">
        <v>5132</v>
      </c>
      <c r="D94">
        <f>RTD("tos.rtd", , "LAST", Main_M[[#This Row],[Symbol]])</f>
        <v>79</v>
      </c>
      <c r="E94">
        <v>2.64</v>
      </c>
      <c r="F94">
        <v>120.59</v>
      </c>
      <c r="G94">
        <v>6.19</v>
      </c>
      <c r="H94" s="1">
        <f>IF(ISNUMBER(Main_M[[#This Row],[Free CF]]),IF(Main_M[[#This Row],[Free CF]]&lt;&gt;0,Main_M[[#This Row],[Current Price]]/Main_M[[#This Row],[Free CF]],""),"")</f>
        <v>29.924242424242422</v>
      </c>
      <c r="I94" s="1">
        <f>IF(ISNUMBER(Main_M[[#This Row],[BVPS]]),IF(Main_M[[#This Row],[BVPS]]&lt;&gt;0,Main_M[[#This Row],[Current Price]]/Main_M[[#This Row],[BVPS]],""),"")</f>
        <v>0.65511236420930419</v>
      </c>
      <c r="J94">
        <v>5.42</v>
      </c>
      <c r="K94">
        <v>2.4900000000000002</v>
      </c>
      <c r="L94">
        <v>1.57</v>
      </c>
      <c r="M94" s="1">
        <f>IF(ISNUMBER(Main_M[[#This Row],[EPS]]),IF(Main_M[[#This Row],[EPS]]&lt;&gt;0,Main_M[[#This Row],[Current Price]]/Main_M[[#This Row],[EPS]],""),"")</f>
        <v>12.762520193861066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3.0666028335379365</v>
      </c>
      <c r="P94" s="1">
        <f>(Main_M[[#This Row],[P/B]]-VLOOKUP(Main_M[[#This Row],[Industry]], Mean_PB_M, 2, FALSE))/(VLOOKUP(Main_M[[#This Row],[Industry]], Mean_PB_M, 3, FALSE))</f>
        <v>-1.0380563527538784</v>
      </c>
      <c r="Q94" s="1">
        <f>(Main_M[[#This Row],[ROE]]-VLOOKUP(Main_M[[#This Row],[Industry]], Mean_ROE_M, 2, FALSE))/(VLOOKUP(Main_M[[#This Row],[Industry]], Mean_ROE_M, 3, FALSE))</f>
        <v>-0.66647189814042296</v>
      </c>
      <c r="R94" s="1">
        <f>(Main_M[[#This Row],[ROA]]-VLOOKUP(Main_M[[#This Row],[Industry]], Mean_ROA_M, 2, FALSE))/(VLOOKUP(Main_M[[#This Row],[Industry]], Mean_ROA_M, 3, FALSE))</f>
        <v>-0.81005755361489606</v>
      </c>
      <c r="S94" s="1">
        <f>(Main_M[[#This Row],[A/E]]-VLOOKUP(Main_M[[#This Row],[Industry]], Mean_AE_M, 2, FALSE))/(VLOOKUP(Main_M[[#This Row],[Industry]], Mean_AE_M, 3, FALSE))</f>
        <v>-0.61233033330899922</v>
      </c>
      <c r="T94" s="1">
        <f>(Main_M[[#This Row],[P/E]]-VLOOKUP(Main_M[[#This Row],[Industry]], Mean_PE_M, 2, FALSE))/(VLOOKUP(Main_M[[#This Row],[Industry]], Mean_PE_M, 3, FALSE))</f>
        <v>-0.62147062206980741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s="67" t="s">
        <v>172</v>
      </c>
      <c r="B95" s="67" t="s">
        <v>378</v>
      </c>
      <c r="C95" s="2">
        <v>5949</v>
      </c>
      <c r="D95">
        <f>RTD("tos.rtd", , "LAST", Main_M[[#This Row],[Symbol]])</f>
        <v>50.4</v>
      </c>
      <c r="E95">
        <v>2.5099999999999998</v>
      </c>
      <c r="F95">
        <v>6.66</v>
      </c>
      <c r="G95">
        <v>-0.31</v>
      </c>
      <c r="H95" s="1">
        <f>IF(ISNUMBER(Main_M[[#This Row],[Free CF]]),IF(Main_M[[#This Row],[Free CF]]&lt;&gt;0,Main_M[[#This Row],[Current Price]]/Main_M[[#This Row],[Free CF]],""),"")</f>
        <v>20.079681274900398</v>
      </c>
      <c r="I95" s="1">
        <f>IF(ISNUMBER(Main_M[[#This Row],[BVPS]]),IF(Main_M[[#This Row],[BVPS]]&lt;&gt;0,Main_M[[#This Row],[Current Price]]/Main_M[[#This Row],[BVPS]],""),"")</f>
        <v>7.5675675675675675</v>
      </c>
      <c r="J95">
        <v>0.59</v>
      </c>
      <c r="K95">
        <v>0.66</v>
      </c>
      <c r="L95">
        <v>13.75</v>
      </c>
      <c r="M95" s="1">
        <f>IF(ISNUMBER(Main_M[[#This Row],[EPS]]),IF(Main_M[[#This Row],[EPS]]&lt;&gt;0,Main_M[[#This Row],[Current Price]]/Main_M[[#This Row],[EPS]],""),"")</f>
        <v>-162.58064516129031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1.474857679805414</v>
      </c>
      <c r="P95" s="1">
        <f>(Main_M[[#This Row],[P/B]]-VLOOKUP(Main_M[[#This Row],[Industry]], Mean_PB_M, 2, FALSE))/(VLOOKUP(Main_M[[#This Row],[Industry]], Mean_PB_M, 3, FALSE))</f>
        <v>1.3443863683364481</v>
      </c>
      <c r="Q95" s="1">
        <f>(Main_M[[#This Row],[ROE]]-VLOOKUP(Main_M[[#This Row],[Industry]], Mean_ROE_M, 2, FALSE))/(VLOOKUP(Main_M[[#This Row],[Industry]], Mean_ROE_M, 3, FALSE))</f>
        <v>-0.94288768415769109</v>
      </c>
      <c r="R95" s="1">
        <f>(Main_M[[#This Row],[ROA]]-VLOOKUP(Main_M[[#This Row],[Industry]], Mean_ROA_M, 2, FALSE))/(VLOOKUP(Main_M[[#This Row],[Industry]], Mean_ROA_M, 3, FALSE))</f>
        <v>-1.1356440804887966</v>
      </c>
      <c r="S95" s="1">
        <f>(Main_M[[#This Row],[A/E]]-VLOOKUP(Main_M[[#This Row],[Industry]], Mean_AE_M, 2, FALSE))/(VLOOKUP(Main_M[[#This Row],[Industry]], Mean_AE_M, 3, FALSE))</f>
        <v>6.9581044000268344</v>
      </c>
      <c r="T95" s="1">
        <f>(Main_M[[#This Row],[P/E]]-VLOOKUP(Main_M[[#This Row],[Industry]], Mean_PE_M, 2, FALSE))/(VLOOKUP(Main_M[[#This Row],[Industry]], Mean_PE_M, 3, FALSE))</f>
        <v>-20.493598665550554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6" spans="1:26" x14ac:dyDescent="0.25">
      <c r="A96" s="67" t="s">
        <v>172</v>
      </c>
      <c r="B96" s="67" t="s">
        <v>696</v>
      </c>
      <c r="C96" s="2">
        <v>3285</v>
      </c>
      <c r="D96">
        <f>RTD("tos.rtd", , "LAST", Main_M[[#This Row],[Symbol]])</f>
        <v>23.02</v>
      </c>
      <c r="E96">
        <v>2.4500000000000002</v>
      </c>
      <c r="F96">
        <v>1.96</v>
      </c>
      <c r="G96">
        <v>-1.28</v>
      </c>
      <c r="H96" s="1">
        <f>IF(ISNUMBER(Main_M[[#This Row],[Free CF]]),IF(Main_M[[#This Row],[Free CF]]&lt;&gt;0,Main_M[[#This Row],[Current Price]]/Main_M[[#This Row],[Free CF]],""),"")</f>
        <v>9.3959183673469386</v>
      </c>
      <c r="I96" s="1">
        <f>IF(ISNUMBER(Main_M[[#This Row],[BVPS]]),IF(Main_M[[#This Row],[BVPS]]&lt;&gt;0,Main_M[[#This Row],[Current Price]]/Main_M[[#This Row],[BVPS]],""),"")</f>
        <v>11.744897959183673</v>
      </c>
      <c r="J96">
        <v>-40.1</v>
      </c>
      <c r="K96">
        <v>5.0599999999999996</v>
      </c>
      <c r="L96">
        <v>27.97</v>
      </c>
      <c r="M96" s="1">
        <f>IF(ISNUMBER(Main_M[[#This Row],[EPS]]),IF(Main_M[[#This Row],[EPS]]&lt;&gt;0,Main_M[[#This Row],[Current Price]]/Main_M[[#This Row],[EPS]],""),"")</f>
        <v>-17.984375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-0.25257613605971585</v>
      </c>
      <c r="P96" s="1">
        <f>(Main_M[[#This Row],[P/B]]-VLOOKUP(Main_M[[#This Row],[Industry]], Mean_PB_M, 2, FALSE))/(VLOOKUP(Main_M[[#This Row],[Industry]], Mean_PB_M, 3, FALSE))</f>
        <v>2.7841425898682872</v>
      </c>
      <c r="Q96" s="1">
        <f>(Main_M[[#This Row],[ROE]]-VLOOKUP(Main_M[[#This Row],[Industry]], Mean_ROE_M, 2, FALSE))/(VLOOKUP(Main_M[[#This Row],[Industry]], Mean_ROE_M, 3, FALSE))</f>
        <v>-3.2715333017648631</v>
      </c>
      <c r="R96" s="1">
        <f>(Main_M[[#This Row],[ROA]]-VLOOKUP(Main_M[[#This Row],[Industry]], Mean_ROA_M, 2, FALSE))/(VLOOKUP(Main_M[[#This Row],[Industry]], Mean_ROA_M, 3, FALSE))</f>
        <v>-0.35281308691220525</v>
      </c>
      <c r="S96" s="1">
        <f>(Main_M[[#This Row],[A/E]]-VLOOKUP(Main_M[[#This Row],[Industry]], Mean_AE_M, 2, FALSE))/(VLOOKUP(Main_M[[#This Row],[Industry]], Mean_AE_M, 3, FALSE))</f>
        <v>15.796493719241576</v>
      </c>
      <c r="T96" s="1">
        <f>(Main_M[[#This Row],[P/E]]-VLOOKUP(Main_M[[#This Row],[Industry]], Mean_PE_M, 2, FALSE))/(VLOOKUP(Main_M[[#This Row],[Industry]], Mean_PE_M, 3, FALSE))</f>
        <v>-4.1061016711005376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7" spans="1:26" x14ac:dyDescent="0.25">
      <c r="A97" s="67" t="s">
        <v>172</v>
      </c>
      <c r="B97" s="67" t="s">
        <v>372</v>
      </c>
      <c r="C97" s="2">
        <v>6472</v>
      </c>
      <c r="D97">
        <f>RTD("tos.rtd", , "LAST", Main_M[[#This Row],[Symbol]])</f>
        <v>14.68</v>
      </c>
      <c r="E97">
        <v>1.86</v>
      </c>
      <c r="F97">
        <v>23.88</v>
      </c>
      <c r="G97">
        <v>1.24</v>
      </c>
      <c r="H97" s="1">
        <f>IF(ISNUMBER(Main_M[[#This Row],[Free CF]]),IF(Main_M[[#This Row],[Free CF]]&lt;&gt;0,Main_M[[#This Row],[Current Price]]/Main_M[[#This Row],[Free CF]],""),"")</f>
        <v>7.8924731182795691</v>
      </c>
      <c r="I97" s="1">
        <f>IF(ISNUMBER(Main_M[[#This Row],[BVPS]]),IF(Main_M[[#This Row],[BVPS]]&lt;&gt;0,Main_M[[#This Row],[Current Price]]/Main_M[[#This Row],[BVPS]],""),"")</f>
        <v>0.61474036850921276</v>
      </c>
      <c r="J97">
        <v>5.09</v>
      </c>
      <c r="K97">
        <v>2.44</v>
      </c>
      <c r="L97">
        <v>2.63</v>
      </c>
      <c r="M97" s="1">
        <f>IF(ISNUMBER(Main_M[[#This Row],[EPS]]),IF(Main_M[[#This Row],[EPS]]&lt;&gt;0,Main_M[[#This Row],[Current Price]]/Main_M[[#This Row],[EPS]],""),"")</f>
        <v>11.838709677419354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-0.49566484796894272</v>
      </c>
      <c r="P97" s="1">
        <f>(Main_M[[#This Row],[P/B]]-VLOOKUP(Main_M[[#This Row],[Industry]], Mean_PB_M, 2, FALSE))/(VLOOKUP(Main_M[[#This Row],[Industry]], Mean_PB_M, 3, FALSE))</f>
        <v>-1.0519709409084379</v>
      </c>
      <c r="Q97" s="1">
        <f>(Main_M[[#This Row],[ROE]]-VLOOKUP(Main_M[[#This Row],[Industry]], Mean_ROE_M, 2, FALSE))/(VLOOKUP(Main_M[[#This Row],[Industry]], Mean_ROE_M, 3, FALSE))</f>
        <v>-0.68535744873787607</v>
      </c>
      <c r="R97" s="1">
        <f>(Main_M[[#This Row],[ROA]]-VLOOKUP(Main_M[[#This Row],[Industry]], Mean_ROA_M, 2, FALSE))/(VLOOKUP(Main_M[[#This Row],[Industry]], Mean_ROA_M, 3, FALSE))</f>
        <v>-0.8189533603600847</v>
      </c>
      <c r="S97" s="1">
        <f>(Main_M[[#This Row],[A/E]]-VLOOKUP(Main_M[[#This Row],[Industry]], Mean_AE_M, 2, FALSE))/(VLOOKUP(Main_M[[#This Row],[Industry]], Mean_AE_M, 3, FALSE))</f>
        <v>4.6508814255531425E-2</v>
      </c>
      <c r="T97" s="1">
        <f>(Main_M[[#This Row],[P/E]]-VLOOKUP(Main_M[[#This Row],[Industry]], Mean_PE_M, 2, FALSE))/(VLOOKUP(Main_M[[#This Row],[Industry]], Mean_PE_M, 3, FALSE))</f>
        <v>-0.72616863429891332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s="67" t="s">
        <v>172</v>
      </c>
      <c r="B98" s="67" t="s">
        <v>629</v>
      </c>
      <c r="C98" s="2">
        <v>2188</v>
      </c>
      <c r="D98">
        <f>RTD("tos.rtd", , "LAST", Main_M[[#This Row],[Symbol]])</f>
        <v>23.48</v>
      </c>
      <c r="E98">
        <v>1.82</v>
      </c>
      <c r="F98">
        <v>17.04</v>
      </c>
      <c r="G98">
        <v>1.89</v>
      </c>
      <c r="H98" s="1">
        <f>IF(ISNUMBER(Main_M[[#This Row],[Free CF]]),IF(Main_M[[#This Row],[Free CF]]&lt;&gt;0,Main_M[[#This Row],[Current Price]]/Main_M[[#This Row],[Free CF]],""),"")</f>
        <v>12.901098901098901</v>
      </c>
      <c r="I98" s="1">
        <f>IF(ISNUMBER(Main_M[[#This Row],[BVPS]]),IF(Main_M[[#This Row],[BVPS]]&lt;&gt;0,Main_M[[#This Row],[Current Price]]/Main_M[[#This Row],[BVPS]],""),"")</f>
        <v>1.3779342723004695</v>
      </c>
      <c r="J98">
        <v>11.06</v>
      </c>
      <c r="K98">
        <v>6.8</v>
      </c>
      <c r="L98">
        <v>2.1800000000000002</v>
      </c>
      <c r="M98" s="1">
        <f>IF(ISNUMBER(Main_M[[#This Row],[EPS]]),IF(Main_M[[#This Row],[EPS]]&lt;&gt;0,Main_M[[#This Row],[Current Price]]/Main_M[[#This Row],[EPS]],""),"")</f>
        <v>12.423280423280424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0.31416869318340052</v>
      </c>
      <c r="P98" s="1">
        <f>(Main_M[[#This Row],[P/B]]-VLOOKUP(Main_M[[#This Row],[Industry]], Mean_PB_M, 2, FALSE))/(VLOOKUP(Main_M[[#This Row],[Industry]], Mean_PB_M, 3, FALSE))</f>
        <v>-0.78892898152118196</v>
      </c>
      <c r="Q98" s="1">
        <f>(Main_M[[#This Row],[ROE]]-VLOOKUP(Main_M[[#This Row],[Industry]], Mean_ROE_M, 2, FALSE))/(VLOOKUP(Main_M[[#This Row],[Industry]], Mean_ROE_M, 3, FALSE))</f>
        <v>-0.34370066974758806</v>
      </c>
      <c r="R98" s="1">
        <f>(Main_M[[#This Row],[ROA]]-VLOOKUP(Main_M[[#This Row],[Industry]], Mean_ROA_M, 2, FALSE))/(VLOOKUP(Main_M[[#This Row],[Industry]], Mean_ROA_M, 3, FALSE))</f>
        <v>-4.3239012179644029E-2</v>
      </c>
      <c r="S98" s="1">
        <f>(Main_M[[#This Row],[A/E]]-VLOOKUP(Main_M[[#This Row],[Industry]], Mean_AE_M, 2, FALSE))/(VLOOKUP(Main_M[[#This Row],[Industry]], Mean_AE_M, 3, FALSE))</f>
        <v>-0.23318705027658052</v>
      </c>
      <c r="T98" s="1">
        <f>(Main_M[[#This Row],[P/E]]-VLOOKUP(Main_M[[#This Row],[Industry]], Mean_PE_M, 2, FALSE))/(VLOOKUP(Main_M[[#This Row],[Industry]], Mean_PE_M, 3, FALSE))</f>
        <v>-0.65991760769804708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s="67" t="s">
        <v>172</v>
      </c>
      <c r="B99" s="67" t="s">
        <v>617</v>
      </c>
      <c r="C99" s="2">
        <v>2014</v>
      </c>
      <c r="D99">
        <f>RTD("tos.rtd", , "LAST", Main_M[[#This Row],[Symbol]])</f>
        <v>13.47</v>
      </c>
      <c r="E99">
        <v>0.9</v>
      </c>
      <c r="F99">
        <v>3.48</v>
      </c>
      <c r="G99">
        <v>0.45</v>
      </c>
      <c r="H99" s="1">
        <f>IF(ISNUMBER(Main_M[[#This Row],[Free CF]]),IF(Main_M[[#This Row],[Free CF]]&lt;&gt;0,Main_M[[#This Row],[Current Price]]/Main_M[[#This Row],[Free CF]],""),"")</f>
        <v>14.966666666666667</v>
      </c>
      <c r="I99" s="1">
        <f>IF(ISNUMBER(Main_M[[#This Row],[BVPS]]),IF(Main_M[[#This Row],[BVPS]]&lt;&gt;0,Main_M[[#This Row],[Current Price]]/Main_M[[#This Row],[BVPS]],""),"")</f>
        <v>3.8706896551724141</v>
      </c>
      <c r="J99">
        <v>14.46</v>
      </c>
      <c r="K99">
        <v>8.68</v>
      </c>
      <c r="L99">
        <v>2.33</v>
      </c>
      <c r="M99" s="1">
        <f>IF(ISNUMBER(Main_M[[#This Row],[EPS]]),IF(Main_M[[#This Row],[EPS]]&lt;&gt;0,Main_M[[#This Row],[Current Price]]/Main_M[[#This Row],[EPS]],""),"")</f>
        <v>29.933333333333334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0.64814574210125442</v>
      </c>
      <c r="P99" s="1">
        <f>(Main_M[[#This Row],[P/B]]-VLOOKUP(Main_M[[#This Row],[Industry]], Mean_PB_M, 2, FALSE))/(VLOOKUP(Main_M[[#This Row],[Industry]], Mean_PB_M, 3, FALSE))</f>
        <v>7.022261406481721E-2</v>
      </c>
      <c r="Q99" s="1">
        <f>(Main_M[[#This Row],[ROE]]-VLOOKUP(Main_M[[#This Row],[Industry]], Mean_ROE_M, 2, FALSE))/(VLOOKUP(Main_M[[#This Row],[Industry]], Mean_ROE_M, 3, FALSE))</f>
        <v>-0.14912226965261666</v>
      </c>
      <c r="R99" s="1">
        <f>(Main_M[[#This Row],[ROA]]-VLOOKUP(Main_M[[#This Row],[Industry]], Mean_ROA_M, 2, FALSE))/(VLOOKUP(Main_M[[#This Row],[Industry]], Mean_ROA_M, 3, FALSE))</f>
        <v>0.29124332143944504</v>
      </c>
      <c r="S99" s="1">
        <f>(Main_M[[#This Row],[A/E]]-VLOOKUP(Main_M[[#This Row],[Industry]], Mean_AE_M, 2, FALSE))/(VLOOKUP(Main_M[[#This Row],[Industry]], Mean_AE_M, 3, FALSE))</f>
        <v>-0.1399550954325432</v>
      </c>
      <c r="T99" s="1">
        <f>(Main_M[[#This Row],[P/E]]-VLOOKUP(Main_M[[#This Row],[Industry]], Mean_PE_M, 2, FALSE))/(VLOOKUP(Main_M[[#This Row],[Industry]], Mean_PE_M, 3, FALSE))</f>
        <v>1.3245453325705931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s="67" t="s">
        <v>172</v>
      </c>
      <c r="B100" s="67" t="s">
        <v>377</v>
      </c>
      <c r="C100" s="2">
        <v>4441</v>
      </c>
      <c r="D100">
        <f>RTD("tos.rtd", , "LAST", Main_M[[#This Row],[Symbol]])</f>
        <v>58.04</v>
      </c>
      <c r="E100">
        <v>0.84</v>
      </c>
      <c r="F100">
        <v>2.34</v>
      </c>
      <c r="G100">
        <v>-2.52</v>
      </c>
      <c r="H100" s="1">
        <f>IF(ISNUMBER(Main_M[[#This Row],[Free CF]]),IF(Main_M[[#This Row],[Free CF]]&lt;&gt;0,Main_M[[#This Row],[Current Price]]/Main_M[[#This Row],[Free CF]],""),"")</f>
        <v>69.095238095238102</v>
      </c>
      <c r="I100" s="1">
        <f>IF(ISNUMBER(Main_M[[#This Row],[BVPS]]),IF(Main_M[[#This Row],[BVPS]]&lt;&gt;0,Main_M[[#This Row],[Current Price]]/Main_M[[#This Row],[BVPS]],""),"")</f>
        <v>24.803418803418804</v>
      </c>
      <c r="J100">
        <v>-9.48</v>
      </c>
      <c r="K100">
        <v>-3.74</v>
      </c>
      <c r="L100">
        <v>25.57</v>
      </c>
      <c r="M100" s="1">
        <f>IF(ISNUMBER(Main_M[[#This Row],[EPS]]),IF(Main_M[[#This Row],[EPS]]&lt;&gt;0,Main_M[[#This Row],[Current Price]]/Main_M[[#This Row],[EPS]],""),"")</f>
        <v>-23.031746031746032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9.4000738314149981</v>
      </c>
      <c r="P100" s="1">
        <f>(Main_M[[#This Row],[P/B]]-VLOOKUP(Main_M[[#This Row],[Industry]], Mean_PB_M, 2, FALSE))/(VLOOKUP(Main_M[[#This Row],[Industry]], Mean_PB_M, 3, FALSE))</f>
        <v>7.2848846588280418</v>
      </c>
      <c r="Q100" s="1">
        <f>(Main_M[[#This Row],[ROE]]-VLOOKUP(Main_M[[#This Row],[Industry]], Mean_ROE_M, 2, FALSE))/(VLOOKUP(Main_M[[#This Row],[Industry]], Mean_ROE_M, 3, FALSE))</f>
        <v>-1.5191831220860328</v>
      </c>
      <c r="R100" s="1">
        <f>(Main_M[[#This Row],[ROA]]-VLOOKUP(Main_M[[#This Row],[Industry]], Mean_ROA_M, 2, FALSE))/(VLOOKUP(Main_M[[#This Row],[Industry]], Mean_ROA_M, 3, FALSE))</f>
        <v>-1.9184750740653882</v>
      </c>
      <c r="S100" s="1">
        <f>(Main_M[[#This Row],[A/E]]-VLOOKUP(Main_M[[#This Row],[Industry]], Mean_AE_M, 2, FALSE))/(VLOOKUP(Main_M[[#This Row],[Industry]], Mean_AE_M, 3, FALSE))</f>
        <v>14.304782441736981</v>
      </c>
      <c r="T100" s="1">
        <f>(Main_M[[#This Row],[P/E]]-VLOOKUP(Main_M[[#This Row],[Industry]], Mean_PE_M, 2, FALSE))/(VLOOKUP(Main_M[[#This Row],[Industry]], Mean_PE_M, 3, FALSE))</f>
        <v>-4.6781342520263713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1" spans="1:26" x14ac:dyDescent="0.25">
      <c r="A101" s="67" t="s">
        <v>172</v>
      </c>
      <c r="B101" s="67" t="s">
        <v>380</v>
      </c>
      <c r="C101" s="2">
        <v>4530</v>
      </c>
      <c r="D101">
        <f>RTD("tos.rtd", , "LAST", Main_M[[#This Row],[Symbol]])</f>
        <v>9.7799999999999994</v>
      </c>
      <c r="E101">
        <v>0.45</v>
      </c>
      <c r="F101">
        <v>1.98</v>
      </c>
      <c r="G101">
        <v>0.27</v>
      </c>
      <c r="H101" s="1">
        <f>IF(ISNUMBER(Main_M[[#This Row],[Free CF]]),IF(Main_M[[#This Row],[Free CF]]&lt;&gt;0,Main_M[[#This Row],[Current Price]]/Main_M[[#This Row],[Free CF]],""),"")</f>
        <v>21.733333333333331</v>
      </c>
      <c r="I101" s="1">
        <f>IF(ISNUMBER(Main_M[[#This Row],[BVPS]]),IF(Main_M[[#This Row],[BVPS]]&lt;&gt;0,Main_M[[#This Row],[Current Price]]/Main_M[[#This Row],[BVPS]],""),"")</f>
        <v>4.9393939393939394</v>
      </c>
      <c r="J101">
        <v>12.34</v>
      </c>
      <c r="K101">
        <v>2.76</v>
      </c>
      <c r="L101">
        <v>5.07</v>
      </c>
      <c r="M101" s="1">
        <f>IF(ISNUMBER(Main_M[[#This Row],[EPS]]),IF(Main_M[[#This Row],[EPS]]&lt;&gt;0,Main_M[[#This Row],[Current Price]]/Main_M[[#This Row],[EPS]],""),"")</f>
        <v>36.222222222222214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1.7422329959866087</v>
      </c>
      <c r="P101" s="1">
        <f>(Main_M[[#This Row],[P/B]]-VLOOKUP(Main_M[[#This Row],[Industry]], Mean_PB_M, 2, FALSE))/(VLOOKUP(Main_M[[#This Row],[Industry]], Mean_PB_M, 3, FALSE))</f>
        <v>0.43856160043606213</v>
      </c>
      <c r="Q101" s="1">
        <f>(Main_M[[#This Row],[ROE]]-VLOOKUP(Main_M[[#This Row],[Industry]], Mean_ROE_M, 2, FALSE))/(VLOOKUP(Main_M[[#This Row],[Industry]], Mean_ROE_M, 3, FALSE))</f>
        <v>-0.27044762500595182</v>
      </c>
      <c r="R101" s="1">
        <f>(Main_M[[#This Row],[ROA]]-VLOOKUP(Main_M[[#This Row],[Industry]], Mean_ROA_M, 2, FALSE))/(VLOOKUP(Main_M[[#This Row],[Industry]], Mean_ROA_M, 3, FALSE))</f>
        <v>-0.76202019719087799</v>
      </c>
      <c r="S101" s="1">
        <f>(Main_M[[#This Row],[A/E]]-VLOOKUP(Main_M[[#This Row],[Industry]], Mean_AE_M, 2, FALSE))/(VLOOKUP(Main_M[[#This Row],[Industry]], Mean_AE_M, 3, FALSE))</f>
        <v>1.5630819463852061</v>
      </c>
      <c r="T101" s="1">
        <f>(Main_M[[#This Row],[P/E]]-VLOOKUP(Main_M[[#This Row],[Industry]], Mean_PE_M, 2, FALSE))/(VLOOKUP(Main_M[[#This Row],[Industry]], Mean_PE_M, 3, FALSE))</f>
        <v>2.0372825812571533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s="67" t="s">
        <v>172</v>
      </c>
      <c r="B102" s="67" t="s">
        <v>374</v>
      </c>
      <c r="C102" s="2">
        <v>5064</v>
      </c>
      <c r="D102">
        <f>RTD("tos.rtd", , "LAST", Main_M[[#This Row],[Symbol]])</f>
        <v>58.31</v>
      </c>
      <c r="E102">
        <v>0.12</v>
      </c>
      <c r="F102">
        <v>32.03</v>
      </c>
      <c r="G102">
        <v>5.9</v>
      </c>
      <c r="H102" s="1">
        <f>IF(ISNUMBER(Main_M[[#This Row],[Free CF]]),IF(Main_M[[#This Row],[Free CF]]&lt;&gt;0,Main_M[[#This Row],[Current Price]]/Main_M[[#This Row],[Free CF]],""),"")</f>
        <v>485.91666666666669</v>
      </c>
      <c r="I102" s="1">
        <f>IF(ISNUMBER(Main_M[[#This Row],[BVPS]]),IF(Main_M[[#This Row],[BVPS]]&lt;&gt;0,Main_M[[#This Row],[Current Price]]/Main_M[[#This Row],[BVPS]],""),"")</f>
        <v>1.8204807992507024</v>
      </c>
      <c r="J102">
        <v>19.309999999999999</v>
      </c>
      <c r="K102">
        <v>6.02</v>
      </c>
      <c r="L102">
        <v>1.86</v>
      </c>
      <c r="M102" s="1">
        <f>IF(ISNUMBER(Main_M[[#This Row],[EPS]]),IF(Main_M[[#This Row],[EPS]]&lt;&gt;0,Main_M[[#This Row],[Current Price]]/Main_M[[#This Row],[EPS]],""),"")</f>
        <v>9.8830508474576266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76.79500173480686</v>
      </c>
      <c r="P102" s="1">
        <f>(Main_M[[#This Row],[P/B]]-VLOOKUP(Main_M[[#This Row],[Industry]], Mean_PB_M, 2, FALSE))/(VLOOKUP(Main_M[[#This Row],[Industry]], Mean_PB_M, 3, FALSE))</f>
        <v>-0.63640115734603819</v>
      </c>
      <c r="Q102" s="1">
        <f>(Main_M[[#This Row],[ROE]]-VLOOKUP(Main_M[[#This Row],[Industry]], Mean_ROE_M, 2, FALSE))/(VLOOKUP(Main_M[[#This Row],[Industry]], Mean_ROE_M, 3, FALSE))</f>
        <v>0.12843809518873942</v>
      </c>
      <c r="R102" s="1">
        <f>(Main_M[[#This Row],[ROA]]-VLOOKUP(Main_M[[#This Row],[Industry]], Mean_ROA_M, 2, FALSE))/(VLOOKUP(Main_M[[#This Row],[Industry]], Mean_ROA_M, 3, FALSE))</f>
        <v>-0.18201359740458528</v>
      </c>
      <c r="S102" s="1">
        <f>(Main_M[[#This Row],[A/E]]-VLOOKUP(Main_M[[#This Row],[Industry]], Mean_AE_M, 2, FALSE))/(VLOOKUP(Main_M[[#This Row],[Industry]], Mean_AE_M, 3, FALSE))</f>
        <v>-0.4320818872771936</v>
      </c>
      <c r="T102" s="1">
        <f>(Main_M[[#This Row],[P/E]]-VLOOKUP(Main_M[[#This Row],[Industry]], Mean_PE_M, 2, FALSE))/(VLOOKUP(Main_M[[#This Row],[Industry]], Mean_PE_M, 3, FALSE))</f>
        <v>-0.94780888243545947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s="67" t="s">
        <v>172</v>
      </c>
      <c r="B103" s="67" t="s">
        <v>700</v>
      </c>
      <c r="C103" s="2">
        <v>2379</v>
      </c>
      <c r="D103">
        <f>RTD("tos.rtd", , "LAST", Main_M[[#This Row],[Symbol]])</f>
        <v>17.819500000000001</v>
      </c>
      <c r="E103">
        <v>0.01</v>
      </c>
      <c r="F103">
        <v>19.41</v>
      </c>
      <c r="G103">
        <v>0.3</v>
      </c>
      <c r="H103" s="1">
        <f>IF(ISNUMBER(Main_M[[#This Row],[Free CF]]),IF(Main_M[[#This Row],[Free CF]]&lt;&gt;0,Main_M[[#This Row],[Current Price]]/Main_M[[#This Row],[Free CF]],""),"")</f>
        <v>1781.95</v>
      </c>
      <c r="I103" s="1">
        <f>IF(ISNUMBER(Main_M[[#This Row],[BVPS]]),IF(Main_M[[#This Row],[BVPS]]&lt;&gt;0,Main_M[[#This Row],[Current Price]]/Main_M[[#This Row],[BVPS]],""),"")</f>
        <v>0.91805770221535299</v>
      </c>
      <c r="J103">
        <v>1.77</v>
      </c>
      <c r="K103">
        <v>2.36</v>
      </c>
      <c r="L103">
        <v>1.36</v>
      </c>
      <c r="M103" s="1">
        <f>IF(ISNUMBER(Main_M[[#This Row],[EPS]]),IF(Main_M[[#This Row],[EPS]]&lt;&gt;0,Main_M[[#This Row],[Current Price]]/Main_M[[#This Row],[EPS]],""),"")</f>
        <v>59.398333333333341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286.34774320434616</v>
      </c>
      <c r="P103" s="1">
        <f>(Main_M[[#This Row],[P/B]]-VLOOKUP(Main_M[[#This Row],[Industry]], Mean_PB_M, 2, FALSE))/(VLOOKUP(Main_M[[#This Row],[Industry]], Mean_PB_M, 3, FALSE))</f>
        <v>-0.9474297681110152</v>
      </c>
      <c r="Q103" s="1">
        <f>(Main_M[[#This Row],[ROE]]-VLOOKUP(Main_M[[#This Row],[Industry]], Mean_ROE_M, 2, FALSE))/(VLOOKUP(Main_M[[#This Row],[Industry]], Mean_ROE_M, 3, FALSE))</f>
        <v>-0.87535753353649515</v>
      </c>
      <c r="R103" s="1">
        <f>(Main_M[[#This Row],[ROA]]-VLOOKUP(Main_M[[#This Row],[Industry]], Mean_ROA_M, 2, FALSE))/(VLOOKUP(Main_M[[#This Row],[Industry]], Mean_ROA_M, 3, FALSE))</f>
        <v>-0.83318665115238644</v>
      </c>
      <c r="S103" s="1">
        <f>(Main_M[[#This Row],[A/E]]-VLOOKUP(Main_M[[#This Row],[Industry]], Mean_AE_M, 2, FALSE))/(VLOOKUP(Main_M[[#This Row],[Industry]], Mean_AE_M, 3, FALSE))</f>
        <v>-0.74285507009065144</v>
      </c>
      <c r="T103" s="1">
        <f>(Main_M[[#This Row],[P/E]]-VLOOKUP(Main_M[[#This Row],[Industry]], Mean_PE_M, 2, FALSE))/(VLOOKUP(Main_M[[#This Row],[Industry]], Mean_PE_M, 3, FALSE))</f>
        <v>4.6638956380996701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4" spans="1:26" x14ac:dyDescent="0.25">
      <c r="A104" s="67" t="s">
        <v>172</v>
      </c>
      <c r="B104" s="67" t="s">
        <v>701</v>
      </c>
      <c r="C104" s="2">
        <v>2376</v>
      </c>
      <c r="D104">
        <f>RTD("tos.rtd", , "LAST", Main_M[[#This Row],[Symbol]])</f>
        <v>20.93</v>
      </c>
      <c r="E104">
        <v>-0.15</v>
      </c>
      <c r="F104">
        <v>8.02</v>
      </c>
      <c r="G104">
        <v>0.55000000000000004</v>
      </c>
      <c r="H104" s="1">
        <f>IF(ISNUMBER(Main_M[[#This Row],[Free CF]]),IF(Main_M[[#This Row],[Free CF]]&lt;&gt;0,Main_M[[#This Row],[Current Price]]/Main_M[[#This Row],[Free CF]],""),"")</f>
        <v>-139.53333333333333</v>
      </c>
      <c r="I104" s="1">
        <f>IF(ISNUMBER(Main_M[[#This Row],[BVPS]]),IF(Main_M[[#This Row],[BVPS]]&lt;&gt;0,Main_M[[#This Row],[Current Price]]/Main_M[[#This Row],[BVPS]],""),"")</f>
        <v>2.6097256857855364</v>
      </c>
      <c r="J104">
        <v>8.74</v>
      </c>
      <c r="K104">
        <v>0</v>
      </c>
      <c r="L104">
        <v>1.1000000000000001</v>
      </c>
      <c r="M104" s="1">
        <f>IF(ISNUMBER(Main_M[[#This Row],[EPS]]),IF(Main_M[[#This Row],[EPS]]&lt;&gt;0,Main_M[[#This Row],[Current Price]]/Main_M[[#This Row],[EPS]],""),"")</f>
        <v>38.054545454545448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-24.332614956217071</v>
      </c>
      <c r="P104" s="1">
        <f>(Main_M[[#This Row],[P/B]]-VLOOKUP(Main_M[[#This Row],[Industry]], Mean_PB_M, 2, FALSE))/(VLOOKUP(Main_M[[#This Row],[Industry]], Mean_PB_M, 3, FALSE))</f>
        <v>-0.36438048165773013</v>
      </c>
      <c r="Q104" s="1">
        <f>(Main_M[[#This Row],[ROE]]-VLOOKUP(Main_M[[#This Row],[Industry]], Mean_ROE_M, 2, FALSE))/(VLOOKUP(Main_M[[#This Row],[Industry]], Mean_ROE_M, 3, FALSE))</f>
        <v>-0.47647181334180383</v>
      </c>
      <c r="R104" s="1">
        <f>(Main_M[[#This Row],[ROA]]-VLOOKUP(Main_M[[#This Row],[Industry]], Mean_ROA_M, 2, FALSE))/(VLOOKUP(Main_M[[#This Row],[Industry]], Mean_ROA_M, 3, FALSE))</f>
        <v>-1.2530687295252854</v>
      </c>
      <c r="S104" s="1">
        <f>(Main_M[[#This Row],[A/E]]-VLOOKUP(Main_M[[#This Row],[Industry]], Mean_AE_M, 2, FALSE))/(VLOOKUP(Main_M[[#This Row],[Industry]], Mean_AE_M, 3, FALSE))</f>
        <v>-0.90445712515364962</v>
      </c>
      <c r="T104" s="1">
        <f>(Main_M[[#This Row],[P/E]]-VLOOKUP(Main_M[[#This Row],[Industry]], Mean_PE_M, 2, FALSE))/(VLOOKUP(Main_M[[#This Row],[Industry]], Mean_PE_M, 3, FALSE))</f>
        <v>2.2449448634796756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s="67" t="s">
        <v>172</v>
      </c>
      <c r="B105" s="67" t="s">
        <v>366</v>
      </c>
      <c r="C105" s="2">
        <v>3917</v>
      </c>
      <c r="D105">
        <f>RTD("tos.rtd", , "LAST", Main_M[[#This Row],[Symbol]])</f>
        <v>76.98</v>
      </c>
      <c r="E105">
        <v>-0.5</v>
      </c>
      <c r="F105">
        <v>9.9600000000000009</v>
      </c>
      <c r="G105">
        <v>3.06</v>
      </c>
      <c r="H105" s="1">
        <f>IF(ISNUMBER(Main_M[[#This Row],[Free CF]]),IF(Main_M[[#This Row],[Free CF]]&lt;&gt;0,Main_M[[#This Row],[Current Price]]/Main_M[[#This Row],[Free CF]],""),"")</f>
        <v>-153.96</v>
      </c>
      <c r="I105" s="1">
        <f>IF(ISNUMBER(Main_M[[#This Row],[BVPS]]),IF(Main_M[[#This Row],[BVPS]]&lt;&gt;0,Main_M[[#This Row],[Current Price]]/Main_M[[#This Row],[BVPS]],""),"")</f>
        <v>7.7289156626506017</v>
      </c>
      <c r="J105">
        <v>30.76</v>
      </c>
      <c r="K105">
        <v>14.72</v>
      </c>
      <c r="L105">
        <v>1.64</v>
      </c>
      <c r="M105" s="1">
        <f>IF(ISNUMBER(Main_M[[#This Row],[EPS]]),IF(Main_M[[#This Row],[EPS]]&lt;&gt;0,Main_M[[#This Row],[Current Price]]/Main_M[[#This Row],[EPS]],""),"")</f>
        <v>25.156862745098039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-26.665230539870183</v>
      </c>
      <c r="P105" s="1">
        <f>(Main_M[[#This Row],[P/B]]-VLOOKUP(Main_M[[#This Row],[Industry]], Mean_PB_M, 2, FALSE))/(VLOOKUP(Main_M[[#This Row],[Industry]], Mean_PB_M, 3, FALSE))</f>
        <v>1.3999965073367864</v>
      </c>
      <c r="Q105" s="1">
        <f>(Main_M[[#This Row],[ROE]]-VLOOKUP(Main_M[[#This Row],[Industry]], Mean_ROE_M, 2, FALSE))/(VLOOKUP(Main_M[[#This Row],[Industry]], Mean_ROE_M, 3, FALSE))</f>
        <v>0.78370947197915786</v>
      </c>
      <c r="R105" s="1">
        <f>(Main_M[[#This Row],[ROA]]-VLOOKUP(Main_M[[#This Row],[Industry]], Mean_ROA_M, 2, FALSE))/(VLOOKUP(Main_M[[#This Row],[Industry]], Mean_ROA_M, 3, FALSE))</f>
        <v>1.3658567762582208</v>
      </c>
      <c r="S105" s="1">
        <f>(Main_M[[#This Row],[A/E]]-VLOOKUP(Main_M[[#This Row],[Industry]], Mean_AE_M, 2, FALSE))/(VLOOKUP(Main_M[[#This Row],[Industry]], Mean_AE_M, 3, FALSE))</f>
        <v>-0.56882208771511522</v>
      </c>
      <c r="T105" s="1">
        <f>(Main_M[[#This Row],[P/E]]-VLOOKUP(Main_M[[#This Row],[Industry]], Mean_PE_M, 2, FALSE))/(VLOOKUP(Main_M[[#This Row],[Industry]], Mean_PE_M, 3, FALSE))</f>
        <v>0.78321465148543512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s="67" t="s">
        <v>172</v>
      </c>
      <c r="B106" s="67" t="s">
        <v>375</v>
      </c>
      <c r="C106" s="2">
        <v>7487</v>
      </c>
      <c r="D106">
        <f>RTD("tos.rtd", , "LAST", Main_M[[#This Row],[Symbol]])</f>
        <v>14.7</v>
      </c>
      <c r="E106">
        <v>-0.59</v>
      </c>
      <c r="F106">
        <v>15.14</v>
      </c>
      <c r="G106">
        <v>1.57</v>
      </c>
      <c r="H106" s="1">
        <f>IF(ISNUMBER(Main_M[[#This Row],[Free CF]]),IF(Main_M[[#This Row],[Free CF]]&lt;&gt;0,Main_M[[#This Row],[Current Price]]/Main_M[[#This Row],[Free CF]],""),"")</f>
        <v>-24.915254237288135</v>
      </c>
      <c r="I106" s="1">
        <f>IF(ISNUMBER(Main_M[[#This Row],[BVPS]]),IF(Main_M[[#This Row],[BVPS]]&lt;&gt;0,Main_M[[#This Row],[Current Price]]/Main_M[[#This Row],[BVPS]],""),"")</f>
        <v>0.97093791281373831</v>
      </c>
      <c r="J106">
        <v>9.52</v>
      </c>
      <c r="K106">
        <v>4.9800000000000004</v>
      </c>
      <c r="L106">
        <v>2.37</v>
      </c>
      <c r="M106" s="1">
        <f>IF(ISNUMBER(Main_M[[#This Row],[EPS]]),IF(Main_M[[#This Row],[EPS]]&lt;&gt;0,Main_M[[#This Row],[Current Price]]/Main_M[[#This Row],[EPS]],""),"")</f>
        <v>9.3630573248407636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-5.8002731724033021</v>
      </c>
      <c r="P106" s="1">
        <f>(Main_M[[#This Row],[P/B]]-VLOOKUP(Main_M[[#This Row],[Industry]], Mean_PB_M, 2, FALSE))/(VLOOKUP(Main_M[[#This Row],[Industry]], Mean_PB_M, 3, FALSE))</f>
        <v>-0.92920410600927184</v>
      </c>
      <c r="Q106" s="1">
        <f>(Main_M[[#This Row],[ROE]]-VLOOKUP(Main_M[[#This Row],[Industry]], Mean_ROE_M, 2, FALSE))/(VLOOKUP(Main_M[[#This Row],[Industry]], Mean_ROE_M, 3, FALSE))</f>
        <v>-0.43183323920236927</v>
      </c>
      <c r="R106" s="1">
        <f>(Main_M[[#This Row],[ROA]]-VLOOKUP(Main_M[[#This Row],[Industry]], Mean_ROA_M, 2, FALSE))/(VLOOKUP(Main_M[[#This Row],[Industry]], Mean_ROA_M, 3, FALSE))</f>
        <v>-0.36704637770450677</v>
      </c>
      <c r="S106" s="1">
        <f>(Main_M[[#This Row],[A/E]]-VLOOKUP(Main_M[[#This Row],[Industry]], Mean_AE_M, 2, FALSE))/(VLOOKUP(Main_M[[#This Row],[Industry]], Mean_AE_M, 3, FALSE))</f>
        <v>-0.11509324080746654</v>
      </c>
      <c r="T106" s="1">
        <f>(Main_M[[#This Row],[P/E]]-VLOOKUP(Main_M[[#This Row],[Industry]], Mean_PE_M, 2, FALSE))/(VLOOKUP(Main_M[[#This Row],[Industry]], Mean_PE_M, 3, FALSE))</f>
        <v>-1.0067411929266783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s="67" t="s">
        <v>172</v>
      </c>
      <c r="B107" s="67" t="s">
        <v>369</v>
      </c>
      <c r="C107" s="2">
        <v>4052</v>
      </c>
      <c r="D107">
        <f>RTD("tos.rtd", , "LAST", Main_M[[#This Row],[Symbol]])</f>
        <v>15.23</v>
      </c>
      <c r="E107">
        <v>-0.6</v>
      </c>
      <c r="F107">
        <v>15.04</v>
      </c>
      <c r="G107">
        <v>1.18</v>
      </c>
      <c r="H107" s="1">
        <f>IF(ISNUMBER(Main_M[[#This Row],[Free CF]]),IF(Main_M[[#This Row],[Free CF]]&lt;&gt;0,Main_M[[#This Row],[Current Price]]/Main_M[[#This Row],[Free CF]],""),"")</f>
        <v>-25.383333333333336</v>
      </c>
      <c r="I107" s="1">
        <f>IF(ISNUMBER(Main_M[[#This Row],[BVPS]]),IF(Main_M[[#This Row],[BVPS]]&lt;&gt;0,Main_M[[#This Row],[Current Price]]/Main_M[[#This Row],[BVPS]],""),"")</f>
        <v>1.0126329787234043</v>
      </c>
      <c r="J107">
        <v>8.8800000000000008</v>
      </c>
      <c r="K107">
        <v>5.74</v>
      </c>
      <c r="L107">
        <v>2.21</v>
      </c>
      <c r="M107" s="1">
        <f>IF(ISNUMBER(Main_M[[#This Row],[EPS]]),IF(Main_M[[#This Row],[EPS]]&lt;&gt;0,Main_M[[#This Row],[Current Price]]/Main_M[[#This Row],[EPS]],""),"")</f>
        <v>12.90677966101695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-5.8759558383333372</v>
      </c>
      <c r="P107" s="1">
        <f>(Main_M[[#This Row],[P/B]]-VLOOKUP(Main_M[[#This Row],[Industry]], Mean_PB_M, 2, FALSE))/(VLOOKUP(Main_M[[#This Row],[Industry]], Mean_PB_M, 3, FALSE))</f>
        <v>-0.91483350925898765</v>
      </c>
      <c r="Q107" s="1">
        <f>(Main_M[[#This Row],[ROE]]-VLOOKUP(Main_M[[#This Row],[Industry]], Mean_ROE_M, 2, FALSE))/(VLOOKUP(Main_M[[#This Row],[Industry]], Mean_ROE_M, 3, FALSE))</f>
        <v>-0.46845976157318731</v>
      </c>
      <c r="R107" s="1">
        <f>(Main_M[[#This Row],[ROA]]-VLOOKUP(Main_M[[#This Row],[Industry]], Mean_ROA_M, 2, FALSE))/(VLOOKUP(Main_M[[#This Row],[Industry]], Mean_ROA_M, 3, FALSE))</f>
        <v>-0.23183011517764099</v>
      </c>
      <c r="S107" s="1">
        <f>(Main_M[[#This Row],[A/E]]-VLOOKUP(Main_M[[#This Row],[Industry]], Mean_AE_M, 2, FALSE))/(VLOOKUP(Main_M[[#This Row],[Industry]], Mean_AE_M, 3, FALSE))</f>
        <v>-0.21454065930777316</v>
      </c>
      <c r="T107" s="1">
        <f>(Main_M[[#This Row],[P/E]]-VLOOKUP(Main_M[[#This Row],[Industry]], Mean_PE_M, 2, FALSE))/(VLOOKUP(Main_M[[#This Row],[Industry]], Mean_PE_M, 3, FALSE))</f>
        <v>-0.60512129589561903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s="67" t="s">
        <v>172</v>
      </c>
      <c r="B108" s="67" t="s">
        <v>371</v>
      </c>
      <c r="C108" s="2">
        <v>3093</v>
      </c>
      <c r="D108">
        <f>RTD("tos.rtd", , "LAST", Main_M[[#This Row],[Symbol]])</f>
        <v>18.07</v>
      </c>
      <c r="E108">
        <v>-0.61</v>
      </c>
      <c r="F108">
        <v>11.71</v>
      </c>
      <c r="G108">
        <v>1.33</v>
      </c>
      <c r="H108" s="1">
        <f>IF(ISNUMBER(Main_M[[#This Row],[Free CF]]),IF(Main_M[[#This Row],[Free CF]]&lt;&gt;0,Main_M[[#This Row],[Current Price]]/Main_M[[#This Row],[Free CF]],""),"")</f>
        <v>-29.622950819672131</v>
      </c>
      <c r="I108" s="1">
        <f>IF(ISNUMBER(Main_M[[#This Row],[BVPS]]),IF(Main_M[[#This Row],[BVPS]]&lt;&gt;0,Main_M[[#This Row],[Current Price]]/Main_M[[#This Row],[BVPS]],""),"")</f>
        <v>1.543125533731853</v>
      </c>
      <c r="J108">
        <v>11.44</v>
      </c>
      <c r="K108">
        <v>6.67</v>
      </c>
      <c r="L108">
        <v>2.02</v>
      </c>
      <c r="M108" s="1">
        <f>IF(ISNUMBER(Main_M[[#This Row],[EPS]]),IF(Main_M[[#This Row],[EPS]]&lt;&gt;0,Main_M[[#This Row],[Current Price]]/Main_M[[#This Row],[EPS]],""),"")</f>
        <v>13.586466165413533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-6.5614501417549258</v>
      </c>
      <c r="P108" s="1">
        <f>(Main_M[[#This Row],[P/B]]-VLOOKUP(Main_M[[#This Row],[Industry]], Mean_PB_M, 2, FALSE))/(VLOOKUP(Main_M[[#This Row],[Industry]], Mean_PB_M, 3, FALSE))</f>
        <v>-0.73199425908077798</v>
      </c>
      <c r="Q108" s="1">
        <f>(Main_M[[#This Row],[ROE]]-VLOOKUP(Main_M[[#This Row],[Industry]], Mean_ROE_M, 2, FALSE))/(VLOOKUP(Main_M[[#This Row],[Industry]], Mean_ROE_M, 3, FALSE))</f>
        <v>-0.32195367208991482</v>
      </c>
      <c r="R108" s="1">
        <f>(Main_M[[#This Row],[ROA]]-VLOOKUP(Main_M[[#This Row],[Industry]], Mean_ROA_M, 2, FALSE))/(VLOOKUP(Main_M[[#This Row],[Industry]], Mean_ROA_M, 3, FALSE))</f>
        <v>-6.6368109717134208E-2</v>
      </c>
      <c r="S108" s="1">
        <f>(Main_M[[#This Row],[A/E]]-VLOOKUP(Main_M[[#This Row],[Industry]], Mean_AE_M, 2, FALSE))/(VLOOKUP(Main_M[[#This Row],[Industry]], Mean_AE_M, 3, FALSE))</f>
        <v>-0.33263446877688713</v>
      </c>
      <c r="T108" s="1">
        <f>(Main_M[[#This Row],[P/E]]-VLOOKUP(Main_M[[#This Row],[Industry]], Mean_PE_M, 2, FALSE))/(VLOOKUP(Main_M[[#This Row],[Industry]], Mean_PE_M, 3, FALSE))</f>
        <v>-0.52809053614266732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s="67" t="s">
        <v>172</v>
      </c>
      <c r="B109" s="67" t="s">
        <v>365</v>
      </c>
      <c r="C109" s="2">
        <v>7269</v>
      </c>
      <c r="D109">
        <f>RTD("tos.rtd", , "LAST", Main_M[[#This Row],[Symbol]])</f>
        <v>31.94</v>
      </c>
      <c r="E109">
        <v>-8.11</v>
      </c>
      <c r="F109">
        <v>27.39</v>
      </c>
      <c r="G109">
        <v>3.14</v>
      </c>
      <c r="H109" s="1">
        <f>IF(ISNUMBER(Main_M[[#This Row],[Free CF]]),IF(Main_M[[#This Row],[Free CF]]&lt;&gt;0,Main_M[[#This Row],[Current Price]]/Main_M[[#This Row],[Free CF]],""),"")</f>
        <v>-3.9383477188655984</v>
      </c>
      <c r="I109" s="1">
        <f>IF(ISNUMBER(Main_M[[#This Row],[BVPS]]),IF(Main_M[[#This Row],[BVPS]]&lt;&gt;0,Main_M[[#This Row],[Current Price]]/Main_M[[#This Row],[BVPS]],""),"")</f>
        <v>1.1661190215407082</v>
      </c>
      <c r="J109">
        <v>11.58</v>
      </c>
      <c r="K109">
        <v>5.56</v>
      </c>
      <c r="L109">
        <v>2.2400000000000002</v>
      </c>
      <c r="M109" s="1">
        <f>IF(ISNUMBER(Main_M[[#This Row],[EPS]]),IF(Main_M[[#This Row],[EPS]]&lt;&gt;0,Main_M[[#This Row],[Current Price]]/Main_M[[#This Row],[EPS]],""),"")</f>
        <v>10.171974522292993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-2.4085639042628033</v>
      </c>
      <c r="P109" s="1">
        <f>(Main_M[[#This Row],[P/B]]-VLOOKUP(Main_M[[#This Row],[Industry]], Mean_PB_M, 2, FALSE))/(VLOOKUP(Main_M[[#This Row],[Industry]], Mean_PB_M, 3, FALSE))</f>
        <v>-0.86193310054149008</v>
      </c>
      <c r="Q109" s="1">
        <f>(Main_M[[#This Row],[ROE]]-VLOOKUP(Main_M[[#This Row],[Industry]], Mean_ROE_M, 2, FALSE))/(VLOOKUP(Main_M[[#This Row],[Industry]], Mean_ROE_M, 3, FALSE))</f>
        <v>-0.31394162032129835</v>
      </c>
      <c r="R109" s="1">
        <f>(Main_M[[#This Row],[ROA]]-VLOOKUP(Main_M[[#This Row],[Industry]], Mean_ROA_M, 2, FALSE))/(VLOOKUP(Main_M[[#This Row],[Industry]], Mean_ROA_M, 3, FALSE))</f>
        <v>-0.26385501946031986</v>
      </c>
      <c r="S109" s="1">
        <f>(Main_M[[#This Row],[A/E]]-VLOOKUP(Main_M[[#This Row],[Industry]], Mean_AE_M, 2, FALSE))/(VLOOKUP(Main_M[[#This Row],[Industry]], Mean_AE_M, 3, FALSE))</f>
        <v>-0.19589426833896553</v>
      </c>
      <c r="T109" s="1">
        <f>(Main_M[[#This Row],[P/E]]-VLOOKUP(Main_M[[#This Row],[Industry]], Mean_PE_M, 2, FALSE))/(VLOOKUP(Main_M[[#This Row],[Industry]], Mean_PE_M, 3, FALSE))</f>
        <v>-0.91506435971914979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s="67" t="s">
        <v>166</v>
      </c>
      <c r="B110" s="67" t="s">
        <v>352</v>
      </c>
      <c r="C110" s="2">
        <v>5538</v>
      </c>
      <c r="D110">
        <f>RTD("tos.rtd", , "LAST", Main_M[[#This Row],[Symbol]])</f>
        <v>506.71</v>
      </c>
      <c r="E110">
        <v>95.89</v>
      </c>
      <c r="F110">
        <v>145.63999999999999</v>
      </c>
      <c r="G110">
        <v>23.43</v>
      </c>
      <c r="H110" s="1">
        <f>IF(ISNUMBER(Main_M[[#This Row],[Free CF]]),IF(Main_M[[#This Row],[Free CF]]&lt;&gt;0,Main_M[[#This Row],[Current Price]]/Main_M[[#This Row],[Free CF]],""),"")</f>
        <v>5.2842840755031801</v>
      </c>
      <c r="I110" s="1">
        <f>IF(ISNUMBER(Main_M[[#This Row],[BVPS]]),IF(Main_M[[#This Row],[BVPS]]&lt;&gt;0,Main_M[[#This Row],[Current Price]]/Main_M[[#This Row],[BVPS]],""),"")</f>
        <v>3.4791952760230709</v>
      </c>
      <c r="J110">
        <v>17.239999999999998</v>
      </c>
      <c r="K110">
        <v>3.34</v>
      </c>
      <c r="L110">
        <v>5.41</v>
      </c>
      <c r="M110" s="1">
        <f>IF(ISNUMBER(Main_M[[#This Row],[EPS]]),IF(Main_M[[#This Row],[EPS]]&lt;&gt;0,Main_M[[#This Row],[Current Price]]/Main_M[[#This Row],[EPS]],""),"")</f>
        <v>21.626547161758428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-0.15017357867210157</v>
      </c>
      <c r="P110" s="1">
        <f>(Main_M[[#This Row],[P/B]]-VLOOKUP(Main_M[[#This Row],[Industry]], Mean_PB_M, 2, FALSE))/(VLOOKUP(Main_M[[#This Row],[Industry]], Mean_PB_M, 3, FALSE))</f>
        <v>1.6151861928227182</v>
      </c>
      <c r="Q110" s="1">
        <f>(Main_M[[#This Row],[ROE]]-VLOOKUP(Main_M[[#This Row],[Industry]], Mean_ROE_M, 2, FALSE))/(VLOOKUP(Main_M[[#This Row],[Industry]], Mean_ROE_M, 3, FALSE))</f>
        <v>0.33542275360220075</v>
      </c>
      <c r="R110" s="1">
        <f>(Main_M[[#This Row],[ROA]]-VLOOKUP(Main_M[[#This Row],[Industry]], Mean_ROA_M, 2, FALSE))/(VLOOKUP(Main_M[[#This Row],[Industry]], Mean_ROA_M, 3, FALSE))</f>
        <v>-0.5465439991222697</v>
      </c>
      <c r="S110" s="1">
        <f>(Main_M[[#This Row],[A/E]]-VLOOKUP(Main_M[[#This Row],[Industry]], Mean_AE_M, 2, FALSE))/(VLOOKUP(Main_M[[#This Row],[Industry]], Mean_AE_M, 3, FALSE))</f>
        <v>0.78774474516899129</v>
      </c>
      <c r="T110" s="1">
        <f>(Main_M[[#This Row],[P/E]]-VLOOKUP(Main_M[[#This Row],[Industry]], Mean_PE_M, 2, FALSE))/(VLOOKUP(Main_M[[#This Row],[Industry]], Mean_PE_M, 3, FALSE))</f>
        <v>1.3043889565179929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s="67" t="s">
        <v>166</v>
      </c>
      <c r="B111" s="67" t="s">
        <v>353</v>
      </c>
      <c r="C111" s="2">
        <v>2351</v>
      </c>
      <c r="D111">
        <f>RTD("tos.rtd", , "LAST", Main_M[[#This Row],[Symbol]])</f>
        <v>97.08</v>
      </c>
      <c r="E111">
        <v>58.43</v>
      </c>
      <c r="F111">
        <v>46.82</v>
      </c>
      <c r="G111">
        <v>8.48</v>
      </c>
      <c r="H111" s="1">
        <f>IF(ISNUMBER(Main_M[[#This Row],[Free CF]]),IF(Main_M[[#This Row],[Free CF]]&lt;&gt;0,Main_M[[#This Row],[Current Price]]/Main_M[[#This Row],[Free CF]],""),"")</f>
        <v>1.6614752695533117</v>
      </c>
      <c r="I111" s="1">
        <f>IF(ISNUMBER(Main_M[[#This Row],[BVPS]]),IF(Main_M[[#This Row],[BVPS]]&lt;&gt;0,Main_M[[#This Row],[Current Price]]/Main_M[[#This Row],[BVPS]],""),"")</f>
        <v>2.0734728748398119</v>
      </c>
      <c r="J111">
        <v>19.940000000000001</v>
      </c>
      <c r="K111">
        <v>4.6399999999999997</v>
      </c>
      <c r="L111">
        <v>4.5599999999999996</v>
      </c>
      <c r="M111" s="1">
        <f>IF(ISNUMBER(Main_M[[#This Row],[EPS]]),IF(Main_M[[#This Row],[EPS]]&lt;&gt;0,Main_M[[#This Row],[Current Price]]/Main_M[[#This Row],[EPS]],""),"")</f>
        <v>11.44811320754717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-0.80341079474420329</v>
      </c>
      <c r="P111" s="1">
        <f>(Main_M[[#This Row],[P/B]]-VLOOKUP(Main_M[[#This Row],[Industry]], Mean_PB_M, 2, FALSE))/(VLOOKUP(Main_M[[#This Row],[Industry]], Mean_PB_M, 3, FALSE))</f>
        <v>0.22431471308176579</v>
      </c>
      <c r="Q111" s="1">
        <f>(Main_M[[#This Row],[ROE]]-VLOOKUP(Main_M[[#This Row],[Industry]], Mean_ROE_M, 2, FALSE))/(VLOOKUP(Main_M[[#This Row],[Industry]], Mean_ROE_M, 3, FALSE))</f>
        <v>0.56544020412137375</v>
      </c>
      <c r="R111" s="1">
        <f>(Main_M[[#This Row],[ROA]]-VLOOKUP(Main_M[[#This Row],[Industry]], Mean_ROA_M, 2, FALSE))/(VLOOKUP(Main_M[[#This Row],[Industry]], Mean_ROA_M, 3, FALSE))</f>
        <v>-0.3121820863595593</v>
      </c>
      <c r="S111" s="1">
        <f>(Main_M[[#This Row],[A/E]]-VLOOKUP(Main_M[[#This Row],[Industry]], Mean_AE_M, 2, FALSE))/(VLOOKUP(Main_M[[#This Row],[Industry]], Mean_AE_M, 3, FALSE))</f>
        <v>0.37420916098351964</v>
      </c>
      <c r="T111" s="1">
        <f>(Main_M[[#This Row],[P/E]]-VLOOKUP(Main_M[[#This Row],[Industry]], Mean_PE_M, 2, FALSE))/(VLOOKUP(Main_M[[#This Row],[Industry]], Mean_PE_M, 3, FALSE))</f>
        <v>-2.8027153142780439E-2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s="67" t="s">
        <v>166</v>
      </c>
      <c r="B112" s="67" t="s">
        <v>351</v>
      </c>
      <c r="C112" s="2">
        <v>2383</v>
      </c>
      <c r="D112">
        <f>RTD("tos.rtd", , "LAST", Main_M[[#This Row],[Symbol]])</f>
        <v>51.21</v>
      </c>
      <c r="E112">
        <v>36.479999999999997</v>
      </c>
      <c r="F112">
        <v>64.45</v>
      </c>
      <c r="G112">
        <v>5.67</v>
      </c>
      <c r="H112" s="1">
        <f>IF(ISNUMBER(Main_M[[#This Row],[Free CF]]),IF(Main_M[[#This Row],[Free CF]]&lt;&gt;0,Main_M[[#This Row],[Current Price]]/Main_M[[#This Row],[Free CF]],""),"")</f>
        <v>1.4037828947368423</v>
      </c>
      <c r="I112" s="1">
        <f>IF(ISNUMBER(Main_M[[#This Row],[BVPS]]),IF(Main_M[[#This Row],[BVPS]]&lt;&gt;0,Main_M[[#This Row],[Current Price]]/Main_M[[#This Row],[BVPS]],""),"")</f>
        <v>0.79456943366951127</v>
      </c>
      <c r="J112">
        <v>9.3800000000000008</v>
      </c>
      <c r="K112">
        <v>1.28</v>
      </c>
      <c r="L112">
        <v>7.3</v>
      </c>
      <c r="M112" s="1">
        <f>IF(ISNUMBER(Main_M[[#This Row],[EPS]]),IF(Main_M[[#This Row],[EPS]]&lt;&gt;0,Main_M[[#This Row],[Current Price]]/Main_M[[#This Row],[EPS]],""),"")</f>
        <v>9.0317460317460316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-0.84987591574414612</v>
      </c>
      <c r="P112" s="1">
        <f>(Main_M[[#This Row],[P/B]]-VLOOKUP(Main_M[[#This Row],[Industry]], Mean_PB_M, 2, FALSE))/(VLOOKUP(Main_M[[#This Row],[Industry]], Mean_PB_M, 3, FALSE))</f>
        <v>-1.0410776006275735</v>
      </c>
      <c r="Q112" s="1">
        <f>(Main_M[[#This Row],[ROE]]-VLOOKUP(Main_M[[#This Row],[Industry]], Mean_ROE_M, 2, FALSE))/(VLOOKUP(Main_M[[#This Row],[Industry]], Mean_ROE_M, 3, FALSE))</f>
        <v>-0.334183602353613</v>
      </c>
      <c r="R112" s="1">
        <f>(Main_M[[#This Row],[ROA]]-VLOOKUP(Main_M[[#This Row],[Industry]], Mean_ROA_M, 2, FALSE))/(VLOOKUP(Main_M[[#This Row],[Industry]], Mean_ROA_M, 3, FALSE))</f>
        <v>-0.91791749165394931</v>
      </c>
      <c r="S112" s="1">
        <f>(Main_M[[#This Row],[A/E]]-VLOOKUP(Main_M[[#This Row],[Industry]], Mean_AE_M, 2, FALSE))/(VLOOKUP(Main_M[[#This Row],[Industry]], Mean_AE_M, 3, FALSE))</f>
        <v>1.7072532794166864</v>
      </c>
      <c r="T112" s="1">
        <f>(Main_M[[#This Row],[P/E]]-VLOOKUP(Main_M[[#This Row],[Industry]], Mean_PE_M, 2, FALSE))/(VLOOKUP(Main_M[[#This Row],[Industry]], Mean_PE_M, 3, FALSE))</f>
        <v>-0.34434364803547979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s="67" t="s">
        <v>166</v>
      </c>
      <c r="B113" s="67" t="s">
        <v>358</v>
      </c>
      <c r="C113" s="2">
        <v>6167</v>
      </c>
      <c r="D113">
        <f>RTD("tos.rtd", , "LAST", Main_M[[#This Row],[Symbol]])</f>
        <v>52.87</v>
      </c>
      <c r="E113">
        <v>23.47</v>
      </c>
      <c r="F113">
        <v>27.5</v>
      </c>
      <c r="G113">
        <v>4.7300000000000004</v>
      </c>
      <c r="H113" s="1">
        <f>IF(ISNUMBER(Main_M[[#This Row],[Free CF]]),IF(Main_M[[#This Row],[Free CF]]&lt;&gt;0,Main_M[[#This Row],[Current Price]]/Main_M[[#This Row],[Free CF]],""),"")</f>
        <v>2.2526629740093735</v>
      </c>
      <c r="I113" s="1">
        <f>IF(ISNUMBER(Main_M[[#This Row],[BVPS]]),IF(Main_M[[#This Row],[BVPS]]&lt;&gt;0,Main_M[[#This Row],[Current Price]]/Main_M[[#This Row],[BVPS]],""),"")</f>
        <v>1.9225454545454546</v>
      </c>
      <c r="J113">
        <v>17.46</v>
      </c>
      <c r="K113">
        <v>2.27</v>
      </c>
      <c r="L113">
        <v>7.94</v>
      </c>
      <c r="M113" s="1">
        <f>IF(ISNUMBER(Main_M[[#This Row],[EPS]]),IF(Main_M[[#This Row],[EPS]]&lt;&gt;0,Main_M[[#This Row],[Current Price]]/Main_M[[#This Row],[EPS]],""),"")</f>
        <v>11.177589852008454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-0.69681234284669014</v>
      </c>
      <c r="P113" s="1">
        <f>(Main_M[[#This Row],[P/B]]-VLOOKUP(Main_M[[#This Row],[Industry]], Mean_PB_M, 2, FALSE))/(VLOOKUP(Main_M[[#This Row],[Industry]], Mean_PB_M, 3, FALSE))</f>
        <v>7.4981783463800022E-2</v>
      </c>
      <c r="Q113" s="1">
        <f>(Main_M[[#This Row],[ROE]]-VLOOKUP(Main_M[[#This Row],[Industry]], Mean_ROE_M, 2, FALSE))/(VLOOKUP(Main_M[[#This Row],[Industry]], Mean_ROE_M, 3, FALSE))</f>
        <v>0.35416491623709651</v>
      </c>
      <c r="R113" s="1">
        <f>(Main_M[[#This Row],[ROA]]-VLOOKUP(Main_M[[#This Row],[Industry]], Mean_ROA_M, 2, FALSE))/(VLOOKUP(Main_M[[#This Row],[Industry]], Mean_ROA_M, 3, FALSE))</f>
        <v>-0.73944188116542364</v>
      </c>
      <c r="S113" s="1">
        <f>(Main_M[[#This Row],[A/E]]-VLOOKUP(Main_M[[#This Row],[Industry]], Mean_AE_M, 2, FALSE))/(VLOOKUP(Main_M[[#This Row],[Industry]], Mean_AE_M, 3, FALSE))</f>
        <v>2.0186212486857475</v>
      </c>
      <c r="T113" s="1">
        <f>(Main_M[[#This Row],[P/E]]-VLOOKUP(Main_M[[#This Row],[Industry]], Mean_PE_M, 2, FALSE))/(VLOOKUP(Main_M[[#This Row],[Industry]], Mean_PE_M, 3, FALSE))</f>
        <v>-6.3440231282383644E-2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s="67" t="s">
        <v>166</v>
      </c>
      <c r="B114" s="67" t="s">
        <v>357</v>
      </c>
      <c r="C114" s="2">
        <v>4224</v>
      </c>
      <c r="D114">
        <f>RTD("tos.rtd", , "LAST", Main_M[[#This Row],[Symbol]])</f>
        <v>114.76</v>
      </c>
      <c r="E114">
        <v>14.85</v>
      </c>
      <c r="F114">
        <v>94.06</v>
      </c>
      <c r="G114">
        <v>5.3</v>
      </c>
      <c r="H114" s="1">
        <f>IF(ISNUMBER(Main_M[[#This Row],[Free CF]]),IF(Main_M[[#This Row],[Free CF]]&lt;&gt;0,Main_M[[#This Row],[Current Price]]/Main_M[[#This Row],[Free CF]],""),"")</f>
        <v>7.7279461279461286</v>
      </c>
      <c r="I114" s="1">
        <f>IF(ISNUMBER(Main_M[[#This Row],[BVPS]]),IF(Main_M[[#This Row],[BVPS]]&lt;&gt;0,Main_M[[#This Row],[Current Price]]/Main_M[[#This Row],[BVPS]],""),"")</f>
        <v>1.2200722942802467</v>
      </c>
      <c r="J114">
        <v>5.63</v>
      </c>
      <c r="K114">
        <v>1.26</v>
      </c>
      <c r="L114">
        <v>4.1500000000000004</v>
      </c>
      <c r="M114" s="1">
        <f>IF(ISNUMBER(Main_M[[#This Row],[EPS]]),IF(Main_M[[#This Row],[EPS]]&lt;&gt;0,Main_M[[#This Row],[Current Price]]/Main_M[[#This Row],[EPS]],""),"")</f>
        <v>21.652830188679246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0.29044890009001917</v>
      </c>
      <c r="P114" s="1">
        <f>(Main_M[[#This Row],[P/B]]-VLOOKUP(Main_M[[#This Row],[Industry]], Mean_PB_M, 2, FALSE))/(VLOOKUP(Main_M[[#This Row],[Industry]], Mean_PB_M, 3, FALSE))</f>
        <v>-0.62007001557841956</v>
      </c>
      <c r="Q114" s="1">
        <f>(Main_M[[#This Row],[ROE]]-VLOOKUP(Main_M[[#This Row],[Industry]], Mean_ROE_M, 2, FALSE))/(VLOOKUP(Main_M[[#This Row],[Industry]], Mean_ROE_M, 3, FALSE))</f>
        <v>-0.65365228363024186</v>
      </c>
      <c r="R114" s="1">
        <f>(Main_M[[#This Row],[ROA]]-VLOOKUP(Main_M[[#This Row],[Industry]], Mean_ROA_M, 2, FALSE))/(VLOOKUP(Main_M[[#This Row],[Industry]], Mean_ROA_M, 3, FALSE))</f>
        <v>-0.92152305954260649</v>
      </c>
      <c r="S114" s="1">
        <f>(Main_M[[#This Row],[A/E]]-VLOOKUP(Main_M[[#This Row],[Industry]], Mean_AE_M, 2, FALSE))/(VLOOKUP(Main_M[[#This Row],[Industry]], Mean_AE_M, 3, FALSE))</f>
        <v>0.17473905567052792</v>
      </c>
      <c r="T114" s="1">
        <f>(Main_M[[#This Row],[P/E]]-VLOOKUP(Main_M[[#This Row],[Industry]], Mean_PE_M, 2, FALSE))/(VLOOKUP(Main_M[[#This Row],[Industry]], Mean_PE_M, 3, FALSE))</f>
        <v>1.3078295573645955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s="67" t="s">
        <v>166</v>
      </c>
      <c r="B115" s="67" t="s">
        <v>575</v>
      </c>
      <c r="C115" s="2">
        <v>2679</v>
      </c>
      <c r="D115">
        <f>RTD("tos.rtd", , "LAST", Main_M[[#This Row],[Symbol]])</f>
        <v>224.72</v>
      </c>
      <c r="E115">
        <v>11.35</v>
      </c>
      <c r="F115">
        <v>17.010000000000002</v>
      </c>
      <c r="G115">
        <v>3.7</v>
      </c>
      <c r="H115" s="1">
        <f>IF(ISNUMBER(Main_M[[#This Row],[Free CF]]),IF(Main_M[[#This Row],[Free CF]]&lt;&gt;0,Main_M[[#This Row],[Current Price]]/Main_M[[#This Row],[Free CF]],""),"")</f>
        <v>19.79911894273128</v>
      </c>
      <c r="I115" s="1">
        <f>IF(ISNUMBER(Main_M[[#This Row],[BVPS]]),IF(Main_M[[#This Row],[BVPS]]&lt;&gt;0,Main_M[[#This Row],[Current Price]]/Main_M[[#This Row],[BVPS]],""),"")</f>
        <v>13.211052322163432</v>
      </c>
      <c r="J115">
        <v>32.1</v>
      </c>
      <c r="K115">
        <v>14.59</v>
      </c>
      <c r="L115">
        <v>1.58</v>
      </c>
      <c r="M115" s="1">
        <f>IF(ISNUMBER(Main_M[[#This Row],[EPS]]),IF(Main_M[[#This Row],[EPS]]&lt;&gt;0,Main_M[[#This Row],[Current Price]]/Main_M[[#This Row],[EPS]],""),"")</f>
        <v>60.735135135135131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2.4670305930861036</v>
      </c>
      <c r="P115" s="1">
        <f>(Main_M[[#This Row],[P/B]]-VLOOKUP(Main_M[[#This Row],[Industry]], Mean_PB_M, 2, FALSE))/(VLOOKUP(Main_M[[#This Row],[Industry]], Mean_PB_M, 3, FALSE))</f>
        <v>11.244229878118626</v>
      </c>
      <c r="Q115" s="1">
        <f>(Main_M[[#This Row],[ROE]]-VLOOKUP(Main_M[[#This Row],[Industry]], Mean_ROE_M, 2, FALSE))/(VLOOKUP(Main_M[[#This Row],[Industry]], Mean_ROE_M, 3, FALSE))</f>
        <v>1.6013706479410554</v>
      </c>
      <c r="R115" s="1">
        <f>(Main_M[[#This Row],[ROA]]-VLOOKUP(Main_M[[#This Row],[Industry]], Mean_ROA_M, 2, FALSE))/(VLOOKUP(Main_M[[#This Row],[Industry]], Mean_ROA_M, 3, FALSE))</f>
        <v>1.48158793824734</v>
      </c>
      <c r="S115" s="1">
        <f>(Main_M[[#This Row],[A/E]]-VLOOKUP(Main_M[[#This Row],[Industry]], Mean_AE_M, 2, FALSE))/(VLOOKUP(Main_M[[#This Row],[Industry]], Mean_AE_M, 3, FALSE))</f>
        <v>-1.0755979459255445</v>
      </c>
      <c r="T115" s="1">
        <f>(Main_M[[#This Row],[P/E]]-VLOOKUP(Main_M[[#This Row],[Industry]], Mean_PE_M, 2, FALSE))/(VLOOKUP(Main_M[[#This Row],[Industry]], Mean_PE_M, 3, FALSE))</f>
        <v>6.4239302215328324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6" spans="1:26" x14ac:dyDescent="0.25">
      <c r="A116" s="67" t="s">
        <v>166</v>
      </c>
      <c r="B116" s="67" t="s">
        <v>354</v>
      </c>
      <c r="C116" s="2">
        <v>5675</v>
      </c>
      <c r="D116">
        <f>RTD("tos.rtd", , "LAST", Main_M[[#This Row],[Symbol]])</f>
        <v>131.07</v>
      </c>
      <c r="E116">
        <v>10.92</v>
      </c>
      <c r="F116">
        <v>46.4</v>
      </c>
      <c r="G116">
        <v>6.25</v>
      </c>
      <c r="H116" s="1">
        <f>IF(ISNUMBER(Main_M[[#This Row],[Free CF]]),IF(Main_M[[#This Row],[Free CF]]&lt;&gt;0,Main_M[[#This Row],[Current Price]]/Main_M[[#This Row],[Free CF]],""),"")</f>
        <v>12.002747252747252</v>
      </c>
      <c r="I116" s="1">
        <f>IF(ISNUMBER(Main_M[[#This Row],[BVPS]]),IF(Main_M[[#This Row],[BVPS]]&lt;&gt;0,Main_M[[#This Row],[Current Price]]/Main_M[[#This Row],[BVPS]],""),"")</f>
        <v>2.8247844827586208</v>
      </c>
      <c r="J116">
        <v>13.7</v>
      </c>
      <c r="K116">
        <v>6.94</v>
      </c>
      <c r="L116">
        <v>2.15</v>
      </c>
      <c r="M116" s="1">
        <f>IF(ISNUMBER(Main_M[[#This Row],[EPS]]),IF(Main_M[[#This Row],[EPS]]&lt;&gt;0,Main_M[[#This Row],[Current Price]]/Main_M[[#This Row],[EPS]],""),"")</f>
        <v>20.9712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1.0612483917553865</v>
      </c>
      <c r="P116" s="1">
        <f>(Main_M[[#This Row],[P/B]]-VLOOKUP(Main_M[[#This Row],[Industry]], Mean_PB_M, 2, FALSE))/(VLOOKUP(Main_M[[#This Row],[Industry]], Mean_PB_M, 3, FALSE))</f>
        <v>0.96768900019064574</v>
      </c>
      <c r="Q116" s="1">
        <f>(Main_M[[#This Row],[ROE]]-VLOOKUP(Main_M[[#This Row],[Industry]], Mean_ROE_M, 2, FALSE))/(VLOOKUP(Main_M[[#This Row],[Industry]], Mean_ROE_M, 3, FALSE))</f>
        <v>3.3844318477063248E-2</v>
      </c>
      <c r="R116" s="1">
        <f>(Main_M[[#This Row],[ROA]]-VLOOKUP(Main_M[[#This Row],[Industry]], Mean_ROA_M, 2, FALSE))/(VLOOKUP(Main_M[[#This Row],[Industry]], Mean_ROA_M, 3, FALSE))</f>
        <v>0.10245822083600548</v>
      </c>
      <c r="S116" s="1">
        <f>(Main_M[[#This Row],[A/E]]-VLOOKUP(Main_M[[#This Row],[Industry]], Mean_AE_M, 2, FALSE))/(VLOOKUP(Main_M[[#This Row],[Industry]], Mean_AE_M, 3, FALSE))</f>
        <v>-0.79828584829528726</v>
      </c>
      <c r="T116" s="1">
        <f>(Main_M[[#This Row],[P/E]]-VLOOKUP(Main_M[[#This Row],[Industry]], Mean_PE_M, 2, FALSE))/(VLOOKUP(Main_M[[#This Row],[Industry]], Mean_PE_M, 3, FALSE))</f>
        <v>1.2186002075144082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s="67" t="s">
        <v>166</v>
      </c>
      <c r="B117" s="67" t="s">
        <v>359</v>
      </c>
      <c r="C117" s="2">
        <v>5527</v>
      </c>
      <c r="D117">
        <f>RTD("tos.rtd", , "LAST", Main_M[[#This Row],[Symbol]])</f>
        <v>42.69</v>
      </c>
      <c r="E117">
        <v>9.5299999999999994</v>
      </c>
      <c r="F117">
        <v>23.63</v>
      </c>
      <c r="G117">
        <v>6.44</v>
      </c>
      <c r="H117" s="1">
        <f>IF(ISNUMBER(Main_M[[#This Row],[Free CF]]),IF(Main_M[[#This Row],[Free CF]]&lt;&gt;0,Main_M[[#This Row],[Current Price]]/Main_M[[#This Row],[Free CF]],""),"")</f>
        <v>4.4795383001049318</v>
      </c>
      <c r="I117" s="1">
        <f>IF(ISNUMBER(Main_M[[#This Row],[BVPS]]),IF(Main_M[[#This Row],[BVPS]]&lt;&gt;0,Main_M[[#This Row],[Current Price]]/Main_M[[#This Row],[BVPS]],""),"")</f>
        <v>1.8066017774016081</v>
      </c>
      <c r="J117">
        <v>30.42</v>
      </c>
      <c r="K117">
        <v>10.26</v>
      </c>
      <c r="L117">
        <v>2.41</v>
      </c>
      <c r="M117" s="1">
        <f>IF(ISNUMBER(Main_M[[#This Row],[EPS]]),IF(Main_M[[#This Row],[EPS]]&lt;&gt;0,Main_M[[#This Row],[Current Price]]/Main_M[[#This Row],[EPS]],""),"")</f>
        <v>6.628881987577639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7" s="1">
        <f>(Main_M[[#This Row],[P/FCF]]-VLOOKUP(Main_M[[#This Row],[Industry]], Mean_PFCF_M, 2, FALSE))/(VLOOKUP(Main_M[[#This Row],[Industry]], Mean_PFCF_M, 3, FALSE))</f>
        <v>-0.29527919095381439</v>
      </c>
      <c r="P117" s="1">
        <f>(Main_M[[#This Row],[P/B]]-VLOOKUP(Main_M[[#This Row],[Industry]], Mean_PB_M, 2, FALSE))/(VLOOKUP(Main_M[[#This Row],[Industry]], Mean_PB_M, 3, FALSE))</f>
        <v>-3.9736992917601424E-2</v>
      </c>
      <c r="Q117" s="1">
        <f>(Main_M[[#This Row],[ROE]]-VLOOKUP(Main_M[[#This Row],[Industry]], Mean_ROE_M, 2, FALSE))/(VLOOKUP(Main_M[[#This Row],[Industry]], Mean_ROE_M, 3, FALSE))</f>
        <v>1.4582486787291258</v>
      </c>
      <c r="R117" s="1">
        <f>(Main_M[[#This Row],[ROA]]-VLOOKUP(Main_M[[#This Row],[Industry]], Mean_ROA_M, 2, FALSE))/(VLOOKUP(Main_M[[#This Row],[Industry]], Mean_ROA_M, 3, FALSE))</f>
        <v>0.70098249035308124</v>
      </c>
      <c r="S117" s="1">
        <f>(Main_M[[#This Row],[A/E]]-VLOOKUP(Main_M[[#This Row],[Industry]], Mean_AE_M, 2, FALSE))/(VLOOKUP(Main_M[[#This Row],[Industry]], Mean_AE_M, 3, FALSE))</f>
        <v>-0.67179261077973129</v>
      </c>
      <c r="T117" s="1">
        <f>(Main_M[[#This Row],[P/E]]-VLOOKUP(Main_M[[#This Row],[Industry]], Mean_PE_M, 2, FALSE))/(VLOOKUP(Main_M[[#This Row],[Industry]], Mean_PE_M, 3, FALSE))</f>
        <v>-0.65889250458624182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s="67" t="s">
        <v>166</v>
      </c>
      <c r="B118" s="67" t="s">
        <v>356</v>
      </c>
      <c r="C118" s="2">
        <v>2539</v>
      </c>
      <c r="D118">
        <f>RTD("tos.rtd", , "LAST", Main_M[[#This Row],[Symbol]])</f>
        <v>2.88</v>
      </c>
      <c r="E118">
        <v>1.98</v>
      </c>
      <c r="F118">
        <v>15.42</v>
      </c>
      <c r="G118">
        <v>-0.77</v>
      </c>
      <c r="H118" s="1">
        <f>IF(ISNUMBER(Main_M[[#This Row],[Free CF]]),IF(Main_M[[#This Row],[Free CF]]&lt;&gt;0,Main_M[[#This Row],[Current Price]]/Main_M[[#This Row],[Free CF]],""),"")</f>
        <v>1.4545454545454546</v>
      </c>
      <c r="I118" s="1">
        <f>IF(ISNUMBER(Main_M[[#This Row],[BVPS]]),IF(Main_M[[#This Row],[BVPS]]&lt;&gt;0,Main_M[[#This Row],[Current Price]]/Main_M[[#This Row],[BVPS]],""),"")</f>
        <v>0.1867704280155642</v>
      </c>
      <c r="J118">
        <v>-3.45</v>
      </c>
      <c r="K118">
        <v>3.1</v>
      </c>
      <c r="L118">
        <v>2.44</v>
      </c>
      <c r="M118" s="1">
        <f>IF(ISNUMBER(Main_M[[#This Row],[EPS]]),IF(Main_M[[#This Row],[EPS]]&lt;&gt;0,Main_M[[#This Row],[Current Price]]/Main_M[[#This Row],[EPS]],""),"")</f>
        <v>-3.7402597402597402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-0.84072279863909438</v>
      </c>
      <c r="P118" s="1">
        <f>(Main_M[[#This Row],[P/B]]-VLOOKUP(Main_M[[#This Row],[Industry]], Mean_PB_M, 2, FALSE))/(VLOOKUP(Main_M[[#This Row],[Industry]], Mean_PB_M, 3, FALSE))</f>
        <v>-1.6424554414213171</v>
      </c>
      <c r="Q118" s="1">
        <f>(Main_M[[#This Row],[ROE]]-VLOOKUP(Main_M[[#This Row],[Industry]], Mean_ROE_M, 2, FALSE))/(VLOOKUP(Main_M[[#This Row],[Industry]], Mean_ROE_M, 3, FALSE))</f>
        <v>-1.4271924505613858</v>
      </c>
      <c r="R118" s="1">
        <f>(Main_M[[#This Row],[ROA]]-VLOOKUP(Main_M[[#This Row],[Industry]], Mean_ROA_M, 2, FALSE))/(VLOOKUP(Main_M[[#This Row],[Industry]], Mean_ROA_M, 3, FALSE))</f>
        <v>-0.58981081378615474</v>
      </c>
      <c r="S118" s="1">
        <f>(Main_M[[#This Row],[A/E]]-VLOOKUP(Main_M[[#This Row],[Industry]], Mean_AE_M, 2, FALSE))/(VLOOKUP(Main_M[[#This Row],[Industry]], Mean_AE_M, 3, FALSE))</f>
        <v>-0.65719723722024415</v>
      </c>
      <c r="T118" s="1">
        <f>(Main_M[[#This Row],[P/E]]-VLOOKUP(Main_M[[#This Row],[Industry]], Mean_PE_M, 2, FALSE))/(VLOOKUP(Main_M[[#This Row],[Industry]], Mean_PE_M, 3, FALSE))</f>
        <v>-2.016273369233891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s="67" t="s">
        <v>166</v>
      </c>
      <c r="B119" s="67" t="s">
        <v>355</v>
      </c>
      <c r="C119" s="2">
        <v>2119</v>
      </c>
      <c r="D119">
        <f>RTD("tos.rtd", , "LAST", Main_M[[#This Row],[Symbol]])</f>
        <v>8.73</v>
      </c>
      <c r="E119">
        <v>1.71</v>
      </c>
      <c r="F119">
        <v>8.41</v>
      </c>
      <c r="G119">
        <v>1.37</v>
      </c>
      <c r="H119" s="1">
        <f>IF(ISNUMBER(Main_M[[#This Row],[Free CF]]),IF(Main_M[[#This Row],[Free CF]]&lt;&gt;0,Main_M[[#This Row],[Current Price]]/Main_M[[#This Row],[Free CF]],""),"")</f>
        <v>5.1052631578947372</v>
      </c>
      <c r="I119" s="1">
        <f>IF(ISNUMBER(Main_M[[#This Row],[BVPS]]),IF(Main_M[[#This Row],[BVPS]]&lt;&gt;0,Main_M[[#This Row],[Current Price]]/Main_M[[#This Row],[BVPS]],""),"")</f>
        <v>1.0380499405469679</v>
      </c>
      <c r="J119">
        <v>17.510000000000002</v>
      </c>
      <c r="K119">
        <v>19.66</v>
      </c>
      <c r="L119">
        <v>1.58</v>
      </c>
      <c r="M119" s="1">
        <f>IF(ISNUMBER(Main_M[[#This Row],[EPS]]),IF(Main_M[[#This Row],[EPS]]&lt;&gt;0,Main_M[[#This Row],[Current Price]]/Main_M[[#This Row],[EPS]],""),"")</f>
        <v>6.3722627737226274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9" s="1">
        <f>(Main_M[[#This Row],[P/FCF]]-VLOOKUP(Main_M[[#This Row],[Industry]], Mean_PFCF_M, 2, FALSE))/(VLOOKUP(Main_M[[#This Row],[Industry]], Mean_PFCF_M, 3, FALSE))</f>
        <v>-0.18245326333146106</v>
      </c>
      <c r="P119" s="1">
        <f>(Main_M[[#This Row],[P/B]]-VLOOKUP(Main_M[[#This Row],[Industry]], Mean_PB_M, 2, FALSE))/(VLOOKUP(Main_M[[#This Row],[Industry]], Mean_PB_M, 3, FALSE))</f>
        <v>-0.80016937251392295</v>
      </c>
      <c r="Q119" s="1">
        <f>(Main_M[[#This Row],[ROE]]-VLOOKUP(Main_M[[#This Row],[Industry]], Mean_ROE_M, 2, FALSE))/(VLOOKUP(Main_M[[#This Row],[Industry]], Mean_ROE_M, 3, FALSE))</f>
        <v>0.3584244986541183</v>
      </c>
      <c r="R119" s="1">
        <f>(Main_M[[#This Row],[ROA]]-VLOOKUP(Main_M[[#This Row],[Industry]], Mean_ROA_M, 2, FALSE))/(VLOOKUP(Main_M[[#This Row],[Industry]], Mean_ROA_M, 3, FALSE))</f>
        <v>2.3955993980219108</v>
      </c>
      <c r="S119" s="1">
        <f>(Main_M[[#This Row],[A/E]]-VLOOKUP(Main_M[[#This Row],[Industry]], Mean_AE_M, 2, FALSE))/(VLOOKUP(Main_M[[#This Row],[Industry]], Mean_AE_M, 3, FALSE))</f>
        <v>-1.0755979459255445</v>
      </c>
      <c r="T119" s="1">
        <f>(Main_M[[#This Row],[P/E]]-VLOOKUP(Main_M[[#This Row],[Industry]], Mean_PE_M, 2, FALSE))/(VLOOKUP(Main_M[[#This Row],[Industry]], Mean_PE_M, 3, FALSE))</f>
        <v>-0.69248544983961569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s="67" t="s">
        <v>166</v>
      </c>
      <c r="B120" s="67" t="s">
        <v>361</v>
      </c>
      <c r="C120" s="2">
        <v>4488</v>
      </c>
      <c r="D120">
        <f>RTD("tos.rtd", , "LAST", Main_M[[#This Row],[Symbol]])</f>
        <v>57.42</v>
      </c>
      <c r="E120">
        <v>1.25</v>
      </c>
      <c r="F120">
        <v>7.12</v>
      </c>
      <c r="G120">
        <v>-0.74</v>
      </c>
      <c r="H120" s="1">
        <f>IF(ISNUMBER(Main_M[[#This Row],[Free CF]]),IF(Main_M[[#This Row],[Free CF]]&lt;&gt;0,Main_M[[#This Row],[Current Price]]/Main_M[[#This Row],[Free CF]],""),"")</f>
        <v>45.936</v>
      </c>
      <c r="I120" s="1">
        <f>IF(ISNUMBER(Main_M[[#This Row],[BVPS]]),IF(Main_M[[#This Row],[BVPS]]&lt;&gt;0,Main_M[[#This Row],[Current Price]]/Main_M[[#This Row],[BVPS]],""),"")</f>
        <v>8.0646067415730336</v>
      </c>
      <c r="J120">
        <v>-10.3</v>
      </c>
      <c r="K120">
        <v>-2.16</v>
      </c>
      <c r="L120">
        <v>3.39</v>
      </c>
      <c r="M120" s="1">
        <f>IF(ISNUMBER(Main_M[[#This Row],[EPS]]),IF(Main_M[[#This Row],[EPS]]&lt;&gt;0,Main_M[[#This Row],[Current Price]]/Main_M[[#This Row],[EPS]],""),"")</f>
        <v>-77.594594594594597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7.179833374899296</v>
      </c>
      <c r="P120" s="1">
        <f>(Main_M[[#This Row],[P/B]]-VLOOKUP(Main_M[[#This Row],[Industry]], Mean_PB_M, 2, FALSE))/(VLOOKUP(Main_M[[#This Row],[Industry]], Mean_PB_M, 3, FALSE))</f>
        <v>6.1521545337570291</v>
      </c>
      <c r="Q120" s="1">
        <f>(Main_M[[#This Row],[ROE]]-VLOOKUP(Main_M[[#This Row],[Industry]], Mean_ROE_M, 2, FALSE))/(VLOOKUP(Main_M[[#This Row],[Industry]], Mean_ROE_M, 3, FALSE))</f>
        <v>-2.010755241693361</v>
      </c>
      <c r="R120" s="1">
        <f>(Main_M[[#This Row],[ROA]]-VLOOKUP(Main_M[[#This Row],[Industry]], Mean_ROA_M, 2, FALSE))/(VLOOKUP(Main_M[[#This Row],[Industry]], Mean_ROA_M, 3, FALSE))</f>
        <v>-1.5380751685029677</v>
      </c>
      <c r="S120" s="1">
        <f>(Main_M[[#This Row],[A/E]]-VLOOKUP(Main_M[[#This Row],[Industry]], Mean_AE_M, 2, FALSE))/(VLOOKUP(Main_M[[#This Row],[Industry]], Mean_AE_M, 3, FALSE))</f>
        <v>-0.19501040783648191</v>
      </c>
      <c r="T120" s="1">
        <f>(Main_M[[#This Row],[P/E]]-VLOOKUP(Main_M[[#This Row],[Industry]], Mean_PE_M, 2, FALSE))/(VLOOKUP(Main_M[[#This Row],[Industry]], Mean_PE_M, 3, FALSE))</f>
        <v>-11.684234665724166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1" spans="1:26" x14ac:dyDescent="0.25">
      <c r="A121" s="67" t="s">
        <v>166</v>
      </c>
      <c r="B121" s="67" t="s">
        <v>699</v>
      </c>
      <c r="C121" s="2">
        <v>3269</v>
      </c>
      <c r="D121">
        <f>RTD("tos.rtd", , "LAST", Main_M[[#This Row],[Symbol]])</f>
        <v>11.935</v>
      </c>
      <c r="E121">
        <v>0.06</v>
      </c>
      <c r="F121">
        <v>0.45</v>
      </c>
      <c r="G121">
        <v>0.08</v>
      </c>
      <c r="H121" s="1">
        <f>IF(ISNUMBER(Main_M[[#This Row],[Free CF]]),IF(Main_M[[#This Row],[Free CF]]&lt;&gt;0,Main_M[[#This Row],[Current Price]]/Main_M[[#This Row],[Free CF]],""),"")</f>
        <v>198.91666666666669</v>
      </c>
      <c r="I121" s="1">
        <f>IF(ISNUMBER(Main_M[[#This Row],[BVPS]]),IF(Main_M[[#This Row],[BVPS]]&lt;&gt;0,Main_M[[#This Row],[Current Price]]/Main_M[[#This Row],[BVPS]],""),"")</f>
        <v>26.522222222222222</v>
      </c>
      <c r="J121">
        <v>18.71</v>
      </c>
      <c r="K121">
        <v>6.94</v>
      </c>
      <c r="L121">
        <v>2.58</v>
      </c>
      <c r="M121" s="1">
        <f>IF(ISNUMBER(Main_M[[#This Row],[EPS]]),IF(Main_M[[#This Row],[EPS]]&lt;&gt;0,Main_M[[#This Row],[Current Price]]/Main_M[[#This Row],[EPS]],""),"")</f>
        <v>149.1875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34.76413885689562</v>
      </c>
      <c r="P121" s="1">
        <f>(Main_M[[#This Row],[P/B]]-VLOOKUP(Main_M[[#This Row],[Industry]], Mean_PB_M, 2, FALSE))/(VLOOKUP(Main_M[[#This Row],[Industry]], Mean_PB_M, 3, FALSE))</f>
        <v>24.414772341121161</v>
      </c>
      <c r="Q121" s="1">
        <f>(Main_M[[#This Row],[ROE]]-VLOOKUP(Main_M[[#This Row],[Industry]], Mean_ROE_M, 2, FALSE))/(VLOOKUP(Main_M[[#This Row],[Industry]], Mean_ROE_M, 3, FALSE))</f>
        <v>0.46065447666263948</v>
      </c>
      <c r="R121" s="1">
        <f>(Main_M[[#This Row],[ROA]]-VLOOKUP(Main_M[[#This Row],[Industry]], Mean_ROA_M, 2, FALSE))/(VLOOKUP(Main_M[[#This Row],[Industry]], Mean_ROA_M, 3, FALSE))</f>
        <v>0.10245822083600548</v>
      </c>
      <c r="S121" s="1">
        <f>(Main_M[[#This Row],[A/E]]-VLOOKUP(Main_M[[#This Row],[Industry]], Mean_AE_M, 2, FALSE))/(VLOOKUP(Main_M[[#This Row],[Industry]], Mean_AE_M, 3, FALSE))</f>
        <v>-0.58908549394263698</v>
      </c>
      <c r="T121" s="1">
        <f>(Main_M[[#This Row],[P/E]]-VLOOKUP(Main_M[[#This Row],[Industry]], Mean_PE_M, 2, FALSE))/(VLOOKUP(Main_M[[#This Row],[Industry]], Mean_PE_M, 3, FALSE))</f>
        <v>18.002858415567697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2" spans="1:26" x14ac:dyDescent="0.25">
      <c r="A122" s="67" t="s">
        <v>166</v>
      </c>
      <c r="B122" s="67" t="s">
        <v>360</v>
      </c>
      <c r="C122" s="2">
        <v>6793</v>
      </c>
      <c r="D122">
        <f>RTD("tos.rtd", , "LAST", Main_M[[#This Row],[Symbol]])</f>
        <v>31.84</v>
      </c>
      <c r="E122">
        <v>-1.95</v>
      </c>
      <c r="F122">
        <v>10.199999999999999</v>
      </c>
      <c r="G122">
        <v>2.78</v>
      </c>
      <c r="H122" s="1">
        <f>IF(ISNUMBER(Main_M[[#This Row],[Free CF]]),IF(Main_M[[#This Row],[Free CF]]&lt;&gt;0,Main_M[[#This Row],[Current Price]]/Main_M[[#This Row],[Free CF]],""),"")</f>
        <v>-16.328205128205127</v>
      </c>
      <c r="I122" s="1">
        <f>IF(ISNUMBER(Main_M[[#This Row],[BVPS]]),IF(Main_M[[#This Row],[BVPS]]&lt;&gt;0,Main_M[[#This Row],[Current Price]]/Main_M[[#This Row],[BVPS]],""),"")</f>
        <v>3.1215686274509804</v>
      </c>
      <c r="J122">
        <v>27.6</v>
      </c>
      <c r="K122">
        <v>2.1800000000000002</v>
      </c>
      <c r="L122">
        <v>13.44</v>
      </c>
      <c r="M122" s="1">
        <f>IF(ISNUMBER(Main_M[[#This Row],[EPS]]),IF(Main_M[[#This Row],[EPS]]&lt;&gt;0,Main_M[[#This Row],[Current Price]]/Main_M[[#This Row],[EPS]],""),"")</f>
        <v>11.453237410071944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-4.047172574763791</v>
      </c>
      <c r="P122" s="1">
        <f>(Main_M[[#This Row],[P/B]]-VLOOKUP(Main_M[[#This Row],[Industry]], Mean_PB_M, 2, FALSE))/(VLOOKUP(Main_M[[#This Row],[Industry]], Mean_PB_M, 3, FALSE))</f>
        <v>1.2613377334999054</v>
      </c>
      <c r="Q122" s="1">
        <f>(Main_M[[#This Row],[ROE]]-VLOOKUP(Main_M[[#This Row],[Industry]], Mean_ROE_M, 2, FALSE))/(VLOOKUP(Main_M[[#This Row],[Industry]], Mean_ROE_M, 3, FALSE))</f>
        <v>1.2180082304091009</v>
      </c>
      <c r="R122" s="1">
        <f>(Main_M[[#This Row],[ROA]]-VLOOKUP(Main_M[[#This Row],[Industry]], Mean_ROA_M, 2, FALSE))/(VLOOKUP(Main_M[[#This Row],[Industry]], Mean_ROA_M, 3, FALSE))</f>
        <v>-0.75566693666438045</v>
      </c>
      <c r="S122" s="1">
        <f>(Main_M[[#This Row],[A/E]]-VLOOKUP(Main_M[[#This Row],[Industry]], Mean_AE_M, 2, FALSE))/(VLOOKUP(Main_M[[#This Row],[Industry]], Mean_AE_M, 3, FALSE))</f>
        <v>4.6944397345917377</v>
      </c>
      <c r="T122" s="1">
        <f>(Main_M[[#This Row],[P/E]]-VLOOKUP(Main_M[[#This Row],[Industry]], Mean_PE_M, 2, FALSE))/(VLOOKUP(Main_M[[#This Row],[Industry]], Mean_PE_M, 3, FALSE))</f>
        <v>-2.7356365276602984E-2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s="67" t="s">
        <v>150</v>
      </c>
      <c r="B123" s="67" t="s">
        <v>325</v>
      </c>
      <c r="C123" s="2">
        <v>5852</v>
      </c>
      <c r="D123">
        <f>RTD("tos.rtd", , "LAST", Main_M[[#This Row],[Symbol]])</f>
        <v>83.03</v>
      </c>
      <c r="E123">
        <v>79</v>
      </c>
      <c r="F123">
        <v>135.9</v>
      </c>
      <c r="G123">
        <v>1.0900000000000001</v>
      </c>
      <c r="H123" s="1">
        <f>IF(ISNUMBER(Main_M[[#This Row],[Free CF]]),IF(Main_M[[#This Row],[Free CF]]&lt;&gt;0,Main_M[[#This Row],[Current Price]]/Main_M[[#This Row],[Free CF]],""),"")</f>
        <v>1.0510126582278481</v>
      </c>
      <c r="I123" s="1">
        <f>IF(ISNUMBER(Main_M[[#This Row],[BVPS]]),IF(Main_M[[#This Row],[BVPS]]&lt;&gt;0,Main_M[[#This Row],[Current Price]]/Main_M[[#This Row],[BVPS]],""),"")</f>
        <v>0.61096394407652688</v>
      </c>
      <c r="J123">
        <v>1.49</v>
      </c>
      <c r="K123">
        <v>0.27</v>
      </c>
      <c r="L123">
        <v>33.5</v>
      </c>
      <c r="M123" s="1">
        <f>IF(ISNUMBER(Main_M[[#This Row],[EPS]]),IF(Main_M[[#This Row],[EPS]]&lt;&gt;0,Main_M[[#This Row],[Current Price]]/Main_M[[#This Row],[EPS]],""),"")</f>
        <v>76.174311926605498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-0.52001330398170476</v>
      </c>
      <c r="P123" s="1">
        <f>(Main_M[[#This Row],[P/B]]-VLOOKUP(Main_M[[#This Row],[Industry]], Mean_PB_M, 2, FALSE))/(VLOOKUP(Main_M[[#This Row],[Industry]], Mean_PB_M, 3, FALSE))</f>
        <v>-1.0261623775388757</v>
      </c>
      <c r="Q123" s="1">
        <f>(Main_M[[#This Row],[ROE]]-VLOOKUP(Main_M[[#This Row],[Industry]], Mean_ROE_M, 2, FALSE))/(VLOOKUP(Main_M[[#This Row],[Industry]], Mean_ROE_M, 3, FALSE))</f>
        <v>-0.60825839819004734</v>
      </c>
      <c r="R123" s="1">
        <f>(Main_M[[#This Row],[ROA]]-VLOOKUP(Main_M[[#This Row],[Industry]], Mean_ROA_M, 2, FALSE))/(VLOOKUP(Main_M[[#This Row],[Industry]], Mean_ROA_M, 3, FALSE))</f>
        <v>-1.2026283079558149</v>
      </c>
      <c r="S123" s="1">
        <f>(Main_M[[#This Row],[A/E]]-VLOOKUP(Main_M[[#This Row],[Industry]], Mean_AE_M, 2, FALSE))/(VLOOKUP(Main_M[[#This Row],[Industry]], Mean_AE_M, 3, FALSE))</f>
        <v>12.61125737133232</v>
      </c>
      <c r="T123" s="1">
        <f>(Main_M[[#This Row],[P/E]]-VLOOKUP(Main_M[[#This Row],[Industry]], Mean_PE_M, 2, FALSE))/(VLOOKUP(Main_M[[#This Row],[Industry]], Mean_PE_M, 3, FALSE))</f>
        <v>6.2023079669229366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4" spans="1:26" x14ac:dyDescent="0.25">
      <c r="A124" s="67" t="s">
        <v>150</v>
      </c>
      <c r="B124" s="67" t="s">
        <v>555</v>
      </c>
      <c r="C124" s="2">
        <v>2038</v>
      </c>
      <c r="D124">
        <f>RTD("tos.rtd", , "LAST", Main_M[[#This Row],[Symbol]])</f>
        <v>191.34</v>
      </c>
      <c r="E124">
        <v>27.73</v>
      </c>
      <c r="F124">
        <v>101.94</v>
      </c>
      <c r="G124">
        <v>16.170000000000002</v>
      </c>
      <c r="H124" s="1">
        <f>IF(ISNUMBER(Main_M[[#This Row],[Free CF]]),IF(Main_M[[#This Row],[Free CF]]&lt;&gt;0,Main_M[[#This Row],[Current Price]]/Main_M[[#This Row],[Free CF]],""),"")</f>
        <v>6.9001081860800575</v>
      </c>
      <c r="I124" s="1">
        <f>IF(ISNUMBER(Main_M[[#This Row],[BVPS]]),IF(Main_M[[#This Row],[BVPS]]&lt;&gt;0,Main_M[[#This Row],[Current Price]]/Main_M[[#This Row],[BVPS]],""),"")</f>
        <v>1.8769864626250736</v>
      </c>
      <c r="J124">
        <v>13.51</v>
      </c>
      <c r="K124">
        <v>0.66</v>
      </c>
      <c r="L124">
        <v>28.54</v>
      </c>
      <c r="M124" s="1">
        <f>IF(ISNUMBER(Main_M[[#This Row],[EPS]]),IF(Main_M[[#This Row],[EPS]]&lt;&gt;0,Main_M[[#This Row],[Current Price]]/Main_M[[#This Row],[EPS]],""),"")</f>
        <v>11.833024118738404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4.5149775941208475E-2</v>
      </c>
      <c r="P124" s="1">
        <f>(Main_M[[#This Row],[P/B]]-VLOOKUP(Main_M[[#This Row],[Industry]], Mean_PB_M, 2, FALSE))/(VLOOKUP(Main_M[[#This Row],[Industry]], Mean_PB_M, 3, FALSE))</f>
        <v>-0.37070813825700777</v>
      </c>
      <c r="Q124" s="1">
        <f>(Main_M[[#This Row],[ROE]]-VLOOKUP(Main_M[[#This Row],[Industry]], Mean_ROE_M, 2, FALSE))/(VLOOKUP(Main_M[[#This Row],[Industry]], Mean_ROE_M, 3, FALSE))</f>
        <v>-0.13966837525920808</v>
      </c>
      <c r="R124" s="1">
        <f>(Main_M[[#This Row],[ROA]]-VLOOKUP(Main_M[[#This Row],[Industry]], Mean_ROA_M, 2, FALSE))/(VLOOKUP(Main_M[[#This Row],[Industry]], Mean_ROA_M, 3, FALSE))</f>
        <v>-1.08401991221872</v>
      </c>
      <c r="S124" s="1">
        <f>(Main_M[[#This Row],[A/E]]-VLOOKUP(Main_M[[#This Row],[Industry]], Mean_AE_M, 2, FALSE))/(VLOOKUP(Main_M[[#This Row],[Industry]], Mean_AE_M, 3, FALSE))</f>
        <v>10.528490214980488</v>
      </c>
      <c r="T124" s="1">
        <f>(Main_M[[#This Row],[P/E]]-VLOOKUP(Main_M[[#This Row],[Industry]], Mean_PE_M, 2, FALSE))/(VLOOKUP(Main_M[[#This Row],[Industry]], Mean_PE_M, 3, FALSE))</f>
        <v>-0.48731072838670658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s="67" t="s">
        <v>150</v>
      </c>
      <c r="B125" s="67" t="s">
        <v>339</v>
      </c>
      <c r="C125" s="2">
        <v>4683</v>
      </c>
      <c r="D125">
        <f>RTD("tos.rtd", , "LAST", Main_M[[#This Row],[Symbol]])</f>
        <v>111.08</v>
      </c>
      <c r="E125">
        <v>13.25</v>
      </c>
      <c r="F125">
        <v>30.11</v>
      </c>
      <c r="G125">
        <v>6.8</v>
      </c>
      <c r="H125" s="1">
        <f>IF(ISNUMBER(Main_M[[#This Row],[Free CF]]),IF(Main_M[[#This Row],[Free CF]]&lt;&gt;0,Main_M[[#This Row],[Current Price]]/Main_M[[#This Row],[Free CF]],""),"")</f>
        <v>8.3833962264150941</v>
      </c>
      <c r="I125" s="1">
        <f>IF(ISNUMBER(Main_M[[#This Row],[BVPS]]),IF(Main_M[[#This Row],[BVPS]]&lt;&gt;0,Main_M[[#This Row],[Current Price]]/Main_M[[#This Row],[BVPS]],""),"")</f>
        <v>3.6891398206575889</v>
      </c>
      <c r="J125">
        <v>25.03</v>
      </c>
      <c r="K125">
        <v>5.52</v>
      </c>
      <c r="L125">
        <v>4.6500000000000004</v>
      </c>
      <c r="M125" s="1">
        <f>IF(ISNUMBER(Main_M[[#This Row],[EPS]]),IF(Main_M[[#This Row],[EPS]]&lt;&gt;0,Main_M[[#This Row],[Current Price]]/Main_M[[#This Row],[EPS]],""),"")</f>
        <v>16.335294117647059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0.18847101822503826</v>
      </c>
      <c r="P125" s="1">
        <f>(Main_M[[#This Row],[P/B]]-VLOOKUP(Main_M[[#This Row],[Industry]], Mean_PB_M, 2, FALSE))/(VLOOKUP(Main_M[[#This Row],[Industry]], Mean_PB_M, 3, FALSE))</f>
        <v>0.56749286792496734</v>
      </c>
      <c r="Q125" s="1">
        <f>(Main_M[[#This Row],[ROE]]-VLOOKUP(Main_M[[#This Row],[Industry]], Mean_ROE_M, 2, FALSE))/(VLOOKUP(Main_M[[#This Row],[Industry]], Mean_ROE_M, 3, FALSE))</f>
        <v>0.30942955021194574</v>
      </c>
      <c r="R125" s="1">
        <f>(Main_M[[#This Row],[ROA]]-VLOOKUP(Main_M[[#This Row],[Industry]], Mean_ROA_M, 2, FALSE))/(VLOOKUP(Main_M[[#This Row],[Industry]], Mean_ROA_M, 3, FALSE))</f>
        <v>0.39402317312046148</v>
      </c>
      <c r="S125" s="1">
        <f>(Main_M[[#This Row],[A/E]]-VLOOKUP(Main_M[[#This Row],[Industry]], Mean_AE_M, 2, FALSE))/(VLOOKUP(Main_M[[#This Row],[Industry]], Mean_AE_M, 3, FALSE))</f>
        <v>0.49677502037459148</v>
      </c>
      <c r="T125" s="1">
        <f>(Main_M[[#This Row],[P/E]]-VLOOKUP(Main_M[[#This Row],[Industry]], Mean_PE_M, 2, FALSE))/(VLOOKUP(Main_M[[#This Row],[Industry]], Mean_PE_M, 3, FALSE))</f>
        <v>-1.9205867850352169E-2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s="67" t="s">
        <v>150</v>
      </c>
      <c r="B126" s="67" t="s">
        <v>326</v>
      </c>
      <c r="C126" s="2">
        <v>6405</v>
      </c>
      <c r="D126">
        <f>RTD("tos.rtd", , "LAST", Main_M[[#This Row],[Symbol]])</f>
        <v>68</v>
      </c>
      <c r="E126">
        <v>9.16</v>
      </c>
      <c r="F126">
        <v>45.53</v>
      </c>
      <c r="G126">
        <v>5.32</v>
      </c>
      <c r="H126" s="1">
        <f>IF(ISNUMBER(Main_M[[#This Row],[Free CF]]),IF(Main_M[[#This Row],[Free CF]]&lt;&gt;0,Main_M[[#This Row],[Current Price]]/Main_M[[#This Row],[Free CF]],""),"")</f>
        <v>7.4235807860262009</v>
      </c>
      <c r="I126" s="1">
        <f>IF(ISNUMBER(Main_M[[#This Row],[BVPS]]),IF(Main_M[[#This Row],[BVPS]]&lt;&gt;0,Main_M[[#This Row],[Current Price]]/Main_M[[#This Row],[BVPS]],""),"")</f>
        <v>1.4935207555457939</v>
      </c>
      <c r="J126">
        <v>9.89</v>
      </c>
      <c r="K126">
        <v>0.38</v>
      </c>
      <c r="L126">
        <v>37.409999999999997</v>
      </c>
      <c r="M126" s="1">
        <f>IF(ISNUMBER(Main_M[[#This Row],[EPS]]),IF(Main_M[[#This Row],[EPS]]&lt;&gt;0,Main_M[[#This Row],[Current Price]]/Main_M[[#This Row],[EPS]],""),"")</f>
        <v>12.781954887218044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9.5729799028889645E-2</v>
      </c>
      <c r="P126" s="1">
        <f>(Main_M[[#This Row],[P/B]]-VLOOKUP(Main_M[[#This Row],[Industry]], Mean_PB_M, 2, FALSE))/(VLOOKUP(Main_M[[#This Row],[Industry]], Mean_PB_M, 3, FALSE))</f>
        <v>-0.56923874860704393</v>
      </c>
      <c r="Q126" s="1">
        <f>(Main_M[[#This Row],[ROE]]-VLOOKUP(Main_M[[#This Row],[Industry]], Mean_ROE_M, 2, FALSE))/(VLOOKUP(Main_M[[#This Row],[Industry]], Mean_ROE_M, 3, FALSE))</f>
        <v>-0.28079116086733102</v>
      </c>
      <c r="R126" s="1">
        <f>(Main_M[[#This Row],[ROA]]-VLOOKUP(Main_M[[#This Row],[Industry]], Mean_ROA_M, 2, FALSE))/(VLOOKUP(Main_M[[#This Row],[Industry]], Mean_ROA_M, 3, FALSE))</f>
        <v>-1.1691746578761215</v>
      </c>
      <c r="S126" s="1">
        <f>(Main_M[[#This Row],[A/E]]-VLOOKUP(Main_M[[#This Row],[Industry]], Mean_AE_M, 2, FALSE))/(VLOOKUP(Main_M[[#This Row],[Industry]], Mean_AE_M, 3, FALSE))</f>
        <v>14.253116157891927</v>
      </c>
      <c r="T126" s="1">
        <f>(Main_M[[#This Row],[P/E]]-VLOOKUP(Main_M[[#This Row],[Industry]], Mean_PE_M, 2, FALSE))/(VLOOKUP(Main_M[[#This Row],[Industry]], Mean_PE_M, 3, FALSE))</f>
        <v>-0.38864958519771731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7" spans="1:26" x14ac:dyDescent="0.25">
      <c r="A127" s="67" t="s">
        <v>150</v>
      </c>
      <c r="B127" s="67" t="s">
        <v>331</v>
      </c>
      <c r="C127" s="2">
        <v>5881</v>
      </c>
      <c r="D127">
        <f>RTD("tos.rtd", , "LAST", Main_M[[#This Row],[Symbol]])</f>
        <v>57.52</v>
      </c>
      <c r="E127">
        <v>8.15</v>
      </c>
      <c r="F127">
        <v>55.22</v>
      </c>
      <c r="G127">
        <v>6.84</v>
      </c>
      <c r="H127" s="1">
        <f>IF(ISNUMBER(Main_M[[#This Row],[Free CF]]),IF(Main_M[[#This Row],[Free CF]]&lt;&gt;0,Main_M[[#This Row],[Current Price]]/Main_M[[#This Row],[Free CF]],""),"")</f>
        <v>7.0576687116564418</v>
      </c>
      <c r="I127" s="1">
        <f>IF(ISNUMBER(Main_M[[#This Row],[BVPS]]),IF(Main_M[[#This Row],[BVPS]]&lt;&gt;0,Main_M[[#This Row],[Current Price]]/Main_M[[#This Row],[BVPS]],""),"")</f>
        <v>1.0416515755161175</v>
      </c>
      <c r="J127">
        <v>13.29</v>
      </c>
      <c r="K127">
        <v>8.0299999999999994</v>
      </c>
      <c r="L127">
        <v>1.27</v>
      </c>
      <c r="M127" s="1">
        <f>IF(ISNUMBER(Main_M[[#This Row],[EPS]]),IF(Main_M[[#This Row],[EPS]]&lt;&gt;0,Main_M[[#This Row],[Current Price]]/Main_M[[#This Row],[EPS]],""),"")</f>
        <v>8.4093567251461998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6.037390614817751E-2</v>
      </c>
      <c r="P127" s="1">
        <f>(Main_M[[#This Row],[P/B]]-VLOOKUP(Main_M[[#This Row],[Industry]], Mean_PB_M, 2, FALSE))/(VLOOKUP(Main_M[[#This Row],[Industry]], Mean_PB_M, 3, FALSE))</f>
        <v>-0.80318369453962746</v>
      </c>
      <c r="Q127" s="1">
        <f>(Main_M[[#This Row],[ROE]]-VLOOKUP(Main_M[[#This Row],[Industry]], Mean_ROE_M, 2, FALSE))/(VLOOKUP(Main_M[[#This Row],[Industry]], Mean_ROE_M, 3, FALSE))</f>
        <v>-0.14824489814146974</v>
      </c>
      <c r="R127" s="1">
        <f>(Main_M[[#This Row],[ROA]]-VLOOKUP(Main_M[[#This Row],[Industry]], Mean_ROA_M, 2, FALSE))/(VLOOKUP(Main_M[[#This Row],[Industry]], Mean_ROA_M, 3, FALSE))</f>
        <v>1.1573746431207383</v>
      </c>
      <c r="S127" s="1">
        <f>(Main_M[[#This Row],[A/E]]-VLOOKUP(Main_M[[#This Row],[Industry]], Mean_AE_M, 2, FALSE))/(VLOOKUP(Main_M[[#This Row],[Industry]], Mean_AE_M, 3, FALSE))</f>
        <v>-0.92253001762322917</v>
      </c>
      <c r="T127" s="1">
        <f>(Main_M[[#This Row],[P/E]]-VLOOKUP(Main_M[[#This Row],[Industry]], Mean_PE_M, 2, FALSE))/(VLOOKUP(Main_M[[#This Row],[Industry]], Mean_PE_M, 3, FALSE))</f>
        <v>-0.84327235400863054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s="67" t="s">
        <v>150</v>
      </c>
      <c r="B128" s="67" t="s">
        <v>333</v>
      </c>
      <c r="C128" s="2">
        <v>3103</v>
      </c>
      <c r="D128">
        <f>RTD("tos.rtd", , "LAST", Main_M[[#This Row],[Symbol]])</f>
        <v>39.25</v>
      </c>
      <c r="E128">
        <v>4.75</v>
      </c>
      <c r="F128">
        <v>29.65</v>
      </c>
      <c r="G128">
        <v>4.63</v>
      </c>
      <c r="H128" s="1">
        <f>IF(ISNUMBER(Main_M[[#This Row],[Free CF]]),IF(Main_M[[#This Row],[Free CF]]&lt;&gt;0,Main_M[[#This Row],[Current Price]]/Main_M[[#This Row],[Free CF]],""),"")</f>
        <v>8.2631578947368425</v>
      </c>
      <c r="I128" s="1">
        <f>IF(ISNUMBER(Main_M[[#This Row],[BVPS]]),IF(Main_M[[#This Row],[BVPS]]&lt;&gt;0,Main_M[[#This Row],[Current Price]]/Main_M[[#This Row],[BVPS]],""),"")</f>
        <v>1.3237774030354132</v>
      </c>
      <c r="J128">
        <v>17.38</v>
      </c>
      <c r="K128">
        <v>9.98</v>
      </c>
      <c r="L128">
        <v>1.49</v>
      </c>
      <c r="M128" s="1">
        <f>IF(ISNUMBER(Main_M[[#This Row],[EPS]]),IF(Main_M[[#This Row],[EPS]]&lt;&gt;0,Main_M[[#This Row],[Current Price]]/Main_M[[#This Row],[EPS]],""),"")</f>
        <v>8.477321814254859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0.17685310815116631</v>
      </c>
      <c r="P128" s="1">
        <f>(Main_M[[#This Row],[P/B]]-VLOOKUP(Main_M[[#This Row],[Industry]], Mean_PB_M, 2, FALSE))/(VLOOKUP(Main_M[[#This Row],[Industry]], Mean_PB_M, 3, FALSE))</f>
        <v>-0.65711949192936669</v>
      </c>
      <c r="Q128" s="1">
        <f>(Main_M[[#This Row],[ROE]]-VLOOKUP(Main_M[[#This Row],[Industry]], Mean_ROE_M, 2, FALSE))/(VLOOKUP(Main_M[[#This Row],[Industry]], Mean_ROE_M, 3, FALSE))</f>
        <v>1.1200459078757601E-2</v>
      </c>
      <c r="R128" s="1">
        <f>(Main_M[[#This Row],[ROA]]-VLOOKUP(Main_M[[#This Row],[Industry]], Mean_ROA_M, 2, FALSE))/(VLOOKUP(Main_M[[#This Row],[Industry]], Mean_ROA_M, 3, FALSE))</f>
        <v>1.7504166218062127</v>
      </c>
      <c r="S128" s="1">
        <f>(Main_M[[#This Row],[A/E]]-VLOOKUP(Main_M[[#This Row],[Industry]], Mean_AE_M, 2, FALSE))/(VLOOKUP(Main_M[[#This Row],[Industry]], Mean_AE_M, 3, FALSE))</f>
        <v>-0.8301492163334302</v>
      </c>
      <c r="T128" s="1">
        <f>(Main_M[[#This Row],[P/E]]-VLOOKUP(Main_M[[#This Row],[Industry]], Mean_PE_M, 2, FALSE))/(VLOOKUP(Main_M[[#This Row],[Industry]], Mean_PE_M, 3, FALSE))</f>
        <v>-0.83620596559428362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s="67" t="s">
        <v>150</v>
      </c>
      <c r="B129" s="67" t="s">
        <v>329</v>
      </c>
      <c r="C129" s="2">
        <v>5312</v>
      </c>
      <c r="D129">
        <f>RTD("tos.rtd", , "LAST", Main_M[[#This Row],[Symbol]])</f>
        <v>34.25</v>
      </c>
      <c r="E129">
        <v>4.7</v>
      </c>
      <c r="F129">
        <v>33.96</v>
      </c>
      <c r="G129">
        <v>4.4400000000000004</v>
      </c>
      <c r="H129" s="1">
        <f>IF(ISNUMBER(Main_M[[#This Row],[Free CF]]),IF(Main_M[[#This Row],[Free CF]]&lt;&gt;0,Main_M[[#This Row],[Current Price]]/Main_M[[#This Row],[Free CF]],""),"")</f>
        <v>7.287234042553191</v>
      </c>
      <c r="I129" s="1">
        <f>IF(ISNUMBER(Main_M[[#This Row],[BVPS]]),IF(Main_M[[#This Row],[BVPS]]&lt;&gt;0,Main_M[[#This Row],[Current Price]]/Main_M[[#This Row],[BVPS]],""),"")</f>
        <v>1.0085394581861014</v>
      </c>
      <c r="J129">
        <v>14.09</v>
      </c>
      <c r="K129">
        <v>9.11</v>
      </c>
      <c r="L129">
        <v>1.31</v>
      </c>
      <c r="M129" s="1">
        <f>IF(ISNUMBER(Main_M[[#This Row],[EPS]]),IF(Main_M[[#This Row],[EPS]]&lt;&gt;0,Main_M[[#This Row],[Current Price]]/Main_M[[#This Row],[EPS]],""),"")</f>
        <v>7.7139639639639634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8.2555429570957156E-2</v>
      </c>
      <c r="P129" s="1">
        <f>(Main_M[[#This Row],[P/B]]-VLOOKUP(Main_M[[#This Row],[Industry]], Mean_PB_M, 2, FALSE))/(VLOOKUP(Main_M[[#This Row],[Industry]], Mean_PB_M, 3, FALSE))</f>
        <v>-0.82032673690860525</v>
      </c>
      <c r="Q129" s="1">
        <f>(Main_M[[#This Row],[ROE]]-VLOOKUP(Main_M[[#This Row],[Industry]], Mean_ROE_M, 2, FALSE))/(VLOOKUP(Main_M[[#This Row],[Industry]], Mean_ROE_M, 3, FALSE))</f>
        <v>-0.11705754220597292</v>
      </c>
      <c r="R129" s="1">
        <f>(Main_M[[#This Row],[ROA]]-VLOOKUP(Main_M[[#This Row],[Industry]], Mean_ROA_M, 2, FALSE))/(VLOOKUP(Main_M[[#This Row],[Industry]], Mean_ROA_M, 3, FALSE))</f>
        <v>1.485828662085001</v>
      </c>
      <c r="S129" s="1">
        <f>(Main_M[[#This Row],[A/E]]-VLOOKUP(Main_M[[#This Row],[Industry]], Mean_AE_M, 2, FALSE))/(VLOOKUP(Main_M[[#This Row],[Industry]], Mean_AE_M, 3, FALSE))</f>
        <v>-0.90573350829781107</v>
      </c>
      <c r="T129" s="1">
        <f>(Main_M[[#This Row],[P/E]]-VLOOKUP(Main_M[[#This Row],[Industry]], Mean_PE_M, 2, FALSE))/(VLOOKUP(Main_M[[#This Row],[Industry]], Mean_PE_M, 3, FALSE))</f>
        <v>-0.91557293384282668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0" spans="1:26" x14ac:dyDescent="0.25">
      <c r="A130" s="67" t="s">
        <v>150</v>
      </c>
      <c r="B130" s="67" t="s">
        <v>341</v>
      </c>
      <c r="C130" s="2">
        <v>6523</v>
      </c>
      <c r="D130">
        <f>RTD("tos.rtd", , "LAST", Main_M[[#This Row],[Symbol]])</f>
        <v>95.61</v>
      </c>
      <c r="E130">
        <v>4.12</v>
      </c>
      <c r="F130">
        <v>11.7</v>
      </c>
      <c r="G130">
        <v>2.82</v>
      </c>
      <c r="H130" s="1">
        <f>IF(ISNUMBER(Main_M[[#This Row],[Free CF]]),IF(Main_M[[#This Row],[Free CF]]&lt;&gt;0,Main_M[[#This Row],[Current Price]]/Main_M[[#This Row],[Free CF]],""),"")</f>
        <v>23.206310679611651</v>
      </c>
      <c r="I130" s="1">
        <f>IF(ISNUMBER(Main_M[[#This Row],[BVPS]]),IF(Main_M[[#This Row],[BVPS]]&lt;&gt;0,Main_M[[#This Row],[Current Price]]/Main_M[[#This Row],[BVPS]],""),"")</f>
        <v>8.171794871794873</v>
      </c>
      <c r="J130">
        <v>29.87</v>
      </c>
      <c r="K130">
        <v>4.16</v>
      </c>
      <c r="L130">
        <v>6.21</v>
      </c>
      <c r="M130" s="1">
        <f>IF(ISNUMBER(Main_M[[#This Row],[EPS]]),IF(Main_M[[#This Row],[EPS]]&lt;&gt;0,Main_M[[#This Row],[Current Price]]/Main_M[[#This Row],[EPS]],""),"")</f>
        <v>33.904255319148938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0" s="1">
        <f>(Main_M[[#This Row],[P/FCF]]-VLOOKUP(Main_M[[#This Row],[Industry]], Mean_PFCF_M, 2, FALSE))/(VLOOKUP(Main_M[[#This Row],[Industry]], Mean_PFCF_M, 3, FALSE))</f>
        <v>1.6207204909702035</v>
      </c>
      <c r="P130" s="1">
        <f>(Main_M[[#This Row],[P/B]]-VLOOKUP(Main_M[[#This Row],[Industry]], Mean_PB_M, 2, FALSE))/(VLOOKUP(Main_M[[#This Row],[Industry]], Mean_PB_M, 3, FALSE))</f>
        <v>2.8882851235593563</v>
      </c>
      <c r="Q130" s="1">
        <f>(Main_M[[#This Row],[ROE]]-VLOOKUP(Main_M[[#This Row],[Industry]], Mean_ROE_M, 2, FALSE))/(VLOOKUP(Main_M[[#This Row],[Industry]], Mean_ROE_M, 3, FALSE))</f>
        <v>0.49811305362170133</v>
      </c>
      <c r="R130" s="1">
        <f>(Main_M[[#This Row],[ROA]]-VLOOKUP(Main_M[[#This Row],[Industry]], Mean_ROA_M, 2, FALSE))/(VLOOKUP(Main_M[[#This Row],[Industry]], Mean_ROA_M, 3, FALSE))</f>
        <v>-1.9585591501202329E-2</v>
      </c>
      <c r="S130" s="1">
        <f>(Main_M[[#This Row],[A/E]]-VLOOKUP(Main_M[[#This Row],[Industry]], Mean_AE_M, 2, FALSE))/(VLOOKUP(Main_M[[#This Row],[Industry]], Mean_AE_M, 3, FALSE))</f>
        <v>1.1518388840658931</v>
      </c>
      <c r="T130" s="1">
        <f>(Main_M[[#This Row],[P/E]]-VLOOKUP(Main_M[[#This Row],[Industry]], Mean_PE_M, 2, FALSE))/(VLOOKUP(Main_M[[#This Row],[Industry]], Mean_PE_M, 3, FALSE))</f>
        <v>1.8074540470350664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s="67" t="s">
        <v>150</v>
      </c>
      <c r="B131" s="67" t="s">
        <v>332</v>
      </c>
      <c r="C131" s="2">
        <v>6280</v>
      </c>
      <c r="D131">
        <f>RTD("tos.rtd", , "LAST", Main_M[[#This Row],[Symbol]])</f>
        <v>26.05</v>
      </c>
      <c r="E131">
        <v>2.97</v>
      </c>
      <c r="F131">
        <v>21.4</v>
      </c>
      <c r="G131">
        <v>3</v>
      </c>
      <c r="H131" s="1">
        <f>IF(ISNUMBER(Main_M[[#This Row],[Free CF]]),IF(Main_M[[#This Row],[Free CF]]&lt;&gt;0,Main_M[[#This Row],[Current Price]]/Main_M[[#This Row],[Free CF]],""),"")</f>
        <v>8.7710437710437699</v>
      </c>
      <c r="I131" s="1">
        <f>IF(ISNUMBER(Main_M[[#This Row],[BVPS]]),IF(Main_M[[#This Row],[BVPS]]&lt;&gt;0,Main_M[[#This Row],[Current Price]]/Main_M[[#This Row],[BVPS]],""),"")</f>
        <v>1.2172897196261683</v>
      </c>
      <c r="J131">
        <v>15.12</v>
      </c>
      <c r="K131">
        <v>9.75</v>
      </c>
      <c r="L131">
        <v>1.27</v>
      </c>
      <c r="M131" s="1">
        <f>IF(ISNUMBER(Main_M[[#This Row],[EPS]]),IF(Main_M[[#This Row],[EPS]]&lt;&gt;0,Main_M[[#This Row],[Current Price]]/Main_M[[#This Row],[EPS]],""),"")</f>
        <v>8.6833333333333336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0.22592707945769608</v>
      </c>
      <c r="P131" s="1">
        <f>(Main_M[[#This Row],[P/B]]-VLOOKUP(Main_M[[#This Row],[Industry]], Mean_PB_M, 2, FALSE))/(VLOOKUP(Main_M[[#This Row],[Industry]], Mean_PB_M, 3, FALSE))</f>
        <v>-0.71225105752104034</v>
      </c>
      <c r="Q131" s="1">
        <f>(Main_M[[#This Row],[ROE]]-VLOOKUP(Main_M[[#This Row],[Industry]], Mean_ROE_M, 2, FALSE))/(VLOOKUP(Main_M[[#This Row],[Industry]], Mean_ROE_M, 3, FALSE))</f>
        <v>-7.6903821439020817E-2</v>
      </c>
      <c r="R131" s="1">
        <f>(Main_M[[#This Row],[ROA]]-VLOOKUP(Main_M[[#This Row],[Industry]], Mean_ROA_M, 2, FALSE))/(VLOOKUP(Main_M[[#This Row],[Industry]], Mean_ROA_M, 3, FALSE))</f>
        <v>1.6804680807304901</v>
      </c>
      <c r="S131" s="1">
        <f>(Main_M[[#This Row],[A/E]]-VLOOKUP(Main_M[[#This Row],[Industry]], Mean_AE_M, 2, FALSE))/(VLOOKUP(Main_M[[#This Row],[Industry]], Mean_AE_M, 3, FALSE))</f>
        <v>-0.92253001762322917</v>
      </c>
      <c r="T131" s="1">
        <f>(Main_M[[#This Row],[P/E]]-VLOOKUP(Main_M[[#This Row],[Industry]], Mean_PE_M, 2, FALSE))/(VLOOKUP(Main_M[[#This Row],[Industry]], Mean_PE_M, 3, FALSE))</f>
        <v>-0.81478677184746529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2" spans="1:26" x14ac:dyDescent="0.25">
      <c r="A132" s="67" t="s">
        <v>150</v>
      </c>
      <c r="B132" s="67" t="s">
        <v>340</v>
      </c>
      <c r="C132" s="2">
        <v>2305</v>
      </c>
      <c r="D132">
        <f>RTD("tos.rtd", , "LAST", Main_M[[#This Row],[Symbol]])</f>
        <v>37.020000000000003</v>
      </c>
      <c r="E132">
        <v>2.63</v>
      </c>
      <c r="F132">
        <v>8.4700000000000006</v>
      </c>
      <c r="G132">
        <v>2</v>
      </c>
      <c r="H132" s="1">
        <f>IF(ISNUMBER(Main_M[[#This Row],[Free CF]]),IF(Main_M[[#This Row],[Free CF]]&lt;&gt;0,Main_M[[#This Row],[Current Price]]/Main_M[[#This Row],[Free CF]],""),"")</f>
        <v>14.076045627376427</v>
      </c>
      <c r="I132" s="1">
        <f>IF(ISNUMBER(Main_M[[#This Row],[BVPS]]),IF(Main_M[[#This Row],[BVPS]]&lt;&gt;0,Main_M[[#This Row],[Current Price]]/Main_M[[#This Row],[BVPS]],""),"")</f>
        <v>4.3707201889020073</v>
      </c>
      <c r="J132">
        <v>23.13</v>
      </c>
      <c r="K132">
        <v>5.82</v>
      </c>
      <c r="L132">
        <v>3.54</v>
      </c>
      <c r="M132" s="1">
        <f>IF(ISNUMBER(Main_M[[#This Row],[EPS]]),IF(Main_M[[#This Row],[EPS]]&lt;&gt;0,Main_M[[#This Row],[Current Price]]/Main_M[[#This Row],[EPS]],""),"")</f>
        <v>18.510000000000002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0.73851764561360123</v>
      </c>
      <c r="P132" s="1">
        <f>(Main_M[[#This Row],[P/B]]-VLOOKUP(Main_M[[#This Row],[Industry]], Mean_PB_M, 2, FALSE))/(VLOOKUP(Main_M[[#This Row],[Industry]], Mean_PB_M, 3, FALSE))</f>
        <v>0.92036553427317647</v>
      </c>
      <c r="Q132" s="1">
        <f>(Main_M[[#This Row],[ROE]]-VLOOKUP(Main_M[[#This Row],[Industry]], Mean_ROE_M, 2, FALSE))/(VLOOKUP(Main_M[[#This Row],[Industry]], Mean_ROE_M, 3, FALSE))</f>
        <v>0.23535957986514078</v>
      </c>
      <c r="R132" s="1">
        <f>(Main_M[[#This Row],[ROA]]-VLOOKUP(Main_M[[#This Row],[Industry]], Mean_ROA_M, 2, FALSE))/(VLOOKUP(Main_M[[#This Row],[Industry]], Mean_ROA_M, 3, FALSE))</f>
        <v>0.48526040061053466</v>
      </c>
      <c r="S132" s="1">
        <f>(Main_M[[#This Row],[A/E]]-VLOOKUP(Main_M[[#This Row],[Industry]], Mean_AE_M, 2, FALSE))/(VLOOKUP(Main_M[[#This Row],[Industry]], Mean_AE_M, 3, FALSE))</f>
        <v>3.0671886594242009E-2</v>
      </c>
      <c r="T132" s="1">
        <f>(Main_M[[#This Row],[P/E]]-VLOOKUP(Main_M[[#This Row],[Industry]], Mean_PE_M, 2, FALSE))/(VLOOKUP(Main_M[[#This Row],[Industry]], Mean_PE_M, 3, FALSE))</f>
        <v>0.20690016177762952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s="67" t="s">
        <v>150</v>
      </c>
      <c r="B133" s="67" t="s">
        <v>346</v>
      </c>
      <c r="C133" s="2">
        <v>4354</v>
      </c>
      <c r="D133">
        <f>RTD("tos.rtd", , "LAST", Main_M[[#This Row],[Symbol]])</f>
        <v>20.309999999999999</v>
      </c>
      <c r="E133">
        <v>1.79</v>
      </c>
      <c r="F133">
        <v>3.55</v>
      </c>
      <c r="G133">
        <v>-0.03</v>
      </c>
      <c r="H133" s="1">
        <f>IF(ISNUMBER(Main_M[[#This Row],[Free CF]]),IF(Main_M[[#This Row],[Free CF]]&lt;&gt;0,Main_M[[#This Row],[Current Price]]/Main_M[[#This Row],[Free CF]],""),"")</f>
        <v>11.346368715083798</v>
      </c>
      <c r="I133" s="1">
        <f>IF(ISNUMBER(Main_M[[#This Row],[BVPS]]),IF(Main_M[[#This Row],[BVPS]]&lt;&gt;0,Main_M[[#This Row],[Current Price]]/Main_M[[#This Row],[BVPS]],""),"")</f>
        <v>5.7211267605633802</v>
      </c>
      <c r="J133">
        <v>-0.71</v>
      </c>
      <c r="K133">
        <v>-0.36</v>
      </c>
      <c r="L133">
        <v>1.52</v>
      </c>
      <c r="M133" s="1">
        <f>IF(ISNUMBER(Main_M[[#This Row],[EPS]]),IF(Main_M[[#This Row],[EPS]]&lt;&gt;0,Main_M[[#This Row],[Current Price]]/Main_M[[#This Row],[EPS]],""),"")</f>
        <v>-677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0.47476530927378857</v>
      </c>
      <c r="P133" s="1">
        <f>(Main_M[[#This Row],[P/B]]-VLOOKUP(Main_M[[#This Row],[Industry]], Mean_PB_M, 2, FALSE))/(VLOOKUP(Main_M[[#This Row],[Industry]], Mean_PB_M, 3, FALSE))</f>
        <v>1.6195076894730007</v>
      </c>
      <c r="Q133" s="1">
        <f>(Main_M[[#This Row],[ROE]]-VLOOKUP(Main_M[[#This Row],[Industry]], Mean_ROE_M, 2, FALSE))/(VLOOKUP(Main_M[[#This Row],[Industry]], Mean_ROE_M, 3, FALSE))</f>
        <v>-0.69402362701266351</v>
      </c>
      <c r="R133" s="1">
        <f>(Main_M[[#This Row],[ROA]]-VLOOKUP(Main_M[[#This Row],[Industry]], Mean_ROA_M, 2, FALSE))/(VLOOKUP(Main_M[[#This Row],[Industry]], Mean_ROA_M, 3, FALSE))</f>
        <v>-1.3942264856849682</v>
      </c>
      <c r="S133" s="1">
        <f>(Main_M[[#This Row],[A/E]]-VLOOKUP(Main_M[[#This Row],[Industry]], Mean_AE_M, 2, FALSE))/(VLOOKUP(Main_M[[#This Row],[Industry]], Mean_AE_M, 3, FALSE))</f>
        <v>-0.81755183433936662</v>
      </c>
      <c r="T133" s="1">
        <f>(Main_M[[#This Row],[P/E]]-VLOOKUP(Main_M[[#This Row],[Industry]], Mean_PE_M, 2, FALSE))/(VLOOKUP(Main_M[[#This Row],[Industry]], Mean_PE_M, 3, FALSE))</f>
        <v>-72.105869092522539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4" spans="1:26" x14ac:dyDescent="0.25">
      <c r="A134" s="67" t="s">
        <v>150</v>
      </c>
      <c r="B134" s="67" t="s">
        <v>573</v>
      </c>
      <c r="C134" s="2">
        <v>3552</v>
      </c>
      <c r="D134">
        <f>RTD("tos.rtd", , "LAST", Main_M[[#This Row],[Symbol]])</f>
        <v>132.16</v>
      </c>
      <c r="E134">
        <v>1.77</v>
      </c>
      <c r="F134">
        <v>3.7</v>
      </c>
      <c r="G134">
        <v>2.97</v>
      </c>
      <c r="H134" s="1">
        <f>IF(ISNUMBER(Main_M[[#This Row],[Free CF]]),IF(Main_M[[#This Row],[Free CF]]&lt;&gt;0,Main_M[[#This Row],[Current Price]]/Main_M[[#This Row],[Free CF]],""),"")</f>
        <v>74.666666666666657</v>
      </c>
      <c r="I134" s="1">
        <f>IF(ISNUMBER(Main_M[[#This Row],[BVPS]]),IF(Main_M[[#This Row],[BVPS]]&lt;&gt;0,Main_M[[#This Row],[Current Price]]/Main_M[[#This Row],[BVPS]],""),"")</f>
        <v>35.718918918918916</v>
      </c>
      <c r="J134">
        <v>137.32</v>
      </c>
      <c r="K134">
        <v>45.83</v>
      </c>
      <c r="L134">
        <v>2.37</v>
      </c>
      <c r="M134" s="1">
        <f>IF(ISNUMBER(Main_M[[#This Row],[EPS]]),IF(Main_M[[#This Row],[EPS]]&lt;&gt;0,Main_M[[#This Row],[Current Price]]/Main_M[[#This Row],[EPS]],""),"")</f>
        <v>44.498316498316491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4" s="1">
        <f>(Main_M[[#This Row],[P/FCF]]-VLOOKUP(Main_M[[#This Row],[Industry]], Mean_PFCF_M, 2, FALSE))/(VLOOKUP(Main_M[[#This Row],[Industry]], Mean_PFCF_M, 3, FALSE))</f>
        <v>6.5930265757458457</v>
      </c>
      <c r="P134" s="1">
        <f>(Main_M[[#This Row],[P/B]]-VLOOKUP(Main_M[[#This Row],[Industry]], Mean_PB_M, 2, FALSE))/(VLOOKUP(Main_M[[#This Row],[Industry]], Mean_PB_M, 3, FALSE))</f>
        <v>17.150179341216255</v>
      </c>
      <c r="Q134" s="1">
        <f>(Main_M[[#This Row],[ROE]]-VLOOKUP(Main_M[[#This Row],[Industry]], Mean_ROE_M, 2, FALSE))/(VLOOKUP(Main_M[[#This Row],[Industry]], Mean_ROE_M, 3, FALSE))</f>
        <v>4.6869647977081135</v>
      </c>
      <c r="R134" s="1">
        <f>(Main_M[[#This Row],[ROA]]-VLOOKUP(Main_M[[#This Row],[Industry]], Mean_ROA_M, 2, FALSE))/(VLOOKUP(Main_M[[#This Row],[Industry]], Mean_ROA_M, 3, FALSE))</f>
        <v>12.653265306869928</v>
      </c>
      <c r="S134" s="1">
        <f>(Main_M[[#This Row],[A/E]]-VLOOKUP(Main_M[[#This Row],[Industry]], Mean_AE_M, 2, FALSE))/(VLOOKUP(Main_M[[#This Row],[Industry]], Mean_AE_M, 3, FALSE))</f>
        <v>-0.4606260111742343</v>
      </c>
      <c r="T134" s="1">
        <f>(Main_M[[#This Row],[P/E]]-VLOOKUP(Main_M[[#This Row],[Industry]], Mean_PE_M, 2, FALSE))/(VLOOKUP(Main_M[[#This Row],[Industry]], Mean_PE_M, 3, FALSE))</f>
        <v>2.9089276441294034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s="67" t="s">
        <v>150</v>
      </c>
      <c r="B135" s="67" t="s">
        <v>327</v>
      </c>
      <c r="C135" s="2">
        <v>2812</v>
      </c>
      <c r="D135">
        <f>RTD("tos.rtd", , "LAST", Main_M[[#This Row],[Symbol]])</f>
        <v>13.24</v>
      </c>
      <c r="E135">
        <v>1.45</v>
      </c>
      <c r="F135">
        <v>11.15</v>
      </c>
      <c r="G135">
        <v>0.93</v>
      </c>
      <c r="H135" s="1">
        <f>IF(ISNUMBER(Main_M[[#This Row],[Free CF]]),IF(Main_M[[#This Row],[Free CF]]&lt;&gt;0,Main_M[[#This Row],[Current Price]]/Main_M[[#This Row],[Free CF]],""),"")</f>
        <v>9.1310344827586203</v>
      </c>
      <c r="I135" s="1">
        <f>IF(ISNUMBER(Main_M[[#This Row],[BVPS]]),IF(Main_M[[#This Row],[BVPS]]&lt;&gt;0,Main_M[[#This Row],[Current Price]]/Main_M[[#This Row],[BVPS]],""),"")</f>
        <v>1.1874439461883408</v>
      </c>
      <c r="J135">
        <v>9.0299999999999994</v>
      </c>
      <c r="K135">
        <v>4.72</v>
      </c>
      <c r="L135">
        <v>2.54</v>
      </c>
      <c r="M135" s="1">
        <f>IF(ISNUMBER(Main_M[[#This Row],[EPS]]),IF(Main_M[[#This Row],[EPS]]&lt;&gt;0,Main_M[[#This Row],[Current Price]]/Main_M[[#This Row],[EPS]],""),"")</f>
        <v>14.236559139784946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0.26071082651869076</v>
      </c>
      <c r="P135" s="1">
        <f>(Main_M[[#This Row],[P/B]]-VLOOKUP(Main_M[[#This Row],[Industry]], Mean_PB_M, 2, FALSE))/(VLOOKUP(Main_M[[#This Row],[Industry]], Mean_PB_M, 3, FALSE))</f>
        <v>-0.72770302495278716</v>
      </c>
      <c r="Q135" s="1">
        <f>(Main_M[[#This Row],[ROE]]-VLOOKUP(Main_M[[#This Row],[Industry]], Mean_ROE_M, 2, FALSE))/(VLOOKUP(Main_M[[#This Row],[Industry]], Mean_ROE_M, 3, FALSE))</f>
        <v>-0.31431756849799014</v>
      </c>
      <c r="R135" s="1">
        <f>(Main_M[[#This Row],[ROA]]-VLOOKUP(Main_M[[#This Row],[Industry]], Mean_ROA_M, 2, FALSE))/(VLOOKUP(Main_M[[#This Row],[Industry]], Mean_ROA_M, 3, FALSE))</f>
        <v>0.15072389981360038</v>
      </c>
      <c r="S135" s="1">
        <f>(Main_M[[#This Row],[A/E]]-VLOOKUP(Main_M[[#This Row],[Industry]], Mean_AE_M, 2, FALSE))/(VLOOKUP(Main_M[[#This Row],[Industry]], Mean_AE_M, 3, FALSE))</f>
        <v>-0.38924084654120783</v>
      </c>
      <c r="T135" s="1">
        <f>(Main_M[[#This Row],[P/E]]-VLOOKUP(Main_M[[#This Row],[Industry]], Mean_PE_M, 2, FALSE))/(VLOOKUP(Main_M[[#This Row],[Industry]], Mean_PE_M, 3, FALSE))</f>
        <v>-0.23741313759495938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s="67" t="s">
        <v>150</v>
      </c>
      <c r="B136" s="67" t="s">
        <v>349</v>
      </c>
      <c r="C136" s="2">
        <v>3067</v>
      </c>
      <c r="D136">
        <f>RTD("tos.rtd", , "LAST", Main_M[[#This Row],[Symbol]])</f>
        <v>9.2799999999999994</v>
      </c>
      <c r="E136">
        <v>1.01</v>
      </c>
      <c r="F136">
        <v>2.83</v>
      </c>
      <c r="G136">
        <v>2.7</v>
      </c>
      <c r="H136" s="1">
        <f>IF(ISNUMBER(Main_M[[#This Row],[Free CF]]),IF(Main_M[[#This Row],[Free CF]]&lt;&gt;0,Main_M[[#This Row],[Current Price]]/Main_M[[#This Row],[Free CF]],""),"")</f>
        <v>9.1881188118811874</v>
      </c>
      <c r="I136" s="1">
        <f>IF(ISNUMBER(Main_M[[#This Row],[BVPS]]),IF(Main_M[[#This Row],[BVPS]]&lt;&gt;0,Main_M[[#This Row],[Current Price]]/Main_M[[#This Row],[BVPS]],""),"")</f>
        <v>3.2791519434628973</v>
      </c>
      <c r="J136">
        <v>136.84</v>
      </c>
      <c r="K136">
        <v>5.66</v>
      </c>
      <c r="L136">
        <v>8.8800000000000008</v>
      </c>
      <c r="M136" s="1">
        <f>IF(ISNUMBER(Main_M[[#This Row],[EPS]]),IF(Main_M[[#This Row],[EPS]]&lt;&gt;0,Main_M[[#This Row],[Current Price]]/Main_M[[#This Row],[EPS]],""),"")</f>
        <v>3.4370370370370367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0.26622654345451757</v>
      </c>
      <c r="P136" s="1">
        <f>(Main_M[[#This Row],[P/B]]-VLOOKUP(Main_M[[#This Row],[Industry]], Mean_PB_M, 2, FALSE))/(VLOOKUP(Main_M[[#This Row],[Industry]], Mean_PB_M, 3, FALSE))</f>
        <v>0.35523100984244077</v>
      </c>
      <c r="Q136" s="1">
        <f>(Main_M[[#This Row],[ROE]]-VLOOKUP(Main_M[[#This Row],[Industry]], Mean_ROE_M, 2, FALSE))/(VLOOKUP(Main_M[[#This Row],[Industry]], Mean_ROE_M, 3, FALSE))</f>
        <v>4.6682523841468155</v>
      </c>
      <c r="R136" s="1">
        <f>(Main_M[[#This Row],[ROA]]-VLOOKUP(Main_M[[#This Row],[Industry]], Mean_ROA_M, 2, FALSE))/(VLOOKUP(Main_M[[#This Row],[Industry]], Mean_ROA_M, 3, FALSE))</f>
        <v>0.43660054594916237</v>
      </c>
      <c r="S136" s="1">
        <f>(Main_M[[#This Row],[A/E]]-VLOOKUP(Main_M[[#This Row],[Industry]], Mean_AE_M, 2, FALSE))/(VLOOKUP(Main_M[[#This Row],[Industry]], Mean_AE_M, 3, FALSE))</f>
        <v>2.2730058815375442</v>
      </c>
      <c r="T136" s="1">
        <f>(Main_M[[#This Row],[P/E]]-VLOOKUP(Main_M[[#This Row],[Industry]], Mean_PE_M, 2, FALSE))/(VLOOKUP(Main_M[[#This Row],[Industry]], Mean_PE_M, 3, FALSE))</f>
        <v>-1.3602486825515008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s="67" t="s">
        <v>150</v>
      </c>
      <c r="B137" s="67" t="s">
        <v>344</v>
      </c>
      <c r="C137" s="2">
        <v>4779</v>
      </c>
      <c r="D137">
        <f>RTD("tos.rtd", , "LAST", Main_M[[#This Row],[Symbol]])</f>
        <v>36.18</v>
      </c>
      <c r="E137">
        <v>0.53</v>
      </c>
      <c r="F137">
        <v>4</v>
      </c>
      <c r="G137">
        <v>0.4</v>
      </c>
      <c r="H137" s="1">
        <f>IF(ISNUMBER(Main_M[[#This Row],[Free CF]]),IF(Main_M[[#This Row],[Free CF]]&lt;&gt;0,Main_M[[#This Row],[Current Price]]/Main_M[[#This Row],[Free CF]],""),"")</f>
        <v>68.264150943396217</v>
      </c>
      <c r="I137" s="1">
        <f>IF(ISNUMBER(Main_M[[#This Row],[BVPS]]),IF(Main_M[[#This Row],[BVPS]]&lt;&gt;0,Main_M[[#This Row],[Current Price]]/Main_M[[#This Row],[BVPS]],""),"")</f>
        <v>9.0449999999999999</v>
      </c>
      <c r="J137">
        <v>10.8</v>
      </c>
      <c r="K137">
        <v>5.91</v>
      </c>
      <c r="L137">
        <v>1.18</v>
      </c>
      <c r="M137" s="1">
        <f>IF(ISNUMBER(Main_M[[#This Row],[EPS]]),IF(Main_M[[#This Row],[EPS]]&lt;&gt;0,Main_M[[#This Row],[Current Price]]/Main_M[[#This Row],[EPS]],""),"")</f>
        <v>90.449999999999989</v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>
        <f>(Main_M[[#This Row],[P/FCF]]-VLOOKUP(Main_M[[#This Row],[Industry]], Mean_PFCF_M, 2, FALSE))/(VLOOKUP(Main_M[[#This Row],[Industry]], Mean_PFCF_M, 3, FALSE))</f>
        <v>5.9743898158933186</v>
      </c>
      <c r="P137" s="1">
        <f>(Main_M[[#This Row],[P/B]]-VLOOKUP(Main_M[[#This Row],[Industry]], Mean_PB_M, 2, FALSE))/(VLOOKUP(Main_M[[#This Row],[Industry]], Mean_PB_M, 3, FALSE))</f>
        <v>3.3403671321012682</v>
      </c>
      <c r="Q137" s="1">
        <f>(Main_M[[#This Row],[ROE]]-VLOOKUP(Main_M[[#This Row],[Industry]], Mean_ROE_M, 2, FALSE))/(VLOOKUP(Main_M[[#This Row],[Industry]], Mean_ROE_M, 3, FALSE))</f>
        <v>-0.24531554349070342</v>
      </c>
      <c r="R137" s="1">
        <f>(Main_M[[#This Row],[ROA]]-VLOOKUP(Main_M[[#This Row],[Industry]], Mean_ROA_M, 2, FALSE))/(VLOOKUP(Main_M[[#This Row],[Industry]], Mean_ROA_M, 3, FALSE))</f>
        <v>0.51263156885755645</v>
      </c>
      <c r="S137" s="1">
        <f>(Main_M[[#This Row],[A/E]]-VLOOKUP(Main_M[[#This Row],[Industry]], Mean_AE_M, 2, FALSE))/(VLOOKUP(Main_M[[#This Row],[Industry]], Mean_AE_M, 3, FALSE))</f>
        <v>-0.96032216360541955</v>
      </c>
      <c r="T137" s="1">
        <f>(Main_M[[#This Row],[P/E]]-VLOOKUP(Main_M[[#This Row],[Industry]], Mean_PE_M, 2, FALSE))/(VLOOKUP(Main_M[[#This Row],[Industry]], Mean_PE_M, 3, FALSE))</f>
        <v>7.6865634594359706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8" spans="1:26" x14ac:dyDescent="0.25">
      <c r="A138" s="67" t="s">
        <v>150</v>
      </c>
      <c r="B138" s="67" t="s">
        <v>345</v>
      </c>
      <c r="C138" s="2">
        <v>2463</v>
      </c>
      <c r="D138">
        <f>RTD("tos.rtd", , "LAST", Main_M[[#This Row],[Symbol]])</f>
        <v>6.98</v>
      </c>
      <c r="E138">
        <v>0.35</v>
      </c>
      <c r="F138">
        <v>2.0699999999999998</v>
      </c>
      <c r="G138">
        <v>0.28000000000000003</v>
      </c>
      <c r="H138" s="1">
        <f>IF(ISNUMBER(Main_M[[#This Row],[Free CF]]),IF(Main_M[[#This Row],[Free CF]]&lt;&gt;0,Main_M[[#This Row],[Current Price]]/Main_M[[#This Row],[Free CF]],""),"")</f>
        <v>19.942857142857147</v>
      </c>
      <c r="I138" s="1">
        <f>IF(ISNUMBER(Main_M[[#This Row],[BVPS]]),IF(Main_M[[#This Row],[BVPS]]&lt;&gt;0,Main_M[[#This Row],[Current Price]]/Main_M[[#This Row],[BVPS]],""),"")</f>
        <v>3.3719806763285027</v>
      </c>
      <c r="J138">
        <v>15.97</v>
      </c>
      <c r="K138">
        <v>1.32</v>
      </c>
      <c r="L138">
        <v>10.06</v>
      </c>
      <c r="M138" s="1">
        <f>IF(ISNUMBER(Main_M[[#This Row],[EPS]]),IF(Main_M[[#This Row],[EPS]]&lt;&gt;0,Main_M[[#This Row],[Current Price]]/Main_M[[#This Row],[EPS]],""),"")</f>
        <v>24.928571428571427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1.3053925153481747</v>
      </c>
      <c r="P138" s="1">
        <f>(Main_M[[#This Row],[P/B]]-VLOOKUP(Main_M[[#This Row],[Industry]], Mean_PB_M, 2, FALSE))/(VLOOKUP(Main_M[[#This Row],[Industry]], Mean_PB_M, 3, FALSE))</f>
        <v>0.40329096580095086</v>
      </c>
      <c r="Q138" s="1">
        <f>(Main_M[[#This Row],[ROE]]-VLOOKUP(Main_M[[#This Row],[Industry]], Mean_ROE_M, 2, FALSE))/(VLOOKUP(Main_M[[#This Row],[Industry]], Mean_ROE_M, 3, FALSE))</f>
        <v>-4.3767255757555426E-2</v>
      </c>
      <c r="R138" s="1">
        <f>(Main_M[[#This Row],[ROA]]-VLOOKUP(Main_M[[#This Row],[Industry]], Mean_ROA_M, 2, FALSE))/(VLOOKUP(Main_M[[#This Row],[Industry]], Mean_ROA_M, 3, FALSE))</f>
        <v>-0.88329801174055944</v>
      </c>
      <c r="S138" s="1">
        <f>(Main_M[[#This Row],[A/E]]-VLOOKUP(Main_M[[#This Row],[Industry]], Mean_AE_M, 2, FALSE))/(VLOOKUP(Main_M[[#This Row],[Industry]], Mean_AE_M, 3, FALSE))</f>
        <v>2.7685029066373747</v>
      </c>
      <c r="T138" s="1">
        <f>(Main_M[[#This Row],[P/E]]-VLOOKUP(Main_M[[#This Row],[Industry]], Mean_PE_M, 2, FALSE))/(VLOOKUP(Main_M[[#This Row],[Industry]], Mean_PE_M, 3, FALSE))</f>
        <v>0.87424452009962239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9" spans="1:26" x14ac:dyDescent="0.25">
      <c r="A139" s="67" t="s">
        <v>150</v>
      </c>
      <c r="B139" s="67" t="s">
        <v>337</v>
      </c>
      <c r="C139" s="2">
        <v>2021</v>
      </c>
      <c r="D139">
        <f>RTD("tos.rtd", , "LAST", Main_M[[#This Row],[Symbol]])</f>
        <v>9.7899999999999991</v>
      </c>
      <c r="E139">
        <v>0.32</v>
      </c>
      <c r="F139">
        <v>3.29</v>
      </c>
      <c r="G139">
        <v>0.01</v>
      </c>
      <c r="H139" s="1">
        <f>IF(ISNUMBER(Main_M[[#This Row],[Free CF]]),IF(Main_M[[#This Row],[Free CF]]&lt;&gt;0,Main_M[[#This Row],[Current Price]]/Main_M[[#This Row],[Free CF]],""),"")</f>
        <v>30.593749999999996</v>
      </c>
      <c r="I139" s="1">
        <f>IF(ISNUMBER(Main_M[[#This Row],[BVPS]]),IF(Main_M[[#This Row],[BVPS]]&lt;&gt;0,Main_M[[#This Row],[Current Price]]/Main_M[[#This Row],[BVPS]],""),"")</f>
        <v>2.9756838905775074</v>
      </c>
      <c r="J139">
        <v>0.27</v>
      </c>
      <c r="K139">
        <v>-0.15</v>
      </c>
      <c r="L139">
        <v>2.93</v>
      </c>
      <c r="M139" s="1">
        <f>IF(ISNUMBER(Main_M[[#This Row],[EPS]]),IF(Main_M[[#This Row],[EPS]]&lt;&gt;0,Main_M[[#This Row],[Current Price]]/Main_M[[#This Row],[EPS]],""),"")</f>
        <v>978.99999999999989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2.3345245208707737</v>
      </c>
      <c r="P139" s="1">
        <f>(Main_M[[#This Row],[P/B]]-VLOOKUP(Main_M[[#This Row],[Industry]], Mean_PB_M, 2, FALSE))/(VLOOKUP(Main_M[[#This Row],[Industry]], Mean_PB_M, 3, FALSE))</f>
        <v>0.19811735756839904</v>
      </c>
      <c r="Q139" s="1">
        <f>(Main_M[[#This Row],[ROE]]-VLOOKUP(Main_M[[#This Row],[Industry]], Mean_ROE_M, 2, FALSE))/(VLOOKUP(Main_M[[#This Row],[Industry]], Mean_ROE_M, 3, FALSE))</f>
        <v>-0.65581911599167997</v>
      </c>
      <c r="R139" s="1">
        <f>(Main_M[[#This Row],[ROA]]-VLOOKUP(Main_M[[#This Row],[Industry]], Mean_ROA_M, 2, FALSE))/(VLOOKUP(Main_M[[#This Row],[Industry]], Mean_ROA_M, 3, FALSE))</f>
        <v>-1.3303604264419171</v>
      </c>
      <c r="S139" s="1">
        <f>(Main_M[[#This Row],[A/E]]-VLOOKUP(Main_M[[#This Row],[Industry]], Mean_AE_M, 2, FALSE))/(VLOOKUP(Main_M[[#This Row],[Industry]], Mean_AE_M, 3, FALSE))</f>
        <v>-0.22547488061838233</v>
      </c>
      <c r="T139" s="1">
        <f>(Main_M[[#This Row],[P/E]]-VLOOKUP(Main_M[[#This Row],[Industry]], Mean_PE_M, 2, FALSE))/(VLOOKUP(Main_M[[#This Row],[Industry]], Mean_PE_M, 3, FALSE))</f>
        <v>100.06986653330752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0" spans="1:26" x14ac:dyDescent="0.25">
      <c r="A140" s="67" t="s">
        <v>150</v>
      </c>
      <c r="B140" s="67" t="s">
        <v>569</v>
      </c>
      <c r="C140" s="2">
        <v>2519</v>
      </c>
      <c r="D140">
        <f>RTD("tos.rtd", , "LAST", Main_M[[#This Row],[Symbol]])</f>
        <v>5.41</v>
      </c>
      <c r="E140">
        <v>0.09</v>
      </c>
      <c r="F140">
        <v>2.0499999999999998</v>
      </c>
      <c r="G140">
        <v>0.11</v>
      </c>
      <c r="H140" s="1">
        <f>IF(ISNUMBER(Main_M[[#This Row],[Free CF]]),IF(Main_M[[#This Row],[Free CF]]&lt;&gt;0,Main_M[[#This Row],[Current Price]]/Main_M[[#This Row],[Free CF]],""),"")</f>
        <v>60.111111111111114</v>
      </c>
      <c r="I140" s="1">
        <f>IF(ISNUMBER(Main_M[[#This Row],[BVPS]]),IF(Main_M[[#This Row],[BVPS]]&lt;&gt;0,Main_M[[#This Row],[Current Price]]/Main_M[[#This Row],[BVPS]],""),"")</f>
        <v>2.6390243902439026</v>
      </c>
      <c r="J140">
        <v>5.01</v>
      </c>
      <c r="K140">
        <v>0.28999999999999998</v>
      </c>
      <c r="L140">
        <v>1.37</v>
      </c>
      <c r="M140" s="1">
        <f>IF(ISNUMBER(Main_M[[#This Row],[EPS]]),IF(Main_M[[#This Row],[EPS]]&lt;&gt;0,Main_M[[#This Row],[Current Price]]/Main_M[[#This Row],[EPS]],""),"")</f>
        <v>49.18181818181818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5.1866103924923763</v>
      </c>
      <c r="P140" s="1">
        <f>(Main_M[[#This Row],[P/B]]-VLOOKUP(Main_M[[#This Row],[Industry]], Mean_PB_M, 2, FALSE))/(VLOOKUP(Main_M[[#This Row],[Industry]], Mean_PB_M, 3, FALSE))</f>
        <v>2.3819591568816523E-2</v>
      </c>
      <c r="Q140" s="1">
        <f>(Main_M[[#This Row],[ROE]]-VLOOKUP(Main_M[[#This Row],[Industry]], Mean_ROE_M, 2, FALSE))/(VLOOKUP(Main_M[[#This Row],[Industry]], Mean_ROE_M, 3, FALSE))</f>
        <v>-0.47103403207386146</v>
      </c>
      <c r="R140" s="1">
        <f>(Main_M[[#This Row],[ROA]]-VLOOKUP(Main_M[[#This Row],[Industry]], Mean_ROA_M, 2, FALSE))/(VLOOKUP(Main_M[[#This Row],[Industry]], Mean_ROA_M, 3, FALSE))</f>
        <v>-1.1965458261231432</v>
      </c>
      <c r="S140" s="1">
        <f>(Main_M[[#This Row],[A/E]]-VLOOKUP(Main_M[[#This Row],[Industry]], Mean_AE_M, 2, FALSE))/(VLOOKUP(Main_M[[#This Row],[Industry]], Mean_AE_M, 3, FALSE))</f>
        <v>-0.88053874430968415</v>
      </c>
      <c r="T140" s="1">
        <f>(Main_M[[#This Row],[P/E]]-VLOOKUP(Main_M[[#This Row],[Industry]], Mean_PE_M, 2, FALSE))/(VLOOKUP(Main_M[[#This Row],[Industry]], Mean_PE_M, 3, FALSE))</f>
        <v>3.3958753178381693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1" spans="1:26" x14ac:dyDescent="0.25">
      <c r="A141" s="67" t="s">
        <v>150</v>
      </c>
      <c r="B141" s="67" t="s">
        <v>338</v>
      </c>
      <c r="C141" s="2">
        <v>3101</v>
      </c>
      <c r="D141">
        <f>RTD("tos.rtd", , "LAST", Main_M[[#This Row],[Symbol]])</f>
        <v>10.56</v>
      </c>
      <c r="E141">
        <v>-0.01</v>
      </c>
      <c r="F141">
        <v>1.91</v>
      </c>
      <c r="G141">
        <v>0.48</v>
      </c>
      <c r="H141" s="1">
        <f>IF(ISNUMBER(Main_M[[#This Row],[Free CF]]),IF(Main_M[[#This Row],[Free CF]]&lt;&gt;0,Main_M[[#This Row],[Current Price]]/Main_M[[#This Row],[Free CF]],""),"")</f>
        <v>-1056</v>
      </c>
      <c r="I141" s="1">
        <f>IF(ISNUMBER(Main_M[[#This Row],[BVPS]]),IF(Main_M[[#This Row],[BVPS]]&lt;&gt;0,Main_M[[#This Row],[Current Price]]/Main_M[[#This Row],[BVPS]],""),"")</f>
        <v>5.5287958115183251</v>
      </c>
      <c r="J141">
        <v>29.24</v>
      </c>
      <c r="K141">
        <v>8.31</v>
      </c>
      <c r="L141">
        <v>2.2799999999999998</v>
      </c>
      <c r="M141" s="1">
        <f>IF(ISNUMBER(Main_M[[#This Row],[EPS]]),IF(Main_M[[#This Row],[EPS]]&lt;&gt;0,Main_M[[#This Row],[Current Price]]/Main_M[[#This Row],[EPS]],""),"")</f>
        <v>22.000000000000004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1" s="1">
        <f>(Main_M[[#This Row],[P/FCF]]-VLOOKUP(Main_M[[#This Row],[Industry]], Mean_PFCF_M, 2, FALSE))/(VLOOKUP(Main_M[[#This Row],[Industry]], Mean_PFCF_M, 3, FALSE))</f>
        <v>-102.65652365927185</v>
      </c>
      <c r="P141" s="1">
        <f>(Main_M[[#This Row],[P/B]]-VLOOKUP(Main_M[[#This Row],[Industry]], Mean_PB_M, 2, FALSE))/(VLOOKUP(Main_M[[#This Row],[Industry]], Mean_PB_M, 3, FALSE))</f>
        <v>1.5199327340123232</v>
      </c>
      <c r="Q141" s="1">
        <f>(Main_M[[#This Row],[ROE]]-VLOOKUP(Main_M[[#This Row],[Industry]], Mean_ROE_M, 2, FALSE))/(VLOOKUP(Main_M[[#This Row],[Industry]], Mean_ROE_M, 3, FALSE))</f>
        <v>0.47355301082249751</v>
      </c>
      <c r="R141" s="1">
        <f>(Main_M[[#This Row],[ROA]]-VLOOKUP(Main_M[[#This Row],[Industry]], Mean_ROA_M, 2, FALSE))/(VLOOKUP(Main_M[[#This Row],[Industry]], Mean_ROA_M, 3, FALSE))</f>
        <v>1.2425293887781401</v>
      </c>
      <c r="S141" s="1">
        <f>(Main_M[[#This Row],[A/E]]-VLOOKUP(Main_M[[#This Row],[Industry]], Mean_AE_M, 2, FALSE))/(VLOOKUP(Main_M[[#This Row],[Industry]], Mean_AE_M, 3, FALSE))</f>
        <v>-0.4984181571564249</v>
      </c>
      <c r="T141" s="1">
        <f>(Main_M[[#This Row],[P/E]]-VLOOKUP(Main_M[[#This Row],[Industry]], Mean_PE_M, 2, FALSE))/(VLOOKUP(Main_M[[#This Row],[Industry]], Mean_PE_M, 3, FALSE))</f>
        <v>0.56975844519196961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2" spans="1:26" x14ac:dyDescent="0.25">
      <c r="A142" s="67" t="s">
        <v>150</v>
      </c>
      <c r="B142" s="67" t="s">
        <v>348</v>
      </c>
      <c r="C142" s="2">
        <v>4552</v>
      </c>
      <c r="D142">
        <f>RTD("tos.rtd", , "LAST", Main_M[[#This Row],[Symbol]])</f>
        <v>139</v>
      </c>
      <c r="E142">
        <v>-0.31</v>
      </c>
      <c r="F142">
        <v>23.7</v>
      </c>
      <c r="G142">
        <v>7.78</v>
      </c>
      <c r="H142" s="1">
        <f>IF(ISNUMBER(Main_M[[#This Row],[Free CF]]),IF(Main_M[[#This Row],[Free CF]]&lt;&gt;0,Main_M[[#This Row],[Current Price]]/Main_M[[#This Row],[Free CF]],""),"")</f>
        <v>-448.38709677419354</v>
      </c>
      <c r="I142" s="1">
        <f>IF(ISNUMBER(Main_M[[#This Row],[BVPS]]),IF(Main_M[[#This Row],[BVPS]]&lt;&gt;0,Main_M[[#This Row],[Current Price]]/Main_M[[#This Row],[BVPS]],""),"")</f>
        <v>5.8649789029535864</v>
      </c>
      <c r="J142">
        <v>24.36</v>
      </c>
      <c r="K142">
        <v>3.04</v>
      </c>
      <c r="L142">
        <v>17.23</v>
      </c>
      <c r="M142" s="1">
        <f>IF(ISNUMBER(Main_M[[#This Row],[EPS]]),IF(Main_M[[#This Row],[EPS]]&lt;&gt;0,Main_M[[#This Row],[Current Price]]/Main_M[[#This Row],[EPS]],""),"")</f>
        <v>17.866323907455012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2" s="1">
        <f>(Main_M[[#This Row],[P/FCF]]-VLOOKUP(Main_M[[#This Row],[Industry]], Mean_PFCF_M, 2, FALSE))/(VLOOKUP(Main_M[[#This Row],[Industry]], Mean_PFCF_M, 3, FALSE))</f>
        <v>-43.946526848175722</v>
      </c>
      <c r="P142" s="1">
        <f>(Main_M[[#This Row],[P/B]]-VLOOKUP(Main_M[[#This Row],[Industry]], Mean_PB_M, 2, FALSE))/(VLOOKUP(Main_M[[#This Row],[Industry]], Mean_PB_M, 3, FALSE))</f>
        <v>1.6939838501873759</v>
      </c>
      <c r="Q142" s="1">
        <f>(Main_M[[#This Row],[ROE]]-VLOOKUP(Main_M[[#This Row],[Industry]], Mean_ROE_M, 2, FALSE))/(VLOOKUP(Main_M[[#This Row],[Industry]], Mean_ROE_M, 3, FALSE))</f>
        <v>0.28331013961596713</v>
      </c>
      <c r="R142" s="1">
        <f>(Main_M[[#This Row],[ROA]]-VLOOKUP(Main_M[[#This Row],[Industry]], Mean_ROA_M, 2, FALSE))/(VLOOKUP(Main_M[[#This Row],[Industry]], Mean_ROA_M, 3, FALSE))</f>
        <v>-0.36020457413080803</v>
      </c>
      <c r="S142" s="1">
        <f>(Main_M[[#This Row],[A/E]]-VLOOKUP(Main_M[[#This Row],[Industry]], Mean_AE_M, 2, FALSE))/(VLOOKUP(Main_M[[#This Row],[Industry]], Mean_AE_M, 3, FALSE))</f>
        <v>5.77927720321855</v>
      </c>
      <c r="T142" s="1">
        <f>(Main_M[[#This Row],[P/E]]-VLOOKUP(Main_M[[#This Row],[Industry]], Mean_PE_M, 2, FALSE))/(VLOOKUP(Main_M[[#This Row],[Industry]], Mean_PE_M, 3, FALSE))</f>
        <v>0.13997660819146196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3" spans="1:26" x14ac:dyDescent="0.25">
      <c r="A143" s="67" t="s">
        <v>150</v>
      </c>
      <c r="B143" s="67" t="s">
        <v>328</v>
      </c>
      <c r="C143" s="2">
        <v>3042</v>
      </c>
      <c r="D143">
        <f>RTD("tos.rtd", , "LAST", Main_M[[#This Row],[Symbol]])</f>
        <v>25.97</v>
      </c>
      <c r="E143">
        <v>-0.45</v>
      </c>
      <c r="F143">
        <v>19.91</v>
      </c>
      <c r="G143">
        <v>1.08</v>
      </c>
      <c r="H143" s="1">
        <f>IF(ISNUMBER(Main_M[[#This Row],[Free CF]]),IF(Main_M[[#This Row],[Free CF]]&lt;&gt;0,Main_M[[#This Row],[Current Price]]/Main_M[[#This Row],[Free CF]],""),"")</f>
        <v>-57.711111111111109</v>
      </c>
      <c r="I143" s="1">
        <f>IF(ISNUMBER(Main_M[[#This Row],[BVPS]]),IF(Main_M[[#This Row],[BVPS]]&lt;&gt;0,Main_M[[#This Row],[Current Price]]/Main_M[[#This Row],[BVPS]],""),"")</f>
        <v>1.3043696634856856</v>
      </c>
      <c r="J143">
        <v>5.79</v>
      </c>
      <c r="K143">
        <v>1.93</v>
      </c>
      <c r="L143">
        <v>3.12</v>
      </c>
      <c r="M143" s="1">
        <f>IF(ISNUMBER(Main_M[[#This Row],[EPS]]),IF(Main_M[[#This Row],[EPS]]&lt;&gt;0,Main_M[[#This Row],[Current Price]]/Main_M[[#This Row],[EPS]],""),"")</f>
        <v>24.046296296296294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3" s="1">
        <f>(Main_M[[#This Row],[P/FCF]]-VLOOKUP(Main_M[[#This Row],[Industry]], Mean_PFCF_M, 2, FALSE))/(VLOOKUP(Main_M[[#This Row],[Industry]], Mean_PFCF_M, 3, FALSE))</f>
        <v>-6.1978454908815195</v>
      </c>
      <c r="P143" s="1">
        <f>(Main_M[[#This Row],[P/B]]-VLOOKUP(Main_M[[#This Row],[Industry]], Mean_PB_M, 2, FALSE))/(VLOOKUP(Main_M[[#This Row],[Industry]], Mean_PB_M, 3, FALSE))</f>
        <v>-0.66716740575109823</v>
      </c>
      <c r="Q143" s="1">
        <f>(Main_M[[#This Row],[ROE]]-VLOOKUP(Main_M[[#This Row],[Industry]], Mean_ROE_M, 2, FALSE))/(VLOOKUP(Main_M[[#This Row],[Industry]], Mean_ROE_M, 3, FALSE))</f>
        <v>-0.44062636003675215</v>
      </c>
      <c r="R143" s="1">
        <f>(Main_M[[#This Row],[ROA]]-VLOOKUP(Main_M[[#This Row],[Industry]], Mean_ROA_M, 2, FALSE))/(VLOOKUP(Main_M[[#This Row],[Industry]], Mean_ROA_M, 3, FALSE))</f>
        <v>-0.69778231584407802</v>
      </c>
      <c r="S143" s="1">
        <f>(Main_M[[#This Row],[A/E]]-VLOOKUP(Main_M[[#This Row],[Industry]], Mean_AE_M, 2, FALSE))/(VLOOKUP(Main_M[[#This Row],[Industry]], Mean_AE_M, 3, FALSE))</f>
        <v>-0.1456914613226469</v>
      </c>
      <c r="T143" s="1">
        <f>(Main_M[[#This Row],[P/E]]-VLOOKUP(Main_M[[#This Row],[Industry]], Mean_PE_M, 2, FALSE))/(VLOOKUP(Main_M[[#This Row],[Industry]], Mean_PE_M, 3, FALSE))</f>
        <v>0.782513620387154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s="67" t="s">
        <v>150</v>
      </c>
      <c r="B144" s="67" t="s">
        <v>347</v>
      </c>
      <c r="C144" s="2">
        <v>3707</v>
      </c>
      <c r="D144">
        <f>RTD("tos.rtd", , "LAST", Main_M[[#This Row],[Symbol]])</f>
        <v>13.25</v>
      </c>
      <c r="E144">
        <v>-1.21</v>
      </c>
      <c r="F144">
        <v>7.37</v>
      </c>
      <c r="G144">
        <v>-0.82</v>
      </c>
      <c r="H144" s="1">
        <f>IF(ISNUMBER(Main_M[[#This Row],[Free CF]]),IF(Main_M[[#This Row],[Free CF]]&lt;&gt;0,Main_M[[#This Row],[Current Price]]/Main_M[[#This Row],[Free CF]],""),"")</f>
        <v>-10.950413223140496</v>
      </c>
      <c r="I144" s="1">
        <f>IF(ISNUMBER(Main_M[[#This Row],[BVPS]]),IF(Main_M[[#This Row],[BVPS]]&lt;&gt;0,Main_M[[#This Row],[Current Price]]/Main_M[[#This Row],[BVPS]],""),"")</f>
        <v>1.7978290366350067</v>
      </c>
      <c r="J144">
        <v>-10.3</v>
      </c>
      <c r="K144">
        <v>7.13</v>
      </c>
      <c r="L144">
        <v>4.72</v>
      </c>
      <c r="M144" s="1">
        <f>IF(ISNUMBER(Main_M[[#This Row],[EPS]]),IF(Main_M[[#This Row],[EPS]]&lt;&gt;0,Main_M[[#This Row],[Current Price]]/Main_M[[#This Row],[EPS]],""),"")</f>
        <v>-16.158536585365855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4" s="1">
        <f>(Main_M[[#This Row],[P/FCF]]-VLOOKUP(Main_M[[#This Row],[Industry]], Mean_PFCF_M, 2, FALSE))/(VLOOKUP(Main_M[[#This Row],[Industry]], Mean_PFCF_M, 3, FALSE))</f>
        <v>-1.6796392294401887</v>
      </c>
      <c r="P144" s="1">
        <f>(Main_M[[#This Row],[P/B]]-VLOOKUP(Main_M[[#This Row],[Industry]], Mean_PB_M, 2, FALSE))/(VLOOKUP(Main_M[[#This Row],[Industry]], Mean_PB_M, 3, FALSE))</f>
        <v>-0.41169008737376872</v>
      </c>
      <c r="Q144" s="1">
        <f>(Main_M[[#This Row],[ROE]]-VLOOKUP(Main_M[[#This Row],[Industry]], Mean_ROE_M, 2, FALSE))/(VLOOKUP(Main_M[[#This Row],[Industry]], Mean_ROE_M, 3, FALSE))</f>
        <v>-1.0678820562894313</v>
      </c>
      <c r="R144" s="1">
        <f>(Main_M[[#This Row],[ROA]]-VLOOKUP(Main_M[[#This Row],[Industry]], Mean_ROA_M, 2, FALSE))/(VLOOKUP(Main_M[[#This Row],[Industry]], Mean_ROA_M, 3, FALSE))</f>
        <v>0.88366296065051975</v>
      </c>
      <c r="S144" s="1">
        <f>(Main_M[[#This Row],[A/E]]-VLOOKUP(Main_M[[#This Row],[Industry]], Mean_AE_M, 2, FALSE))/(VLOOKUP(Main_M[[#This Row],[Industry]], Mean_AE_M, 3, FALSE))</f>
        <v>0.52616891169407265</v>
      </c>
      <c r="T144" s="1">
        <f>(Main_M[[#This Row],[P/E]]-VLOOKUP(Main_M[[#This Row],[Industry]], Mean_PE_M, 2, FALSE))/(VLOOKUP(Main_M[[#This Row],[Industry]], Mean_PE_M, 3, FALSE))</f>
        <v>-3.3976172232805646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5" spans="1:26" x14ac:dyDescent="0.25">
      <c r="A145" s="67" t="s">
        <v>150</v>
      </c>
      <c r="B145" s="67" t="s">
        <v>343</v>
      </c>
      <c r="C145" s="2">
        <v>2661</v>
      </c>
      <c r="D145">
        <f>RTD("tos.rtd", , "LAST", Main_M[[#This Row],[Symbol]])</f>
        <v>8.51</v>
      </c>
      <c r="E145">
        <v>-3.94</v>
      </c>
      <c r="F145">
        <v>8.69</v>
      </c>
      <c r="G145">
        <v>1.2</v>
      </c>
      <c r="H145" s="1">
        <f>IF(ISNUMBER(Main_M[[#This Row],[Free CF]]),IF(Main_M[[#This Row],[Free CF]]&lt;&gt;0,Main_M[[#This Row],[Current Price]]/Main_M[[#This Row],[Free CF]],""),"")</f>
        <v>-2.1598984771573604</v>
      </c>
      <c r="I145" s="1">
        <f>IF(ISNUMBER(Main_M[[#This Row],[BVPS]]),IF(Main_M[[#This Row],[BVPS]]&lt;&gt;0,Main_M[[#This Row],[Current Price]]/Main_M[[#This Row],[BVPS]],""),"")</f>
        <v>0.97928653624856155</v>
      </c>
      <c r="J145">
        <v>15.04</v>
      </c>
      <c r="K145">
        <v>6.12</v>
      </c>
      <c r="L145">
        <v>4.63</v>
      </c>
      <c r="M145" s="1">
        <f>IF(ISNUMBER(Main_M[[#This Row],[EPS]]),IF(Main_M[[#This Row],[EPS]]&lt;&gt;0,Main_M[[#This Row],[Current Price]]/Main_M[[#This Row],[EPS]],""),"")</f>
        <v>7.0916666666666668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-0.83026442195232164</v>
      </c>
      <c r="P145" s="1">
        <f>(Main_M[[#This Row],[P/B]]-VLOOKUP(Main_M[[#This Row],[Industry]], Mean_PB_M, 2, FALSE))/(VLOOKUP(Main_M[[#This Row],[Industry]], Mean_PB_M, 3, FALSE))</f>
        <v>-0.83547176901855869</v>
      </c>
      <c r="Q145" s="1">
        <f>(Main_M[[#This Row],[ROE]]-VLOOKUP(Main_M[[#This Row],[Industry]], Mean_ROE_M, 2, FALSE))/(VLOOKUP(Main_M[[#This Row],[Industry]], Mean_ROE_M, 3, FALSE))</f>
        <v>-8.002255703257051E-2</v>
      </c>
      <c r="R145" s="1">
        <f>(Main_M[[#This Row],[ROA]]-VLOOKUP(Main_M[[#This Row],[Industry]], Mean_ROA_M, 2, FALSE))/(VLOOKUP(Main_M[[#This Row],[Industry]], Mean_ROA_M, 3, FALSE))</f>
        <v>0.57649762810060756</v>
      </c>
      <c r="S145" s="1">
        <f>(Main_M[[#This Row],[A/E]]-VLOOKUP(Main_M[[#This Row],[Industry]], Mean_AE_M, 2, FALSE))/(VLOOKUP(Main_M[[#This Row],[Industry]], Mean_AE_M, 3, FALSE))</f>
        <v>0.48837676571188227</v>
      </c>
      <c r="T145" s="1">
        <f>(Main_M[[#This Row],[P/E]]-VLOOKUP(Main_M[[#This Row],[Industry]], Mean_PE_M, 2, FALSE))/(VLOOKUP(Main_M[[#This Row],[Industry]], Mean_PE_M, 3, FALSE))</f>
        <v>-0.98027371581150291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6" spans="1:26" x14ac:dyDescent="0.25">
      <c r="A146" s="67" t="s">
        <v>150</v>
      </c>
      <c r="B146" s="67" t="s">
        <v>335</v>
      </c>
      <c r="C146" s="2">
        <v>4588</v>
      </c>
      <c r="D146">
        <f>RTD("tos.rtd", , "LAST", Main_M[[#This Row],[Symbol]])</f>
        <v>33.409999999999997</v>
      </c>
      <c r="E146">
        <v>-4.32</v>
      </c>
      <c r="F146">
        <v>32.479999999999997</v>
      </c>
      <c r="G146">
        <v>3.92</v>
      </c>
      <c r="H146" s="1">
        <f>IF(ISNUMBER(Main_M[[#This Row],[Free CF]]),IF(Main_M[[#This Row],[Free CF]]&lt;&gt;0,Main_M[[#This Row],[Current Price]]/Main_M[[#This Row],[Free CF]],""),"")</f>
        <v>-7.7337962962962949</v>
      </c>
      <c r="I146" s="1">
        <f>IF(ISNUMBER(Main_M[[#This Row],[BVPS]]),IF(Main_M[[#This Row],[BVPS]]&lt;&gt;0,Main_M[[#This Row],[Current Price]]/Main_M[[#This Row],[BVPS]],""),"")</f>
        <v>1.0286330049261083</v>
      </c>
      <c r="J146">
        <v>13.22</v>
      </c>
      <c r="K146">
        <v>6.73</v>
      </c>
      <c r="L146">
        <v>1.91</v>
      </c>
      <c r="M146" s="1">
        <f>IF(ISNUMBER(Main_M[[#This Row],[EPS]]),IF(Main_M[[#This Row],[EPS]]&lt;&gt;0,Main_M[[#This Row],[Current Price]]/Main_M[[#This Row],[EPS]],""),"")</f>
        <v>8.5229591836734695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-1.3688367950038027</v>
      </c>
      <c r="P146" s="1">
        <f>(Main_M[[#This Row],[P/B]]-VLOOKUP(Main_M[[#This Row],[Industry]], Mean_PB_M, 2, FALSE))/(VLOOKUP(Main_M[[#This Row],[Industry]], Mean_PB_M, 3, FALSE))</f>
        <v>-0.80992376207996997</v>
      </c>
      <c r="Q146" s="1">
        <f>(Main_M[[#This Row],[ROE]]-VLOOKUP(Main_M[[#This Row],[Industry]], Mean_ROE_M, 2, FALSE))/(VLOOKUP(Main_M[[#This Row],[Industry]], Mean_ROE_M, 3, FALSE))</f>
        <v>-0.15097379178582565</v>
      </c>
      <c r="R146" s="1">
        <f>(Main_M[[#This Row],[ROA]]-VLOOKUP(Main_M[[#This Row],[Industry]], Mean_ROA_M, 2, FALSE))/(VLOOKUP(Main_M[[#This Row],[Industry]], Mean_ROA_M, 3, FALSE))</f>
        <v>0.76201332399708932</v>
      </c>
      <c r="S146" s="1">
        <f>(Main_M[[#This Row],[A/E]]-VLOOKUP(Main_M[[#This Row],[Industry]], Mean_AE_M, 2, FALSE))/(VLOOKUP(Main_M[[#This Row],[Industry]], Mean_AE_M, 3, FALSE))</f>
        <v>-0.65378586841654129</v>
      </c>
      <c r="T146" s="1">
        <f>(Main_M[[#This Row],[P/E]]-VLOOKUP(Main_M[[#This Row],[Industry]], Mean_PE_M, 2, FALSE))/(VLOOKUP(Main_M[[#This Row],[Industry]], Mean_PE_M, 3, FALSE))</f>
        <v>-0.83146100928288447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7" spans="1:26" x14ac:dyDescent="0.25">
      <c r="A147" s="67" t="s">
        <v>150</v>
      </c>
      <c r="B147" s="67" t="s">
        <v>336</v>
      </c>
      <c r="C147" s="2">
        <v>2327</v>
      </c>
      <c r="D147">
        <f>RTD("tos.rtd", , "LAST", Main_M[[#This Row],[Symbol]])</f>
        <v>69.78</v>
      </c>
      <c r="E147">
        <v>-6.13</v>
      </c>
      <c r="F147">
        <v>51.95</v>
      </c>
      <c r="G147">
        <v>2.92</v>
      </c>
      <c r="H147" s="1">
        <f>IF(ISNUMBER(Main_M[[#This Row],[Free CF]]),IF(Main_M[[#This Row],[Free CF]]&lt;&gt;0,Main_M[[#This Row],[Current Price]]/Main_M[[#This Row],[Free CF]],""),"")</f>
        <v>-11.383360522022839</v>
      </c>
      <c r="I147" s="1">
        <f>IF(ISNUMBER(Main_M[[#This Row],[BVPS]]),IF(Main_M[[#This Row],[BVPS]]&lt;&gt;0,Main_M[[#This Row],[Current Price]]/Main_M[[#This Row],[BVPS]],""),"")</f>
        <v>1.3432146294513956</v>
      </c>
      <c r="J147">
        <v>5.34</v>
      </c>
      <c r="K147">
        <v>2.23</v>
      </c>
      <c r="L147">
        <v>2.6</v>
      </c>
      <c r="M147" s="1">
        <f>IF(ISNUMBER(Main_M[[#This Row],[EPS]]),IF(Main_M[[#This Row],[EPS]]&lt;&gt;0,Main_M[[#This Row],[Current Price]]/Main_M[[#This Row],[EPS]],""),"")</f>
        <v>23.897260273972602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-1.7214723346981737</v>
      </c>
      <c r="P147" s="1">
        <f>(Main_M[[#This Row],[P/B]]-VLOOKUP(Main_M[[#This Row],[Industry]], Mean_PB_M, 2, FALSE))/(VLOOKUP(Main_M[[#This Row],[Industry]], Mean_PB_M, 3, FALSE))</f>
        <v>-0.64705631195619895</v>
      </c>
      <c r="Q147" s="1">
        <f>(Main_M[[#This Row],[ROE]]-VLOOKUP(Main_M[[#This Row],[Industry]], Mean_ROE_M, 2, FALSE))/(VLOOKUP(Main_M[[#This Row],[Industry]], Mean_ROE_M, 3, FALSE))</f>
        <v>-0.45816924775046908</v>
      </c>
      <c r="R147" s="1">
        <f>(Main_M[[#This Row],[ROA]]-VLOOKUP(Main_M[[#This Row],[Industry]], Mean_ROA_M, 2, FALSE))/(VLOOKUP(Main_M[[#This Row],[Industry]], Mean_ROA_M, 3, FALSE))</f>
        <v>-0.606545088354005</v>
      </c>
      <c r="S147" s="1">
        <f>(Main_M[[#This Row],[A/E]]-VLOOKUP(Main_M[[#This Row],[Industry]], Mean_AE_M, 2, FALSE))/(VLOOKUP(Main_M[[#This Row],[Industry]], Mean_AE_M, 3, FALSE))</f>
        <v>-0.3640460825530808</v>
      </c>
      <c r="T147" s="1">
        <f>(Main_M[[#This Row],[P/E]]-VLOOKUP(Main_M[[#This Row],[Industry]], Mean_PE_M, 2, FALSE))/(VLOOKUP(Main_M[[#This Row],[Industry]], Mean_PE_M, 3, FALSE))</f>
        <v>0.76701821774323542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s="67" t="s">
        <v>150</v>
      </c>
      <c r="B148" s="67" t="s">
        <v>330</v>
      </c>
      <c r="C148" s="2">
        <v>8288</v>
      </c>
      <c r="D148">
        <f>RTD("tos.rtd", , "LAST", Main_M[[#This Row],[Symbol]])</f>
        <v>132.18</v>
      </c>
      <c r="E148">
        <v>-38.770000000000003</v>
      </c>
      <c r="F148">
        <v>76.430000000000007</v>
      </c>
      <c r="G148">
        <v>8.81</v>
      </c>
      <c r="H148" s="1">
        <f>IF(ISNUMBER(Main_M[[#This Row],[Free CF]]),IF(Main_M[[#This Row],[Free CF]]&lt;&gt;0,Main_M[[#This Row],[Current Price]]/Main_M[[#This Row],[Free CF]],""),"")</f>
        <v>-3.4093371163270567</v>
      </c>
      <c r="I148" s="1">
        <f>IF(ISNUMBER(Main_M[[#This Row],[BVPS]]),IF(Main_M[[#This Row],[BVPS]]&lt;&gt;0,Main_M[[#This Row],[Current Price]]/Main_M[[#This Row],[BVPS]],""),"")</f>
        <v>1.7294256182127437</v>
      </c>
      <c r="J148">
        <v>12.39</v>
      </c>
      <c r="K148">
        <v>3.11</v>
      </c>
      <c r="L148">
        <v>3.77</v>
      </c>
      <c r="M148" s="1">
        <f>IF(ISNUMBER(Main_M[[#This Row],[EPS]]),IF(Main_M[[#This Row],[EPS]]&lt;&gt;0,Main_M[[#This Row],[Current Price]]/Main_M[[#This Row],[EPS]],""),"")</f>
        <v>15.003405221339387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-0.95099019675380325</v>
      </c>
      <c r="P148" s="1">
        <f>(Main_M[[#This Row],[P/B]]-VLOOKUP(Main_M[[#This Row],[Industry]], Mean_PB_M, 2, FALSE))/(VLOOKUP(Main_M[[#This Row],[Industry]], Mean_PB_M, 3, FALSE))</f>
        <v>-0.44710439472562052</v>
      </c>
      <c r="Q148" s="1">
        <f>(Main_M[[#This Row],[ROE]]-VLOOKUP(Main_M[[#This Row],[Industry]], Mean_ROE_M, 2, FALSE))/(VLOOKUP(Main_M[[#This Row],[Industry]], Mean_ROE_M, 3, FALSE))</f>
        <v>-0.18333067356890356</v>
      </c>
      <c r="R148" s="1">
        <f>(Main_M[[#This Row],[ROA]]-VLOOKUP(Main_M[[#This Row],[Industry]], Mean_ROA_M, 2, FALSE))/(VLOOKUP(Main_M[[#This Row],[Industry]], Mean_ROA_M, 3, FALSE))</f>
        <v>-0.3389158877164577</v>
      </c>
      <c r="S148" s="1">
        <f>(Main_M[[#This Row],[A/E]]-VLOOKUP(Main_M[[#This Row],[Industry]], Mean_AE_M, 2, FALSE))/(VLOOKUP(Main_M[[#This Row],[Industry]], Mean_AE_M, 3, FALSE))</f>
        <v>0.12725181521539547</v>
      </c>
      <c r="T148" s="1">
        <f>(Main_M[[#This Row],[P/E]]-VLOOKUP(Main_M[[#This Row],[Industry]], Mean_PE_M, 2, FALSE))/(VLOOKUP(Main_M[[#This Row],[Industry]], Mean_PE_M, 3, FALSE))</f>
        <v>-0.15768349496004325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s="67" t="s">
        <v>150</v>
      </c>
      <c r="B149" s="67" t="s">
        <v>334</v>
      </c>
      <c r="C149" s="2">
        <v>4960</v>
      </c>
      <c r="D149">
        <f>RTD("tos.rtd", , "LAST", Main_M[[#This Row],[Symbol]])</f>
        <v>95.98</v>
      </c>
      <c r="E149">
        <v>-50.64</v>
      </c>
      <c r="F149">
        <v>75.569999999999993</v>
      </c>
      <c r="G149">
        <v>6.51</v>
      </c>
      <c r="H149" s="1">
        <f>IF(ISNUMBER(Main_M[[#This Row],[Free CF]]),IF(Main_M[[#This Row],[Free CF]]&lt;&gt;0,Main_M[[#This Row],[Current Price]]/Main_M[[#This Row],[Free CF]],""),"")</f>
        <v>-1.8953396524486572</v>
      </c>
      <c r="I149" s="1">
        <f>IF(ISNUMBER(Main_M[[#This Row],[BVPS]]),IF(Main_M[[#This Row],[BVPS]]&lt;&gt;0,Main_M[[#This Row],[Current Price]]/Main_M[[#This Row],[BVPS]],""),"")</f>
        <v>1.2700807198623794</v>
      </c>
      <c r="J149">
        <v>9.32</v>
      </c>
      <c r="K149">
        <v>1.6</v>
      </c>
      <c r="L149">
        <v>6.12</v>
      </c>
      <c r="M149" s="1">
        <f>IF(ISNUMBER(Main_M[[#This Row],[EPS]]),IF(Main_M[[#This Row],[EPS]]&lt;&gt;0,Main_M[[#This Row],[Current Price]]/Main_M[[#This Row],[EPS]],""),"")</f>
        <v>14.743471582181261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9" s="1">
        <f>(Main_M[[#This Row],[P/FCF]]-VLOOKUP(Main_M[[#This Row],[Industry]], Mean_PFCF_M, 2, FALSE))/(VLOOKUP(Main_M[[#This Row],[Industry]], Mean_PFCF_M, 3, FALSE))</f>
        <v>-0.80470168674288989</v>
      </c>
      <c r="P149" s="1">
        <f>(Main_M[[#This Row],[P/B]]-VLOOKUP(Main_M[[#This Row],[Industry]], Mean_PB_M, 2, FALSE))/(VLOOKUP(Main_M[[#This Row],[Industry]], Mean_PB_M, 3, FALSE))</f>
        <v>-0.68491972305123583</v>
      </c>
      <c r="Q149" s="1">
        <f>(Main_M[[#This Row],[ROE]]-VLOOKUP(Main_M[[#This Row],[Industry]], Mean_ROE_M, 2, FALSE))/(VLOOKUP(Main_M[[#This Row],[Industry]], Mean_ROE_M, 3, FALSE))</f>
        <v>-0.30301215197137249</v>
      </c>
      <c r="R149" s="1">
        <f>(Main_M[[#This Row],[ROA]]-VLOOKUP(Main_M[[#This Row],[Industry]], Mean_ROA_M, 2, FALSE))/(VLOOKUP(Main_M[[#This Row],[Industry]], Mean_ROA_M, 3, FALSE))</f>
        <v>-0.79814326608315811</v>
      </c>
      <c r="S149" s="1">
        <f>(Main_M[[#This Row],[A/E]]-VLOOKUP(Main_M[[#This Row],[Industry]], Mean_AE_M, 2, FALSE))/(VLOOKUP(Main_M[[#This Row],[Industry]], Mean_AE_M, 3, FALSE))</f>
        <v>1.1140467380837027</v>
      </c>
      <c r="T149" s="1">
        <f>(Main_M[[#This Row],[P/E]]-VLOOKUP(Main_M[[#This Row],[Industry]], Mean_PE_M, 2, FALSE))/(VLOOKUP(Main_M[[#This Row],[Industry]], Mean_PE_M, 3, FALSE))</f>
        <v>-0.18470901762667935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s="67" t="s">
        <v>214</v>
      </c>
      <c r="B150" s="67" t="s">
        <v>416</v>
      </c>
      <c r="C150" s="2">
        <v>4594</v>
      </c>
      <c r="D150">
        <f>RTD("tos.rtd", , "LAST", Main_M[[#This Row],[Symbol]])</f>
        <v>1787.1</v>
      </c>
      <c r="E150">
        <v>201.25</v>
      </c>
      <c r="F150">
        <v>1774.85</v>
      </c>
      <c r="G150">
        <v>10.73</v>
      </c>
      <c r="H150" s="1">
        <f>IF(ISNUMBER(Main_M[[#This Row],[Free CF]]),IF(Main_M[[#This Row],[Free CF]]&lt;&gt;0,Main_M[[#This Row],[Current Price]]/Main_M[[#This Row],[Free CF]],""),"")</f>
        <v>8.879999999999999</v>
      </c>
      <c r="I150" s="1">
        <f>IF(ISNUMBER(Main_M[[#This Row],[BVPS]]),IF(Main_M[[#This Row],[BVPS]]&lt;&gt;0,Main_M[[#This Row],[Current Price]]/Main_M[[#This Row],[BVPS]],""),"")</f>
        <v>1.0069019917176099</v>
      </c>
      <c r="J150">
        <v>2.4900000000000002</v>
      </c>
      <c r="K150">
        <v>2.46</v>
      </c>
      <c r="L150">
        <v>2.44</v>
      </c>
      <c r="M150" s="1">
        <f>IF(ISNUMBER(Main_M[[#This Row],[EPS]]),IF(Main_M[[#This Row],[EPS]]&lt;&gt;0,Main_M[[#This Row],[Current Price]]/Main_M[[#This Row],[EPS]],""),"")</f>
        <v>166.55172413793102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0" s="1">
        <f>(Main_M[[#This Row],[P/FCF]]-VLOOKUP(Main_M[[#This Row],[Industry]], Mean_PFCF_M, 2, FALSE))/(VLOOKUP(Main_M[[#This Row],[Industry]], Mean_PFCF_M, 3, FALSE))</f>
        <v>0.15304183802781934</v>
      </c>
      <c r="P150" s="1">
        <f>(Main_M[[#This Row],[P/B]]-VLOOKUP(Main_M[[#This Row],[Industry]], Mean_PB_M, 2, FALSE))/(VLOOKUP(Main_M[[#This Row],[Industry]], Mean_PB_M, 3, FALSE))</f>
        <v>-0.71239778345396709</v>
      </c>
      <c r="Q150" s="1">
        <f>(Main_M[[#This Row],[ROE]]-VLOOKUP(Main_M[[#This Row],[Industry]], Mean_ROE_M, 2, FALSE))/(VLOOKUP(Main_M[[#This Row],[Industry]], Mean_ROE_M, 3, FALSE))</f>
        <v>-1.3319842225806942</v>
      </c>
      <c r="R150" s="1">
        <f>(Main_M[[#This Row],[ROA]]-VLOOKUP(Main_M[[#This Row],[Industry]], Mean_ROA_M, 2, FALSE))/(VLOOKUP(Main_M[[#This Row],[Industry]], Mean_ROA_M, 3, FALSE))</f>
        <v>3.5592288681369932E-2</v>
      </c>
      <c r="S150" s="1">
        <f>(Main_M[[#This Row],[A/E]]-VLOOKUP(Main_M[[#This Row],[Industry]], Mean_AE_M, 2, FALSE))/(VLOOKUP(Main_M[[#This Row],[Industry]], Mean_AE_M, 3, FALSE))</f>
        <v>-1.1113210477341058</v>
      </c>
      <c r="T150" s="1">
        <f>(Main_M[[#This Row],[P/E]]-VLOOKUP(Main_M[[#This Row],[Industry]], Mean_PE_M, 2, FALSE))/(VLOOKUP(Main_M[[#This Row],[Industry]], Mean_PE_M, 3, FALSE))</f>
        <v>16.689776645852305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1" spans="1:26" x14ac:dyDescent="0.25">
      <c r="A151" s="67" t="s">
        <v>214</v>
      </c>
      <c r="B151" s="67" t="s">
        <v>693</v>
      </c>
      <c r="C151" s="2">
        <v>4187</v>
      </c>
      <c r="D151">
        <f>RTD("tos.rtd", , "LAST", Main_M[[#This Row],[Symbol]])</f>
        <v>11.63</v>
      </c>
      <c r="E151">
        <v>83.37</v>
      </c>
      <c r="F151">
        <v>1550.15</v>
      </c>
      <c r="G151">
        <v>210.52</v>
      </c>
      <c r="H151" s="1">
        <f>IF(ISNUMBER(Main_M[[#This Row],[Free CF]]),IF(Main_M[[#This Row],[Free CF]]&lt;&gt;0,Main_M[[#This Row],[Current Price]]/Main_M[[#This Row],[Free CF]],""),"")</f>
        <v>0.13949862060693294</v>
      </c>
      <c r="I151" s="1">
        <f>IF(ISNUMBER(Main_M[[#This Row],[BVPS]]),IF(Main_M[[#This Row],[BVPS]]&lt;&gt;0,Main_M[[#This Row],[Current Price]]/Main_M[[#This Row],[BVPS]],""),"")</f>
        <v>7.5024997580879268E-3</v>
      </c>
      <c r="J151">
        <v>13.37</v>
      </c>
      <c r="K151">
        <v>3.84</v>
      </c>
      <c r="L151">
        <v>3.55</v>
      </c>
      <c r="M151" s="1">
        <f>IF(ISNUMBER(Main_M[[#This Row],[EPS]]),IF(Main_M[[#This Row],[EPS]]&lt;&gt;0,Main_M[[#This Row],[Current Price]]/Main_M[[#This Row],[EPS]],""),"")</f>
        <v>5.5244157324719739E-2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-1.3763121523236923</v>
      </c>
      <c r="P151" s="1">
        <f>(Main_M[[#This Row],[P/B]]-VLOOKUP(Main_M[[#This Row],[Industry]], Mean_PB_M, 2, FALSE))/(VLOOKUP(Main_M[[#This Row],[Industry]], Mean_PB_M, 3, FALSE))</f>
        <v>-1.3023220343206141</v>
      </c>
      <c r="Q151" s="1">
        <f>(Main_M[[#This Row],[ROE]]-VLOOKUP(Main_M[[#This Row],[Industry]], Mean_ROE_M, 2, FALSE))/(VLOOKUP(Main_M[[#This Row],[Industry]], Mean_ROE_M, 3, FALSE))</f>
        <v>0.11402342230184284</v>
      </c>
      <c r="R151" s="1">
        <f>(Main_M[[#This Row],[ROA]]-VLOOKUP(Main_M[[#This Row],[Industry]], Mean_ROA_M, 2, FALSE))/(VLOOKUP(Main_M[[#This Row],[Industry]], Mean_ROA_M, 3, FALSE))</f>
        <v>1.0250067020972946</v>
      </c>
      <c r="S151" s="1">
        <f>(Main_M[[#This Row],[A/E]]-VLOOKUP(Main_M[[#This Row],[Industry]], Mean_AE_M, 2, FALSE))/(VLOOKUP(Main_M[[#This Row],[Industry]], Mean_AE_M, 3, FALSE))</f>
        <v>-0.49243364908627413</v>
      </c>
      <c r="T151" s="1">
        <f>(Main_M[[#This Row],[P/E]]-VLOOKUP(Main_M[[#This Row],[Industry]], Mean_PE_M, 2, FALSE))/(VLOOKUP(Main_M[[#This Row],[Industry]], Mean_PE_M, 3, FALSE))</f>
        <v>-1.745510852691379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2" spans="1:26" x14ac:dyDescent="0.25">
      <c r="A152" s="67" t="s">
        <v>214</v>
      </c>
      <c r="B152" s="67" t="s">
        <v>417</v>
      </c>
      <c r="C152" s="2">
        <v>4995</v>
      </c>
      <c r="D152">
        <f>RTD("tos.rtd", , "LAST", Main_M[[#This Row],[Symbol]])</f>
        <v>336.24</v>
      </c>
      <c r="E152">
        <v>51.48</v>
      </c>
      <c r="F152">
        <v>426.59</v>
      </c>
      <c r="G152">
        <v>31.2</v>
      </c>
      <c r="H152" s="1">
        <f>IF(ISNUMBER(Main_M[[#This Row],[Free CF]]),IF(Main_M[[#This Row],[Free CF]]&lt;&gt;0,Main_M[[#This Row],[Current Price]]/Main_M[[#This Row],[Free CF]],""),"")</f>
        <v>6.5314685314685317</v>
      </c>
      <c r="I152" s="1">
        <f>IF(ISNUMBER(Main_M[[#This Row],[BVPS]]),IF(Main_M[[#This Row],[BVPS]]&lt;&gt;0,Main_M[[#This Row],[Current Price]]/Main_M[[#This Row],[BVPS]],""),"")</f>
        <v>0.78820413042968662</v>
      </c>
      <c r="J152">
        <v>8.56</v>
      </c>
      <c r="K152">
        <v>2.21</v>
      </c>
      <c r="L152">
        <v>3.32</v>
      </c>
      <c r="M152" s="1">
        <f>IF(ISNUMBER(Main_M[[#This Row],[EPS]]),IF(Main_M[[#This Row],[EPS]]&lt;&gt;0,Main_M[[#This Row],[Current Price]]/Main_M[[#This Row],[EPS]],""),"")</f>
        <v>10.776923076923078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2" s="1">
        <f>(Main_M[[#This Row],[P/FCF]]-VLOOKUP(Main_M[[#This Row],[Industry]], Mean_PFCF_M, 2, FALSE))/(VLOOKUP(Main_M[[#This Row],[Industry]], Mean_PFCF_M, 3, FALSE))</f>
        <v>-0.25788836116335134</v>
      </c>
      <c r="P152" s="1">
        <f>(Main_M[[#This Row],[P/B]]-VLOOKUP(Main_M[[#This Row],[Industry]], Mean_PB_M, 2, FALSE))/(VLOOKUP(Main_M[[#This Row],[Industry]], Mean_PB_M, 3, FALSE))</f>
        <v>-0.84149047664060872</v>
      </c>
      <c r="Q152" s="1">
        <f>(Main_M[[#This Row],[ROE]]-VLOOKUP(Main_M[[#This Row],[Industry]], Mean_ROE_M, 2, FALSE))/(VLOOKUP(Main_M[[#This Row],[Industry]], Mean_ROE_M, 3, FALSE))</f>
        <v>-0.52525017805523455</v>
      </c>
      <c r="R152" s="1">
        <f>(Main_M[[#This Row],[ROA]]-VLOOKUP(Main_M[[#This Row],[Industry]], Mean_ROA_M, 2, FALSE))/(VLOOKUP(Main_M[[#This Row],[Industry]], Mean_ROA_M, 3, FALSE))</f>
        <v>-0.14364945287948599</v>
      </c>
      <c r="S152" s="1">
        <f>(Main_M[[#This Row],[A/E]]-VLOOKUP(Main_M[[#This Row],[Industry]], Mean_AE_M, 2, FALSE))/(VLOOKUP(Main_M[[#This Row],[Industry]], Mean_AE_M, 3, FALSE))</f>
        <v>-0.62067157853582489</v>
      </c>
      <c r="T152" s="1">
        <f>(Main_M[[#This Row],[P/E]]-VLOOKUP(Main_M[[#This Row],[Industry]], Mean_PE_M, 2, FALSE))/(VLOOKUP(Main_M[[#This Row],[Industry]], Mean_PE_M, 3, FALSE))</f>
        <v>-0.55835522409854466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3" spans="1:26" x14ac:dyDescent="0.25">
      <c r="A153" s="67" t="s">
        <v>214</v>
      </c>
      <c r="B153" s="67" t="s">
        <v>397</v>
      </c>
      <c r="C153" s="2">
        <v>4307</v>
      </c>
      <c r="D153">
        <f>RTD("tos.rtd", , "LAST", Main_M[[#This Row],[Symbol]])</f>
        <v>32.72</v>
      </c>
      <c r="E153">
        <v>43.02</v>
      </c>
      <c r="F153">
        <v>32.39</v>
      </c>
      <c r="G153">
        <v>3.84</v>
      </c>
      <c r="H153" s="1">
        <f>IF(ISNUMBER(Main_M[[#This Row],[Free CF]]),IF(Main_M[[#This Row],[Free CF]]&lt;&gt;0,Main_M[[#This Row],[Current Price]]/Main_M[[#This Row],[Free CF]],""),"")</f>
        <v>0.76057647605764755</v>
      </c>
      <c r="I153" s="1">
        <f>IF(ISNUMBER(Main_M[[#This Row],[BVPS]]),IF(Main_M[[#This Row],[BVPS]]&lt;&gt;0,Main_M[[#This Row],[Current Price]]/Main_M[[#This Row],[BVPS]],""),"")</f>
        <v>1.0101883297313985</v>
      </c>
      <c r="J153">
        <v>12.36</v>
      </c>
      <c r="K153">
        <v>0.57999999999999996</v>
      </c>
      <c r="L153">
        <v>20.170000000000002</v>
      </c>
      <c r="M153" s="1">
        <f>IF(ISNUMBER(Main_M[[#This Row],[EPS]]),IF(Main_M[[#This Row],[EPS]]&lt;&gt;0,Main_M[[#This Row],[Current Price]]/Main_M[[#This Row],[EPS]],""),"")</f>
        <v>8.5208333333333339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-1.2676401373759105</v>
      </c>
      <c r="P153" s="1">
        <f>(Main_M[[#This Row],[P/B]]-VLOOKUP(Main_M[[#This Row],[Industry]], Mean_PB_M, 2, FALSE))/(VLOOKUP(Main_M[[#This Row],[Industry]], Mean_PB_M, 3, FALSE))</f>
        <v>-0.71045792806432939</v>
      </c>
      <c r="Q153" s="1">
        <f>(Main_M[[#This Row],[ROE]]-VLOOKUP(Main_M[[#This Row],[Industry]], Mean_ROE_M, 2, FALSE))/(VLOOKUP(Main_M[[#This Row],[Industry]], Mean_ROE_M, 3, FALSE))</f>
        <v>-2.0210743261701487E-2</v>
      </c>
      <c r="R153" s="1">
        <f>(Main_M[[#This Row],[ROA]]-VLOOKUP(Main_M[[#This Row],[Industry]], Mean_ROA_M, 2, FALSE))/(VLOOKUP(Main_M[[#This Row],[Industry]], Mean_ROA_M, 3, FALSE))</f>
        <v>-1.3123056078562667</v>
      </c>
      <c r="S153" s="1">
        <f>(Main_M[[#This Row],[A/E]]-VLOOKUP(Main_M[[#This Row],[Industry]], Mean_AE_M, 2, FALSE))/(VLOOKUP(Main_M[[#This Row],[Industry]], Mean_AE_M, 3, FALSE))</f>
        <v>8.7741506441812636</v>
      </c>
      <c r="T153" s="1">
        <f>(Main_M[[#This Row],[P/E]]-VLOOKUP(Main_M[[#This Row],[Industry]], Mean_PE_M, 2, FALSE))/(VLOOKUP(Main_M[[#This Row],[Industry]], Mean_PE_M, 3, FALSE))</f>
        <v>-0.80816028334326429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s="67" t="s">
        <v>214</v>
      </c>
      <c r="B154" s="67" t="s">
        <v>401</v>
      </c>
      <c r="C154" s="2">
        <v>8892</v>
      </c>
      <c r="D154">
        <f>RTD("tos.rtd", , "LAST", Main_M[[#This Row],[Symbol]])</f>
        <v>262.23</v>
      </c>
      <c r="E154">
        <v>24.27</v>
      </c>
      <c r="F154">
        <v>68.33</v>
      </c>
      <c r="G154">
        <v>21.87</v>
      </c>
      <c r="H154" s="1">
        <f>IF(ISNUMBER(Main_M[[#This Row],[Free CF]]),IF(Main_M[[#This Row],[Free CF]]&lt;&gt;0,Main_M[[#This Row],[Current Price]]/Main_M[[#This Row],[Free CF]],""),"")</f>
        <v>10.804697156983933</v>
      </c>
      <c r="I154" s="1">
        <f>IF(ISNUMBER(Main_M[[#This Row],[BVPS]]),IF(Main_M[[#This Row],[BVPS]]&lt;&gt;0,Main_M[[#This Row],[Current Price]]/Main_M[[#This Row],[BVPS]],""),"")</f>
        <v>3.8376993999707305</v>
      </c>
      <c r="J154">
        <v>33.35</v>
      </c>
      <c r="K154">
        <v>4.46</v>
      </c>
      <c r="L154">
        <v>6.47</v>
      </c>
      <c r="M154" s="1">
        <f>IF(ISNUMBER(Main_M[[#This Row],[EPS]]),IF(Main_M[[#This Row],[EPS]]&lt;&gt;0,Main_M[[#This Row],[Current Price]]/Main_M[[#This Row],[EPS]],""),"")</f>
        <v>11.99039780521262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4" s="1">
        <f>(Main_M[[#This Row],[P/FCF]]-VLOOKUP(Main_M[[#This Row],[Industry]], Mean_PFCF_M, 2, FALSE))/(VLOOKUP(Main_M[[#This Row],[Industry]], Mean_PFCF_M, 3, FALSE))</f>
        <v>0.48981236748410389</v>
      </c>
      <c r="P154" s="1">
        <f>(Main_M[[#This Row],[P/B]]-VLOOKUP(Main_M[[#This Row],[Industry]], Mean_PB_M, 2, FALSE))/(VLOOKUP(Main_M[[#This Row],[Industry]], Mean_PB_M, 3, FALSE))</f>
        <v>0.95856168155905408</v>
      </c>
      <c r="Q154" s="1">
        <f>(Main_M[[#This Row],[ROE]]-VLOOKUP(Main_M[[#This Row],[Industry]], Mean_ROE_M, 2, FALSE))/(VLOOKUP(Main_M[[#This Row],[Industry]], Mean_ROE_M, 3, FALSE))</f>
        <v>2.7694676084004728</v>
      </c>
      <c r="R154" s="1">
        <f>(Main_M[[#This Row],[ROA]]-VLOOKUP(Main_M[[#This Row],[Industry]], Mean_ROA_M, 2, FALSE))/(VLOOKUP(Main_M[[#This Row],[Industry]], Mean_ROA_M, 3, FALSE))</f>
        <v>1.4695262211682174</v>
      </c>
      <c r="S154" s="1">
        <f>(Main_M[[#This Row],[A/E]]-VLOOKUP(Main_M[[#This Row],[Industry]], Mean_AE_M, 2, FALSE))/(VLOOKUP(Main_M[[#This Row],[Industry]], Mean_AE_M, 3, FALSE))</f>
        <v>1.1356304987080224</v>
      </c>
      <c r="T154" s="1">
        <f>(Main_M[[#This Row],[P/E]]-VLOOKUP(Main_M[[#This Row],[Industry]], Mean_PE_M, 2, FALSE))/(VLOOKUP(Main_M[[#This Row],[Industry]], Mean_PE_M, 3, FALSE))</f>
        <v>-0.42399349170131523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5" spans="1:26" x14ac:dyDescent="0.25">
      <c r="A155" s="67" t="s">
        <v>214</v>
      </c>
      <c r="B155" s="67" t="s">
        <v>415</v>
      </c>
      <c r="C155" s="2">
        <v>6321</v>
      </c>
      <c r="D155">
        <f>RTD("tos.rtd", , "LAST", Main_M[[#This Row],[Symbol]])</f>
        <v>173.64</v>
      </c>
      <c r="E155">
        <v>21.62</v>
      </c>
      <c r="F155">
        <v>84.57</v>
      </c>
      <c r="G155">
        <v>12</v>
      </c>
      <c r="H155" s="1">
        <f>IF(ISNUMBER(Main_M[[#This Row],[Free CF]]),IF(Main_M[[#This Row],[Free CF]]&lt;&gt;0,Main_M[[#This Row],[Current Price]]/Main_M[[#This Row],[Free CF]],""),"")</f>
        <v>8.0314523589269182</v>
      </c>
      <c r="I155" s="1">
        <f>IF(ISNUMBER(Main_M[[#This Row],[BVPS]]),IF(Main_M[[#This Row],[BVPS]]&lt;&gt;0,Main_M[[#This Row],[Current Price]]/Main_M[[#This Row],[BVPS]],""),"")</f>
        <v>2.0532103582830792</v>
      </c>
      <c r="J155">
        <v>15.74</v>
      </c>
      <c r="K155">
        <v>2.44</v>
      </c>
      <c r="L155">
        <v>5.08</v>
      </c>
      <c r="M155" s="1">
        <f>IF(ISNUMBER(Main_M[[#This Row],[EPS]]),IF(Main_M[[#This Row],[EPS]]&lt;&gt;0,Main_M[[#This Row],[Current Price]]/Main_M[[#This Row],[EPS]],""),"")</f>
        <v>14.469999999999999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4.5686939198560997E-3</v>
      </c>
      <c r="P155" s="1">
        <f>(Main_M[[#This Row],[P/B]]-VLOOKUP(Main_M[[#This Row],[Industry]], Mean_PB_M, 2, FALSE))/(VLOOKUP(Main_M[[#This Row],[Industry]], Mean_PB_M, 3, FALSE))</f>
        <v>-9.4784222222900033E-2</v>
      </c>
      <c r="Q155" s="1">
        <f>(Main_M[[#This Row],[ROE]]-VLOOKUP(Main_M[[#This Row],[Industry]], Mean_ROE_M, 2, FALSE))/(VLOOKUP(Main_M[[#This Row],[Industry]], Mean_ROE_M, 3, FALSE))</f>
        <v>0.42900854347570444</v>
      </c>
      <c r="R155" s="1">
        <f>(Main_M[[#This Row],[ROA]]-VLOOKUP(Main_M[[#This Row],[Industry]], Mean_ROA_M, 2, FALSE))/(VLOOKUP(Main_M[[#This Row],[Industry]], Mean_ROA_M, 3, FALSE))</f>
        <v>2.1252949356501447E-2</v>
      </c>
      <c r="S155" s="1">
        <f>(Main_M[[#This Row],[A/E]]-VLOOKUP(Main_M[[#This Row],[Industry]], Mean_AE_M, 2, FALSE))/(VLOOKUP(Main_M[[#This Row],[Industry]], Mean_AE_M, 3, FALSE))</f>
        <v>0.36062735986073752</v>
      </c>
      <c r="T155" s="1">
        <f>(Main_M[[#This Row],[P/E]]-VLOOKUP(Main_M[[#This Row],[Industry]], Mean_PE_M, 2, FALSE))/(VLOOKUP(Main_M[[#This Row],[Industry]], Mean_PE_M, 3, FALSE))</f>
        <v>-0.14944006361532897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6" spans="1:26" x14ac:dyDescent="0.25">
      <c r="A156" s="67" t="s">
        <v>214</v>
      </c>
      <c r="B156" s="67" t="s">
        <v>403</v>
      </c>
      <c r="C156" s="2">
        <v>8164</v>
      </c>
      <c r="D156">
        <f>RTD("tos.rtd", , "LAST", Main_M[[#This Row],[Symbol]])</f>
        <v>104.04</v>
      </c>
      <c r="E156">
        <v>20.9</v>
      </c>
      <c r="F156">
        <v>68.06</v>
      </c>
      <c r="G156">
        <v>10.08</v>
      </c>
      <c r="H156" s="1">
        <f>IF(ISNUMBER(Main_M[[#This Row],[Free CF]]),IF(Main_M[[#This Row],[Free CF]]&lt;&gt;0,Main_M[[#This Row],[Current Price]]/Main_M[[#This Row],[Free CF]],""),"")</f>
        <v>4.9779904306220102</v>
      </c>
      <c r="I156" s="1">
        <f>IF(ISNUMBER(Main_M[[#This Row],[BVPS]]),IF(Main_M[[#This Row],[BVPS]]&lt;&gt;0,Main_M[[#This Row],[Current Price]]/Main_M[[#This Row],[BVPS]],""),"")</f>
        <v>1.5286511901263591</v>
      </c>
      <c r="J156">
        <v>15.44</v>
      </c>
      <c r="K156">
        <v>2.09</v>
      </c>
      <c r="L156">
        <v>6.21</v>
      </c>
      <c r="M156" s="1">
        <f>IF(ISNUMBER(Main_M[[#This Row],[EPS]]),IF(Main_M[[#This Row],[EPS]]&lt;&gt;0,Main_M[[#This Row],[Current Price]]/Main_M[[#This Row],[EPS]],""),"")</f>
        <v>10.321428571428571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-0.52970548346878721</v>
      </c>
      <c r="P156" s="1">
        <f>(Main_M[[#This Row],[P/B]]-VLOOKUP(Main_M[[#This Row],[Industry]], Mean_PB_M, 2, FALSE))/(VLOOKUP(Main_M[[#This Row],[Industry]], Mean_PB_M, 3, FALSE))</f>
        <v>-0.4044203355086351</v>
      </c>
      <c r="Q156" s="1">
        <f>(Main_M[[#This Row],[ROE]]-VLOOKUP(Main_M[[#This Row],[Industry]], Mean_ROE_M, 2, FALSE))/(VLOOKUP(Main_M[[#This Row],[Industry]], Mean_ROE_M, 3, FALSE))</f>
        <v>0.38913700914989913</v>
      </c>
      <c r="R156" s="1">
        <f>(Main_M[[#This Row],[ROA]]-VLOOKUP(Main_M[[#This Row],[Industry]], Mean_ROA_M, 2, FALSE))/(VLOOKUP(Main_M[[#This Row],[Industry]], Mean_ROA_M, 3, FALSE))</f>
        <v>-0.22968548882869694</v>
      </c>
      <c r="S156" s="1">
        <f>(Main_M[[#This Row],[A/E]]-VLOOKUP(Main_M[[#This Row],[Industry]], Mean_AE_M, 2, FALSE))/(VLOOKUP(Main_M[[#This Row],[Industry]], Mean_AE_M, 3, FALSE))</f>
        <v>0.99066588280853018</v>
      </c>
      <c r="T156" s="1">
        <f>(Main_M[[#This Row],[P/E]]-VLOOKUP(Main_M[[#This Row],[Industry]], Mean_PE_M, 2, FALSE))/(VLOOKUP(Main_M[[#This Row],[Industry]], Mean_PE_M, 3, FALSE))</f>
        <v>-0.60878975679122582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s="67" t="s">
        <v>214</v>
      </c>
      <c r="B157" s="67" t="s">
        <v>413</v>
      </c>
      <c r="C157" s="2">
        <v>5349</v>
      </c>
      <c r="D157">
        <f>RTD("tos.rtd", , "LAST", Main_M[[#This Row],[Symbol]])</f>
        <v>86.16</v>
      </c>
      <c r="E157">
        <v>20.09</v>
      </c>
      <c r="F157">
        <v>50.33</v>
      </c>
      <c r="G157">
        <v>3.68</v>
      </c>
      <c r="H157" s="1">
        <f>IF(ISNUMBER(Main_M[[#This Row],[Free CF]]),IF(Main_M[[#This Row],[Free CF]]&lt;&gt;0,Main_M[[#This Row],[Current Price]]/Main_M[[#This Row],[Free CF]],""),"")</f>
        <v>4.2887008461921354</v>
      </c>
      <c r="I157" s="1">
        <f>IF(ISNUMBER(Main_M[[#This Row],[BVPS]]),IF(Main_M[[#This Row],[BVPS]]&lt;&gt;0,Main_M[[#This Row],[Current Price]]/Main_M[[#This Row],[BVPS]],""),"")</f>
        <v>1.7119014504271806</v>
      </c>
      <c r="J157">
        <v>7.48</v>
      </c>
      <c r="K157">
        <v>1.71</v>
      </c>
      <c r="L157">
        <v>4.6399999999999997</v>
      </c>
      <c r="M157" s="1">
        <f>IF(ISNUMBER(Main_M[[#This Row],[EPS]]),IF(Main_M[[#This Row],[EPS]]&lt;&gt;0,Main_M[[#This Row],[Current Price]]/Main_M[[#This Row],[EPS]],""),"")</f>
        <v>23.413043478260867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7" s="1">
        <f>(Main_M[[#This Row],[P/FCF]]-VLOOKUP(Main_M[[#This Row],[Industry]], Mean_PFCF_M, 2, FALSE))/(VLOOKUP(Main_M[[#This Row],[Industry]], Mean_PFCF_M, 3, FALSE))</f>
        <v>-0.65031272677188989</v>
      </c>
      <c r="P157" s="1">
        <f>(Main_M[[#This Row],[P/B]]-VLOOKUP(Main_M[[#This Row],[Industry]], Mean_PB_M, 2, FALSE))/(VLOOKUP(Main_M[[#This Row],[Industry]], Mean_PB_M, 3, FALSE))</f>
        <v>-0.29625160678823004</v>
      </c>
      <c r="Q157" s="1">
        <f>(Main_M[[#This Row],[ROE]]-VLOOKUP(Main_M[[#This Row],[Industry]], Mean_ROE_M, 2, FALSE))/(VLOOKUP(Main_M[[#This Row],[Industry]], Mean_ROE_M, 3, FALSE))</f>
        <v>-0.6687877016281335</v>
      </c>
      <c r="R157" s="1">
        <f>(Main_M[[#This Row],[ROA]]-VLOOKUP(Main_M[[#This Row],[Industry]], Mean_ROA_M, 2, FALSE))/(VLOOKUP(Main_M[[#This Row],[Industry]], Mean_ROA_M, 3, FALSE))</f>
        <v>-0.5021329360011979</v>
      </c>
      <c r="S157" s="1">
        <f>(Main_M[[#This Row],[A/E]]-VLOOKUP(Main_M[[#This Row],[Industry]], Mean_AE_M, 2, FALSE))/(VLOOKUP(Main_M[[#This Row],[Industry]], Mean_AE_M, 3, FALSE))</f>
        <v>0.11530262526159674</v>
      </c>
      <c r="T157" s="1">
        <f>(Main_M[[#This Row],[P/E]]-VLOOKUP(Main_M[[#This Row],[Industry]], Mean_PE_M, 2, FALSE))/(VLOOKUP(Main_M[[#This Row],[Industry]], Mean_PE_M, 3, FALSE))</f>
        <v>0.84077653227257909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8" spans="1:26" x14ac:dyDescent="0.25">
      <c r="A158" s="67" t="s">
        <v>214</v>
      </c>
      <c r="B158" s="67" t="s">
        <v>408</v>
      </c>
      <c r="C158" s="2">
        <v>3571</v>
      </c>
      <c r="D158">
        <f>RTD("tos.rtd", , "LAST", Main_M[[#This Row],[Symbol]])</f>
        <v>65.63</v>
      </c>
      <c r="E158">
        <v>13.12</v>
      </c>
      <c r="F158">
        <v>32.869999999999997</v>
      </c>
      <c r="G158">
        <v>5.16</v>
      </c>
      <c r="H158" s="1">
        <f>IF(ISNUMBER(Main_M[[#This Row],[Free CF]]),IF(Main_M[[#This Row],[Free CF]]&lt;&gt;0,Main_M[[#This Row],[Current Price]]/Main_M[[#This Row],[Free CF]],""),"")</f>
        <v>5.0022865853658534</v>
      </c>
      <c r="I158" s="1">
        <f>IF(ISNUMBER(Main_M[[#This Row],[BVPS]]),IF(Main_M[[#This Row],[BVPS]]&lt;&gt;0,Main_M[[#This Row],[Current Price]]/Main_M[[#This Row],[BVPS]],""),"")</f>
        <v>1.9966534834195315</v>
      </c>
      <c r="J158">
        <v>16.71</v>
      </c>
      <c r="K158">
        <v>2.84</v>
      </c>
      <c r="L158">
        <v>4.96</v>
      </c>
      <c r="M158" s="1">
        <f>IF(ISNUMBER(Main_M[[#This Row],[EPS]]),IF(Main_M[[#This Row],[EPS]]&lt;&gt;0,Main_M[[#This Row],[Current Price]]/Main_M[[#This Row],[EPS]],""),"")</f>
        <v>12.718992248062014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-0.52545430615128252</v>
      </c>
      <c r="P158" s="1">
        <f>(Main_M[[#This Row],[P/B]]-VLOOKUP(Main_M[[#This Row],[Industry]], Mean_PB_M, 2, FALSE))/(VLOOKUP(Main_M[[#This Row],[Industry]], Mean_PB_M, 3, FALSE))</f>
        <v>-0.12816854181047532</v>
      </c>
      <c r="Q158" s="1">
        <f>(Main_M[[#This Row],[ROE]]-VLOOKUP(Main_M[[#This Row],[Industry]], Mean_ROE_M, 2, FALSE))/(VLOOKUP(Main_M[[#This Row],[Industry]], Mean_ROE_M, 3, FALSE))</f>
        <v>0.55792650446247483</v>
      </c>
      <c r="R158" s="1">
        <f>(Main_M[[#This Row],[ROA]]-VLOOKUP(Main_M[[#This Row],[Industry]], Mean_ROA_M, 2, FALSE))/(VLOOKUP(Main_M[[#This Row],[Industry]], Mean_ROA_M, 3, FALSE))</f>
        <v>0.3080397358538709</v>
      </c>
      <c r="S158" s="1">
        <f>(Main_M[[#This Row],[A/E]]-VLOOKUP(Main_M[[#This Row],[Industry]], Mean_AE_M, 2, FALSE))/(VLOOKUP(Main_M[[#This Row],[Industry]], Mean_AE_M, 3, FALSE))</f>
        <v>0.29372061406097183</v>
      </c>
      <c r="T158" s="1">
        <f>(Main_M[[#This Row],[P/E]]-VLOOKUP(Main_M[[#This Row],[Industry]], Mean_PE_M, 2, FALSE))/(VLOOKUP(Main_M[[#This Row],[Industry]], Mean_PE_M, 3, FALSE))</f>
        <v>-0.3433200262602778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9" spans="1:26" x14ac:dyDescent="0.25">
      <c r="A159" s="67" t="s">
        <v>214</v>
      </c>
      <c r="B159" s="67" t="s">
        <v>412</v>
      </c>
      <c r="C159" s="2">
        <v>2013</v>
      </c>
      <c r="D159">
        <f>RTD("tos.rtd", , "LAST", Main_M[[#This Row],[Symbol]])</f>
        <v>152.91999999999999</v>
      </c>
      <c r="E159">
        <v>13.06</v>
      </c>
      <c r="F159">
        <v>15.05</v>
      </c>
      <c r="G159">
        <v>3.16</v>
      </c>
      <c r="H159" s="1">
        <f>IF(ISNUMBER(Main_M[[#This Row],[Free CF]]),IF(Main_M[[#This Row],[Free CF]]&lt;&gt;0,Main_M[[#This Row],[Current Price]]/Main_M[[#This Row],[Free CF]],""),"")</f>
        <v>11.709035222052066</v>
      </c>
      <c r="I159" s="1">
        <f>IF(ISNUMBER(Main_M[[#This Row],[BVPS]]),IF(Main_M[[#This Row],[BVPS]]&lt;&gt;0,Main_M[[#This Row],[Current Price]]/Main_M[[#This Row],[BVPS]],""),"")</f>
        <v>10.160797342192689</v>
      </c>
      <c r="J159">
        <v>17.95</v>
      </c>
      <c r="K159">
        <v>4.01</v>
      </c>
      <c r="L159">
        <v>6.93</v>
      </c>
      <c r="M159" s="1">
        <f>IF(ISNUMBER(Main_M[[#This Row],[EPS]]),IF(Main_M[[#This Row],[EPS]]&lt;&gt;0,Main_M[[#This Row],[Current Price]]/Main_M[[#This Row],[EPS]],""),"")</f>
        <v>48.392405063291136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0.64804734376354844</v>
      </c>
      <c r="P159" s="1">
        <f>(Main_M[[#This Row],[P/B]]-VLOOKUP(Main_M[[#This Row],[Industry]], Mean_PB_M, 2, FALSE))/(VLOOKUP(Main_M[[#This Row],[Industry]], Mean_PB_M, 3, FALSE))</f>
        <v>4.6909518285742635</v>
      </c>
      <c r="Q159" s="1">
        <f>(Main_M[[#This Row],[ROE]]-VLOOKUP(Main_M[[#This Row],[Industry]], Mean_ROE_M, 2, FALSE))/(VLOOKUP(Main_M[[#This Row],[Industry]], Mean_ROE_M, 3, FALSE))</f>
        <v>0.7227288463424697</v>
      </c>
      <c r="R159" s="1">
        <f>(Main_M[[#This Row],[ROA]]-VLOOKUP(Main_M[[#This Row],[Industry]], Mean_ROA_M, 2, FALSE))/(VLOOKUP(Main_M[[#This Row],[Industry]], Mean_ROA_M, 3, FALSE))</f>
        <v>1.1468910863586768</v>
      </c>
      <c r="S159" s="1">
        <f>(Main_M[[#This Row],[A/E]]-VLOOKUP(Main_M[[#This Row],[Industry]], Mean_AE_M, 2, FALSE))/(VLOOKUP(Main_M[[#This Row],[Industry]], Mean_AE_M, 3, FALSE))</f>
        <v>1.3921063576071238</v>
      </c>
      <c r="T159" s="1">
        <f>(Main_M[[#This Row],[P/E]]-VLOOKUP(Main_M[[#This Row],[Industry]], Mean_PE_M, 2, FALSE))/(VLOOKUP(Main_M[[#This Row],[Industry]], Mean_PE_M, 3, FALSE))</f>
        <v>3.6066110556435875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0" spans="1:26" x14ac:dyDescent="0.25">
      <c r="A160" s="67" t="s">
        <v>214</v>
      </c>
      <c r="B160" s="67" t="s">
        <v>410</v>
      </c>
      <c r="C160" s="2">
        <v>4585</v>
      </c>
      <c r="D160">
        <f>RTD("tos.rtd", , "LAST", Main_M[[#This Row],[Symbol]])</f>
        <v>162.27000000000001</v>
      </c>
      <c r="E160">
        <v>11.8</v>
      </c>
      <c r="F160">
        <v>29.57</v>
      </c>
      <c r="G160">
        <v>5.0199999999999996</v>
      </c>
      <c r="H160" s="1">
        <f>IF(ISNUMBER(Main_M[[#This Row],[Free CF]]),IF(Main_M[[#This Row],[Free CF]]&lt;&gt;0,Main_M[[#This Row],[Current Price]]/Main_M[[#This Row],[Free CF]],""),"")</f>
        <v>13.751694915254237</v>
      </c>
      <c r="I160" s="1">
        <f>IF(ISNUMBER(Main_M[[#This Row],[BVPS]]),IF(Main_M[[#This Row],[BVPS]]&lt;&gt;0,Main_M[[#This Row],[Current Price]]/Main_M[[#This Row],[BVPS]],""),"")</f>
        <v>5.4876564085221515</v>
      </c>
      <c r="J160">
        <v>20.76</v>
      </c>
      <c r="K160">
        <v>4.96</v>
      </c>
      <c r="L160">
        <v>3.07</v>
      </c>
      <c r="M160" s="1">
        <f>IF(ISNUMBER(Main_M[[#This Row],[EPS]]),IF(Main_M[[#This Row],[EPS]]&lt;&gt;0,Main_M[[#This Row],[Current Price]]/Main_M[[#This Row],[EPS]],""),"")</f>
        <v>32.324701195219127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1.0054581623344461</v>
      </c>
      <c r="P160" s="1">
        <f>(Main_M[[#This Row],[P/B]]-VLOOKUP(Main_M[[#This Row],[Industry]], Mean_PB_M, 2, FALSE))/(VLOOKUP(Main_M[[#This Row],[Industry]], Mean_PB_M, 3, FALSE))</f>
        <v>1.9324961892937187</v>
      </c>
      <c r="Q160" s="1">
        <f>(Main_M[[#This Row],[ROE]]-VLOOKUP(Main_M[[#This Row],[Industry]], Mean_ROE_M, 2, FALSE))/(VLOOKUP(Main_M[[#This Row],[Industry]], Mean_ROE_M, 3, FALSE))</f>
        <v>1.0961922178608459</v>
      </c>
      <c r="R160" s="1">
        <f>(Main_M[[#This Row],[ROA]]-VLOOKUP(Main_M[[#This Row],[Industry]], Mean_ROA_M, 2, FALSE))/(VLOOKUP(Main_M[[#This Row],[Industry]], Mean_ROA_M, 3, FALSE))</f>
        <v>1.8280097042899293</v>
      </c>
      <c r="S160" s="1">
        <f>(Main_M[[#This Row],[A/E]]-VLOOKUP(Main_M[[#This Row],[Industry]], Mean_AE_M, 2, FALSE))/(VLOOKUP(Main_M[[#This Row],[Industry]], Mean_AE_M, 3, FALSE))</f>
        <v>-0.76006063228533649</v>
      </c>
      <c r="T160" s="1">
        <f>(Main_M[[#This Row],[P/E]]-VLOOKUP(Main_M[[#This Row],[Industry]], Mean_PE_M, 2, FALSE))/(VLOOKUP(Main_M[[#This Row],[Industry]], Mean_PE_M, 3, FALSE))</f>
        <v>1.8275179463846225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1" spans="1:26" x14ac:dyDescent="0.25">
      <c r="A161" s="67" t="s">
        <v>214</v>
      </c>
      <c r="B161" s="67" t="s">
        <v>414</v>
      </c>
      <c r="C161" s="2">
        <v>2560</v>
      </c>
      <c r="D161">
        <f>RTD("tos.rtd", , "LAST", Main_M[[#This Row],[Symbol]])</f>
        <v>60.42</v>
      </c>
      <c r="E161">
        <v>7.52</v>
      </c>
      <c r="F161">
        <v>21.06</v>
      </c>
      <c r="G161">
        <v>2.98</v>
      </c>
      <c r="H161" s="1">
        <f>IF(ISNUMBER(Main_M[[#This Row],[Free CF]]),IF(Main_M[[#This Row],[Free CF]]&lt;&gt;0,Main_M[[#This Row],[Current Price]]/Main_M[[#This Row],[Free CF]],""),"")</f>
        <v>8.0345744680851077</v>
      </c>
      <c r="I161" s="1">
        <f>IF(ISNUMBER(Main_M[[#This Row],[BVPS]]),IF(Main_M[[#This Row],[BVPS]]&lt;&gt;0,Main_M[[#This Row],[Current Price]]/Main_M[[#This Row],[BVPS]],""),"")</f>
        <v>2.8689458689458691</v>
      </c>
      <c r="J161">
        <v>16.09</v>
      </c>
      <c r="K161">
        <v>2.87</v>
      </c>
      <c r="L161">
        <v>4.74</v>
      </c>
      <c r="M161" s="1">
        <f>IF(ISNUMBER(Main_M[[#This Row],[EPS]]),IF(Main_M[[#This Row],[EPS]]&lt;&gt;0,Main_M[[#This Row],[Current Price]]/Main_M[[#This Row],[EPS]],""),"")</f>
        <v>20.275167785234899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5.1149795266117147E-3</v>
      </c>
      <c r="P161" s="1">
        <f>(Main_M[[#This Row],[P/B]]-VLOOKUP(Main_M[[#This Row],[Industry]], Mean_PB_M, 2, FALSE))/(VLOOKUP(Main_M[[#This Row],[Industry]], Mean_PB_M, 3, FALSE))</f>
        <v>0.38672708922427318</v>
      </c>
      <c r="Q161" s="1">
        <f>(Main_M[[#This Row],[ROE]]-VLOOKUP(Main_M[[#This Row],[Industry]], Mean_ROE_M, 2, FALSE))/(VLOOKUP(Main_M[[#This Row],[Industry]], Mean_ROE_M, 3, FALSE))</f>
        <v>0.47552533352247722</v>
      </c>
      <c r="R161" s="1">
        <f>(Main_M[[#This Row],[ROA]]-VLOOKUP(Main_M[[#This Row],[Industry]], Mean_ROA_M, 2, FALSE))/(VLOOKUP(Main_M[[#This Row],[Industry]], Mean_ROA_M, 3, FALSE))</f>
        <v>0.3295487448411738</v>
      </c>
      <c r="S161" s="1">
        <f>(Main_M[[#This Row],[A/E]]-VLOOKUP(Main_M[[#This Row],[Industry]], Mean_AE_M, 2, FALSE))/(VLOOKUP(Main_M[[#This Row],[Industry]], Mean_AE_M, 3, FALSE))</f>
        <v>0.17105824676140169</v>
      </c>
      <c r="T161" s="1">
        <f>(Main_M[[#This Row],[P/E]]-VLOOKUP(Main_M[[#This Row],[Industry]], Mean_PE_M, 2, FALSE))/(VLOOKUP(Main_M[[#This Row],[Industry]], Mean_PE_M, 3, FALSE))</f>
        <v>0.49333591045064096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2" spans="1:26" x14ac:dyDescent="0.25">
      <c r="A162" s="67" t="s">
        <v>214</v>
      </c>
      <c r="B162" s="67" t="s">
        <v>406</v>
      </c>
      <c r="C162" s="2">
        <v>4078</v>
      </c>
      <c r="D162">
        <f>RTD("tos.rtd", , "LAST", Main_M[[#This Row],[Symbol]])</f>
        <v>63.03</v>
      </c>
      <c r="E162">
        <v>7.4</v>
      </c>
      <c r="F162">
        <v>45.6</v>
      </c>
      <c r="G162">
        <v>5.35</v>
      </c>
      <c r="H162" s="1">
        <f>IF(ISNUMBER(Main_M[[#This Row],[Free CF]]),IF(Main_M[[#This Row],[Free CF]]&lt;&gt;0,Main_M[[#This Row],[Current Price]]/Main_M[[#This Row],[Free CF]],""),"")</f>
        <v>8.5175675675675677</v>
      </c>
      <c r="I162" s="1">
        <f>IF(ISNUMBER(Main_M[[#This Row],[BVPS]]),IF(Main_M[[#This Row],[BVPS]]&lt;&gt;0,Main_M[[#This Row],[Current Price]]/Main_M[[#This Row],[BVPS]],""),"")</f>
        <v>1.3822368421052631</v>
      </c>
      <c r="J162">
        <v>12.34</v>
      </c>
      <c r="K162">
        <v>2.54</v>
      </c>
      <c r="L162">
        <v>4.2699999999999996</v>
      </c>
      <c r="M162" s="1">
        <f>IF(ISNUMBER(Main_M[[#This Row],[EPS]]),IF(Main_M[[#This Row],[EPS]]&lt;&gt;0,Main_M[[#This Row],[Current Price]]/Main_M[[#This Row],[EPS]],""),"")</f>
        <v>11.781308411214955</v>
      </c>
      <c r="N1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2" s="1">
        <f>(Main_M[[#This Row],[P/FCF]]-VLOOKUP(Main_M[[#This Row],[Industry]], Mean_PFCF_M, 2, FALSE))/(VLOOKUP(Main_M[[#This Row],[Industry]], Mean_PFCF_M, 3, FALSE))</f>
        <v>8.9625855040830482E-2</v>
      </c>
      <c r="P162" s="1">
        <f>(Main_M[[#This Row],[P/B]]-VLOOKUP(Main_M[[#This Row],[Industry]], Mean_PB_M, 2, FALSE))/(VLOOKUP(Main_M[[#This Row],[Industry]], Mean_PB_M, 3, FALSE))</f>
        <v>-0.49084560915283254</v>
      </c>
      <c r="Q162" s="1">
        <f>(Main_M[[#This Row],[ROE]]-VLOOKUP(Main_M[[#This Row],[Industry]], Mean_ROE_M, 2, FALSE))/(VLOOKUP(Main_M[[#This Row],[Industry]], Mean_ROE_M, 3, FALSE))</f>
        <v>-2.2868845550088449E-2</v>
      </c>
      <c r="R162" s="1">
        <f>(Main_M[[#This Row],[ROA]]-VLOOKUP(Main_M[[#This Row],[Industry]], Mean_ROA_M, 2, FALSE))/(VLOOKUP(Main_M[[#This Row],[Industry]], Mean_ROA_M, 3, FALSE))</f>
        <v>9.294964598084389E-2</v>
      </c>
      <c r="S162" s="1">
        <f>(Main_M[[#This Row],[A/E]]-VLOOKUP(Main_M[[#This Row],[Industry]], Mean_AE_M, 2, FALSE))/(VLOOKUP(Main_M[[#This Row],[Industry]], Mean_AE_M, 3, FALSE))</f>
        <v>-9.0993174287680612E-2</v>
      </c>
      <c r="T162" s="1">
        <f>(Main_M[[#This Row],[P/E]]-VLOOKUP(Main_M[[#This Row],[Industry]], Mean_PE_M, 2, FALSE))/(VLOOKUP(Main_M[[#This Row],[Industry]], Mean_PE_M, 3, FALSE))</f>
        <v>-0.44714487058747682</v>
      </c>
      <c r="U1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3" spans="1:26" x14ac:dyDescent="0.25">
      <c r="A163" s="67" t="s">
        <v>214</v>
      </c>
      <c r="B163" s="67" t="s">
        <v>396</v>
      </c>
      <c r="C163" s="2">
        <v>3763</v>
      </c>
      <c r="D163">
        <f>RTD("tos.rtd", , "LAST", Main_M[[#This Row],[Symbol]])</f>
        <v>38.17</v>
      </c>
      <c r="E163">
        <v>6.43</v>
      </c>
      <c r="F163">
        <v>25.33</v>
      </c>
      <c r="G163">
        <v>2.88</v>
      </c>
      <c r="H163" s="1">
        <f>IF(ISNUMBER(Main_M[[#This Row],[Free CF]]),IF(Main_M[[#This Row],[Free CF]]&lt;&gt;0,Main_M[[#This Row],[Current Price]]/Main_M[[#This Row],[Free CF]],""),"")</f>
        <v>5.9362363919129084</v>
      </c>
      <c r="I163" s="1">
        <f>IF(ISNUMBER(Main_M[[#This Row],[BVPS]]),IF(Main_M[[#This Row],[BVPS]]&lt;&gt;0,Main_M[[#This Row],[Current Price]]/Main_M[[#This Row],[BVPS]],""),"")</f>
        <v>1.5069088037899725</v>
      </c>
      <c r="J163">
        <v>12.47</v>
      </c>
      <c r="K163">
        <v>1.1100000000000001</v>
      </c>
      <c r="L163">
        <v>14.79</v>
      </c>
      <c r="M163" s="1">
        <f>IF(ISNUMBER(Main_M[[#This Row],[EPS]]),IF(Main_M[[#This Row],[EPS]]&lt;&gt;0,Main_M[[#This Row],[Current Price]]/Main_M[[#This Row],[EPS]],""),"")</f>
        <v>13.253472222222223</v>
      </c>
      <c r="N1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3" s="1">
        <f>(Main_M[[#This Row],[P/FCF]]-VLOOKUP(Main_M[[#This Row],[Industry]], Mean_PFCF_M, 2, FALSE))/(VLOOKUP(Main_M[[#This Row],[Industry]], Mean_PFCF_M, 3, FALSE))</f>
        <v>-0.36203806703274993</v>
      </c>
      <c r="P163" s="1">
        <f>(Main_M[[#This Row],[P/B]]-VLOOKUP(Main_M[[#This Row],[Industry]], Mean_PB_M, 2, FALSE))/(VLOOKUP(Main_M[[#This Row],[Industry]], Mean_PB_M, 3, FALSE))</f>
        <v>-0.41725440344116671</v>
      </c>
      <c r="Q163" s="1">
        <f>(Main_M[[#This Row],[ROE]]-VLOOKUP(Main_M[[#This Row],[Industry]], Mean_ROE_M, 2, FALSE))/(VLOOKUP(Main_M[[#This Row],[Industry]], Mean_ROE_M, 3, FALSE))</f>
        <v>-5.5911806755727343E-3</v>
      </c>
      <c r="R163" s="1">
        <f>(Main_M[[#This Row],[ROA]]-VLOOKUP(Main_M[[#This Row],[Industry]], Mean_ROA_M, 2, FALSE))/(VLOOKUP(Main_M[[#This Row],[Industry]], Mean_ROA_M, 3, FALSE))</f>
        <v>-0.93231311574725206</v>
      </c>
      <c r="S163" s="1">
        <f>(Main_M[[#This Row],[A/E]]-VLOOKUP(Main_M[[#This Row],[Industry]], Mean_AE_M, 2, FALSE))/(VLOOKUP(Main_M[[#This Row],[Industry]], Mean_AE_M, 3, FALSE))</f>
        <v>5.7744982074917699</v>
      </c>
      <c r="T163" s="1">
        <f>(Main_M[[#This Row],[P/E]]-VLOOKUP(Main_M[[#This Row],[Industry]], Mean_PE_M, 2, FALSE))/(VLOOKUP(Main_M[[#This Row],[Industry]], Mean_PE_M, 3, FALSE))</f>
        <v>-0.2841398442708124</v>
      </c>
      <c r="U1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4" spans="1:26" x14ac:dyDescent="0.25">
      <c r="A164" s="67" t="s">
        <v>214</v>
      </c>
      <c r="B164" s="67" t="s">
        <v>411</v>
      </c>
      <c r="C164" s="2">
        <v>7055</v>
      </c>
      <c r="D164">
        <f>RTD("tos.rtd", , "LAST", Main_M[[#This Row],[Symbol]])</f>
        <v>73.83</v>
      </c>
      <c r="E164">
        <v>6.42</v>
      </c>
      <c r="F164">
        <v>17.48</v>
      </c>
      <c r="G164">
        <v>3.03</v>
      </c>
      <c r="H164" s="1">
        <f>IF(ISNUMBER(Main_M[[#This Row],[Free CF]]),IF(Main_M[[#This Row],[Free CF]]&lt;&gt;0,Main_M[[#This Row],[Current Price]]/Main_M[[#This Row],[Free CF]],""),"")</f>
        <v>11.5</v>
      </c>
      <c r="I164" s="1">
        <f>IF(ISNUMBER(Main_M[[#This Row],[BVPS]]),IF(Main_M[[#This Row],[BVPS]]&lt;&gt;0,Main_M[[#This Row],[Current Price]]/Main_M[[#This Row],[BVPS]],""),"")</f>
        <v>4.2236842105263159</v>
      </c>
      <c r="J164">
        <v>17.989999999999998</v>
      </c>
      <c r="K164">
        <v>4.05</v>
      </c>
      <c r="L164">
        <v>3.57</v>
      </c>
      <c r="M164" s="1">
        <f>IF(ISNUMBER(Main_M[[#This Row],[EPS]]),IF(Main_M[[#This Row],[EPS]]&lt;&gt;0,Main_M[[#This Row],[Current Price]]/Main_M[[#This Row],[EPS]],""),"")</f>
        <v>24.366336633663366</v>
      </c>
      <c r="N1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4" s="1">
        <f>(Main_M[[#This Row],[P/FCF]]-VLOOKUP(Main_M[[#This Row],[Industry]], Mean_PFCF_M, 2, FALSE))/(VLOOKUP(Main_M[[#This Row],[Industry]], Mean_PFCF_M, 3, FALSE))</f>
        <v>0.61147177022459209</v>
      </c>
      <c r="P164" s="1">
        <f>(Main_M[[#This Row],[P/B]]-VLOOKUP(Main_M[[#This Row],[Industry]], Mean_PB_M, 2, FALSE))/(VLOOKUP(Main_M[[#This Row],[Industry]], Mean_PB_M, 3, FALSE))</f>
        <v>1.1864003006946848</v>
      </c>
      <c r="Q164" s="1">
        <f>(Main_M[[#This Row],[ROE]]-VLOOKUP(Main_M[[#This Row],[Industry]], Mean_ROE_M, 2, FALSE))/(VLOOKUP(Main_M[[#This Row],[Industry]], Mean_ROE_M, 3, FALSE))</f>
        <v>0.72804505091924365</v>
      </c>
      <c r="R164" s="1">
        <f>(Main_M[[#This Row],[ROA]]-VLOOKUP(Main_M[[#This Row],[Industry]], Mean_ROA_M, 2, FALSE))/(VLOOKUP(Main_M[[#This Row],[Industry]], Mean_ROA_M, 3, FALSE))</f>
        <v>1.1755697650084136</v>
      </c>
      <c r="S164" s="1">
        <f>(Main_M[[#This Row],[A/E]]-VLOOKUP(Main_M[[#This Row],[Industry]], Mean_AE_M, 2, FALSE))/(VLOOKUP(Main_M[[#This Row],[Industry]], Mean_AE_M, 3, FALSE))</f>
        <v>-0.48128252478631317</v>
      </c>
      <c r="T164" s="1">
        <f>(Main_M[[#This Row],[P/E]]-VLOOKUP(Main_M[[#This Row],[Industry]], Mean_PE_M, 2, FALSE))/(VLOOKUP(Main_M[[#This Row],[Industry]], Mean_PE_M, 3, FALSE))</f>
        <v>0.94632971509233599</v>
      </c>
      <c r="U1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5" spans="1:26" x14ac:dyDescent="0.25">
      <c r="A165" s="67" t="s">
        <v>214</v>
      </c>
      <c r="B165" s="67" t="s">
        <v>656</v>
      </c>
      <c r="C165" s="2">
        <v>2235</v>
      </c>
      <c r="D165">
        <f>RTD("tos.rtd", , "LAST", Main_M[[#This Row],[Symbol]])</f>
        <v>21.06</v>
      </c>
      <c r="E165">
        <v>6.18</v>
      </c>
      <c r="F165">
        <v>23.59</v>
      </c>
      <c r="G165">
        <v>3.03</v>
      </c>
      <c r="H165" s="1">
        <f>IF(ISNUMBER(Main_M[[#This Row],[Free CF]]),IF(Main_M[[#This Row],[Free CF]]&lt;&gt;0,Main_M[[#This Row],[Current Price]]/Main_M[[#This Row],[Free CF]],""),"")</f>
        <v>3.407766990291262</v>
      </c>
      <c r="I165" s="1">
        <f>IF(ISNUMBER(Main_M[[#This Row],[BVPS]]),IF(Main_M[[#This Row],[BVPS]]&lt;&gt;0,Main_M[[#This Row],[Current Price]]/Main_M[[#This Row],[BVPS]],""),"")</f>
        <v>0.89275116574819835</v>
      </c>
      <c r="J165">
        <v>21.99</v>
      </c>
      <c r="K165">
        <v>4.42</v>
      </c>
      <c r="L165">
        <v>3.48</v>
      </c>
      <c r="M165" s="1">
        <f>IF(ISNUMBER(Main_M[[#This Row],[EPS]]),IF(Main_M[[#This Row],[EPS]]&lt;&gt;0,Main_M[[#This Row],[Current Price]]/Main_M[[#This Row],[EPS]],""),"")</f>
        <v>6.9504950495049505</v>
      </c>
      <c r="N1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5" s="1">
        <f>(Main_M[[#This Row],[P/FCF]]-VLOOKUP(Main_M[[#This Row],[Industry]], Mean_PFCF_M, 2, FALSE))/(VLOOKUP(Main_M[[#This Row],[Industry]], Mean_PFCF_M, 3, FALSE))</f>
        <v>-0.80445259235604205</v>
      </c>
      <c r="P165" s="1">
        <f>(Main_M[[#This Row],[P/B]]-VLOOKUP(Main_M[[#This Row],[Industry]], Mean_PB_M, 2, FALSE))/(VLOOKUP(Main_M[[#This Row],[Industry]], Mean_PB_M, 3, FALSE))</f>
        <v>-0.77977858666388267</v>
      </c>
      <c r="Q165" s="1">
        <f>(Main_M[[#This Row],[ROE]]-VLOOKUP(Main_M[[#This Row],[Industry]], Mean_ROE_M, 2, FALSE))/(VLOOKUP(Main_M[[#This Row],[Industry]], Mean_ROE_M, 3, FALSE))</f>
        <v>1.2596655085966471</v>
      </c>
      <c r="R165" s="1">
        <f>(Main_M[[#This Row],[ROA]]-VLOOKUP(Main_M[[#This Row],[Industry]], Mean_ROA_M, 2, FALSE))/(VLOOKUP(Main_M[[#This Row],[Industry]], Mean_ROA_M, 3, FALSE))</f>
        <v>1.4408475425184806</v>
      </c>
      <c r="S165" s="1">
        <f>(Main_M[[#This Row],[A/E]]-VLOOKUP(Main_M[[#This Row],[Industry]], Mean_AE_M, 2, FALSE))/(VLOOKUP(Main_M[[#This Row],[Industry]], Mean_AE_M, 3, FALSE))</f>
        <v>-0.53146258413613723</v>
      </c>
      <c r="T165" s="1">
        <f>(Main_M[[#This Row],[P/E]]-VLOOKUP(Main_M[[#This Row],[Industry]], Mean_PE_M, 2, FALSE))/(VLOOKUP(Main_M[[#This Row],[Industry]], Mean_PE_M, 3, FALSE))</f>
        <v>-0.98203565737950838</v>
      </c>
      <c r="U1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6" spans="1:26" x14ac:dyDescent="0.25">
      <c r="A166" s="67" t="s">
        <v>214</v>
      </c>
      <c r="B166" s="67" t="s">
        <v>404</v>
      </c>
      <c r="C166" s="2">
        <v>5743</v>
      </c>
      <c r="D166">
        <f>RTD("tos.rtd", , "LAST", Main_M[[#This Row],[Symbol]])</f>
        <v>56.32</v>
      </c>
      <c r="E166">
        <v>5.46</v>
      </c>
      <c r="F166">
        <v>48.64</v>
      </c>
      <c r="G166">
        <v>1.52</v>
      </c>
      <c r="H166" s="1">
        <f>IF(ISNUMBER(Main_M[[#This Row],[Free CF]]),IF(Main_M[[#This Row],[Free CF]]&lt;&gt;0,Main_M[[#This Row],[Current Price]]/Main_M[[#This Row],[Free CF]],""),"")</f>
        <v>10.315018315018316</v>
      </c>
      <c r="I166" s="1">
        <f>IF(ISNUMBER(Main_M[[#This Row],[BVPS]]),IF(Main_M[[#This Row],[BVPS]]&lt;&gt;0,Main_M[[#This Row],[Current Price]]/Main_M[[#This Row],[BVPS]],""),"")</f>
        <v>1.1578947368421053</v>
      </c>
      <c r="J166">
        <v>3.26</v>
      </c>
      <c r="K166">
        <v>1.47</v>
      </c>
      <c r="L166">
        <v>3.09</v>
      </c>
      <c r="M166" s="1">
        <f>IF(ISNUMBER(Main_M[[#This Row],[EPS]]),IF(Main_M[[#This Row],[EPS]]&lt;&gt;0,Main_M[[#This Row],[Current Price]]/Main_M[[#This Row],[EPS]],""),"")</f>
        <v>37.05263157894737</v>
      </c>
      <c r="N1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6" s="1">
        <f>(Main_M[[#This Row],[P/FCF]]-VLOOKUP(Main_M[[#This Row],[Industry]], Mean_PFCF_M, 2, FALSE))/(VLOOKUP(Main_M[[#This Row],[Industry]], Mean_PFCF_M, 3, FALSE))</f>
        <v>0.40413166583506122</v>
      </c>
      <c r="P166" s="1">
        <f>(Main_M[[#This Row],[P/B]]-VLOOKUP(Main_M[[#This Row],[Industry]], Mean_PB_M, 2, FALSE))/(VLOOKUP(Main_M[[#This Row],[Industry]], Mean_PB_M, 3, FALSE))</f>
        <v>-0.62326997943715834</v>
      </c>
      <c r="Q166" s="1">
        <f>(Main_M[[#This Row],[ROE]]-VLOOKUP(Main_M[[#This Row],[Industry]], Mean_ROE_M, 2, FALSE))/(VLOOKUP(Main_M[[#This Row],[Industry]], Mean_ROE_M, 3, FALSE))</f>
        <v>-1.2296472844777941</v>
      </c>
      <c r="R166" s="1">
        <f>(Main_M[[#This Row],[ROA]]-VLOOKUP(Main_M[[#This Row],[Industry]], Mean_ROA_M, 2, FALSE))/(VLOOKUP(Main_M[[#This Row],[Industry]], Mean_ROA_M, 3, FALSE))</f>
        <v>-0.67420500789961957</v>
      </c>
      <c r="S166" s="1">
        <f>(Main_M[[#This Row],[A/E]]-VLOOKUP(Main_M[[#This Row],[Industry]], Mean_AE_M, 2, FALSE))/(VLOOKUP(Main_M[[#This Row],[Industry]], Mean_AE_M, 3, FALSE))</f>
        <v>-0.74890950798537559</v>
      </c>
      <c r="T166" s="1">
        <f>(Main_M[[#This Row],[P/E]]-VLOOKUP(Main_M[[#This Row],[Industry]], Mean_PE_M, 2, FALSE))/(VLOOKUP(Main_M[[#This Row],[Industry]], Mean_PE_M, 3, FALSE))</f>
        <v>2.3510170372199521</v>
      </c>
      <c r="U1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7" spans="1:26" x14ac:dyDescent="0.25">
      <c r="A167" s="67" t="s">
        <v>214</v>
      </c>
      <c r="B167" s="67" t="s">
        <v>409</v>
      </c>
      <c r="C167" s="2">
        <v>9343</v>
      </c>
      <c r="D167">
        <f>RTD("tos.rtd", , "LAST", Main_M[[#This Row],[Symbol]])</f>
        <v>36.700000000000003</v>
      </c>
      <c r="E167">
        <v>5.2</v>
      </c>
      <c r="F167">
        <v>24.27</v>
      </c>
      <c r="G167">
        <v>3.04</v>
      </c>
      <c r="H167" s="1">
        <f>IF(ISNUMBER(Main_M[[#This Row],[Free CF]]),IF(Main_M[[#This Row],[Free CF]]&lt;&gt;0,Main_M[[#This Row],[Current Price]]/Main_M[[#This Row],[Free CF]],""),"")</f>
        <v>7.0576923076923084</v>
      </c>
      <c r="I167" s="1">
        <f>IF(ISNUMBER(Main_M[[#This Row],[BVPS]]),IF(Main_M[[#This Row],[BVPS]]&lt;&gt;0,Main_M[[#This Row],[Current Price]]/Main_M[[#This Row],[BVPS]],""),"")</f>
        <v>1.5121549237742069</v>
      </c>
      <c r="J167">
        <v>12.67</v>
      </c>
      <c r="K167">
        <v>2.4</v>
      </c>
      <c r="L167">
        <v>4.74</v>
      </c>
      <c r="M167" s="1">
        <f>IF(ISNUMBER(Main_M[[#This Row],[EPS]]),IF(Main_M[[#This Row],[EPS]]&lt;&gt;0,Main_M[[#This Row],[Current Price]]/Main_M[[#This Row],[EPS]],""),"")</f>
        <v>12.072368421052632</v>
      </c>
      <c r="N1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7" s="1">
        <f>(Main_M[[#This Row],[P/FCF]]-VLOOKUP(Main_M[[#This Row],[Industry]], Mean_PFCF_M, 2, FALSE))/(VLOOKUP(Main_M[[#This Row],[Industry]], Mean_PFCF_M, 3, FALSE))</f>
        <v>-0.16581327335625382</v>
      </c>
      <c r="P167" s="1">
        <f>(Main_M[[#This Row],[P/B]]-VLOOKUP(Main_M[[#This Row],[Industry]], Mean_PB_M, 2, FALSE))/(VLOOKUP(Main_M[[#This Row],[Industry]], Mean_PB_M, 3, FALSE))</f>
        <v>-0.41415773046248827</v>
      </c>
      <c r="Q167" s="1">
        <f>(Main_M[[#This Row],[ROE]]-VLOOKUP(Main_M[[#This Row],[Industry]], Mean_ROE_M, 2, FALSE))/(VLOOKUP(Main_M[[#This Row],[Industry]], Mean_ROE_M, 3, FALSE))</f>
        <v>2.0989842208297339E-2</v>
      </c>
      <c r="R167" s="1">
        <f>(Main_M[[#This Row],[ROA]]-VLOOKUP(Main_M[[#This Row],[Industry]], Mean_ROA_M, 2, FALSE))/(VLOOKUP(Main_M[[#This Row],[Industry]], Mean_ROA_M, 3, FALSE))</f>
        <v>-7.4257292932355294E-3</v>
      </c>
      <c r="S167" s="1">
        <f>(Main_M[[#This Row],[A/E]]-VLOOKUP(Main_M[[#This Row],[Industry]], Mean_AE_M, 2, FALSE))/(VLOOKUP(Main_M[[#This Row],[Industry]], Mean_AE_M, 3, FALSE))</f>
        <v>0.17105824676140169</v>
      </c>
      <c r="T167" s="1">
        <f>(Main_M[[#This Row],[P/E]]-VLOOKUP(Main_M[[#This Row],[Industry]], Mean_PE_M, 2, FALSE))/(VLOOKUP(Main_M[[#This Row],[Industry]], Mean_PE_M, 3, FALSE))</f>
        <v>-0.41491731261561132</v>
      </c>
      <c r="U1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8" spans="1:26" x14ac:dyDescent="0.25">
      <c r="A168" s="67" t="s">
        <v>214</v>
      </c>
      <c r="B168" s="67" t="s">
        <v>400</v>
      </c>
      <c r="C168" s="2">
        <v>3515</v>
      </c>
      <c r="D168">
        <f>RTD("tos.rtd", , "LAST", Main_M[[#This Row],[Symbol]])</f>
        <v>14.76</v>
      </c>
      <c r="E168">
        <v>4.8600000000000003</v>
      </c>
      <c r="F168">
        <v>5.27</v>
      </c>
      <c r="G168">
        <v>0.46</v>
      </c>
      <c r="H168" s="1">
        <f>IF(ISNUMBER(Main_M[[#This Row],[Free CF]]),IF(Main_M[[#This Row],[Free CF]]&lt;&gt;0,Main_M[[#This Row],[Current Price]]/Main_M[[#This Row],[Free CF]],""),"")</f>
        <v>3.0370370370370368</v>
      </c>
      <c r="I168" s="1">
        <f>IF(ISNUMBER(Main_M[[#This Row],[BVPS]]),IF(Main_M[[#This Row],[BVPS]]&lt;&gt;0,Main_M[[#This Row],[Current Price]]/Main_M[[#This Row],[BVPS]],""),"")</f>
        <v>2.8007590132827325</v>
      </c>
      <c r="J168">
        <v>10.48</v>
      </c>
      <c r="K168">
        <v>2.06</v>
      </c>
      <c r="L168">
        <v>4.38</v>
      </c>
      <c r="M168" s="1">
        <f>IF(ISNUMBER(Main_M[[#This Row],[EPS]]),IF(Main_M[[#This Row],[EPS]]&lt;&gt;0,Main_M[[#This Row],[Current Price]]/Main_M[[#This Row],[EPS]],""),"")</f>
        <v>32.086956521739125</v>
      </c>
      <c r="N1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8" s="1">
        <f>(Main_M[[#This Row],[P/FCF]]-VLOOKUP(Main_M[[#This Row],[Industry]], Mean_PFCF_M, 2, FALSE))/(VLOOKUP(Main_M[[#This Row],[Industry]], Mean_PFCF_M, 3, FALSE))</f>
        <v>-0.86932041958262507</v>
      </c>
      <c r="P168" s="1">
        <f>(Main_M[[#This Row],[P/B]]-VLOOKUP(Main_M[[#This Row],[Industry]], Mean_PB_M, 2, FALSE))/(VLOOKUP(Main_M[[#This Row],[Industry]], Mean_PB_M, 3, FALSE))</f>
        <v>0.34647783948015054</v>
      </c>
      <c r="Q168" s="1">
        <f>(Main_M[[#This Row],[ROE]]-VLOOKUP(Main_M[[#This Row],[Industry]], Mean_ROE_M, 2, FALSE))/(VLOOKUP(Main_M[[#This Row],[Industry]], Mean_ROE_M, 3, FALSE))</f>
        <v>-0.27007235837008092</v>
      </c>
      <c r="R168" s="1">
        <f>(Main_M[[#This Row],[ROA]]-VLOOKUP(Main_M[[#This Row],[Industry]], Mean_ROA_M, 2, FALSE))/(VLOOKUP(Main_M[[#This Row],[Industry]], Mean_ROA_M, 3, FALSE))</f>
        <v>-0.25119449781599951</v>
      </c>
      <c r="S168" s="1">
        <f>(Main_M[[#This Row],[A/E]]-VLOOKUP(Main_M[[#This Row],[Industry]], Mean_AE_M, 2, FALSE))/(VLOOKUP(Main_M[[#This Row],[Industry]], Mean_AE_M, 3, FALSE))</f>
        <v>-2.9661990637895295E-2</v>
      </c>
      <c r="T168" s="1">
        <f>(Main_M[[#This Row],[P/E]]-VLOOKUP(Main_M[[#This Row],[Industry]], Mean_PE_M, 2, FALSE))/(VLOOKUP(Main_M[[#This Row],[Industry]], Mean_PE_M, 3, FALSE))</f>
        <v>1.8011937177441024</v>
      </c>
      <c r="U1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9" spans="1:26" x14ac:dyDescent="0.25">
      <c r="A169" s="67" t="s">
        <v>214</v>
      </c>
      <c r="B169" s="67" t="s">
        <v>395</v>
      </c>
      <c r="C169" s="2">
        <v>3434</v>
      </c>
      <c r="D169">
        <f>RTD("tos.rtd", , "LAST", Main_M[[#This Row],[Symbol]])</f>
        <v>58.89</v>
      </c>
      <c r="E169">
        <v>4.7300000000000004</v>
      </c>
      <c r="F169">
        <v>90.53</v>
      </c>
      <c r="G169">
        <v>8.4499999999999993</v>
      </c>
      <c r="H169" s="1">
        <f>IF(ISNUMBER(Main_M[[#This Row],[Free CF]]),IF(Main_M[[#This Row],[Free CF]]&lt;&gt;0,Main_M[[#This Row],[Current Price]]/Main_M[[#This Row],[Free CF]],""),"")</f>
        <v>12.450317124735728</v>
      </c>
      <c r="I169" s="1">
        <f>IF(ISNUMBER(Main_M[[#This Row],[BVPS]]),IF(Main_M[[#This Row],[BVPS]]&lt;&gt;0,Main_M[[#This Row],[Current Price]]/Main_M[[#This Row],[BVPS]],""),"")</f>
        <v>0.65050259582458858</v>
      </c>
      <c r="J169">
        <v>12.92</v>
      </c>
      <c r="K169">
        <v>0.63</v>
      </c>
      <c r="L169">
        <v>44.8</v>
      </c>
      <c r="M169" s="1">
        <f>IF(ISNUMBER(Main_M[[#This Row],[EPS]]),IF(Main_M[[#This Row],[EPS]]&lt;&gt;0,Main_M[[#This Row],[Current Price]]/Main_M[[#This Row],[EPS]],""),"")</f>
        <v>6.9692307692307702</v>
      </c>
      <c r="N1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9" s="1">
        <f>(Main_M[[#This Row],[P/FCF]]-VLOOKUP(Main_M[[#This Row],[Industry]], Mean_PFCF_M, 2, FALSE))/(VLOOKUP(Main_M[[#This Row],[Industry]], Mean_PFCF_M, 3, FALSE))</f>
        <v>0.77775185230781019</v>
      </c>
      <c r="P169" s="1">
        <f>(Main_M[[#This Row],[P/B]]-VLOOKUP(Main_M[[#This Row],[Industry]], Mean_PB_M, 2, FALSE))/(VLOOKUP(Main_M[[#This Row],[Industry]], Mean_PB_M, 3, FALSE))</f>
        <v>-0.92277276195158642</v>
      </c>
      <c r="Q169" s="1">
        <f>(Main_M[[#This Row],[ROE]]-VLOOKUP(Main_M[[#This Row],[Industry]], Mean_ROE_M, 2, FALSE))/(VLOOKUP(Main_M[[#This Row],[Industry]], Mean_ROE_M, 3, FALSE))</f>
        <v>5.4216120813135052E-2</v>
      </c>
      <c r="R169" s="1">
        <f>(Main_M[[#This Row],[ROA]]-VLOOKUP(Main_M[[#This Row],[Industry]], Mean_ROA_M, 2, FALSE))/(VLOOKUP(Main_M[[#This Row],[Industry]], Mean_ROA_M, 3, FALSE))</f>
        <v>-1.2764572595440957</v>
      </c>
      <c r="S169" s="1">
        <f>(Main_M[[#This Row],[A/E]]-VLOOKUP(Main_M[[#This Row],[Industry]], Mean_AE_M, 2, FALSE))/(VLOOKUP(Main_M[[#This Row],[Industry]], Mean_AE_M, 3, FALSE))</f>
        <v>22.50676021958315</v>
      </c>
      <c r="T169" s="1">
        <f>(Main_M[[#This Row],[P/E]]-VLOOKUP(Main_M[[#This Row],[Industry]], Mean_PE_M, 2, FALSE))/(VLOOKUP(Main_M[[#This Row],[Industry]], Mean_PE_M, 3, FALSE))</f>
        <v>-0.97996114877921914</v>
      </c>
      <c r="U1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0" spans="1:26" x14ac:dyDescent="0.25">
      <c r="A170" s="67" t="s">
        <v>214</v>
      </c>
      <c r="B170" s="67" t="s">
        <v>402</v>
      </c>
      <c r="C170" s="2">
        <v>4143</v>
      </c>
      <c r="D170">
        <f>RTD("tos.rtd", , "LAST", Main_M[[#This Row],[Symbol]])</f>
        <v>83.97</v>
      </c>
      <c r="E170">
        <v>4.01</v>
      </c>
      <c r="F170">
        <v>112.86</v>
      </c>
      <c r="G170">
        <v>8.34</v>
      </c>
      <c r="H170" s="1">
        <f>IF(ISNUMBER(Main_M[[#This Row],[Free CF]]),IF(Main_M[[#This Row],[Free CF]]&lt;&gt;0,Main_M[[#This Row],[Current Price]]/Main_M[[#This Row],[Free CF]],""),"")</f>
        <v>20.940149625935163</v>
      </c>
      <c r="I170" s="1">
        <f>IF(ISNUMBER(Main_M[[#This Row],[BVPS]]),IF(Main_M[[#This Row],[BVPS]]&lt;&gt;0,Main_M[[#This Row],[Current Price]]/Main_M[[#This Row],[BVPS]],""),"")</f>
        <v>0.7440191387559808</v>
      </c>
      <c r="J170">
        <v>8.18</v>
      </c>
      <c r="K170">
        <v>2.54</v>
      </c>
      <c r="L170">
        <v>2.14</v>
      </c>
      <c r="M170" s="1">
        <f>IF(ISNUMBER(Main_M[[#This Row],[EPS]]),IF(Main_M[[#This Row],[EPS]]&lt;&gt;0,Main_M[[#This Row],[Current Price]]/Main_M[[#This Row],[EPS]],""),"")</f>
        <v>10.068345323741008</v>
      </c>
      <c r="N1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0" s="1">
        <f>(Main_M[[#This Row],[P/FCF]]-VLOOKUP(Main_M[[#This Row],[Industry]], Mean_PFCF_M, 2, FALSE))/(VLOOKUP(Main_M[[#This Row],[Industry]], Mean_PFCF_M, 3, FALSE))</f>
        <v>2.2632454927226244</v>
      </c>
      <c r="P170" s="1">
        <f>(Main_M[[#This Row],[P/B]]-VLOOKUP(Main_M[[#This Row],[Industry]], Mean_PB_M, 2, FALSE))/(VLOOKUP(Main_M[[#This Row],[Industry]], Mean_PB_M, 3, FALSE))</f>
        <v>-0.86757193687984968</v>
      </c>
      <c r="Q170" s="1">
        <f>(Main_M[[#This Row],[ROE]]-VLOOKUP(Main_M[[#This Row],[Industry]], Mean_ROE_M, 2, FALSE))/(VLOOKUP(Main_M[[#This Row],[Industry]], Mean_ROE_M, 3, FALSE))</f>
        <v>-0.57575412153458794</v>
      </c>
      <c r="R170" s="1">
        <f>(Main_M[[#This Row],[ROA]]-VLOOKUP(Main_M[[#This Row],[Industry]], Mean_ROA_M, 2, FALSE))/(VLOOKUP(Main_M[[#This Row],[Industry]], Mean_ROA_M, 3, FALSE))</f>
        <v>9.294964598084389E-2</v>
      </c>
      <c r="S170" s="1">
        <f>(Main_M[[#This Row],[A/E]]-VLOOKUP(Main_M[[#This Row],[Industry]], Mean_AE_M, 2, FALSE))/(VLOOKUP(Main_M[[#This Row],[Industry]], Mean_AE_M, 3, FALSE))</f>
        <v>-1.2785879122335198</v>
      </c>
      <c r="T170" s="1">
        <f>(Main_M[[#This Row],[P/E]]-VLOOKUP(Main_M[[#This Row],[Industry]], Mean_PE_M, 2, FALSE))/(VLOOKUP(Main_M[[#This Row],[Industry]], Mean_PE_M, 3, FALSE))</f>
        <v>-0.63681234581370139</v>
      </c>
      <c r="U1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1" spans="1:26" x14ac:dyDescent="0.25">
      <c r="A171" s="67" t="s">
        <v>214</v>
      </c>
      <c r="B171" s="67" t="s">
        <v>394</v>
      </c>
      <c r="C171" s="2">
        <v>9064</v>
      </c>
      <c r="D171">
        <f>RTD("tos.rtd", , "LAST", Main_M[[#This Row],[Symbol]])</f>
        <v>66.260000000000005</v>
      </c>
      <c r="E171">
        <v>3.52</v>
      </c>
      <c r="F171">
        <v>4.3</v>
      </c>
      <c r="G171">
        <v>0.27</v>
      </c>
      <c r="H171" s="1">
        <f>IF(ISNUMBER(Main_M[[#This Row],[Free CF]]),IF(Main_M[[#This Row],[Free CF]]&lt;&gt;0,Main_M[[#This Row],[Current Price]]/Main_M[[#This Row],[Free CF]],""),"")</f>
        <v>18.823863636363637</v>
      </c>
      <c r="I171" s="1">
        <f>IF(ISNUMBER(Main_M[[#This Row],[BVPS]]),IF(Main_M[[#This Row],[BVPS]]&lt;&gt;0,Main_M[[#This Row],[Current Price]]/Main_M[[#This Row],[BVPS]],""),"")</f>
        <v>15.409302325581397</v>
      </c>
      <c r="J171">
        <v>18.190000000000001</v>
      </c>
      <c r="K171">
        <v>3.68</v>
      </c>
      <c r="L171">
        <v>18.23</v>
      </c>
      <c r="M171" s="1">
        <f>IF(ISNUMBER(Main_M[[#This Row],[EPS]]),IF(Main_M[[#This Row],[EPS]]&lt;&gt;0,Main_M[[#This Row],[Current Price]]/Main_M[[#This Row],[EPS]],""),"")</f>
        <v>245.40740740740742</v>
      </c>
      <c r="N1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1" s="1">
        <f>(Main_M[[#This Row],[P/FCF]]-VLOOKUP(Main_M[[#This Row],[Industry]], Mean_PFCF_M, 2, FALSE))/(VLOOKUP(Main_M[[#This Row],[Industry]], Mean_PFCF_M, 3, FALSE))</f>
        <v>1.89295204130726</v>
      </c>
      <c r="P171" s="1">
        <f>(Main_M[[#This Row],[P/B]]-VLOOKUP(Main_M[[#This Row],[Industry]], Mean_PB_M, 2, FALSE))/(VLOOKUP(Main_M[[#This Row],[Industry]], Mean_PB_M, 3, FALSE))</f>
        <v>7.7890326214959105</v>
      </c>
      <c r="Q171" s="1">
        <f>(Main_M[[#This Row],[ROE]]-VLOOKUP(Main_M[[#This Row],[Industry]], Mean_ROE_M, 2, FALSE))/(VLOOKUP(Main_M[[#This Row],[Industry]], Mean_ROE_M, 3, FALSE))</f>
        <v>0.75462607380311419</v>
      </c>
      <c r="R171" s="1">
        <f>(Main_M[[#This Row],[ROA]]-VLOOKUP(Main_M[[#This Row],[Industry]], Mean_ROA_M, 2, FALSE))/(VLOOKUP(Main_M[[#This Row],[Industry]], Mean_ROA_M, 3, FALSE))</f>
        <v>0.91029198749834705</v>
      </c>
      <c r="S171" s="1">
        <f>(Main_M[[#This Row],[A/E]]-VLOOKUP(Main_M[[#This Row],[Industry]], Mean_AE_M, 2, FALSE))/(VLOOKUP(Main_M[[#This Row],[Industry]], Mean_AE_M, 3, FALSE))</f>
        <v>7.6924915870850512</v>
      </c>
      <c r="T171" s="1">
        <f>(Main_M[[#This Row],[P/E]]-VLOOKUP(Main_M[[#This Row],[Industry]], Mean_PE_M, 2, FALSE))/(VLOOKUP(Main_M[[#This Row],[Industry]], Mean_PE_M, 3, FALSE))</f>
        <v>25.421055482114969</v>
      </c>
      <c r="U1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2" spans="1:26" x14ac:dyDescent="0.25">
      <c r="A172" s="67" t="s">
        <v>214</v>
      </c>
      <c r="B172" s="67" t="s">
        <v>393</v>
      </c>
      <c r="C172" s="2">
        <v>2713</v>
      </c>
      <c r="D172">
        <f>RTD("tos.rtd", , "LAST", Main_M[[#This Row],[Symbol]])</f>
        <v>108.7</v>
      </c>
      <c r="E172">
        <v>2.5299999999999998</v>
      </c>
      <c r="F172">
        <v>-3.53</v>
      </c>
      <c r="G172">
        <v>1.26</v>
      </c>
      <c r="H172" s="1">
        <f>IF(ISNUMBER(Main_M[[#This Row],[Free CF]]),IF(Main_M[[#This Row],[Free CF]]&lt;&gt;0,Main_M[[#This Row],[Current Price]]/Main_M[[#This Row],[Free CF]],""),"")</f>
        <v>42.964426877470359</v>
      </c>
      <c r="I172" s="1">
        <f>IF(ISNUMBER(Main_M[[#This Row],[BVPS]]),IF(Main_M[[#This Row],[BVPS]]&lt;&gt;0,Main_M[[#This Row],[Current Price]]/Main_M[[#This Row],[BVPS]],""),"")</f>
        <v>-30.793201133144478</v>
      </c>
      <c r="J172">
        <v>-85.18</v>
      </c>
      <c r="K172">
        <v>10.5</v>
      </c>
      <c r="L172">
        <v>-4.66</v>
      </c>
      <c r="M172" s="1">
        <f>IF(ISNUMBER(Main_M[[#This Row],[EPS]]),IF(Main_M[[#This Row],[EPS]]&lt;&gt;0,Main_M[[#This Row],[Current Price]]/Main_M[[#This Row],[EPS]],""),"")</f>
        <v>86.269841269841265</v>
      </c>
      <c r="N1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2" s="1">
        <f>(Main_M[[#This Row],[P/FCF]]-VLOOKUP(Main_M[[#This Row],[Industry]], Mean_PFCF_M, 2, FALSE))/(VLOOKUP(Main_M[[#This Row],[Industry]], Mean_PFCF_M, 3, FALSE))</f>
        <v>6.116905006884533</v>
      </c>
      <c r="P172" s="1">
        <f>(Main_M[[#This Row],[P/B]]-VLOOKUP(Main_M[[#This Row],[Industry]], Mean_PB_M, 2, FALSE))/(VLOOKUP(Main_M[[#This Row],[Industry]], Mean_PB_M, 3, FALSE))</f>
        <v>-19.48332188772217</v>
      </c>
      <c r="Q172" s="1">
        <f>(Main_M[[#This Row],[ROE]]-VLOOKUP(Main_M[[#This Row],[Industry]], Mean_ROE_M, 2, FALSE))/(VLOOKUP(Main_M[[#This Row],[Industry]], Mean_ROE_M, 3, FALSE))</f>
        <v>-12.983775603725183</v>
      </c>
      <c r="R172" s="1">
        <f>(Main_M[[#This Row],[ROA]]-VLOOKUP(Main_M[[#This Row],[Industry]], Mean_ROA_M, 2, FALSE))/(VLOOKUP(Main_M[[#This Row],[Industry]], Mean_ROA_M, 3, FALSE))</f>
        <v>5.8000066972784969</v>
      </c>
      <c r="S172" s="1">
        <f>(Main_M[[#This Row],[A/E]]-VLOOKUP(Main_M[[#This Row],[Industry]], Mean_AE_M, 2, FALSE))/(VLOOKUP(Main_M[[#This Row],[Industry]], Mean_AE_M, 3, FALSE))</f>
        <v>-5.0699701742202379</v>
      </c>
      <c r="T172" s="1">
        <f>(Main_M[[#This Row],[P/E]]-VLOOKUP(Main_M[[#This Row],[Industry]], Mean_PE_M, 2, FALSE))/(VLOOKUP(Main_M[[#This Row],[Industry]], Mean_PE_M, 3, FALSE))</f>
        <v>7.8005821609596637</v>
      </c>
      <c r="U1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3" spans="1:26" x14ac:dyDescent="0.25">
      <c r="A173" s="67" t="s">
        <v>214</v>
      </c>
      <c r="B173" s="67" t="s">
        <v>697</v>
      </c>
      <c r="C173" s="2">
        <v>6221</v>
      </c>
      <c r="D173">
        <f>RTD("tos.rtd", , "LAST", Main_M[[#This Row],[Symbol]])</f>
        <v>53.68</v>
      </c>
      <c r="E173">
        <v>1.87</v>
      </c>
      <c r="F173">
        <v>20.62</v>
      </c>
      <c r="G173">
        <v>2.5</v>
      </c>
      <c r="H173" s="1">
        <f>IF(ISNUMBER(Main_M[[#This Row],[Free CF]]),IF(Main_M[[#This Row],[Free CF]]&lt;&gt;0,Main_M[[#This Row],[Current Price]]/Main_M[[#This Row],[Free CF]],""),"")</f>
        <v>28.705882352941174</v>
      </c>
      <c r="I173" s="1">
        <f>IF(ISNUMBER(Main_M[[#This Row],[BVPS]]),IF(Main_M[[#This Row],[BVPS]]&lt;&gt;0,Main_M[[#This Row],[Current Price]]/Main_M[[#This Row],[BVPS]],""),"")</f>
        <v>2.6032977691561587</v>
      </c>
      <c r="J173">
        <v>12.65</v>
      </c>
      <c r="K173">
        <v>4.7699999999999996</v>
      </c>
      <c r="L173">
        <v>2.31</v>
      </c>
      <c r="M173" s="1">
        <f>IF(ISNUMBER(Main_M[[#This Row],[EPS]]),IF(Main_M[[#This Row],[EPS]]&lt;&gt;0,Main_M[[#This Row],[Current Price]]/Main_M[[#This Row],[EPS]],""),"")</f>
        <v>21.472000000000001</v>
      </c>
      <c r="N1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3" s="1">
        <f>(Main_M[[#This Row],[P/FCF]]-VLOOKUP(Main_M[[#This Row],[Industry]], Mean_PFCF_M, 2, FALSE))/(VLOOKUP(Main_M[[#This Row],[Industry]], Mean_PFCF_M, 3, FALSE))</f>
        <v>3.6220410375698089</v>
      </c>
      <c r="P173" s="1">
        <f>(Main_M[[#This Row],[P/B]]-VLOOKUP(Main_M[[#This Row],[Industry]], Mean_PB_M, 2, FALSE))/(VLOOKUP(Main_M[[#This Row],[Industry]], Mean_PB_M, 3, FALSE))</f>
        <v>0.22992066944580447</v>
      </c>
      <c r="Q173" s="1">
        <f>(Main_M[[#This Row],[ROE]]-VLOOKUP(Main_M[[#This Row],[Industry]], Mean_ROE_M, 2, FALSE))/(VLOOKUP(Main_M[[#This Row],[Industry]], Mean_ROE_M, 3, FALSE))</f>
        <v>1.833173991991038E-2</v>
      </c>
      <c r="R173" s="1">
        <f>(Main_M[[#This Row],[ROA]]-VLOOKUP(Main_M[[#This Row],[Industry]], Mean_ROA_M, 2, FALSE))/(VLOOKUP(Main_M[[#This Row],[Industry]], Mean_ROA_M, 3, FALSE))</f>
        <v>1.6917859807036786</v>
      </c>
      <c r="S173" s="1">
        <f>(Main_M[[#This Row],[A/E]]-VLOOKUP(Main_M[[#This Row],[Industry]], Mean_AE_M, 2, FALSE))/(VLOOKUP(Main_M[[#This Row],[Industry]], Mean_AE_M, 3, FALSE))</f>
        <v>-1.1838033556838519</v>
      </c>
      <c r="T173" s="1">
        <f>(Main_M[[#This Row],[P/E]]-VLOOKUP(Main_M[[#This Row],[Industry]], Mean_PE_M, 2, FALSE))/(VLOOKUP(Main_M[[#This Row],[Industry]], Mean_PE_M, 3, FALSE))</f>
        <v>0.62585490406109723</v>
      </c>
      <c r="U1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4" spans="1:26" x14ac:dyDescent="0.25">
      <c r="A174" s="67" t="s">
        <v>214</v>
      </c>
      <c r="B174" s="67" t="s">
        <v>665</v>
      </c>
      <c r="C174" s="2">
        <v>2019</v>
      </c>
      <c r="D174">
        <f>RTD("tos.rtd", , "LAST", Main_M[[#This Row],[Symbol]])</f>
        <v>51.02</v>
      </c>
      <c r="E174">
        <v>1.26</v>
      </c>
      <c r="F174">
        <v>7.8</v>
      </c>
      <c r="G174">
        <v>-0.1</v>
      </c>
      <c r="H174" s="1">
        <f>IF(ISNUMBER(Main_M[[#This Row],[Free CF]]),IF(Main_M[[#This Row],[Free CF]]&lt;&gt;0,Main_M[[#This Row],[Current Price]]/Main_M[[#This Row],[Free CF]],""),"")</f>
        <v>40.492063492063494</v>
      </c>
      <c r="I174" s="1">
        <f>IF(ISNUMBER(Main_M[[#This Row],[BVPS]]),IF(Main_M[[#This Row],[BVPS]]&lt;&gt;0,Main_M[[#This Row],[Current Price]]/Main_M[[#This Row],[BVPS]],""),"")</f>
        <v>6.5410256410256418</v>
      </c>
      <c r="J174">
        <v>-1.34</v>
      </c>
      <c r="K174">
        <v>0.06</v>
      </c>
      <c r="L174">
        <v>2.5099999999999998</v>
      </c>
      <c r="M174" s="1">
        <f>IF(ISNUMBER(Main_M[[#This Row],[EPS]]),IF(Main_M[[#This Row],[EPS]]&lt;&gt;0,Main_M[[#This Row],[Current Price]]/Main_M[[#This Row],[EPS]],""),"")</f>
        <v>-510.2</v>
      </c>
      <c r="N1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4" s="1">
        <f>(Main_M[[#This Row],[P/FCF]]-VLOOKUP(Main_M[[#This Row],[Industry]], Mean_PFCF_M, 2, FALSE))/(VLOOKUP(Main_M[[#This Row],[Industry]], Mean_PFCF_M, 3, FALSE))</f>
        <v>5.684307533931154</v>
      </c>
      <c r="P174" s="1">
        <f>(Main_M[[#This Row],[P/B]]-VLOOKUP(Main_M[[#This Row],[Industry]], Mean_PB_M, 2, FALSE))/(VLOOKUP(Main_M[[#This Row],[Industry]], Mean_PB_M, 3, FALSE))</f>
        <v>2.5542776294185301</v>
      </c>
      <c r="Q174" s="1">
        <f>(Main_M[[#This Row],[ROE]]-VLOOKUP(Main_M[[#This Row],[Industry]], Mean_ROE_M, 2, FALSE))/(VLOOKUP(Main_M[[#This Row],[Industry]], Mean_ROE_M, 3, FALSE))</f>
        <v>-1.841010810806808</v>
      </c>
      <c r="R174" s="1">
        <f>(Main_M[[#This Row],[ROA]]-VLOOKUP(Main_M[[#This Row],[Industry]], Mean_ROA_M, 2, FALSE))/(VLOOKUP(Main_M[[#This Row],[Industry]], Mean_ROA_M, 3, FALSE))</f>
        <v>-1.6851284303028471</v>
      </c>
      <c r="S174" s="1">
        <f>(Main_M[[#This Row],[A/E]]-VLOOKUP(Main_M[[#This Row],[Industry]], Mean_AE_M, 2, FALSE))/(VLOOKUP(Main_M[[#This Row],[Industry]], Mean_AE_M, 3, FALSE))</f>
        <v>-1.0722921126842426</v>
      </c>
      <c r="T174" s="1">
        <f>(Main_M[[#This Row],[P/E]]-VLOOKUP(Main_M[[#This Row],[Industry]], Mean_PE_M, 2, FALSE))/(VLOOKUP(Main_M[[#This Row],[Industry]], Mean_PE_M, 3, FALSE))</f>
        <v>-58.243414740963289</v>
      </c>
      <c r="U1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5" spans="1:26" x14ac:dyDescent="0.25">
      <c r="A175" s="67" t="s">
        <v>214</v>
      </c>
      <c r="B175" s="67" t="s">
        <v>398</v>
      </c>
      <c r="C175" s="2">
        <v>2922</v>
      </c>
      <c r="D175">
        <f>RTD("tos.rtd", , "LAST", Main_M[[#This Row],[Symbol]])</f>
        <v>6.91</v>
      </c>
      <c r="E175">
        <v>0.54</v>
      </c>
      <c r="F175">
        <v>20.94</v>
      </c>
      <c r="G175">
        <v>0.53</v>
      </c>
      <c r="H175" s="1">
        <f>IF(ISNUMBER(Main_M[[#This Row],[Free CF]]),IF(Main_M[[#This Row],[Free CF]]&lt;&gt;0,Main_M[[#This Row],[Current Price]]/Main_M[[#This Row],[Free CF]],""),"")</f>
        <v>12.796296296296296</v>
      </c>
      <c r="I175" s="1">
        <f>IF(ISNUMBER(Main_M[[#This Row],[BVPS]]),IF(Main_M[[#This Row],[BVPS]]&lt;&gt;0,Main_M[[#This Row],[Current Price]]/Main_M[[#This Row],[BVPS]],""),"")</f>
        <v>0.32999044890162366</v>
      </c>
      <c r="J175">
        <v>3.85</v>
      </c>
      <c r="K175">
        <v>0.43</v>
      </c>
      <c r="L175">
        <v>10.02</v>
      </c>
      <c r="M175" s="1">
        <f>IF(ISNUMBER(Main_M[[#This Row],[EPS]]),IF(Main_M[[#This Row],[EPS]]&lt;&gt;0,Main_M[[#This Row],[Current Price]]/Main_M[[#This Row],[EPS]],""),"")</f>
        <v>13.037735849056604</v>
      </c>
      <c r="N1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5" s="1">
        <f>(Main_M[[#This Row],[P/FCF]]-VLOOKUP(Main_M[[#This Row],[Industry]], Mean_PFCF_M, 2, FALSE))/(VLOOKUP(Main_M[[#This Row],[Industry]], Mean_PFCF_M, 3, FALSE))</f>
        <v>0.83828895465895781</v>
      </c>
      <c r="P175" s="1">
        <f>(Main_M[[#This Row],[P/B]]-VLOOKUP(Main_M[[#This Row],[Industry]], Mean_PB_M, 2, FALSE))/(VLOOKUP(Main_M[[#This Row],[Industry]], Mean_PB_M, 3, FALSE))</f>
        <v>-1.1119642611352272</v>
      </c>
      <c r="Q175" s="1">
        <f>(Main_M[[#This Row],[ROE]]-VLOOKUP(Main_M[[#This Row],[Industry]], Mean_ROE_M, 2, FALSE))/(VLOOKUP(Main_M[[#This Row],[Industry]], Mean_ROE_M, 3, FALSE))</f>
        <v>-1.1512332669703771</v>
      </c>
      <c r="R175" s="1">
        <f>(Main_M[[#This Row],[ROA]]-VLOOKUP(Main_M[[#This Row],[Industry]], Mean_ROA_M, 2, FALSE))/(VLOOKUP(Main_M[[#This Row],[Industry]], Mean_ROA_M, 3, FALSE))</f>
        <v>-1.4198506527927803</v>
      </c>
      <c r="S175" s="1">
        <f>(Main_M[[#This Row],[A/E]]-VLOOKUP(Main_M[[#This Row],[Industry]], Mean_AE_M, 2, FALSE))/(VLOOKUP(Main_M[[#This Row],[Industry]], Mean_AE_M, 3, FALSE))</f>
        <v>3.114955061951088</v>
      </c>
      <c r="T175" s="1">
        <f>(Main_M[[#This Row],[P/E]]-VLOOKUP(Main_M[[#This Row],[Industry]], Mean_PE_M, 2, FALSE))/(VLOOKUP(Main_M[[#This Row],[Industry]], Mean_PE_M, 3, FALSE))</f>
        <v>-0.30802720851818</v>
      </c>
      <c r="U1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6" spans="1:26" x14ac:dyDescent="0.25">
      <c r="A176" s="67" t="s">
        <v>214</v>
      </c>
      <c r="B176" s="67" t="s">
        <v>405</v>
      </c>
      <c r="C176" s="2">
        <v>5912</v>
      </c>
      <c r="D176">
        <f>RTD("tos.rtd", , "LAST", Main_M[[#This Row],[Symbol]])</f>
        <v>37.32</v>
      </c>
      <c r="E176">
        <v>0.22</v>
      </c>
      <c r="F176">
        <v>10.85</v>
      </c>
      <c r="G176">
        <v>1.78</v>
      </c>
      <c r="H176" s="1">
        <f>IF(ISNUMBER(Main_M[[#This Row],[Free CF]]),IF(Main_M[[#This Row],[Free CF]]&lt;&gt;0,Main_M[[#This Row],[Current Price]]/Main_M[[#This Row],[Free CF]],""),"")</f>
        <v>169.63636363636363</v>
      </c>
      <c r="I176" s="1">
        <f>IF(ISNUMBER(Main_M[[#This Row],[BVPS]]),IF(Main_M[[#This Row],[BVPS]]&lt;&gt;0,Main_M[[#This Row],[Current Price]]/Main_M[[#This Row],[BVPS]],""),"")</f>
        <v>3.43963133640553</v>
      </c>
      <c r="J176">
        <v>17.95</v>
      </c>
      <c r="K176">
        <v>4.2</v>
      </c>
      <c r="L176">
        <v>3.05</v>
      </c>
      <c r="M176" s="1">
        <f>IF(ISNUMBER(Main_M[[#This Row],[EPS]]),IF(Main_M[[#This Row],[EPS]]&lt;&gt;0,Main_M[[#This Row],[Current Price]]/Main_M[[#This Row],[EPS]],""),"")</f>
        <v>20.966292134831459</v>
      </c>
      <c r="N1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6" s="1">
        <f>(Main_M[[#This Row],[P/FCF]]-VLOOKUP(Main_M[[#This Row],[Industry]], Mean_PFCF_M, 2, FALSE))/(VLOOKUP(Main_M[[#This Row],[Industry]], Mean_PFCF_M, 3, FALSE))</f>
        <v>28.28110629681327</v>
      </c>
      <c r="P176" s="1">
        <f>(Main_M[[#This Row],[P/B]]-VLOOKUP(Main_M[[#This Row],[Industry]], Mean_PB_M, 2, FALSE))/(VLOOKUP(Main_M[[#This Row],[Industry]], Mean_PB_M, 3, FALSE))</f>
        <v>0.72359057532784454</v>
      </c>
      <c r="Q176" s="1">
        <f>(Main_M[[#This Row],[ROE]]-VLOOKUP(Main_M[[#This Row],[Industry]], Mean_ROE_M, 2, FALSE))/(VLOOKUP(Main_M[[#This Row],[Industry]], Mean_ROE_M, 3, FALSE))</f>
        <v>0.7227288463424697</v>
      </c>
      <c r="R176" s="1">
        <f>(Main_M[[#This Row],[ROA]]-VLOOKUP(Main_M[[#This Row],[Industry]], Mean_ROA_M, 2, FALSE))/(VLOOKUP(Main_M[[#This Row],[Industry]], Mean_ROA_M, 3, FALSE))</f>
        <v>1.2831148099449274</v>
      </c>
      <c r="S176" s="1">
        <f>(Main_M[[#This Row],[A/E]]-VLOOKUP(Main_M[[#This Row],[Industry]], Mean_AE_M, 2, FALSE))/(VLOOKUP(Main_M[[#This Row],[Industry]], Mean_AE_M, 3, FALSE))</f>
        <v>-0.7712117565852975</v>
      </c>
      <c r="T176" s="1">
        <f>(Main_M[[#This Row],[P/E]]-VLOOKUP(Main_M[[#This Row],[Industry]], Mean_PE_M, 2, FALSE))/(VLOOKUP(Main_M[[#This Row],[Industry]], Mean_PE_M, 3, FALSE))</f>
        <v>0.56986050774867802</v>
      </c>
      <c r="U1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7" spans="1:26" x14ac:dyDescent="0.25">
      <c r="A177" s="67" t="s">
        <v>214</v>
      </c>
      <c r="B177" s="67" t="s">
        <v>392</v>
      </c>
      <c r="C177" s="2">
        <v>2722</v>
      </c>
      <c r="D177">
        <f>RTD("tos.rtd", , "LAST", Main_M[[#This Row],[Symbol]])</f>
        <v>38.93</v>
      </c>
      <c r="E177">
        <v>-0.11</v>
      </c>
      <c r="F177">
        <v>8.8699999999999992</v>
      </c>
      <c r="G177">
        <v>-0.5</v>
      </c>
      <c r="H177" s="1">
        <f>IF(ISNUMBER(Main_M[[#This Row],[Free CF]]),IF(Main_M[[#This Row],[Free CF]]&lt;&gt;0,Main_M[[#This Row],[Current Price]]/Main_M[[#This Row],[Free CF]],""),"")</f>
        <v>-353.90909090909088</v>
      </c>
      <c r="I177" s="1">
        <f>IF(ISNUMBER(Main_M[[#This Row],[BVPS]]),IF(Main_M[[#This Row],[BVPS]]&lt;&gt;0,Main_M[[#This Row],[Current Price]]/Main_M[[#This Row],[BVPS]],""),"")</f>
        <v>4.3889515219842172</v>
      </c>
      <c r="J177">
        <v>-5.21</v>
      </c>
      <c r="K177">
        <v>1.38</v>
      </c>
      <c r="L177">
        <v>5.73</v>
      </c>
      <c r="M177" s="1">
        <f>IF(ISNUMBER(Main_M[[#This Row],[EPS]]),IF(Main_M[[#This Row],[EPS]]&lt;&gt;0,Main_M[[#This Row],[Current Price]]/Main_M[[#This Row],[EPS]],""),"")</f>
        <v>-77.86</v>
      </c>
      <c r="N1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7" s="1">
        <f>(Main_M[[#This Row],[P/FCF]]-VLOOKUP(Main_M[[#This Row],[Industry]], Mean_PFCF_M, 2, FALSE))/(VLOOKUP(Main_M[[#This Row],[Industry]], Mean_PFCF_M, 3, FALSE))</f>
        <v>-63.325346844103208</v>
      </c>
      <c r="P177" s="1">
        <f>(Main_M[[#This Row],[P/B]]-VLOOKUP(Main_M[[#This Row],[Industry]], Mean_PB_M, 2, FALSE))/(VLOOKUP(Main_M[[#This Row],[Industry]], Mean_PB_M, 3, FALSE))</f>
        <v>1.2839540774265386</v>
      </c>
      <c r="Q177" s="1">
        <f>(Main_M[[#This Row],[ROE]]-VLOOKUP(Main_M[[#This Row],[Industry]], Mean_ROE_M, 2, FALSE))/(VLOOKUP(Main_M[[#This Row],[Industry]], Mean_ROE_M, 3, FALSE))</f>
        <v>-2.3553536036096956</v>
      </c>
      <c r="R177" s="1">
        <f>(Main_M[[#This Row],[ROA]]-VLOOKUP(Main_M[[#This Row],[Industry]], Mean_ROA_M, 2, FALSE))/(VLOOKUP(Main_M[[#This Row],[Industry]], Mean_ROA_M, 3, FALSE))</f>
        <v>-0.73873203486152783</v>
      </c>
      <c r="S177" s="1">
        <f>(Main_M[[#This Row],[A/E]]-VLOOKUP(Main_M[[#This Row],[Industry]], Mean_AE_M, 2, FALSE))/(VLOOKUP(Main_M[[#This Row],[Industry]], Mean_AE_M, 3, FALSE))</f>
        <v>0.7230388996094681</v>
      </c>
      <c r="T177" s="1">
        <f>(Main_M[[#This Row],[P/E]]-VLOOKUP(Main_M[[#This Row],[Industry]], Mean_PE_M, 2, FALSE))/(VLOOKUP(Main_M[[#This Row],[Industry]], Mean_PE_M, 3, FALSE))</f>
        <v>-10.372659767352033</v>
      </c>
      <c r="U1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8" spans="1:26" x14ac:dyDescent="0.25">
      <c r="A178" s="67" t="s">
        <v>214</v>
      </c>
      <c r="B178" s="67" t="s">
        <v>407</v>
      </c>
      <c r="C178" s="2">
        <v>2454</v>
      </c>
      <c r="D178">
        <f>RTD("tos.rtd", , "LAST", Main_M[[#This Row],[Symbol]])</f>
        <v>40.96</v>
      </c>
      <c r="E178">
        <v>-0.53</v>
      </c>
      <c r="F178">
        <v>7.45</v>
      </c>
      <c r="G178">
        <v>-3.03</v>
      </c>
      <c r="H178" s="1">
        <f>IF(ISNUMBER(Main_M[[#This Row],[Free CF]]),IF(Main_M[[#This Row],[Free CF]]&lt;&gt;0,Main_M[[#This Row],[Current Price]]/Main_M[[#This Row],[Free CF]],""),"")</f>
        <v>-77.283018867924525</v>
      </c>
      <c r="I178" s="1">
        <f>IF(ISNUMBER(Main_M[[#This Row],[BVPS]]),IF(Main_M[[#This Row],[BVPS]]&lt;&gt;0,Main_M[[#This Row],[Current Price]]/Main_M[[#This Row],[BVPS]],""),"")</f>
        <v>5.4979865771812078</v>
      </c>
      <c r="J178">
        <v>-35.57</v>
      </c>
      <c r="K178">
        <v>-7.54</v>
      </c>
      <c r="L178">
        <v>3.4</v>
      </c>
      <c r="M178" s="1">
        <f>IF(ISNUMBER(Main_M[[#This Row],[EPS]]),IF(Main_M[[#This Row],[EPS]]&lt;&gt;0,Main_M[[#This Row],[Current Price]]/Main_M[[#This Row],[EPS]],""),"")</f>
        <v>-13.51815181518152</v>
      </c>
      <c r="N1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8" s="1">
        <f>(Main_M[[#This Row],[P/FCF]]-VLOOKUP(Main_M[[#This Row],[Industry]], Mean_PFCF_M, 2, FALSE))/(VLOOKUP(Main_M[[#This Row],[Industry]], Mean_PFCF_M, 3, FALSE))</f>
        <v>-14.923182168648468</v>
      </c>
      <c r="P178" s="1">
        <f>(Main_M[[#This Row],[P/B]]-VLOOKUP(Main_M[[#This Row],[Industry]], Mean_PB_M, 2, FALSE))/(VLOOKUP(Main_M[[#This Row],[Industry]], Mean_PB_M, 3, FALSE))</f>
        <v>1.9385938680063337</v>
      </c>
      <c r="Q178" s="1">
        <f>(Main_M[[#This Row],[ROE]]-VLOOKUP(Main_M[[#This Row],[Industry]], Mean_ROE_M, 2, FALSE))/(VLOOKUP(Main_M[[#This Row],[Industry]], Mean_ROE_M, 3, FALSE))</f>
        <v>-6.3903528773811873</v>
      </c>
      <c r="R178" s="1">
        <f>(Main_M[[#This Row],[ROA]]-VLOOKUP(Main_M[[#This Row],[Industry]], Mean_ROA_M, 2, FALSE))/(VLOOKUP(Main_M[[#This Row],[Industry]], Mean_ROA_M, 3, FALSE))</f>
        <v>-7.1340773737528682</v>
      </c>
      <c r="S178" s="1">
        <f>(Main_M[[#This Row],[A/E]]-VLOOKUP(Main_M[[#This Row],[Industry]], Mean_AE_M, 2, FALSE))/(VLOOKUP(Main_M[[#This Row],[Industry]], Mean_AE_M, 3, FALSE))</f>
        <v>-0.57606708133598106</v>
      </c>
      <c r="T178" s="1">
        <f>(Main_M[[#This Row],[P/E]]-VLOOKUP(Main_M[[#This Row],[Industry]], Mean_PE_M, 2, FALSE))/(VLOOKUP(Main_M[[#This Row],[Industry]], Mean_PE_M, 3, FALSE))</f>
        <v>-3.2484222482588678</v>
      </c>
      <c r="U1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9" spans="1:26" x14ac:dyDescent="0.25">
      <c r="A179" s="67" t="s">
        <v>214</v>
      </c>
      <c r="B179" s="67" t="s">
        <v>418</v>
      </c>
      <c r="C179" s="2">
        <v>2284</v>
      </c>
      <c r="D179">
        <f>RTD("tos.rtd", , "LAST", Main_M[[#This Row],[Symbol]])</f>
        <v>19.260000000000002</v>
      </c>
      <c r="E179">
        <v>-0.57999999999999996</v>
      </c>
      <c r="F179">
        <v>15.73</v>
      </c>
      <c r="G179">
        <v>0.96</v>
      </c>
      <c r="H179" s="1">
        <f>IF(ISNUMBER(Main_M[[#This Row],[Free CF]]),IF(Main_M[[#This Row],[Free CF]]&lt;&gt;0,Main_M[[#This Row],[Current Price]]/Main_M[[#This Row],[Free CF]],""),"")</f>
        <v>-33.206896551724142</v>
      </c>
      <c r="I179" s="1">
        <f>IF(ISNUMBER(Main_M[[#This Row],[BVPS]]),IF(Main_M[[#This Row],[BVPS]]&lt;&gt;0,Main_M[[#This Row],[Current Price]]/Main_M[[#This Row],[BVPS]],""),"")</f>
        <v>1.224411951684679</v>
      </c>
      <c r="J179">
        <v>7.25</v>
      </c>
      <c r="K179">
        <v>1.47</v>
      </c>
      <c r="L179">
        <v>6.73</v>
      </c>
      <c r="M179" s="1">
        <f>IF(ISNUMBER(Main_M[[#This Row],[EPS]]),IF(Main_M[[#This Row],[EPS]]&lt;&gt;0,Main_M[[#This Row],[Current Price]]/Main_M[[#This Row],[EPS]],""),"")</f>
        <v>20.062500000000004</v>
      </c>
      <c r="N1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9" s="1">
        <f>(Main_M[[#This Row],[P/FCF]]-VLOOKUP(Main_M[[#This Row],[Industry]], Mean_PFCF_M, 2, FALSE))/(VLOOKUP(Main_M[[#This Row],[Industry]], Mean_PFCF_M, 3, FALSE))</f>
        <v>-7.2110395102849587</v>
      </c>
      <c r="P179" s="1">
        <f>(Main_M[[#This Row],[P/B]]-VLOOKUP(Main_M[[#This Row],[Industry]], Mean_PB_M, 2, FALSE))/(VLOOKUP(Main_M[[#This Row],[Industry]], Mean_PB_M, 3, FALSE))</f>
        <v>-0.5840062831360896</v>
      </c>
      <c r="Q179" s="1">
        <f>(Main_M[[#This Row],[ROE]]-VLOOKUP(Main_M[[#This Row],[Industry]], Mean_ROE_M, 2, FALSE))/(VLOOKUP(Main_M[[#This Row],[Industry]], Mean_ROE_M, 3, FALSE))</f>
        <v>-0.6993558779445842</v>
      </c>
      <c r="R179" s="1">
        <f>(Main_M[[#This Row],[ROA]]-VLOOKUP(Main_M[[#This Row],[Industry]], Mean_ROA_M, 2, FALSE))/(VLOOKUP(Main_M[[#This Row],[Industry]], Mean_ROA_M, 3, FALSE))</f>
        <v>-0.67420500789961957</v>
      </c>
      <c r="S179" s="1">
        <f>(Main_M[[#This Row],[A/E]]-VLOOKUP(Main_M[[#This Row],[Industry]], Mean_AE_M, 2, FALSE))/(VLOOKUP(Main_M[[#This Row],[Industry]], Mean_AE_M, 3, FALSE))</f>
        <v>1.2805951146075147</v>
      </c>
      <c r="T179" s="1">
        <f>(Main_M[[#This Row],[P/E]]-VLOOKUP(Main_M[[#This Row],[Industry]], Mean_PE_M, 2, FALSE))/(VLOOKUP(Main_M[[#This Row],[Industry]], Mean_PE_M, 3, FALSE))</f>
        <v>0.46978831495228257</v>
      </c>
      <c r="U1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0" spans="1:26" x14ac:dyDescent="0.25">
      <c r="A180" s="67" t="s">
        <v>214</v>
      </c>
      <c r="B180" s="67" t="s">
        <v>399</v>
      </c>
      <c r="C180" s="2">
        <v>5658</v>
      </c>
      <c r="D180">
        <f>RTD("tos.rtd", , "LAST", Main_M[[#This Row],[Symbol]])</f>
        <v>33.450000000000003</v>
      </c>
      <c r="E180">
        <v>-6.01</v>
      </c>
      <c r="F180">
        <v>42.22</v>
      </c>
      <c r="G180">
        <v>7.17</v>
      </c>
      <c r="H180" s="1">
        <f>IF(ISNUMBER(Main_M[[#This Row],[Free CF]]),IF(Main_M[[#This Row],[Free CF]]&lt;&gt;0,Main_M[[#This Row],[Current Price]]/Main_M[[#This Row],[Free CF]],""),"")</f>
        <v>-5.565723793677205</v>
      </c>
      <c r="I180" s="1">
        <f>IF(ISNUMBER(Main_M[[#This Row],[BVPS]]),IF(Main_M[[#This Row],[BVPS]]&lt;&gt;0,Main_M[[#This Row],[Current Price]]/Main_M[[#This Row],[BVPS]],""),"")</f>
        <v>0.79227854097584094</v>
      </c>
      <c r="J180">
        <v>16.91</v>
      </c>
      <c r="K180">
        <v>0.27</v>
      </c>
      <c r="L180">
        <v>53.13</v>
      </c>
      <c r="M180" s="1">
        <f>IF(ISNUMBER(Main_M[[#This Row],[EPS]]),IF(Main_M[[#This Row],[EPS]]&lt;&gt;0,Main_M[[#This Row],[Current Price]]/Main_M[[#This Row],[EPS]],""),"")</f>
        <v>4.6652719665271967</v>
      </c>
      <c r="N1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0" s="1">
        <f>(Main_M[[#This Row],[P/FCF]]-VLOOKUP(Main_M[[#This Row],[Industry]], Mean_PFCF_M, 2, FALSE))/(VLOOKUP(Main_M[[#This Row],[Industry]], Mean_PFCF_M, 3, FALSE))</f>
        <v>-2.3745734975709381</v>
      </c>
      <c r="P180" s="1">
        <f>(Main_M[[#This Row],[P/B]]-VLOOKUP(Main_M[[#This Row],[Industry]], Mean_PB_M, 2, FALSE))/(VLOOKUP(Main_M[[#This Row],[Industry]], Mean_PB_M, 3, FALSE))</f>
        <v>-0.83908543880688857</v>
      </c>
      <c r="Q180" s="1">
        <f>(Main_M[[#This Row],[ROE]]-VLOOKUP(Main_M[[#This Row],[Industry]], Mean_ROE_M, 2, FALSE))/(VLOOKUP(Main_M[[#This Row],[Industry]], Mean_ROE_M, 3, FALSE))</f>
        <v>0.58450752734634492</v>
      </c>
      <c r="R180" s="1">
        <f>(Main_M[[#This Row],[ROA]]-VLOOKUP(Main_M[[#This Row],[Industry]], Mean_ROA_M, 2, FALSE))/(VLOOKUP(Main_M[[#This Row],[Industry]], Mean_ROA_M, 3, FALSE))</f>
        <v>-1.5345653673917281</v>
      </c>
      <c r="S180" s="1">
        <f>(Main_M[[#This Row],[A/E]]-VLOOKUP(Main_M[[#This Row],[Industry]], Mean_AE_M, 2, FALSE))/(VLOOKUP(Main_M[[#This Row],[Industry]], Mean_AE_M, 3, FALSE))</f>
        <v>27.151203490516881</v>
      </c>
      <c r="T180" s="1">
        <f>(Main_M[[#This Row],[P/E]]-VLOOKUP(Main_M[[#This Row],[Industry]], Mean_PE_M, 2, FALSE))/(VLOOKUP(Main_M[[#This Row],[Industry]], Mean_PE_M, 3, FALSE))</f>
        <v>-1.2350664994604366</v>
      </c>
      <c r="U1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1" spans="1:26" x14ac:dyDescent="0.25">
      <c r="A181" s="67" t="s">
        <v>250</v>
      </c>
      <c r="B181" s="67" t="s">
        <v>423</v>
      </c>
      <c r="C181" s="2">
        <v>6704</v>
      </c>
      <c r="D181">
        <f>RTD("tos.rtd", , "LAST", Main_M[[#This Row],[Symbol]])</f>
        <v>20.260000000000002</v>
      </c>
      <c r="E181">
        <v>2.46</v>
      </c>
      <c r="F181">
        <v>18.87</v>
      </c>
      <c r="G181">
        <v>0.93</v>
      </c>
      <c r="H181" s="1">
        <f>IF(ISNUMBER(Main_M[[#This Row],[Free CF]]),IF(Main_M[[#This Row],[Free CF]]&lt;&gt;0,Main_M[[#This Row],[Current Price]]/Main_M[[#This Row],[Free CF]],""),"")</f>
        <v>8.2357723577235777</v>
      </c>
      <c r="I181" s="1">
        <f>IF(ISNUMBER(Main_M[[#This Row],[BVPS]]),IF(Main_M[[#This Row],[BVPS]]&lt;&gt;0,Main_M[[#This Row],[Current Price]]/Main_M[[#This Row],[BVPS]],""),"")</f>
        <v>1.073661897191309</v>
      </c>
      <c r="J181">
        <v>4.74</v>
      </c>
      <c r="K181">
        <v>0.52</v>
      </c>
      <c r="L181">
        <v>9.6999999999999993</v>
      </c>
      <c r="M181" s="1">
        <f>IF(ISNUMBER(Main_M[[#This Row],[EPS]]),IF(Main_M[[#This Row],[EPS]]&lt;&gt;0,Main_M[[#This Row],[Current Price]]/Main_M[[#This Row],[EPS]],""),"")</f>
        <v>21.78494623655914</v>
      </c>
      <c r="N1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1" s="1">
        <f>(Main_M[[#This Row],[P/FCF]]-VLOOKUP(Main_M[[#This Row],[Industry]], Mean_PFCF_M, 2, FALSE))/(VLOOKUP(Main_M[[#This Row],[Industry]], Mean_PFCF_M, 3, FALSE))</f>
        <v>-0.89553882660586226</v>
      </c>
      <c r="P181" s="1">
        <f>(Main_M[[#This Row],[P/B]]-VLOOKUP(Main_M[[#This Row],[Industry]], Mean_PB_M, 2, FALSE))/(VLOOKUP(Main_M[[#This Row],[Industry]], Mean_PB_M, 3, FALSE))</f>
        <v>1.1924321572499874</v>
      </c>
      <c r="Q181" s="1">
        <f>(Main_M[[#This Row],[ROE]]-VLOOKUP(Main_M[[#This Row],[Industry]], Mean_ROE_M, 2, FALSE))/(VLOOKUP(Main_M[[#This Row],[Industry]], Mean_ROE_M, 3, FALSE))</f>
        <v>0.65899053858126411</v>
      </c>
      <c r="R181" s="1">
        <f>(Main_M[[#This Row],[ROA]]-VLOOKUP(Main_M[[#This Row],[Industry]], Mean_ROA_M, 2, FALSE))/(VLOOKUP(Main_M[[#This Row],[Industry]], Mean_ROA_M, 3, FALSE))</f>
        <v>-0.74397952596516459</v>
      </c>
      <c r="S181" s="1">
        <f>(Main_M[[#This Row],[A/E]]-VLOOKUP(Main_M[[#This Row],[Industry]], Mean_AE_M, 2, FALSE))/(VLOOKUP(Main_M[[#This Row],[Industry]], Mean_AE_M, 3, FALSE))</f>
        <v>0.57597223543411979</v>
      </c>
      <c r="T181" s="1">
        <f>(Main_M[[#This Row],[P/E]]-VLOOKUP(Main_M[[#This Row],[Industry]], Mean_PE_M, 2, FALSE))/(VLOOKUP(Main_M[[#This Row],[Industry]], Mean_PE_M, 3, FALSE))</f>
        <v>0.70715984427536127</v>
      </c>
      <c r="U1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2" spans="1:26" x14ac:dyDescent="0.25">
      <c r="A182" s="67" t="s">
        <v>250</v>
      </c>
      <c r="B182" s="67" t="s">
        <v>421</v>
      </c>
      <c r="C182" s="2">
        <v>3241</v>
      </c>
      <c r="D182">
        <f>RTD("tos.rtd", , "LAST", Main_M[[#This Row],[Symbol]])</f>
        <v>19.23</v>
      </c>
      <c r="E182">
        <v>2.15</v>
      </c>
      <c r="F182">
        <v>21.76</v>
      </c>
      <c r="G182">
        <v>-0.47</v>
      </c>
      <c r="H182" s="1">
        <f>IF(ISNUMBER(Main_M[[#This Row],[Free CF]]),IF(Main_M[[#This Row],[Free CF]]&lt;&gt;0,Main_M[[#This Row],[Current Price]]/Main_M[[#This Row],[Free CF]],""),"")</f>
        <v>8.9441860465116285</v>
      </c>
      <c r="I182" s="1">
        <f>IF(ISNUMBER(Main_M[[#This Row],[BVPS]]),IF(Main_M[[#This Row],[BVPS]]&lt;&gt;0,Main_M[[#This Row],[Current Price]]/Main_M[[#This Row],[BVPS]],""),"")</f>
        <v>0.88373161764705876</v>
      </c>
      <c r="J182">
        <v>-2.0099999999999998</v>
      </c>
      <c r="K182">
        <v>-0.37</v>
      </c>
      <c r="L182">
        <v>5.42</v>
      </c>
      <c r="M182" s="1">
        <f>IF(ISNUMBER(Main_M[[#This Row],[EPS]]),IF(Main_M[[#This Row],[EPS]]&lt;&gt;0,Main_M[[#This Row],[Current Price]]/Main_M[[#This Row],[EPS]],""),"")</f>
        <v>-40.914893617021278</v>
      </c>
      <c r="N1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2" s="1">
        <f>(Main_M[[#This Row],[P/FCF]]-VLOOKUP(Main_M[[#This Row],[Industry]], Mean_PFCF_M, 2, FALSE))/(VLOOKUP(Main_M[[#This Row],[Industry]], Mean_PFCF_M, 3, FALSE))</f>
        <v>-0.50012702488587346</v>
      </c>
      <c r="P182" s="1">
        <f>(Main_M[[#This Row],[P/B]]-VLOOKUP(Main_M[[#This Row],[Industry]], Mean_PB_M, 2, FALSE))/(VLOOKUP(Main_M[[#This Row],[Industry]], Mean_PB_M, 3, FALSE))</f>
        <v>-1.1222707959247678</v>
      </c>
      <c r="Q182" s="1">
        <f>(Main_M[[#This Row],[ROE]]-VLOOKUP(Main_M[[#This Row],[Industry]], Mean_ROE_M, 2, FALSE))/(VLOOKUP(Main_M[[#This Row],[Industry]], Mean_ROE_M, 3, FALSE))</f>
        <v>-1.4131458599079592</v>
      </c>
      <c r="R182" s="1">
        <f>(Main_M[[#This Row],[ROA]]-VLOOKUP(Main_M[[#This Row],[Industry]], Mean_ROA_M, 2, FALSE))/(VLOOKUP(Main_M[[#This Row],[Industry]], Mean_ROA_M, 3, FALSE))</f>
        <v>-2.399333971237656</v>
      </c>
      <c r="S182" s="1">
        <f>(Main_M[[#This Row],[A/E]]-VLOOKUP(Main_M[[#This Row],[Industry]], Mean_AE_M, 2, FALSE))/(VLOOKUP(Main_M[[#This Row],[Industry]], Mean_AE_M, 3, FALSE))</f>
        <v>-1.2568613464677645</v>
      </c>
      <c r="T182" s="1">
        <f>(Main_M[[#This Row],[P/E]]-VLOOKUP(Main_M[[#This Row],[Industry]], Mean_PE_M, 2, FALSE))/(VLOOKUP(Main_M[[#This Row],[Industry]], Mean_PE_M, 3, FALSE))</f>
        <v>-1.6957750485698193</v>
      </c>
      <c r="U1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3" spans="1:26" x14ac:dyDescent="0.25">
      <c r="A183" s="67" t="s">
        <v>250</v>
      </c>
      <c r="B183" s="67" t="s">
        <v>422</v>
      </c>
      <c r="C183" s="2">
        <v>5911</v>
      </c>
      <c r="D183">
        <f>RTD("tos.rtd", , "LAST", Main_M[[#This Row],[Symbol]])</f>
        <v>11.23</v>
      </c>
      <c r="E183">
        <v>0.91</v>
      </c>
      <c r="F183">
        <v>12.39</v>
      </c>
      <c r="G183">
        <v>1.19</v>
      </c>
      <c r="H183" s="1">
        <f>IF(ISNUMBER(Main_M[[#This Row],[Free CF]]),IF(Main_M[[#This Row],[Free CF]]&lt;&gt;0,Main_M[[#This Row],[Current Price]]/Main_M[[#This Row],[Free CF]],""),"")</f>
        <v>12.340659340659341</v>
      </c>
      <c r="I183" s="1">
        <f>IF(ISNUMBER(Main_M[[#This Row],[BVPS]]),IF(Main_M[[#This Row],[BVPS]]&lt;&gt;0,Main_M[[#This Row],[Current Price]]/Main_M[[#This Row],[BVPS]],""),"")</f>
        <v>0.9063761097659403</v>
      </c>
      <c r="J183">
        <v>9.5500000000000007</v>
      </c>
      <c r="K183">
        <v>1.68</v>
      </c>
      <c r="L183">
        <v>6.9</v>
      </c>
      <c r="M183" s="1">
        <f>IF(ISNUMBER(Main_M[[#This Row],[EPS]]),IF(Main_M[[#This Row],[EPS]]&lt;&gt;0,Main_M[[#This Row],[Current Price]]/Main_M[[#This Row],[EPS]],""),"")</f>
        <v>9.4369747899159666</v>
      </c>
      <c r="N1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3" s="1">
        <f>(Main_M[[#This Row],[P/FCF]]-VLOOKUP(Main_M[[#This Row],[Industry]], Mean_PFCF_M, 2, FALSE))/(VLOOKUP(Main_M[[#This Row],[Industry]], Mean_PFCF_M, 3, FALSE))</f>
        <v>1.3956658514917377</v>
      </c>
      <c r="P183" s="1">
        <f>(Main_M[[#This Row],[P/B]]-VLOOKUP(Main_M[[#This Row],[Industry]], Mean_PB_M, 2, FALSE))/(VLOOKUP(Main_M[[#This Row],[Industry]], Mean_PB_M, 3, FALSE))</f>
        <v>-0.84629967164436692</v>
      </c>
      <c r="Q183" s="1">
        <f>(Main_M[[#This Row],[ROE]]-VLOOKUP(Main_M[[#This Row],[Industry]], Mean_ROE_M, 2, FALSE))/(VLOOKUP(Main_M[[#This Row],[Industry]], Mean_ROE_M, 3, FALSE))</f>
        <v>2.1355795869861773</v>
      </c>
      <c r="R183" s="1">
        <f>(Main_M[[#This Row],[ROA]]-VLOOKUP(Main_M[[#This Row],[Industry]], Mean_ROA_M, 2, FALSE))/(VLOOKUP(Main_M[[#This Row],[Industry]], Mean_ROA_M, 3, FALSE))</f>
        <v>1.4135610993338126</v>
      </c>
      <c r="S183" s="1">
        <f>(Main_M[[#This Row],[A/E]]-VLOOKUP(Main_M[[#This Row],[Industry]], Mean_AE_M, 2, FALSE))/(VLOOKUP(Main_M[[#This Row],[Industry]], Mean_AE_M, 3, FALSE))</f>
        <v>-0.62307777141758003</v>
      </c>
      <c r="T183" s="1">
        <f>(Main_M[[#This Row],[P/E]]-VLOOKUP(Main_M[[#This Row],[Industry]], Mean_PE_M, 2, FALSE))/(VLOOKUP(Main_M[[#This Row],[Industry]], Mean_PE_M, 3, FALSE))</f>
        <v>0.23393102081608561</v>
      </c>
      <c r="U1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4" spans="1:26" x14ac:dyDescent="0.25">
      <c r="A184" s="67" t="s">
        <v>250</v>
      </c>
      <c r="B184" s="67" t="s">
        <v>420</v>
      </c>
      <c r="C184" s="2">
        <v>9122</v>
      </c>
      <c r="D184">
        <f>RTD("tos.rtd", , "LAST", Main_M[[#This Row],[Symbol]])</f>
        <v>9.2100000000000009</v>
      </c>
      <c r="E184">
        <v>0.3</v>
      </c>
      <c r="F184">
        <v>8.86</v>
      </c>
      <c r="G184">
        <v>0.4</v>
      </c>
      <c r="H184" s="1">
        <f>IF(ISNUMBER(Main_M[[#This Row],[Free CF]]),IF(Main_M[[#This Row],[Free CF]]&lt;&gt;0,Main_M[[#This Row],[Current Price]]/Main_M[[#This Row],[Free CF]],""),"")</f>
        <v>30.700000000000003</v>
      </c>
      <c r="I184" s="1">
        <f>IF(ISNUMBER(Main_M[[#This Row],[BVPS]]),IF(Main_M[[#This Row],[BVPS]]&lt;&gt;0,Main_M[[#This Row],[Current Price]]/Main_M[[#This Row],[BVPS]],""),"")</f>
        <v>1.0395033860045149</v>
      </c>
      <c r="J184">
        <v>5.05</v>
      </c>
      <c r="K184">
        <v>0.56000000000000005</v>
      </c>
      <c r="L184">
        <v>11.4</v>
      </c>
      <c r="M184" s="1">
        <f>IF(ISNUMBER(Main_M[[#This Row],[EPS]]),IF(Main_M[[#This Row],[EPS]]&lt;&gt;0,Main_M[[#This Row],[Current Price]]/Main_M[[#This Row],[EPS]],""),"")</f>
        <v>23.025000000000002</v>
      </c>
      <c r="N1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4" s="1">
        <f>(Main_M[[#This Row],[P/FCF]]-VLOOKUP(Main_M[[#This Row],[Industry]], Mean_PFCF_M, 2, FALSE))/(VLOOKUP(Main_M[[#This Row],[Industry]], Mean_PFCF_M, 3, FALSE))</f>
        <v>11.64320917737021</v>
      </c>
      <c r="P184" s="1">
        <f>(Main_M[[#This Row],[P/B]]-VLOOKUP(Main_M[[#This Row],[Industry]], Mean_PB_M, 2, FALSE))/(VLOOKUP(Main_M[[#This Row],[Industry]], Mean_PB_M, 3, FALSE))</f>
        <v>0.77613831031914993</v>
      </c>
      <c r="Q184" s="1">
        <f>(Main_M[[#This Row],[ROE]]-VLOOKUP(Main_M[[#This Row],[Industry]], Mean_ROE_M, 2, FALSE))/(VLOOKUP(Main_M[[#This Row],[Industry]], Mean_ROE_M, 3, FALSE))</f>
        <v>0.75415532132669505</v>
      </c>
      <c r="R184" s="1">
        <f>(Main_M[[#This Row],[ROA]]-VLOOKUP(Main_M[[#This Row],[Industry]], Mean_ROA_M, 2, FALSE))/(VLOOKUP(Main_M[[#This Row],[Industry]], Mean_ROA_M, 3, FALSE))</f>
        <v>-0.6695815733686481</v>
      </c>
      <c r="S184" s="1">
        <f>(Main_M[[#This Row],[A/E]]-VLOOKUP(Main_M[[#This Row],[Industry]], Mean_AE_M, 2, FALSE))/(VLOOKUP(Main_M[[#This Row],[Industry]], Mean_AE_M, 3, FALSE))</f>
        <v>1.3039668824512241</v>
      </c>
      <c r="T184" s="1">
        <f>(Main_M[[#This Row],[P/E]]-VLOOKUP(Main_M[[#This Row],[Industry]], Mean_PE_M, 2, FALSE))/(VLOOKUP(Main_M[[#This Row],[Industry]], Mean_PE_M, 3, FALSE))</f>
        <v>0.75468418347837241</v>
      </c>
      <c r="U1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91"/>
  <sheetViews>
    <sheetView workbookViewId="0">
      <selection activeCell="B24" sqref="B24"/>
    </sheetView>
  </sheetViews>
  <sheetFormatPr defaultRowHeight="15" x14ac:dyDescent="0.25"/>
  <cols>
    <col min="1" max="1" width="42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716</v>
      </c>
      <c r="C2" s="2">
        <v>286</v>
      </c>
      <c r="D2">
        <f>RTD("tos.rtd", , "LAST", Main_S[[#This Row],[Symbol]])</f>
        <v>15</v>
      </c>
      <c r="F2">
        <v>12.54</v>
      </c>
      <c r="G2">
        <v>0.65</v>
      </c>
      <c r="H2" s="1" t="str">
        <f>IF(ISNUMBER(Main_S[[#This Row],[Free CF]]),IF(Main_S[[#This Row],[Free CF]]&lt;&gt;0,Main_S[[#This Row],[Current Price]]/Main_S[[#This Row],[Free CF]],""),"")</f>
        <v/>
      </c>
      <c r="I2" s="1">
        <f>IF(ISNUMBER(Main_S[[#This Row],[BVPS]]),IF(Main_S[[#This Row],[BVPS]]&lt;&gt;0,Main_S[[#This Row],[Current Price]]/Main_S[[#This Row],[BVPS]],""),"")</f>
        <v>1.1961722488038278</v>
      </c>
      <c r="J2">
        <v>5.59</v>
      </c>
      <c r="K2">
        <v>0.61</v>
      </c>
      <c r="L2">
        <v>9.6199999999999992</v>
      </c>
      <c r="M2" s="1">
        <f>IF(ISNUMBER(Main_S[[#This Row],[EPS]]),IF(Main_S[[#This Row],[EPS]]&lt;&gt;0,Main_S[[#This Row],[Current Price]]/Main_S[[#This Row],[EPS]],""),"")</f>
        <v>23.076923076923077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 t="e">
        <f>(Main_S[[#This Row],[P/FCF]]-VLOOKUP(Main_S[[#This Row],[Industry]], Mean_PFCF_S, 2, FALSE))/(VLOOKUP(Main_S[[#This Row],[Industry]], Mean_PFCF_S, 3, FALSE))</f>
        <v>#VALUE!</v>
      </c>
      <c r="P2" s="1">
        <f>(Main_S[[#This Row],[P/B]]-VLOOKUP(Main_S[[#This Row],[Industry]], Mean_PB_S, 2, FALSE))/(VLOOKUP(Main_S[[#This Row],[Industry]], Mean_PB_S, 3, FALSE))</f>
        <v>0.4853261055717758</v>
      </c>
      <c r="Q2" s="1">
        <f>(Main_S[[#This Row],[ROE]]-VLOOKUP(Main_S[[#This Row],[Industry]], Mean_ROE_S, 2, FALSE))/(VLOOKUP(Main_S[[#This Row],[Industry]], Mean_ROE_S, 3, FALSE))</f>
        <v>-0.88178203420080914</v>
      </c>
      <c r="R2" s="1">
        <f>(Main_S[[#This Row],[ROA]]-VLOOKUP(Main_S[[#This Row],[Industry]], Mean_ROA_S, 2, FALSE))/(VLOOKUP(Main_S[[#This Row],[Industry]], Mean_ROA_S, 3, FALSE))</f>
        <v>-0.80408041853105661</v>
      </c>
      <c r="S2" s="1">
        <f>(Main_S[[#This Row],[A/E]]-VLOOKUP(Main_S[[#This Row],[Industry]], Mean_AE_S, 2, FALSE))/(VLOOKUP(Main_S[[#This Row],[Industry]], Mean_AE_S, 3, FALSE))</f>
        <v>2.3919768386803725E-2</v>
      </c>
      <c r="T2" s="1">
        <f>(Main_S[[#This Row],[P/E]]-VLOOKUP(Main_S[[#This Row],[Industry]], Mean_PE_S, 2, FALSE))/(VLOOKUP(Main_S[[#This Row],[Industry]], Mean_PE_S, 3, FALSE))</f>
        <v>4.2867863861846827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s="67" t="s">
        <v>105</v>
      </c>
      <c r="B3" s="67" t="s">
        <v>720</v>
      </c>
      <c r="C3" s="2">
        <v>998</v>
      </c>
      <c r="D3">
        <f>RTD("tos.rtd", , "LAST", Main_S[[#This Row],[Symbol]])</f>
        <v>21.777999999999999</v>
      </c>
      <c r="E3">
        <v>49.7</v>
      </c>
      <c r="F3">
        <v>44.28</v>
      </c>
      <c r="G3">
        <v>-0.3</v>
      </c>
      <c r="H3" s="1">
        <f>IF(ISNUMBER(Main_S[[#This Row],[Free CF]]),IF(Main_S[[#This Row],[Free CF]]&lt;&gt;0,Main_S[[#This Row],[Current Price]]/Main_S[[#This Row],[Free CF]],""),"")</f>
        <v>0.43818913480885308</v>
      </c>
      <c r="I3" s="1">
        <f>IF(ISNUMBER(Main_S[[#This Row],[BVPS]]),IF(Main_S[[#This Row],[BVPS]]&lt;&gt;0,Main_S[[#This Row],[Current Price]]/Main_S[[#This Row],[BVPS]],""),"")</f>
        <v>0.4918247515808491</v>
      </c>
      <c r="J3">
        <v>-0.15</v>
      </c>
      <c r="K3">
        <v>-0.01</v>
      </c>
      <c r="L3">
        <v>17.78</v>
      </c>
      <c r="M3" s="1">
        <f>IF(ISNUMBER(Main_S[[#This Row],[EPS]]),IF(Main_S[[#This Row],[EPS]]&lt;&gt;0,Main_S[[#This Row],[Current Price]]/Main_S[[#This Row],[EPS]],""),"")</f>
        <v>-72.593333333333334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-2.4770502015125437</v>
      </c>
      <c r="P3" s="1">
        <f>(Main_S[[#This Row],[P/B]]-VLOOKUP(Main_S[[#This Row],[Industry]], Mean_PB_S, 2, FALSE))/(VLOOKUP(Main_S[[#This Row],[Industry]], Mean_PB_S, 3, FALSE))</f>
        <v>-2.0557172895440172</v>
      </c>
      <c r="Q3" s="1">
        <f>(Main_S[[#This Row],[ROE]]-VLOOKUP(Main_S[[#This Row],[Industry]], Mean_ROE_S, 2, FALSE))/(VLOOKUP(Main_S[[#This Row],[Industry]], Mean_ROE_S, 3, FALSE))</f>
        <v>-2.2704872654514157</v>
      </c>
      <c r="R3" s="1">
        <f>(Main_S[[#This Row],[ROA]]-VLOOKUP(Main_S[[#This Row],[Industry]], Mean_ROA_S, 2, FALSE))/(VLOOKUP(Main_S[[#This Row],[Industry]], Mean_ROA_S, 3, FALSE))</f>
        <v>-2.2123568577662418</v>
      </c>
      <c r="S3" s="1">
        <f>(Main_S[[#This Row],[A/E]]-VLOOKUP(Main_S[[#This Row],[Industry]], Mean_AE_S, 2, FALSE))/(VLOOKUP(Main_S[[#This Row],[Industry]], Mean_AE_S, 3, FALSE))</f>
        <v>4.7127288921646562</v>
      </c>
      <c r="T3" s="1">
        <f>(Main_S[[#This Row],[P/E]]-VLOOKUP(Main_S[[#This Row],[Industry]], Mean_PE_S, 2, FALSE))/(VLOOKUP(Main_S[[#This Row],[Industry]], Mean_PE_S, 3, FALSE))</f>
        <v>-32.785753045895426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" spans="1:26" x14ac:dyDescent="0.25">
      <c r="A4" s="67" t="s">
        <v>105</v>
      </c>
      <c r="B4" s="67" t="s">
        <v>524</v>
      </c>
      <c r="C4" s="2">
        <v>1139</v>
      </c>
      <c r="D4">
        <f>RTD("tos.rtd", , "LAST", Main_S[[#This Row],[Symbol]])</f>
        <v>67.06</v>
      </c>
      <c r="E4">
        <v>23.54</v>
      </c>
      <c r="F4">
        <v>60.44</v>
      </c>
      <c r="G4">
        <v>6.65</v>
      </c>
      <c r="H4" s="1">
        <f>IF(ISNUMBER(Main_S[[#This Row],[Free CF]]),IF(Main_S[[#This Row],[Free CF]]&lt;&gt;0,Main_S[[#This Row],[Current Price]]/Main_S[[#This Row],[Free CF]],""),"")</f>
        <v>2.8487680543755314</v>
      </c>
      <c r="I4" s="1">
        <f>IF(ISNUMBER(Main_S[[#This Row],[BVPS]]),IF(Main_S[[#This Row],[BVPS]]&lt;&gt;0,Main_S[[#This Row],[Current Price]]/Main_S[[#This Row],[BVPS]],""),"")</f>
        <v>1.1095301125082728</v>
      </c>
      <c r="J4">
        <v>11.7</v>
      </c>
      <c r="K4">
        <v>1.27</v>
      </c>
      <c r="L4">
        <v>8.9499999999999993</v>
      </c>
      <c r="M4" s="1">
        <f>IF(ISNUMBER(Main_S[[#This Row],[EPS]]),IF(Main_S[[#This Row],[EPS]]&lt;&gt;0,Main_S[[#This Row],[Current Price]]/Main_S[[#This Row],[EPS]],""),"")</f>
        <v>10.08421052631579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-1.8660630941268752</v>
      </c>
      <c r="P4" s="1">
        <f>(Main_S[[#This Row],[P/B]]-VLOOKUP(Main_S[[#This Row],[Industry]], Mean_PB_S, 2, FALSE))/(VLOOKUP(Main_S[[#This Row],[Industry]], Mean_PB_S, 3, FALSE))</f>
        <v>0.1727510924701893</v>
      </c>
      <c r="Q4" s="1">
        <f>(Main_S[[#This Row],[ROE]]-VLOOKUP(Main_S[[#This Row],[Industry]], Mean_ROE_S, 2, FALSE))/(VLOOKUP(Main_S[[#This Row],[Industry]], Mean_ROE_S, 3, FALSE))</f>
        <v>0.59643903948232757</v>
      </c>
      <c r="R4" s="1">
        <f>(Main_S[[#This Row],[ROA]]-VLOOKUP(Main_S[[#This Row],[Industry]], Mean_ROA_S, 2, FALSE))/(VLOOKUP(Main_S[[#This Row],[Industry]], Mean_ROA_S, 3, FALSE))</f>
        <v>0.69505256517091485</v>
      </c>
      <c r="S4" s="1">
        <f>(Main_S[[#This Row],[A/E]]-VLOOKUP(Main_S[[#This Row],[Industry]], Mean_AE_S, 2, FALSE))/(VLOOKUP(Main_S[[#This Row],[Industry]], Mean_AE_S, 3, FALSE))</f>
        <v>-0.36106823564887763</v>
      </c>
      <c r="T4" s="1">
        <f>(Main_S[[#This Row],[P/E]]-VLOOKUP(Main_S[[#This Row],[Industry]], Mean_PE_S, 2, FALSE))/(VLOOKUP(Main_S[[#This Row],[Industry]], Mean_PE_S, 3, FALSE))</f>
        <v>-0.74793251638149327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7" t="s">
        <v>105</v>
      </c>
      <c r="B5" s="67" t="s">
        <v>445</v>
      </c>
      <c r="C5" s="2">
        <v>1321</v>
      </c>
      <c r="D5">
        <f>RTD("tos.rtd", , "LAST", Main_S[[#This Row],[Symbol]])</f>
        <v>89.44</v>
      </c>
      <c r="E5">
        <v>18.96</v>
      </c>
      <c r="F5">
        <v>29.98</v>
      </c>
      <c r="G5">
        <v>3.36</v>
      </c>
      <c r="H5" s="1">
        <f>IF(ISNUMBER(Main_S[[#This Row],[Free CF]]),IF(Main_S[[#This Row],[Free CF]]&lt;&gt;0,Main_S[[#This Row],[Current Price]]/Main_S[[#This Row],[Free CF]],""),"")</f>
        <v>4.7172995780590714</v>
      </c>
      <c r="I5" s="1">
        <f>IF(ISNUMBER(Main_S[[#This Row],[BVPS]]),IF(Main_S[[#This Row],[BVPS]]&lt;&gt;0,Main_S[[#This Row],[Current Price]]/Main_S[[#This Row],[BVPS]],""),"")</f>
        <v>2.9833222148098733</v>
      </c>
      <c r="J5">
        <v>12.78</v>
      </c>
      <c r="K5">
        <v>1.17</v>
      </c>
      <c r="L5">
        <v>9.64</v>
      </c>
      <c r="M5" s="1">
        <f>IF(ISNUMBER(Main_S[[#This Row],[EPS]]),IF(Main_S[[#This Row],[EPS]]&lt;&gt;0,Main_S[[#This Row],[Current Price]]/Main_S[[#This Row],[EPS]],""),"")</f>
        <v>26.61904761904762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-1.3924637187039943</v>
      </c>
      <c r="P5" s="1">
        <f>(Main_S[[#This Row],[P/B]]-VLOOKUP(Main_S[[#This Row],[Industry]], Mean_PB_S, 2, FALSE))/(VLOOKUP(Main_S[[#This Row],[Industry]], Mean_PB_S, 3, FALSE))</f>
        <v>6.9327482020592406</v>
      </c>
      <c r="Q5" s="1">
        <f>(Main_S[[#This Row],[ROE]]-VLOOKUP(Main_S[[#This Row],[Industry]], Mean_ROE_S, 2, FALSE))/(VLOOKUP(Main_S[[#This Row],[Industry]], Mean_ROE_S, 3, FALSE))</f>
        <v>0.85772852550160539</v>
      </c>
      <c r="R5" s="1">
        <f>(Main_S[[#This Row],[ROA]]-VLOOKUP(Main_S[[#This Row],[Industry]], Mean_ROA_S, 2, FALSE))/(VLOOKUP(Main_S[[#This Row],[Industry]], Mean_ROA_S, 3, FALSE))</f>
        <v>0.46791120400394931</v>
      </c>
      <c r="S5" s="1">
        <f>(Main_S[[#This Row],[A/E]]-VLOOKUP(Main_S[[#This Row],[Industry]], Mean_AE_S, 2, FALSE))/(VLOOKUP(Main_S[[#This Row],[Industry]], Mean_AE_S, 3, FALSE))</f>
        <v>3.5411947611750212E-2</v>
      </c>
      <c r="T5" s="1">
        <f>(Main_S[[#This Row],[P/E]]-VLOOKUP(Main_S[[#This Row],[Industry]], Mean_PE_S, 2, FALSE))/(VLOOKUP(Main_S[[#This Row],[Industry]], Mean_PE_S, 3, FALSE))</f>
        <v>5.6593713116200144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" spans="1:26" x14ac:dyDescent="0.25">
      <c r="A6" s="67" t="s">
        <v>105</v>
      </c>
      <c r="B6" s="67" t="s">
        <v>520</v>
      </c>
      <c r="C6" s="2">
        <v>1039</v>
      </c>
      <c r="D6">
        <f>RTD("tos.rtd", , "LAST", Main_S[[#This Row],[Symbol]])</f>
        <v>84.5</v>
      </c>
      <c r="E6">
        <v>12.26</v>
      </c>
      <c r="F6">
        <v>59.3</v>
      </c>
      <c r="G6">
        <v>9.43</v>
      </c>
      <c r="H6" s="1">
        <f>IF(ISNUMBER(Main_S[[#This Row],[Free CF]]),IF(Main_S[[#This Row],[Free CF]]&lt;&gt;0,Main_S[[#This Row],[Current Price]]/Main_S[[#This Row],[Free CF]],""),"")</f>
        <v>6.8923327895595436</v>
      </c>
      <c r="I6" s="1">
        <f>IF(ISNUMBER(Main_S[[#This Row],[BVPS]]),IF(Main_S[[#This Row],[BVPS]]&lt;&gt;0,Main_S[[#This Row],[Current Price]]/Main_S[[#This Row],[BVPS]],""),"")</f>
        <v>1.4249578414839799</v>
      </c>
      <c r="J6">
        <v>17.21</v>
      </c>
      <c r="K6">
        <v>1.84</v>
      </c>
      <c r="L6">
        <v>9.1199999999999992</v>
      </c>
      <c r="M6" s="1">
        <f>IF(ISNUMBER(Main_S[[#This Row],[EPS]]),IF(Main_S[[#This Row],[EPS]]&lt;&gt;0,Main_S[[#This Row],[Current Price]]/Main_S[[#This Row],[EPS]],""),"")</f>
        <v>8.960763520678686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-0.8411781998704857</v>
      </c>
      <c r="P6" s="1">
        <f>(Main_S[[#This Row],[P/B]]-VLOOKUP(Main_S[[#This Row],[Industry]], Mean_PB_S, 2, FALSE))/(VLOOKUP(Main_S[[#This Row],[Industry]], Mean_PB_S, 3, FALSE))</f>
        <v>1.3107057959513819</v>
      </c>
      <c r="Q6" s="1">
        <f>(Main_S[[#This Row],[ROE]]-VLOOKUP(Main_S[[#This Row],[Industry]], Mean_ROE_S, 2, FALSE))/(VLOOKUP(Main_S[[#This Row],[Industry]], Mean_ROE_S, 3, FALSE))</f>
        <v>1.9294992875991992</v>
      </c>
      <c r="R6" s="1">
        <f>(Main_S[[#This Row],[ROA]]-VLOOKUP(Main_S[[#This Row],[Industry]], Mean_ROA_S, 2, FALSE))/(VLOOKUP(Main_S[[#This Row],[Industry]], Mean_ROA_S, 3, FALSE))</f>
        <v>1.9897583238226175</v>
      </c>
      <c r="S6" s="1">
        <f>(Main_S[[#This Row],[A/E]]-VLOOKUP(Main_S[[#This Row],[Industry]], Mean_AE_S, 2, FALSE))/(VLOOKUP(Main_S[[#This Row],[Industry]], Mean_AE_S, 3, FALSE))</f>
        <v>-0.26338471223683912</v>
      </c>
      <c r="T6" s="1">
        <f>(Main_S[[#This Row],[P/E]]-VLOOKUP(Main_S[[#This Row],[Industry]], Mean_PE_S, 2, FALSE))/(VLOOKUP(Main_S[[#This Row],[Industry]], Mean_PE_S, 3, FALSE))</f>
        <v>-1.1832719309403199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7" t="s">
        <v>105</v>
      </c>
      <c r="B7" s="67" t="s">
        <v>497</v>
      </c>
      <c r="C7" s="2">
        <v>1252</v>
      </c>
      <c r="D7">
        <f>RTD("tos.rtd", , "LAST", Main_S[[#This Row],[Symbol]])</f>
        <v>28.56</v>
      </c>
      <c r="E7">
        <v>11.53</v>
      </c>
      <c r="F7">
        <v>22.53</v>
      </c>
      <c r="G7">
        <v>1.3</v>
      </c>
      <c r="H7" s="1">
        <f>IF(ISNUMBER(Main_S[[#This Row],[Free CF]]),IF(Main_S[[#This Row],[Free CF]]&lt;&gt;0,Main_S[[#This Row],[Current Price]]/Main_S[[#This Row],[Free CF]],""),"")</f>
        <v>2.477016478751084</v>
      </c>
      <c r="I7" s="1">
        <f>IF(ISNUMBER(Main_S[[#This Row],[BVPS]]),IF(Main_S[[#This Row],[BVPS]]&lt;&gt;0,Main_S[[#This Row],[Current Price]]/Main_S[[#This Row],[BVPS]],""),"")</f>
        <v>1.2676431424766976</v>
      </c>
      <c r="J7">
        <v>6.07</v>
      </c>
      <c r="K7">
        <v>0.47</v>
      </c>
      <c r="L7">
        <v>13.24</v>
      </c>
      <c r="M7" s="1">
        <f>IF(ISNUMBER(Main_S[[#This Row],[EPS]]),IF(Main_S[[#This Row],[EPS]]&lt;&gt;0,Main_S[[#This Row],[Current Price]]/Main_S[[#This Row],[EPS]],""),"")</f>
        <v>21.969230769230766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-1.9602875221317775</v>
      </c>
      <c r="P7" s="1">
        <f>(Main_S[[#This Row],[P/B]]-VLOOKUP(Main_S[[#This Row],[Industry]], Mean_PB_S, 2, FALSE))/(VLOOKUP(Main_S[[#This Row],[Industry]], Mean_PB_S, 3, FALSE))</f>
        <v>0.74316849590680634</v>
      </c>
      <c r="Q7" s="1">
        <f>(Main_S[[#This Row],[ROE]]-VLOOKUP(Main_S[[#This Row],[Industry]], Mean_ROE_S, 2, FALSE))/(VLOOKUP(Main_S[[#This Row],[Industry]], Mean_ROE_S, 3, FALSE))</f>
        <v>-0.76565337374779663</v>
      </c>
      <c r="R7" s="1">
        <f>(Main_S[[#This Row],[ROA]]-VLOOKUP(Main_S[[#This Row],[Industry]], Mean_ROA_S, 2, FALSE))/(VLOOKUP(Main_S[[#This Row],[Industry]], Mean_ROA_S, 3, FALSE))</f>
        <v>-1.1220783241648082</v>
      </c>
      <c r="S7" s="1">
        <f>(Main_S[[#This Row],[A/E]]-VLOOKUP(Main_S[[#This Row],[Industry]], Mean_AE_S, 2, FALSE))/(VLOOKUP(Main_S[[#This Row],[Industry]], Mean_AE_S, 3, FALSE))</f>
        <v>2.1040042081019785</v>
      </c>
      <c r="T7" s="1">
        <f>(Main_S[[#This Row],[P/E]]-VLOOKUP(Main_S[[#This Row],[Industry]], Mean_PE_S, 2, FALSE))/(VLOOKUP(Main_S[[#This Row],[Industry]], Mean_PE_S, 3, FALSE))</f>
        <v>3.8575519689647808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" spans="1:26" x14ac:dyDescent="0.25">
      <c r="A8" s="67" t="s">
        <v>105</v>
      </c>
      <c r="B8" s="67" t="s">
        <v>499</v>
      </c>
      <c r="C8" s="2">
        <v>689</v>
      </c>
      <c r="D8">
        <f>RTD("tos.rtd", , "LAST", Main_S[[#This Row],[Symbol]])</f>
        <v>65.38</v>
      </c>
      <c r="E8">
        <v>11.3</v>
      </c>
      <c r="F8">
        <v>66.680000000000007</v>
      </c>
      <c r="G8">
        <v>5.92</v>
      </c>
      <c r="H8" s="1">
        <f>IF(ISNUMBER(Main_S[[#This Row],[Free CF]]),IF(Main_S[[#This Row],[Free CF]]&lt;&gt;0,Main_S[[#This Row],[Current Price]]/Main_S[[#This Row],[Free CF]],""),"")</f>
        <v>5.785840707964601</v>
      </c>
      <c r="I8" s="1">
        <f>IF(ISNUMBER(Main_S[[#This Row],[BVPS]]),IF(Main_S[[#This Row],[BVPS]]&lt;&gt;0,Main_S[[#This Row],[Current Price]]/Main_S[[#This Row],[BVPS]],""),"")</f>
        <v>0.98050389922015579</v>
      </c>
      <c r="J8">
        <v>9.4700000000000006</v>
      </c>
      <c r="K8">
        <v>0.89</v>
      </c>
      <c r="L8">
        <v>10.32</v>
      </c>
      <c r="M8" s="1">
        <f>IF(ISNUMBER(Main_S[[#This Row],[EPS]]),IF(Main_S[[#This Row],[EPS]]&lt;&gt;0,Main_S[[#This Row],[Current Price]]/Main_S[[#This Row],[EPS]],""),"")</f>
        <v>11.043918918918918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-1.1216304973627276</v>
      </c>
      <c r="P8" s="1">
        <f>(Main_S[[#This Row],[P/B]]-VLOOKUP(Main_S[[#This Row],[Industry]], Mean_PB_S, 2, FALSE))/(VLOOKUP(Main_S[[#This Row],[Industry]], Mean_PB_S, 3, FALSE))</f>
        <v>-0.29273108552465743</v>
      </c>
      <c r="Q8" s="1">
        <f>(Main_S[[#This Row],[ROE]]-VLOOKUP(Main_S[[#This Row],[Industry]], Mean_ROE_S, 2, FALSE))/(VLOOKUP(Main_S[[#This Row],[Industry]], Mean_ROE_S, 3, FALSE))</f>
        <v>5.6924637794374504E-2</v>
      </c>
      <c r="R8" s="1">
        <f>(Main_S[[#This Row],[ROA]]-VLOOKUP(Main_S[[#This Row],[Industry]], Mean_ROA_S, 2, FALSE))/(VLOOKUP(Main_S[[#This Row],[Industry]], Mean_ROA_S, 3, FALSE))</f>
        <v>-0.16808460726355351</v>
      </c>
      <c r="S8" s="1">
        <f>(Main_S[[#This Row],[A/E]]-VLOOKUP(Main_S[[#This Row],[Industry]], Mean_AE_S, 2, FALSE))/(VLOOKUP(Main_S[[#This Row],[Industry]], Mean_AE_S, 3, FALSE))</f>
        <v>0.4261460412599043</v>
      </c>
      <c r="T8" s="1">
        <f>(Main_S[[#This Row],[P/E]]-VLOOKUP(Main_S[[#This Row],[Industry]], Mean_PE_S, 2, FALSE))/(VLOOKUP(Main_S[[#This Row],[Industry]], Mean_PE_S, 3, FALSE))</f>
        <v>-0.376042353617558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7" t="s">
        <v>105</v>
      </c>
      <c r="B9" s="67" t="s">
        <v>507</v>
      </c>
      <c r="C9" s="2">
        <v>1849</v>
      </c>
      <c r="D9">
        <f>RTD("tos.rtd", , "LAST", Main_S[[#This Row],[Symbol]])</f>
        <v>118.05</v>
      </c>
      <c r="E9">
        <v>9.15</v>
      </c>
      <c r="F9">
        <v>78.11</v>
      </c>
      <c r="G9">
        <v>8.31</v>
      </c>
      <c r="H9" s="1">
        <f>IF(ISNUMBER(Main_S[[#This Row],[Free CF]]),IF(Main_S[[#This Row],[Free CF]]&lt;&gt;0,Main_S[[#This Row],[Current Price]]/Main_S[[#This Row],[Free CF]],""),"")</f>
        <v>12.901639344262295</v>
      </c>
      <c r="I9" s="1">
        <f>IF(ISNUMBER(Main_S[[#This Row],[BVPS]]),IF(Main_S[[#This Row],[BVPS]]&lt;&gt;0,Main_S[[#This Row],[Current Price]]/Main_S[[#This Row],[BVPS]],""),"")</f>
        <v>1.5113301753936756</v>
      </c>
      <c r="J9">
        <v>11.47</v>
      </c>
      <c r="K9">
        <v>1.48</v>
      </c>
      <c r="L9">
        <v>7.59</v>
      </c>
      <c r="M9" s="1">
        <f>IF(ISNUMBER(Main_S[[#This Row],[EPS]]),IF(Main_S[[#This Row],[EPS]]&lt;&gt;0,Main_S[[#This Row],[Current Price]]/Main_S[[#This Row],[EPS]],""),"")</f>
        <v>14.205776173285198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0.68194506294788082</v>
      </c>
      <c r="P9" s="1">
        <f>(Main_S[[#This Row],[P/B]]-VLOOKUP(Main_S[[#This Row],[Industry]], Mean_PB_S, 2, FALSE))/(VLOOKUP(Main_S[[#This Row],[Industry]], Mean_PB_S, 3, FALSE))</f>
        <v>1.6223074548871952</v>
      </c>
      <c r="Q9" s="1">
        <f>(Main_S[[#This Row],[ROE]]-VLOOKUP(Main_S[[#This Row],[Industry]], Mean_ROE_S, 2, FALSE))/(VLOOKUP(Main_S[[#This Row],[Industry]], Mean_ROE_S, 3, FALSE))</f>
        <v>0.54079405634859279</v>
      </c>
      <c r="R9" s="1">
        <f>(Main_S[[#This Row],[ROA]]-VLOOKUP(Main_S[[#This Row],[Industry]], Mean_ROA_S, 2, FALSE))/(VLOOKUP(Main_S[[#This Row],[Industry]], Mean_ROA_S, 3, FALSE))</f>
        <v>1.172049423621542</v>
      </c>
      <c r="S9" s="1">
        <f>(Main_S[[#This Row],[A/E]]-VLOOKUP(Main_S[[#This Row],[Industry]], Mean_AE_S, 2, FALSE))/(VLOOKUP(Main_S[[#This Row],[Industry]], Mean_AE_S, 3, FALSE))</f>
        <v>-1.1425364229451858</v>
      </c>
      <c r="T9" s="1">
        <f>(Main_S[[#This Row],[P/E]]-VLOOKUP(Main_S[[#This Row],[Industry]], Mean_PE_S, 2, FALSE))/(VLOOKUP(Main_S[[#This Row],[Industry]], Mean_PE_S, 3, FALSE))</f>
        <v>0.84918774546824338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7" t="s">
        <v>105</v>
      </c>
      <c r="B10" s="67" t="s">
        <v>488</v>
      </c>
      <c r="C10" s="2">
        <v>529</v>
      </c>
      <c r="D10">
        <f>RTD("tos.rtd", , "LAST", Main_S[[#This Row],[Symbol]])</f>
        <v>227.55</v>
      </c>
      <c r="E10">
        <v>8.94</v>
      </c>
      <c r="F10">
        <v>200.69</v>
      </c>
      <c r="G10">
        <v>12.96</v>
      </c>
      <c r="H10" s="1">
        <f>IF(ISNUMBER(Main_S[[#This Row],[Free CF]]),IF(Main_S[[#This Row],[Free CF]]&lt;&gt;0,Main_S[[#This Row],[Current Price]]/Main_S[[#This Row],[Free CF]],""),"")</f>
        <v>25.45302013422819</v>
      </c>
      <c r="I10" s="1">
        <f>IF(ISNUMBER(Main_S[[#This Row],[BVPS]]),IF(Main_S[[#This Row],[BVPS]]&lt;&gt;0,Main_S[[#This Row],[Current Price]]/Main_S[[#This Row],[BVPS]],""),"")</f>
        <v>1.133838258009866</v>
      </c>
      <c r="J10">
        <v>6.68</v>
      </c>
      <c r="K10">
        <v>0.63</v>
      </c>
      <c r="L10">
        <v>10.34</v>
      </c>
      <c r="M10" s="1">
        <f>IF(ISNUMBER(Main_S[[#This Row],[EPS]]),IF(Main_S[[#This Row],[EPS]]&lt;&gt;0,Main_S[[#This Row],[Current Price]]/Main_S[[#This Row],[EPS]],""),"")</f>
        <v>17.55787037037037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3.8632272770708806</v>
      </c>
      <c r="P10" s="1">
        <f>(Main_S[[#This Row],[P/B]]-VLOOKUP(Main_S[[#This Row],[Industry]], Mean_PB_S, 2, FALSE))/(VLOOKUP(Main_S[[#This Row],[Industry]], Mean_PB_S, 3, FALSE))</f>
        <v>0.26044651670023083</v>
      </c>
      <c r="Q10" s="1">
        <f>(Main_S[[#This Row],[ROE]]-VLOOKUP(Main_S[[#This Row],[Industry]], Mean_ROE_S, 2, FALSE))/(VLOOKUP(Main_S[[#This Row],[Industry]], Mean_ROE_S, 3, FALSE))</f>
        <v>-0.61807320108876018</v>
      </c>
      <c r="R10" s="1">
        <f>(Main_S[[#This Row],[ROA]]-VLOOKUP(Main_S[[#This Row],[Industry]], Mean_ROA_S, 2, FALSE))/(VLOOKUP(Main_S[[#This Row],[Industry]], Mean_ROA_S, 3, FALSE))</f>
        <v>-0.75865214629766353</v>
      </c>
      <c r="S10" s="1">
        <f>(Main_S[[#This Row],[A/E]]-VLOOKUP(Main_S[[#This Row],[Industry]], Mean_AE_S, 2, FALSE))/(VLOOKUP(Main_S[[#This Row],[Industry]], Mean_AE_S, 3, FALSE))</f>
        <v>0.43763822048484979</v>
      </c>
      <c r="T10" s="1">
        <f>(Main_S[[#This Row],[P/E]]-VLOOKUP(Main_S[[#This Row],[Industry]], Mean_PE_S, 2, FALSE))/(VLOOKUP(Main_S[[#This Row],[Industry]], Mean_PE_S, 3, FALSE))</f>
        <v>2.1481352863694134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7" t="s">
        <v>105</v>
      </c>
      <c r="B11" s="67" t="s">
        <v>449</v>
      </c>
      <c r="C11" s="2">
        <v>1707</v>
      </c>
      <c r="D11">
        <f>RTD("tos.rtd", , "LAST", Main_S[[#This Row],[Symbol]])</f>
        <v>118.64</v>
      </c>
      <c r="E11">
        <v>8.81</v>
      </c>
      <c r="F11">
        <v>51.63</v>
      </c>
      <c r="G11">
        <v>7.98</v>
      </c>
      <c r="H11" s="1">
        <f>IF(ISNUMBER(Main_S[[#This Row],[Free CF]]),IF(Main_S[[#This Row],[Free CF]]&lt;&gt;0,Main_S[[#This Row],[Current Price]]/Main_S[[#This Row],[Free CF]],""),"")</f>
        <v>13.466515323496026</v>
      </c>
      <c r="I11" s="1">
        <f>IF(ISNUMBER(Main_S[[#This Row],[BVPS]]),IF(Main_S[[#This Row],[BVPS]]&lt;&gt;0,Main_S[[#This Row],[Current Price]]/Main_S[[#This Row],[BVPS]],""),"")</f>
        <v>2.2978888243269417</v>
      </c>
      <c r="J11">
        <v>16.39</v>
      </c>
      <c r="K11">
        <v>1.82</v>
      </c>
      <c r="L11">
        <v>8.76</v>
      </c>
      <c r="M11" s="1">
        <f>IF(ISNUMBER(Main_S[[#This Row],[EPS]]),IF(Main_S[[#This Row],[EPS]]&lt;&gt;0,Main_S[[#This Row],[Current Price]]/Main_S[[#This Row],[EPS]],""),"")</f>
        <v>14.867167919799497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0.82511894445087886</v>
      </c>
      <c r="P11" s="1">
        <f>(Main_S[[#This Row],[P/B]]-VLOOKUP(Main_S[[#This Row],[Industry]], Mean_PB_S, 2, FALSE))/(VLOOKUP(Main_S[[#This Row],[Industry]], Mean_PB_S, 3, FALSE))</f>
        <v>4.4599403954786574</v>
      </c>
      <c r="Q11" s="1">
        <f>(Main_S[[#This Row],[ROE]]-VLOOKUP(Main_S[[#This Row],[Industry]], Mean_ROE_S, 2, FALSE))/(VLOOKUP(Main_S[[#This Row],[Industry]], Mean_ROE_S, 3, FALSE))</f>
        <v>1.7311128259919697</v>
      </c>
      <c r="R11" s="1">
        <f>(Main_S[[#This Row],[ROA]]-VLOOKUP(Main_S[[#This Row],[Industry]], Mean_ROA_S, 2, FALSE))/(VLOOKUP(Main_S[[#This Row],[Industry]], Mean_ROA_S, 3, FALSE))</f>
        <v>1.9443300515892246</v>
      </c>
      <c r="S11" s="1">
        <f>(Main_S[[#This Row],[A/E]]-VLOOKUP(Main_S[[#This Row],[Industry]], Mean_AE_S, 2, FALSE))/(VLOOKUP(Main_S[[#This Row],[Industry]], Mean_AE_S, 3, FALSE))</f>
        <v>-0.47024393828586164</v>
      </c>
      <c r="T11" s="1">
        <f>(Main_S[[#This Row],[P/E]]-VLOOKUP(Main_S[[#This Row],[Industry]], Mean_PE_S, 2, FALSE))/(VLOOKUP(Main_S[[#This Row],[Industry]], Mean_PE_S, 3, FALSE))</f>
        <v>1.1054792254195303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7" t="s">
        <v>105</v>
      </c>
      <c r="B12" s="67" t="s">
        <v>533</v>
      </c>
      <c r="C12" s="2">
        <v>1488</v>
      </c>
      <c r="D12">
        <f>RTD("tos.rtd", , "LAST", Main_S[[#This Row],[Symbol]])</f>
        <v>61.2</v>
      </c>
      <c r="E12">
        <v>8.5399999999999991</v>
      </c>
      <c r="F12">
        <v>47.29</v>
      </c>
      <c r="G12">
        <v>5.69</v>
      </c>
      <c r="H12" s="1">
        <f>IF(ISNUMBER(Main_S[[#This Row],[Free CF]]),IF(Main_S[[#This Row],[Free CF]]&lt;&gt;0,Main_S[[#This Row],[Current Price]]/Main_S[[#This Row],[Free CF]],""),"")</f>
        <v>7.1662763466042163</v>
      </c>
      <c r="I12" s="1">
        <f>IF(ISNUMBER(Main_S[[#This Row],[BVPS]]),IF(Main_S[[#This Row],[BVPS]]&lt;&gt;0,Main_S[[#This Row],[Current Price]]/Main_S[[#This Row],[BVPS]],""),"")</f>
        <v>1.2941425248466907</v>
      </c>
      <c r="J12">
        <v>12.22</v>
      </c>
      <c r="K12">
        <v>1.6</v>
      </c>
      <c r="L12">
        <v>7.72</v>
      </c>
      <c r="M12" s="1">
        <f>IF(ISNUMBER(Main_S[[#This Row],[EPS]]),IF(Main_S[[#This Row],[EPS]]&lt;&gt;0,Main_S[[#This Row],[Current Price]]/Main_S[[#This Row],[EPS]],""),"")</f>
        <v>10.755711775043936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-0.77174426425150477</v>
      </c>
      <c r="P12" s="1">
        <f>(Main_S[[#This Row],[P/B]]-VLOOKUP(Main_S[[#This Row],[Industry]], Mean_PB_S, 2, FALSE))/(VLOOKUP(Main_S[[#This Row],[Industry]], Mean_PB_S, 3, FALSE))</f>
        <v>0.83876914872576824</v>
      </c>
      <c r="Q12" s="1">
        <f>(Main_S[[#This Row],[ROE]]-VLOOKUP(Main_S[[#This Row],[Industry]], Mean_ROE_S, 2, FALSE))/(VLOOKUP(Main_S[[#This Row],[Industry]], Mean_ROE_S, 3, FALSE))</f>
        <v>0.72224508830642464</v>
      </c>
      <c r="R12" s="1">
        <f>(Main_S[[#This Row],[ROA]]-VLOOKUP(Main_S[[#This Row],[Industry]], Mean_ROA_S, 2, FALSE))/(VLOOKUP(Main_S[[#This Row],[Industry]], Mean_ROA_S, 3, FALSE))</f>
        <v>1.4446190570219009</v>
      </c>
      <c r="S12" s="1">
        <f>(Main_S[[#This Row],[A/E]]-VLOOKUP(Main_S[[#This Row],[Industry]], Mean_AE_S, 2, FALSE))/(VLOOKUP(Main_S[[#This Row],[Industry]], Mean_AE_S, 3, FALSE))</f>
        <v>-1.0678372579830389</v>
      </c>
      <c r="T12" s="1">
        <f>(Main_S[[#This Row],[P/E]]-VLOOKUP(Main_S[[#This Row],[Industry]], Mean_PE_S, 2, FALSE))/(VLOOKUP(Main_S[[#This Row],[Industry]], Mean_PE_S, 3, FALSE))</f>
        <v>-0.48772357102847919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7" t="s">
        <v>105</v>
      </c>
      <c r="B13" s="67" t="s">
        <v>526</v>
      </c>
      <c r="C13" s="2">
        <v>1338</v>
      </c>
      <c r="D13">
        <f>RTD("tos.rtd", , "LAST", Main_S[[#This Row],[Symbol]])</f>
        <v>69.64</v>
      </c>
      <c r="E13">
        <v>8.42</v>
      </c>
      <c r="F13">
        <v>52.98</v>
      </c>
      <c r="G13">
        <v>5.97</v>
      </c>
      <c r="H13" s="1">
        <f>IF(ISNUMBER(Main_S[[#This Row],[Free CF]]),IF(Main_S[[#This Row],[Free CF]]&lt;&gt;0,Main_S[[#This Row],[Current Price]]/Main_S[[#This Row],[Free CF]],""),"")</f>
        <v>8.2707838479809972</v>
      </c>
      <c r="I13" s="1">
        <f>IF(ISNUMBER(Main_S[[#This Row],[BVPS]]),IF(Main_S[[#This Row],[BVPS]]&lt;&gt;0,Main_S[[#This Row],[Current Price]]/Main_S[[#This Row],[BVPS]],""),"")</f>
        <v>1.3144582861457155</v>
      </c>
      <c r="J13">
        <v>11.98</v>
      </c>
      <c r="K13">
        <v>1.69</v>
      </c>
      <c r="L13">
        <v>6.84</v>
      </c>
      <c r="M13" s="1">
        <f>IF(ISNUMBER(Main_S[[#This Row],[EPS]]),IF(Main_S[[#This Row],[EPS]]&lt;&gt;0,Main_S[[#This Row],[Current Price]]/Main_S[[#This Row],[EPS]],""),"")</f>
        <v>11.66499162479062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-0.49179497992221183</v>
      </c>
      <c r="P13" s="1">
        <f>(Main_S[[#This Row],[P/B]]-VLOOKUP(Main_S[[#This Row],[Industry]], Mean_PB_S, 2, FALSE))/(VLOOKUP(Main_S[[#This Row],[Industry]], Mean_PB_S, 3, FALSE))</f>
        <v>0.91206142458274253</v>
      </c>
      <c r="Q13" s="1">
        <f>(Main_S[[#This Row],[ROE]]-VLOOKUP(Main_S[[#This Row],[Industry]], Mean_ROE_S, 2, FALSE))/(VLOOKUP(Main_S[[#This Row],[Industry]], Mean_ROE_S, 3, FALSE))</f>
        <v>0.66418075807991839</v>
      </c>
      <c r="R13" s="1">
        <f>(Main_S[[#This Row],[ROA]]-VLOOKUP(Main_S[[#This Row],[Industry]], Mean_ROA_S, 2, FALSE))/(VLOOKUP(Main_S[[#This Row],[Industry]], Mean_ROA_S, 3, FALSE))</f>
        <v>1.6490462820721692</v>
      </c>
      <c r="S13" s="1">
        <f>(Main_S[[#This Row],[A/E]]-VLOOKUP(Main_S[[#This Row],[Industry]], Mean_AE_S, 2, FALSE))/(VLOOKUP(Main_S[[#This Row],[Industry]], Mean_AE_S, 3, FALSE))</f>
        <v>-1.5734931438806501</v>
      </c>
      <c r="T13" s="1">
        <f>(Main_S[[#This Row],[P/E]]-VLOOKUP(Main_S[[#This Row],[Industry]], Mean_PE_S, 2, FALSE))/(VLOOKUP(Main_S[[#This Row],[Industry]], Mean_PE_S, 3, FALSE))</f>
        <v>-0.1353746346989225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7" t="s">
        <v>105</v>
      </c>
      <c r="B14" s="67" t="s">
        <v>478</v>
      </c>
      <c r="C14" s="2">
        <v>296</v>
      </c>
      <c r="D14">
        <f>RTD("tos.rtd", , "LAST", Main_S[[#This Row],[Symbol]])</f>
        <v>38.31</v>
      </c>
      <c r="E14">
        <v>7.44</v>
      </c>
      <c r="F14">
        <v>39.119999999999997</v>
      </c>
      <c r="G14">
        <v>4.3099999999999996</v>
      </c>
      <c r="H14" s="1">
        <f>IF(ISNUMBER(Main_S[[#This Row],[Free CF]]),IF(Main_S[[#This Row],[Free CF]]&lt;&gt;0,Main_S[[#This Row],[Current Price]]/Main_S[[#This Row],[Free CF]],""),"")</f>
        <v>5.149193548387097</v>
      </c>
      <c r="I14" s="1">
        <f>IF(ISNUMBER(Main_S[[#This Row],[BVPS]]),IF(Main_S[[#This Row],[BVPS]]&lt;&gt;0,Main_S[[#This Row],[Current Price]]/Main_S[[#This Row],[BVPS]],""),"")</f>
        <v>0.97929447852760754</v>
      </c>
      <c r="J14">
        <v>12.01</v>
      </c>
      <c r="K14">
        <v>1.1499999999999999</v>
      </c>
      <c r="L14">
        <v>10.26</v>
      </c>
      <c r="M14" s="1">
        <f>IF(ISNUMBER(Main_S[[#This Row],[EPS]]),IF(Main_S[[#This Row],[EPS]]&lt;&gt;0,Main_S[[#This Row],[Current Price]]/Main_S[[#This Row],[EPS]],""),"")</f>
        <v>8.888631090487241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-1.2829955550665777</v>
      </c>
      <c r="P14" s="1">
        <f>(Main_S[[#This Row],[P/B]]-VLOOKUP(Main_S[[#This Row],[Industry]], Mean_PB_S, 2, FALSE))/(VLOOKUP(Main_S[[#This Row],[Industry]], Mean_PB_S, 3, FALSE))</f>
        <v>-0.29709425920644483</v>
      </c>
      <c r="Q14" s="1">
        <f>(Main_S[[#This Row],[ROE]]-VLOOKUP(Main_S[[#This Row],[Industry]], Mean_ROE_S, 2, FALSE))/(VLOOKUP(Main_S[[#This Row],[Industry]], Mean_ROE_S, 3, FALSE))</f>
        <v>0.67143879935823148</v>
      </c>
      <c r="R14" s="1">
        <f>(Main_S[[#This Row],[ROA]]-VLOOKUP(Main_S[[#This Row],[Industry]], Mean_ROA_S, 2, FALSE))/(VLOOKUP(Main_S[[#This Row],[Industry]], Mean_ROA_S, 3, FALSE))</f>
        <v>0.42248293177055618</v>
      </c>
      <c r="S14" s="1">
        <f>(Main_S[[#This Row],[A/E]]-VLOOKUP(Main_S[[#This Row],[Industry]], Mean_AE_S, 2, FALSE))/(VLOOKUP(Main_S[[#This Row],[Industry]], Mean_AE_S, 3, FALSE))</f>
        <v>0.39166950358506686</v>
      </c>
      <c r="T14" s="1">
        <f>(Main_S[[#This Row],[P/E]]-VLOOKUP(Main_S[[#This Row],[Industry]], Mean_PE_S, 2, FALSE))/(VLOOKUP(Main_S[[#This Row],[Industry]], Mean_PE_S, 3, FALSE))</f>
        <v>-1.2112234851949337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7" t="s">
        <v>105</v>
      </c>
      <c r="B15" s="67" t="s">
        <v>464</v>
      </c>
      <c r="C15" s="2">
        <v>406</v>
      </c>
      <c r="D15">
        <f>RTD("tos.rtd", , "LAST", Main_S[[#This Row],[Symbol]])</f>
        <v>48.19</v>
      </c>
      <c r="E15">
        <v>7.28</v>
      </c>
      <c r="F15">
        <v>39.04</v>
      </c>
      <c r="G15">
        <v>5.48</v>
      </c>
      <c r="H15" s="1">
        <f>IF(ISNUMBER(Main_S[[#This Row],[Free CF]]),IF(Main_S[[#This Row],[Free CF]]&lt;&gt;0,Main_S[[#This Row],[Current Price]]/Main_S[[#This Row],[Free CF]],""),"")</f>
        <v>6.6195054945054936</v>
      </c>
      <c r="I15" s="1">
        <f>IF(ISNUMBER(Main_S[[#This Row],[BVPS]]),IF(Main_S[[#This Row],[BVPS]]&lt;&gt;0,Main_S[[#This Row],[Current Price]]/Main_S[[#This Row],[BVPS]],""),"")</f>
        <v>1.234375</v>
      </c>
      <c r="J15">
        <v>14.69</v>
      </c>
      <c r="K15">
        <v>1.25</v>
      </c>
      <c r="L15">
        <v>12.17</v>
      </c>
      <c r="M15" s="1">
        <f>IF(ISNUMBER(Main_S[[#This Row],[EPS]]),IF(Main_S[[#This Row],[EPS]]&lt;&gt;0,Main_S[[#This Row],[Current Price]]/Main_S[[#This Row],[EPS]],""),"")</f>
        <v>8.7937956204379546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-0.91032920690364061</v>
      </c>
      <c r="P15" s="1">
        <f>(Main_S[[#This Row],[P/B]]-VLOOKUP(Main_S[[#This Row],[Industry]], Mean_PB_S, 2, FALSE))/(VLOOKUP(Main_S[[#This Row],[Industry]], Mean_PB_S, 3, FALSE))</f>
        <v>0.62314848583864846</v>
      </c>
      <c r="Q15" s="1">
        <f>(Main_S[[#This Row],[ROE]]-VLOOKUP(Main_S[[#This Row],[Industry]], Mean_ROE_S, 2, FALSE))/(VLOOKUP(Main_S[[#This Row],[Industry]], Mean_ROE_S, 3, FALSE))</f>
        <v>1.3198238202208838</v>
      </c>
      <c r="R15" s="1">
        <f>(Main_S[[#This Row],[ROA]]-VLOOKUP(Main_S[[#This Row],[Industry]], Mean_ROA_S, 2, FALSE))/(VLOOKUP(Main_S[[#This Row],[Industry]], Mean_ROA_S, 3, FALSE))</f>
        <v>0.64962429293752177</v>
      </c>
      <c r="S15" s="1">
        <f>(Main_S[[#This Row],[A/E]]-VLOOKUP(Main_S[[#This Row],[Industry]], Mean_AE_S, 2, FALSE))/(VLOOKUP(Main_S[[#This Row],[Industry]], Mean_AE_S, 3, FALSE))</f>
        <v>1.4891726195673827</v>
      </c>
      <c r="T15" s="1">
        <f>(Main_S[[#This Row],[P/E]]-VLOOKUP(Main_S[[#This Row],[Industry]], Mean_PE_S, 2, FALSE))/(VLOOKUP(Main_S[[#This Row],[Industry]], Mean_PE_S, 3, FALSE))</f>
        <v>-1.2479725421629164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7" t="s">
        <v>105</v>
      </c>
      <c r="B16" s="67" t="s">
        <v>502</v>
      </c>
      <c r="C16" s="2">
        <v>363</v>
      </c>
      <c r="D16">
        <f>RTD("tos.rtd", , "LAST", Main_S[[#This Row],[Symbol]])</f>
        <v>17.059999999999999</v>
      </c>
      <c r="E16">
        <v>6.93</v>
      </c>
      <c r="F16">
        <v>29.48</v>
      </c>
      <c r="G16">
        <v>-1.02</v>
      </c>
      <c r="H16" s="1">
        <f>IF(ISNUMBER(Main_S[[#This Row],[Free CF]]),IF(Main_S[[#This Row],[Free CF]]&lt;&gt;0,Main_S[[#This Row],[Current Price]]/Main_S[[#This Row],[Free CF]],""),"")</f>
        <v>2.4617604617604618</v>
      </c>
      <c r="I16" s="1">
        <f>IF(ISNUMBER(Main_S[[#This Row],[BVPS]]),IF(Main_S[[#This Row],[BVPS]]&lt;&gt;0,Main_S[[#This Row],[Current Price]]/Main_S[[#This Row],[BVPS]],""),"")</f>
        <v>0.57869742198100405</v>
      </c>
      <c r="J16">
        <v>-1.63</v>
      </c>
      <c r="K16">
        <v>-0.16</v>
      </c>
      <c r="L16">
        <v>11.77</v>
      </c>
      <c r="M16" s="1">
        <f>IF(ISNUMBER(Main_S[[#This Row],[EPS]]),IF(Main_S[[#This Row],[EPS]]&lt;&gt;0,Main_S[[#This Row],[Current Price]]/Main_S[[#This Row],[EPS]],""),"")</f>
        <v>-16.725490196078429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-1.9641543234282075</v>
      </c>
      <c r="P16" s="1">
        <f>(Main_S[[#This Row],[P/B]]-VLOOKUP(Main_S[[#This Row],[Industry]], Mean_PB_S, 2, FALSE))/(VLOOKUP(Main_S[[#This Row],[Industry]], Mean_PB_S, 3, FALSE))</f>
        <v>-1.7423105887227295</v>
      </c>
      <c r="Q16" s="1">
        <f>(Main_S[[#This Row],[ROE]]-VLOOKUP(Main_S[[#This Row],[Industry]], Mean_ROE_S, 2, FALSE))/(VLOOKUP(Main_S[[#This Row],[Industry]], Mean_ROE_S, 3, FALSE))</f>
        <v>-2.6285506351815369</v>
      </c>
      <c r="R16" s="1">
        <f>(Main_S[[#This Row],[ROA]]-VLOOKUP(Main_S[[#This Row],[Industry]], Mean_ROA_S, 2, FALSE))/(VLOOKUP(Main_S[[#This Row],[Industry]], Mean_ROA_S, 3, FALSE))</f>
        <v>-2.5530688995166901</v>
      </c>
      <c r="S16" s="1">
        <f>(Main_S[[#This Row],[A/E]]-VLOOKUP(Main_S[[#This Row],[Industry]], Mean_AE_S, 2, FALSE))/(VLOOKUP(Main_S[[#This Row],[Industry]], Mean_AE_S, 3, FALSE))</f>
        <v>1.2593290350684681</v>
      </c>
      <c r="T16" s="1">
        <f>(Main_S[[#This Row],[P/E]]-VLOOKUP(Main_S[[#This Row],[Industry]], Mean_PE_S, 2, FALSE))/(VLOOKUP(Main_S[[#This Row],[Industry]], Mean_PE_S, 3, FALSE))</f>
        <v>-11.136779839327248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s="67" t="s">
        <v>105</v>
      </c>
      <c r="B17" s="67" t="s">
        <v>482</v>
      </c>
      <c r="C17" s="2">
        <v>642</v>
      </c>
      <c r="D17">
        <f>RTD("tos.rtd", , "LAST", Main_S[[#This Row],[Symbol]])</f>
        <v>56.71</v>
      </c>
      <c r="E17">
        <v>6.86</v>
      </c>
      <c r="F17">
        <v>53.03</v>
      </c>
      <c r="G17">
        <v>5.6</v>
      </c>
      <c r="H17" s="1">
        <f>IF(ISNUMBER(Main_S[[#This Row],[Free CF]]),IF(Main_S[[#This Row],[Free CF]]&lt;&gt;0,Main_S[[#This Row],[Current Price]]/Main_S[[#This Row],[Free CF]],""),"")</f>
        <v>8.2667638483965007</v>
      </c>
      <c r="I17" s="1">
        <f>IF(ISNUMBER(Main_S[[#This Row],[BVPS]]),IF(Main_S[[#This Row],[BVPS]]&lt;&gt;0,Main_S[[#This Row],[Current Price]]/Main_S[[#This Row],[BVPS]],""),"")</f>
        <v>1.0693946822553271</v>
      </c>
      <c r="J17">
        <v>11.13</v>
      </c>
      <c r="K17">
        <v>1.1100000000000001</v>
      </c>
      <c r="L17">
        <v>9.77</v>
      </c>
      <c r="M17" s="1">
        <f>IF(ISNUMBER(Main_S[[#This Row],[EPS]]),IF(Main_S[[#This Row],[EPS]]&lt;&gt;0,Main_S[[#This Row],[Current Price]]/Main_S[[#This Row],[EPS]],""),"")</f>
        <v>10.126785714285715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-0.4928138919760286</v>
      </c>
      <c r="P17" s="1">
        <f>(Main_S[[#This Row],[P/B]]-VLOOKUP(Main_S[[#This Row],[Industry]], Mean_PB_S, 2, FALSE))/(VLOOKUP(Main_S[[#This Row],[Industry]], Mean_PB_S, 3, FALSE))</f>
        <v>2.7956271225737253E-2</v>
      </c>
      <c r="Q17" s="1">
        <f>(Main_S[[#This Row],[ROE]]-VLOOKUP(Main_S[[#This Row],[Industry]], Mean_ROE_S, 2, FALSE))/(VLOOKUP(Main_S[[#This Row],[Industry]], Mean_ROE_S, 3, FALSE))</f>
        <v>0.45853625519437569</v>
      </c>
      <c r="R17" s="1">
        <f>(Main_S[[#This Row],[ROA]]-VLOOKUP(Main_S[[#This Row],[Industry]], Mean_ROA_S, 2, FALSE))/(VLOOKUP(Main_S[[#This Row],[Industry]], Mean_ROA_S, 3, FALSE))</f>
        <v>0.33162638730377048</v>
      </c>
      <c r="S17" s="1">
        <f>(Main_S[[#This Row],[A/E]]-VLOOKUP(Main_S[[#This Row],[Industry]], Mean_AE_S, 2, FALSE))/(VLOOKUP(Main_S[[#This Row],[Industry]], Mean_AE_S, 3, FALSE))</f>
        <v>0.11011111257389679</v>
      </c>
      <c r="T17" s="1">
        <f>(Main_S[[#This Row],[P/E]]-VLOOKUP(Main_S[[#This Row],[Industry]], Mean_PE_S, 2, FALSE))/(VLOOKUP(Main_S[[#This Row],[Industry]], Mean_PE_S, 3, FALSE))</f>
        <v>-0.73143449082927925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7" t="s">
        <v>105</v>
      </c>
      <c r="B18" s="67" t="s">
        <v>460</v>
      </c>
      <c r="C18" s="2">
        <v>1955</v>
      </c>
      <c r="D18">
        <f>RTD("tos.rtd", , "LAST", Main_S[[#This Row],[Symbol]])</f>
        <v>53.56</v>
      </c>
      <c r="E18">
        <v>6.58</v>
      </c>
      <c r="F18">
        <v>48.64</v>
      </c>
      <c r="G18">
        <v>5.09</v>
      </c>
      <c r="H18" s="1">
        <f>IF(ISNUMBER(Main_S[[#This Row],[Free CF]]),IF(Main_S[[#This Row],[Free CF]]&lt;&gt;0,Main_S[[#This Row],[Current Price]]/Main_S[[#This Row],[Free CF]],""),"")</f>
        <v>8.1398176291793316</v>
      </c>
      <c r="I18" s="1">
        <f>IF(ISNUMBER(Main_S[[#This Row],[BVPS]]),IF(Main_S[[#This Row],[BVPS]]&lt;&gt;0,Main_S[[#This Row],[Current Price]]/Main_S[[#This Row],[BVPS]],""),"")</f>
        <v>1.1011513157894737</v>
      </c>
      <c r="J18">
        <v>10.82</v>
      </c>
      <c r="K18">
        <v>1.29</v>
      </c>
      <c r="L18">
        <v>8.73</v>
      </c>
      <c r="M18" s="1">
        <f>IF(ISNUMBER(Main_S[[#This Row],[EPS]]),IF(Main_S[[#This Row],[EPS]]&lt;&gt;0,Main_S[[#This Row],[Current Price]]/Main_S[[#This Row],[EPS]],""),"")</f>
        <v>10.522593320235757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-0.52498977414419579</v>
      </c>
      <c r="P18" s="1">
        <f>(Main_S[[#This Row],[P/B]]-VLOOKUP(Main_S[[#This Row],[Industry]], Mean_PB_S, 2, FALSE))/(VLOOKUP(Main_S[[#This Row],[Industry]], Mean_PB_S, 3, FALSE))</f>
        <v>0.14252327715847773</v>
      </c>
      <c r="Q18" s="1">
        <f>(Main_S[[#This Row],[ROE]]-VLOOKUP(Main_S[[#This Row],[Industry]], Mean_ROE_S, 2, FALSE))/(VLOOKUP(Main_S[[#This Row],[Industry]], Mean_ROE_S, 3, FALSE))</f>
        <v>0.38353649531847173</v>
      </c>
      <c r="R18" s="1">
        <f>(Main_S[[#This Row],[ROA]]-VLOOKUP(Main_S[[#This Row],[Industry]], Mean_ROA_S, 2, FALSE))/(VLOOKUP(Main_S[[#This Row],[Industry]], Mean_ROA_S, 3, FALSE))</f>
        <v>0.74048083740430803</v>
      </c>
      <c r="S18" s="1">
        <f>(Main_S[[#This Row],[A/E]]-VLOOKUP(Main_S[[#This Row],[Industry]], Mean_AE_S, 2, FALSE))/(VLOOKUP(Main_S[[#This Row],[Industry]], Mean_AE_S, 3, FALSE))</f>
        <v>-0.48748220712327983</v>
      </c>
      <c r="T18" s="1">
        <f>(Main_S[[#This Row],[P/E]]-VLOOKUP(Main_S[[#This Row],[Industry]], Mean_PE_S, 2, FALSE))/(VLOOKUP(Main_S[[#This Row],[Industry]], Mean_PE_S, 3, FALSE))</f>
        <v>-0.57805774000113941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7" t="s">
        <v>105</v>
      </c>
      <c r="B19" s="67" t="s">
        <v>490</v>
      </c>
      <c r="C19" s="2">
        <v>633</v>
      </c>
      <c r="D19">
        <f>RTD("tos.rtd", , "LAST", Main_S[[#This Row],[Symbol]])</f>
        <v>36.409999999999997</v>
      </c>
      <c r="E19">
        <v>6.48</v>
      </c>
      <c r="F19">
        <v>32.53</v>
      </c>
      <c r="G19">
        <v>3.16</v>
      </c>
      <c r="H19" s="1">
        <f>IF(ISNUMBER(Main_S[[#This Row],[Free CF]]),IF(Main_S[[#This Row],[Free CF]]&lt;&gt;0,Main_S[[#This Row],[Current Price]]/Main_S[[#This Row],[Free CF]],""),"")</f>
        <v>5.6188271604938267</v>
      </c>
      <c r="I19" s="1">
        <f>IF(ISNUMBER(Main_S[[#This Row],[BVPS]]),IF(Main_S[[#This Row],[BVPS]]&lt;&gt;0,Main_S[[#This Row],[Current Price]]/Main_S[[#This Row],[BVPS]],""),"")</f>
        <v>1.11927451583154</v>
      </c>
      <c r="J19">
        <v>10.06</v>
      </c>
      <c r="K19">
        <v>1.17</v>
      </c>
      <c r="L19">
        <v>8.06</v>
      </c>
      <c r="M19" s="1">
        <f>IF(ISNUMBER(Main_S[[#This Row],[EPS]]),IF(Main_S[[#This Row],[EPS]]&lt;&gt;0,Main_S[[#This Row],[Current Price]]/Main_S[[#This Row],[EPS]],""),"")</f>
        <v>11.522151898734176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-1.1639618740436997</v>
      </c>
      <c r="P19" s="1">
        <f>(Main_S[[#This Row],[P/B]]-VLOOKUP(Main_S[[#This Row],[Industry]], Mean_PB_S, 2, FALSE))/(VLOOKUP(Main_S[[#This Row],[Industry]], Mean_PB_S, 3, FALSE))</f>
        <v>0.20790554648835105</v>
      </c>
      <c r="Q19" s="1">
        <f>(Main_S[[#This Row],[ROE]]-VLOOKUP(Main_S[[#This Row],[Industry]], Mean_ROE_S, 2, FALSE))/(VLOOKUP(Main_S[[#This Row],[Industry]], Mean_ROE_S, 3, FALSE))</f>
        <v>0.19966611626786884</v>
      </c>
      <c r="R19" s="1">
        <f>(Main_S[[#This Row],[ROA]]-VLOOKUP(Main_S[[#This Row],[Industry]], Mean_ROA_S, 2, FALSE))/(VLOOKUP(Main_S[[#This Row],[Industry]], Mean_ROA_S, 3, FALSE))</f>
        <v>0.46791120400394931</v>
      </c>
      <c r="S19" s="1">
        <f>(Main_S[[#This Row],[A/E]]-VLOOKUP(Main_S[[#This Row],[Industry]], Mean_AE_S, 2, FALSE))/(VLOOKUP(Main_S[[#This Row],[Industry]], Mean_AE_S, 3, FALSE))</f>
        <v>-0.87247021115896117</v>
      </c>
      <c r="T19" s="1">
        <f>(Main_S[[#This Row],[P/E]]-VLOOKUP(Main_S[[#This Row],[Industry]], Mean_PE_S, 2, FALSE))/(VLOOKUP(Main_S[[#This Row],[Industry]], Mean_PE_S, 3, FALSE))</f>
        <v>-0.1907254989632241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7" t="s">
        <v>105</v>
      </c>
      <c r="B20" s="67" t="s">
        <v>435</v>
      </c>
      <c r="C20" s="2">
        <v>378</v>
      </c>
      <c r="D20">
        <f>RTD("tos.rtd", , "LAST", Main_S[[#This Row],[Symbol]])</f>
        <v>27.74</v>
      </c>
      <c r="E20">
        <v>6.35</v>
      </c>
      <c r="F20">
        <v>25.85</v>
      </c>
      <c r="G20">
        <v>2.83</v>
      </c>
      <c r="H20" s="1">
        <f>IF(ISNUMBER(Main_S[[#This Row],[Free CF]]),IF(Main_S[[#This Row],[Free CF]]&lt;&gt;0,Main_S[[#This Row],[Current Price]]/Main_S[[#This Row],[Free CF]],""),"")</f>
        <v>4.3685039370078744</v>
      </c>
      <c r="I20" s="1">
        <f>IF(ISNUMBER(Main_S[[#This Row],[BVPS]]),IF(Main_S[[#This Row],[BVPS]]&lt;&gt;0,Main_S[[#This Row],[Current Price]]/Main_S[[#This Row],[BVPS]],""),"")</f>
        <v>1.0731141199226304</v>
      </c>
      <c r="J20">
        <v>11.58</v>
      </c>
      <c r="K20">
        <v>1.1299999999999999</v>
      </c>
      <c r="L20">
        <v>10.25</v>
      </c>
      <c r="M20" s="1">
        <f>IF(ISNUMBER(Main_S[[#This Row],[EPS]]),IF(Main_S[[#This Row],[EPS]]&lt;&gt;0,Main_S[[#This Row],[Current Price]]/Main_S[[#This Row],[EPS]],""),"")</f>
        <v>9.8021201413427548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-1.480869718634048</v>
      </c>
      <c r="P20" s="1">
        <f>(Main_S[[#This Row],[P/B]]-VLOOKUP(Main_S[[#This Row],[Industry]], Mean_PB_S, 2, FALSE))/(VLOOKUP(Main_S[[#This Row],[Industry]], Mean_PB_S, 3, FALSE))</f>
        <v>4.1374722423916148E-2</v>
      </c>
      <c r="Q20" s="1">
        <f>(Main_S[[#This Row],[ROE]]-VLOOKUP(Main_S[[#This Row],[Industry]], Mean_ROE_S, 2, FALSE))/(VLOOKUP(Main_S[[#This Row],[Industry]], Mean_ROE_S, 3, FALSE))</f>
        <v>0.56740687436907467</v>
      </c>
      <c r="R20" s="1">
        <f>(Main_S[[#This Row],[ROA]]-VLOOKUP(Main_S[[#This Row],[Industry]], Mean_ROA_S, 2, FALSE))/(VLOOKUP(Main_S[[#This Row],[Industry]], Mean_ROA_S, 3, FALSE))</f>
        <v>0.37705465953716311</v>
      </c>
      <c r="S20" s="1">
        <f>(Main_S[[#This Row],[A/E]]-VLOOKUP(Main_S[[#This Row],[Industry]], Mean_AE_S, 2, FALSE))/(VLOOKUP(Main_S[[#This Row],[Industry]], Mean_AE_S, 3, FALSE))</f>
        <v>0.38592341397259416</v>
      </c>
      <c r="T20" s="1">
        <f>(Main_S[[#This Row],[P/E]]-VLOOKUP(Main_S[[#This Row],[Industry]], Mean_PE_S, 2, FALSE))/(VLOOKUP(Main_S[[#This Row],[Industry]], Mean_PE_S, 3, FALSE))</f>
        <v>-0.85724346957344433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7" t="s">
        <v>105</v>
      </c>
      <c r="B21" s="67" t="s">
        <v>429</v>
      </c>
      <c r="C21" s="2">
        <v>1153</v>
      </c>
      <c r="D21">
        <f>RTD("tos.rtd", , "LAST", Main_S[[#This Row],[Symbol]])</f>
        <v>114.92</v>
      </c>
      <c r="E21">
        <v>6.23</v>
      </c>
      <c r="F21">
        <v>65.02</v>
      </c>
      <c r="G21">
        <v>6.81</v>
      </c>
      <c r="H21" s="1">
        <f>IF(ISNUMBER(Main_S[[#This Row],[Free CF]]),IF(Main_S[[#This Row],[Free CF]]&lt;&gt;0,Main_S[[#This Row],[Current Price]]/Main_S[[#This Row],[Free CF]],""),"")</f>
        <v>18.446227929373997</v>
      </c>
      <c r="I21" s="1">
        <f>IF(ISNUMBER(Main_S[[#This Row],[BVPS]]),IF(Main_S[[#This Row],[BVPS]]&lt;&gt;0,Main_S[[#This Row],[Current Price]]/Main_S[[#This Row],[BVPS]],""),"")</f>
        <v>1.7674561673331284</v>
      </c>
      <c r="J21">
        <v>10.88</v>
      </c>
      <c r="K21">
        <v>1.59</v>
      </c>
      <c r="L21">
        <v>6.95</v>
      </c>
      <c r="M21" s="1">
        <f>IF(ISNUMBER(Main_S[[#This Row],[EPS]]),IF(Main_S[[#This Row],[EPS]]&lt;&gt;0,Main_S[[#This Row],[Current Price]]/Main_S[[#This Row],[EPS]],""),"")</f>
        <v>16.875183553597651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2.087280567113809</v>
      </c>
      <c r="P21" s="1">
        <f>(Main_S[[#This Row],[P/B]]-VLOOKUP(Main_S[[#This Row],[Industry]], Mean_PB_S, 2, FALSE))/(VLOOKUP(Main_S[[#This Row],[Industry]], Mean_PB_S, 3, FALSE))</f>
        <v>2.5463218976178572</v>
      </c>
      <c r="Q21" s="1">
        <f>(Main_S[[#This Row],[ROE]]-VLOOKUP(Main_S[[#This Row],[Industry]], Mean_ROE_S, 2, FALSE))/(VLOOKUP(Main_S[[#This Row],[Industry]], Mean_ROE_S, 3, FALSE))</f>
        <v>0.3980525778750984</v>
      </c>
      <c r="R21" s="1">
        <f>(Main_S[[#This Row],[ROA]]-VLOOKUP(Main_S[[#This Row],[Industry]], Mean_ROA_S, 2, FALSE))/(VLOOKUP(Main_S[[#This Row],[Industry]], Mean_ROA_S, 3, FALSE))</f>
        <v>1.4219049209052042</v>
      </c>
      <c r="S21" s="1">
        <f>(Main_S[[#This Row],[A/E]]-VLOOKUP(Main_S[[#This Row],[Industry]], Mean_AE_S, 2, FALSE))/(VLOOKUP(Main_S[[#This Row],[Industry]], Mean_AE_S, 3, FALSE))</f>
        <v>-1.5102861581434486</v>
      </c>
      <c r="T21" s="1">
        <f>(Main_S[[#This Row],[P/E]]-VLOOKUP(Main_S[[#This Row],[Industry]], Mean_PE_S, 2, FALSE))/(VLOOKUP(Main_S[[#This Row],[Industry]], Mean_PE_S, 3, FALSE))</f>
        <v>1.8835918965614333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7" t="s">
        <v>105</v>
      </c>
      <c r="B22" s="67" t="s">
        <v>424</v>
      </c>
      <c r="C22" s="2">
        <v>1805</v>
      </c>
      <c r="D22">
        <f>RTD("tos.rtd", , "LAST", Main_S[[#This Row],[Symbol]])</f>
        <v>43.23</v>
      </c>
      <c r="E22">
        <v>6.2</v>
      </c>
      <c r="F22">
        <v>25.07</v>
      </c>
      <c r="G22">
        <v>4.8099999999999996</v>
      </c>
      <c r="H22" s="1">
        <f>IF(ISNUMBER(Main_S[[#This Row],[Free CF]]),IF(Main_S[[#This Row],[Free CF]]&lt;&gt;0,Main_S[[#This Row],[Current Price]]/Main_S[[#This Row],[Free CF]],""),"")</f>
        <v>6.9725806451612895</v>
      </c>
      <c r="I22" s="1">
        <f>IF(ISNUMBER(Main_S[[#This Row],[BVPS]]),IF(Main_S[[#This Row],[BVPS]]&lt;&gt;0,Main_S[[#This Row],[Current Price]]/Main_S[[#This Row],[BVPS]],""),"")</f>
        <v>1.7243717590745911</v>
      </c>
      <c r="J22">
        <v>21.11</v>
      </c>
      <c r="K22">
        <v>1.57</v>
      </c>
      <c r="L22">
        <v>13.25</v>
      </c>
      <c r="M22" s="1">
        <f>IF(ISNUMBER(Main_S[[#This Row],[EPS]]),IF(Main_S[[#This Row],[EPS]]&lt;&gt;0,Main_S[[#This Row],[Current Price]]/Main_S[[#This Row],[EPS]],""),"")</f>
        <v>8.9875259875259879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-0.82083851931904905</v>
      </c>
      <c r="P22" s="1">
        <f>(Main_S[[#This Row],[P/B]]-VLOOKUP(Main_S[[#This Row],[Industry]], Mean_PB_S, 2, FALSE))/(VLOOKUP(Main_S[[#This Row],[Industry]], Mean_PB_S, 3, FALSE))</f>
        <v>2.3908881785097873</v>
      </c>
      <c r="Q22" s="1">
        <f>(Main_S[[#This Row],[ROE]]-VLOOKUP(Main_S[[#This Row],[Industry]], Mean_ROE_S, 2, FALSE))/(VLOOKUP(Main_S[[#This Row],[Industry]], Mean_ROE_S, 3, FALSE))</f>
        <v>2.8730446537799246</v>
      </c>
      <c r="R22" s="1">
        <f>(Main_S[[#This Row],[ROA]]-VLOOKUP(Main_S[[#This Row],[Industry]], Mean_ROA_S, 2, FALSE))/(VLOOKUP(Main_S[[#This Row],[Industry]], Mean_ROA_S, 3, FALSE))</f>
        <v>1.3764766486718112</v>
      </c>
      <c r="S22" s="1">
        <f>(Main_S[[#This Row],[A/E]]-VLOOKUP(Main_S[[#This Row],[Industry]], Mean_AE_S, 2, FALSE))/(VLOOKUP(Main_S[[#This Row],[Industry]], Mean_AE_S, 3, FALSE))</f>
        <v>2.1097502977144513</v>
      </c>
      <c r="T22" s="1">
        <f>(Main_S[[#This Row],[P/E]]-VLOOKUP(Main_S[[#This Row],[Industry]], Mean_PE_S, 2, FALSE))/(VLOOKUP(Main_S[[#This Row],[Industry]], Mean_PE_S, 3, FALSE))</f>
        <v>-1.1729013868995288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7" t="s">
        <v>105</v>
      </c>
      <c r="B23" s="67" t="s">
        <v>541</v>
      </c>
      <c r="C23" s="2">
        <v>886</v>
      </c>
      <c r="D23">
        <f>RTD("tos.rtd", , "LAST", Main_S[[#This Row],[Symbol]])</f>
        <v>62.3</v>
      </c>
      <c r="E23">
        <v>6.17</v>
      </c>
      <c r="F23">
        <v>51.6</v>
      </c>
      <c r="G23">
        <v>5.16</v>
      </c>
      <c r="H23" s="1">
        <f>IF(ISNUMBER(Main_S[[#This Row],[Free CF]]),IF(Main_S[[#This Row],[Free CF]]&lt;&gt;0,Main_S[[#This Row],[Current Price]]/Main_S[[#This Row],[Free CF]],""),"")</f>
        <v>10.097244732576986</v>
      </c>
      <c r="I23" s="1">
        <f>IF(ISNUMBER(Main_S[[#This Row],[BVPS]]),IF(Main_S[[#This Row],[BVPS]]&lt;&gt;0,Main_S[[#This Row],[Current Price]]/Main_S[[#This Row],[BVPS]],""),"")</f>
        <v>1.2073643410852712</v>
      </c>
      <c r="J23">
        <v>10.46</v>
      </c>
      <c r="K23">
        <v>0.92</v>
      </c>
      <c r="L23">
        <v>11.06</v>
      </c>
      <c r="M23" s="1">
        <f>IF(ISNUMBER(Main_S[[#This Row],[EPS]]),IF(Main_S[[#This Row],[EPS]]&lt;&gt;0,Main_S[[#This Row],[Current Price]]/Main_S[[#This Row],[EPS]],""),"")</f>
        <v>12.073643410852712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-2.8858859650749111E-2</v>
      </c>
      <c r="P23" s="1">
        <f>(Main_S[[#This Row],[P/B]]-VLOOKUP(Main_S[[#This Row],[Industry]], Mean_PB_S, 2, FALSE))/(VLOOKUP(Main_S[[#This Row],[Industry]], Mean_PB_S, 3, FALSE))</f>
        <v>0.52570332318299295</v>
      </c>
      <c r="Q23" s="1">
        <f>(Main_S[[#This Row],[ROE]]-VLOOKUP(Main_S[[#This Row],[Industry]], Mean_ROE_S, 2, FALSE))/(VLOOKUP(Main_S[[#This Row],[Industry]], Mean_ROE_S, 3, FALSE))</f>
        <v>0.29643999997871262</v>
      </c>
      <c r="R23" s="1">
        <f>(Main_S[[#This Row],[ROA]]-VLOOKUP(Main_S[[#This Row],[Industry]], Mean_ROA_S, 2, FALSE))/(VLOOKUP(Main_S[[#This Row],[Industry]], Mean_ROA_S, 3, FALSE))</f>
        <v>-9.9942198913463842E-2</v>
      </c>
      <c r="S23" s="1">
        <f>(Main_S[[#This Row],[A/E]]-VLOOKUP(Main_S[[#This Row],[Industry]], Mean_AE_S, 2, FALSE))/(VLOOKUP(Main_S[[#This Row],[Industry]], Mean_AE_S, 3, FALSE))</f>
        <v>0.85135667258289582</v>
      </c>
      <c r="T23" s="1">
        <f>(Main_S[[#This Row],[P/E]]-VLOOKUP(Main_S[[#This Row],[Industry]], Mean_PE_S, 2, FALSE))/(VLOOKUP(Main_S[[#This Row],[Industry]], Mean_PE_S, 3, FALSE))</f>
        <v>2.2979278222677584E-2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105</v>
      </c>
      <c r="B24" s="67" t="s">
        <v>465</v>
      </c>
      <c r="C24" s="2">
        <v>1714</v>
      </c>
      <c r="D24">
        <f>RTD("tos.rtd", , "LAST", Main_S[[#This Row],[Symbol]])</f>
        <v>41.74</v>
      </c>
      <c r="E24">
        <v>5.99</v>
      </c>
      <c r="F24">
        <v>36.46</v>
      </c>
      <c r="G24">
        <v>2.11</v>
      </c>
      <c r="H24" s="1">
        <f>IF(ISNUMBER(Main_S[[#This Row],[Free CF]]),IF(Main_S[[#This Row],[Free CF]]&lt;&gt;0,Main_S[[#This Row],[Current Price]]/Main_S[[#This Row],[Free CF]],""),"")</f>
        <v>6.9682804674457426</v>
      </c>
      <c r="I24" s="1">
        <f>IF(ISNUMBER(Main_S[[#This Row],[BVPS]]),IF(Main_S[[#This Row],[BVPS]]&lt;&gt;0,Main_S[[#This Row],[Current Price]]/Main_S[[#This Row],[BVPS]],""),"")</f>
        <v>1.1448162369720241</v>
      </c>
      <c r="J24">
        <v>6.06</v>
      </c>
      <c r="K24">
        <v>0.71</v>
      </c>
      <c r="L24">
        <v>8.25</v>
      </c>
      <c r="M24" s="1">
        <f>IF(ISNUMBER(Main_S[[#This Row],[EPS]]),IF(Main_S[[#This Row],[EPS]]&lt;&gt;0,Main_S[[#This Row],[Current Price]]/Main_S[[#This Row],[EPS]],""),"")</f>
        <v>19.781990521327018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-0.82192844552820166</v>
      </c>
      <c r="P24" s="1">
        <f>(Main_S[[#This Row],[P/B]]-VLOOKUP(Main_S[[#This Row],[Industry]], Mean_PB_S, 2, FALSE))/(VLOOKUP(Main_S[[#This Row],[Industry]], Mean_PB_S, 3, FALSE))</f>
        <v>0.30005128713456197</v>
      </c>
      <c r="Q24" s="1">
        <f>(Main_S[[#This Row],[ROE]]-VLOOKUP(Main_S[[#This Row],[Industry]], Mean_ROE_S, 2, FALSE))/(VLOOKUP(Main_S[[#This Row],[Industry]], Mean_ROE_S, 3, FALSE))</f>
        <v>-0.76807272084056788</v>
      </c>
      <c r="R24" s="1">
        <f>(Main_S[[#This Row],[ROA]]-VLOOKUP(Main_S[[#This Row],[Industry]], Mean_ROA_S, 2, FALSE))/(VLOOKUP(Main_S[[#This Row],[Industry]], Mean_ROA_S, 3, FALSE))</f>
        <v>-0.57693905736409123</v>
      </c>
      <c r="S24" s="1">
        <f>(Main_S[[#This Row],[A/E]]-VLOOKUP(Main_S[[#This Row],[Industry]], Mean_AE_S, 2, FALSE))/(VLOOKUP(Main_S[[#This Row],[Industry]], Mean_AE_S, 3, FALSE))</f>
        <v>-0.76329450852197722</v>
      </c>
      <c r="T24" s="1">
        <f>(Main_S[[#This Row],[P/E]]-VLOOKUP(Main_S[[#This Row],[Industry]], Mean_PE_S, 2, FALSE))/(VLOOKUP(Main_S[[#This Row],[Industry]], Mean_PE_S, 3, FALSE))</f>
        <v>3.0099891696123224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7" t="s">
        <v>105</v>
      </c>
      <c r="B25" s="67" t="s">
        <v>454</v>
      </c>
      <c r="C25" s="2">
        <v>925</v>
      </c>
      <c r="D25">
        <f>RTD("tos.rtd", , "LAST", Main_S[[#This Row],[Symbol]])</f>
        <v>52.1</v>
      </c>
      <c r="E25">
        <v>5.99</v>
      </c>
      <c r="F25">
        <v>43.32</v>
      </c>
      <c r="G25">
        <v>4.79</v>
      </c>
      <c r="H25" s="1">
        <f>IF(ISNUMBER(Main_S[[#This Row],[Free CF]]),IF(Main_S[[#This Row],[Free CF]]&lt;&gt;0,Main_S[[#This Row],[Current Price]]/Main_S[[#This Row],[Free CF]],""),"")</f>
        <v>8.697829716193656</v>
      </c>
      <c r="I25" s="1">
        <f>IF(ISNUMBER(Main_S[[#This Row],[BVPS]]),IF(Main_S[[#This Row],[BVPS]]&lt;&gt;0,Main_S[[#This Row],[Current Price]]/Main_S[[#This Row],[BVPS]],""),"")</f>
        <v>1.2026777469990766</v>
      </c>
      <c r="J25">
        <v>11.54</v>
      </c>
      <c r="K25">
        <v>1.42</v>
      </c>
      <c r="L25">
        <v>8</v>
      </c>
      <c r="M25" s="1">
        <f>IF(ISNUMBER(Main_S[[#This Row],[EPS]]),IF(Main_S[[#This Row],[EPS]]&lt;&gt;0,Main_S[[#This Row],[Current Price]]/Main_S[[#This Row],[EPS]],""),"")</f>
        <v>10.876826722338205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-0.38355561981565439</v>
      </c>
      <c r="P25" s="1">
        <f>(Main_S[[#This Row],[P/B]]-VLOOKUP(Main_S[[#This Row],[Industry]], Mean_PB_S, 2, FALSE))/(VLOOKUP(Main_S[[#This Row],[Industry]], Mean_PB_S, 3, FALSE))</f>
        <v>0.50879570443618616</v>
      </c>
      <c r="Q25" s="1">
        <f>(Main_S[[#This Row],[ROE]]-VLOOKUP(Main_S[[#This Row],[Industry]], Mean_ROE_S, 2, FALSE))/(VLOOKUP(Main_S[[#This Row],[Industry]], Mean_ROE_S, 3, FALSE))</f>
        <v>0.55772948599798999</v>
      </c>
      <c r="R25" s="1">
        <f>(Main_S[[#This Row],[ROA]]-VLOOKUP(Main_S[[#This Row],[Industry]], Mean_ROA_S, 2, FALSE))/(VLOOKUP(Main_S[[#This Row],[Industry]], Mean_ROA_S, 3, FALSE))</f>
        <v>1.0357646069213626</v>
      </c>
      <c r="S25" s="1">
        <f>(Main_S[[#This Row],[A/E]]-VLOOKUP(Main_S[[#This Row],[Industry]], Mean_AE_S, 2, FALSE))/(VLOOKUP(Main_S[[#This Row],[Industry]], Mean_AE_S, 3, FALSE))</f>
        <v>-0.90694674883379867</v>
      </c>
      <c r="T25" s="1">
        <f>(Main_S[[#This Row],[P/E]]-VLOOKUP(Main_S[[#This Row],[Industry]], Mean_PE_S, 2, FALSE))/(VLOOKUP(Main_S[[#This Row],[Industry]], Mean_PE_S, 3, FALSE))</f>
        <v>-0.44079113008124549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105</v>
      </c>
      <c r="B26" s="67" t="s">
        <v>473</v>
      </c>
      <c r="C26" s="2">
        <v>846</v>
      </c>
      <c r="D26">
        <f>RTD("tos.rtd", , "LAST", Main_S[[#This Row],[Symbol]])</f>
        <v>36.46</v>
      </c>
      <c r="E26">
        <v>5.79</v>
      </c>
      <c r="F26">
        <v>36.32</v>
      </c>
      <c r="G26">
        <v>3.37</v>
      </c>
      <c r="H26" s="1">
        <f>IF(ISNUMBER(Main_S[[#This Row],[Free CF]]),IF(Main_S[[#This Row],[Free CF]]&lt;&gt;0,Main_S[[#This Row],[Current Price]]/Main_S[[#This Row],[Free CF]],""),"")</f>
        <v>6.2970639032815203</v>
      </c>
      <c r="I26" s="1">
        <f>IF(ISNUMBER(Main_S[[#This Row],[BVPS]]),IF(Main_S[[#This Row],[BVPS]]&lt;&gt;0,Main_S[[#This Row],[Current Price]]/Main_S[[#This Row],[BVPS]],""),"")</f>
        <v>1.0038546255506609</v>
      </c>
      <c r="J26">
        <v>9.65</v>
      </c>
      <c r="K26">
        <v>1.06</v>
      </c>
      <c r="L26">
        <v>8.69</v>
      </c>
      <c r="M26" s="1">
        <f>IF(ISNUMBER(Main_S[[#This Row],[EPS]]),IF(Main_S[[#This Row],[EPS]]&lt;&gt;0,Main_S[[#This Row],[Current Price]]/Main_S[[#This Row],[EPS]],""),"")</f>
        <v>10.818991097922849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-0.99205548996521387</v>
      </c>
      <c r="P26" s="1">
        <f>(Main_S[[#This Row],[P/B]]-VLOOKUP(Main_S[[#This Row],[Industry]], Mean_PB_S, 2, FALSE))/(VLOOKUP(Main_S[[#This Row],[Industry]], Mean_PB_S, 3, FALSE))</f>
        <v>-0.20848970020387977</v>
      </c>
      <c r="Q26" s="1">
        <f>(Main_S[[#This Row],[ROE]]-VLOOKUP(Main_S[[#This Row],[Industry]], Mean_ROE_S, 2, FALSE))/(VLOOKUP(Main_S[[#This Row],[Industry]], Mean_ROE_S, 3, FALSE))</f>
        <v>0.10047288546425408</v>
      </c>
      <c r="R26" s="1">
        <f>(Main_S[[#This Row],[ROA]]-VLOOKUP(Main_S[[#This Row],[Industry]], Mean_ROA_S, 2, FALSE))/(VLOOKUP(Main_S[[#This Row],[Industry]], Mean_ROA_S, 3, FALSE))</f>
        <v>0.21805570672028771</v>
      </c>
      <c r="S26" s="1">
        <f>(Main_S[[#This Row],[A/E]]-VLOOKUP(Main_S[[#This Row],[Industry]], Mean_AE_S, 2, FALSE))/(VLOOKUP(Main_S[[#This Row],[Industry]], Mean_AE_S, 3, FALSE))</f>
        <v>-0.51046656557317183</v>
      </c>
      <c r="T26" s="1">
        <f>(Main_S[[#This Row],[P/E]]-VLOOKUP(Main_S[[#This Row],[Industry]], Mean_PE_S, 2, FALSE))/(VLOOKUP(Main_S[[#This Row],[Industry]], Mean_PE_S, 3, FALSE))</f>
        <v>-0.46320262501361809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7" t="s">
        <v>105</v>
      </c>
      <c r="B27" s="67" t="s">
        <v>530</v>
      </c>
      <c r="C27" s="2">
        <v>595</v>
      </c>
      <c r="D27">
        <f>RTD("tos.rtd", , "LAST", Main_S[[#This Row],[Symbol]])</f>
        <v>53.51</v>
      </c>
      <c r="E27">
        <v>5.58</v>
      </c>
      <c r="F27">
        <v>46.8</v>
      </c>
      <c r="G27">
        <v>4.99</v>
      </c>
      <c r="H27" s="1">
        <f>IF(ISNUMBER(Main_S[[#This Row],[Free CF]]),IF(Main_S[[#This Row],[Free CF]]&lt;&gt;0,Main_S[[#This Row],[Current Price]]/Main_S[[#This Row],[Free CF]],""),"")</f>
        <v>9.5896057347670247</v>
      </c>
      <c r="I27" s="1">
        <f>IF(ISNUMBER(Main_S[[#This Row],[BVPS]]),IF(Main_S[[#This Row],[BVPS]]&lt;&gt;0,Main_S[[#This Row],[Current Price]]/Main_S[[#This Row],[BVPS]],""),"")</f>
        <v>1.1433760683760683</v>
      </c>
      <c r="J27">
        <v>11.17</v>
      </c>
      <c r="K27">
        <v>1.17</v>
      </c>
      <c r="L27">
        <v>9.41</v>
      </c>
      <c r="M27" s="1">
        <f>IF(ISNUMBER(Main_S[[#This Row],[EPS]]),IF(Main_S[[#This Row],[EPS]]&lt;&gt;0,Main_S[[#This Row],[Current Price]]/Main_S[[#This Row],[EPS]],""),"")</f>
        <v>10.723446893787575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-0.15752541370981379</v>
      </c>
      <c r="P27" s="1">
        <f>(Main_S[[#This Row],[P/B]]-VLOOKUP(Main_S[[#This Row],[Industry]], Mean_PB_S, 2, FALSE))/(VLOOKUP(Main_S[[#This Row],[Industry]], Mean_PB_S, 3, FALSE))</f>
        <v>0.29485565442054662</v>
      </c>
      <c r="Q27" s="1">
        <f>(Main_S[[#This Row],[ROE]]-VLOOKUP(Main_S[[#This Row],[Industry]], Mean_ROE_S, 2, FALSE))/(VLOOKUP(Main_S[[#This Row],[Industry]], Mean_ROE_S, 3, FALSE))</f>
        <v>0.46821364356545986</v>
      </c>
      <c r="R27" s="1">
        <f>(Main_S[[#This Row],[ROA]]-VLOOKUP(Main_S[[#This Row],[Industry]], Mean_ROA_S, 2, FALSE))/(VLOOKUP(Main_S[[#This Row],[Industry]], Mean_ROA_S, 3, FALSE))</f>
        <v>0.46791120400394931</v>
      </c>
      <c r="S27" s="1">
        <f>(Main_S[[#This Row],[A/E]]-VLOOKUP(Main_S[[#This Row],[Industry]], Mean_AE_S, 2, FALSE))/(VLOOKUP(Main_S[[#This Row],[Industry]], Mean_AE_S, 3, FALSE))</f>
        <v>-9.6748113475125741E-2</v>
      </c>
      <c r="T27" s="1">
        <f>(Main_S[[#This Row],[P/E]]-VLOOKUP(Main_S[[#This Row],[Industry]], Mean_PE_S, 2, FALSE))/(VLOOKUP(Main_S[[#This Row],[Industry]], Mean_PE_S, 3, FALSE))</f>
        <v>-0.50022631877401169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7" t="s">
        <v>105</v>
      </c>
      <c r="B28" s="67" t="s">
        <v>461</v>
      </c>
      <c r="C28" s="2">
        <v>535</v>
      </c>
      <c r="D28">
        <f>RTD("tos.rtd", , "LAST", Main_S[[#This Row],[Symbol]])</f>
        <v>17.68</v>
      </c>
      <c r="E28">
        <v>5.58</v>
      </c>
      <c r="F28">
        <v>40.99</v>
      </c>
      <c r="G28">
        <v>-1.49</v>
      </c>
      <c r="H28" s="1">
        <f>IF(ISNUMBER(Main_S[[#This Row],[Free CF]]),IF(Main_S[[#This Row],[Free CF]]&lt;&gt;0,Main_S[[#This Row],[Current Price]]/Main_S[[#This Row],[Free CF]],""),"")</f>
        <v>3.1684587813620069</v>
      </c>
      <c r="I28" s="1">
        <f>IF(ISNUMBER(Main_S[[#This Row],[BVPS]]),IF(Main_S[[#This Row],[BVPS]]&lt;&gt;0,Main_S[[#This Row],[Current Price]]/Main_S[[#This Row],[BVPS]],""),"")</f>
        <v>0.43132471334471817</v>
      </c>
      <c r="J28">
        <v>-3.6</v>
      </c>
      <c r="K28">
        <v>-0.39</v>
      </c>
      <c r="L28">
        <v>9.09</v>
      </c>
      <c r="M28" s="1">
        <f>IF(ISNUMBER(Main_S[[#This Row],[EPS]]),IF(Main_S[[#This Row],[EPS]]&lt;&gt;0,Main_S[[#This Row],[Current Price]]/Main_S[[#This Row],[EPS]],""),"")</f>
        <v>-11.865771812080537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-1.7850340471398551</v>
      </c>
      <c r="P28" s="1">
        <f>(Main_S[[#This Row],[P/B]]-VLOOKUP(Main_S[[#This Row],[Industry]], Mean_PB_S, 2, FALSE))/(VLOOKUP(Main_S[[#This Row],[Industry]], Mean_PB_S, 3, FALSE))</f>
        <v>-2.2739806086731336</v>
      </c>
      <c r="Q28" s="1">
        <f>(Main_S[[#This Row],[ROE]]-VLOOKUP(Main_S[[#This Row],[Industry]], Mean_ROE_S, 2, FALSE))/(VLOOKUP(Main_S[[#This Row],[Industry]], Mean_ROE_S, 3, FALSE))</f>
        <v>-3.1051620124574417</v>
      </c>
      <c r="R28" s="1">
        <f>(Main_S[[#This Row],[ROA]]-VLOOKUP(Main_S[[#This Row],[Industry]], Mean_ROA_S, 2, FALSE))/(VLOOKUP(Main_S[[#This Row],[Industry]], Mean_ROA_S, 3, FALSE))</f>
        <v>-3.0754940302007103</v>
      </c>
      <c r="S28" s="1">
        <f>(Main_S[[#This Row],[A/E]]-VLOOKUP(Main_S[[#This Row],[Industry]], Mean_AE_S, 2, FALSE))/(VLOOKUP(Main_S[[#This Row],[Industry]], Mean_AE_S, 3, FALSE))</f>
        <v>-0.28062298107425732</v>
      </c>
      <c r="T28" s="1">
        <f>(Main_S[[#This Row],[P/E]]-VLOOKUP(Main_S[[#This Row],[Industry]], Mean_PE_S, 2, FALSE))/(VLOOKUP(Main_S[[#This Row],[Industry]], Mean_PE_S, 3, FALSE))</f>
        <v>-9.2536229609032041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s="67" t="s">
        <v>105</v>
      </c>
      <c r="B29" s="67" t="s">
        <v>484</v>
      </c>
      <c r="C29" s="2">
        <v>393</v>
      </c>
      <c r="D29">
        <f>RTD("tos.rtd", , "LAST", Main_S[[#This Row],[Symbol]])</f>
        <v>50.87</v>
      </c>
      <c r="E29">
        <v>5.57</v>
      </c>
      <c r="F29">
        <v>50.82</v>
      </c>
      <c r="G29">
        <v>4.78</v>
      </c>
      <c r="H29" s="1">
        <f>IF(ISNUMBER(Main_S[[#This Row],[Free CF]]),IF(Main_S[[#This Row],[Free CF]]&lt;&gt;0,Main_S[[#This Row],[Current Price]]/Main_S[[#This Row],[Free CF]],""),"")</f>
        <v>9.1328545780969463</v>
      </c>
      <c r="I29" s="1">
        <f>IF(ISNUMBER(Main_S[[#This Row],[BVPS]]),IF(Main_S[[#This Row],[BVPS]]&lt;&gt;0,Main_S[[#This Row],[Current Price]]/Main_S[[#This Row],[BVPS]],""),"")</f>
        <v>1.0009838646202283</v>
      </c>
      <c r="J29">
        <v>9.85</v>
      </c>
      <c r="K29">
        <v>1.1200000000000001</v>
      </c>
      <c r="L29">
        <v>8.65</v>
      </c>
      <c r="M29" s="1">
        <f>IF(ISNUMBER(Main_S[[#This Row],[EPS]]),IF(Main_S[[#This Row],[EPS]]&lt;&gt;0,Main_S[[#This Row],[Current Price]]/Main_S[[#This Row],[EPS]],""),"")</f>
        <v>10.64225941422594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-0.27329389809491517</v>
      </c>
      <c r="P29" s="1">
        <f>(Main_S[[#This Row],[P/B]]-VLOOKUP(Main_S[[#This Row],[Industry]], Mean_PB_S, 2, FALSE))/(VLOOKUP(Main_S[[#This Row],[Industry]], Mean_PB_S, 3, FALSE))</f>
        <v>-0.21884641777580702</v>
      </c>
      <c r="Q29" s="1">
        <f>(Main_S[[#This Row],[ROE]]-VLOOKUP(Main_S[[#This Row],[Industry]], Mean_ROE_S, 2, FALSE))/(VLOOKUP(Main_S[[#This Row],[Industry]], Mean_ROE_S, 3, FALSE))</f>
        <v>0.14885982731967573</v>
      </c>
      <c r="R29" s="1">
        <f>(Main_S[[#This Row],[ROA]]-VLOOKUP(Main_S[[#This Row],[Industry]], Mean_ROA_S, 2, FALSE))/(VLOOKUP(Main_S[[#This Row],[Industry]], Mean_ROA_S, 3, FALSE))</f>
        <v>0.35434052342046707</v>
      </c>
      <c r="S29" s="1">
        <f>(Main_S[[#This Row],[A/E]]-VLOOKUP(Main_S[[#This Row],[Industry]], Mean_AE_S, 2, FALSE))/(VLOOKUP(Main_S[[#This Row],[Industry]], Mean_AE_S, 3, FALSE))</f>
        <v>-0.53345092402306271</v>
      </c>
      <c r="T29" s="1">
        <f>(Main_S[[#This Row],[P/E]]-VLOOKUP(Main_S[[#This Row],[Industry]], Mean_PE_S, 2, FALSE))/(VLOOKUP(Main_S[[#This Row],[Industry]], Mean_PE_S, 3, FALSE))</f>
        <v>-0.5316867344807813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105</v>
      </c>
      <c r="B30" s="67" t="s">
        <v>514</v>
      </c>
      <c r="C30" s="2">
        <v>1848</v>
      </c>
      <c r="D30">
        <f>RTD("tos.rtd", , "LAST", Main_S[[#This Row],[Symbol]])</f>
        <v>41.8</v>
      </c>
      <c r="E30">
        <v>5.52</v>
      </c>
      <c r="F30">
        <v>28.83</v>
      </c>
      <c r="G30">
        <v>4.18</v>
      </c>
      <c r="H30" s="1">
        <f>IF(ISNUMBER(Main_S[[#This Row],[Free CF]]),IF(Main_S[[#This Row],[Free CF]]&lt;&gt;0,Main_S[[#This Row],[Current Price]]/Main_S[[#This Row],[Free CF]],""),"")</f>
        <v>7.5724637681159424</v>
      </c>
      <c r="I30" s="1">
        <f>IF(ISNUMBER(Main_S[[#This Row],[BVPS]]),IF(Main_S[[#This Row],[BVPS]]&lt;&gt;0,Main_S[[#This Row],[Current Price]]/Main_S[[#This Row],[BVPS]],""),"")</f>
        <v>1.4498785986819285</v>
      </c>
      <c r="J30">
        <v>15.46</v>
      </c>
      <c r="K30">
        <v>1.7</v>
      </c>
      <c r="L30">
        <v>9.0500000000000007</v>
      </c>
      <c r="M30" s="1">
        <f>IF(ISNUMBER(Main_S[[#This Row],[EPS]]),IF(Main_S[[#This Row],[EPS]]&lt;&gt;0,Main_S[[#This Row],[Current Price]]/Main_S[[#This Row],[EPS]],""),"")</f>
        <v>10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-0.668791701399713</v>
      </c>
      <c r="P30" s="1">
        <f>(Main_S[[#This Row],[P/B]]-VLOOKUP(Main_S[[#This Row],[Industry]], Mean_PB_S, 2, FALSE))/(VLOOKUP(Main_S[[#This Row],[Industry]], Mean_PB_S, 3, FALSE))</f>
        <v>1.4006113123744561</v>
      </c>
      <c r="Q30" s="1">
        <f>(Main_S[[#This Row],[ROE]]-VLOOKUP(Main_S[[#This Row],[Industry]], Mean_ROE_S, 2, FALSE))/(VLOOKUP(Main_S[[#This Row],[Industry]], Mean_ROE_S, 3, FALSE))</f>
        <v>1.5061135463642583</v>
      </c>
      <c r="R30" s="1">
        <f>(Main_S[[#This Row],[ROA]]-VLOOKUP(Main_S[[#This Row],[Industry]], Mean_ROA_S, 2, FALSE))/(VLOOKUP(Main_S[[#This Row],[Industry]], Mean_ROA_S, 3, FALSE))</f>
        <v>1.6717604181888659</v>
      </c>
      <c r="S30" s="1">
        <f>(Main_S[[#This Row],[A/E]]-VLOOKUP(Main_S[[#This Row],[Industry]], Mean_AE_S, 2, FALSE))/(VLOOKUP(Main_S[[#This Row],[Industry]], Mean_AE_S, 3, FALSE))</f>
        <v>-0.30360733952414826</v>
      </c>
      <c r="T30" s="1">
        <f>(Main_S[[#This Row],[P/E]]-VLOOKUP(Main_S[[#This Row],[Industry]], Mean_PE_S, 2, FALSE))/(VLOOKUP(Main_S[[#This Row],[Industry]], Mean_PE_S, 3, FALSE))</f>
        <v>-0.7805643726613688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7" t="s">
        <v>105</v>
      </c>
      <c r="B31" s="67" t="s">
        <v>508</v>
      </c>
      <c r="C31" s="2">
        <v>452</v>
      </c>
      <c r="D31">
        <f>RTD("tos.rtd", , "LAST", Main_S[[#This Row],[Symbol]])</f>
        <v>13.23</v>
      </c>
      <c r="E31">
        <v>5.46</v>
      </c>
      <c r="F31">
        <v>17.09</v>
      </c>
      <c r="G31">
        <v>1.94</v>
      </c>
      <c r="H31" s="1">
        <f>IF(ISNUMBER(Main_S[[#This Row],[Free CF]]),IF(Main_S[[#This Row],[Free CF]]&lt;&gt;0,Main_S[[#This Row],[Current Price]]/Main_S[[#This Row],[Free CF]],""),"")</f>
        <v>2.4230769230769234</v>
      </c>
      <c r="I31" s="1">
        <f>IF(ISNUMBER(Main_S[[#This Row],[BVPS]]),IF(Main_S[[#This Row],[BVPS]]&lt;&gt;0,Main_S[[#This Row],[Current Price]]/Main_S[[#This Row],[BVPS]],""),"")</f>
        <v>0.77413692217671159</v>
      </c>
      <c r="J31">
        <v>12.35</v>
      </c>
      <c r="K31">
        <v>1.1100000000000001</v>
      </c>
      <c r="L31">
        <v>9.99</v>
      </c>
      <c r="M31" s="1">
        <f>IF(ISNUMBER(Main_S[[#This Row],[EPS]]),IF(Main_S[[#This Row],[EPS]]&lt;&gt;0,Main_S[[#This Row],[Current Price]]/Main_S[[#This Row],[EPS]],""),"")</f>
        <v>6.81958762886598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-1.9739590816179726</v>
      </c>
      <c r="P31" s="1">
        <f>(Main_S[[#This Row],[P/B]]-VLOOKUP(Main_S[[#This Row],[Industry]], Mean_PB_S, 2, FALSE))/(VLOOKUP(Main_S[[#This Row],[Industry]], Mean_PB_S, 3, FALSE))</f>
        <v>-1.0372321252156504</v>
      </c>
      <c r="Q31" s="1">
        <f>(Main_S[[#This Row],[ROE]]-VLOOKUP(Main_S[[#This Row],[Industry]], Mean_ROE_S, 2, FALSE))/(VLOOKUP(Main_S[[#This Row],[Industry]], Mean_ROE_S, 3, FALSE))</f>
        <v>0.75369660051244858</v>
      </c>
      <c r="R31" s="1">
        <f>(Main_S[[#This Row],[ROA]]-VLOOKUP(Main_S[[#This Row],[Industry]], Mean_ROA_S, 2, FALSE))/(VLOOKUP(Main_S[[#This Row],[Industry]], Mean_ROA_S, 3, FALSE))</f>
        <v>0.33162638730377048</v>
      </c>
      <c r="S31" s="1">
        <f>(Main_S[[#This Row],[A/E]]-VLOOKUP(Main_S[[#This Row],[Industry]], Mean_AE_S, 2, FALSE))/(VLOOKUP(Main_S[[#This Row],[Industry]], Mean_AE_S, 3, FALSE))</f>
        <v>0.2365250840483</v>
      </c>
      <c r="T31" s="1">
        <f>(Main_S[[#This Row],[P/E]]-VLOOKUP(Main_S[[#This Row],[Industry]], Mean_PE_S, 2, FALSE))/(VLOOKUP(Main_S[[#This Row],[Industry]], Mean_PE_S, 3, FALSE))</f>
        <v>-2.0129846406026717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7" t="s">
        <v>105</v>
      </c>
      <c r="B32" s="67" t="s">
        <v>540</v>
      </c>
      <c r="C32" s="2">
        <v>614</v>
      </c>
      <c r="D32">
        <f>RTD("tos.rtd", , "LAST", Main_S[[#This Row],[Symbol]])</f>
        <v>51.88</v>
      </c>
      <c r="E32">
        <v>5.35</v>
      </c>
      <c r="F32">
        <v>48.26</v>
      </c>
      <c r="G32">
        <v>4.63</v>
      </c>
      <c r="H32" s="1">
        <f>IF(ISNUMBER(Main_S[[#This Row],[Free CF]]),IF(Main_S[[#This Row],[Free CF]]&lt;&gt;0,Main_S[[#This Row],[Current Price]]/Main_S[[#This Row],[Free CF]],""),"")</f>
        <v>9.6971962616822438</v>
      </c>
      <c r="I32" s="1">
        <f>IF(ISNUMBER(Main_S[[#This Row],[BVPS]]),IF(Main_S[[#This Row],[BVPS]]&lt;&gt;0,Main_S[[#This Row],[Current Price]]/Main_S[[#This Row],[BVPS]],""),"")</f>
        <v>1.0750103605470369</v>
      </c>
      <c r="J32">
        <v>10.02</v>
      </c>
      <c r="K32">
        <v>1.05</v>
      </c>
      <c r="L32">
        <v>9.6999999999999993</v>
      </c>
      <c r="M32" s="1">
        <f>IF(ISNUMBER(Main_S[[#This Row],[EPS]]),IF(Main_S[[#This Row],[EPS]]&lt;&gt;0,Main_S[[#This Row],[Current Price]]/Main_S[[#This Row],[EPS]],""),"")</f>
        <v>11.205183585313176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-0.13025543956026542</v>
      </c>
      <c r="P32" s="1">
        <f>(Main_S[[#This Row],[P/B]]-VLOOKUP(Main_S[[#This Row],[Industry]], Mean_PB_S, 2, FALSE))/(VLOOKUP(Main_S[[#This Row],[Industry]], Mean_PB_S, 3, FALSE))</f>
        <v>4.8215706076439928E-2</v>
      </c>
      <c r="Q32" s="1">
        <f>(Main_S[[#This Row],[ROE]]-VLOOKUP(Main_S[[#This Row],[Industry]], Mean_ROE_S, 2, FALSE))/(VLOOKUP(Main_S[[#This Row],[Industry]], Mean_ROE_S, 3, FALSE))</f>
        <v>0.18998872789678425</v>
      </c>
      <c r="R32" s="1">
        <f>(Main_S[[#This Row],[ROA]]-VLOOKUP(Main_S[[#This Row],[Industry]], Mean_ROA_S, 2, FALSE))/(VLOOKUP(Main_S[[#This Row],[Industry]], Mean_ROA_S, 3, FALSE))</f>
        <v>0.19534157060359114</v>
      </c>
      <c r="S32" s="1">
        <f>(Main_S[[#This Row],[A/E]]-VLOOKUP(Main_S[[#This Row],[Industry]], Mean_AE_S, 2, FALSE))/(VLOOKUP(Main_S[[#This Row],[Industry]], Mean_AE_S, 3, FALSE))</f>
        <v>6.9888485286586616E-2</v>
      </c>
      <c r="T32" s="1">
        <f>(Main_S[[#This Row],[P/E]]-VLOOKUP(Main_S[[#This Row],[Industry]], Mean_PE_S, 2, FALSE))/(VLOOKUP(Main_S[[#This Row],[Industry]], Mean_PE_S, 3, FALSE))</f>
        <v>-0.31355176429306397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7" t="s">
        <v>105</v>
      </c>
      <c r="B33" s="67" t="s">
        <v>442</v>
      </c>
      <c r="C33" s="2">
        <v>1839</v>
      </c>
      <c r="D33">
        <f>RTD("tos.rtd", , "LAST", Main_S[[#This Row],[Symbol]])</f>
        <v>77.11</v>
      </c>
      <c r="E33">
        <v>5.29</v>
      </c>
      <c r="F33">
        <v>35.35</v>
      </c>
      <c r="G33">
        <v>7.36</v>
      </c>
      <c r="H33" s="1">
        <f>IF(ISNUMBER(Main_S[[#This Row],[Free CF]]),IF(Main_S[[#This Row],[Free CF]]&lt;&gt;0,Main_S[[#This Row],[Current Price]]/Main_S[[#This Row],[Free CF]],""),"")</f>
        <v>14.576559546313799</v>
      </c>
      <c r="I33" s="1">
        <f>IF(ISNUMBER(Main_S[[#This Row],[BVPS]]),IF(Main_S[[#This Row],[BVPS]]&lt;&gt;0,Main_S[[#This Row],[Current Price]]/Main_S[[#This Row],[BVPS]],""),"")</f>
        <v>2.1813295615275812</v>
      </c>
      <c r="J33">
        <v>23.2</v>
      </c>
      <c r="K33">
        <v>2.52</v>
      </c>
      <c r="L33">
        <v>8.42</v>
      </c>
      <c r="M33" s="1">
        <f>IF(ISNUMBER(Main_S[[#This Row],[EPS]]),IF(Main_S[[#This Row],[EPS]]&lt;&gt;0,Main_S[[#This Row],[Current Price]]/Main_S[[#This Row],[EPS]],""),"")</f>
        <v>10.476902173913043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1.1064715702721981</v>
      </c>
      <c r="P33" s="1">
        <f>(Main_S[[#This Row],[P/B]]-VLOOKUP(Main_S[[#This Row],[Industry]], Mean_PB_S, 2, FALSE))/(VLOOKUP(Main_S[[#This Row],[Industry]], Mean_PB_S, 3, FALSE))</f>
        <v>4.0394346848122114</v>
      </c>
      <c r="Q33" s="1">
        <f>(Main_S[[#This Row],[ROE]]-VLOOKUP(Main_S[[#This Row],[Industry]], Mean_ROE_S, 2, FALSE))/(VLOOKUP(Main_S[[#This Row],[Industry]], Mean_ROE_S, 3, FALSE))</f>
        <v>3.3786881961690827</v>
      </c>
      <c r="R33" s="1">
        <f>(Main_S[[#This Row],[ROA]]-VLOOKUP(Main_S[[#This Row],[Industry]], Mean_ROA_S, 2, FALSE))/(VLOOKUP(Main_S[[#This Row],[Industry]], Mean_ROA_S, 3, FALSE))</f>
        <v>3.5343195797579821</v>
      </c>
      <c r="S33" s="1">
        <f>(Main_S[[#This Row],[A/E]]-VLOOKUP(Main_S[[#This Row],[Industry]], Mean_AE_S, 2, FALSE))/(VLOOKUP(Main_S[[#This Row],[Industry]], Mean_AE_S, 3, FALSE))</f>
        <v>-0.66561098510993866</v>
      </c>
      <c r="T33" s="1">
        <f>(Main_S[[#This Row],[P/E]]-VLOOKUP(Main_S[[#This Row],[Industry]], Mean_PE_S, 2, FALSE))/(VLOOKUP(Main_S[[#This Row],[Industry]], Mean_PE_S, 3, FALSE))</f>
        <v>-0.59576320967691787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105</v>
      </c>
      <c r="B34" s="67" t="s">
        <v>455</v>
      </c>
      <c r="C34" s="2">
        <v>1610</v>
      </c>
      <c r="D34">
        <f>RTD("tos.rtd", , "LAST", Main_S[[#This Row],[Symbol]])</f>
        <v>52.77</v>
      </c>
      <c r="E34">
        <v>5.25</v>
      </c>
      <c r="F34">
        <v>54.85</v>
      </c>
      <c r="G34">
        <v>3.98</v>
      </c>
      <c r="H34" s="1">
        <f>IF(ISNUMBER(Main_S[[#This Row],[Free CF]]),IF(Main_S[[#This Row],[Free CF]]&lt;&gt;0,Main_S[[#This Row],[Current Price]]/Main_S[[#This Row],[Free CF]],""),"")</f>
        <v>10.051428571428572</v>
      </c>
      <c r="I34" s="1">
        <f>IF(ISNUMBER(Main_S[[#This Row],[BVPS]]),IF(Main_S[[#This Row],[BVPS]]&lt;&gt;0,Main_S[[#This Row],[Current Price]]/Main_S[[#This Row],[BVPS]],""),"")</f>
        <v>0.96207839562443032</v>
      </c>
      <c r="J34">
        <v>8.14</v>
      </c>
      <c r="K34">
        <v>0.66</v>
      </c>
      <c r="L34">
        <v>12.99</v>
      </c>
      <c r="M34" s="1">
        <f>IF(ISNUMBER(Main_S[[#This Row],[EPS]]),IF(Main_S[[#This Row],[EPS]]&lt;&gt;0,Main_S[[#This Row],[Current Price]]/Main_S[[#This Row],[EPS]],""),"")</f>
        <v>13.258793969849247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-4.0471457580800341E-2</v>
      </c>
      <c r="P34" s="1">
        <f>(Main_S[[#This Row],[P/B]]-VLOOKUP(Main_S[[#This Row],[Industry]], Mean_PB_S, 2, FALSE))/(VLOOKUP(Main_S[[#This Row],[Industry]], Mean_PB_S, 3, FALSE))</f>
        <v>-0.35920396204966409</v>
      </c>
      <c r="Q34" s="1">
        <f>(Main_S[[#This Row],[ROE]]-VLOOKUP(Main_S[[#This Row],[Industry]], Mean_ROE_S, 2, FALSE))/(VLOOKUP(Main_S[[#This Row],[Industry]], Mean_ROE_S, 3, FALSE))</f>
        <v>-0.26484852554418065</v>
      </c>
      <c r="R34" s="1">
        <f>(Main_S[[#This Row],[ROA]]-VLOOKUP(Main_S[[#This Row],[Industry]], Mean_ROA_S, 2, FALSE))/(VLOOKUP(Main_S[[#This Row],[Industry]], Mean_ROA_S, 3, FALSE))</f>
        <v>-0.69050973794757387</v>
      </c>
      <c r="S34" s="1">
        <f>(Main_S[[#This Row],[A/E]]-VLOOKUP(Main_S[[#This Row],[Industry]], Mean_AE_S, 2, FALSE))/(VLOOKUP(Main_S[[#This Row],[Industry]], Mean_AE_S, 3, FALSE))</f>
        <v>1.9603519677901571</v>
      </c>
      <c r="T34" s="1">
        <f>(Main_S[[#This Row],[P/E]]-VLOOKUP(Main_S[[#This Row],[Industry]], Mean_PE_S, 2, FALSE))/(VLOOKUP(Main_S[[#This Row],[Industry]], Mean_PE_S, 3, FALSE))</f>
        <v>0.48222902291804731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7" t="s">
        <v>105</v>
      </c>
      <c r="B35" s="67" t="s">
        <v>463</v>
      </c>
      <c r="C35" s="2">
        <v>768</v>
      </c>
      <c r="D35">
        <f>RTD("tos.rtd", , "LAST", Main_S[[#This Row],[Symbol]])</f>
        <v>90.48</v>
      </c>
      <c r="E35">
        <v>5.25</v>
      </c>
      <c r="F35">
        <v>31.35</v>
      </c>
      <c r="G35">
        <v>5.27</v>
      </c>
      <c r="H35" s="1">
        <f>IF(ISNUMBER(Main_S[[#This Row],[Free CF]]),IF(Main_S[[#This Row],[Free CF]]&lt;&gt;0,Main_S[[#This Row],[Current Price]]/Main_S[[#This Row],[Free CF]],""),"")</f>
        <v>17.234285714285715</v>
      </c>
      <c r="I35" s="1">
        <f>IF(ISNUMBER(Main_S[[#This Row],[BVPS]]),IF(Main_S[[#This Row],[BVPS]]&lt;&gt;0,Main_S[[#This Row],[Current Price]]/Main_S[[#This Row],[BVPS]],""),"")</f>
        <v>2.8861244019138756</v>
      </c>
      <c r="J35">
        <v>19.66</v>
      </c>
      <c r="K35">
        <v>2.4900000000000002</v>
      </c>
      <c r="L35">
        <v>7.8</v>
      </c>
      <c r="M35" s="1">
        <f>IF(ISNUMBER(Main_S[[#This Row],[EPS]]),IF(Main_S[[#This Row],[EPS]]&lt;&gt;0,Main_S[[#This Row],[Current Price]]/Main_S[[#This Row],[EPS]],""),"")</f>
        <v>17.168880455407972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1.7801008011642765</v>
      </c>
      <c r="P35" s="1">
        <f>(Main_S[[#This Row],[P/B]]-VLOOKUP(Main_S[[#This Row],[Industry]], Mean_PB_S, 2, FALSE))/(VLOOKUP(Main_S[[#This Row],[Industry]], Mean_PB_S, 3, FALSE))</f>
        <v>6.582091940124819</v>
      </c>
      <c r="Q35" s="1">
        <f>(Main_S[[#This Row],[ROE]]-VLOOKUP(Main_S[[#This Row],[Industry]], Mean_ROE_S, 2, FALSE))/(VLOOKUP(Main_S[[#This Row],[Industry]], Mean_ROE_S, 3, FALSE))</f>
        <v>2.5222393253281163</v>
      </c>
      <c r="R35" s="1">
        <f>(Main_S[[#This Row],[ROA]]-VLOOKUP(Main_S[[#This Row],[Industry]], Mean_ROA_S, 2, FALSE))/(VLOOKUP(Main_S[[#This Row],[Industry]], Mean_ROA_S, 3, FALSE))</f>
        <v>3.4661771714078928</v>
      </c>
      <c r="S35" s="1">
        <f>(Main_S[[#This Row],[A/E]]-VLOOKUP(Main_S[[#This Row],[Industry]], Mean_AE_S, 2, FALSE))/(VLOOKUP(Main_S[[#This Row],[Industry]], Mean_AE_S, 3, FALSE))</f>
        <v>-1.0218685410832558</v>
      </c>
      <c r="T35" s="1">
        <f>(Main_S[[#This Row],[P/E]]-VLOOKUP(Main_S[[#This Row],[Industry]], Mean_PE_S, 2, FALSE))/(VLOOKUP(Main_S[[#This Row],[Industry]], Mean_PE_S, 3, FALSE))</f>
        <v>1.9974004132518477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7" t="s">
        <v>105</v>
      </c>
      <c r="B36" s="67" t="s">
        <v>481</v>
      </c>
      <c r="C36" s="2">
        <v>469</v>
      </c>
      <c r="D36">
        <f>RTD("tos.rtd", , "LAST", Main_S[[#This Row],[Symbol]])</f>
        <v>41.2</v>
      </c>
      <c r="E36">
        <v>4.95</v>
      </c>
      <c r="F36">
        <v>28.64</v>
      </c>
      <c r="G36">
        <v>2.91</v>
      </c>
      <c r="H36" s="1">
        <f>IF(ISNUMBER(Main_S[[#This Row],[Free CF]]),IF(Main_S[[#This Row],[Free CF]]&lt;&gt;0,Main_S[[#This Row],[Current Price]]/Main_S[[#This Row],[Free CF]],""),"")</f>
        <v>8.3232323232323235</v>
      </c>
      <c r="I36" s="1">
        <f>IF(ISNUMBER(Main_S[[#This Row],[BVPS]]),IF(Main_S[[#This Row],[BVPS]]&lt;&gt;0,Main_S[[#This Row],[Current Price]]/Main_S[[#This Row],[BVPS]],""),"")</f>
        <v>1.4385474860335197</v>
      </c>
      <c r="J36">
        <v>10.58</v>
      </c>
      <c r="K36">
        <v>1.06</v>
      </c>
      <c r="L36">
        <v>9.69</v>
      </c>
      <c r="M36" s="1">
        <f>IF(ISNUMBER(Main_S[[#This Row],[EPS]]),IF(Main_S[[#This Row],[EPS]]&lt;&gt;0,Main_S[[#This Row],[Current Price]]/Main_S[[#This Row],[EPS]],""),"")</f>
        <v>14.15807560137457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-0.47850135077757588</v>
      </c>
      <c r="P36" s="1">
        <f>(Main_S[[#This Row],[P/B]]-VLOOKUP(Main_S[[#This Row],[Industry]], Mean_PB_S, 2, FALSE))/(VLOOKUP(Main_S[[#This Row],[Industry]], Mean_PB_S, 3, FALSE))</f>
        <v>1.3597325571178911</v>
      </c>
      <c r="Q36" s="1">
        <f>(Main_S[[#This Row],[ROE]]-VLOOKUP(Main_S[[#This Row],[Industry]], Mean_ROE_S, 2, FALSE))/(VLOOKUP(Main_S[[#This Row],[Industry]], Mean_ROE_S, 3, FALSE))</f>
        <v>0.32547216509196553</v>
      </c>
      <c r="R36" s="1">
        <f>(Main_S[[#This Row],[ROA]]-VLOOKUP(Main_S[[#This Row],[Industry]], Mean_ROA_S, 2, FALSE))/(VLOOKUP(Main_S[[#This Row],[Industry]], Mean_ROA_S, 3, FALSE))</f>
        <v>0.21805570672028771</v>
      </c>
      <c r="S36" s="1">
        <f>(Main_S[[#This Row],[A/E]]-VLOOKUP(Main_S[[#This Row],[Industry]], Mean_AE_S, 2, FALSE))/(VLOOKUP(Main_S[[#This Row],[Industry]], Mean_AE_S, 3, FALSE))</f>
        <v>6.4142395674113881E-2</v>
      </c>
      <c r="T36" s="1">
        <f>(Main_S[[#This Row],[P/E]]-VLOOKUP(Main_S[[#This Row],[Industry]], Mean_PE_S, 2, FALSE))/(VLOOKUP(Main_S[[#This Row],[Industry]], Mean_PE_S, 3, FALSE))</f>
        <v>0.83070361675945958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105</v>
      </c>
      <c r="B37" s="67" t="s">
        <v>542</v>
      </c>
      <c r="C37" s="2">
        <v>443</v>
      </c>
      <c r="D37">
        <f>RTD("tos.rtd", , "LAST", Main_S[[#This Row],[Symbol]])</f>
        <v>43.25</v>
      </c>
      <c r="E37">
        <v>4.91</v>
      </c>
      <c r="F37">
        <v>30.38</v>
      </c>
      <c r="G37">
        <v>4.26</v>
      </c>
      <c r="H37" s="1">
        <f>IF(ISNUMBER(Main_S[[#This Row],[Free CF]]),IF(Main_S[[#This Row],[Free CF]]&lt;&gt;0,Main_S[[#This Row],[Current Price]]/Main_S[[#This Row],[Free CF]],""),"")</f>
        <v>8.8085539714867611</v>
      </c>
      <c r="I37" s="1">
        <f>IF(ISNUMBER(Main_S[[#This Row],[BVPS]]),IF(Main_S[[#This Row],[BVPS]]&lt;&gt;0,Main_S[[#This Row],[Current Price]]/Main_S[[#This Row],[BVPS]],""),"")</f>
        <v>1.4236339697169191</v>
      </c>
      <c r="J37">
        <v>15.17</v>
      </c>
      <c r="K37">
        <v>1.63</v>
      </c>
      <c r="L37">
        <v>9.0399999999999991</v>
      </c>
      <c r="M37" s="1">
        <f>IF(ISNUMBER(Main_S[[#This Row],[EPS]]),IF(Main_S[[#This Row],[EPS]]&lt;&gt;0,Main_S[[#This Row],[Current Price]]/Main_S[[#This Row],[EPS]],""),"")</f>
        <v>10.152582159624414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-0.35549136856470287</v>
      </c>
      <c r="P37" s="1">
        <f>(Main_S[[#This Row],[P/B]]-VLOOKUP(Main_S[[#This Row],[Industry]], Mean_PB_S, 2, FALSE))/(VLOOKUP(Main_S[[#This Row],[Industry]], Mean_PB_S, 3, FALSE))</f>
        <v>1.3059297221768129</v>
      </c>
      <c r="Q37" s="1">
        <f>(Main_S[[#This Row],[ROE]]-VLOOKUP(Main_S[[#This Row],[Industry]], Mean_ROE_S, 2, FALSE))/(VLOOKUP(Main_S[[#This Row],[Industry]], Mean_ROE_S, 3, FALSE))</f>
        <v>1.4359524806738964</v>
      </c>
      <c r="R37" s="1">
        <f>(Main_S[[#This Row],[ROA]]-VLOOKUP(Main_S[[#This Row],[Industry]], Mean_ROA_S, 2, FALSE))/(VLOOKUP(Main_S[[#This Row],[Industry]], Mean_ROA_S, 3, FALSE))</f>
        <v>1.5127614653719899</v>
      </c>
      <c r="S37" s="1">
        <f>(Main_S[[#This Row],[A/E]]-VLOOKUP(Main_S[[#This Row],[Industry]], Mean_AE_S, 2, FALSE))/(VLOOKUP(Main_S[[#This Row],[Industry]], Mean_AE_S, 3, FALSE))</f>
        <v>-0.309353429136622</v>
      </c>
      <c r="T37" s="1">
        <f>(Main_S[[#This Row],[P/E]]-VLOOKUP(Main_S[[#This Row],[Industry]], Mean_PE_S, 2, FALSE))/(VLOOKUP(Main_S[[#This Row],[Industry]], Mean_PE_S, 3, FALSE))</f>
        <v>-0.72143828330449322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105</v>
      </c>
      <c r="B38" s="67" t="s">
        <v>547</v>
      </c>
      <c r="C38" s="2">
        <v>1258</v>
      </c>
      <c r="D38">
        <f>RTD("tos.rtd", , "LAST", Main_S[[#This Row],[Symbol]])</f>
        <v>48.63</v>
      </c>
      <c r="E38">
        <v>4.87</v>
      </c>
      <c r="F38">
        <v>35.020000000000003</v>
      </c>
      <c r="G38">
        <v>4.99</v>
      </c>
      <c r="H38" s="1">
        <f>IF(ISNUMBER(Main_S[[#This Row],[Free CF]]),IF(Main_S[[#This Row],[Free CF]]&lt;&gt;0,Main_S[[#This Row],[Current Price]]/Main_S[[#This Row],[Free CF]],""),"")</f>
        <v>9.9856262833675569</v>
      </c>
      <c r="I38" s="1">
        <f>IF(ISNUMBER(Main_S[[#This Row],[BVPS]]),IF(Main_S[[#This Row],[BVPS]]&lt;&gt;0,Main_S[[#This Row],[Current Price]]/Main_S[[#This Row],[BVPS]],""),"")</f>
        <v>1.3886350656767561</v>
      </c>
      <c r="J38">
        <v>15.54</v>
      </c>
      <c r="K38">
        <v>2.14</v>
      </c>
      <c r="L38">
        <v>6.46</v>
      </c>
      <c r="M38" s="1">
        <f>IF(ISNUMBER(Main_S[[#This Row],[EPS]]),IF(Main_S[[#This Row],[EPS]]&lt;&gt;0,Main_S[[#This Row],[Current Price]]/Main_S[[#This Row],[EPS]],""),"")</f>
        <v>9.7454909819639273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-5.7149753949950109E-2</v>
      </c>
      <c r="P38" s="1">
        <f>(Main_S[[#This Row],[P/B]]-VLOOKUP(Main_S[[#This Row],[Industry]], Mean_PB_S, 2, FALSE))/(VLOOKUP(Main_S[[#This Row],[Industry]], Mean_PB_S, 3, FALSE))</f>
        <v>1.1796657199645733</v>
      </c>
      <c r="Q38" s="1">
        <f>(Main_S[[#This Row],[ROE]]-VLOOKUP(Main_S[[#This Row],[Industry]], Mean_ROE_S, 2, FALSE))/(VLOOKUP(Main_S[[#This Row],[Industry]], Mean_ROE_S, 3, FALSE))</f>
        <v>1.5254683231064265</v>
      </c>
      <c r="R38" s="1">
        <f>(Main_S[[#This Row],[ROA]]-VLOOKUP(Main_S[[#This Row],[Industry]], Mean_ROA_S, 2, FALSE))/(VLOOKUP(Main_S[[#This Row],[Industry]], Mean_ROA_S, 3, FALSE))</f>
        <v>2.671182407323514</v>
      </c>
      <c r="S38" s="1">
        <f>(Main_S[[#This Row],[A/E]]-VLOOKUP(Main_S[[#This Row],[Industry]], Mean_AE_S, 2, FALSE))/(VLOOKUP(Main_S[[#This Row],[Industry]], Mean_AE_S, 3, FALSE))</f>
        <v>-1.7918445491546187</v>
      </c>
      <c r="T38" s="1">
        <f>(Main_S[[#This Row],[P/E]]-VLOOKUP(Main_S[[#This Row],[Industry]], Mean_PE_S, 2, FALSE))/(VLOOKUP(Main_S[[#This Row],[Industry]], Mean_PE_S, 3, FALSE))</f>
        <v>-0.87918745533088261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7" t="s">
        <v>105</v>
      </c>
      <c r="B39" s="67" t="s">
        <v>523</v>
      </c>
      <c r="C39" s="2">
        <v>258</v>
      </c>
      <c r="D39">
        <f>RTD("tos.rtd", , "LAST", Main_S[[#This Row],[Symbol]])</f>
        <v>42.95</v>
      </c>
      <c r="E39">
        <v>4.78</v>
      </c>
      <c r="F39">
        <v>31.68</v>
      </c>
      <c r="G39">
        <v>4.95</v>
      </c>
      <c r="H39" s="1">
        <f>IF(ISNUMBER(Main_S[[#This Row],[Free CF]]),IF(Main_S[[#This Row],[Free CF]]&lt;&gt;0,Main_S[[#This Row],[Current Price]]/Main_S[[#This Row],[Free CF]],""),"")</f>
        <v>8.985355648535565</v>
      </c>
      <c r="I39" s="1">
        <f>IF(ISNUMBER(Main_S[[#This Row],[BVPS]]),IF(Main_S[[#This Row],[BVPS]]&lt;&gt;0,Main_S[[#This Row],[Current Price]]/Main_S[[#This Row],[BVPS]],""),"")</f>
        <v>1.3557449494949496</v>
      </c>
      <c r="J39">
        <v>16.93</v>
      </c>
      <c r="K39">
        <v>1.8</v>
      </c>
      <c r="L39">
        <v>8.7100000000000009</v>
      </c>
      <c r="M39" s="1">
        <f>IF(ISNUMBER(Main_S[[#This Row],[EPS]]),IF(Main_S[[#This Row],[EPS]]&lt;&gt;0,Main_S[[#This Row],[Current Price]]/Main_S[[#This Row],[EPS]],""),"")</f>
        <v>8.6767676767676765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-0.31067908535582039</v>
      </c>
      <c r="P39" s="1">
        <f>(Main_S[[#This Row],[P/B]]-VLOOKUP(Main_S[[#This Row],[Industry]], Mean_PB_S, 2, FALSE))/(VLOOKUP(Main_S[[#This Row],[Industry]], Mean_PB_S, 3, FALSE))</f>
        <v>1.0610094986847627</v>
      </c>
      <c r="Q39" s="1">
        <f>(Main_S[[#This Row],[ROE]]-VLOOKUP(Main_S[[#This Row],[Industry]], Mean_ROE_S, 2, FALSE))/(VLOOKUP(Main_S[[#This Row],[Industry]], Mean_ROE_S, 3, FALSE))</f>
        <v>1.8617575690016084</v>
      </c>
      <c r="R39" s="1">
        <f>(Main_S[[#This Row],[ROA]]-VLOOKUP(Main_S[[#This Row],[Industry]], Mean_ROA_S, 2, FALSE))/(VLOOKUP(Main_S[[#This Row],[Industry]], Mean_ROA_S, 3, FALSE))</f>
        <v>1.8989017793558314</v>
      </c>
      <c r="S39" s="1">
        <f>(Main_S[[#This Row],[A/E]]-VLOOKUP(Main_S[[#This Row],[Industry]], Mean_AE_S, 2, FALSE))/(VLOOKUP(Main_S[[#This Row],[Industry]], Mean_AE_S, 3, FALSE))</f>
        <v>-0.49897438634822527</v>
      </c>
      <c r="T39" s="1">
        <f>(Main_S[[#This Row],[P/E]]-VLOOKUP(Main_S[[#This Row],[Industry]], Mean_PE_S, 2, FALSE))/(VLOOKUP(Main_S[[#This Row],[Industry]], Mean_PE_S, 3, FALSE))</f>
        <v>-1.2933212557460287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105</v>
      </c>
      <c r="B40" s="67" t="s">
        <v>462</v>
      </c>
      <c r="C40" s="2">
        <v>682</v>
      </c>
      <c r="D40">
        <f>RTD("tos.rtd", , "LAST", Main_S[[#This Row],[Symbol]])</f>
        <v>39.549999999999997</v>
      </c>
      <c r="E40">
        <v>4.68</v>
      </c>
      <c r="F40">
        <v>35.21</v>
      </c>
      <c r="G40">
        <v>3.93</v>
      </c>
      <c r="H40" s="1">
        <f>IF(ISNUMBER(Main_S[[#This Row],[Free CF]]),IF(Main_S[[#This Row],[Free CF]]&lt;&gt;0,Main_S[[#This Row],[Current Price]]/Main_S[[#This Row],[Free CF]],""),"")</f>
        <v>8.4508547008547001</v>
      </c>
      <c r="I40" s="1">
        <f>IF(ISNUMBER(Main_S[[#This Row],[BVPS]]),IF(Main_S[[#This Row],[BVPS]]&lt;&gt;0,Main_S[[#This Row],[Current Price]]/Main_S[[#This Row],[BVPS]],""),"")</f>
        <v>1.1232604373757453</v>
      </c>
      <c r="J40">
        <v>11.84</v>
      </c>
      <c r="K40">
        <v>1.19</v>
      </c>
      <c r="L40">
        <v>8.82</v>
      </c>
      <c r="M40" s="1">
        <f>IF(ISNUMBER(Main_S[[#This Row],[EPS]]),IF(Main_S[[#This Row],[EPS]]&lt;&gt;0,Main_S[[#This Row],[Current Price]]/Main_S[[#This Row],[EPS]],""),"")</f>
        <v>10.063613231552162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-0.44615408900230319</v>
      </c>
      <c r="P40" s="1">
        <f>(Main_S[[#This Row],[P/B]]-VLOOKUP(Main_S[[#This Row],[Industry]], Mean_PB_S, 2, FALSE))/(VLOOKUP(Main_S[[#This Row],[Industry]], Mean_PB_S, 3, FALSE))</f>
        <v>0.22228537981392643</v>
      </c>
      <c r="Q40" s="1">
        <f>(Main_S[[#This Row],[ROE]]-VLOOKUP(Main_S[[#This Row],[Industry]], Mean_ROE_S, 2, FALSE))/(VLOOKUP(Main_S[[#This Row],[Industry]], Mean_ROE_S, 3, FALSE))</f>
        <v>0.63030989878112298</v>
      </c>
      <c r="R40" s="1">
        <f>(Main_S[[#This Row],[ROA]]-VLOOKUP(Main_S[[#This Row],[Industry]], Mean_ROA_S, 2, FALSE))/(VLOOKUP(Main_S[[#This Row],[Industry]], Mean_ROA_S, 3, FALSE))</f>
        <v>0.51333947623734244</v>
      </c>
      <c r="S40" s="1">
        <f>(Main_S[[#This Row],[A/E]]-VLOOKUP(Main_S[[#This Row],[Industry]], Mean_AE_S, 2, FALSE))/(VLOOKUP(Main_S[[#This Row],[Industry]], Mean_AE_S, 3, FALSE))</f>
        <v>-0.4357674006110242</v>
      </c>
      <c r="T40" s="1">
        <f>(Main_S[[#This Row],[P/E]]-VLOOKUP(Main_S[[#This Row],[Industry]], Mean_PE_S, 2, FALSE))/(VLOOKUP(Main_S[[#This Row],[Industry]], Mean_PE_S, 3, FALSE))</f>
        <v>-0.75591403593595408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105</v>
      </c>
      <c r="B41" s="67" t="s">
        <v>528</v>
      </c>
      <c r="C41" s="2">
        <v>295</v>
      </c>
      <c r="D41">
        <f>RTD("tos.rtd", , "LAST", Main_S[[#This Row],[Symbol]])</f>
        <v>35</v>
      </c>
      <c r="E41">
        <v>4.3899999999999997</v>
      </c>
      <c r="F41">
        <v>41.33</v>
      </c>
      <c r="G41">
        <v>2.25</v>
      </c>
      <c r="H41" s="1">
        <f>IF(ISNUMBER(Main_S[[#This Row],[Free CF]]),IF(Main_S[[#This Row],[Free CF]]&lt;&gt;0,Main_S[[#This Row],[Current Price]]/Main_S[[#This Row],[Free CF]],""),"")</f>
        <v>7.9726651480637818</v>
      </c>
      <c r="I41" s="1">
        <f>IF(ISNUMBER(Main_S[[#This Row],[BVPS]]),IF(Main_S[[#This Row],[BVPS]]&lt;&gt;0,Main_S[[#This Row],[Current Price]]/Main_S[[#This Row],[BVPS]],""),"")</f>
        <v>0.84684248729736278</v>
      </c>
      <c r="J41">
        <v>5.6</v>
      </c>
      <c r="K41">
        <v>0.44</v>
      </c>
      <c r="L41">
        <v>12.69</v>
      </c>
      <c r="M41" s="1">
        <f>IF(ISNUMBER(Main_S[[#This Row],[EPS]]),IF(Main_S[[#This Row],[EPS]]&lt;&gt;0,Main_S[[#This Row],[Current Price]]/Main_S[[#This Row],[EPS]],""),"")</f>
        <v>15.555555555555555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-0.56735636504904186</v>
      </c>
      <c r="P41" s="1">
        <f>(Main_S[[#This Row],[P/B]]-VLOOKUP(Main_S[[#This Row],[Industry]], Mean_PB_S, 2, FALSE))/(VLOOKUP(Main_S[[#This Row],[Industry]], Mean_PB_S, 3, FALSE))</f>
        <v>-0.77493546516305523</v>
      </c>
      <c r="Q41" s="1">
        <f>(Main_S[[#This Row],[ROE]]-VLOOKUP(Main_S[[#This Row],[Industry]], Mean_ROE_S, 2, FALSE))/(VLOOKUP(Main_S[[#This Row],[Industry]], Mean_ROE_S, 3, FALSE))</f>
        <v>-0.87936268710803811</v>
      </c>
      <c r="R41" s="1">
        <f>(Main_S[[#This Row],[ROA]]-VLOOKUP(Main_S[[#This Row],[Industry]], Mean_ROA_S, 2, FALSE))/(VLOOKUP(Main_S[[#This Row],[Industry]], Mean_ROA_S, 3, FALSE))</f>
        <v>-1.1902207325148975</v>
      </c>
      <c r="S41" s="1">
        <f>(Main_S[[#This Row],[A/E]]-VLOOKUP(Main_S[[#This Row],[Industry]], Mean_AE_S, 2, FALSE))/(VLOOKUP(Main_S[[#This Row],[Industry]], Mean_AE_S, 3, FALSE))</f>
        <v>1.7879692794159709</v>
      </c>
      <c r="T41" s="1">
        <f>(Main_S[[#This Row],[P/E]]-VLOOKUP(Main_S[[#This Row],[Industry]], Mean_PE_S, 2, FALSE))/(VLOOKUP(Main_S[[#This Row],[Industry]], Mean_PE_S, 3, FALSE))</f>
        <v>1.3722317013581955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105</v>
      </c>
      <c r="B42" s="67" t="s">
        <v>436</v>
      </c>
      <c r="C42" s="2">
        <v>365</v>
      </c>
      <c r="D42">
        <f>RTD("tos.rtd", , "LAST", Main_S[[#This Row],[Symbol]])</f>
        <v>39.25</v>
      </c>
      <c r="E42">
        <v>4.2</v>
      </c>
      <c r="F42">
        <v>23.46</v>
      </c>
      <c r="G42">
        <v>4.71</v>
      </c>
      <c r="H42" s="1">
        <f>IF(ISNUMBER(Main_S[[#This Row],[Free CF]]),IF(Main_S[[#This Row],[Free CF]]&lt;&gt;0,Main_S[[#This Row],[Current Price]]/Main_S[[#This Row],[Free CF]],""),"")</f>
        <v>9.3452380952380949</v>
      </c>
      <c r="I42" s="1">
        <f>IF(ISNUMBER(Main_S[[#This Row],[BVPS]]),IF(Main_S[[#This Row],[BVPS]]&lt;&gt;0,Main_S[[#This Row],[Current Price]]/Main_S[[#This Row],[BVPS]],""),"")</f>
        <v>1.6730605285592497</v>
      </c>
      <c r="J42">
        <v>22.26</v>
      </c>
      <c r="K42">
        <v>2.5099999999999998</v>
      </c>
      <c r="L42">
        <v>8.06</v>
      </c>
      <c r="M42" s="1">
        <f>IF(ISNUMBER(Main_S[[#This Row],[EPS]]),IF(Main_S[[#This Row],[EPS]]&lt;&gt;0,Main_S[[#This Row],[Current Price]]/Main_S[[#This Row],[EPS]],""),"")</f>
        <v>8.3333333333333339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-0.21946301550435846</v>
      </c>
      <c r="P42" s="1">
        <f>(Main_S[[#This Row],[P/B]]-VLOOKUP(Main_S[[#This Row],[Industry]], Mean_PB_S, 2, FALSE))/(VLOOKUP(Main_S[[#This Row],[Industry]], Mean_PB_S, 3, FALSE))</f>
        <v>2.2057749156525532</v>
      </c>
      <c r="Q42" s="1">
        <f>(Main_S[[#This Row],[ROE]]-VLOOKUP(Main_S[[#This Row],[Industry]], Mean_ROE_S, 2, FALSE))/(VLOOKUP(Main_S[[#This Row],[Industry]], Mean_ROE_S, 3, FALSE))</f>
        <v>3.1512695694486004</v>
      </c>
      <c r="R42" s="1">
        <f>(Main_S[[#This Row],[ROA]]-VLOOKUP(Main_S[[#This Row],[Industry]], Mean_ROA_S, 2, FALSE))/(VLOOKUP(Main_S[[#This Row],[Industry]], Mean_ROA_S, 3, FALSE))</f>
        <v>3.5116054436412854</v>
      </c>
      <c r="S42" s="1">
        <f>(Main_S[[#This Row],[A/E]]-VLOOKUP(Main_S[[#This Row],[Industry]], Mean_AE_S, 2, FALSE))/(VLOOKUP(Main_S[[#This Row],[Industry]], Mean_AE_S, 3, FALSE))</f>
        <v>-0.87247021115896117</v>
      </c>
      <c r="T42" s="1">
        <f>(Main_S[[#This Row],[P/E]]-VLOOKUP(Main_S[[#This Row],[Industry]], Mean_PE_S, 2, FALSE))/(VLOOKUP(Main_S[[#This Row],[Industry]], Mean_PE_S, 3, FALSE))</f>
        <v>-1.426403194867238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7" t="s">
        <v>105</v>
      </c>
      <c r="B43" s="67" t="s">
        <v>470</v>
      </c>
      <c r="C43" s="2">
        <v>519</v>
      </c>
      <c r="D43">
        <f>RTD("tos.rtd", , "LAST", Main_S[[#This Row],[Symbol]])</f>
        <v>26.05</v>
      </c>
      <c r="E43">
        <v>4.08</v>
      </c>
      <c r="F43">
        <v>28.48</v>
      </c>
      <c r="G43">
        <v>-1.69</v>
      </c>
      <c r="H43" s="1">
        <f>IF(ISNUMBER(Main_S[[#This Row],[Free CF]]),IF(Main_S[[#This Row],[Free CF]]&lt;&gt;0,Main_S[[#This Row],[Current Price]]/Main_S[[#This Row],[Free CF]],""),"")</f>
        <v>6.3848039215686274</v>
      </c>
      <c r="I43" s="1">
        <f>IF(ISNUMBER(Main_S[[#This Row],[BVPS]]),IF(Main_S[[#This Row],[BVPS]]&lt;&gt;0,Main_S[[#This Row],[Current Price]]/Main_S[[#This Row],[BVPS]],""),"")</f>
        <v>0.9146769662921348</v>
      </c>
      <c r="J43">
        <v>-5.18</v>
      </c>
      <c r="K43">
        <v>-0.42</v>
      </c>
      <c r="L43">
        <v>11.07</v>
      </c>
      <c r="M43" s="1">
        <f>IF(ISNUMBER(Main_S[[#This Row],[EPS]]),IF(Main_S[[#This Row],[EPS]]&lt;&gt;0,Main_S[[#This Row],[Current Price]]/Main_S[[#This Row],[EPS]],""),"")</f>
        <v>-15.414201183431954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-0.96981684034454851</v>
      </c>
      <c r="P43" s="1">
        <f>(Main_S[[#This Row],[P/B]]-VLOOKUP(Main_S[[#This Row],[Industry]], Mean_PB_S, 2, FALSE))/(VLOOKUP(Main_S[[#This Row],[Industry]], Mean_PB_S, 3, FALSE))</f>
        <v>-0.53021200765040877</v>
      </c>
      <c r="Q43" s="1">
        <f>(Main_S[[#This Row],[ROE]]-VLOOKUP(Main_S[[#This Row],[Industry]], Mean_ROE_S, 2, FALSE))/(VLOOKUP(Main_S[[#This Row],[Industry]], Mean_ROE_S, 3, FALSE))</f>
        <v>-3.4874188531152743</v>
      </c>
      <c r="R43" s="1">
        <f>(Main_S[[#This Row],[ROA]]-VLOOKUP(Main_S[[#This Row],[Industry]], Mean_ROA_S, 2, FALSE))/(VLOOKUP(Main_S[[#This Row],[Industry]], Mean_ROA_S, 3, FALSE))</f>
        <v>-3.1436364385508</v>
      </c>
      <c r="S43" s="1">
        <f>(Main_S[[#This Row],[A/E]]-VLOOKUP(Main_S[[#This Row],[Industry]], Mean_AE_S, 2, FALSE))/(VLOOKUP(Main_S[[#This Row],[Industry]], Mean_AE_S, 3, FALSE))</f>
        <v>0.85710276219536852</v>
      </c>
      <c r="T43" s="1">
        <f>(Main_S[[#This Row],[P/E]]-VLOOKUP(Main_S[[#This Row],[Industry]], Mean_PE_S, 2, FALSE))/(VLOOKUP(Main_S[[#This Row],[Industry]], Mean_PE_S, 3, FALSE))</f>
        <v>-10.628651028427791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s="67" t="s">
        <v>105</v>
      </c>
      <c r="B44" s="67" t="s">
        <v>521</v>
      </c>
      <c r="C44" s="2">
        <v>480</v>
      </c>
      <c r="D44">
        <f>RTD("tos.rtd", , "LAST", Main_S[[#This Row],[Symbol]])</f>
        <v>48.52</v>
      </c>
      <c r="E44">
        <v>3.98</v>
      </c>
      <c r="F44">
        <v>48.21</v>
      </c>
      <c r="G44">
        <v>2.14</v>
      </c>
      <c r="H44" s="1">
        <f>IF(ISNUMBER(Main_S[[#This Row],[Free CF]]),IF(Main_S[[#This Row],[Free CF]]&lt;&gt;0,Main_S[[#This Row],[Current Price]]/Main_S[[#This Row],[Free CF]],""),"")</f>
        <v>12.190954773869347</v>
      </c>
      <c r="I44" s="1">
        <f>IF(ISNUMBER(Main_S[[#This Row],[BVPS]]),IF(Main_S[[#This Row],[BVPS]]&lt;&gt;0,Main_S[[#This Row],[Current Price]]/Main_S[[#This Row],[BVPS]],""),"")</f>
        <v>1.0064302012030699</v>
      </c>
      <c r="J44">
        <v>4.88</v>
      </c>
      <c r="K44">
        <v>0.46</v>
      </c>
      <c r="L44">
        <v>10.38</v>
      </c>
      <c r="M44" s="1">
        <f>IF(ISNUMBER(Main_S[[#This Row],[EPS]]),IF(Main_S[[#This Row],[EPS]]&lt;&gt;0,Main_S[[#This Row],[Current Price]]/Main_S[[#This Row],[EPS]],""),"")</f>
        <v>22.672897196261683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0.50181442859965208</v>
      </c>
      <c r="P44" s="1">
        <f>(Main_S[[#This Row],[P/B]]-VLOOKUP(Main_S[[#This Row],[Industry]], Mean_PB_S, 2, FALSE))/(VLOOKUP(Main_S[[#This Row],[Industry]], Mean_PB_S, 3, FALSE))</f>
        <v>-0.19919790953808111</v>
      </c>
      <c r="Q44" s="1">
        <f>(Main_S[[#This Row],[ROE]]-VLOOKUP(Main_S[[#This Row],[Industry]], Mean_ROE_S, 2, FALSE))/(VLOOKUP(Main_S[[#This Row],[Industry]], Mean_ROE_S, 3, FALSE))</f>
        <v>-1.0535556777875565</v>
      </c>
      <c r="R44" s="1">
        <f>(Main_S[[#This Row],[ROA]]-VLOOKUP(Main_S[[#This Row],[Industry]], Mean_ROA_S, 2, FALSE))/(VLOOKUP(Main_S[[#This Row],[Industry]], Mean_ROA_S, 3, FALSE))</f>
        <v>-1.1447924602815045</v>
      </c>
      <c r="S44" s="1">
        <f>(Main_S[[#This Row],[A/E]]-VLOOKUP(Main_S[[#This Row],[Industry]], Mean_AE_S, 2, FALSE))/(VLOOKUP(Main_S[[#This Row],[Industry]], Mean_AE_S, 3, FALSE))</f>
        <v>0.46062257893474173</v>
      </c>
      <c r="T44" s="1">
        <f>(Main_S[[#This Row],[P/E]]-VLOOKUP(Main_S[[#This Row],[Industry]], Mean_PE_S, 2, FALSE))/(VLOOKUP(Main_S[[#This Row],[Industry]], Mean_PE_S, 3, FALSE))</f>
        <v>4.1302250268404563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s="67" t="s">
        <v>105</v>
      </c>
      <c r="B45" s="67" t="s">
        <v>535</v>
      </c>
      <c r="C45" s="2">
        <v>1405</v>
      </c>
      <c r="D45">
        <f>RTD("tos.rtd", , "LAST", Main_S[[#This Row],[Symbol]])</f>
        <v>37.369999999999997</v>
      </c>
      <c r="E45">
        <v>3.96</v>
      </c>
      <c r="F45">
        <v>37.06</v>
      </c>
      <c r="G45">
        <v>3.47</v>
      </c>
      <c r="H45" s="1">
        <f>IF(ISNUMBER(Main_S[[#This Row],[Free CF]]),IF(Main_S[[#This Row],[Free CF]]&lt;&gt;0,Main_S[[#This Row],[Current Price]]/Main_S[[#This Row],[Free CF]],""),"")</f>
        <v>9.4368686868686869</v>
      </c>
      <c r="I45" s="1">
        <f>IF(ISNUMBER(Main_S[[#This Row],[BVPS]]),IF(Main_S[[#This Row],[BVPS]]&lt;&gt;0,Main_S[[#This Row],[Current Price]]/Main_S[[#This Row],[BVPS]],""),"")</f>
        <v>1.0083648138154342</v>
      </c>
      <c r="J45">
        <v>9.84</v>
      </c>
      <c r="K45">
        <v>1.39</v>
      </c>
      <c r="L45">
        <v>6.85</v>
      </c>
      <c r="M45" s="1">
        <f>IF(ISNUMBER(Main_S[[#This Row],[EPS]]),IF(Main_S[[#This Row],[EPS]]&lt;&gt;0,Main_S[[#This Row],[Current Price]]/Main_S[[#This Row],[EPS]],""),"")</f>
        <v>10.769452449567723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-0.19623825830019415</v>
      </c>
      <c r="P45" s="1">
        <f>(Main_S[[#This Row],[P/B]]-VLOOKUP(Main_S[[#This Row],[Industry]], Mean_PB_S, 2, FALSE))/(VLOOKUP(Main_S[[#This Row],[Industry]], Mean_PB_S, 3, FALSE))</f>
        <v>-0.19221849295729121</v>
      </c>
      <c r="Q45" s="1">
        <f>(Main_S[[#This Row],[ROE]]-VLOOKUP(Main_S[[#This Row],[Industry]], Mean_ROE_S, 2, FALSE))/(VLOOKUP(Main_S[[#This Row],[Industry]], Mean_ROE_S, 3, FALSE))</f>
        <v>0.1464404802269047</v>
      </c>
      <c r="R45" s="1">
        <f>(Main_S[[#This Row],[ROA]]-VLOOKUP(Main_S[[#This Row],[Industry]], Mean_ROA_S, 2, FALSE))/(VLOOKUP(Main_S[[#This Row],[Industry]], Mean_ROA_S, 3, FALSE))</f>
        <v>0.96762219857127307</v>
      </c>
      <c r="S45" s="1">
        <f>(Main_S[[#This Row],[A/E]]-VLOOKUP(Main_S[[#This Row],[Industry]], Mean_AE_S, 2, FALSE))/(VLOOKUP(Main_S[[#This Row],[Industry]], Mean_AE_S, 3, FALSE))</f>
        <v>-1.5677470542681773</v>
      </c>
      <c r="T45" s="1">
        <f>(Main_S[[#This Row],[P/E]]-VLOOKUP(Main_S[[#This Row],[Industry]], Mean_PE_S, 2, FALSE))/(VLOOKUP(Main_S[[#This Row],[Industry]], Mean_PE_S, 3, FALSE))</f>
        <v>-0.48239901439802535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7" t="s">
        <v>105</v>
      </c>
      <c r="B46" s="67" t="s">
        <v>519</v>
      </c>
      <c r="C46" s="2">
        <v>1045</v>
      </c>
      <c r="D46">
        <f>RTD("tos.rtd", , "LAST", Main_S[[#This Row],[Symbol]])</f>
        <v>29.79</v>
      </c>
      <c r="E46">
        <v>3.87</v>
      </c>
      <c r="F46">
        <v>32.630000000000003</v>
      </c>
      <c r="G46">
        <v>3.15</v>
      </c>
      <c r="H46" s="1">
        <f>IF(ISNUMBER(Main_S[[#This Row],[Free CF]]),IF(Main_S[[#This Row],[Free CF]]&lt;&gt;0,Main_S[[#This Row],[Current Price]]/Main_S[[#This Row],[Free CF]],""),"")</f>
        <v>7.6976744186046506</v>
      </c>
      <c r="I46" s="1">
        <f>IF(ISNUMBER(Main_S[[#This Row],[BVPS]]),IF(Main_S[[#This Row],[BVPS]]&lt;&gt;0,Main_S[[#This Row],[Current Price]]/Main_S[[#This Row],[BVPS]],""),"")</f>
        <v>0.91296353049341084</v>
      </c>
      <c r="J46">
        <v>10.18</v>
      </c>
      <c r="K46">
        <v>1.21</v>
      </c>
      <c r="L46">
        <v>8.1300000000000008</v>
      </c>
      <c r="M46" s="1">
        <f>IF(ISNUMBER(Main_S[[#This Row],[EPS]]),IF(Main_S[[#This Row],[EPS]]&lt;&gt;0,Main_S[[#This Row],[Current Price]]/Main_S[[#This Row],[EPS]],""),"")</f>
        <v>9.4571428571428573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-0.63705571775901737</v>
      </c>
      <c r="P46" s="1">
        <f>(Main_S[[#This Row],[P/B]]-VLOOKUP(Main_S[[#This Row],[Industry]], Mean_PB_S, 2, FALSE))/(VLOOKUP(Main_S[[#This Row],[Industry]], Mean_PB_S, 3, FALSE))</f>
        <v>-0.53639349439731798</v>
      </c>
      <c r="Q46" s="1">
        <f>(Main_S[[#This Row],[ROE]]-VLOOKUP(Main_S[[#This Row],[Industry]], Mean_ROE_S, 2, FALSE))/(VLOOKUP(Main_S[[#This Row],[Industry]], Mean_ROE_S, 3, FALSE))</f>
        <v>0.22869828138112175</v>
      </c>
      <c r="R46" s="1">
        <f>(Main_S[[#This Row],[ROA]]-VLOOKUP(Main_S[[#This Row],[Industry]], Mean_ROA_S, 2, FALSE))/(VLOOKUP(Main_S[[#This Row],[Industry]], Mean_ROA_S, 3, FALSE))</f>
        <v>0.55876774847073551</v>
      </c>
      <c r="S46" s="1">
        <f>(Main_S[[#This Row],[A/E]]-VLOOKUP(Main_S[[#This Row],[Industry]], Mean_AE_S, 2, FALSE))/(VLOOKUP(Main_S[[#This Row],[Industry]], Mean_AE_S, 3, FALSE))</f>
        <v>-0.83224758387165099</v>
      </c>
      <c r="T46" s="1">
        <f>(Main_S[[#This Row],[P/E]]-VLOOKUP(Main_S[[#This Row],[Industry]], Mean_PE_S, 2, FALSE))/(VLOOKUP(Main_S[[#This Row],[Industry]], Mean_PE_S, 3, FALSE))</f>
        <v>-0.99092330332270906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105</v>
      </c>
      <c r="B47" s="67" t="s">
        <v>459</v>
      </c>
      <c r="C47" s="2">
        <v>482</v>
      </c>
      <c r="D47">
        <f>RTD("tos.rtd", , "LAST", Main_S[[#This Row],[Symbol]])</f>
        <v>40.54</v>
      </c>
      <c r="E47">
        <v>3.87</v>
      </c>
      <c r="F47">
        <v>31.28</v>
      </c>
      <c r="G47">
        <v>3.27</v>
      </c>
      <c r="H47" s="1">
        <f>IF(ISNUMBER(Main_S[[#This Row],[Free CF]]),IF(Main_S[[#This Row],[Free CF]]&lt;&gt;0,Main_S[[#This Row],[Current Price]]/Main_S[[#This Row],[Free CF]],""),"")</f>
        <v>10.475452196382429</v>
      </c>
      <c r="I47" s="1">
        <f>IF(ISNUMBER(Main_S[[#This Row],[BVPS]]),IF(Main_S[[#This Row],[BVPS]]&lt;&gt;0,Main_S[[#This Row],[Current Price]]/Main_S[[#This Row],[BVPS]],""),"")</f>
        <v>1.2960358056265984</v>
      </c>
      <c r="J47">
        <v>11.31</v>
      </c>
      <c r="K47">
        <v>0.85</v>
      </c>
      <c r="L47">
        <v>12.72</v>
      </c>
      <c r="M47" s="1">
        <f>IF(ISNUMBER(Main_S[[#This Row],[EPS]]),IF(Main_S[[#This Row],[EPS]]&lt;&gt;0,Main_S[[#This Row],[Current Price]]/Main_S[[#This Row],[EPS]],""),"")</f>
        <v>12.397553516819572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6.7001882524701614E-2</v>
      </c>
      <c r="P47" s="1">
        <f>(Main_S[[#This Row],[P/B]]-VLOOKUP(Main_S[[#This Row],[Industry]], Mean_PB_S, 2, FALSE))/(VLOOKUP(Main_S[[#This Row],[Industry]], Mean_PB_S, 3, FALSE))</f>
        <v>0.8455994542778601</v>
      </c>
      <c r="Q47" s="1">
        <f>(Main_S[[#This Row],[ROE]]-VLOOKUP(Main_S[[#This Row],[Industry]], Mean_ROE_S, 2, FALSE))/(VLOOKUP(Main_S[[#This Row],[Industry]], Mean_ROE_S, 3, FALSE))</f>
        <v>0.50208450286425521</v>
      </c>
      <c r="R47" s="1">
        <f>(Main_S[[#This Row],[ROA]]-VLOOKUP(Main_S[[#This Row],[Industry]], Mean_ROA_S, 2, FALSE))/(VLOOKUP(Main_S[[#This Row],[Industry]], Mean_ROA_S, 3, FALSE))</f>
        <v>-0.25894115173033971</v>
      </c>
      <c r="S47" s="1">
        <f>(Main_S[[#This Row],[A/E]]-VLOOKUP(Main_S[[#This Row],[Industry]], Mean_AE_S, 2, FALSE))/(VLOOKUP(Main_S[[#This Row],[Industry]], Mean_AE_S, 3, FALSE))</f>
        <v>1.8052075482533902</v>
      </c>
      <c r="T47" s="1">
        <f>(Main_S[[#This Row],[P/E]]-VLOOKUP(Main_S[[#This Row],[Industry]], Mean_PE_S, 2, FALSE))/(VLOOKUP(Main_S[[#This Row],[Industry]], Mean_PE_S, 3, FALSE))</f>
        <v>0.14849551102560665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7" t="s">
        <v>105</v>
      </c>
      <c r="B48" s="67" t="s">
        <v>444</v>
      </c>
      <c r="C48" s="2">
        <v>535</v>
      </c>
      <c r="D48">
        <f>RTD("tos.rtd", , "LAST", Main_S[[#This Row],[Symbol]])</f>
        <v>31.78</v>
      </c>
      <c r="E48">
        <v>3.84</v>
      </c>
      <c r="F48">
        <v>22.19</v>
      </c>
      <c r="G48">
        <v>2.4900000000000002</v>
      </c>
      <c r="H48" s="1">
        <f>IF(ISNUMBER(Main_S[[#This Row],[Free CF]]),IF(Main_S[[#This Row],[Free CF]]&lt;&gt;0,Main_S[[#This Row],[Current Price]]/Main_S[[#This Row],[Free CF]],""),"")</f>
        <v>8.2760416666666679</v>
      </c>
      <c r="I48" s="1">
        <f>IF(ISNUMBER(Main_S[[#This Row],[BVPS]]),IF(Main_S[[#This Row],[BVPS]]&lt;&gt;0,Main_S[[#This Row],[Current Price]]/Main_S[[#This Row],[BVPS]],""),"")</f>
        <v>1.4321766561514195</v>
      </c>
      <c r="J48">
        <v>12.19</v>
      </c>
      <c r="K48">
        <v>1.35</v>
      </c>
      <c r="L48">
        <v>9.06</v>
      </c>
      <c r="M48" s="1">
        <f>IF(ISNUMBER(Main_S[[#This Row],[EPS]]),IF(Main_S[[#This Row],[EPS]]&lt;&gt;0,Main_S[[#This Row],[Current Price]]/Main_S[[#This Row],[EPS]],""),"")</f>
        <v>12.76305220883534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-0.49046232932785017</v>
      </c>
      <c r="P48" s="1">
        <f>(Main_S[[#This Row],[P/B]]-VLOOKUP(Main_S[[#This Row],[Industry]], Mean_PB_S, 2, FALSE))/(VLOOKUP(Main_S[[#This Row],[Industry]], Mean_PB_S, 3, FALSE))</f>
        <v>1.3367487951862547</v>
      </c>
      <c r="Q48" s="1">
        <f>(Main_S[[#This Row],[ROE]]-VLOOKUP(Main_S[[#This Row],[Industry]], Mean_ROE_S, 2, FALSE))/(VLOOKUP(Main_S[[#This Row],[Industry]], Mean_ROE_S, 3, FALSE))</f>
        <v>0.71498704702811111</v>
      </c>
      <c r="R48" s="1">
        <f>(Main_S[[#This Row],[ROA]]-VLOOKUP(Main_S[[#This Row],[Industry]], Mean_ROA_S, 2, FALSE))/(VLOOKUP(Main_S[[#This Row],[Industry]], Mean_ROA_S, 3, FALSE))</f>
        <v>0.87676565410448737</v>
      </c>
      <c r="S48" s="1">
        <f>(Main_S[[#This Row],[A/E]]-VLOOKUP(Main_S[[#This Row],[Industry]], Mean_AE_S, 2, FALSE))/(VLOOKUP(Main_S[[#This Row],[Industry]], Mean_AE_S, 3, FALSE))</f>
        <v>-0.29786124991167551</v>
      </c>
      <c r="T48" s="1">
        <f>(Main_S[[#This Row],[P/E]]-VLOOKUP(Main_S[[#This Row],[Industry]], Mean_PE_S, 2, FALSE))/(VLOOKUP(Main_S[[#This Row],[Industry]], Mean_PE_S, 3, FALSE))</f>
        <v>0.29012745788715621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105</v>
      </c>
      <c r="B49" s="67" t="s">
        <v>495</v>
      </c>
      <c r="C49" s="2">
        <v>1530</v>
      </c>
      <c r="D49">
        <f>RTD("tos.rtd", , "LAST", Main_S[[#This Row],[Symbol]])</f>
        <v>60.98</v>
      </c>
      <c r="E49">
        <v>3.8</v>
      </c>
      <c r="F49">
        <v>27.17</v>
      </c>
      <c r="G49">
        <v>3.5</v>
      </c>
      <c r="H49" s="1">
        <f>IF(ISNUMBER(Main_S[[#This Row],[Free CF]]),IF(Main_S[[#This Row],[Free CF]]&lt;&gt;0,Main_S[[#This Row],[Current Price]]/Main_S[[#This Row],[Free CF]],""),"")</f>
        <v>16.047368421052632</v>
      </c>
      <c r="I49" s="1">
        <f>IF(ISNUMBER(Main_S[[#This Row],[BVPS]]),IF(Main_S[[#This Row],[BVPS]]&lt;&gt;0,Main_S[[#This Row],[Current Price]]/Main_S[[#This Row],[BVPS]],""),"")</f>
        <v>2.2443871917556124</v>
      </c>
      <c r="J49">
        <v>13.44</v>
      </c>
      <c r="K49">
        <v>1.34</v>
      </c>
      <c r="L49">
        <v>9.8699999999999992</v>
      </c>
      <c r="M49" s="1">
        <f>IF(ISNUMBER(Main_S[[#This Row],[EPS]]),IF(Main_S[[#This Row],[EPS]]&lt;&gt;0,Main_S[[#This Row],[Current Price]]/Main_S[[#This Row],[EPS]],""),"")</f>
        <v>17.422857142857143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1.479263870329061</v>
      </c>
      <c r="P49" s="1">
        <f>(Main_S[[#This Row],[P/B]]-VLOOKUP(Main_S[[#This Row],[Industry]], Mean_PB_S, 2, FALSE))/(VLOOKUP(Main_S[[#This Row],[Industry]], Mean_PB_S, 3, FALSE))</f>
        <v>4.2669249157484153</v>
      </c>
      <c r="Q49" s="1">
        <f>(Main_S[[#This Row],[ROE]]-VLOOKUP(Main_S[[#This Row],[Industry]], Mean_ROE_S, 2, FALSE))/(VLOOKUP(Main_S[[#This Row],[Industry]], Mean_ROE_S, 3, FALSE))</f>
        <v>1.0174054336244975</v>
      </c>
      <c r="R49" s="1">
        <f>(Main_S[[#This Row],[ROA]]-VLOOKUP(Main_S[[#This Row],[Industry]], Mean_ROA_S, 2, FALSE))/(VLOOKUP(Main_S[[#This Row],[Industry]], Mean_ROA_S, 3, FALSE))</f>
        <v>0.85405151798779078</v>
      </c>
      <c r="S49" s="1">
        <f>(Main_S[[#This Row],[A/E]]-VLOOKUP(Main_S[[#This Row],[Industry]], Mean_AE_S, 2, FALSE))/(VLOOKUP(Main_S[[#This Row],[Industry]], Mean_AE_S, 3, FALSE))</f>
        <v>0.16757200869862515</v>
      </c>
      <c r="T49" s="1">
        <f>(Main_S[[#This Row],[P/E]]-VLOOKUP(Main_S[[#This Row],[Industry]], Mean_PE_S, 2, FALSE))/(VLOOKUP(Main_S[[#This Row],[Industry]], Mean_PE_S, 3, FALSE))</f>
        <v>2.0958172160658002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105</v>
      </c>
      <c r="B50" s="67" t="s">
        <v>532</v>
      </c>
      <c r="C50" s="2">
        <v>584</v>
      </c>
      <c r="D50">
        <f>RTD("tos.rtd", , "LAST", Main_S[[#This Row],[Symbol]])</f>
        <v>36.229999999999997</v>
      </c>
      <c r="E50">
        <v>3.8</v>
      </c>
      <c r="F50">
        <v>27.33</v>
      </c>
      <c r="G50">
        <v>3</v>
      </c>
      <c r="H50" s="1">
        <f>IF(ISNUMBER(Main_S[[#This Row],[Free CF]]),IF(Main_S[[#This Row],[Free CF]]&lt;&gt;0,Main_S[[#This Row],[Current Price]]/Main_S[[#This Row],[Free CF]],""),"")</f>
        <v>9.534210526315789</v>
      </c>
      <c r="I50" s="1">
        <f>IF(ISNUMBER(Main_S[[#This Row],[BVPS]]),IF(Main_S[[#This Row],[BVPS]]&lt;&gt;0,Main_S[[#This Row],[Current Price]]/Main_S[[#This Row],[BVPS]],""),"")</f>
        <v>1.3256494694474936</v>
      </c>
      <c r="J50">
        <v>12</v>
      </c>
      <c r="K50">
        <v>1.19</v>
      </c>
      <c r="L50">
        <v>9.93</v>
      </c>
      <c r="M50" s="1">
        <f>IF(ISNUMBER(Main_S[[#This Row],[EPS]]),IF(Main_S[[#This Row],[EPS]]&lt;&gt;0,Main_S[[#This Row],[Current Price]]/Main_S[[#This Row],[EPS]],""),"")</f>
        <v>12.076666666666666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-0.17156592402039542</v>
      </c>
      <c r="P50" s="1">
        <f>(Main_S[[#This Row],[P/B]]-VLOOKUP(Main_S[[#This Row],[Industry]], Mean_PB_S, 2, FALSE))/(VLOOKUP(Main_S[[#This Row],[Industry]], Mean_PB_S, 3, FALSE))</f>
        <v>0.95243536290811859</v>
      </c>
      <c r="Q50" s="1">
        <f>(Main_S[[#This Row],[ROE]]-VLOOKUP(Main_S[[#This Row],[Industry]], Mean_ROE_S, 2, FALSE))/(VLOOKUP(Main_S[[#This Row],[Industry]], Mean_ROE_S, 3, FALSE))</f>
        <v>0.66901945226546045</v>
      </c>
      <c r="R50" s="1">
        <f>(Main_S[[#This Row],[ROA]]-VLOOKUP(Main_S[[#This Row],[Industry]], Mean_ROA_S, 2, FALSE))/(VLOOKUP(Main_S[[#This Row],[Industry]], Mean_ROA_S, 3, FALSE))</f>
        <v>0.51333947623734244</v>
      </c>
      <c r="S50" s="1">
        <f>(Main_S[[#This Row],[A/E]]-VLOOKUP(Main_S[[#This Row],[Industry]], Mean_AE_S, 2, FALSE))/(VLOOKUP(Main_S[[#This Row],[Industry]], Mean_AE_S, 3, FALSE))</f>
        <v>0.20204854637346256</v>
      </c>
      <c r="T50" s="1">
        <f>(Main_S[[#This Row],[P/E]]-VLOOKUP(Main_S[[#This Row],[Industry]], Mean_PE_S, 2, FALSE))/(VLOOKUP(Main_S[[#This Row],[Industry]], Mean_PE_S, 3, FALSE))</f>
        <v>2.4150799807144165E-2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105</v>
      </c>
      <c r="B51" s="67" t="s">
        <v>534</v>
      </c>
      <c r="C51" s="2">
        <v>342</v>
      </c>
      <c r="D51">
        <f>RTD("tos.rtd", , "LAST", Main_S[[#This Row],[Symbol]])</f>
        <v>34.71</v>
      </c>
      <c r="E51">
        <v>3.79</v>
      </c>
      <c r="F51">
        <v>29.25</v>
      </c>
      <c r="G51">
        <v>3.8</v>
      </c>
      <c r="H51" s="1">
        <f>IF(ISNUMBER(Main_S[[#This Row],[Free CF]]),IF(Main_S[[#This Row],[Free CF]]&lt;&gt;0,Main_S[[#This Row],[Current Price]]/Main_S[[#This Row],[Free CF]],""),"")</f>
        <v>9.1583113456464389</v>
      </c>
      <c r="I51" s="1">
        <f>IF(ISNUMBER(Main_S[[#This Row],[BVPS]]),IF(Main_S[[#This Row],[BVPS]]&lt;&gt;0,Main_S[[#This Row],[Current Price]]/Main_S[[#This Row],[BVPS]],""),"")</f>
        <v>1.1866666666666668</v>
      </c>
      <c r="J51">
        <v>14.46</v>
      </c>
      <c r="K51">
        <v>1.38</v>
      </c>
      <c r="L51">
        <v>9.83</v>
      </c>
      <c r="M51" s="1">
        <f>IF(ISNUMBER(Main_S[[#This Row],[EPS]]),IF(Main_S[[#This Row],[EPS]]&lt;&gt;0,Main_S[[#This Row],[Current Price]]/Main_S[[#This Row],[EPS]],""),"")</f>
        <v>9.1342105263157904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-0.26684160705303978</v>
      </c>
      <c r="P51" s="1">
        <f>(Main_S[[#This Row],[P/B]]-VLOOKUP(Main_S[[#This Row],[Industry]], Mean_PB_S, 2, FALSE))/(VLOOKUP(Main_S[[#This Row],[Industry]], Mean_PB_S, 3, FALSE))</f>
        <v>0.45103323621170044</v>
      </c>
      <c r="Q51" s="1">
        <f>(Main_S[[#This Row],[ROE]]-VLOOKUP(Main_S[[#This Row],[Industry]], Mean_ROE_S, 2, FALSE))/(VLOOKUP(Main_S[[#This Row],[Industry]], Mean_ROE_S, 3, FALSE))</f>
        <v>1.2641788370871492</v>
      </c>
      <c r="R51" s="1">
        <f>(Main_S[[#This Row],[ROA]]-VLOOKUP(Main_S[[#This Row],[Industry]], Mean_ROA_S, 2, FALSE))/(VLOOKUP(Main_S[[#This Row],[Industry]], Mean_ROA_S, 3, FALSE))</f>
        <v>0.94490806245457648</v>
      </c>
      <c r="S51" s="1">
        <f>(Main_S[[#This Row],[A/E]]-VLOOKUP(Main_S[[#This Row],[Industry]], Mean_AE_S, 2, FALSE))/(VLOOKUP(Main_S[[#This Row],[Industry]], Mean_AE_S, 3, FALSE))</f>
        <v>0.14458765024873421</v>
      </c>
      <c r="T51" s="1">
        <f>(Main_S[[#This Row],[P/E]]-VLOOKUP(Main_S[[#This Row],[Industry]], Mean_PE_S, 2, FALSE))/(VLOOKUP(Main_S[[#This Row],[Industry]], Mean_PE_S, 3, FALSE))</f>
        <v>-1.1160606450388384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105</v>
      </c>
      <c r="B52" s="67" t="s">
        <v>446</v>
      </c>
      <c r="C52" s="2">
        <v>644</v>
      </c>
      <c r="D52">
        <f>RTD("tos.rtd", , "LAST", Main_S[[#This Row],[Symbol]])</f>
        <v>37.19</v>
      </c>
      <c r="E52">
        <v>3.65</v>
      </c>
      <c r="F52">
        <v>30.05</v>
      </c>
      <c r="G52">
        <v>3.37</v>
      </c>
      <c r="H52" s="1">
        <f>IF(ISNUMBER(Main_S[[#This Row],[Free CF]]),IF(Main_S[[#This Row],[Free CF]]&lt;&gt;0,Main_S[[#This Row],[Current Price]]/Main_S[[#This Row],[Free CF]],""),"")</f>
        <v>10.18904109589041</v>
      </c>
      <c r="I52" s="1">
        <f>IF(ISNUMBER(Main_S[[#This Row],[BVPS]]),IF(Main_S[[#This Row],[BVPS]]&lt;&gt;0,Main_S[[#This Row],[Current Price]]/Main_S[[#This Row],[BVPS]],""),"")</f>
        <v>1.2376039933444258</v>
      </c>
      <c r="J52">
        <v>11.8</v>
      </c>
      <c r="K52">
        <v>1.3</v>
      </c>
      <c r="L52">
        <v>8.6999999999999993</v>
      </c>
      <c r="M52" s="1">
        <f>IF(ISNUMBER(Main_S[[#This Row],[EPS]]),IF(Main_S[[#This Row],[EPS]]&lt;&gt;0,Main_S[[#This Row],[Current Price]]/Main_S[[#This Row],[EPS]],""),"")</f>
        <v>11.03560830860534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-5.5920858338292427E-3</v>
      </c>
      <c r="P52" s="1">
        <f>(Main_S[[#This Row],[P/B]]-VLOOKUP(Main_S[[#This Row],[Industry]], Mean_PB_S, 2, FALSE))/(VLOOKUP(Main_S[[#This Row],[Industry]], Mean_PB_S, 3, FALSE))</f>
        <v>0.63479758268796771</v>
      </c>
      <c r="Q52" s="1">
        <f>(Main_S[[#This Row],[ROE]]-VLOOKUP(Main_S[[#This Row],[Industry]], Mean_ROE_S, 2, FALSE))/(VLOOKUP(Main_S[[#This Row],[Industry]], Mean_ROE_S, 3, FALSE))</f>
        <v>0.62063251041003875</v>
      </c>
      <c r="R52" s="1">
        <f>(Main_S[[#This Row],[ROA]]-VLOOKUP(Main_S[[#This Row],[Industry]], Mean_ROA_S, 2, FALSE))/(VLOOKUP(Main_S[[#This Row],[Industry]], Mean_ROA_S, 3, FALSE))</f>
        <v>0.76319497352100452</v>
      </c>
      <c r="S52" s="1">
        <f>(Main_S[[#This Row],[A/E]]-VLOOKUP(Main_S[[#This Row],[Industry]], Mean_AE_S, 2, FALSE))/(VLOOKUP(Main_S[[#This Row],[Industry]], Mean_AE_S, 3, FALSE))</f>
        <v>-0.50472047596069902</v>
      </c>
      <c r="T52" s="1">
        <f>(Main_S[[#This Row],[P/E]]-VLOOKUP(Main_S[[#This Row],[Industry]], Mean_PE_S, 2, FALSE))/(VLOOKUP(Main_S[[#This Row],[Industry]], Mean_PE_S, 3, FALSE))</f>
        <v>-0.37926274248359759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105</v>
      </c>
      <c r="B53" s="67" t="s">
        <v>511</v>
      </c>
      <c r="C53" s="2">
        <v>1062</v>
      </c>
      <c r="D53">
        <f>RTD("tos.rtd", , "LAST", Main_S[[#This Row],[Symbol]])</f>
        <v>34.94</v>
      </c>
      <c r="E53">
        <v>3.58</v>
      </c>
      <c r="F53">
        <v>37.770000000000003</v>
      </c>
      <c r="G53">
        <v>2.4300000000000002</v>
      </c>
      <c r="H53" s="1">
        <f>IF(ISNUMBER(Main_S[[#This Row],[Free CF]]),IF(Main_S[[#This Row],[Free CF]]&lt;&gt;0,Main_S[[#This Row],[Current Price]]/Main_S[[#This Row],[Free CF]],""),"")</f>
        <v>9.7597765363128488</v>
      </c>
      <c r="I53" s="1">
        <f>IF(ISNUMBER(Main_S[[#This Row],[BVPS]]),IF(Main_S[[#This Row],[BVPS]]&lt;&gt;0,Main_S[[#This Row],[Current Price]]/Main_S[[#This Row],[BVPS]],""),"")</f>
        <v>0.92507280910775735</v>
      </c>
      <c r="J53">
        <v>6.75</v>
      </c>
      <c r="K53">
        <v>0.78</v>
      </c>
      <c r="L53">
        <v>8.26</v>
      </c>
      <c r="M53" s="1">
        <f>IF(ISNUMBER(Main_S[[#This Row],[EPS]]),IF(Main_S[[#This Row],[EPS]]&lt;&gt;0,Main_S[[#This Row],[Current Price]]/Main_S[[#This Row],[EPS]],""),"")</f>
        <v>14.378600823045266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-0.11439379708691826</v>
      </c>
      <c r="P53" s="1">
        <f>(Main_S[[#This Row],[P/B]]-VLOOKUP(Main_S[[#This Row],[Industry]], Mean_PB_S, 2, FALSE))/(VLOOKUP(Main_S[[#This Row],[Industry]], Mean_PB_S, 3, FALSE))</f>
        <v>-0.4927073841123813</v>
      </c>
      <c r="Q53" s="1">
        <f>(Main_S[[#This Row],[ROE]]-VLOOKUP(Main_S[[#This Row],[Industry]], Mean_ROE_S, 2, FALSE))/(VLOOKUP(Main_S[[#This Row],[Industry]], Mean_ROE_S, 3, FALSE))</f>
        <v>-0.60113777143936242</v>
      </c>
      <c r="R53" s="1">
        <f>(Main_S[[#This Row],[ROA]]-VLOOKUP(Main_S[[#This Row],[Industry]], Mean_ROA_S, 2, FALSE))/(VLOOKUP(Main_S[[#This Row],[Industry]], Mean_ROA_S, 3, FALSE))</f>
        <v>-0.41794010454721536</v>
      </c>
      <c r="S53" s="1">
        <f>(Main_S[[#This Row],[A/E]]-VLOOKUP(Main_S[[#This Row],[Industry]], Mean_AE_S, 2, FALSE))/(VLOOKUP(Main_S[[#This Row],[Industry]], Mean_AE_S, 3, FALSE))</f>
        <v>-0.75754841890950442</v>
      </c>
      <c r="T53" s="1">
        <f>(Main_S[[#This Row],[P/E]]-VLOOKUP(Main_S[[#This Row],[Industry]], Mean_PE_S, 2, FALSE))/(VLOOKUP(Main_S[[#This Row],[Industry]], Mean_PE_S, 3, FALSE))</f>
        <v>0.91615786641775399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105</v>
      </c>
      <c r="B54" s="67" t="s">
        <v>505</v>
      </c>
      <c r="C54" s="2">
        <v>288</v>
      </c>
      <c r="D54">
        <f>RTD("tos.rtd", , "LAST", Main_S[[#This Row],[Symbol]])</f>
        <v>22.52</v>
      </c>
      <c r="E54">
        <v>3.49</v>
      </c>
      <c r="F54">
        <v>25.71</v>
      </c>
      <c r="G54">
        <v>3.44</v>
      </c>
      <c r="H54" s="1">
        <f>IF(ISNUMBER(Main_S[[#This Row],[Free CF]]),IF(Main_S[[#This Row],[Free CF]]&lt;&gt;0,Main_S[[#This Row],[Current Price]]/Main_S[[#This Row],[Free CF]],""),"")</f>
        <v>6.4527220630372488</v>
      </c>
      <c r="I54" s="1">
        <f>IF(ISNUMBER(Main_S[[#This Row],[BVPS]]),IF(Main_S[[#This Row],[BVPS]]&lt;&gt;0,Main_S[[#This Row],[Current Price]]/Main_S[[#This Row],[BVPS]],""),"")</f>
        <v>0.87592376507195635</v>
      </c>
      <c r="J54">
        <v>15.02</v>
      </c>
      <c r="K54">
        <v>2.4300000000000002</v>
      </c>
      <c r="L54">
        <v>5.91</v>
      </c>
      <c r="M54" s="1">
        <f>IF(ISNUMBER(Main_S[[#This Row],[EPS]]),IF(Main_S[[#This Row],[EPS]]&lt;&gt;0,Main_S[[#This Row],[Current Price]]/Main_S[[#This Row],[EPS]],""),"")</f>
        <v>6.5465116279069768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-0.95260225821322264</v>
      </c>
      <c r="P54" s="1">
        <f>(Main_S[[#This Row],[P/B]]-VLOOKUP(Main_S[[#This Row],[Industry]], Mean_PB_S, 2, FALSE))/(VLOOKUP(Main_S[[#This Row],[Industry]], Mean_PB_S, 3, FALSE))</f>
        <v>-0.67002022218709434</v>
      </c>
      <c r="Q54" s="1">
        <f>(Main_S[[#This Row],[ROE]]-VLOOKUP(Main_S[[#This Row],[Industry]], Mean_ROE_S, 2, FALSE))/(VLOOKUP(Main_S[[#This Row],[Industry]], Mean_ROE_S, 3, FALSE))</f>
        <v>1.3996622742823299</v>
      </c>
      <c r="R54" s="1">
        <f>(Main_S[[#This Row],[ROA]]-VLOOKUP(Main_S[[#This Row],[Industry]], Mean_ROA_S, 2, FALSE))/(VLOOKUP(Main_S[[#This Row],[Industry]], Mean_ROA_S, 3, FALSE))</f>
        <v>3.3298923547077135</v>
      </c>
      <c r="S54" s="1">
        <f>(Main_S[[#This Row],[A/E]]-VLOOKUP(Main_S[[#This Row],[Industry]], Mean_AE_S, 2, FALSE))/(VLOOKUP(Main_S[[#This Row],[Industry]], Mean_AE_S, 3, FALSE))</f>
        <v>-2.1078794778406258</v>
      </c>
      <c r="T54" s="1">
        <f>(Main_S[[#This Row],[P/E]]-VLOOKUP(Main_S[[#This Row],[Industry]], Mean_PE_S, 2, FALSE))/(VLOOKUP(Main_S[[#This Row],[Industry]], Mean_PE_S, 3, FALSE))</f>
        <v>-2.1188024903019027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7" t="s">
        <v>105</v>
      </c>
      <c r="B55" s="67" t="s">
        <v>548</v>
      </c>
      <c r="C55" s="2">
        <v>534</v>
      </c>
      <c r="D55">
        <f>RTD("tos.rtd", , "LAST", Main_S[[#This Row],[Symbol]])</f>
        <v>27.75</v>
      </c>
      <c r="E55">
        <v>3.43</v>
      </c>
      <c r="F55">
        <v>27.06</v>
      </c>
      <c r="G55">
        <v>-1.51</v>
      </c>
      <c r="H55" s="1">
        <f>IF(ISNUMBER(Main_S[[#This Row],[Free CF]]),IF(Main_S[[#This Row],[Free CF]]&lt;&gt;0,Main_S[[#This Row],[Current Price]]/Main_S[[#This Row],[Free CF]],""),"")</f>
        <v>8.0903790087463552</v>
      </c>
      <c r="I55" s="1">
        <f>IF(ISNUMBER(Main_S[[#This Row],[BVPS]]),IF(Main_S[[#This Row],[BVPS]]&lt;&gt;0,Main_S[[#This Row],[Current Price]]/Main_S[[#This Row],[BVPS]],""),"")</f>
        <v>1.02549889135255</v>
      </c>
      <c r="J55">
        <v>-5.42</v>
      </c>
      <c r="K55">
        <v>-0.39</v>
      </c>
      <c r="L55">
        <v>12.62</v>
      </c>
      <c r="M55" s="1">
        <f>IF(ISNUMBER(Main_S[[#This Row],[EPS]]),IF(Main_S[[#This Row],[EPS]]&lt;&gt;0,Main_S[[#This Row],[Current Price]]/Main_S[[#This Row],[EPS]],""),"")</f>
        <v>-18.377483443708609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-0.53752052327101218</v>
      </c>
      <c r="P55" s="1">
        <f>(Main_S[[#This Row],[P/B]]-VLOOKUP(Main_S[[#This Row],[Industry]], Mean_PB_S, 2, FALSE))/(VLOOKUP(Main_S[[#This Row],[Industry]], Mean_PB_S, 3, FALSE))</f>
        <v>-0.13040463725573986</v>
      </c>
      <c r="Q55" s="1">
        <f>(Main_S[[#This Row],[ROE]]-VLOOKUP(Main_S[[#This Row],[Industry]], Mean_ROE_S, 2, FALSE))/(VLOOKUP(Main_S[[#This Row],[Industry]], Mean_ROE_S, 3, FALSE))</f>
        <v>-3.5454831833417804</v>
      </c>
      <c r="R55" s="1">
        <f>(Main_S[[#This Row],[ROA]]-VLOOKUP(Main_S[[#This Row],[Industry]], Mean_ROA_S, 2, FALSE))/(VLOOKUP(Main_S[[#This Row],[Industry]], Mean_ROA_S, 3, FALSE))</f>
        <v>-3.0754940302007103</v>
      </c>
      <c r="S55" s="1">
        <f>(Main_S[[#This Row],[A/E]]-VLOOKUP(Main_S[[#This Row],[Industry]], Mean_AE_S, 2, FALSE))/(VLOOKUP(Main_S[[#This Row],[Industry]], Mean_AE_S, 3, FALSE))</f>
        <v>1.7477466521286606</v>
      </c>
      <c r="T55" s="1">
        <f>(Main_S[[#This Row],[P/E]]-VLOOKUP(Main_S[[#This Row],[Industry]], Mean_PE_S, 2, FALSE))/(VLOOKUP(Main_S[[#This Row],[Industry]], Mean_PE_S, 3, FALSE))</f>
        <v>-11.776932663332163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7" t="s">
        <v>105</v>
      </c>
      <c r="B56" s="67" t="s">
        <v>425</v>
      </c>
      <c r="C56" s="2">
        <v>1140</v>
      </c>
      <c r="D56">
        <f>RTD("tos.rtd", , "LAST", Main_S[[#This Row],[Symbol]])</f>
        <v>11.9</v>
      </c>
      <c r="E56">
        <v>3.42</v>
      </c>
      <c r="F56">
        <v>1.77</v>
      </c>
      <c r="G56">
        <v>0.13</v>
      </c>
      <c r="H56" s="1">
        <f>IF(ISNUMBER(Main_S[[#This Row],[Free CF]]),IF(Main_S[[#This Row],[Free CF]]&lt;&gt;0,Main_S[[#This Row],[Current Price]]/Main_S[[#This Row],[Free CF]],""),"")</f>
        <v>3.4795321637426904</v>
      </c>
      <c r="I56" s="1">
        <f>IF(ISNUMBER(Main_S[[#This Row],[BVPS]]),IF(Main_S[[#This Row],[BVPS]]&lt;&gt;0,Main_S[[#This Row],[Current Price]]/Main_S[[#This Row],[BVPS]],""),"")</f>
        <v>6.72316384180791</v>
      </c>
      <c r="J56">
        <v>8.8000000000000007</v>
      </c>
      <c r="K56">
        <v>1.56</v>
      </c>
      <c r="L56">
        <v>6.37</v>
      </c>
      <c r="M56" s="1">
        <f>IF(ISNUMBER(Main_S[[#This Row],[EPS]]),IF(Main_S[[#This Row],[EPS]]&lt;&gt;0,Main_S[[#This Row],[Current Price]]/Main_S[[#This Row],[EPS]],""),"")</f>
        <v>91.538461538461533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-1.7061891586598652</v>
      </c>
      <c r="P56" s="1">
        <f>(Main_S[[#This Row],[P/B]]-VLOOKUP(Main_S[[#This Row],[Industry]], Mean_PB_S, 2, FALSE))/(VLOOKUP(Main_S[[#This Row],[Industry]], Mean_PB_S, 3, FALSE))</f>
        <v>20.4248098655566</v>
      </c>
      <c r="Q56" s="1">
        <f>(Main_S[[#This Row],[ROE]]-VLOOKUP(Main_S[[#This Row],[Industry]], Mean_ROE_S, 2, FALSE))/(VLOOKUP(Main_S[[#This Row],[Industry]], Mean_ROE_S, 3, FALSE))</f>
        <v>-0.1051716174212886</v>
      </c>
      <c r="R56" s="1">
        <f>(Main_S[[#This Row],[ROA]]-VLOOKUP(Main_S[[#This Row],[Industry]], Mean_ROA_S, 2, FALSE))/(VLOOKUP(Main_S[[#This Row],[Industry]], Mean_ROA_S, 3, FALSE))</f>
        <v>1.3537625125551145</v>
      </c>
      <c r="S56" s="1">
        <f>(Main_S[[#This Row],[A/E]]-VLOOKUP(Main_S[[#This Row],[Industry]], Mean_AE_S, 2, FALSE))/(VLOOKUP(Main_S[[#This Row],[Industry]], Mean_AE_S, 3, FALSE))</f>
        <v>-1.8435593556668741</v>
      </c>
      <c r="T56" s="1">
        <f>(Main_S[[#This Row],[P/E]]-VLOOKUP(Main_S[[#This Row],[Industry]], Mean_PE_S, 2, FALSE))/(VLOOKUP(Main_S[[#This Row],[Industry]], Mean_PE_S, 3, FALSE))</f>
        <v>30.815858006025774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s="67" t="s">
        <v>105</v>
      </c>
      <c r="B57" s="67" t="s">
        <v>479</v>
      </c>
      <c r="C57" s="2">
        <v>1432</v>
      </c>
      <c r="D57">
        <f>RTD("tos.rtd", , "LAST", Main_S[[#This Row],[Symbol]])</f>
        <v>38.39</v>
      </c>
      <c r="E57">
        <v>3.39</v>
      </c>
      <c r="F57">
        <v>27.91</v>
      </c>
      <c r="G57">
        <v>2.4300000000000002</v>
      </c>
      <c r="H57" s="1">
        <f>IF(ISNUMBER(Main_S[[#This Row],[Free CF]]),IF(Main_S[[#This Row],[Free CF]]&lt;&gt;0,Main_S[[#This Row],[Current Price]]/Main_S[[#This Row],[Free CF]],""),"")</f>
        <v>11.32448377581121</v>
      </c>
      <c r="I57" s="1">
        <f>IF(ISNUMBER(Main_S[[#This Row],[BVPS]]),IF(Main_S[[#This Row],[BVPS]]&lt;&gt;0,Main_S[[#This Row],[Current Price]]/Main_S[[#This Row],[BVPS]],""),"")</f>
        <v>1.3754926549623792</v>
      </c>
      <c r="J57">
        <v>8.85</v>
      </c>
      <c r="K57">
        <v>1.04</v>
      </c>
      <c r="L57">
        <v>8.0500000000000007</v>
      </c>
      <c r="M57" s="1">
        <f>IF(ISNUMBER(Main_S[[#This Row],[EPS]]),IF(Main_S[[#This Row],[EPS]]&lt;&gt;0,Main_S[[#This Row],[Current Price]]/Main_S[[#This Row],[EPS]],""),"")</f>
        <v>15.798353909465019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0.28219805162068184</v>
      </c>
      <c r="P57" s="1">
        <f>(Main_S[[#This Row],[P/B]]-VLOOKUP(Main_S[[#This Row],[Industry]], Mean_PB_S, 2, FALSE))/(VLOOKUP(Main_S[[#This Row],[Industry]], Mean_PB_S, 3, FALSE))</f>
        <v>1.1322524245765235</v>
      </c>
      <c r="Q57" s="1">
        <f>(Main_S[[#This Row],[ROE]]-VLOOKUP(Main_S[[#This Row],[Industry]], Mean_ROE_S, 2, FALSE))/(VLOOKUP(Main_S[[#This Row],[Industry]], Mean_ROE_S, 3, FALSE))</f>
        <v>-9.3074881957433395E-2</v>
      </c>
      <c r="R57" s="1">
        <f>(Main_S[[#This Row],[ROA]]-VLOOKUP(Main_S[[#This Row],[Industry]], Mean_ROA_S, 2, FALSE))/(VLOOKUP(Main_S[[#This Row],[Industry]], Mean_ROA_S, 3, FALSE))</f>
        <v>0.17262743448689458</v>
      </c>
      <c r="S57" s="1">
        <f>(Main_S[[#This Row],[A/E]]-VLOOKUP(Main_S[[#This Row],[Industry]], Mean_AE_S, 2, FALSE))/(VLOOKUP(Main_S[[#This Row],[Industry]], Mean_AE_S, 3, FALSE))</f>
        <v>-0.87821630077143398</v>
      </c>
      <c r="T57" s="1">
        <f>(Main_S[[#This Row],[P/E]]-VLOOKUP(Main_S[[#This Row],[Industry]], Mean_PE_S, 2, FALSE))/(VLOOKUP(Main_S[[#This Row],[Industry]], Mean_PE_S, 3, FALSE))</f>
        <v>1.4663168631116428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7" t="s">
        <v>105</v>
      </c>
      <c r="B58" s="67" t="s">
        <v>525</v>
      </c>
      <c r="C58" s="2">
        <v>301</v>
      </c>
      <c r="D58">
        <f>RTD("tos.rtd", , "LAST", Main_S[[#This Row],[Symbol]])</f>
        <v>17.38</v>
      </c>
      <c r="E58">
        <v>3.38</v>
      </c>
      <c r="F58">
        <v>28.76</v>
      </c>
      <c r="G58">
        <v>1.17</v>
      </c>
      <c r="H58" s="1">
        <f>IF(ISNUMBER(Main_S[[#This Row],[Free CF]]),IF(Main_S[[#This Row],[Free CF]]&lt;&gt;0,Main_S[[#This Row],[Current Price]]/Main_S[[#This Row],[Free CF]],""),"")</f>
        <v>5.1420118343195265</v>
      </c>
      <c r="I58" s="1">
        <f>IF(ISNUMBER(Main_S[[#This Row],[BVPS]]),IF(Main_S[[#This Row],[BVPS]]&lt;&gt;0,Main_S[[#This Row],[Current Price]]/Main_S[[#This Row],[BVPS]],""),"")</f>
        <v>0.60431154381084828</v>
      </c>
      <c r="J58">
        <v>4.08</v>
      </c>
      <c r="K58">
        <v>0.53</v>
      </c>
      <c r="L58">
        <v>7.86</v>
      </c>
      <c r="M58" s="1">
        <f>IF(ISNUMBER(Main_S[[#This Row],[EPS]]),IF(Main_S[[#This Row],[EPS]]&lt;&gt;0,Main_S[[#This Row],[Current Price]]/Main_S[[#This Row],[EPS]],""),"")</f>
        <v>14.854700854700855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-1.2848158376006191</v>
      </c>
      <c r="P58" s="1">
        <f>(Main_S[[#This Row],[P/B]]-VLOOKUP(Main_S[[#This Row],[Industry]], Mean_PB_S, 2, FALSE))/(VLOOKUP(Main_S[[#This Row],[Industry]], Mean_PB_S, 3, FALSE))</f>
        <v>-1.6499036513032981</v>
      </c>
      <c r="Q58" s="1">
        <f>(Main_S[[#This Row],[ROE]]-VLOOKUP(Main_S[[#This Row],[Industry]], Mean_ROE_S, 2, FALSE))/(VLOOKUP(Main_S[[#This Row],[Industry]], Mean_ROE_S, 3, FALSE))</f>
        <v>-1.2471034452092438</v>
      </c>
      <c r="R58" s="1">
        <f>(Main_S[[#This Row],[ROA]]-VLOOKUP(Main_S[[#This Row],[Industry]], Mean_ROA_S, 2, FALSE))/(VLOOKUP(Main_S[[#This Row],[Industry]], Mean_ROA_S, 3, FALSE))</f>
        <v>-0.98579350746462879</v>
      </c>
      <c r="S58" s="1">
        <f>(Main_S[[#This Row],[A/E]]-VLOOKUP(Main_S[[#This Row],[Industry]], Mean_AE_S, 2, FALSE))/(VLOOKUP(Main_S[[#This Row],[Industry]], Mean_AE_S, 3, FALSE))</f>
        <v>-0.98739200340841848</v>
      </c>
      <c r="T58" s="1">
        <f>(Main_S[[#This Row],[P/E]]-VLOOKUP(Main_S[[#This Row],[Industry]], Mean_PE_S, 2, FALSE))/(VLOOKUP(Main_S[[#This Row],[Industry]], Mean_PE_S, 3, FALSE))</f>
        <v>1.1006481966357275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7" t="s">
        <v>105</v>
      </c>
      <c r="B59" s="67" t="s">
        <v>531</v>
      </c>
      <c r="C59" s="2">
        <v>541</v>
      </c>
      <c r="D59">
        <f>RTD("tos.rtd", , "LAST", Main_S[[#This Row],[Symbol]])</f>
        <v>32.49</v>
      </c>
      <c r="E59">
        <v>3.31</v>
      </c>
      <c r="F59">
        <v>29.72</v>
      </c>
      <c r="G59">
        <v>2.2599999999999998</v>
      </c>
      <c r="H59" s="1">
        <f>IF(ISNUMBER(Main_S[[#This Row],[Free CF]]),IF(Main_S[[#This Row],[Free CF]]&lt;&gt;0,Main_S[[#This Row],[Current Price]]/Main_S[[#This Row],[Free CF]],""),"")</f>
        <v>9.8157099697885197</v>
      </c>
      <c r="I59" s="1">
        <f>IF(ISNUMBER(Main_S[[#This Row],[BVPS]]),IF(Main_S[[#This Row],[BVPS]]&lt;&gt;0,Main_S[[#This Row],[Current Price]]/Main_S[[#This Row],[BVPS]],""),"")</f>
        <v>1.0932032301480485</v>
      </c>
      <c r="J59">
        <v>7.82</v>
      </c>
      <c r="K59">
        <v>0.73</v>
      </c>
      <c r="L59">
        <v>10.7</v>
      </c>
      <c r="M59" s="1">
        <f>IF(ISNUMBER(Main_S[[#This Row],[EPS]]),IF(Main_S[[#This Row],[EPS]]&lt;&gt;0,Main_S[[#This Row],[Current Price]]/Main_S[[#This Row],[EPS]],""),"")</f>
        <v>14.376106194690268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-0.1002168678654547</v>
      </c>
      <c r="P59" s="1">
        <f>(Main_S[[#This Row],[P/B]]-VLOOKUP(Main_S[[#This Row],[Industry]], Mean_PB_S, 2, FALSE))/(VLOOKUP(Main_S[[#This Row],[Industry]], Mean_PB_S, 3, FALSE))</f>
        <v>0.11384931920081311</v>
      </c>
      <c r="Q59" s="1">
        <f>(Main_S[[#This Row],[ROE]]-VLOOKUP(Main_S[[#This Row],[Industry]], Mean_ROE_S, 2, FALSE))/(VLOOKUP(Main_S[[#This Row],[Industry]], Mean_ROE_S, 3, FALSE))</f>
        <v>-0.34226763251285564</v>
      </c>
      <c r="R59" s="1">
        <f>(Main_S[[#This Row],[ROA]]-VLOOKUP(Main_S[[#This Row],[Industry]], Mean_ROA_S, 2, FALSE))/(VLOOKUP(Main_S[[#This Row],[Industry]], Mean_ROA_S, 3, FALSE))</f>
        <v>-0.53151078513069816</v>
      </c>
      <c r="S59" s="1">
        <f>(Main_S[[#This Row],[A/E]]-VLOOKUP(Main_S[[#This Row],[Industry]], Mean_AE_S, 2, FALSE))/(VLOOKUP(Main_S[[#This Row],[Industry]], Mean_AE_S, 3, FALSE))</f>
        <v>0.64449744653387231</v>
      </c>
      <c r="T59" s="1">
        <f>(Main_S[[#This Row],[P/E]]-VLOOKUP(Main_S[[#This Row],[Industry]], Mean_PE_S, 2, FALSE))/(VLOOKUP(Main_S[[#This Row],[Industry]], Mean_PE_S, 3, FALSE))</f>
        <v>0.91519118971457381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7" t="s">
        <v>105</v>
      </c>
      <c r="B60" s="67" t="s">
        <v>504</v>
      </c>
      <c r="C60" s="2">
        <v>1377</v>
      </c>
      <c r="D60">
        <f>RTD("tos.rtd", , "LAST", Main_S[[#This Row],[Symbol]])</f>
        <v>37.28</v>
      </c>
      <c r="E60">
        <v>3.29</v>
      </c>
      <c r="F60">
        <v>34.9</v>
      </c>
      <c r="G60">
        <v>2.89</v>
      </c>
      <c r="H60" s="1">
        <f>IF(ISNUMBER(Main_S[[#This Row],[Free CF]]),IF(Main_S[[#This Row],[Free CF]]&lt;&gt;0,Main_S[[#This Row],[Current Price]]/Main_S[[#This Row],[Free CF]],""),"")</f>
        <v>11.331306990881458</v>
      </c>
      <c r="I60" s="1">
        <f>IF(ISNUMBER(Main_S[[#This Row],[BVPS]]),IF(Main_S[[#This Row],[BVPS]]&lt;&gt;0,Main_S[[#This Row],[Current Price]]/Main_S[[#This Row],[BVPS]],""),"")</f>
        <v>1.0681948424068768</v>
      </c>
      <c r="J60">
        <v>8.7200000000000006</v>
      </c>
      <c r="K60">
        <v>1.1100000000000001</v>
      </c>
      <c r="L60">
        <v>7.6</v>
      </c>
      <c r="M60" s="1">
        <f>IF(ISNUMBER(Main_S[[#This Row],[EPS]]),IF(Main_S[[#This Row],[EPS]]&lt;&gt;0,Main_S[[#This Row],[Current Price]]/Main_S[[#This Row],[EPS]],""),"")</f>
        <v>12.899653979238755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0.28392746873497021</v>
      </c>
      <c r="P60" s="1">
        <f>(Main_S[[#This Row],[P/B]]-VLOOKUP(Main_S[[#This Row],[Industry]], Mean_PB_S, 2, FALSE))/(VLOOKUP(Main_S[[#This Row],[Industry]], Mean_PB_S, 3, FALSE))</f>
        <v>2.3627661932565935E-2</v>
      </c>
      <c r="Q60" s="1">
        <f>(Main_S[[#This Row],[ROE]]-VLOOKUP(Main_S[[#This Row],[Industry]], Mean_ROE_S, 2, FALSE))/(VLOOKUP(Main_S[[#This Row],[Industry]], Mean_ROE_S, 3, FALSE))</f>
        <v>-0.12452639416345734</v>
      </c>
      <c r="R60" s="1">
        <f>(Main_S[[#This Row],[ROA]]-VLOOKUP(Main_S[[#This Row],[Industry]], Mean_ROA_S, 2, FALSE))/(VLOOKUP(Main_S[[#This Row],[Industry]], Mean_ROA_S, 3, FALSE))</f>
        <v>0.33162638730377048</v>
      </c>
      <c r="S60" s="1">
        <f>(Main_S[[#This Row],[A/E]]-VLOOKUP(Main_S[[#This Row],[Industry]], Mean_AE_S, 2, FALSE))/(VLOOKUP(Main_S[[#This Row],[Industry]], Mean_AE_S, 3, FALSE))</f>
        <v>-1.1367903333327132</v>
      </c>
      <c r="T60" s="1">
        <f>(Main_S[[#This Row],[P/E]]-VLOOKUP(Main_S[[#This Row],[Industry]], Mean_PE_S, 2, FALSE))/(VLOOKUP(Main_S[[#This Row],[Industry]], Mean_PE_S, 3, FALSE))</f>
        <v>0.34306109379230293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7" t="s">
        <v>105</v>
      </c>
      <c r="B61" s="67" t="s">
        <v>500</v>
      </c>
      <c r="C61" s="2">
        <v>598</v>
      </c>
      <c r="D61">
        <f>RTD("tos.rtd", , "LAST", Main_S[[#This Row],[Symbol]])</f>
        <v>29.08</v>
      </c>
      <c r="E61">
        <v>3.28</v>
      </c>
      <c r="F61">
        <v>27.85</v>
      </c>
      <c r="G61">
        <v>-2.65</v>
      </c>
      <c r="H61" s="1">
        <f>IF(ISNUMBER(Main_S[[#This Row],[Free CF]]),IF(Main_S[[#This Row],[Free CF]]&lt;&gt;0,Main_S[[#This Row],[Current Price]]/Main_S[[#This Row],[Free CF]],""),"")</f>
        <v>8.8658536585365848</v>
      </c>
      <c r="I61" s="1">
        <f>IF(ISNUMBER(Main_S[[#This Row],[BVPS]]),IF(Main_S[[#This Row],[BVPS]]&lt;&gt;0,Main_S[[#This Row],[Current Price]]/Main_S[[#This Row],[BVPS]],""),"")</f>
        <v>1.0441651705565529</v>
      </c>
      <c r="J61">
        <v>-8.74</v>
      </c>
      <c r="K61">
        <v>-0.74</v>
      </c>
      <c r="L61">
        <v>10.79</v>
      </c>
      <c r="M61" s="1">
        <f>IF(ISNUMBER(Main_S[[#This Row],[EPS]]),IF(Main_S[[#This Row],[EPS]]&lt;&gt;0,Main_S[[#This Row],[Current Price]]/Main_S[[#This Row],[EPS]],""),"")</f>
        <v>-10.973584905660378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-0.34096814770663236</v>
      </c>
      <c r="P61" s="1">
        <f>(Main_S[[#This Row],[P/B]]-VLOOKUP(Main_S[[#This Row],[Industry]], Mean_PB_S, 2, FALSE))/(VLOOKUP(Main_S[[#This Row],[Industry]], Mean_PB_S, 3, FALSE))</f>
        <v>-6.3063125189994448E-2</v>
      </c>
      <c r="Q61" s="1">
        <f>(Main_S[[#This Row],[ROE]]-VLOOKUP(Main_S[[#This Row],[Industry]], Mean_ROE_S, 2, FALSE))/(VLOOKUP(Main_S[[#This Row],[Industry]], Mean_ROE_S, 3, FALSE))</f>
        <v>-4.3487064181417825</v>
      </c>
      <c r="R61" s="1">
        <f>(Main_S[[#This Row],[ROA]]-VLOOKUP(Main_S[[#This Row],[Industry]], Mean_ROA_S, 2, FALSE))/(VLOOKUP(Main_S[[#This Row],[Industry]], Mean_ROA_S, 3, FALSE))</f>
        <v>-3.8704887942850892</v>
      </c>
      <c r="S61" s="1">
        <f>(Main_S[[#This Row],[A/E]]-VLOOKUP(Main_S[[#This Row],[Industry]], Mean_AE_S, 2, FALSE))/(VLOOKUP(Main_S[[#This Row],[Industry]], Mean_AE_S, 3, FALSE))</f>
        <v>0.69621225304612788</v>
      </c>
      <c r="T61" s="1">
        <f>(Main_S[[#This Row],[P/E]]-VLOOKUP(Main_S[[#This Row],[Industry]], Mean_PE_S, 2, FALSE))/(VLOOKUP(Main_S[[#This Row],[Industry]], Mean_PE_S, 3, FALSE))</f>
        <v>-8.9078975964052667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2" spans="1:26" x14ac:dyDescent="0.25">
      <c r="A62" s="67" t="s">
        <v>105</v>
      </c>
      <c r="B62" s="67" t="s">
        <v>537</v>
      </c>
      <c r="C62" s="2">
        <v>1311</v>
      </c>
      <c r="D62">
        <f>RTD("tos.rtd", , "LAST", Main_S[[#This Row],[Symbol]])</f>
        <v>40.44</v>
      </c>
      <c r="E62">
        <v>3.15</v>
      </c>
      <c r="F62">
        <v>38.17</v>
      </c>
      <c r="G62">
        <v>3.43</v>
      </c>
      <c r="H62" s="1">
        <f>IF(ISNUMBER(Main_S[[#This Row],[Free CF]]),IF(Main_S[[#This Row],[Free CF]]&lt;&gt;0,Main_S[[#This Row],[Current Price]]/Main_S[[#This Row],[Free CF]],""),"")</f>
        <v>12.838095238095237</v>
      </c>
      <c r="I62" s="1">
        <f>IF(ISNUMBER(Main_S[[#This Row],[BVPS]]),IF(Main_S[[#This Row],[BVPS]]&lt;&gt;0,Main_S[[#This Row],[Current Price]]/Main_S[[#This Row],[BVPS]],""),"")</f>
        <v>1.0594707885774166</v>
      </c>
      <c r="J62">
        <v>9.3800000000000008</v>
      </c>
      <c r="K62">
        <v>1.1599999999999999</v>
      </c>
      <c r="L62">
        <v>7.82</v>
      </c>
      <c r="M62" s="1">
        <f>IF(ISNUMBER(Main_S[[#This Row],[EPS]]),IF(Main_S[[#This Row],[EPS]]&lt;&gt;0,Main_S[[#This Row],[Current Price]]/Main_S[[#This Row],[EPS]],""),"")</f>
        <v>11.79008746355685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0.66583912702382597</v>
      </c>
      <c r="P62" s="1">
        <f>(Main_S[[#This Row],[P/B]]-VLOOKUP(Main_S[[#This Row],[Industry]], Mean_PB_S, 2, FALSE))/(VLOOKUP(Main_S[[#This Row],[Industry]], Mean_PB_S, 3, FALSE))</f>
        <v>-7.8457222270806645E-3</v>
      </c>
      <c r="Q62" s="1">
        <f>(Main_S[[#This Row],[ROE]]-VLOOKUP(Main_S[[#This Row],[Industry]], Mean_ROE_S, 2, FALSE))/(VLOOKUP(Main_S[[#This Row],[Industry]], Mean_ROE_S, 3, FALSE))</f>
        <v>3.515051395943472E-2</v>
      </c>
      <c r="R62" s="1">
        <f>(Main_S[[#This Row],[ROA]]-VLOOKUP(Main_S[[#This Row],[Industry]], Mean_ROA_S, 2, FALSE))/(VLOOKUP(Main_S[[#This Row],[Industry]], Mean_ROA_S, 3, FALSE))</f>
        <v>0.44519706788725277</v>
      </c>
      <c r="S62" s="1">
        <f>(Main_S[[#This Row],[A/E]]-VLOOKUP(Main_S[[#This Row],[Industry]], Mean_AE_S, 2, FALSE))/(VLOOKUP(Main_S[[#This Row],[Industry]], Mean_AE_S, 3, FALSE))</f>
        <v>-1.0103763618583099</v>
      </c>
      <c r="T62" s="1">
        <f>(Main_S[[#This Row],[P/E]]-VLOOKUP(Main_S[[#This Row],[Industry]], Mean_PE_S, 2, FALSE))/(VLOOKUP(Main_S[[#This Row],[Industry]], Mean_PE_S, 3, FALSE))</f>
        <v>-8.6899585195940196E-2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7" t="s">
        <v>105</v>
      </c>
      <c r="B63" s="67" t="s">
        <v>439</v>
      </c>
      <c r="C63" s="2">
        <v>273</v>
      </c>
      <c r="D63">
        <f>RTD("tos.rtd", , "LAST", Main_S[[#This Row],[Symbol]])</f>
        <v>35</v>
      </c>
      <c r="E63">
        <v>3.14</v>
      </c>
      <c r="F63">
        <v>35.729999999999997</v>
      </c>
      <c r="G63">
        <v>1.62</v>
      </c>
      <c r="H63" s="1">
        <f>IF(ISNUMBER(Main_S[[#This Row],[Free CF]]),IF(Main_S[[#This Row],[Free CF]]&lt;&gt;0,Main_S[[#This Row],[Current Price]]/Main_S[[#This Row],[Free CF]],""),"")</f>
        <v>11.146496815286623</v>
      </c>
      <c r="I63" s="1">
        <f>IF(ISNUMBER(Main_S[[#This Row],[BVPS]]),IF(Main_S[[#This Row],[BVPS]]&lt;&gt;0,Main_S[[#This Row],[Current Price]]/Main_S[[#This Row],[BVPS]],""),"")</f>
        <v>0.97956898964455652</v>
      </c>
      <c r="J63">
        <v>4.75</v>
      </c>
      <c r="K63">
        <v>0.41</v>
      </c>
      <c r="L63">
        <v>11.57</v>
      </c>
      <c r="M63" s="1">
        <f>IF(ISNUMBER(Main_S[[#This Row],[EPS]]),IF(Main_S[[#This Row],[EPS]]&lt;&gt;0,Main_S[[#This Row],[Current Price]]/Main_S[[#This Row],[EPS]],""),"")</f>
        <v>21.604938271604937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0.23708534558953775</v>
      </c>
      <c r="P63" s="1">
        <f>(Main_S[[#This Row],[P/B]]-VLOOKUP(Main_S[[#This Row],[Industry]], Mean_PB_S, 2, FALSE))/(VLOOKUP(Main_S[[#This Row],[Industry]], Mean_PB_S, 3, FALSE))</f>
        <v>-0.29610391755923338</v>
      </c>
      <c r="Q63" s="1">
        <f>(Main_S[[#This Row],[ROE]]-VLOOKUP(Main_S[[#This Row],[Industry]], Mean_ROE_S, 2, FALSE))/(VLOOKUP(Main_S[[#This Row],[Industry]], Mean_ROE_S, 3, FALSE))</f>
        <v>-1.0850071899935807</v>
      </c>
      <c r="R63" s="1">
        <f>(Main_S[[#This Row],[ROA]]-VLOOKUP(Main_S[[#This Row],[Industry]], Mean_ROA_S, 2, FALSE))/(VLOOKUP(Main_S[[#This Row],[Industry]], Mean_ROA_S, 3, FALSE))</f>
        <v>-1.2583631408649871</v>
      </c>
      <c r="S63" s="1">
        <f>(Main_S[[#This Row],[A/E]]-VLOOKUP(Main_S[[#This Row],[Industry]], Mean_AE_S, 2, FALSE))/(VLOOKUP(Main_S[[#This Row],[Industry]], Mean_AE_S, 3, FALSE))</f>
        <v>1.1444072428190115</v>
      </c>
      <c r="T63" s="1">
        <f>(Main_S[[#This Row],[P/E]]-VLOOKUP(Main_S[[#This Row],[Industry]], Mean_PE_S, 2, FALSE))/(VLOOKUP(Main_S[[#This Row],[Industry]], Mean_PE_S, 3, FALSE))</f>
        <v>3.7163874264017207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4" spans="1:26" x14ac:dyDescent="0.25">
      <c r="A64" s="67" t="s">
        <v>105</v>
      </c>
      <c r="B64" s="67" t="s">
        <v>493</v>
      </c>
      <c r="C64" s="2">
        <v>653</v>
      </c>
      <c r="D64">
        <f>RTD("tos.rtd", , "LAST", Main_S[[#This Row],[Symbol]])</f>
        <v>31.58</v>
      </c>
      <c r="E64">
        <v>3.14</v>
      </c>
      <c r="F64">
        <v>22.28</v>
      </c>
      <c r="G64">
        <v>3.14</v>
      </c>
      <c r="H64" s="1">
        <f>IF(ISNUMBER(Main_S[[#This Row],[Free CF]]),IF(Main_S[[#This Row],[Free CF]]&lt;&gt;0,Main_S[[#This Row],[Current Price]]/Main_S[[#This Row],[Free CF]],""),"")</f>
        <v>10.057324840764331</v>
      </c>
      <c r="I64" s="1">
        <f>IF(ISNUMBER(Main_S[[#This Row],[BVPS]]),IF(Main_S[[#This Row],[BVPS]]&lt;&gt;0,Main_S[[#This Row],[Current Price]]/Main_S[[#This Row],[BVPS]],""),"")</f>
        <v>1.4174147217235187</v>
      </c>
      <c r="J64">
        <v>15.04</v>
      </c>
      <c r="K64">
        <v>1.26</v>
      </c>
      <c r="L64">
        <v>11.4</v>
      </c>
      <c r="M64" s="1">
        <f>IF(ISNUMBER(Main_S[[#This Row],[EPS]]),IF(Main_S[[#This Row],[EPS]]&lt;&gt;0,Main_S[[#This Row],[Current Price]]/Main_S[[#This Row],[EPS]],""),"")</f>
        <v>10.057324840764331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-3.8976984814702416E-2</v>
      </c>
      <c r="P64" s="1">
        <f>(Main_S[[#This Row],[P/B]]-VLOOKUP(Main_S[[#This Row],[Industry]], Mean_PB_S, 2, FALSE))/(VLOOKUP(Main_S[[#This Row],[Industry]], Mean_PB_S, 3, FALSE))</f>
        <v>1.2834928155383638</v>
      </c>
      <c r="Q64" s="1">
        <f>(Main_S[[#This Row],[ROE]]-VLOOKUP(Main_S[[#This Row],[Industry]], Mean_ROE_S, 2, FALSE))/(VLOOKUP(Main_S[[#This Row],[Industry]], Mean_ROE_S, 3, FALSE))</f>
        <v>1.404500968467872</v>
      </c>
      <c r="R64" s="1">
        <f>(Main_S[[#This Row],[ROA]]-VLOOKUP(Main_S[[#This Row],[Industry]], Mean_ROA_S, 2, FALSE))/(VLOOKUP(Main_S[[#This Row],[Industry]], Mean_ROA_S, 3, FALSE))</f>
        <v>0.67233842905421837</v>
      </c>
      <c r="S64" s="1">
        <f>(Main_S[[#This Row],[A/E]]-VLOOKUP(Main_S[[#This Row],[Industry]], Mean_AE_S, 2, FALSE))/(VLOOKUP(Main_S[[#This Row],[Industry]], Mean_AE_S, 3, FALSE))</f>
        <v>1.046723719406973</v>
      </c>
      <c r="T64" s="1">
        <f>(Main_S[[#This Row],[P/E]]-VLOOKUP(Main_S[[#This Row],[Industry]], Mean_PE_S, 2, FALSE))/(VLOOKUP(Main_S[[#This Row],[Industry]], Mean_PE_S, 3, FALSE))</f>
        <v>-0.75835080807594435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7" t="s">
        <v>105</v>
      </c>
      <c r="B65" s="67" t="s">
        <v>477</v>
      </c>
      <c r="C65" s="2">
        <v>597</v>
      </c>
      <c r="D65">
        <f>RTD("tos.rtd", , "LAST", Main_S[[#This Row],[Symbol]])</f>
        <v>27.765000000000001</v>
      </c>
      <c r="E65">
        <v>3.14</v>
      </c>
      <c r="F65">
        <v>19.059999999999999</v>
      </c>
      <c r="G65">
        <v>2.27</v>
      </c>
      <c r="H65" s="1">
        <f>IF(ISNUMBER(Main_S[[#This Row],[Free CF]]),IF(Main_S[[#This Row],[Free CF]]&lt;&gt;0,Main_S[[#This Row],[Current Price]]/Main_S[[#This Row],[Free CF]],""),"")</f>
        <v>8.8423566878980893</v>
      </c>
      <c r="I65" s="1">
        <f>IF(ISNUMBER(Main_S[[#This Row],[BVPS]]),IF(Main_S[[#This Row],[BVPS]]&lt;&gt;0,Main_S[[#This Row],[Current Price]]/Main_S[[#This Row],[BVPS]],""),"")</f>
        <v>1.4567156348373558</v>
      </c>
      <c r="J65">
        <v>13.78</v>
      </c>
      <c r="K65">
        <v>1.25</v>
      </c>
      <c r="L65">
        <v>10.44</v>
      </c>
      <c r="M65" s="1">
        <f>IF(ISNUMBER(Main_S[[#This Row],[EPS]]),IF(Main_S[[#This Row],[EPS]]&lt;&gt;0,Main_S[[#This Row],[Current Price]]/Main_S[[#This Row],[EPS]],""),"")</f>
        <v>12.231277533039648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-0.34692370718083576</v>
      </c>
      <c r="P65" s="1">
        <f>(Main_S[[#This Row],[P/B]]-VLOOKUP(Main_S[[#This Row],[Industry]], Mean_PB_S, 2, FALSE))/(VLOOKUP(Main_S[[#This Row],[Industry]], Mean_PB_S, 3, FALSE))</f>
        <v>1.4252769861127934</v>
      </c>
      <c r="Q65" s="1">
        <f>(Main_S[[#This Row],[ROE]]-VLOOKUP(Main_S[[#This Row],[Industry]], Mean_ROE_S, 2, FALSE))/(VLOOKUP(Main_S[[#This Row],[Industry]], Mean_ROE_S, 3, FALSE))</f>
        <v>1.0996632347787145</v>
      </c>
      <c r="R65" s="1">
        <f>(Main_S[[#This Row],[ROA]]-VLOOKUP(Main_S[[#This Row],[Industry]], Mean_ROA_S, 2, FALSE))/(VLOOKUP(Main_S[[#This Row],[Industry]], Mean_ROA_S, 3, FALSE))</f>
        <v>0.64962429293752177</v>
      </c>
      <c r="S65" s="1">
        <f>(Main_S[[#This Row],[A/E]]-VLOOKUP(Main_S[[#This Row],[Industry]], Mean_AE_S, 2, FALSE))/(VLOOKUP(Main_S[[#This Row],[Industry]], Mean_AE_S, 3, FALSE))</f>
        <v>0.49509911660957817</v>
      </c>
      <c r="T65" s="1">
        <f>(Main_S[[#This Row],[P/E]]-VLOOKUP(Main_S[[#This Row],[Industry]], Mean_PE_S, 2, FALSE))/(VLOOKUP(Main_S[[#This Row],[Industry]], Mean_PE_S, 3, FALSE))</f>
        <v>8.4063019710277673E-2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7" t="s">
        <v>105</v>
      </c>
      <c r="B66" s="67" t="s">
        <v>492</v>
      </c>
      <c r="C66" s="2">
        <v>1913</v>
      </c>
      <c r="D66">
        <f>RTD("tos.rtd", , "LAST", Main_S[[#This Row],[Symbol]])</f>
        <v>30.17</v>
      </c>
      <c r="E66">
        <v>3.14</v>
      </c>
      <c r="F66">
        <v>34.29</v>
      </c>
      <c r="G66">
        <v>1.97</v>
      </c>
      <c r="H66" s="1">
        <f>IF(ISNUMBER(Main_S[[#This Row],[Free CF]]),IF(Main_S[[#This Row],[Free CF]]&lt;&gt;0,Main_S[[#This Row],[Current Price]]/Main_S[[#This Row],[Free CF]],""),"")</f>
        <v>9.6082802547770694</v>
      </c>
      <c r="I66" s="1">
        <f>IF(ISNUMBER(Main_S[[#This Row],[BVPS]]),IF(Main_S[[#This Row],[BVPS]]&lt;&gt;0,Main_S[[#This Row],[Current Price]]/Main_S[[#This Row],[BVPS]],""),"")</f>
        <v>0.87984835228929725</v>
      </c>
      <c r="J66">
        <v>6.3</v>
      </c>
      <c r="K66">
        <v>0.86</v>
      </c>
      <c r="L66">
        <v>7.19</v>
      </c>
      <c r="M66" s="1">
        <f>IF(ISNUMBER(Main_S[[#This Row],[EPS]]),IF(Main_S[[#This Row],[EPS]]&lt;&gt;0,Main_S[[#This Row],[Current Price]]/Main_S[[#This Row],[EPS]],""),"")</f>
        <v>15.314720812182742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-0.15279215612171376</v>
      </c>
      <c r="P66" s="1">
        <f>(Main_S[[#This Row],[P/B]]-VLOOKUP(Main_S[[#This Row],[Industry]], Mean_PB_S, 2, FALSE))/(VLOOKUP(Main_S[[#This Row],[Industry]], Mean_PB_S, 3, FALSE))</f>
        <v>-0.65586166200692964</v>
      </c>
      <c r="Q66" s="1">
        <f>(Main_S[[#This Row],[ROE]]-VLOOKUP(Main_S[[#This Row],[Industry]], Mean_ROE_S, 2, FALSE))/(VLOOKUP(Main_S[[#This Row],[Industry]], Mean_ROE_S, 3, FALSE))</f>
        <v>-0.71000839061406162</v>
      </c>
      <c r="R66" s="1">
        <f>(Main_S[[#This Row],[ROA]]-VLOOKUP(Main_S[[#This Row],[Industry]], Mean_ROA_S, 2, FALSE))/(VLOOKUP(Main_S[[#This Row],[Industry]], Mean_ROA_S, 3, FALSE))</f>
        <v>-0.23622701561364318</v>
      </c>
      <c r="S66" s="1">
        <f>(Main_S[[#This Row],[A/E]]-VLOOKUP(Main_S[[#This Row],[Industry]], Mean_AE_S, 2, FALSE))/(VLOOKUP(Main_S[[#This Row],[Industry]], Mean_AE_S, 3, FALSE))</f>
        <v>-1.3723800074440997</v>
      </c>
      <c r="T66" s="1">
        <f>(Main_S[[#This Row],[P/E]]-VLOOKUP(Main_S[[#This Row],[Industry]], Mean_PE_S, 2, FALSE))/(VLOOKUP(Main_S[[#This Row],[Industry]], Mean_PE_S, 3, FALSE))</f>
        <v>1.2789074451545051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7" t="s">
        <v>105</v>
      </c>
      <c r="B67" s="67" t="s">
        <v>512</v>
      </c>
      <c r="C67" s="2">
        <v>291</v>
      </c>
      <c r="D67">
        <f>RTD("tos.rtd", , "LAST", Main_S[[#This Row],[Symbol]])</f>
        <v>24.65</v>
      </c>
      <c r="E67">
        <v>3.11</v>
      </c>
      <c r="F67">
        <v>17.690000000000001</v>
      </c>
      <c r="G67">
        <v>2.41</v>
      </c>
      <c r="H67" s="1">
        <f>IF(ISNUMBER(Main_S[[#This Row],[Free CF]]),IF(Main_S[[#This Row],[Free CF]]&lt;&gt;0,Main_S[[#This Row],[Current Price]]/Main_S[[#This Row],[Free CF]],""),"")</f>
        <v>7.92604501607717</v>
      </c>
      <c r="I67" s="1">
        <f>IF(ISNUMBER(Main_S[[#This Row],[BVPS]]),IF(Main_S[[#This Row],[BVPS]]&lt;&gt;0,Main_S[[#This Row],[Current Price]]/Main_S[[#This Row],[BVPS]],""),"")</f>
        <v>1.3934426229508194</v>
      </c>
      <c r="J67">
        <v>14.76</v>
      </c>
      <c r="K67">
        <v>1.0900000000000001</v>
      </c>
      <c r="L67">
        <v>12.72</v>
      </c>
      <c r="M67" s="1">
        <f>IF(ISNUMBER(Main_S[[#This Row],[EPS]]),IF(Main_S[[#This Row],[EPS]]&lt;&gt;0,Main_S[[#This Row],[Current Price]]/Main_S[[#This Row],[EPS]],""),"")</f>
        <v>10.228215767634854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-0.57917273801954738</v>
      </c>
      <c r="P67" s="1">
        <f>(Main_S[[#This Row],[P/B]]-VLOOKUP(Main_S[[#This Row],[Industry]], Mean_PB_S, 2, FALSE))/(VLOOKUP(Main_S[[#This Row],[Industry]], Mean_PB_S, 3, FALSE))</f>
        <v>1.1970097322682505</v>
      </c>
      <c r="Q67" s="1">
        <f>(Main_S[[#This Row],[ROE]]-VLOOKUP(Main_S[[#This Row],[Industry]], Mean_ROE_S, 2, FALSE))/(VLOOKUP(Main_S[[#This Row],[Industry]], Mean_ROE_S, 3, FALSE))</f>
        <v>1.3367592498702816</v>
      </c>
      <c r="R67" s="1">
        <f>(Main_S[[#This Row],[ROA]]-VLOOKUP(Main_S[[#This Row],[Industry]], Mean_ROA_S, 2, FALSE))/(VLOOKUP(Main_S[[#This Row],[Industry]], Mean_ROA_S, 3, FALSE))</f>
        <v>0.28619811507037735</v>
      </c>
      <c r="S67" s="1">
        <f>(Main_S[[#This Row],[A/E]]-VLOOKUP(Main_S[[#This Row],[Industry]], Mean_AE_S, 2, FALSE))/(VLOOKUP(Main_S[[#This Row],[Industry]], Mean_AE_S, 3, FALSE))</f>
        <v>1.8052075482533902</v>
      </c>
      <c r="T67" s="1">
        <f>(Main_S[[#This Row],[P/E]]-VLOOKUP(Main_S[[#This Row],[Industry]], Mean_PE_S, 2, FALSE))/(VLOOKUP(Main_S[[#This Row],[Industry]], Mean_PE_S, 3, FALSE))</f>
        <v>-0.69213001111450734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7" t="s">
        <v>105</v>
      </c>
      <c r="B68" s="67" t="s">
        <v>426</v>
      </c>
      <c r="C68" s="2">
        <v>435</v>
      </c>
      <c r="D68">
        <f>RTD("tos.rtd", , "LAST", Main_S[[#This Row],[Symbol]])</f>
        <v>41.53</v>
      </c>
      <c r="E68">
        <v>3.1</v>
      </c>
      <c r="F68">
        <v>36.69</v>
      </c>
      <c r="G68">
        <v>2.79</v>
      </c>
      <c r="H68" s="1">
        <f>IF(ISNUMBER(Main_S[[#This Row],[Free CF]]),IF(Main_S[[#This Row],[Free CF]]&lt;&gt;0,Main_S[[#This Row],[Current Price]]/Main_S[[#This Row],[Free CF]],""),"")</f>
        <v>13.396774193548387</v>
      </c>
      <c r="I68" s="1">
        <f>IF(ISNUMBER(Main_S[[#This Row],[BVPS]]),IF(Main_S[[#This Row],[BVPS]]&lt;&gt;0,Main_S[[#This Row],[Current Price]]/Main_S[[#This Row],[BVPS]],""),"")</f>
        <v>1.1319160534205506</v>
      </c>
      <c r="J68">
        <v>7.44</v>
      </c>
      <c r="K68">
        <v>0.87</v>
      </c>
      <c r="L68">
        <v>8.4499999999999993</v>
      </c>
      <c r="M68" s="1">
        <f>IF(ISNUMBER(Main_S[[#This Row],[EPS]]),IF(Main_S[[#This Row],[EPS]]&lt;&gt;0,Main_S[[#This Row],[Current Price]]/Main_S[[#This Row],[EPS]],""),"")</f>
        <v>14.885304659498209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0.80744230631775538</v>
      </c>
      <c r="P68" s="1">
        <f>(Main_S[[#This Row],[P/B]]-VLOOKUP(Main_S[[#This Row],[Industry]], Mean_PB_S, 2, FALSE))/(VLOOKUP(Main_S[[#This Row],[Industry]], Mean_PB_S, 3, FALSE))</f>
        <v>0.25351186399684361</v>
      </c>
      <c r="Q68" s="1">
        <f>(Main_S[[#This Row],[ROE]]-VLOOKUP(Main_S[[#This Row],[Industry]], Mean_ROE_S, 2, FALSE))/(VLOOKUP(Main_S[[#This Row],[Industry]], Mean_ROE_S, 3, FALSE))</f>
        <v>-0.43420282203815708</v>
      </c>
      <c r="R68" s="1">
        <f>(Main_S[[#This Row],[ROA]]-VLOOKUP(Main_S[[#This Row],[Industry]], Mean_ROA_S, 2, FALSE))/(VLOOKUP(Main_S[[#This Row],[Industry]], Mean_ROA_S, 3, FALSE))</f>
        <v>-0.21351287949694661</v>
      </c>
      <c r="S68" s="1">
        <f>(Main_S[[#This Row],[A/E]]-VLOOKUP(Main_S[[#This Row],[Industry]], Mean_AE_S, 2, FALSE))/(VLOOKUP(Main_S[[#This Row],[Industry]], Mean_AE_S, 3, FALSE))</f>
        <v>-0.64837271627252047</v>
      </c>
      <c r="T68" s="1">
        <f>(Main_S[[#This Row],[P/E]]-VLOOKUP(Main_S[[#This Row],[Industry]], Mean_PE_S, 2, FALSE))/(VLOOKUP(Main_S[[#This Row],[Industry]], Mean_PE_S, 3, FALSE))</f>
        <v>1.1125072717829323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7" t="s">
        <v>105</v>
      </c>
      <c r="B69" s="67" t="s">
        <v>432</v>
      </c>
      <c r="C69" s="2">
        <v>1147</v>
      </c>
      <c r="D69">
        <f>RTD("tos.rtd", , "LAST", Main_S[[#This Row],[Symbol]])</f>
        <v>25.19</v>
      </c>
      <c r="E69">
        <v>3.1</v>
      </c>
      <c r="F69">
        <v>26.19</v>
      </c>
      <c r="G69">
        <v>2.46</v>
      </c>
      <c r="H69" s="1">
        <f>IF(ISNUMBER(Main_S[[#This Row],[Free CF]]),IF(Main_S[[#This Row],[Free CF]]&lt;&gt;0,Main_S[[#This Row],[Current Price]]/Main_S[[#This Row],[Free CF]],""),"")</f>
        <v>8.1258064516129043</v>
      </c>
      <c r="I69" s="1">
        <f>IF(ISNUMBER(Main_S[[#This Row],[BVPS]]),IF(Main_S[[#This Row],[BVPS]]&lt;&gt;0,Main_S[[#This Row],[Current Price]]/Main_S[[#This Row],[BVPS]],""),"")</f>
        <v>0.96181748759068342</v>
      </c>
      <c r="J69">
        <v>9.69</v>
      </c>
      <c r="K69">
        <v>0.88</v>
      </c>
      <c r="L69">
        <v>10.039999999999999</v>
      </c>
      <c r="M69" s="1">
        <f>IF(ISNUMBER(Main_S[[#This Row],[EPS]]),IF(Main_S[[#This Row],[EPS]]&lt;&gt;0,Main_S[[#This Row],[Current Price]]/Main_S[[#This Row],[EPS]],""),"")</f>
        <v>10.239837398373984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-0.52854105752384017</v>
      </c>
      <c r="P69" s="1">
        <f>(Main_S[[#This Row],[P/B]]-VLOOKUP(Main_S[[#This Row],[Industry]], Mean_PB_S, 2, FALSE))/(VLOOKUP(Main_S[[#This Row],[Industry]], Mean_PB_S, 3, FALSE))</f>
        <v>-0.36014522845367503</v>
      </c>
      <c r="Q69" s="1">
        <f>(Main_S[[#This Row],[ROE]]-VLOOKUP(Main_S[[#This Row],[Industry]], Mean_ROE_S, 2, FALSE))/(VLOOKUP(Main_S[[#This Row],[Industry]], Mean_ROE_S, 3, FALSE))</f>
        <v>0.11015027383533824</v>
      </c>
      <c r="R69" s="1">
        <f>(Main_S[[#This Row],[ROA]]-VLOOKUP(Main_S[[#This Row],[Industry]], Mean_ROA_S, 2, FALSE))/(VLOOKUP(Main_S[[#This Row],[Industry]], Mean_ROA_S, 3, FALSE))</f>
        <v>-0.19079874338025007</v>
      </c>
      <c r="S69" s="1">
        <f>(Main_S[[#This Row],[A/E]]-VLOOKUP(Main_S[[#This Row],[Industry]], Mean_AE_S, 2, FALSE))/(VLOOKUP(Main_S[[#This Row],[Industry]], Mean_AE_S, 3, FALSE))</f>
        <v>0.26525553211066366</v>
      </c>
      <c r="T69" s="1">
        <f>(Main_S[[#This Row],[P/E]]-VLOOKUP(Main_S[[#This Row],[Industry]], Mean_PE_S, 2, FALSE))/(VLOOKUP(Main_S[[#This Row],[Industry]], Mean_PE_S, 3, FALSE))</f>
        <v>-0.68762659092930456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7" t="s">
        <v>105</v>
      </c>
      <c r="B70" s="67" t="s">
        <v>440</v>
      </c>
      <c r="C70" s="2">
        <v>1194</v>
      </c>
      <c r="D70">
        <f>RTD("tos.rtd", , "LAST", Main_S[[#This Row],[Symbol]])</f>
        <v>26.54</v>
      </c>
      <c r="E70">
        <v>3.08</v>
      </c>
      <c r="F70">
        <v>25.32</v>
      </c>
      <c r="G70">
        <v>2.69</v>
      </c>
      <c r="H70" s="1">
        <f>IF(ISNUMBER(Main_S[[#This Row],[Free CF]]),IF(Main_S[[#This Row],[Free CF]]&lt;&gt;0,Main_S[[#This Row],[Current Price]]/Main_S[[#This Row],[Free CF]],""),"")</f>
        <v>8.6168831168831161</v>
      </c>
      <c r="I70" s="1">
        <f>IF(ISNUMBER(Main_S[[#This Row],[BVPS]]),IF(Main_S[[#This Row],[BVPS]]&lt;&gt;0,Main_S[[#This Row],[Current Price]]/Main_S[[#This Row],[BVPS]],""),"")</f>
        <v>1.0481832543443916</v>
      </c>
      <c r="J70">
        <v>11.08</v>
      </c>
      <c r="K70">
        <v>1.25</v>
      </c>
      <c r="L70">
        <v>8.4700000000000006</v>
      </c>
      <c r="M70" s="1">
        <f>IF(ISNUMBER(Main_S[[#This Row],[EPS]]),IF(Main_S[[#This Row],[EPS]]&lt;&gt;0,Main_S[[#This Row],[Current Price]]/Main_S[[#This Row],[EPS]],""),"")</f>
        <v>9.8661710037174721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-0.40407240446186871</v>
      </c>
      <c r="P70" s="1">
        <f>(Main_S[[#This Row],[P/B]]-VLOOKUP(Main_S[[#This Row],[Industry]], Mean_PB_S, 2, FALSE))/(VLOOKUP(Main_S[[#This Row],[Industry]], Mean_PB_S, 3, FALSE))</f>
        <v>-4.8567261556823595E-2</v>
      </c>
      <c r="Q70" s="1">
        <f>(Main_S[[#This Row],[ROE]]-VLOOKUP(Main_S[[#This Row],[Industry]], Mean_ROE_S, 2, FALSE))/(VLOOKUP(Main_S[[#This Row],[Industry]], Mean_ROE_S, 3, FALSE))</f>
        <v>0.44643951973052004</v>
      </c>
      <c r="R70" s="1">
        <f>(Main_S[[#This Row],[ROA]]-VLOOKUP(Main_S[[#This Row],[Industry]], Mean_ROA_S, 2, FALSE))/(VLOOKUP(Main_S[[#This Row],[Industry]], Mean_ROA_S, 3, FALSE))</f>
        <v>0.64962429293752177</v>
      </c>
      <c r="S70" s="1">
        <f>(Main_S[[#This Row],[A/E]]-VLOOKUP(Main_S[[#This Row],[Industry]], Mean_AE_S, 2, FALSE))/(VLOOKUP(Main_S[[#This Row],[Industry]], Mean_AE_S, 3, FALSE))</f>
        <v>-0.63688053704757397</v>
      </c>
      <c r="T70" s="1">
        <f>(Main_S[[#This Row],[P/E]]-VLOOKUP(Main_S[[#This Row],[Industry]], Mean_PE_S, 2, FALSE))/(VLOOKUP(Main_S[[#This Row],[Industry]], Mean_PE_S, 3, FALSE))</f>
        <v>-0.83242354946302977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7" t="s">
        <v>105</v>
      </c>
      <c r="B71" s="67" t="s">
        <v>498</v>
      </c>
      <c r="C71" s="2">
        <v>717</v>
      </c>
      <c r="D71">
        <f>RTD("tos.rtd", , "LAST", Main_S[[#This Row],[Symbol]])</f>
        <v>44.64</v>
      </c>
      <c r="E71">
        <v>3.05</v>
      </c>
      <c r="F71">
        <v>37.47</v>
      </c>
      <c r="G71">
        <v>4.8</v>
      </c>
      <c r="H71" s="1">
        <f>IF(ISNUMBER(Main_S[[#This Row],[Free CF]]),IF(Main_S[[#This Row],[Free CF]]&lt;&gt;0,Main_S[[#This Row],[Current Price]]/Main_S[[#This Row],[Free CF]],""),"")</f>
        <v>14.636065573770493</v>
      </c>
      <c r="I71" s="1">
        <f>IF(ISNUMBER(Main_S[[#This Row],[BVPS]]),IF(Main_S[[#This Row],[BVPS]]&lt;&gt;0,Main_S[[#This Row],[Current Price]]/Main_S[[#This Row],[BVPS]],""),"")</f>
        <v>1.1913530824659728</v>
      </c>
      <c r="J71">
        <v>13.55</v>
      </c>
      <c r="K71">
        <v>1.34</v>
      </c>
      <c r="L71">
        <v>10.1</v>
      </c>
      <c r="M71" s="1">
        <f>IF(ISNUMBER(Main_S[[#This Row],[EPS]]),IF(Main_S[[#This Row],[EPS]]&lt;&gt;0,Main_S[[#This Row],[Current Price]]/Main_S[[#This Row],[EPS]],""),"")</f>
        <v>9.3000000000000007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1.1215540117938858</v>
      </c>
      <c r="P71" s="1">
        <f>(Main_S[[#This Row],[P/B]]-VLOOKUP(Main_S[[#This Row],[Industry]], Mean_PB_S, 2, FALSE))/(VLOOKUP(Main_S[[#This Row],[Industry]], Mean_PB_S, 3, FALSE))</f>
        <v>0.46794021176076395</v>
      </c>
      <c r="Q71" s="1">
        <f>(Main_S[[#This Row],[ROE]]-VLOOKUP(Main_S[[#This Row],[Industry]], Mean_ROE_S, 2, FALSE))/(VLOOKUP(Main_S[[#This Row],[Industry]], Mean_ROE_S, 3, FALSE))</f>
        <v>1.0440182516449799</v>
      </c>
      <c r="R71" s="1">
        <f>(Main_S[[#This Row],[ROA]]-VLOOKUP(Main_S[[#This Row],[Industry]], Mean_ROA_S, 2, FALSE))/(VLOOKUP(Main_S[[#This Row],[Industry]], Mean_ROA_S, 3, FALSE))</f>
        <v>0.85405151798779078</v>
      </c>
      <c r="S71" s="1">
        <f>(Main_S[[#This Row],[A/E]]-VLOOKUP(Main_S[[#This Row],[Industry]], Mean_AE_S, 2, FALSE))/(VLOOKUP(Main_S[[#This Row],[Industry]], Mean_AE_S, 3, FALSE))</f>
        <v>0.2997320697855011</v>
      </c>
      <c r="T71" s="1">
        <f>(Main_S[[#This Row],[P/E]]-VLOOKUP(Main_S[[#This Row],[Industry]], Mean_PE_S, 2, FALSE))/(VLOOKUP(Main_S[[#This Row],[Industry]], Mean_PE_S, 3, FALSE))</f>
        <v>-1.0518166779878337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7" t="s">
        <v>105</v>
      </c>
      <c r="B72" s="67" t="s">
        <v>450</v>
      </c>
      <c r="C72" s="2">
        <v>350</v>
      </c>
      <c r="D72">
        <f>RTD("tos.rtd", , "LAST", Main_S[[#This Row],[Symbol]])</f>
        <v>21.99</v>
      </c>
      <c r="E72">
        <v>3.03</v>
      </c>
      <c r="F72">
        <v>25.61</v>
      </c>
      <c r="G72">
        <v>2.2599999999999998</v>
      </c>
      <c r="H72" s="1">
        <f>IF(ISNUMBER(Main_S[[#This Row],[Free CF]]),IF(Main_S[[#This Row],[Free CF]]&lt;&gt;0,Main_S[[#This Row],[Current Price]]/Main_S[[#This Row],[Free CF]],""),"")</f>
        <v>7.2574257425742577</v>
      </c>
      <c r="I72" s="1">
        <f>IF(ISNUMBER(Main_S[[#This Row],[BVPS]]),IF(Main_S[[#This Row],[BVPS]]&lt;&gt;0,Main_S[[#This Row],[Current Price]]/Main_S[[#This Row],[BVPS]],""),"")</f>
        <v>0.85864896524794998</v>
      </c>
      <c r="J72">
        <v>9.25</v>
      </c>
      <c r="K72">
        <v>0.88</v>
      </c>
      <c r="L72">
        <v>10.43</v>
      </c>
      <c r="M72" s="1">
        <f>IF(ISNUMBER(Main_S[[#This Row],[EPS]]),IF(Main_S[[#This Row],[EPS]]&lt;&gt;0,Main_S[[#This Row],[Current Price]]/Main_S[[#This Row],[EPS]],""),"")</f>
        <v>9.730088495575222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-0.74864147125367275</v>
      </c>
      <c r="P72" s="1">
        <f>(Main_S[[#This Row],[P/B]]-VLOOKUP(Main_S[[#This Row],[Industry]], Mean_PB_S, 2, FALSE))/(VLOOKUP(Main_S[[#This Row],[Industry]], Mean_PB_S, 3, FALSE))</f>
        <v>-0.73234175547543157</v>
      </c>
      <c r="Q72" s="1">
        <f>(Main_S[[#This Row],[ROE]]-VLOOKUP(Main_S[[#This Row],[Industry]], Mean_ROE_S, 2, FALSE))/(VLOOKUP(Main_S[[#This Row],[Industry]], Mean_ROE_S, 3, FALSE))</f>
        <v>3.6990017534103419E-3</v>
      </c>
      <c r="R72" s="1">
        <f>(Main_S[[#This Row],[ROA]]-VLOOKUP(Main_S[[#This Row],[Industry]], Mean_ROA_S, 2, FALSE))/(VLOOKUP(Main_S[[#This Row],[Industry]], Mean_ROA_S, 3, FALSE))</f>
        <v>-0.19079874338025007</v>
      </c>
      <c r="S72" s="1">
        <f>(Main_S[[#This Row],[A/E]]-VLOOKUP(Main_S[[#This Row],[Industry]], Mean_AE_S, 2, FALSE))/(VLOOKUP(Main_S[[#This Row],[Industry]], Mean_AE_S, 3, FALSE))</f>
        <v>0.48935302699710542</v>
      </c>
      <c r="T72" s="1">
        <f>(Main_S[[#This Row],[P/E]]-VLOOKUP(Main_S[[#This Row],[Industry]], Mean_PE_S, 2, FALSE))/(VLOOKUP(Main_S[[#This Row],[Industry]], Mean_PE_S, 3, FALSE))</f>
        <v>-0.88515596953187659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7" t="s">
        <v>105</v>
      </c>
      <c r="B73" s="67" t="s">
        <v>458</v>
      </c>
      <c r="C73" s="2">
        <v>1124</v>
      </c>
      <c r="D73">
        <f>RTD("tos.rtd", , "LAST", Main_S[[#This Row],[Symbol]])</f>
        <v>27.19</v>
      </c>
      <c r="E73">
        <v>3.02</v>
      </c>
      <c r="F73">
        <v>29.58</v>
      </c>
      <c r="G73">
        <v>0.62</v>
      </c>
      <c r="H73" s="1">
        <f>IF(ISNUMBER(Main_S[[#This Row],[Free CF]]),IF(Main_S[[#This Row],[Free CF]]&lt;&gt;0,Main_S[[#This Row],[Current Price]]/Main_S[[#This Row],[Free CF]],""),"")</f>
        <v>9.0033112582781456</v>
      </c>
      <c r="I73" s="1">
        <f>IF(ISNUMBER(Main_S[[#This Row],[BVPS]]),IF(Main_S[[#This Row],[BVPS]]&lt;&gt;0,Main_S[[#This Row],[Current Price]]/Main_S[[#This Row],[BVPS]],""),"")</f>
        <v>0.91920216362407037</v>
      </c>
      <c r="J73">
        <v>2.48</v>
      </c>
      <c r="K73">
        <v>0.24</v>
      </c>
      <c r="L73">
        <v>10.88</v>
      </c>
      <c r="M73" s="1">
        <f>IF(ISNUMBER(Main_S[[#This Row],[EPS]]),IF(Main_S[[#This Row],[EPS]]&lt;&gt;0,Main_S[[#This Row],[Current Price]]/Main_S[[#This Row],[EPS]],""),"")</f>
        <v>43.854838709677423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-0.30612804329330318</v>
      </c>
      <c r="P73" s="1">
        <f>(Main_S[[#This Row],[P/B]]-VLOOKUP(Main_S[[#This Row],[Industry]], Mean_PB_S, 2, FALSE))/(VLOOKUP(Main_S[[#This Row],[Industry]], Mean_PB_S, 3, FALSE))</f>
        <v>-0.51388665285430835</v>
      </c>
      <c r="Q73" s="1">
        <f>(Main_S[[#This Row],[ROE]]-VLOOKUP(Main_S[[#This Row],[Industry]], Mean_ROE_S, 2, FALSE))/(VLOOKUP(Main_S[[#This Row],[Industry]], Mean_ROE_S, 3, FALSE))</f>
        <v>-1.6341989800526184</v>
      </c>
      <c r="R73" s="1">
        <f>(Main_S[[#This Row],[ROA]]-VLOOKUP(Main_S[[#This Row],[Industry]], Mean_ROA_S, 2, FALSE))/(VLOOKUP(Main_S[[#This Row],[Industry]], Mean_ROA_S, 3, FALSE))</f>
        <v>-1.6445034548488284</v>
      </c>
      <c r="S73" s="1">
        <f>(Main_S[[#This Row],[A/E]]-VLOOKUP(Main_S[[#This Row],[Industry]], Mean_AE_S, 2, FALSE))/(VLOOKUP(Main_S[[#This Row],[Industry]], Mean_AE_S, 3, FALSE))</f>
        <v>0.74792705955838457</v>
      </c>
      <c r="T73" s="1">
        <f>(Main_S[[#This Row],[P/E]]-VLOOKUP(Main_S[[#This Row],[Industry]], Mean_PE_S, 2, FALSE))/(VLOOKUP(Main_S[[#This Row],[Industry]], Mean_PE_S, 3, FALSE))</f>
        <v>12.338297122275275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4" spans="1:26" x14ac:dyDescent="0.25">
      <c r="A74" s="67" t="s">
        <v>105</v>
      </c>
      <c r="B74" s="67" t="s">
        <v>453</v>
      </c>
      <c r="C74" s="2">
        <v>720</v>
      </c>
      <c r="D74">
        <f>RTD("tos.rtd", , "LAST", Main_S[[#This Row],[Symbol]])</f>
        <v>27.07</v>
      </c>
      <c r="E74">
        <v>3</v>
      </c>
      <c r="F74">
        <v>20.6</v>
      </c>
      <c r="G74">
        <v>2.14</v>
      </c>
      <c r="H74" s="1">
        <f>IF(ISNUMBER(Main_S[[#This Row],[Free CF]]),IF(Main_S[[#This Row],[Free CF]]&lt;&gt;0,Main_S[[#This Row],[Current Price]]/Main_S[[#This Row],[Free CF]],""),"")</f>
        <v>9.0233333333333334</v>
      </c>
      <c r="I74" s="1">
        <f>IF(ISNUMBER(Main_S[[#This Row],[BVPS]]),IF(Main_S[[#This Row],[BVPS]]&lt;&gt;0,Main_S[[#This Row],[Current Price]]/Main_S[[#This Row],[BVPS]],""),"")</f>
        <v>1.3140776699029126</v>
      </c>
      <c r="J74">
        <v>10.94</v>
      </c>
      <c r="K74">
        <v>0.79</v>
      </c>
      <c r="L74">
        <v>13.29</v>
      </c>
      <c r="M74" s="1">
        <f>IF(ISNUMBER(Main_S[[#This Row],[EPS]]),IF(Main_S[[#This Row],[EPS]]&lt;&gt;0,Main_S[[#This Row],[Current Price]]/Main_S[[#This Row],[EPS]],""),"")</f>
        <v>12.649532710280374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-0.30105323341152301</v>
      </c>
      <c r="P74" s="1">
        <f>(Main_S[[#This Row],[P/B]]-VLOOKUP(Main_S[[#This Row],[Industry]], Mean_PB_S, 2, FALSE))/(VLOOKUP(Main_S[[#This Row],[Industry]], Mean_PB_S, 3, FALSE))</f>
        <v>0.91068829215356351</v>
      </c>
      <c r="Q74" s="1">
        <f>(Main_S[[#This Row],[ROE]]-VLOOKUP(Main_S[[#This Row],[Industry]], Mean_ROE_S, 2, FALSE))/(VLOOKUP(Main_S[[#This Row],[Industry]], Mean_ROE_S, 3, FALSE))</f>
        <v>0.41256866043172463</v>
      </c>
      <c r="R74" s="1">
        <f>(Main_S[[#This Row],[ROA]]-VLOOKUP(Main_S[[#This Row],[Industry]], Mean_ROA_S, 2, FALSE))/(VLOOKUP(Main_S[[#This Row],[Industry]], Mean_ROA_S, 3, FALSE))</f>
        <v>-0.39522596843051883</v>
      </c>
      <c r="S74" s="1">
        <f>(Main_S[[#This Row],[A/E]]-VLOOKUP(Main_S[[#This Row],[Industry]], Mean_AE_S, 2, FALSE))/(VLOOKUP(Main_S[[#This Row],[Industry]], Mean_AE_S, 3, FALSE))</f>
        <v>2.1327346561643421</v>
      </c>
      <c r="T74" s="1">
        <f>(Main_S[[#This Row],[P/E]]-VLOOKUP(Main_S[[#This Row],[Industry]], Mean_PE_S, 2, FALSE))/(VLOOKUP(Main_S[[#This Row],[Industry]], Mean_PE_S, 3, FALSE))</f>
        <v>0.24613827834067203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7" t="s">
        <v>105</v>
      </c>
      <c r="B75" s="67" t="s">
        <v>472</v>
      </c>
      <c r="C75" s="2">
        <v>327</v>
      </c>
      <c r="D75">
        <f>RTD("tos.rtd", , "LAST", Main_S[[#This Row],[Symbol]])</f>
        <v>23.51</v>
      </c>
      <c r="E75">
        <v>2.98</v>
      </c>
      <c r="F75">
        <v>25.41</v>
      </c>
      <c r="G75">
        <v>2.0099999999999998</v>
      </c>
      <c r="H75" s="1">
        <f>IF(ISNUMBER(Main_S[[#This Row],[Free CF]]),IF(Main_S[[#This Row],[Free CF]]&lt;&gt;0,Main_S[[#This Row],[Current Price]]/Main_S[[#This Row],[Free CF]],""),"")</f>
        <v>7.8892617449664435</v>
      </c>
      <c r="I75" s="1">
        <f>IF(ISNUMBER(Main_S[[#This Row],[BVPS]]),IF(Main_S[[#This Row],[BVPS]]&lt;&gt;0,Main_S[[#This Row],[Current Price]]/Main_S[[#This Row],[BVPS]],""),"")</f>
        <v>0.92522628886265257</v>
      </c>
      <c r="J75">
        <v>8.31</v>
      </c>
      <c r="K75">
        <v>0.82</v>
      </c>
      <c r="L75">
        <v>9.83</v>
      </c>
      <c r="M75" s="1">
        <f>IF(ISNUMBER(Main_S[[#This Row],[EPS]]),IF(Main_S[[#This Row],[EPS]]&lt;&gt;0,Main_S[[#This Row],[Current Price]]/Main_S[[#This Row],[EPS]],""),"")</f>
        <v>11.696517412935325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-0.58849585299151663</v>
      </c>
      <c r="P75" s="1">
        <f>(Main_S[[#This Row],[P/B]]-VLOOKUP(Main_S[[#This Row],[Industry]], Mean_PB_S, 2, FALSE))/(VLOOKUP(Main_S[[#This Row],[Industry]], Mean_PB_S, 3, FALSE))</f>
        <v>-0.49215368197104042</v>
      </c>
      <c r="Q75" s="1">
        <f>(Main_S[[#This Row],[ROE]]-VLOOKUP(Main_S[[#This Row],[Industry]], Mean_ROE_S, 2, FALSE))/(VLOOKUP(Main_S[[#This Row],[Industry]], Mean_ROE_S, 3, FALSE))</f>
        <v>-0.22371962496707212</v>
      </c>
      <c r="R75" s="1">
        <f>(Main_S[[#This Row],[ROA]]-VLOOKUP(Main_S[[#This Row],[Industry]], Mean_ROA_S, 2, FALSE))/(VLOOKUP(Main_S[[#This Row],[Industry]], Mean_ROA_S, 3, FALSE))</f>
        <v>-0.32708356008042938</v>
      </c>
      <c r="S75" s="1">
        <f>(Main_S[[#This Row],[A/E]]-VLOOKUP(Main_S[[#This Row],[Industry]], Mean_AE_S, 2, FALSE))/(VLOOKUP(Main_S[[#This Row],[Industry]], Mean_AE_S, 3, FALSE))</f>
        <v>0.14458765024873421</v>
      </c>
      <c r="T75" s="1">
        <f>(Main_S[[#This Row],[P/E]]-VLOOKUP(Main_S[[#This Row],[Industry]], Mean_PE_S, 2, FALSE))/(VLOOKUP(Main_S[[#This Row],[Industry]], Mean_PE_S, 3, FALSE))</f>
        <v>-0.12315828796822956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7" t="s">
        <v>105</v>
      </c>
      <c r="B76" s="67" t="s">
        <v>431</v>
      </c>
      <c r="C76" s="2">
        <v>446</v>
      </c>
      <c r="D76">
        <f>RTD("tos.rtd", , "LAST", Main_S[[#This Row],[Symbol]])</f>
        <v>29.28</v>
      </c>
      <c r="E76">
        <v>2.94</v>
      </c>
      <c r="F76">
        <v>30.51</v>
      </c>
      <c r="G76">
        <v>2.84</v>
      </c>
      <c r="H76" s="1">
        <f>IF(ISNUMBER(Main_S[[#This Row],[Free CF]]),IF(Main_S[[#This Row],[Free CF]]&lt;&gt;0,Main_S[[#This Row],[Current Price]]/Main_S[[#This Row],[Free CF]],""),"")</f>
        <v>9.9591836734693882</v>
      </c>
      <c r="I76" s="1">
        <f>IF(ISNUMBER(Main_S[[#This Row],[BVPS]]),IF(Main_S[[#This Row],[BVPS]]&lt;&gt;0,Main_S[[#This Row],[Current Price]]/Main_S[[#This Row],[BVPS]],""),"")</f>
        <v>0.95968534906587999</v>
      </c>
      <c r="J76">
        <v>9.67</v>
      </c>
      <c r="K76">
        <v>1.0900000000000001</v>
      </c>
      <c r="L76">
        <v>8.69</v>
      </c>
      <c r="M76" s="1">
        <f>IF(ISNUMBER(Main_S[[#This Row],[EPS]]),IF(Main_S[[#This Row],[EPS]]&lt;&gt;0,Main_S[[#This Row],[Current Price]]/Main_S[[#This Row],[EPS]],""),"")</f>
        <v>10.309859154929578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-6.3851917319201659E-2</v>
      </c>
      <c r="P76" s="1">
        <f>(Main_S[[#This Row],[P/B]]-VLOOKUP(Main_S[[#This Row],[Industry]], Mean_PB_S, 2, FALSE))/(VLOOKUP(Main_S[[#This Row],[Industry]], Mean_PB_S, 3, FALSE))</f>
        <v>-0.36783725055538563</v>
      </c>
      <c r="Q76" s="1">
        <f>(Main_S[[#This Row],[ROE]]-VLOOKUP(Main_S[[#This Row],[Industry]], Mean_ROE_S, 2, FALSE))/(VLOOKUP(Main_S[[#This Row],[Industry]], Mean_ROE_S, 3, FALSE))</f>
        <v>0.10531157964979616</v>
      </c>
      <c r="R76" s="1">
        <f>(Main_S[[#This Row],[ROA]]-VLOOKUP(Main_S[[#This Row],[Industry]], Mean_ROA_S, 2, FALSE))/(VLOOKUP(Main_S[[#This Row],[Industry]], Mean_ROA_S, 3, FALSE))</f>
        <v>0.28619811507037735</v>
      </c>
      <c r="S76" s="1">
        <f>(Main_S[[#This Row],[A/E]]-VLOOKUP(Main_S[[#This Row],[Industry]], Mean_AE_S, 2, FALSE))/(VLOOKUP(Main_S[[#This Row],[Industry]], Mean_AE_S, 3, FALSE))</f>
        <v>-0.51046656557317183</v>
      </c>
      <c r="T76" s="1">
        <f>(Main_S[[#This Row],[P/E]]-VLOOKUP(Main_S[[#This Row],[Industry]], Mean_PE_S, 2, FALSE))/(VLOOKUP(Main_S[[#This Row],[Industry]], Mean_PE_S, 3, FALSE))</f>
        <v>-0.66049292965971407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7" t="s">
        <v>105</v>
      </c>
      <c r="B77" s="67" t="s">
        <v>466</v>
      </c>
      <c r="C77" s="2">
        <v>687</v>
      </c>
      <c r="D77">
        <f>RTD("tos.rtd", , "LAST", Main_S[[#This Row],[Symbol]])</f>
        <v>38.299999999999997</v>
      </c>
      <c r="E77">
        <v>2.83</v>
      </c>
      <c r="F77">
        <v>27.09</v>
      </c>
      <c r="G77">
        <v>2.74</v>
      </c>
      <c r="H77" s="1">
        <f>IF(ISNUMBER(Main_S[[#This Row],[Free CF]]),IF(Main_S[[#This Row],[Free CF]]&lt;&gt;0,Main_S[[#This Row],[Current Price]]/Main_S[[#This Row],[Free CF]],""),"")</f>
        <v>13.533568904593638</v>
      </c>
      <c r="I77" s="1">
        <f>IF(ISNUMBER(Main_S[[#This Row],[BVPS]]),IF(Main_S[[#This Row],[BVPS]]&lt;&gt;0,Main_S[[#This Row],[Current Price]]/Main_S[[#This Row],[BVPS]],""),"")</f>
        <v>1.4138058324104834</v>
      </c>
      <c r="J77">
        <v>10.08</v>
      </c>
      <c r="K77">
        <v>1.57</v>
      </c>
      <c r="L77">
        <v>6.5</v>
      </c>
      <c r="M77" s="1">
        <f>IF(ISNUMBER(Main_S[[#This Row],[EPS]]),IF(Main_S[[#This Row],[EPS]]&lt;&gt;0,Main_S[[#This Row],[Current Price]]/Main_S[[#This Row],[EPS]],""),"")</f>
        <v>13.978102189781019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0.84211439447416414</v>
      </c>
      <c r="P77" s="1">
        <f>(Main_S[[#This Row],[P/B]]-VLOOKUP(Main_S[[#This Row],[Industry]], Mean_PB_S, 2, FALSE))/(VLOOKUP(Main_S[[#This Row],[Industry]], Mean_PB_S, 3, FALSE))</f>
        <v>1.2704731847612998</v>
      </c>
      <c r="Q77" s="1">
        <f>(Main_S[[#This Row],[ROE]]-VLOOKUP(Main_S[[#This Row],[Industry]], Mean_ROE_S, 2, FALSE))/(VLOOKUP(Main_S[[#This Row],[Industry]], Mean_ROE_S, 3, FALSE))</f>
        <v>0.20450481045341093</v>
      </c>
      <c r="R77" s="1">
        <f>(Main_S[[#This Row],[ROA]]-VLOOKUP(Main_S[[#This Row],[Industry]], Mean_ROA_S, 2, FALSE))/(VLOOKUP(Main_S[[#This Row],[Industry]], Mean_ROA_S, 3, FALSE))</f>
        <v>1.3764766486718112</v>
      </c>
      <c r="S77" s="1">
        <f>(Main_S[[#This Row],[A/E]]-VLOOKUP(Main_S[[#This Row],[Industry]], Mean_AE_S, 2, FALSE))/(VLOOKUP(Main_S[[#This Row],[Industry]], Mean_AE_S, 3, FALSE))</f>
        <v>-1.7688601907047272</v>
      </c>
      <c r="T77" s="1">
        <f>(Main_S[[#This Row],[P/E]]-VLOOKUP(Main_S[[#This Row],[Industry]], Mean_PE_S, 2, FALSE))/(VLOOKUP(Main_S[[#This Row],[Industry]], Mean_PE_S, 3, FALSE))</f>
        <v>0.760963327056289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7" t="s">
        <v>105</v>
      </c>
      <c r="B78" s="67" t="s">
        <v>486</v>
      </c>
      <c r="C78" s="2">
        <v>737</v>
      </c>
      <c r="D78">
        <f>RTD("tos.rtd", , "LAST", Main_S[[#This Row],[Symbol]])</f>
        <v>24</v>
      </c>
      <c r="E78">
        <v>2.77</v>
      </c>
      <c r="F78">
        <v>17.86</v>
      </c>
      <c r="G78">
        <v>2.38</v>
      </c>
      <c r="H78" s="1">
        <f>IF(ISNUMBER(Main_S[[#This Row],[Free CF]]),IF(Main_S[[#This Row],[Free CF]]&lt;&gt;0,Main_S[[#This Row],[Current Price]]/Main_S[[#This Row],[Free CF]],""),"")</f>
        <v>8.6642599277978345</v>
      </c>
      <c r="I78" s="1">
        <f>IF(ISNUMBER(Main_S[[#This Row],[BVPS]]),IF(Main_S[[#This Row],[BVPS]]&lt;&gt;0,Main_S[[#This Row],[Current Price]]/Main_S[[#This Row],[BVPS]],""),"")</f>
        <v>1.3437849944008959</v>
      </c>
      <c r="J78">
        <v>14.24</v>
      </c>
      <c r="K78">
        <v>1.49</v>
      </c>
      <c r="L78">
        <v>9.01</v>
      </c>
      <c r="M78" s="1">
        <f>IF(ISNUMBER(Main_S[[#This Row],[EPS]]),IF(Main_S[[#This Row],[EPS]]&lt;&gt;0,Main_S[[#This Row],[Current Price]]/Main_S[[#This Row],[EPS]],""),"")</f>
        <v>10.084033613445378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-0.39206424309325238</v>
      </c>
      <c r="P78" s="1">
        <f>(Main_S[[#This Row],[P/B]]-VLOOKUP(Main_S[[#This Row],[Industry]], Mean_PB_S, 2, FALSE))/(VLOOKUP(Main_S[[#This Row],[Industry]], Mean_PB_S, 3, FALSE))</f>
        <v>1.0178620962769345</v>
      </c>
      <c r="Q78" s="1">
        <f>(Main_S[[#This Row],[ROE]]-VLOOKUP(Main_S[[#This Row],[Industry]], Mean_ROE_S, 2, FALSE))/(VLOOKUP(Main_S[[#This Row],[Industry]], Mean_ROE_S, 3, FALSE))</f>
        <v>1.210953201046185</v>
      </c>
      <c r="R78" s="1">
        <f>(Main_S[[#This Row],[ROA]]-VLOOKUP(Main_S[[#This Row],[Industry]], Mean_ROA_S, 2, FALSE))/(VLOOKUP(Main_S[[#This Row],[Industry]], Mean_ROA_S, 3, FALSE))</f>
        <v>1.1947635597382387</v>
      </c>
      <c r="S78" s="1">
        <f>(Main_S[[#This Row],[A/E]]-VLOOKUP(Main_S[[#This Row],[Industry]], Mean_AE_S, 2, FALSE))/(VLOOKUP(Main_S[[#This Row],[Industry]], Mean_AE_S, 3, FALSE))</f>
        <v>-0.3265916979740402</v>
      </c>
      <c r="T78" s="1">
        <f>(Main_S[[#This Row],[P/E]]-VLOOKUP(Main_S[[#This Row],[Industry]], Mean_PE_S, 2, FALSE))/(VLOOKUP(Main_S[[#This Row],[Industry]], Mean_PE_S, 3, FALSE))</f>
        <v>-0.7480010707014092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7" t="s">
        <v>105</v>
      </c>
      <c r="B79" s="67" t="s">
        <v>430</v>
      </c>
      <c r="C79" s="2">
        <v>706</v>
      </c>
      <c r="D79">
        <f>RTD("tos.rtd", , "LAST", Main_S[[#This Row],[Symbol]])</f>
        <v>23.88</v>
      </c>
      <c r="E79">
        <v>2.74</v>
      </c>
      <c r="F79">
        <v>25.51</v>
      </c>
      <c r="G79">
        <v>2.4300000000000002</v>
      </c>
      <c r="H79" s="1">
        <f>IF(ISNUMBER(Main_S[[#This Row],[Free CF]]),IF(Main_S[[#This Row],[Free CF]]&lt;&gt;0,Main_S[[#This Row],[Current Price]]/Main_S[[#This Row],[Free CF]],""),"")</f>
        <v>8.7153284671532845</v>
      </c>
      <c r="I79" s="1">
        <f>IF(ISNUMBER(Main_S[[#This Row],[BVPS]]),IF(Main_S[[#This Row],[BVPS]]&lt;&gt;0,Main_S[[#This Row],[Current Price]]/Main_S[[#This Row],[BVPS]],""),"")</f>
        <v>0.9361034888279105</v>
      </c>
      <c r="J79">
        <v>9.77</v>
      </c>
      <c r="K79">
        <v>1</v>
      </c>
      <c r="L79">
        <v>10.32</v>
      </c>
      <c r="M79" s="1">
        <f>IF(ISNUMBER(Main_S[[#This Row],[EPS]]),IF(Main_S[[#This Row],[EPS]]&lt;&gt;0,Main_S[[#This Row],[Current Price]]/Main_S[[#This Row],[EPS]],""),"")</f>
        <v>9.8271604938271597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-0.37912037351655897</v>
      </c>
      <c r="P79" s="1">
        <f>(Main_S[[#This Row],[P/B]]-VLOOKUP(Main_S[[#This Row],[Industry]], Mean_PB_S, 2, FALSE))/(VLOOKUP(Main_S[[#This Row],[Industry]], Mean_PB_S, 3, FALSE))</f>
        <v>-0.45291248747819979</v>
      </c>
      <c r="Q79" s="1">
        <f>(Main_S[[#This Row],[ROE]]-VLOOKUP(Main_S[[#This Row],[Industry]], Mean_ROE_S, 2, FALSE))/(VLOOKUP(Main_S[[#This Row],[Industry]], Mean_ROE_S, 3, FALSE))</f>
        <v>0.129505050577507</v>
      </c>
      <c r="R79" s="1">
        <f>(Main_S[[#This Row],[ROA]]-VLOOKUP(Main_S[[#This Row],[Industry]], Mean_ROA_S, 2, FALSE))/(VLOOKUP(Main_S[[#This Row],[Industry]], Mean_ROA_S, 3, FALSE))</f>
        <v>8.1770890020108358E-2</v>
      </c>
      <c r="S79" s="1">
        <f>(Main_S[[#This Row],[A/E]]-VLOOKUP(Main_S[[#This Row],[Industry]], Mean_AE_S, 2, FALSE))/(VLOOKUP(Main_S[[#This Row],[Industry]], Mean_AE_S, 3, FALSE))</f>
        <v>0.4261460412599043</v>
      </c>
      <c r="T79" s="1">
        <f>(Main_S[[#This Row],[P/E]]-VLOOKUP(Main_S[[#This Row],[Industry]], Mean_PE_S, 2, FALSE))/(VLOOKUP(Main_S[[#This Row],[Industry]], Mean_PE_S, 3, FALSE))</f>
        <v>-0.84754025051975557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7" t="s">
        <v>105</v>
      </c>
      <c r="B80" s="67" t="s">
        <v>544</v>
      </c>
      <c r="C80" s="2">
        <v>853</v>
      </c>
      <c r="D80">
        <f>RTD("tos.rtd", , "LAST", Main_S[[#This Row],[Symbol]])</f>
        <v>29.36</v>
      </c>
      <c r="E80">
        <v>2.58</v>
      </c>
      <c r="F80">
        <v>31.19</v>
      </c>
      <c r="G80">
        <v>2.66</v>
      </c>
      <c r="H80" s="1">
        <f>IF(ISNUMBER(Main_S[[#This Row],[Free CF]]),IF(Main_S[[#This Row],[Free CF]]&lt;&gt;0,Main_S[[#This Row],[Current Price]]/Main_S[[#This Row],[Free CF]],""),"")</f>
        <v>11.379844961240309</v>
      </c>
      <c r="I80" s="1">
        <f>IF(ISNUMBER(Main_S[[#This Row],[BVPS]]),IF(Main_S[[#This Row],[BVPS]]&lt;&gt;0,Main_S[[#This Row],[Current Price]]/Main_S[[#This Row],[BVPS]],""),"")</f>
        <v>0.94132734850913746</v>
      </c>
      <c r="J80">
        <v>8.93</v>
      </c>
      <c r="K80">
        <v>0.99</v>
      </c>
      <c r="L80">
        <v>8.83</v>
      </c>
      <c r="M80" s="1">
        <f>IF(ISNUMBER(Main_S[[#This Row],[EPS]]),IF(Main_S[[#This Row],[EPS]]&lt;&gt;0,Main_S[[#This Row],[Current Price]]/Main_S[[#This Row],[EPS]],""),"")</f>
        <v>11.037593984962406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0.29622993843102829</v>
      </c>
      <c r="P80" s="1">
        <f>(Main_S[[#This Row],[P/B]]-VLOOKUP(Main_S[[#This Row],[Industry]], Mean_PB_S, 2, FALSE))/(VLOOKUP(Main_S[[#This Row],[Industry]], Mean_PB_S, 3, FALSE))</f>
        <v>-0.43406659934438957</v>
      </c>
      <c r="Q80" s="1">
        <f>(Main_S[[#This Row],[ROE]]-VLOOKUP(Main_S[[#This Row],[Industry]], Mean_ROE_S, 2, FALSE))/(VLOOKUP(Main_S[[#This Row],[Industry]], Mean_ROE_S, 3, FALSE))</f>
        <v>-7.3720105215264647E-2</v>
      </c>
      <c r="R80" s="1">
        <f>(Main_S[[#This Row],[ROA]]-VLOOKUP(Main_S[[#This Row],[Industry]], Mean_ROA_S, 2, FALSE))/(VLOOKUP(Main_S[[#This Row],[Industry]], Mean_ROA_S, 3, FALSE))</f>
        <v>5.9056753903411807E-2</v>
      </c>
      <c r="S80" s="1">
        <f>(Main_S[[#This Row],[A/E]]-VLOOKUP(Main_S[[#This Row],[Industry]], Mean_AE_S, 2, FALSE))/(VLOOKUP(Main_S[[#This Row],[Industry]], Mean_AE_S, 3, FALSE))</f>
        <v>-0.43002131099855145</v>
      </c>
      <c r="T80" s="1">
        <f>(Main_S[[#This Row],[P/E]]-VLOOKUP(Main_S[[#This Row],[Industry]], Mean_PE_S, 2, FALSE))/(VLOOKUP(Main_S[[#This Row],[Industry]], Mean_PE_S, 3, FALSE))</f>
        <v>-0.37849328635575996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7" t="s">
        <v>105</v>
      </c>
      <c r="B81" s="67" t="s">
        <v>441</v>
      </c>
      <c r="C81" s="2">
        <v>665</v>
      </c>
      <c r="D81">
        <f>RTD("tos.rtd", , "LAST", Main_S[[#This Row],[Symbol]])</f>
        <v>39.770000000000003</v>
      </c>
      <c r="E81">
        <v>2.4700000000000002</v>
      </c>
      <c r="F81">
        <v>37.909999999999997</v>
      </c>
      <c r="G81">
        <v>3.09</v>
      </c>
      <c r="H81" s="1">
        <f>IF(ISNUMBER(Main_S[[#This Row],[Free CF]]),IF(Main_S[[#This Row],[Free CF]]&lt;&gt;0,Main_S[[#This Row],[Current Price]]/Main_S[[#This Row],[Free CF]],""),"")</f>
        <v>16.101214574898787</v>
      </c>
      <c r="I81" s="1">
        <f>IF(ISNUMBER(Main_S[[#This Row],[BVPS]]),IF(Main_S[[#This Row],[BVPS]]&lt;&gt;0,Main_S[[#This Row],[Current Price]]/Main_S[[#This Row],[BVPS]],""),"")</f>
        <v>1.0490635716169878</v>
      </c>
      <c r="J81">
        <v>8.24</v>
      </c>
      <c r="K81">
        <v>0.74</v>
      </c>
      <c r="L81">
        <v>10.88</v>
      </c>
      <c r="M81" s="1">
        <f>IF(ISNUMBER(Main_S[[#This Row],[EPS]]),IF(Main_S[[#This Row],[EPS]]&lt;&gt;0,Main_S[[#This Row],[Current Price]]/Main_S[[#This Row],[EPS]],""),"")</f>
        <v>12.8705501618123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1.4929117561191767</v>
      </c>
      <c r="P81" s="1">
        <f>(Main_S[[#This Row],[P/B]]-VLOOKUP(Main_S[[#This Row],[Industry]], Mean_PB_S, 2, FALSE))/(VLOOKUP(Main_S[[#This Row],[Industry]], Mean_PB_S, 3, FALSE))</f>
        <v>-4.5391379765582225E-2</v>
      </c>
      <c r="Q81" s="1">
        <f>(Main_S[[#This Row],[ROE]]-VLOOKUP(Main_S[[#This Row],[Industry]], Mean_ROE_S, 2, FALSE))/(VLOOKUP(Main_S[[#This Row],[Industry]], Mean_ROE_S, 3, FALSE))</f>
        <v>-0.24065505461646983</v>
      </c>
      <c r="R81" s="1">
        <f>(Main_S[[#This Row],[ROA]]-VLOOKUP(Main_S[[#This Row],[Industry]], Mean_ROA_S, 2, FALSE))/(VLOOKUP(Main_S[[#This Row],[Industry]], Mean_ROA_S, 3, FALSE))</f>
        <v>-0.50879664901400157</v>
      </c>
      <c r="S81" s="1">
        <f>(Main_S[[#This Row],[A/E]]-VLOOKUP(Main_S[[#This Row],[Industry]], Mean_AE_S, 2, FALSE))/(VLOOKUP(Main_S[[#This Row],[Industry]], Mean_AE_S, 3, FALSE))</f>
        <v>0.74792705955838457</v>
      </c>
      <c r="T81" s="1">
        <f>(Main_S[[#This Row],[P/E]]-VLOOKUP(Main_S[[#This Row],[Industry]], Mean_PE_S, 2, FALSE))/(VLOOKUP(Main_S[[#This Row],[Industry]], Mean_PE_S, 3, FALSE))</f>
        <v>0.33178326869126529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7" t="s">
        <v>105</v>
      </c>
      <c r="B82" s="67" t="s">
        <v>427</v>
      </c>
      <c r="C82" s="2">
        <v>733</v>
      </c>
      <c r="D82">
        <f>RTD("tos.rtd", , "LAST", Main_S[[#This Row],[Symbol]])</f>
        <v>17.649999999999999</v>
      </c>
      <c r="E82">
        <v>2.4700000000000002</v>
      </c>
      <c r="F82">
        <v>21.68</v>
      </c>
      <c r="G82">
        <v>-0.38</v>
      </c>
      <c r="H82" s="1">
        <f>IF(ISNUMBER(Main_S[[#This Row],[Free CF]]),IF(Main_S[[#This Row],[Free CF]]&lt;&gt;0,Main_S[[#This Row],[Current Price]]/Main_S[[#This Row],[Free CF]],""),"")</f>
        <v>7.1457489878542502</v>
      </c>
      <c r="I82" s="1">
        <f>IF(ISNUMBER(Main_S[[#This Row],[BVPS]]),IF(Main_S[[#This Row],[BVPS]]&lt;&gt;0,Main_S[[#This Row],[Current Price]]/Main_S[[#This Row],[BVPS]],""),"")</f>
        <v>0.81411439114391138</v>
      </c>
      <c r="J82">
        <v>-1.75</v>
      </c>
      <c r="K82">
        <v>-0.14000000000000001</v>
      </c>
      <c r="L82">
        <v>11.22</v>
      </c>
      <c r="M82" s="1">
        <f>IF(ISNUMBER(Main_S[[#This Row],[EPS]]),IF(Main_S[[#This Row],[EPS]]&lt;&gt;0,Main_S[[#This Row],[Current Price]]/Main_S[[#This Row],[EPS]],""),"")</f>
        <v>-46.44736842105263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-0.77694714371050388</v>
      </c>
      <c r="P82" s="1">
        <f>(Main_S[[#This Row],[P/B]]-VLOOKUP(Main_S[[#This Row],[Industry]], Mean_PB_S, 2, FALSE))/(VLOOKUP(Main_S[[#This Row],[Industry]], Mean_PB_S, 3, FALSE))</f>
        <v>-0.89300717393369744</v>
      </c>
      <c r="Q82" s="1">
        <f>(Main_S[[#This Row],[ROE]]-VLOOKUP(Main_S[[#This Row],[Industry]], Mean_ROE_S, 2, FALSE))/(VLOOKUP(Main_S[[#This Row],[Industry]], Mean_ROE_S, 3, FALSE))</f>
        <v>-2.6575828002947901</v>
      </c>
      <c r="R82" s="1">
        <f>(Main_S[[#This Row],[ROA]]-VLOOKUP(Main_S[[#This Row],[Industry]], Mean_ROA_S, 2, FALSE))/(VLOOKUP(Main_S[[#This Row],[Industry]], Mean_ROA_S, 3, FALSE))</f>
        <v>-2.5076406272832967</v>
      </c>
      <c r="S82" s="1">
        <f>(Main_S[[#This Row],[A/E]]-VLOOKUP(Main_S[[#This Row],[Industry]], Mean_AE_S, 2, FALSE))/(VLOOKUP(Main_S[[#This Row],[Industry]], Mean_AE_S, 3, FALSE))</f>
        <v>0.94329410638246158</v>
      </c>
      <c r="T82" s="1">
        <f>(Main_S[[#This Row],[P/E]]-VLOOKUP(Main_S[[#This Row],[Industry]], Mean_PE_S, 2, FALSE))/(VLOOKUP(Main_S[[#This Row],[Industry]], Mean_PE_S, 3, FALSE))</f>
        <v>-22.654105535265415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s="67" t="s">
        <v>105</v>
      </c>
      <c r="B83" s="67" t="s">
        <v>509</v>
      </c>
      <c r="C83" s="2">
        <v>506</v>
      </c>
      <c r="D83">
        <f>RTD("tos.rtd", , "LAST", Main_S[[#This Row],[Symbol]])</f>
        <v>89.14</v>
      </c>
      <c r="E83">
        <v>2.46</v>
      </c>
      <c r="F83">
        <v>50.67</v>
      </c>
      <c r="G83">
        <v>7.52</v>
      </c>
      <c r="H83" s="1">
        <f>IF(ISNUMBER(Main_S[[#This Row],[Free CF]]),IF(Main_S[[#This Row],[Free CF]]&lt;&gt;0,Main_S[[#This Row],[Current Price]]/Main_S[[#This Row],[Free CF]],""),"")</f>
        <v>36.235772357723576</v>
      </c>
      <c r="I83" s="1">
        <f>IF(ISNUMBER(Main_S[[#This Row],[BVPS]]),IF(Main_S[[#This Row],[BVPS]]&lt;&gt;0,Main_S[[#This Row],[Current Price]]/Main_S[[#This Row],[BVPS]],""),"")</f>
        <v>1.7592263666864021</v>
      </c>
      <c r="J83">
        <v>16.22</v>
      </c>
      <c r="K83">
        <v>1.43</v>
      </c>
      <c r="L83">
        <v>11.23</v>
      </c>
      <c r="M83" s="1">
        <f>IF(ISNUMBER(Main_S[[#This Row],[EPS]]),IF(Main_S[[#This Row],[EPS]]&lt;&gt;0,Main_S[[#This Row],[Current Price]]/Main_S[[#This Row],[EPS]],""),"")</f>
        <v>11.853723404255319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6.5962315928449948</v>
      </c>
      <c r="P83" s="1">
        <f>(Main_S[[#This Row],[P/B]]-VLOOKUP(Main_S[[#This Row],[Industry]], Mean_PB_S, 2, FALSE))/(VLOOKUP(Main_S[[#This Row],[Industry]], Mean_PB_S, 3, FALSE))</f>
        <v>2.5166316088627556</v>
      </c>
      <c r="Q83" s="1">
        <f>(Main_S[[#This Row],[ROE]]-VLOOKUP(Main_S[[#This Row],[Industry]], Mean_ROE_S, 2, FALSE))/(VLOOKUP(Main_S[[#This Row],[Industry]], Mean_ROE_S, 3, FALSE))</f>
        <v>1.6899839254148608</v>
      </c>
      <c r="R83" s="1">
        <f>(Main_S[[#This Row],[ROA]]-VLOOKUP(Main_S[[#This Row],[Industry]], Mean_ROA_S, 2, FALSE))/(VLOOKUP(Main_S[[#This Row],[Industry]], Mean_ROA_S, 3, FALSE))</f>
        <v>1.0584787430380593</v>
      </c>
      <c r="S83" s="1">
        <f>(Main_S[[#This Row],[A/E]]-VLOOKUP(Main_S[[#This Row],[Industry]], Mean_AE_S, 2, FALSE))/(VLOOKUP(Main_S[[#This Row],[Industry]], Mean_AE_S, 3, FALSE))</f>
        <v>0.94904019599493439</v>
      </c>
      <c r="T83" s="1">
        <f>(Main_S[[#This Row],[P/E]]-VLOOKUP(Main_S[[#This Row],[Industry]], Mean_PE_S, 2, FALSE))/(VLOOKUP(Main_S[[#This Row],[Industry]], Mean_PE_S, 3, FALSE))</f>
        <v>-6.2240448601542792E-2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7" t="s">
        <v>105</v>
      </c>
      <c r="B84" s="67" t="s">
        <v>475</v>
      </c>
      <c r="C84" s="2">
        <v>271</v>
      </c>
      <c r="D84">
        <f>RTD("tos.rtd", , "LAST", Main_S[[#This Row],[Symbol]])</f>
        <v>24.21</v>
      </c>
      <c r="E84">
        <v>2.46</v>
      </c>
      <c r="F84">
        <v>23.19</v>
      </c>
      <c r="G84">
        <v>2.52</v>
      </c>
      <c r="H84" s="1">
        <f>IF(ISNUMBER(Main_S[[#This Row],[Free CF]]),IF(Main_S[[#This Row],[Free CF]]&lt;&gt;0,Main_S[[#This Row],[Current Price]]/Main_S[[#This Row],[Free CF]],""),"")</f>
        <v>9.8414634146341466</v>
      </c>
      <c r="I84" s="1">
        <f>IF(ISNUMBER(Main_S[[#This Row],[BVPS]]),IF(Main_S[[#This Row],[BVPS]]&lt;&gt;0,Main_S[[#This Row],[Current Price]]/Main_S[[#This Row],[BVPS]],""),"")</f>
        <v>1.0439844760672703</v>
      </c>
      <c r="J84">
        <v>11.19</v>
      </c>
      <c r="K84">
        <v>0.91</v>
      </c>
      <c r="L84">
        <v>12.27</v>
      </c>
      <c r="M84" s="1">
        <f>IF(ISNUMBER(Main_S[[#This Row],[EPS]]),IF(Main_S[[#This Row],[EPS]]&lt;&gt;0,Main_S[[#This Row],[Current Price]]/Main_S[[#This Row],[EPS]],""),"")</f>
        <v>9.6071428571428577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-9.3689380777716269E-2</v>
      </c>
      <c r="P84" s="1">
        <f>(Main_S[[#This Row],[P/B]]-VLOOKUP(Main_S[[#This Row],[Industry]], Mean_PB_S, 2, FALSE))/(VLOOKUP(Main_S[[#This Row],[Industry]], Mean_PB_S, 3, FALSE))</f>
        <v>-6.3715008728071412E-2</v>
      </c>
      <c r="Q84" s="1">
        <f>(Main_S[[#This Row],[ROE]]-VLOOKUP(Main_S[[#This Row],[Industry]], Mean_ROE_S, 2, FALSE))/(VLOOKUP(Main_S[[#This Row],[Industry]], Mean_ROE_S, 3, FALSE))</f>
        <v>0.47305233775100192</v>
      </c>
      <c r="R84" s="1">
        <f>(Main_S[[#This Row],[ROA]]-VLOOKUP(Main_S[[#This Row],[Industry]], Mean_ROA_S, 2, FALSE))/(VLOOKUP(Main_S[[#This Row],[Industry]], Mean_ROA_S, 3, FALSE))</f>
        <v>-0.12265633503016039</v>
      </c>
      <c r="S84" s="1">
        <f>(Main_S[[#This Row],[A/E]]-VLOOKUP(Main_S[[#This Row],[Industry]], Mean_AE_S, 2, FALSE))/(VLOOKUP(Main_S[[#This Row],[Industry]], Mean_AE_S, 3, FALSE))</f>
        <v>1.5466335156921109</v>
      </c>
      <c r="T84" s="1">
        <f>(Main_S[[#This Row],[P/E]]-VLOOKUP(Main_S[[#This Row],[Industry]], Mean_PE_S, 2, FALSE))/(VLOOKUP(Main_S[[#This Row],[Industry]], Mean_PE_S, 3, FALSE))</f>
        <v>-0.93279780932418066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7" t="s">
        <v>105</v>
      </c>
      <c r="B85" s="67" t="s">
        <v>447</v>
      </c>
      <c r="C85" s="2">
        <v>455</v>
      </c>
      <c r="D85">
        <f>RTD("tos.rtd", , "LAST", Main_S[[#This Row],[Symbol]])</f>
        <v>21.93</v>
      </c>
      <c r="E85">
        <v>2.44</v>
      </c>
      <c r="F85">
        <v>27.16</v>
      </c>
      <c r="G85">
        <v>2.34</v>
      </c>
      <c r="H85" s="1">
        <f>IF(ISNUMBER(Main_S[[#This Row],[Free CF]]),IF(Main_S[[#This Row],[Free CF]]&lt;&gt;0,Main_S[[#This Row],[Current Price]]/Main_S[[#This Row],[Free CF]],""),"")</f>
        <v>8.9877049180327866</v>
      </c>
      <c r="I85" s="1">
        <f>IF(ISNUMBER(Main_S[[#This Row],[BVPS]]),IF(Main_S[[#This Row],[BVPS]]&lt;&gt;0,Main_S[[#This Row],[Current Price]]/Main_S[[#This Row],[BVPS]],""),"")</f>
        <v>0.80743740795287189</v>
      </c>
      <c r="J85">
        <v>8.89</v>
      </c>
      <c r="K85">
        <v>0.88</v>
      </c>
      <c r="L85">
        <v>11.11</v>
      </c>
      <c r="M85" s="1">
        <f>IF(ISNUMBER(Main_S[[#This Row],[EPS]]),IF(Main_S[[#This Row],[EPS]]&lt;&gt;0,Main_S[[#This Row],[Current Price]]/Main_S[[#This Row],[EPS]],""),"")</f>
        <v>9.3717948717948723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-0.31008363777975234</v>
      </c>
      <c r="P85" s="1">
        <f>(Main_S[[#This Row],[P/B]]-VLOOKUP(Main_S[[#This Row],[Industry]], Mean_PB_S, 2, FALSE))/(VLOOKUP(Main_S[[#This Row],[Industry]], Mean_PB_S, 3, FALSE))</f>
        <v>-0.91709543165276886</v>
      </c>
      <c r="Q85" s="1">
        <f>(Main_S[[#This Row],[ROE]]-VLOOKUP(Main_S[[#This Row],[Industry]], Mean_ROE_S, 2, FALSE))/(VLOOKUP(Main_S[[#This Row],[Industry]], Mean_ROE_S, 3, FALSE))</f>
        <v>-8.3397493586348806E-2</v>
      </c>
      <c r="R85" s="1">
        <f>(Main_S[[#This Row],[ROA]]-VLOOKUP(Main_S[[#This Row],[Industry]], Mean_ROA_S, 2, FALSE))/(VLOOKUP(Main_S[[#This Row],[Industry]], Mean_ROA_S, 3, FALSE))</f>
        <v>-0.19079874338025007</v>
      </c>
      <c r="S85" s="1">
        <f>(Main_S[[#This Row],[A/E]]-VLOOKUP(Main_S[[#This Row],[Industry]], Mean_AE_S, 2, FALSE))/(VLOOKUP(Main_S[[#This Row],[Industry]], Mean_AE_S, 3, FALSE))</f>
        <v>0.88008712064525951</v>
      </c>
      <c r="T85" s="1">
        <f>(Main_S[[#This Row],[P/E]]-VLOOKUP(Main_S[[#This Row],[Industry]], Mean_PE_S, 2, FALSE))/(VLOOKUP(Main_S[[#This Row],[Industry]], Mean_PE_S, 3, FALSE))</f>
        <v>-1.0239959287235809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7" t="s">
        <v>105</v>
      </c>
      <c r="B86" s="67" t="s">
        <v>437</v>
      </c>
      <c r="C86" s="2">
        <v>1980</v>
      </c>
      <c r="D86">
        <f>RTD("tos.rtd", , "LAST", Main_S[[#This Row],[Symbol]])</f>
        <v>22.82</v>
      </c>
      <c r="E86">
        <v>2.38</v>
      </c>
      <c r="F86">
        <v>24.22</v>
      </c>
      <c r="G86">
        <v>0.95</v>
      </c>
      <c r="H86" s="1">
        <f>IF(ISNUMBER(Main_S[[#This Row],[Free CF]]),IF(Main_S[[#This Row],[Free CF]]&lt;&gt;0,Main_S[[#This Row],[Current Price]]/Main_S[[#This Row],[Free CF]],""),"")</f>
        <v>9.5882352941176467</v>
      </c>
      <c r="I86" s="1">
        <f>IF(ISNUMBER(Main_S[[#This Row],[BVPS]]),IF(Main_S[[#This Row],[BVPS]]&lt;&gt;0,Main_S[[#This Row],[Current Price]]/Main_S[[#This Row],[BVPS]],""),"")</f>
        <v>0.94219653179190754</v>
      </c>
      <c r="J86">
        <v>3.32</v>
      </c>
      <c r="K86">
        <v>0.37</v>
      </c>
      <c r="L86">
        <v>8.93</v>
      </c>
      <c r="M86" s="1">
        <f>IF(ISNUMBER(Main_S[[#This Row],[EPS]]),IF(Main_S[[#This Row],[EPS]]&lt;&gt;0,Main_S[[#This Row],[Current Price]]/Main_S[[#This Row],[EPS]],""),"")</f>
        <v>24.02105263157895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-0.15787276660558944</v>
      </c>
      <c r="P86" s="1">
        <f>(Main_S[[#This Row],[P/B]]-VLOOKUP(Main_S[[#This Row],[Industry]], Mean_PB_S, 2, FALSE))/(VLOOKUP(Main_S[[#This Row],[Industry]], Mean_PB_S, 3, FALSE))</f>
        <v>-0.43093088515709438</v>
      </c>
      <c r="Q86" s="1">
        <f>(Main_S[[#This Row],[ROE]]-VLOOKUP(Main_S[[#This Row],[Industry]], Mean_ROE_S, 2, FALSE))/(VLOOKUP(Main_S[[#This Row],[Industry]], Mean_ROE_S, 3, FALSE))</f>
        <v>-1.4309738242598466</v>
      </c>
      <c r="R86" s="1">
        <f>(Main_S[[#This Row],[ROA]]-VLOOKUP(Main_S[[#This Row],[Industry]], Mean_ROA_S, 2, FALSE))/(VLOOKUP(Main_S[[#This Row],[Industry]], Mean_ROA_S, 3, FALSE))</f>
        <v>-1.3492196853317735</v>
      </c>
      <c r="S86" s="1">
        <f>(Main_S[[#This Row],[A/E]]-VLOOKUP(Main_S[[#This Row],[Industry]], Mean_AE_S, 2, FALSE))/(VLOOKUP(Main_S[[#This Row],[Industry]], Mean_AE_S, 3, FALSE))</f>
        <v>-0.37256041487382313</v>
      </c>
      <c r="T86" s="1">
        <f>(Main_S[[#This Row],[P/E]]-VLOOKUP(Main_S[[#This Row],[Industry]], Mean_PE_S, 2, FALSE))/(VLOOKUP(Main_S[[#This Row],[Industry]], Mean_PE_S, 3, FALSE))</f>
        <v>4.6526396979379037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7" spans="1:26" x14ac:dyDescent="0.25">
      <c r="A87" s="67" t="s">
        <v>105</v>
      </c>
      <c r="B87" s="67" t="s">
        <v>501</v>
      </c>
      <c r="C87" s="2">
        <v>612</v>
      </c>
      <c r="D87">
        <f>RTD("tos.rtd", , "LAST", Main_S[[#This Row],[Symbol]])</f>
        <v>26.64</v>
      </c>
      <c r="E87">
        <v>2.33</v>
      </c>
      <c r="F87">
        <v>34.5</v>
      </c>
      <c r="G87">
        <v>2.88</v>
      </c>
      <c r="H87" s="1">
        <f>IF(ISNUMBER(Main_S[[#This Row],[Free CF]]),IF(Main_S[[#This Row],[Free CF]]&lt;&gt;0,Main_S[[#This Row],[Current Price]]/Main_S[[#This Row],[Free CF]],""),"")</f>
        <v>11.433476394849786</v>
      </c>
      <c r="I87" s="1">
        <f>IF(ISNUMBER(Main_S[[#This Row],[BVPS]]),IF(Main_S[[#This Row],[BVPS]]&lt;&gt;0,Main_S[[#This Row],[Current Price]]/Main_S[[#This Row],[BVPS]],""),"")</f>
        <v>0.77217391304347827</v>
      </c>
      <c r="J87">
        <v>8.3800000000000008</v>
      </c>
      <c r="K87">
        <v>0.94</v>
      </c>
      <c r="L87">
        <v>8.3000000000000007</v>
      </c>
      <c r="M87" s="1">
        <f>IF(ISNUMBER(Main_S[[#This Row],[EPS]]),IF(Main_S[[#This Row],[EPS]]&lt;&gt;0,Main_S[[#This Row],[Current Price]]/Main_S[[#This Row],[EPS]],""),"")</f>
        <v>9.25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0.30982340107189921</v>
      </c>
      <c r="P87" s="1">
        <f>(Main_S[[#This Row],[P/B]]-VLOOKUP(Main_S[[#This Row],[Industry]], Mean_PB_S, 2, FALSE))/(VLOOKUP(Main_S[[#This Row],[Industry]], Mean_PB_S, 3, FALSE))</f>
        <v>-1.0443139866721345</v>
      </c>
      <c r="Q87" s="1">
        <f>(Main_S[[#This Row],[ROE]]-VLOOKUP(Main_S[[#This Row],[Industry]], Mean_ROE_S, 2, FALSE))/(VLOOKUP(Main_S[[#This Row],[Industry]], Mean_ROE_S, 3, FALSE))</f>
        <v>-0.20678419531767442</v>
      </c>
      <c r="R87" s="1">
        <f>(Main_S[[#This Row],[ROA]]-VLOOKUP(Main_S[[#This Row],[Industry]], Mean_ROA_S, 2, FALSE))/(VLOOKUP(Main_S[[#This Row],[Industry]], Mean_ROA_S, 3, FALSE))</f>
        <v>-5.4513926680070983E-2</v>
      </c>
      <c r="S87" s="1">
        <f>(Main_S[[#This Row],[A/E]]-VLOOKUP(Main_S[[#This Row],[Industry]], Mean_AE_S, 2, FALSE))/(VLOOKUP(Main_S[[#This Row],[Industry]], Mean_AE_S, 3, FALSE))</f>
        <v>-0.73456406045961253</v>
      </c>
      <c r="T87" s="1">
        <f>(Main_S[[#This Row],[P/E]]-VLOOKUP(Main_S[[#This Row],[Industry]], Mean_PE_S, 2, FALSE))/(VLOOKUP(Main_S[[#This Row],[Industry]], Mean_PE_S, 3, FALSE))</f>
        <v>-1.0711918426540101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7" t="s">
        <v>105</v>
      </c>
      <c r="B88" s="67" t="s">
        <v>546</v>
      </c>
      <c r="C88" s="2">
        <v>1313</v>
      </c>
      <c r="D88">
        <f>RTD("tos.rtd", , "LAST", Main_S[[#This Row],[Symbol]])</f>
        <v>25.11</v>
      </c>
      <c r="E88">
        <v>2.27</v>
      </c>
      <c r="F88">
        <v>30.08</v>
      </c>
      <c r="G88">
        <v>2.04</v>
      </c>
      <c r="H88" s="1">
        <f>IF(ISNUMBER(Main_S[[#This Row],[Free CF]]),IF(Main_S[[#This Row],[Free CF]]&lt;&gt;0,Main_S[[#This Row],[Current Price]]/Main_S[[#This Row],[Free CF]],""),"")</f>
        <v>11.061674008810572</v>
      </c>
      <c r="I88" s="1">
        <f>IF(ISNUMBER(Main_S[[#This Row],[BVPS]]),IF(Main_S[[#This Row],[BVPS]]&lt;&gt;0,Main_S[[#This Row],[Current Price]]/Main_S[[#This Row],[BVPS]],""),"")</f>
        <v>0.83477393617021278</v>
      </c>
      <c r="J88">
        <v>7.07</v>
      </c>
      <c r="K88">
        <v>0.89</v>
      </c>
      <c r="L88">
        <v>7.72</v>
      </c>
      <c r="M88" s="1">
        <f>IF(ISNUMBER(Main_S[[#This Row],[EPS]]),IF(Main_S[[#This Row],[EPS]]&lt;&gt;0,Main_S[[#This Row],[Current Price]]/Main_S[[#This Row],[EPS]],""),"")</f>
        <v>12.308823529411764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0.21558609462186856</v>
      </c>
      <c r="P88" s="1">
        <f>(Main_S[[#This Row],[P/B]]-VLOOKUP(Main_S[[#This Row],[Industry]], Mean_PB_S, 2, FALSE))/(VLOOKUP(Main_S[[#This Row],[Industry]], Mean_PB_S, 3, FALSE))</f>
        <v>-0.8184746446890292</v>
      </c>
      <c r="Q88" s="1">
        <f>(Main_S[[#This Row],[ROE]]-VLOOKUP(Main_S[[#This Row],[Industry]], Mean_ROE_S, 2, FALSE))/(VLOOKUP(Main_S[[#This Row],[Industry]], Mean_ROE_S, 3, FALSE))</f>
        <v>-0.52371866447068749</v>
      </c>
      <c r="R88" s="1">
        <f>(Main_S[[#This Row],[ROA]]-VLOOKUP(Main_S[[#This Row],[Industry]], Mean_ROA_S, 2, FALSE))/(VLOOKUP(Main_S[[#This Row],[Industry]], Mean_ROA_S, 3, FALSE))</f>
        <v>-0.16808460726355351</v>
      </c>
      <c r="S88" s="1">
        <f>(Main_S[[#This Row],[A/E]]-VLOOKUP(Main_S[[#This Row],[Industry]], Mean_AE_S, 2, FALSE))/(VLOOKUP(Main_S[[#This Row],[Industry]], Mean_AE_S, 3, FALSE))</f>
        <v>-1.0678372579830389</v>
      </c>
      <c r="T88" s="1">
        <f>(Main_S[[#This Row],[P/E]]-VLOOKUP(Main_S[[#This Row],[Industry]], Mean_PE_S, 2, FALSE))/(VLOOKUP(Main_S[[#This Row],[Industry]], Mean_PE_S, 3, FALSE))</f>
        <v>0.11411234868852653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7" t="s">
        <v>105</v>
      </c>
      <c r="B89" s="67" t="s">
        <v>538</v>
      </c>
      <c r="C89" s="2">
        <v>424</v>
      </c>
      <c r="D89">
        <f>RTD("tos.rtd", , "LAST", Main_S[[#This Row],[Symbol]])</f>
        <v>31.07</v>
      </c>
      <c r="E89">
        <v>2.13</v>
      </c>
      <c r="F89">
        <v>34.700000000000003</v>
      </c>
      <c r="G89">
        <v>2.95</v>
      </c>
      <c r="H89" s="1">
        <f>IF(ISNUMBER(Main_S[[#This Row],[Free CF]]),IF(Main_S[[#This Row],[Free CF]]&lt;&gt;0,Main_S[[#This Row],[Current Price]]/Main_S[[#This Row],[Free CF]],""),"")</f>
        <v>14.586854460093898</v>
      </c>
      <c r="I89" s="1">
        <f>IF(ISNUMBER(Main_S[[#This Row],[BVPS]]),IF(Main_S[[#This Row],[BVPS]]&lt;&gt;0,Main_S[[#This Row],[Current Price]]/Main_S[[#This Row],[BVPS]],""),"")</f>
        <v>0.89538904899135441</v>
      </c>
      <c r="J89">
        <v>11.27</v>
      </c>
      <c r="K89">
        <v>1.06</v>
      </c>
      <c r="L89">
        <v>10.210000000000001</v>
      </c>
      <c r="M89" s="1">
        <f>IF(ISNUMBER(Main_S[[#This Row],[EPS]]),IF(Main_S[[#This Row],[EPS]]&lt;&gt;0,Main_S[[#This Row],[Current Price]]/Main_S[[#This Row],[EPS]],""),"")</f>
        <v>10.532203389830508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1.1090809266970101</v>
      </c>
      <c r="P89" s="1">
        <f>(Main_S[[#This Row],[P/B]]-VLOOKUP(Main_S[[#This Row],[Industry]], Mean_PB_S, 2, FALSE))/(VLOOKUP(Main_S[[#This Row],[Industry]], Mean_PB_S, 3, FALSE))</f>
        <v>-0.59979617605581148</v>
      </c>
      <c r="Q89" s="1">
        <f>(Main_S[[#This Row],[ROE]]-VLOOKUP(Main_S[[#This Row],[Industry]], Mean_ROE_S, 2, FALSE))/(VLOOKUP(Main_S[[#This Row],[Industry]], Mean_ROE_S, 3, FALSE))</f>
        <v>0.49240711449317065</v>
      </c>
      <c r="R89" s="1">
        <f>(Main_S[[#This Row],[ROA]]-VLOOKUP(Main_S[[#This Row],[Industry]], Mean_ROA_S, 2, FALSE))/(VLOOKUP(Main_S[[#This Row],[Industry]], Mean_ROA_S, 3, FALSE))</f>
        <v>0.21805570672028771</v>
      </c>
      <c r="S89" s="1">
        <f>(Main_S[[#This Row],[A/E]]-VLOOKUP(Main_S[[#This Row],[Industry]], Mean_AE_S, 2, FALSE))/(VLOOKUP(Main_S[[#This Row],[Industry]], Mean_AE_S, 3, FALSE))</f>
        <v>0.36293905552270322</v>
      </c>
      <c r="T89" s="1">
        <f>(Main_S[[#This Row],[P/E]]-VLOOKUP(Main_S[[#This Row],[Industry]], Mean_PE_S, 2, FALSE))/(VLOOKUP(Main_S[[#This Row],[Industry]], Mean_PE_S, 3, FALSE))</f>
        <v>-0.57433380638410492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7" t="s">
        <v>105</v>
      </c>
      <c r="B90" s="67" t="s">
        <v>516</v>
      </c>
      <c r="C90" s="2">
        <v>745</v>
      </c>
      <c r="D90">
        <f>RTD("tos.rtd", , "LAST", Main_S[[#This Row],[Symbol]])</f>
        <v>17</v>
      </c>
      <c r="E90">
        <v>2.0699999999999998</v>
      </c>
      <c r="F90">
        <v>15.42</v>
      </c>
      <c r="G90">
        <v>1.83</v>
      </c>
      <c r="H90" s="1">
        <f>IF(ISNUMBER(Main_S[[#This Row],[Free CF]]),IF(Main_S[[#This Row],[Free CF]]&lt;&gt;0,Main_S[[#This Row],[Current Price]]/Main_S[[#This Row],[Free CF]],""),"")</f>
        <v>8.2125603864734309</v>
      </c>
      <c r="I90" s="1">
        <f>IF(ISNUMBER(Main_S[[#This Row],[BVPS]]),IF(Main_S[[#This Row],[BVPS]]&lt;&gt;0,Main_S[[#This Row],[Current Price]]/Main_S[[#This Row],[BVPS]],""),"")</f>
        <v>1.1024643320363166</v>
      </c>
      <c r="J90">
        <v>12.98</v>
      </c>
      <c r="K90">
        <v>1.48</v>
      </c>
      <c r="L90">
        <v>8.25</v>
      </c>
      <c r="M90" s="1">
        <f>IF(ISNUMBER(Main_S[[#This Row],[EPS]]),IF(Main_S[[#This Row],[EPS]]&lt;&gt;0,Main_S[[#This Row],[Current Price]]/Main_S[[#This Row],[EPS]],""),"")</f>
        <v>9.2896174863387966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-0.50655234133433413</v>
      </c>
      <c r="P90" s="1">
        <f>(Main_S[[#This Row],[P/B]]-VLOOKUP(Main_S[[#This Row],[Industry]], Mean_PB_S, 2, FALSE))/(VLOOKUP(Main_S[[#This Row],[Industry]], Mean_PB_S, 3, FALSE))</f>
        <v>0.14726018795162221</v>
      </c>
      <c r="Q90" s="1">
        <f>(Main_S[[#This Row],[ROE]]-VLOOKUP(Main_S[[#This Row],[Industry]], Mean_ROE_S, 2, FALSE))/(VLOOKUP(Main_S[[#This Row],[Industry]], Mean_ROE_S, 3, FALSE))</f>
        <v>0.90611546735702753</v>
      </c>
      <c r="R90" s="1">
        <f>(Main_S[[#This Row],[ROA]]-VLOOKUP(Main_S[[#This Row],[Industry]], Mean_ROA_S, 2, FALSE))/(VLOOKUP(Main_S[[#This Row],[Industry]], Mean_ROA_S, 3, FALSE))</f>
        <v>1.172049423621542</v>
      </c>
      <c r="S90" s="1">
        <f>(Main_S[[#This Row],[A/E]]-VLOOKUP(Main_S[[#This Row],[Industry]], Mean_AE_S, 2, FALSE))/(VLOOKUP(Main_S[[#This Row],[Industry]], Mean_AE_S, 3, FALSE))</f>
        <v>-0.76329450852197722</v>
      </c>
      <c r="T90" s="1">
        <f>(Main_S[[#This Row],[P/E]]-VLOOKUP(Main_S[[#This Row],[Industry]], Mean_PE_S, 2, FALSE))/(VLOOKUP(Main_S[[#This Row],[Industry]], Mean_PE_S, 3, FALSE))</f>
        <v>-1.0558399362245268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7" t="s">
        <v>105</v>
      </c>
      <c r="B91" s="67" t="s">
        <v>543</v>
      </c>
      <c r="C91" s="2">
        <v>331</v>
      </c>
      <c r="D91">
        <f>RTD("tos.rtd", , "LAST", Main_S[[#This Row],[Symbol]])</f>
        <v>16.649999999999999</v>
      </c>
      <c r="E91">
        <v>2.04</v>
      </c>
      <c r="F91">
        <v>11.23</v>
      </c>
      <c r="G91">
        <v>1.39</v>
      </c>
      <c r="H91" s="1">
        <f>IF(ISNUMBER(Main_S[[#This Row],[Free CF]]),IF(Main_S[[#This Row],[Free CF]]&lt;&gt;0,Main_S[[#This Row],[Current Price]]/Main_S[[#This Row],[Free CF]],""),"")</f>
        <v>8.1617647058823515</v>
      </c>
      <c r="I91" s="1">
        <f>IF(ISNUMBER(Main_S[[#This Row],[BVPS]]),IF(Main_S[[#This Row],[BVPS]]&lt;&gt;0,Main_S[[#This Row],[Current Price]]/Main_S[[#This Row],[BVPS]],""),"")</f>
        <v>1.4826357969723951</v>
      </c>
      <c r="J91">
        <v>13.2</v>
      </c>
      <c r="K91">
        <v>1.07</v>
      </c>
      <c r="L91">
        <v>11.9</v>
      </c>
      <c r="M91" s="1">
        <f>IF(ISNUMBER(Main_S[[#This Row],[EPS]]),IF(Main_S[[#This Row],[EPS]]&lt;&gt;0,Main_S[[#This Row],[Current Price]]/Main_S[[#This Row],[EPS]],""),"")</f>
        <v>11.97841726618705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-0.51942705192775829</v>
      </c>
      <c r="P91" s="1">
        <f>(Main_S[[#This Row],[P/B]]-VLOOKUP(Main_S[[#This Row],[Industry]], Mean_PB_S, 2, FALSE))/(VLOOKUP(Main_S[[#This Row],[Industry]], Mean_PB_S, 3, FALSE))</f>
        <v>1.5187880116410366</v>
      </c>
      <c r="Q91" s="1">
        <f>(Main_S[[#This Row],[ROE]]-VLOOKUP(Main_S[[#This Row],[Industry]], Mean_ROE_S, 2, FALSE))/(VLOOKUP(Main_S[[#This Row],[Industry]], Mean_ROE_S, 3, FALSE))</f>
        <v>0.95934110339799128</v>
      </c>
      <c r="R91" s="1">
        <f>(Main_S[[#This Row],[ROA]]-VLOOKUP(Main_S[[#This Row],[Industry]], Mean_ROA_S, 2, FALSE))/(VLOOKUP(Main_S[[#This Row],[Industry]], Mean_ROA_S, 3, FALSE))</f>
        <v>0.24076984283698427</v>
      </c>
      <c r="S91" s="1">
        <f>(Main_S[[#This Row],[A/E]]-VLOOKUP(Main_S[[#This Row],[Industry]], Mean_AE_S, 2, FALSE))/(VLOOKUP(Main_S[[#This Row],[Industry]], Mean_AE_S, 3, FALSE))</f>
        <v>1.3340282000306156</v>
      </c>
      <c r="T91" s="1">
        <f>(Main_S[[#This Row],[P/E]]-VLOOKUP(Main_S[[#This Row],[Industry]], Mean_PE_S, 2, FALSE))/(VLOOKUP(Main_S[[#This Row],[Industry]], Mean_PE_S, 3, FALSE))</f>
        <v>-1.3921166445768856E-2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7" t="s">
        <v>105</v>
      </c>
      <c r="B92" s="67" t="s">
        <v>443</v>
      </c>
      <c r="C92" s="2">
        <v>267</v>
      </c>
      <c r="D92">
        <f>RTD("tos.rtd", , "LAST", Main_S[[#This Row],[Symbol]])</f>
        <v>15.76</v>
      </c>
      <c r="E92">
        <v>1.99</v>
      </c>
      <c r="F92">
        <v>16.41</v>
      </c>
      <c r="G92">
        <v>1.43</v>
      </c>
      <c r="H92" s="1">
        <f>IF(ISNUMBER(Main_S[[#This Row],[Free CF]]),IF(Main_S[[#This Row],[Free CF]]&lt;&gt;0,Main_S[[#This Row],[Current Price]]/Main_S[[#This Row],[Free CF]],""),"")</f>
        <v>7.9195979899497484</v>
      </c>
      <c r="I92" s="1">
        <f>IF(ISNUMBER(Main_S[[#This Row],[BVPS]]),IF(Main_S[[#This Row],[BVPS]]&lt;&gt;0,Main_S[[#This Row],[Current Price]]/Main_S[[#This Row],[BVPS]],""),"")</f>
        <v>0.96039000609384517</v>
      </c>
      <c r="J92">
        <v>9.1999999999999993</v>
      </c>
      <c r="K92">
        <v>0.81</v>
      </c>
      <c r="L92">
        <v>11.06</v>
      </c>
      <c r="M92" s="1">
        <f>IF(ISNUMBER(Main_S[[#This Row],[EPS]]),IF(Main_S[[#This Row],[EPS]]&lt;&gt;0,Main_S[[#This Row],[Current Price]]/Main_S[[#This Row],[EPS]],""),"")</f>
        <v>11.020979020979022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-0.58080680600747336</v>
      </c>
      <c r="P92" s="1">
        <f>(Main_S[[#This Row],[P/B]]-VLOOKUP(Main_S[[#This Row],[Industry]], Mean_PB_S, 2, FALSE))/(VLOOKUP(Main_S[[#This Row],[Industry]], Mean_PB_S, 3, FALSE))</f>
        <v>-0.36529509047986541</v>
      </c>
      <c r="Q92" s="1">
        <f>(Main_S[[#This Row],[ROE]]-VLOOKUP(Main_S[[#This Row],[Industry]], Mean_ROE_S, 2, FALSE))/(VLOOKUP(Main_S[[#This Row],[Industry]], Mean_ROE_S, 3, FALSE))</f>
        <v>-8.3977337104452869E-3</v>
      </c>
      <c r="R92" s="1">
        <f>(Main_S[[#This Row],[ROA]]-VLOOKUP(Main_S[[#This Row],[Industry]], Mean_ROA_S, 2, FALSE))/(VLOOKUP(Main_S[[#This Row],[Industry]], Mean_ROA_S, 3, FALSE))</f>
        <v>-0.3497976961971257</v>
      </c>
      <c r="S92" s="1">
        <f>(Main_S[[#This Row],[A/E]]-VLOOKUP(Main_S[[#This Row],[Industry]], Mean_AE_S, 2, FALSE))/(VLOOKUP(Main_S[[#This Row],[Industry]], Mean_AE_S, 3, FALSE))</f>
        <v>0.85135667258289582</v>
      </c>
      <c r="T92" s="1">
        <f>(Main_S[[#This Row],[P/E]]-VLOOKUP(Main_S[[#This Row],[Industry]], Mean_PE_S, 2, FALSE))/(VLOOKUP(Main_S[[#This Row],[Industry]], Mean_PE_S, 3, FALSE))</f>
        <v>-0.3849316396177731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7" t="s">
        <v>105</v>
      </c>
      <c r="B93" s="67" t="s">
        <v>723</v>
      </c>
      <c r="C93" s="2">
        <v>554</v>
      </c>
      <c r="D93">
        <f>RTD("tos.rtd", , "LAST", Main_S[[#This Row],[Symbol]])</f>
        <v>39.68</v>
      </c>
      <c r="E93">
        <v>1.99</v>
      </c>
      <c r="F93">
        <v>10.17</v>
      </c>
      <c r="G93">
        <v>1.4</v>
      </c>
      <c r="H93" s="1">
        <f>IF(ISNUMBER(Main_S[[#This Row],[Free CF]]),IF(Main_S[[#This Row],[Free CF]]&lt;&gt;0,Main_S[[#This Row],[Current Price]]/Main_S[[#This Row],[Free CF]],""),"")</f>
        <v>19.939698492462313</v>
      </c>
      <c r="I93" s="1">
        <f>IF(ISNUMBER(Main_S[[#This Row],[BVPS]]),IF(Main_S[[#This Row],[BVPS]]&lt;&gt;0,Main_S[[#This Row],[Current Price]]/Main_S[[#This Row],[BVPS]],""),"")</f>
        <v>3.9016715830875124</v>
      </c>
      <c r="J93">
        <v>15.84</v>
      </c>
      <c r="K93">
        <v>1.83</v>
      </c>
      <c r="L93">
        <v>8.1199999999999992</v>
      </c>
      <c r="M93" s="1">
        <f>IF(ISNUMBER(Main_S[[#This Row],[EPS]]),IF(Main_S[[#This Row],[EPS]]&lt;&gt;0,Main_S[[#This Row],[Current Price]]/Main_S[[#This Row],[EPS]],""),"")</f>
        <v>28.342857142857145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2.4658167153810493</v>
      </c>
      <c r="P93" s="1">
        <f>(Main_S[[#This Row],[P/B]]-VLOOKUP(Main_S[[#This Row],[Industry]], Mean_PB_S, 2, FALSE))/(VLOOKUP(Main_S[[#This Row],[Industry]], Mean_PB_S, 3, FALSE))</f>
        <v>10.245836707195092</v>
      </c>
      <c r="Q93" s="1">
        <f>(Main_S[[#This Row],[ROE]]-VLOOKUP(Main_S[[#This Row],[Industry]], Mean_ROE_S, 2, FALSE))/(VLOOKUP(Main_S[[#This Row],[Industry]], Mean_ROE_S, 3, FALSE))</f>
        <v>1.5980487358895594</v>
      </c>
      <c r="R93" s="1">
        <f>(Main_S[[#This Row],[ROA]]-VLOOKUP(Main_S[[#This Row],[Industry]], Mean_ROA_S, 2, FALSE))/(VLOOKUP(Main_S[[#This Row],[Industry]], Mean_ROA_S, 3, FALSE))</f>
        <v>1.967044187705921</v>
      </c>
      <c r="S93" s="1">
        <f>(Main_S[[#This Row],[A/E]]-VLOOKUP(Main_S[[#This Row],[Industry]], Mean_AE_S, 2, FALSE))/(VLOOKUP(Main_S[[#This Row],[Industry]], Mean_AE_S, 3, FALSE))</f>
        <v>-0.83799367348412479</v>
      </c>
      <c r="T93" s="1">
        <f>(Main_S[[#This Row],[P/E]]-VLOOKUP(Main_S[[#This Row],[Industry]], Mean_PE_S, 2, FALSE))/(VLOOKUP(Main_S[[#This Row],[Industry]], Mean_PE_S, 3, FALSE))</f>
        <v>6.3273531791586564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4" spans="1:26" x14ac:dyDescent="0.25">
      <c r="A94" s="67" t="s">
        <v>105</v>
      </c>
      <c r="B94" s="67" t="s">
        <v>487</v>
      </c>
      <c r="C94" s="2">
        <v>797</v>
      </c>
      <c r="D94">
        <f>RTD("tos.rtd", , "LAST", Main_S[[#This Row],[Symbol]])</f>
        <v>23.43</v>
      </c>
      <c r="E94">
        <v>1.96</v>
      </c>
      <c r="F94">
        <v>25.85</v>
      </c>
      <c r="G94">
        <v>1.48</v>
      </c>
      <c r="H94" s="1">
        <f>IF(ISNUMBER(Main_S[[#This Row],[Free CF]]),IF(Main_S[[#This Row],[Free CF]]&lt;&gt;0,Main_S[[#This Row],[Current Price]]/Main_S[[#This Row],[Free CF]],""),"")</f>
        <v>11.954081632653061</v>
      </c>
      <c r="I94" s="1">
        <f>IF(ISNUMBER(Main_S[[#This Row],[BVPS]]),IF(Main_S[[#This Row],[BVPS]]&lt;&gt;0,Main_S[[#This Row],[Current Price]]/Main_S[[#This Row],[BVPS]],""),"")</f>
        <v>0.90638297872340423</v>
      </c>
      <c r="J94">
        <v>5.95</v>
      </c>
      <c r="K94">
        <v>0.72</v>
      </c>
      <c r="L94">
        <v>8.09</v>
      </c>
      <c r="M94" s="1">
        <f>IF(ISNUMBER(Main_S[[#This Row],[EPS]]),IF(Main_S[[#This Row],[EPS]]&lt;&gt;0,Main_S[[#This Row],[Current Price]]/Main_S[[#This Row],[EPS]],""),"")</f>
        <v>15.831081081081081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0.44177638786414641</v>
      </c>
      <c r="P94" s="1">
        <f>(Main_S[[#This Row],[P/B]]-VLOOKUP(Main_S[[#This Row],[Industry]], Mean_PB_S, 2, FALSE))/(VLOOKUP(Main_S[[#This Row],[Industry]], Mean_PB_S, 3, FALSE))</f>
        <v>-0.56013386073257199</v>
      </c>
      <c r="Q94" s="1">
        <f>(Main_S[[#This Row],[ROE]]-VLOOKUP(Main_S[[#This Row],[Industry]], Mean_ROE_S, 2, FALSE))/(VLOOKUP(Main_S[[#This Row],[Industry]], Mean_ROE_S, 3, FALSE))</f>
        <v>-0.79468553886104976</v>
      </c>
      <c r="R94" s="1">
        <f>(Main_S[[#This Row],[ROA]]-VLOOKUP(Main_S[[#This Row],[Industry]], Mean_ROA_S, 2, FALSE))/(VLOOKUP(Main_S[[#This Row],[Industry]], Mean_ROA_S, 3, FALSE))</f>
        <v>-0.55422492124739475</v>
      </c>
      <c r="S94" s="1">
        <f>(Main_S[[#This Row],[A/E]]-VLOOKUP(Main_S[[#This Row],[Industry]], Mean_AE_S, 2, FALSE))/(VLOOKUP(Main_S[[#This Row],[Industry]], Mean_AE_S, 3, FALSE))</f>
        <v>-0.85523194232154298</v>
      </c>
      <c r="T94" s="1">
        <f>(Main_S[[#This Row],[P/E]]-VLOOKUP(Main_S[[#This Row],[Industry]], Mean_PE_S, 2, FALSE))/(VLOOKUP(Main_S[[#This Row],[Industry]], Mean_PE_S, 3, FALSE))</f>
        <v>1.4789987498940307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7" t="s">
        <v>105</v>
      </c>
      <c r="B95" s="67" t="s">
        <v>522</v>
      </c>
      <c r="C95" s="2">
        <v>486</v>
      </c>
      <c r="D95">
        <f>RTD("tos.rtd", , "LAST", Main_S[[#This Row],[Symbol]])</f>
        <v>28.01</v>
      </c>
      <c r="E95">
        <v>1.9</v>
      </c>
      <c r="F95">
        <v>35.35</v>
      </c>
      <c r="G95">
        <v>1.8</v>
      </c>
      <c r="H95" s="1">
        <f>IF(ISNUMBER(Main_S[[#This Row],[Free CF]]),IF(Main_S[[#This Row],[Free CF]]&lt;&gt;0,Main_S[[#This Row],[Current Price]]/Main_S[[#This Row],[Free CF]],""),"")</f>
        <v>14.742105263157896</v>
      </c>
      <c r="I95" s="1">
        <f>IF(ISNUMBER(Main_S[[#This Row],[BVPS]]),IF(Main_S[[#This Row],[BVPS]]&lt;&gt;0,Main_S[[#This Row],[Current Price]]/Main_S[[#This Row],[BVPS]],""),"")</f>
        <v>0.79236209335219232</v>
      </c>
      <c r="J95">
        <v>5.31</v>
      </c>
      <c r="K95">
        <v>0.47</v>
      </c>
      <c r="L95">
        <v>11.45</v>
      </c>
      <c r="M95" s="1">
        <f>IF(ISNUMBER(Main_S[[#This Row],[EPS]]),IF(Main_S[[#This Row],[EPS]]&lt;&gt;0,Main_S[[#This Row],[Current Price]]/Main_S[[#This Row],[EPS]],""),"")</f>
        <v>15.561111111111112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1.1484309095220593</v>
      </c>
      <c r="P95" s="1">
        <f>(Main_S[[#This Row],[P/B]]-VLOOKUP(Main_S[[#This Row],[Industry]], Mean_PB_S, 2, FALSE))/(VLOOKUP(Main_S[[#This Row],[Industry]], Mean_PB_S, 3, FALSE))</f>
        <v>-0.97148197912597223</v>
      </c>
      <c r="Q95" s="1">
        <f>(Main_S[[#This Row],[ROE]]-VLOOKUP(Main_S[[#This Row],[Industry]], Mean_ROE_S, 2, FALSE))/(VLOOKUP(Main_S[[#This Row],[Industry]], Mean_ROE_S, 3, FALSE))</f>
        <v>-0.94952375279839973</v>
      </c>
      <c r="R95" s="1">
        <f>(Main_S[[#This Row],[ROA]]-VLOOKUP(Main_S[[#This Row],[Industry]], Mean_ROA_S, 2, FALSE))/(VLOOKUP(Main_S[[#This Row],[Industry]], Mean_ROA_S, 3, FALSE))</f>
        <v>-1.1220783241648082</v>
      </c>
      <c r="S95" s="1">
        <f>(Main_S[[#This Row],[A/E]]-VLOOKUP(Main_S[[#This Row],[Industry]], Mean_AE_S, 2, FALSE))/(VLOOKUP(Main_S[[#This Row],[Industry]], Mean_AE_S, 3, FALSE))</f>
        <v>1.0754541674693365</v>
      </c>
      <c r="T95" s="1">
        <f>(Main_S[[#This Row],[P/E]]-VLOOKUP(Main_S[[#This Row],[Industry]], Mean_PE_S, 2, FALSE))/(VLOOKUP(Main_S[[#This Row],[Industry]], Mean_PE_S, 3, FALSE))</f>
        <v>1.3743844974322155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7" t="s">
        <v>105</v>
      </c>
      <c r="B96" s="67" t="s">
        <v>527</v>
      </c>
      <c r="C96" s="2">
        <v>852</v>
      </c>
      <c r="D96">
        <f>RTD("tos.rtd", , "LAST", Main_S[[#This Row],[Symbol]])</f>
        <v>28.51</v>
      </c>
      <c r="E96">
        <v>1.86</v>
      </c>
      <c r="F96">
        <v>26.85</v>
      </c>
      <c r="G96">
        <v>2.91</v>
      </c>
      <c r="H96" s="1">
        <f>IF(ISNUMBER(Main_S[[#This Row],[Free CF]]),IF(Main_S[[#This Row],[Free CF]]&lt;&gt;0,Main_S[[#This Row],[Current Price]]/Main_S[[#This Row],[Free CF]],""),"")</f>
        <v>15.327956989247312</v>
      </c>
      <c r="I96" s="1">
        <f>IF(ISNUMBER(Main_S[[#This Row],[BVPS]]),IF(Main_S[[#This Row],[BVPS]]&lt;&gt;0,Main_S[[#This Row],[Current Price]]/Main_S[[#This Row],[BVPS]],""),"")</f>
        <v>1.0618249534450652</v>
      </c>
      <c r="J96">
        <v>11.03</v>
      </c>
      <c r="K96">
        <v>1.06</v>
      </c>
      <c r="L96">
        <v>10.220000000000001</v>
      </c>
      <c r="M96" s="1">
        <f>IF(ISNUMBER(Main_S[[#This Row],[EPS]]),IF(Main_S[[#This Row],[EPS]]&lt;&gt;0,Main_S[[#This Row],[Current Price]]/Main_S[[#This Row],[EPS]],""),"")</f>
        <v>9.7972508591065299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1.296921319263391</v>
      </c>
      <c r="P96" s="1">
        <f>(Main_S[[#This Row],[P/B]]-VLOOKUP(Main_S[[#This Row],[Industry]], Mean_PB_S, 2, FALSE))/(VLOOKUP(Main_S[[#This Row],[Industry]], Mean_PB_S, 3, FALSE))</f>
        <v>6.4729451754814244E-4</v>
      </c>
      <c r="Q96" s="1">
        <f>(Main_S[[#This Row],[ROE]]-VLOOKUP(Main_S[[#This Row],[Industry]], Mean_ROE_S, 2, FALSE))/(VLOOKUP(Main_S[[#This Row],[Industry]], Mean_ROE_S, 3, FALSE))</f>
        <v>0.43434278426666445</v>
      </c>
      <c r="R96" s="1">
        <f>(Main_S[[#This Row],[ROA]]-VLOOKUP(Main_S[[#This Row],[Industry]], Mean_ROA_S, 2, FALSE))/(VLOOKUP(Main_S[[#This Row],[Industry]], Mean_ROA_S, 3, FALSE))</f>
        <v>0.21805570672028771</v>
      </c>
      <c r="S96" s="1">
        <f>(Main_S[[#This Row],[A/E]]-VLOOKUP(Main_S[[#This Row],[Industry]], Mean_AE_S, 2, FALSE))/(VLOOKUP(Main_S[[#This Row],[Industry]], Mean_AE_S, 3, FALSE))</f>
        <v>0.36868514513517597</v>
      </c>
      <c r="T96" s="1">
        <f>(Main_S[[#This Row],[P/E]]-VLOOKUP(Main_S[[#This Row],[Industry]], Mean_PE_S, 2, FALSE))/(VLOOKUP(Main_S[[#This Row],[Industry]], Mean_PE_S, 3, FALSE))</f>
        <v>-0.85913033247610315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7" t="s">
        <v>105</v>
      </c>
      <c r="B97" s="67" t="s">
        <v>529</v>
      </c>
      <c r="C97" s="2">
        <v>484</v>
      </c>
      <c r="D97">
        <f>RTD("tos.rtd", , "LAST", Main_S[[#This Row],[Symbol]])</f>
        <v>14.81</v>
      </c>
      <c r="E97">
        <v>1.8</v>
      </c>
      <c r="F97">
        <v>16.55</v>
      </c>
      <c r="G97">
        <v>1.48</v>
      </c>
      <c r="H97" s="1">
        <f>IF(ISNUMBER(Main_S[[#This Row],[Free CF]]),IF(Main_S[[#This Row],[Free CF]]&lt;&gt;0,Main_S[[#This Row],[Current Price]]/Main_S[[#This Row],[Free CF]],""),"")</f>
        <v>8.2277777777777779</v>
      </c>
      <c r="I97" s="1">
        <f>IF(ISNUMBER(Main_S[[#This Row],[BVPS]]),IF(Main_S[[#This Row],[BVPS]]&lt;&gt;0,Main_S[[#This Row],[Current Price]]/Main_S[[#This Row],[BVPS]],""),"")</f>
        <v>0.89486404833836852</v>
      </c>
      <c r="J97">
        <v>9.27</v>
      </c>
      <c r="K97">
        <v>0.82</v>
      </c>
      <c r="L97">
        <v>11.18</v>
      </c>
      <c r="M97" s="1">
        <f>IF(ISNUMBER(Main_S[[#This Row],[EPS]]),IF(Main_S[[#This Row],[EPS]]&lt;&gt;0,Main_S[[#This Row],[Current Price]]/Main_S[[#This Row],[EPS]],""),"")</f>
        <v>10.006756756756758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-0.50269533013278012</v>
      </c>
      <c r="P97" s="1">
        <f>(Main_S[[#This Row],[P/B]]-VLOOKUP(Main_S[[#This Row],[Industry]], Mean_PB_S, 2, FALSE))/(VLOOKUP(Main_S[[#This Row],[Industry]], Mean_PB_S, 3, FALSE))</f>
        <v>-0.60169019775243282</v>
      </c>
      <c r="Q97" s="1">
        <f>(Main_S[[#This Row],[ROE]]-VLOOKUP(Main_S[[#This Row],[Industry]], Mean_ROE_S, 2, FALSE))/(VLOOKUP(Main_S[[#This Row],[Industry]], Mean_ROE_S, 3, FALSE))</f>
        <v>8.5376959389524207E-3</v>
      </c>
      <c r="R97" s="1">
        <f>(Main_S[[#This Row],[ROA]]-VLOOKUP(Main_S[[#This Row],[Industry]], Mean_ROA_S, 2, FALSE))/(VLOOKUP(Main_S[[#This Row],[Industry]], Mean_ROA_S, 3, FALSE))</f>
        <v>-0.32708356008042938</v>
      </c>
      <c r="S97" s="1">
        <f>(Main_S[[#This Row],[A/E]]-VLOOKUP(Main_S[[#This Row],[Industry]], Mean_AE_S, 2, FALSE))/(VLOOKUP(Main_S[[#This Row],[Industry]], Mean_AE_S, 3, FALSE))</f>
        <v>0.9203097479325697</v>
      </c>
      <c r="T97" s="1">
        <f>(Main_S[[#This Row],[P/E]]-VLOOKUP(Main_S[[#This Row],[Industry]], Mean_PE_S, 2, FALSE))/(VLOOKUP(Main_S[[#This Row],[Industry]], Mean_PE_S, 3, FALSE))</f>
        <v>-0.77794610716593915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7" t="s">
        <v>105</v>
      </c>
      <c r="B98" s="67" t="s">
        <v>457</v>
      </c>
      <c r="C98" s="2">
        <v>287</v>
      </c>
      <c r="D98">
        <f>RTD("tos.rtd", , "LAST", Main_S[[#This Row],[Symbol]])</f>
        <v>18.760000000000002</v>
      </c>
      <c r="E98">
        <v>1.78</v>
      </c>
      <c r="F98">
        <v>18.2</v>
      </c>
      <c r="G98">
        <v>1.75</v>
      </c>
      <c r="H98" s="1">
        <f>IF(ISNUMBER(Main_S[[#This Row],[Free CF]]),IF(Main_S[[#This Row],[Free CF]]&lt;&gt;0,Main_S[[#This Row],[Current Price]]/Main_S[[#This Row],[Free CF]],""),"")</f>
        <v>10.539325842696631</v>
      </c>
      <c r="I98" s="1">
        <f>IF(ISNUMBER(Main_S[[#This Row],[BVPS]]),IF(Main_S[[#This Row],[BVPS]]&lt;&gt;0,Main_S[[#This Row],[Current Price]]/Main_S[[#This Row],[BVPS]],""),"")</f>
        <v>1.0307692307692309</v>
      </c>
      <c r="J98">
        <v>9.92</v>
      </c>
      <c r="K98">
        <v>1.05</v>
      </c>
      <c r="L98">
        <v>9.26</v>
      </c>
      <c r="M98" s="1">
        <f>IF(ISNUMBER(Main_S[[#This Row],[EPS]]),IF(Main_S[[#This Row],[EPS]]&lt;&gt;0,Main_S[[#This Row],[Current Price]]/Main_S[[#This Row],[EPS]],""),"")</f>
        <v>10.72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8.3191343937026749E-2</v>
      </c>
      <c r="P98" s="1">
        <f>(Main_S[[#This Row],[P/B]]-VLOOKUP(Main_S[[#This Row],[Industry]], Mean_PB_S, 2, FALSE))/(VLOOKUP(Main_S[[#This Row],[Industry]], Mean_PB_S, 3, FALSE))</f>
        <v>-0.11139106623067561</v>
      </c>
      <c r="Q98" s="1">
        <f>(Main_S[[#This Row],[ROE]]-VLOOKUP(Main_S[[#This Row],[Industry]], Mean_ROE_S, 2, FALSE))/(VLOOKUP(Main_S[[#This Row],[Industry]], Mean_ROE_S, 3, FALSE))</f>
        <v>0.16579525696907343</v>
      </c>
      <c r="R98" s="1">
        <f>(Main_S[[#This Row],[ROA]]-VLOOKUP(Main_S[[#This Row],[Industry]], Mean_ROA_S, 2, FALSE))/(VLOOKUP(Main_S[[#This Row],[Industry]], Mean_ROA_S, 3, FALSE))</f>
        <v>0.19534157060359114</v>
      </c>
      <c r="S98" s="1">
        <f>(Main_S[[#This Row],[A/E]]-VLOOKUP(Main_S[[#This Row],[Industry]], Mean_AE_S, 2, FALSE))/(VLOOKUP(Main_S[[#This Row],[Industry]], Mean_AE_S, 3, FALSE))</f>
        <v>-0.18293945766221878</v>
      </c>
      <c r="T98" s="1">
        <f>(Main_S[[#This Row],[P/E]]-VLOOKUP(Main_S[[#This Row],[Industry]], Mean_PE_S, 2, FALSE))/(VLOOKUP(Main_S[[#This Row],[Industry]], Mean_PE_S, 3, FALSE))</f>
        <v>-0.50156200146843299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7" t="s">
        <v>105</v>
      </c>
      <c r="B99" s="67" t="s">
        <v>433</v>
      </c>
      <c r="C99" s="2">
        <v>346</v>
      </c>
      <c r="D99">
        <f>RTD("tos.rtd", , "LAST", Main_S[[#This Row],[Symbol]])</f>
        <v>22.81</v>
      </c>
      <c r="E99">
        <v>1.77</v>
      </c>
      <c r="F99">
        <v>27.38</v>
      </c>
      <c r="G99">
        <v>-0.4</v>
      </c>
      <c r="H99" s="1">
        <f>IF(ISNUMBER(Main_S[[#This Row],[Free CF]]),IF(Main_S[[#This Row],[Free CF]]&lt;&gt;0,Main_S[[#This Row],[Current Price]]/Main_S[[#This Row],[Free CF]],""),"")</f>
        <v>12.887005649717514</v>
      </c>
      <c r="I99" s="1">
        <f>IF(ISNUMBER(Main_S[[#This Row],[BVPS]]),IF(Main_S[[#This Row],[BVPS]]&lt;&gt;0,Main_S[[#This Row],[Current Price]]/Main_S[[#This Row],[BVPS]],""),"")</f>
        <v>0.83308984660336005</v>
      </c>
      <c r="J99">
        <v>-1.47</v>
      </c>
      <c r="K99">
        <v>-0.17</v>
      </c>
      <c r="L99">
        <v>8.61</v>
      </c>
      <c r="M99" s="1">
        <f>IF(ISNUMBER(Main_S[[#This Row],[EPS]]),IF(Main_S[[#This Row],[EPS]]&lt;&gt;0,Main_S[[#This Row],[Current Price]]/Main_S[[#This Row],[EPS]],""),"")</f>
        <v>-57.024999999999991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0.67823599595666684</v>
      </c>
      <c r="P99" s="1">
        <f>(Main_S[[#This Row],[P/B]]-VLOOKUP(Main_S[[#This Row],[Industry]], Mean_PB_S, 2, FALSE))/(VLOOKUP(Main_S[[#This Row],[Industry]], Mean_PB_S, 3, FALSE))</f>
        <v>-0.82455026032975576</v>
      </c>
      <c r="Q99" s="1">
        <f>(Main_S[[#This Row],[ROE]]-VLOOKUP(Main_S[[#This Row],[Industry]], Mean_ROE_S, 2, FALSE))/(VLOOKUP(Main_S[[#This Row],[Industry]], Mean_ROE_S, 3, FALSE))</f>
        <v>-2.5898410816971995</v>
      </c>
      <c r="R99" s="1">
        <f>(Main_S[[#This Row],[ROA]]-VLOOKUP(Main_S[[#This Row],[Industry]], Mean_ROA_S, 2, FALSE))/(VLOOKUP(Main_S[[#This Row],[Industry]], Mean_ROA_S, 3, FALSE))</f>
        <v>-2.5757830356333864</v>
      </c>
      <c r="S99" s="1">
        <f>(Main_S[[#This Row],[A/E]]-VLOOKUP(Main_S[[#This Row],[Industry]], Mean_AE_S, 2, FALSE))/(VLOOKUP(Main_S[[#This Row],[Industry]], Mean_AE_S, 3, FALSE))</f>
        <v>-0.55643528247295471</v>
      </c>
      <c r="T99" s="1">
        <f>(Main_S[[#This Row],[P/E]]-VLOOKUP(Main_S[[#This Row],[Industry]], Mean_PE_S, 2, FALSE))/(VLOOKUP(Main_S[[#This Row],[Industry]], Mean_PE_S, 3, FALSE))</f>
        <v>-26.752972607670401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0" spans="1:26" x14ac:dyDescent="0.25">
      <c r="A100" s="67" t="s">
        <v>105</v>
      </c>
      <c r="B100" s="67" t="s">
        <v>515</v>
      </c>
      <c r="C100" s="2">
        <v>586</v>
      </c>
      <c r="D100">
        <f>RTD("tos.rtd", , "LAST", Main_S[[#This Row],[Symbol]])</f>
        <v>30.96</v>
      </c>
      <c r="E100">
        <v>1.73</v>
      </c>
      <c r="F100">
        <v>27.32</v>
      </c>
      <c r="G100">
        <v>1.84</v>
      </c>
      <c r="H100" s="1">
        <f>IF(ISNUMBER(Main_S[[#This Row],[Free CF]]),IF(Main_S[[#This Row],[Free CF]]&lt;&gt;0,Main_S[[#This Row],[Current Price]]/Main_S[[#This Row],[Free CF]],""),"")</f>
        <v>17.895953757225435</v>
      </c>
      <c r="I100" s="1">
        <f>IF(ISNUMBER(Main_S[[#This Row],[BVPS]]),IF(Main_S[[#This Row],[BVPS]]&lt;&gt;0,Main_S[[#This Row],[Current Price]]/Main_S[[#This Row],[BVPS]],""),"")</f>
        <v>1.1332357247437774</v>
      </c>
      <c r="J100">
        <v>7.85</v>
      </c>
      <c r="K100">
        <v>0.73</v>
      </c>
      <c r="L100">
        <v>10.210000000000001</v>
      </c>
      <c r="M100" s="1">
        <f>IF(ISNUMBER(Main_S[[#This Row],[EPS]]),IF(Main_S[[#This Row],[EPS]]&lt;&gt;0,Main_S[[#This Row],[Current Price]]/Main_S[[#This Row],[EPS]],""),"")</f>
        <v>16.826086956521738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1.9478076703830394</v>
      </c>
      <c r="P100" s="1">
        <f>(Main_S[[#This Row],[P/B]]-VLOOKUP(Main_S[[#This Row],[Industry]], Mean_PB_S, 2, FALSE))/(VLOOKUP(Main_S[[#This Row],[Industry]], Mean_PB_S, 3, FALSE))</f>
        <v>0.2582727840154857</v>
      </c>
      <c r="Q100" s="1">
        <f>(Main_S[[#This Row],[ROE]]-VLOOKUP(Main_S[[#This Row],[Industry]], Mean_ROE_S, 2, FALSE))/(VLOOKUP(Main_S[[#This Row],[Industry]], Mean_ROE_S, 3, FALSE))</f>
        <v>-0.33500959123454255</v>
      </c>
      <c r="R100" s="1">
        <f>(Main_S[[#This Row],[ROA]]-VLOOKUP(Main_S[[#This Row],[Industry]], Mean_ROA_S, 2, FALSE))/(VLOOKUP(Main_S[[#This Row],[Industry]], Mean_ROA_S, 3, FALSE))</f>
        <v>-0.53151078513069816</v>
      </c>
      <c r="S100" s="1">
        <f>(Main_S[[#This Row],[A/E]]-VLOOKUP(Main_S[[#This Row],[Industry]], Mean_AE_S, 2, FALSE))/(VLOOKUP(Main_S[[#This Row],[Industry]], Mean_AE_S, 3, FALSE))</f>
        <v>0.36293905552270322</v>
      </c>
      <c r="T100" s="1">
        <f>(Main_S[[#This Row],[P/E]]-VLOOKUP(Main_S[[#This Row],[Industry]], Mean_PE_S, 2, FALSE))/(VLOOKUP(Main_S[[#This Row],[Industry]], Mean_PE_S, 3, FALSE))</f>
        <v>1.8645668035035392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7" t="s">
        <v>105</v>
      </c>
      <c r="B101" s="67" t="s">
        <v>428</v>
      </c>
      <c r="C101" s="2">
        <v>429</v>
      </c>
      <c r="D101">
        <f>RTD("tos.rtd", , "LAST", Main_S[[#This Row],[Symbol]])</f>
        <v>25.96</v>
      </c>
      <c r="E101">
        <v>1.71</v>
      </c>
      <c r="F101">
        <v>24.26</v>
      </c>
      <c r="G101">
        <v>1.7</v>
      </c>
      <c r="H101" s="1">
        <f>IF(ISNUMBER(Main_S[[#This Row],[Free CF]]),IF(Main_S[[#This Row],[Free CF]]&lt;&gt;0,Main_S[[#This Row],[Current Price]]/Main_S[[#This Row],[Free CF]],""),"")</f>
        <v>15.181286549707604</v>
      </c>
      <c r="I101" s="1">
        <f>IF(ISNUMBER(Main_S[[#This Row],[BVPS]]),IF(Main_S[[#This Row],[BVPS]]&lt;&gt;0,Main_S[[#This Row],[Current Price]]/Main_S[[#This Row],[BVPS]],""),"")</f>
        <v>1.0700741962077494</v>
      </c>
      <c r="J101">
        <v>7.25</v>
      </c>
      <c r="K101">
        <v>0.65</v>
      </c>
      <c r="L101">
        <v>11</v>
      </c>
      <c r="M101" s="1">
        <f>IF(ISNUMBER(Main_S[[#This Row],[EPS]]),IF(Main_S[[#This Row],[EPS]]&lt;&gt;0,Main_S[[#This Row],[Current Price]]/Main_S[[#This Row],[EPS]],""),"")</f>
        <v>15.270588235294118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1.2597461216932324</v>
      </c>
      <c r="P101" s="1">
        <f>(Main_S[[#This Row],[P/B]]-VLOOKUP(Main_S[[#This Row],[Industry]], Mean_PB_S, 2, FALSE))/(VLOOKUP(Main_S[[#This Row],[Industry]], Mean_PB_S, 3, FALSE))</f>
        <v>3.0407723736748337E-2</v>
      </c>
      <c r="Q101" s="1">
        <f>(Main_S[[#This Row],[ROE]]-VLOOKUP(Main_S[[#This Row],[Industry]], Mean_ROE_S, 2, FALSE))/(VLOOKUP(Main_S[[#This Row],[Industry]], Mean_ROE_S, 3, FALSE))</f>
        <v>-0.48017041680080791</v>
      </c>
      <c r="R101" s="1">
        <f>(Main_S[[#This Row],[ROA]]-VLOOKUP(Main_S[[#This Row],[Industry]], Mean_ROA_S, 2, FALSE))/(VLOOKUP(Main_S[[#This Row],[Industry]], Mean_ROA_S, 3, FALSE))</f>
        <v>-0.71322387406427035</v>
      </c>
      <c r="S101" s="1">
        <f>(Main_S[[#This Row],[A/E]]-VLOOKUP(Main_S[[#This Row],[Industry]], Mean_AE_S, 2, FALSE))/(VLOOKUP(Main_S[[#This Row],[Industry]], Mean_AE_S, 3, FALSE))</f>
        <v>0.81688013490805844</v>
      </c>
      <c r="T101" s="1">
        <f>(Main_S[[#This Row],[P/E]]-VLOOKUP(Main_S[[#This Row],[Industry]], Mean_PE_S, 2, FALSE))/(VLOOKUP(Main_S[[#This Row],[Industry]], Mean_PE_S, 3, FALSE))</f>
        <v>1.26180592626731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7" t="s">
        <v>105</v>
      </c>
      <c r="B102" s="67" t="s">
        <v>536</v>
      </c>
      <c r="C102" s="2">
        <v>1386</v>
      </c>
      <c r="D102">
        <f>RTD("tos.rtd", , "LAST", Main_S[[#This Row],[Symbol]])</f>
        <v>27.5</v>
      </c>
      <c r="E102">
        <v>1.7</v>
      </c>
      <c r="F102">
        <v>30.89</v>
      </c>
      <c r="G102">
        <v>2.12</v>
      </c>
      <c r="H102" s="1">
        <f>IF(ISNUMBER(Main_S[[#This Row],[Free CF]]),IF(Main_S[[#This Row],[Free CF]]&lt;&gt;0,Main_S[[#This Row],[Current Price]]/Main_S[[#This Row],[Free CF]],""),"")</f>
        <v>16.176470588235293</v>
      </c>
      <c r="I102" s="1">
        <f>IF(ISNUMBER(Main_S[[#This Row],[BVPS]]),IF(Main_S[[#This Row],[BVPS]]&lt;&gt;0,Main_S[[#This Row],[Current Price]]/Main_S[[#This Row],[BVPS]],""),"")</f>
        <v>0.89025574619617998</v>
      </c>
      <c r="J102">
        <v>7.23</v>
      </c>
      <c r="K102">
        <v>1.07</v>
      </c>
      <c r="L102">
        <v>6.48</v>
      </c>
      <c r="M102" s="1">
        <f>IF(ISNUMBER(Main_S[[#This Row],[EPS]]),IF(Main_S[[#This Row],[EPS]]&lt;&gt;0,Main_S[[#This Row],[Current Price]]/Main_S[[#This Row],[EPS]],""),"")</f>
        <v>12.971698113207546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1.51198620065556</v>
      </c>
      <c r="P102" s="1">
        <f>(Main_S[[#This Row],[P/B]]-VLOOKUP(Main_S[[#This Row],[Industry]], Mean_PB_S, 2, FALSE))/(VLOOKUP(Main_S[[#This Row],[Industry]], Mean_PB_S, 3, FALSE))</f>
        <v>-0.61831536610651172</v>
      </c>
      <c r="Q102" s="1">
        <f>(Main_S[[#This Row],[ROE]]-VLOOKUP(Main_S[[#This Row],[Industry]], Mean_ROE_S, 2, FALSE))/(VLOOKUP(Main_S[[#This Row],[Industry]], Mean_ROE_S, 3, FALSE))</f>
        <v>-0.48500911098634997</v>
      </c>
      <c r="R102" s="1">
        <f>(Main_S[[#This Row],[ROA]]-VLOOKUP(Main_S[[#This Row],[Industry]], Mean_ROA_S, 2, FALSE))/(VLOOKUP(Main_S[[#This Row],[Industry]], Mean_ROA_S, 3, FALSE))</f>
        <v>0.24076984283698427</v>
      </c>
      <c r="S102" s="1">
        <f>(Main_S[[#This Row],[A/E]]-VLOOKUP(Main_S[[#This Row],[Industry]], Mean_AE_S, 2, FALSE))/(VLOOKUP(Main_S[[#This Row],[Industry]], Mean_AE_S, 3, FALSE))</f>
        <v>-1.7803523699296726</v>
      </c>
      <c r="T102" s="1">
        <f>(Main_S[[#This Row],[P/E]]-VLOOKUP(Main_S[[#This Row],[Industry]], Mean_PE_S, 2, FALSE))/(VLOOKUP(Main_S[[#This Row],[Industry]], Mean_PE_S, 3, FALSE))</f>
        <v>0.37097843296985067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7" t="s">
        <v>105</v>
      </c>
      <c r="B103" s="67" t="s">
        <v>279</v>
      </c>
      <c r="C103" s="2">
        <v>2000</v>
      </c>
      <c r="D103">
        <f>RTD("tos.rtd", , "LAST", Main_S[[#This Row],[Symbol]])</f>
        <v>43.79</v>
      </c>
      <c r="E103">
        <v>1.7</v>
      </c>
      <c r="F103">
        <v>34.44</v>
      </c>
      <c r="G103">
        <v>2.73</v>
      </c>
      <c r="H103" s="1">
        <f>IF(ISNUMBER(Main_S[[#This Row],[Free CF]]),IF(Main_S[[#This Row],[Free CF]]&lt;&gt;0,Main_S[[#This Row],[Current Price]]/Main_S[[#This Row],[Free CF]],""),"")</f>
        <v>25.758823529411764</v>
      </c>
      <c r="I103" s="1">
        <f>IF(ISNUMBER(Main_S[[#This Row],[BVPS]]),IF(Main_S[[#This Row],[BVPS]]&lt;&gt;0,Main_S[[#This Row],[Current Price]]/Main_S[[#This Row],[BVPS]],""),"")</f>
        <v>1.2714866434378631</v>
      </c>
      <c r="J103">
        <v>8.27</v>
      </c>
      <c r="K103">
        <v>0.99</v>
      </c>
      <c r="L103">
        <v>8.1999999999999993</v>
      </c>
      <c r="M103" s="1">
        <f>IF(ISNUMBER(Main_S[[#This Row],[EPS]]),IF(Main_S[[#This Row],[EPS]]&lt;&gt;0,Main_S[[#This Row],[Current Price]]/Main_S[[#This Row],[EPS]],""),"")</f>
        <v>16.04029304029304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3.9407364307166426</v>
      </c>
      <c r="P103" s="1">
        <f>(Main_S[[#This Row],[P/B]]-VLOOKUP(Main_S[[#This Row],[Industry]], Mean_PB_S, 2, FALSE))/(VLOOKUP(Main_S[[#This Row],[Industry]], Mean_PB_S, 3, FALSE))</f>
        <v>0.75703452477749444</v>
      </c>
      <c r="Q103" s="1">
        <f>(Main_S[[#This Row],[ROE]]-VLOOKUP(Main_S[[#This Row],[Industry]], Mean_ROE_S, 2, FALSE))/(VLOOKUP(Main_S[[#This Row],[Industry]], Mean_ROE_S, 3, FALSE))</f>
        <v>-0.23339701333815671</v>
      </c>
      <c r="R103" s="1">
        <f>(Main_S[[#This Row],[ROA]]-VLOOKUP(Main_S[[#This Row],[Industry]], Mean_ROA_S, 2, FALSE))/(VLOOKUP(Main_S[[#This Row],[Industry]], Mean_ROA_S, 3, FALSE))</f>
        <v>5.9056753903411807E-2</v>
      </c>
      <c r="S103" s="1">
        <f>(Main_S[[#This Row],[A/E]]-VLOOKUP(Main_S[[#This Row],[Industry]], Mean_AE_S, 2, FALSE))/(VLOOKUP(Main_S[[#This Row],[Industry]], Mean_AE_S, 3, FALSE))</f>
        <v>-0.79202495658434191</v>
      </c>
      <c r="T103" s="1">
        <f>(Main_S[[#This Row],[P/E]]-VLOOKUP(Main_S[[#This Row],[Industry]], Mean_PE_S, 2, FALSE))/(VLOOKUP(Main_S[[#This Row],[Industry]], Mean_PE_S, 3, FALSE))</f>
        <v>1.5600690730913311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7" t="s">
        <v>105</v>
      </c>
      <c r="B104" s="67" t="s">
        <v>503</v>
      </c>
      <c r="C104" s="2">
        <v>684</v>
      </c>
      <c r="D104">
        <f>RTD("tos.rtd", , "LAST", Main_S[[#This Row],[Symbol]])</f>
        <v>16.22</v>
      </c>
      <c r="E104">
        <v>1.6</v>
      </c>
      <c r="F104">
        <v>19.79</v>
      </c>
      <c r="G104">
        <v>1.18</v>
      </c>
      <c r="H104" s="1">
        <f>IF(ISNUMBER(Main_S[[#This Row],[Free CF]]),IF(Main_S[[#This Row],[Free CF]]&lt;&gt;0,Main_S[[#This Row],[Current Price]]/Main_S[[#This Row],[Free CF]],""),"")</f>
        <v>10.137499999999999</v>
      </c>
      <c r="I104" s="1">
        <f>IF(ISNUMBER(Main_S[[#This Row],[BVPS]]),IF(Main_S[[#This Row],[BVPS]]&lt;&gt;0,Main_S[[#This Row],[Current Price]]/Main_S[[#This Row],[BVPS]],""),"")</f>
        <v>0.81960586154623549</v>
      </c>
      <c r="J104">
        <v>6.26</v>
      </c>
      <c r="K104">
        <v>0.93</v>
      </c>
      <c r="L104">
        <v>7.09</v>
      </c>
      <c r="M104" s="1">
        <f>IF(ISNUMBER(Main_S[[#This Row],[EPS]]),IF(Main_S[[#This Row],[EPS]]&lt;&gt;0,Main_S[[#This Row],[Current Price]]/Main_S[[#This Row],[EPS]],""),"")</f>
        <v>13.745762711864407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-1.865572993772362E-2</v>
      </c>
      <c r="P104" s="1">
        <f>(Main_S[[#This Row],[P/B]]-VLOOKUP(Main_S[[#This Row],[Industry]], Mean_PB_S, 2, FALSE))/(VLOOKUP(Main_S[[#This Row],[Industry]], Mean_PB_S, 3, FALSE))</f>
        <v>-0.87319583840639581</v>
      </c>
      <c r="Q104" s="1">
        <f>(Main_S[[#This Row],[ROE]]-VLOOKUP(Main_S[[#This Row],[Industry]], Mean_ROE_S, 2, FALSE))/(VLOOKUP(Main_S[[#This Row],[Industry]], Mean_ROE_S, 3, FALSE))</f>
        <v>-0.71968577898514596</v>
      </c>
      <c r="R104" s="1">
        <f>(Main_S[[#This Row],[ROA]]-VLOOKUP(Main_S[[#This Row],[Industry]], Mean_ROA_S, 2, FALSE))/(VLOOKUP(Main_S[[#This Row],[Industry]], Mean_ROA_S, 3, FALSE))</f>
        <v>-7.7228062796767277E-2</v>
      </c>
      <c r="S104" s="1">
        <f>(Main_S[[#This Row],[A/E]]-VLOOKUP(Main_S[[#This Row],[Industry]], Mean_AE_S, 2, FALSE))/(VLOOKUP(Main_S[[#This Row],[Industry]], Mean_AE_S, 3, FALSE))</f>
        <v>-1.4298409035688286</v>
      </c>
      <c r="T104" s="1">
        <f>(Main_S[[#This Row],[P/E]]-VLOOKUP(Main_S[[#This Row],[Industry]], Mean_PE_S, 2, FALSE))/(VLOOKUP(Main_S[[#This Row],[Industry]], Mean_PE_S, 3, FALSE))</f>
        <v>0.67093101419453405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7" t="s">
        <v>105</v>
      </c>
      <c r="B105" s="67" t="s">
        <v>483</v>
      </c>
      <c r="C105" s="2">
        <v>692</v>
      </c>
      <c r="D105">
        <f>RTD("tos.rtd", , "LAST", Main_S[[#This Row],[Symbol]])</f>
        <v>23.45</v>
      </c>
      <c r="E105">
        <v>1.59</v>
      </c>
      <c r="F105">
        <v>25.07</v>
      </c>
      <c r="G105">
        <v>2.13</v>
      </c>
      <c r="H105" s="1">
        <f>IF(ISNUMBER(Main_S[[#This Row],[Free CF]]),IF(Main_S[[#This Row],[Free CF]]&lt;&gt;0,Main_S[[#This Row],[Current Price]]/Main_S[[#This Row],[Free CF]],""),"")</f>
        <v>14.748427672955973</v>
      </c>
      <c r="I105" s="1">
        <f>IF(ISNUMBER(Main_S[[#This Row],[BVPS]]),IF(Main_S[[#This Row],[BVPS]]&lt;&gt;0,Main_S[[#This Row],[Current Price]]/Main_S[[#This Row],[BVPS]],""),"")</f>
        <v>0.93538093338651773</v>
      </c>
      <c r="J105">
        <v>8.9</v>
      </c>
      <c r="K105">
        <v>0.85</v>
      </c>
      <c r="L105">
        <v>10.28</v>
      </c>
      <c r="M105" s="1">
        <f>IF(ISNUMBER(Main_S[[#This Row],[EPS]]),IF(Main_S[[#This Row],[EPS]]&lt;&gt;0,Main_S[[#This Row],[Current Price]]/Main_S[[#This Row],[EPS]],""),"")</f>
        <v>11.009389671361502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1.1500333921634192</v>
      </c>
      <c r="P105" s="1">
        <f>(Main_S[[#This Row],[P/B]]-VLOOKUP(Main_S[[#This Row],[Industry]], Mean_PB_S, 2, FALSE))/(VLOOKUP(Main_S[[#This Row],[Industry]], Mean_PB_S, 3, FALSE))</f>
        <v>-0.45551921887029678</v>
      </c>
      <c r="Q105" s="1">
        <f>(Main_S[[#This Row],[ROE]]-VLOOKUP(Main_S[[#This Row],[Industry]], Mean_ROE_S, 2, FALSE))/(VLOOKUP(Main_S[[#This Row],[Industry]], Mean_ROE_S, 3, FALSE))</f>
        <v>-8.0978146493577763E-2</v>
      </c>
      <c r="R105" s="1">
        <f>(Main_S[[#This Row],[ROA]]-VLOOKUP(Main_S[[#This Row],[Industry]], Mean_ROA_S, 2, FALSE))/(VLOOKUP(Main_S[[#This Row],[Industry]], Mean_ROA_S, 3, FALSE))</f>
        <v>-0.25894115173033971</v>
      </c>
      <c r="S105" s="1">
        <f>(Main_S[[#This Row],[A/E]]-VLOOKUP(Main_S[[#This Row],[Industry]], Mean_AE_S, 2, FALSE))/(VLOOKUP(Main_S[[#This Row],[Industry]], Mean_AE_S, 3, FALSE))</f>
        <v>0.40316168281001236</v>
      </c>
      <c r="T105" s="1">
        <f>(Main_S[[#This Row],[P/E]]-VLOOKUP(Main_S[[#This Row],[Industry]], Mean_PE_S, 2, FALSE))/(VLOOKUP(Main_S[[#This Row],[Industry]], Mean_PE_S, 3, FALSE))</f>
        <v>-0.38942255076203963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7" t="s">
        <v>105</v>
      </c>
      <c r="B106" s="67" t="s">
        <v>549</v>
      </c>
      <c r="C106" s="2">
        <v>328</v>
      </c>
      <c r="D106">
        <f>RTD("tos.rtd", , "LAST", Main_S[[#This Row],[Symbol]])</f>
        <v>19.355</v>
      </c>
      <c r="E106">
        <v>1.55</v>
      </c>
      <c r="F106">
        <v>14.06</v>
      </c>
      <c r="G106">
        <v>1.53</v>
      </c>
      <c r="H106" s="1">
        <f>IF(ISNUMBER(Main_S[[#This Row],[Free CF]]),IF(Main_S[[#This Row],[Free CF]]&lt;&gt;0,Main_S[[#This Row],[Current Price]]/Main_S[[#This Row],[Free CF]],""),"")</f>
        <v>12.487096774193548</v>
      </c>
      <c r="I106" s="1">
        <f>IF(ISNUMBER(Main_S[[#This Row],[BVPS]]),IF(Main_S[[#This Row],[BVPS]]&lt;&gt;0,Main_S[[#This Row],[Current Price]]/Main_S[[#This Row],[BVPS]],""),"")</f>
        <v>1.3766002844950214</v>
      </c>
      <c r="J106">
        <v>11.3</v>
      </c>
      <c r="K106">
        <v>0.66</v>
      </c>
      <c r="L106">
        <v>16.760000000000002</v>
      </c>
      <c r="M106" s="1">
        <f>IF(ISNUMBER(Main_S[[#This Row],[EPS]]),IF(Main_S[[#This Row],[EPS]]&lt;&gt;0,Main_S[[#This Row],[Current Price]]/Main_S[[#This Row],[EPS]],""),"")</f>
        <v>12.65032679738562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0.5768747979925839</v>
      </c>
      <c r="P106" s="1">
        <f>(Main_S[[#This Row],[P/B]]-VLOOKUP(Main_S[[#This Row],[Industry]], Mean_PB_S, 2, FALSE))/(VLOOKUP(Main_S[[#This Row],[Industry]], Mean_PB_S, 3, FALSE))</f>
        <v>1.1362483707809929</v>
      </c>
      <c r="Q106" s="1">
        <f>(Main_S[[#This Row],[ROE]]-VLOOKUP(Main_S[[#This Row],[Industry]], Mean_ROE_S, 2, FALSE))/(VLOOKUP(Main_S[[#This Row],[Industry]], Mean_ROE_S, 3, FALSE))</f>
        <v>0.49966515577148424</v>
      </c>
      <c r="R106" s="1">
        <f>(Main_S[[#This Row],[ROA]]-VLOOKUP(Main_S[[#This Row],[Industry]], Mean_ROA_S, 2, FALSE))/(VLOOKUP(Main_S[[#This Row],[Industry]], Mean_ROA_S, 3, FALSE))</f>
        <v>-0.69050973794757387</v>
      </c>
      <c r="S106" s="1">
        <f>(Main_S[[#This Row],[A/E]]-VLOOKUP(Main_S[[#This Row],[Industry]], Mean_AE_S, 2, FALSE))/(VLOOKUP(Main_S[[#This Row],[Industry]], Mean_AE_S, 3, FALSE))</f>
        <v>4.1266277516924248</v>
      </c>
      <c r="T106" s="1">
        <f>(Main_S[[#This Row],[P/E]]-VLOOKUP(Main_S[[#This Row],[Industry]], Mean_PE_S, 2, FALSE))/(VLOOKUP(Main_S[[#This Row],[Industry]], Mean_PE_S, 3, FALSE))</f>
        <v>0.24644598970914081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7" t="s">
        <v>105</v>
      </c>
      <c r="B107" s="67" t="s">
        <v>480</v>
      </c>
      <c r="C107" s="2">
        <v>369</v>
      </c>
      <c r="D107">
        <f>RTD("tos.rtd", , "LAST", Main_S[[#This Row],[Symbol]])</f>
        <v>22.21</v>
      </c>
      <c r="E107">
        <v>1.48</v>
      </c>
      <c r="F107">
        <v>13.45</v>
      </c>
      <c r="G107">
        <v>1.67</v>
      </c>
      <c r="H107" s="1">
        <f>IF(ISNUMBER(Main_S[[#This Row],[Free CF]]),IF(Main_S[[#This Row],[Free CF]]&lt;&gt;0,Main_S[[#This Row],[Current Price]]/Main_S[[#This Row],[Free CF]],""),"")</f>
        <v>15.006756756756758</v>
      </c>
      <c r="I107" s="1">
        <f>IF(ISNUMBER(Main_S[[#This Row],[BVPS]]),IF(Main_S[[#This Row],[BVPS]]&lt;&gt;0,Main_S[[#This Row],[Current Price]]/Main_S[[#This Row],[BVPS]],""),"")</f>
        <v>1.6513011152416359</v>
      </c>
      <c r="J107">
        <v>13.33</v>
      </c>
      <c r="K107">
        <v>0.97</v>
      </c>
      <c r="L107">
        <v>13.13</v>
      </c>
      <c r="M107" s="1">
        <f>IF(ISNUMBER(Main_S[[#This Row],[EPS]]),IF(Main_S[[#This Row],[EPS]]&lt;&gt;0,Main_S[[#This Row],[Current Price]]/Main_S[[#This Row],[EPS]],""),"")</f>
        <v>13.299401197604791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1.2155096719001572</v>
      </c>
      <c r="P107" s="1">
        <f>(Main_S[[#This Row],[P/B]]-VLOOKUP(Main_S[[#This Row],[Industry]], Mean_PB_S, 2, FALSE))/(VLOOKUP(Main_S[[#This Row],[Industry]], Mean_PB_S, 3, FALSE))</f>
        <v>2.127274440091393</v>
      </c>
      <c r="Q107" s="1">
        <f>(Main_S[[#This Row],[ROE]]-VLOOKUP(Main_S[[#This Row],[Industry]], Mean_ROE_S, 2, FALSE))/(VLOOKUP(Main_S[[#This Row],[Industry]], Mean_ROE_S, 3, FALSE))</f>
        <v>0.99079261560401555</v>
      </c>
      <c r="R107" s="1">
        <f>(Main_S[[#This Row],[ROA]]-VLOOKUP(Main_S[[#This Row],[Industry]], Mean_ROA_S, 2, FALSE))/(VLOOKUP(Main_S[[#This Row],[Industry]], Mean_ROA_S, 3, FALSE))</f>
        <v>1.3628481670018691E-2</v>
      </c>
      <c r="S107" s="1">
        <f>(Main_S[[#This Row],[A/E]]-VLOOKUP(Main_S[[#This Row],[Industry]], Mean_AE_S, 2, FALSE))/(VLOOKUP(Main_S[[#This Row],[Industry]], Mean_AE_S, 3, FALSE))</f>
        <v>2.0407972223647772</v>
      </c>
      <c r="T107" s="1">
        <f>(Main_S[[#This Row],[P/E]]-VLOOKUP(Main_S[[#This Row],[Industry]], Mean_PE_S, 2, FALSE))/(VLOOKUP(Main_S[[#This Row],[Industry]], Mean_PE_S, 3, FALSE))</f>
        <v>0.49796445740605882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7" t="s">
        <v>105</v>
      </c>
      <c r="B108" s="67" t="s">
        <v>474</v>
      </c>
      <c r="C108" s="2">
        <v>498</v>
      </c>
      <c r="D108">
        <f>RTD("tos.rtd", , "LAST", Main_S[[#This Row],[Symbol]])</f>
        <v>13.31</v>
      </c>
      <c r="E108">
        <v>1.47</v>
      </c>
      <c r="F108">
        <v>11.41</v>
      </c>
      <c r="G108">
        <v>1.28</v>
      </c>
      <c r="H108" s="1">
        <f>IF(ISNUMBER(Main_S[[#This Row],[Free CF]]),IF(Main_S[[#This Row],[Free CF]]&lt;&gt;0,Main_S[[#This Row],[Current Price]]/Main_S[[#This Row],[Free CF]],""),"")</f>
        <v>9.0544217687074831</v>
      </c>
      <c r="I108" s="1">
        <f>IF(ISNUMBER(Main_S[[#This Row],[BVPS]]),IF(Main_S[[#This Row],[BVPS]]&lt;&gt;0,Main_S[[#This Row],[Current Price]]/Main_S[[#This Row],[BVPS]],""),"")</f>
        <v>1.1665205959684488</v>
      </c>
      <c r="J108">
        <v>11.69</v>
      </c>
      <c r="K108">
        <v>0.94</v>
      </c>
      <c r="L108">
        <v>12.02</v>
      </c>
      <c r="M108" s="1">
        <f>IF(ISNUMBER(Main_S[[#This Row],[EPS]]),IF(Main_S[[#This Row],[EPS]]&lt;&gt;0,Main_S[[#This Row],[Current Price]]/Main_S[[#This Row],[EPS]],""),"")</f>
        <v>10.3984375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-0.29317353569732729</v>
      </c>
      <c r="P108" s="1">
        <f>(Main_S[[#This Row],[P/B]]-VLOOKUP(Main_S[[#This Row],[Industry]], Mean_PB_S, 2, FALSE))/(VLOOKUP(Main_S[[#This Row],[Industry]], Mean_PB_S, 3, FALSE))</f>
        <v>0.37835314564975953</v>
      </c>
      <c r="Q108" s="1">
        <f>(Main_S[[#This Row],[ROE]]-VLOOKUP(Main_S[[#This Row],[Industry]], Mean_ROE_S, 2, FALSE))/(VLOOKUP(Main_S[[#This Row],[Industry]], Mean_ROE_S, 3, FALSE))</f>
        <v>0.59401969238955654</v>
      </c>
      <c r="R108" s="1">
        <f>(Main_S[[#This Row],[ROA]]-VLOOKUP(Main_S[[#This Row],[Industry]], Mean_ROA_S, 2, FALSE))/(VLOOKUP(Main_S[[#This Row],[Industry]], Mean_ROA_S, 3, FALSE))</f>
        <v>-5.4513926680070983E-2</v>
      </c>
      <c r="S108" s="1">
        <f>(Main_S[[#This Row],[A/E]]-VLOOKUP(Main_S[[#This Row],[Industry]], Mean_AE_S, 2, FALSE))/(VLOOKUP(Main_S[[#This Row],[Industry]], Mean_AE_S, 3, FALSE))</f>
        <v>1.4029812753802895</v>
      </c>
      <c r="T108" s="1">
        <f>(Main_S[[#This Row],[P/E]]-VLOOKUP(Main_S[[#This Row],[Industry]], Mean_PE_S, 2, FALSE))/(VLOOKUP(Main_S[[#This Row],[Industry]], Mean_PE_S, 3, FALSE))</f>
        <v>-0.62616852922777821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7" t="s">
        <v>105</v>
      </c>
      <c r="B109" s="67" t="s">
        <v>438</v>
      </c>
      <c r="C109" s="2">
        <v>402</v>
      </c>
      <c r="D109">
        <f>RTD("tos.rtd", , "LAST", Main_S[[#This Row],[Symbol]])</f>
        <v>15.16</v>
      </c>
      <c r="E109">
        <v>1.38</v>
      </c>
      <c r="F109">
        <v>14.6</v>
      </c>
      <c r="G109">
        <v>1.1000000000000001</v>
      </c>
      <c r="H109" s="1">
        <f>IF(ISNUMBER(Main_S[[#This Row],[Free CF]]),IF(Main_S[[#This Row],[Free CF]]&lt;&gt;0,Main_S[[#This Row],[Current Price]]/Main_S[[#This Row],[Free CF]],""),"")</f>
        <v>10.985507246376812</v>
      </c>
      <c r="I109" s="1">
        <f>IF(ISNUMBER(Main_S[[#This Row],[BVPS]]),IF(Main_S[[#This Row],[BVPS]]&lt;&gt;0,Main_S[[#This Row],[Current Price]]/Main_S[[#This Row],[BVPS]],""),"")</f>
        <v>1.0383561643835617</v>
      </c>
      <c r="J109">
        <v>7.67</v>
      </c>
      <c r="K109">
        <v>0.7</v>
      </c>
      <c r="L109">
        <v>12.76</v>
      </c>
      <c r="M109" s="1">
        <f>IF(ISNUMBER(Main_S[[#This Row],[EPS]]),IF(Main_S[[#This Row],[EPS]]&lt;&gt;0,Main_S[[#This Row],[Current Price]]/Main_S[[#This Row],[EPS]],""),"")</f>
        <v>13.781818181818181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0.19628081094889116</v>
      </c>
      <c r="P109" s="1">
        <f>(Main_S[[#This Row],[P/B]]-VLOOKUP(Main_S[[#This Row],[Industry]], Mean_PB_S, 2, FALSE))/(VLOOKUP(Main_S[[#This Row],[Industry]], Mean_PB_S, 3, FALSE))</f>
        <v>-8.4020020509795915E-2</v>
      </c>
      <c r="Q109" s="1">
        <f>(Main_S[[#This Row],[ROE]]-VLOOKUP(Main_S[[#This Row],[Industry]], Mean_ROE_S, 2, FALSE))/(VLOOKUP(Main_S[[#This Row],[Industry]], Mean_ROE_S, 3, FALSE))</f>
        <v>-0.37855783890442207</v>
      </c>
      <c r="R109" s="1">
        <f>(Main_S[[#This Row],[ROA]]-VLOOKUP(Main_S[[#This Row],[Industry]], Mean_ROA_S, 2, FALSE))/(VLOOKUP(Main_S[[#This Row],[Industry]], Mean_ROA_S, 3, FALSE))</f>
        <v>-0.59965319348078783</v>
      </c>
      <c r="S109" s="1">
        <f>(Main_S[[#This Row],[A/E]]-VLOOKUP(Main_S[[#This Row],[Industry]], Mean_AE_S, 2, FALSE))/(VLOOKUP(Main_S[[#This Row],[Industry]], Mean_AE_S, 3, FALSE))</f>
        <v>1.828191906703281</v>
      </c>
      <c r="T109" s="1">
        <f>(Main_S[[#This Row],[P/E]]-VLOOKUP(Main_S[[#This Row],[Industry]], Mean_PE_S, 2, FALSE))/(VLOOKUP(Main_S[[#This Row],[Industry]], Mean_PE_S, 3, FALSE))</f>
        <v>0.68490262754394904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7" t="s">
        <v>105</v>
      </c>
      <c r="B110" s="67" t="s">
        <v>539</v>
      </c>
      <c r="C110" s="2">
        <v>1368</v>
      </c>
      <c r="D110">
        <f>RTD("tos.rtd", , "LAST", Main_S[[#This Row],[Symbol]])</f>
        <v>60.12</v>
      </c>
      <c r="E110">
        <v>1.36</v>
      </c>
      <c r="F110">
        <v>36.32</v>
      </c>
      <c r="G110">
        <v>0.37</v>
      </c>
      <c r="H110" s="1">
        <f>IF(ISNUMBER(Main_S[[#This Row],[Free CF]]),IF(Main_S[[#This Row],[Free CF]]&lt;&gt;0,Main_S[[#This Row],[Current Price]]/Main_S[[#This Row],[Free CF]],""),"")</f>
        <v>44.205882352941174</v>
      </c>
      <c r="I110" s="1">
        <f>IF(ISNUMBER(Main_S[[#This Row],[BVPS]]),IF(Main_S[[#This Row],[BVPS]]&lt;&gt;0,Main_S[[#This Row],[Current Price]]/Main_S[[#This Row],[BVPS]],""),"")</f>
        <v>1.6552863436123346</v>
      </c>
      <c r="J110">
        <v>1.35</v>
      </c>
      <c r="K110">
        <v>0.2</v>
      </c>
      <c r="L110">
        <v>7.38</v>
      </c>
      <c r="M110" s="1">
        <f>IF(ISNUMBER(Main_S[[#This Row],[EPS]]),IF(Main_S[[#This Row],[EPS]]&lt;&gt;0,Main_S[[#This Row],[Current Price]]/Main_S[[#This Row],[EPS]],""),"")</f>
        <v>162.48648648648648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8.6163415390478608</v>
      </c>
      <c r="P110" s="1">
        <f>(Main_S[[#This Row],[P/B]]-VLOOKUP(Main_S[[#This Row],[Industry]], Mean_PB_S, 2, FALSE))/(VLOOKUP(Main_S[[#This Row],[Industry]], Mean_PB_S, 3, FALSE))</f>
        <v>2.1416517726854862</v>
      </c>
      <c r="Q110" s="1">
        <f>(Main_S[[#This Row],[ROE]]-VLOOKUP(Main_S[[#This Row],[Industry]], Mean_ROE_S, 2, FALSE))/(VLOOKUP(Main_S[[#This Row],[Industry]], Mean_ROE_S, 3, FALSE))</f>
        <v>-1.907585201535752</v>
      </c>
      <c r="R110" s="1">
        <f>(Main_S[[#This Row],[ROA]]-VLOOKUP(Main_S[[#This Row],[Industry]], Mean_ROA_S, 2, FALSE))/(VLOOKUP(Main_S[[#This Row],[Industry]], Mean_ROA_S, 3, FALSE))</f>
        <v>-1.7353599993156144</v>
      </c>
      <c r="S110" s="1">
        <f>(Main_S[[#This Row],[A/E]]-VLOOKUP(Main_S[[#This Row],[Industry]], Mean_AE_S, 2, FALSE))/(VLOOKUP(Main_S[[#This Row],[Industry]], Mean_AE_S, 3, FALSE))</f>
        <v>-1.2632043048071158</v>
      </c>
      <c r="T110" s="1">
        <f>(Main_S[[#This Row],[P/E]]-VLOOKUP(Main_S[[#This Row],[Industry]], Mean_PE_S, 2, FALSE))/(VLOOKUP(Main_S[[#This Row],[Industry]], Mean_PE_S, 3, FALSE))</f>
        <v>58.308451328184816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1" spans="1:26" x14ac:dyDescent="0.25">
      <c r="A111" s="67" t="s">
        <v>105</v>
      </c>
      <c r="B111" s="67" t="s">
        <v>510</v>
      </c>
      <c r="C111" s="2">
        <v>1569</v>
      </c>
      <c r="D111">
        <f>RTD("tos.rtd", , "LAST", Main_S[[#This Row],[Symbol]])</f>
        <v>12.43</v>
      </c>
      <c r="E111">
        <v>1.3</v>
      </c>
      <c r="F111">
        <v>12.75</v>
      </c>
      <c r="G111">
        <v>0.9</v>
      </c>
      <c r="H111" s="1">
        <f>IF(ISNUMBER(Main_S[[#This Row],[Free CF]]),IF(Main_S[[#This Row],[Free CF]]&lt;&gt;0,Main_S[[#This Row],[Current Price]]/Main_S[[#This Row],[Free CF]],""),"")</f>
        <v>9.5615384615384613</v>
      </c>
      <c r="I111" s="1">
        <f>IF(ISNUMBER(Main_S[[#This Row],[BVPS]]),IF(Main_S[[#This Row],[BVPS]]&lt;&gt;0,Main_S[[#This Row],[Current Price]]/Main_S[[#This Row],[BVPS]],""),"")</f>
        <v>0.97490196078431368</v>
      </c>
      <c r="J111">
        <v>7.2</v>
      </c>
      <c r="K111">
        <v>0.79</v>
      </c>
      <c r="L111">
        <v>8.8699999999999992</v>
      </c>
      <c r="M111" s="1">
        <f>IF(ISNUMBER(Main_S[[#This Row],[EPS]]),IF(Main_S[[#This Row],[EPS]]&lt;&gt;0,Main_S[[#This Row],[Current Price]]/Main_S[[#This Row],[EPS]],""),"")</f>
        <v>13.81111111111111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-0.16463936544270533</v>
      </c>
      <c r="P111" s="1">
        <f>(Main_S[[#This Row],[P/B]]-VLOOKUP(Main_S[[#This Row],[Industry]], Mean_PB_S, 2, FALSE))/(VLOOKUP(Main_S[[#This Row],[Industry]], Mean_PB_S, 3, FALSE))</f>
        <v>-0.31294095170344721</v>
      </c>
      <c r="Q111" s="1">
        <f>(Main_S[[#This Row],[ROE]]-VLOOKUP(Main_S[[#This Row],[Industry]], Mean_ROE_S, 2, FALSE))/(VLOOKUP(Main_S[[#This Row],[Industry]], Mean_ROE_S, 3, FALSE))</f>
        <v>-0.49226715226466333</v>
      </c>
      <c r="R111" s="1">
        <f>(Main_S[[#This Row],[ROA]]-VLOOKUP(Main_S[[#This Row],[Industry]], Mean_ROA_S, 2, FALSE))/(VLOOKUP(Main_S[[#This Row],[Industry]], Mean_ROA_S, 3, FALSE))</f>
        <v>-0.39522596843051883</v>
      </c>
      <c r="S111" s="1">
        <f>(Main_S[[#This Row],[A/E]]-VLOOKUP(Main_S[[#This Row],[Industry]], Mean_AE_S, 2, FALSE))/(VLOOKUP(Main_S[[#This Row],[Industry]], Mean_AE_S, 3, FALSE))</f>
        <v>-0.40703695254866051</v>
      </c>
      <c r="T111" s="1">
        <f>(Main_S[[#This Row],[P/E]]-VLOOKUP(Main_S[[#This Row],[Industry]], Mean_PE_S, 2, FALSE))/(VLOOKUP(Main_S[[#This Row],[Industry]], Mean_PE_S, 3, FALSE))</f>
        <v>0.69625373411605196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7" t="s">
        <v>105</v>
      </c>
      <c r="B112" s="67" t="s">
        <v>456</v>
      </c>
      <c r="C112" s="2">
        <v>339</v>
      </c>
      <c r="D112">
        <f>RTD("tos.rtd", , "LAST", Main_S[[#This Row],[Symbol]])</f>
        <v>18.260000000000002</v>
      </c>
      <c r="E112">
        <v>1.29</v>
      </c>
      <c r="F112">
        <v>19.53</v>
      </c>
      <c r="G112">
        <v>0.65</v>
      </c>
      <c r="H112" s="1">
        <f>IF(ISNUMBER(Main_S[[#This Row],[Free CF]]),IF(Main_S[[#This Row],[Free CF]]&lt;&gt;0,Main_S[[#This Row],[Current Price]]/Main_S[[#This Row],[Free CF]],""),"")</f>
        <v>14.155038759689923</v>
      </c>
      <c r="I112" s="1">
        <f>IF(ISNUMBER(Main_S[[#This Row],[BVPS]]),IF(Main_S[[#This Row],[BVPS]]&lt;&gt;0,Main_S[[#This Row],[Current Price]]/Main_S[[#This Row],[BVPS]],""),"")</f>
        <v>0.93497183819764462</v>
      </c>
      <c r="J112">
        <v>4.21</v>
      </c>
      <c r="K112">
        <v>0.41</v>
      </c>
      <c r="L112">
        <v>9.5500000000000007</v>
      </c>
      <c r="M112" s="1">
        <f>IF(ISNUMBER(Main_S[[#This Row],[EPS]]),IF(Main_S[[#This Row],[EPS]]&lt;&gt;0,Main_S[[#This Row],[Current Price]]/Main_S[[#This Row],[EPS]],""),"")</f>
        <v>28.092307692307692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0.99963260141215793</v>
      </c>
      <c r="P112" s="1">
        <f>(Main_S[[#This Row],[P/B]]-VLOOKUP(Main_S[[#This Row],[Industry]], Mean_PB_S, 2, FALSE))/(VLOOKUP(Main_S[[#This Row],[Industry]], Mean_PB_S, 3, FALSE))</f>
        <v>-0.45699509353693252</v>
      </c>
      <c r="Q112" s="1">
        <f>(Main_S[[#This Row],[ROE]]-VLOOKUP(Main_S[[#This Row],[Industry]], Mean_ROE_S, 2, FALSE))/(VLOOKUP(Main_S[[#This Row],[Industry]], Mean_ROE_S, 3, FALSE))</f>
        <v>-1.2156519330032196</v>
      </c>
      <c r="R112" s="1">
        <f>(Main_S[[#This Row],[ROA]]-VLOOKUP(Main_S[[#This Row],[Industry]], Mean_ROA_S, 2, FALSE))/(VLOOKUP(Main_S[[#This Row],[Industry]], Mean_ROA_S, 3, FALSE))</f>
        <v>-1.2583631408649871</v>
      </c>
      <c r="S112" s="1">
        <f>(Main_S[[#This Row],[A/E]]-VLOOKUP(Main_S[[#This Row],[Industry]], Mean_AE_S, 2, FALSE))/(VLOOKUP(Main_S[[#This Row],[Industry]], Mean_AE_S, 3, FALSE))</f>
        <v>-1.6302858900505413E-2</v>
      </c>
      <c r="T112" s="1">
        <f>(Main_S[[#This Row],[P/E]]-VLOOKUP(Main_S[[#This Row],[Industry]], Mean_PE_S, 2, FALSE))/(VLOOKUP(Main_S[[#This Row],[Industry]], Mean_PE_S, 3, FALSE))</f>
        <v>6.2302644419303448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3" spans="1:26" x14ac:dyDescent="0.25">
      <c r="A113" s="67" t="s">
        <v>105</v>
      </c>
      <c r="B113" s="67" t="s">
        <v>467</v>
      </c>
      <c r="C113" s="2">
        <v>1639</v>
      </c>
      <c r="D113">
        <f>RTD("tos.rtd", , "LAST", Main_S[[#This Row],[Symbol]])</f>
        <v>15.88</v>
      </c>
      <c r="E113">
        <v>1.28</v>
      </c>
      <c r="F113">
        <v>14.24</v>
      </c>
      <c r="G113">
        <v>1.34</v>
      </c>
      <c r="H113" s="1">
        <f>IF(ISNUMBER(Main_S[[#This Row],[Free CF]]),IF(Main_S[[#This Row],[Free CF]]&lt;&gt;0,Main_S[[#This Row],[Current Price]]/Main_S[[#This Row],[Free CF]],""),"")</f>
        <v>12.40625</v>
      </c>
      <c r="I113" s="1">
        <f>IF(ISNUMBER(Main_S[[#This Row],[BVPS]]),IF(Main_S[[#This Row],[BVPS]]&lt;&gt;0,Main_S[[#This Row],[Current Price]]/Main_S[[#This Row],[BVPS]],""),"")</f>
        <v>1.1151685393258428</v>
      </c>
      <c r="J113">
        <v>9.91</v>
      </c>
      <c r="K113">
        <v>1.17</v>
      </c>
      <c r="L113">
        <v>8.15</v>
      </c>
      <c r="M113" s="1">
        <f>IF(ISNUMBER(Main_S[[#This Row],[EPS]]),IF(Main_S[[#This Row],[EPS]]&lt;&gt;0,Main_S[[#This Row],[Current Price]]/Main_S[[#This Row],[EPS]],""),"")</f>
        <v>11.850746268656716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0.55638331509400385</v>
      </c>
      <c r="P113" s="1">
        <f>(Main_S[[#This Row],[P/B]]-VLOOKUP(Main_S[[#This Row],[Industry]], Mean_PB_S, 2, FALSE))/(VLOOKUP(Main_S[[#This Row],[Industry]], Mean_PB_S, 3, FALSE))</f>
        <v>0.19309259617414049</v>
      </c>
      <c r="Q113" s="1">
        <f>(Main_S[[#This Row],[ROE]]-VLOOKUP(Main_S[[#This Row],[Industry]], Mean_ROE_S, 2, FALSE))/(VLOOKUP(Main_S[[#This Row],[Industry]], Mean_ROE_S, 3, FALSE))</f>
        <v>0.16337590987630241</v>
      </c>
      <c r="R113" s="1">
        <f>(Main_S[[#This Row],[ROA]]-VLOOKUP(Main_S[[#This Row],[Industry]], Mean_ROA_S, 2, FALSE))/(VLOOKUP(Main_S[[#This Row],[Industry]], Mean_ROA_S, 3, FALSE))</f>
        <v>0.46791120400394931</v>
      </c>
      <c r="S113" s="1">
        <f>(Main_S[[#This Row],[A/E]]-VLOOKUP(Main_S[[#This Row],[Industry]], Mean_AE_S, 2, FALSE))/(VLOOKUP(Main_S[[#This Row],[Industry]], Mean_AE_S, 3, FALSE))</f>
        <v>-0.8207554046467056</v>
      </c>
      <c r="T113" s="1">
        <f>(Main_S[[#This Row],[P/E]]-VLOOKUP(Main_S[[#This Row],[Industry]], Mean_PE_S, 2, FALSE))/(VLOOKUP(Main_S[[#This Row],[Industry]], Mean_PE_S, 3, FALSE))</f>
        <v>-6.3394098450672495E-2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7" t="s">
        <v>105</v>
      </c>
      <c r="B114" s="67" t="s">
        <v>452</v>
      </c>
      <c r="C114" s="2">
        <v>884</v>
      </c>
      <c r="D114">
        <f>RTD("tos.rtd", , "LAST", Main_S[[#This Row],[Symbol]])</f>
        <v>23.15</v>
      </c>
      <c r="E114">
        <v>1.18</v>
      </c>
      <c r="F114">
        <v>29.77</v>
      </c>
      <c r="G114">
        <v>1.84</v>
      </c>
      <c r="H114" s="1">
        <f>IF(ISNUMBER(Main_S[[#This Row],[Free CF]]),IF(Main_S[[#This Row],[Free CF]]&lt;&gt;0,Main_S[[#This Row],[Current Price]]/Main_S[[#This Row],[Free CF]],""),"")</f>
        <v>19.618644067796609</v>
      </c>
      <c r="I114" s="1">
        <f>IF(ISNUMBER(Main_S[[#This Row],[BVPS]]),IF(Main_S[[#This Row],[BVPS]]&lt;&gt;0,Main_S[[#This Row],[Current Price]]/Main_S[[#This Row],[BVPS]],""),"")</f>
        <v>0.77762848505206583</v>
      </c>
      <c r="J114">
        <v>6.22</v>
      </c>
      <c r="K114">
        <v>0.78</v>
      </c>
      <c r="L114">
        <v>8.5500000000000007</v>
      </c>
      <c r="M114" s="1">
        <f>IF(ISNUMBER(Main_S[[#This Row],[EPS]]),IF(Main_S[[#This Row],[EPS]]&lt;&gt;0,Main_S[[#This Row],[Current Price]]/Main_S[[#This Row],[EPS]],""),"")</f>
        <v>12.581521739130434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2.3844420245764311</v>
      </c>
      <c r="P114" s="1">
        <f>(Main_S[[#This Row],[P/B]]-VLOOKUP(Main_S[[#This Row],[Industry]], Mean_PB_S, 2, FALSE))/(VLOOKUP(Main_S[[#This Row],[Industry]], Mean_PB_S, 3, FALSE))</f>
        <v>-1.0246357678522313</v>
      </c>
      <c r="Q114" s="1">
        <f>(Main_S[[#This Row],[ROE]]-VLOOKUP(Main_S[[#This Row],[Industry]], Mean_ROE_S, 2, FALSE))/(VLOOKUP(Main_S[[#This Row],[Industry]], Mean_ROE_S, 3, FALSE))</f>
        <v>-0.72936316735623041</v>
      </c>
      <c r="R114" s="1">
        <f>(Main_S[[#This Row],[ROA]]-VLOOKUP(Main_S[[#This Row],[Industry]], Mean_ROA_S, 2, FALSE))/(VLOOKUP(Main_S[[#This Row],[Industry]], Mean_ROA_S, 3, FALSE))</f>
        <v>-0.41794010454721536</v>
      </c>
      <c r="S114" s="1">
        <f>(Main_S[[#This Row],[A/E]]-VLOOKUP(Main_S[[#This Row],[Industry]], Mean_AE_S, 2, FALSE))/(VLOOKUP(Main_S[[#This Row],[Industry]], Mean_AE_S, 3, FALSE))</f>
        <v>-0.59091182014779109</v>
      </c>
      <c r="T114" s="1">
        <f>(Main_S[[#This Row],[P/E]]-VLOOKUP(Main_S[[#This Row],[Industry]], Mean_PE_S, 2, FALSE))/(VLOOKUP(Main_S[[#This Row],[Industry]], Mean_PE_S, 3, FALSE))</f>
        <v>0.21978380303793921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7" t="s">
        <v>105</v>
      </c>
      <c r="B115" s="67" t="s">
        <v>434</v>
      </c>
      <c r="C115" s="2">
        <v>920</v>
      </c>
      <c r="D115">
        <f>RTD("tos.rtd", , "LAST", Main_S[[#This Row],[Symbol]])</f>
        <v>10.52</v>
      </c>
      <c r="E115">
        <v>1.1399999999999999</v>
      </c>
      <c r="F115">
        <v>13.92</v>
      </c>
      <c r="G115">
        <v>0.82</v>
      </c>
      <c r="H115" s="1">
        <f>IF(ISNUMBER(Main_S[[#This Row],[Free CF]]),IF(Main_S[[#This Row],[Free CF]]&lt;&gt;0,Main_S[[#This Row],[Current Price]]/Main_S[[#This Row],[Free CF]],""),"")</f>
        <v>9.2280701754385976</v>
      </c>
      <c r="I115" s="1">
        <f>IF(ISNUMBER(Main_S[[#This Row],[BVPS]]),IF(Main_S[[#This Row],[BVPS]]&lt;&gt;0,Main_S[[#This Row],[Current Price]]/Main_S[[#This Row],[BVPS]],""),"")</f>
        <v>0.75574712643678155</v>
      </c>
      <c r="J115">
        <v>6.01</v>
      </c>
      <c r="K115">
        <v>0.63</v>
      </c>
      <c r="L115">
        <v>9.2899999999999991</v>
      </c>
      <c r="M115" s="1">
        <f>IF(ISNUMBER(Main_S[[#This Row],[EPS]]),IF(Main_S[[#This Row],[EPS]]&lt;&gt;0,Main_S[[#This Row],[Current Price]]/Main_S[[#This Row],[EPS]],""),"")</f>
        <v>12.829268292682928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-0.24916048270429539</v>
      </c>
      <c r="P115" s="1">
        <f>(Main_S[[#This Row],[P/B]]-VLOOKUP(Main_S[[#This Row],[Industry]], Mean_PB_S, 2, FALSE))/(VLOOKUP(Main_S[[#This Row],[Industry]], Mean_PB_S, 3, FALSE))</f>
        <v>-1.103576180084471</v>
      </c>
      <c r="Q115" s="1">
        <f>(Main_S[[#This Row],[ROE]]-VLOOKUP(Main_S[[#This Row],[Industry]], Mean_ROE_S, 2, FALSE))/(VLOOKUP(Main_S[[#This Row],[Industry]], Mean_ROE_S, 3, FALSE))</f>
        <v>-0.78016945630442325</v>
      </c>
      <c r="R115" s="1">
        <f>(Main_S[[#This Row],[ROA]]-VLOOKUP(Main_S[[#This Row],[Industry]], Mean_ROA_S, 2, FALSE))/(VLOOKUP(Main_S[[#This Row],[Industry]], Mean_ROA_S, 3, FALSE))</f>
        <v>-0.75865214629766353</v>
      </c>
      <c r="S115" s="1">
        <f>(Main_S[[#This Row],[A/E]]-VLOOKUP(Main_S[[#This Row],[Industry]], Mean_AE_S, 2, FALSE))/(VLOOKUP(Main_S[[#This Row],[Industry]], Mean_AE_S, 3, FALSE))</f>
        <v>-0.16570118882480059</v>
      </c>
      <c r="T115" s="1">
        <f>(Main_S[[#This Row],[P/E]]-VLOOKUP(Main_S[[#This Row],[Industry]], Mean_PE_S, 2, FALSE))/(VLOOKUP(Main_S[[#This Row],[Industry]], Mean_PE_S, 3, FALSE))</f>
        <v>0.31578640844908279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7" t="s">
        <v>105</v>
      </c>
      <c r="B116" s="67" t="s">
        <v>476</v>
      </c>
      <c r="C116" s="2">
        <v>363</v>
      </c>
      <c r="D116">
        <f>RTD("tos.rtd", , "LAST", Main_S[[#This Row],[Symbol]])</f>
        <v>14.94</v>
      </c>
      <c r="E116">
        <v>0.98</v>
      </c>
      <c r="F116">
        <v>16.57</v>
      </c>
      <c r="G116">
        <v>1.54</v>
      </c>
      <c r="H116" s="1">
        <f>IF(ISNUMBER(Main_S[[#This Row],[Free CF]]),IF(Main_S[[#This Row],[Free CF]]&lt;&gt;0,Main_S[[#This Row],[Current Price]]/Main_S[[#This Row],[Free CF]],""),"")</f>
        <v>15.244897959183673</v>
      </c>
      <c r="I116" s="1">
        <f>IF(ISNUMBER(Main_S[[#This Row],[BVPS]]),IF(Main_S[[#This Row],[BVPS]]&lt;&gt;0,Main_S[[#This Row],[Current Price]]/Main_S[[#This Row],[BVPS]],""),"")</f>
        <v>0.90162945081472534</v>
      </c>
      <c r="J116">
        <v>9.81</v>
      </c>
      <c r="K116">
        <v>1.05</v>
      </c>
      <c r="L116">
        <v>9.35</v>
      </c>
      <c r="M116" s="1">
        <f>IF(ISNUMBER(Main_S[[#This Row],[EPS]]),IF(Main_S[[#This Row],[EPS]]&lt;&gt;0,Main_S[[#This Row],[Current Price]]/Main_S[[#This Row],[EPS]],""),"")</f>
        <v>9.7012987012987004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1.2758691163635314</v>
      </c>
      <c r="P116" s="1">
        <f>(Main_S[[#This Row],[P/B]]-VLOOKUP(Main_S[[#This Row],[Industry]], Mean_PB_S, 2, FALSE))/(VLOOKUP(Main_S[[#This Row],[Industry]], Mean_PB_S, 3, FALSE))</f>
        <v>-0.57728295367812865</v>
      </c>
      <c r="Q116" s="1">
        <f>(Main_S[[#This Row],[ROE]]-VLOOKUP(Main_S[[#This Row],[Industry]], Mean_ROE_S, 2, FALSE))/(VLOOKUP(Main_S[[#This Row],[Industry]], Mean_ROE_S, 3, FALSE))</f>
        <v>0.13918243894859159</v>
      </c>
      <c r="R116" s="1">
        <f>(Main_S[[#This Row],[ROA]]-VLOOKUP(Main_S[[#This Row],[Industry]], Mean_ROA_S, 2, FALSE))/(VLOOKUP(Main_S[[#This Row],[Industry]], Mean_ROA_S, 3, FALSE))</f>
        <v>0.19534157060359114</v>
      </c>
      <c r="S116" s="1">
        <f>(Main_S[[#This Row],[A/E]]-VLOOKUP(Main_S[[#This Row],[Industry]], Mean_AE_S, 2, FALSE))/(VLOOKUP(Main_S[[#This Row],[Industry]], Mean_AE_S, 3, FALSE))</f>
        <v>-0.13122465114996315</v>
      </c>
      <c r="T116" s="1">
        <f>(Main_S[[#This Row],[P/E]]-VLOOKUP(Main_S[[#This Row],[Industry]], Mean_PE_S, 2, FALSE))/(VLOOKUP(Main_S[[#This Row],[Industry]], Mean_PE_S, 3, FALSE))</f>
        <v>-0.89631210962813535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7" t="s">
        <v>105</v>
      </c>
      <c r="B117" s="67" t="s">
        <v>517</v>
      </c>
      <c r="C117" s="2">
        <v>287</v>
      </c>
      <c r="D117">
        <f>RTD("tos.rtd", , "LAST", Main_S[[#This Row],[Symbol]])</f>
        <v>11.41</v>
      </c>
      <c r="E117">
        <v>0.97</v>
      </c>
      <c r="F117">
        <v>12.35</v>
      </c>
      <c r="G117">
        <v>0.8</v>
      </c>
      <c r="H117" s="1">
        <f>IF(ISNUMBER(Main_S[[#This Row],[Free CF]]),IF(Main_S[[#This Row],[Free CF]]&lt;&gt;0,Main_S[[#This Row],[Current Price]]/Main_S[[#This Row],[Free CF]],""),"")</f>
        <v>11.762886597938145</v>
      </c>
      <c r="I117" s="1">
        <f>IF(ISNUMBER(Main_S[[#This Row],[BVPS]]),IF(Main_S[[#This Row],[BVPS]]&lt;&gt;0,Main_S[[#This Row],[Current Price]]/Main_S[[#This Row],[BVPS]],""),"")</f>
        <v>0.9238866396761134</v>
      </c>
      <c r="J117">
        <v>6.31</v>
      </c>
      <c r="K117">
        <v>0.91</v>
      </c>
      <c r="L117">
        <v>6.66</v>
      </c>
      <c r="M117" s="1">
        <f>IF(ISNUMBER(Main_S[[#This Row],[EPS]]),IF(Main_S[[#This Row],[EPS]]&lt;&gt;0,Main_S[[#This Row],[Current Price]]/Main_S[[#This Row],[EPS]],""),"")</f>
        <v>14.262499999999999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0.3933159536262299</v>
      </c>
      <c r="P117" s="1">
        <f>(Main_S[[#This Row],[P/B]]-VLOOKUP(Main_S[[#This Row],[Industry]], Mean_PB_S, 2, FALSE))/(VLOOKUP(Main_S[[#This Row],[Industry]], Mean_PB_S, 3, FALSE))</f>
        <v>-0.49698667524587836</v>
      </c>
      <c r="Q117" s="1">
        <f>(Main_S[[#This Row],[ROE]]-VLOOKUP(Main_S[[#This Row],[Industry]], Mean_ROE_S, 2, FALSE))/(VLOOKUP(Main_S[[#This Row],[Industry]], Mean_ROE_S, 3, FALSE))</f>
        <v>-0.70758904352129059</v>
      </c>
      <c r="R117" s="1">
        <f>(Main_S[[#This Row],[ROA]]-VLOOKUP(Main_S[[#This Row],[Industry]], Mean_ROA_S, 2, FALSE))/(VLOOKUP(Main_S[[#This Row],[Industry]], Mean_ROA_S, 3, FALSE))</f>
        <v>-0.12265633503016039</v>
      </c>
      <c r="S117" s="1">
        <f>(Main_S[[#This Row],[A/E]]-VLOOKUP(Main_S[[#This Row],[Industry]], Mean_AE_S, 2, FALSE))/(VLOOKUP(Main_S[[#This Row],[Industry]], Mean_AE_S, 3, FALSE))</f>
        <v>-1.6769227569051612</v>
      </c>
      <c r="T117" s="1">
        <f>(Main_S[[#This Row],[P/E]]-VLOOKUP(Main_S[[#This Row],[Industry]], Mean_PE_S, 2, FALSE))/(VLOOKUP(Main_S[[#This Row],[Industry]], Mean_PE_S, 3, FALSE))</f>
        <v>0.87116841513014165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7" t="s">
        <v>105</v>
      </c>
      <c r="B118" s="67" t="s">
        <v>506</v>
      </c>
      <c r="C118" s="2">
        <v>498</v>
      </c>
      <c r="D118">
        <f>RTD("tos.rtd", , "LAST", Main_S[[#This Row],[Symbol]])</f>
        <v>12.02</v>
      </c>
      <c r="E118">
        <v>0.86</v>
      </c>
      <c r="F118">
        <v>16.66</v>
      </c>
      <c r="G118">
        <v>0.76</v>
      </c>
      <c r="H118" s="1">
        <f>IF(ISNUMBER(Main_S[[#This Row],[Free CF]]),IF(Main_S[[#This Row],[Free CF]]&lt;&gt;0,Main_S[[#This Row],[Current Price]]/Main_S[[#This Row],[Free CF]],""),"")</f>
        <v>13.976744186046512</v>
      </c>
      <c r="I118" s="1">
        <f>IF(ISNUMBER(Main_S[[#This Row],[BVPS]]),IF(Main_S[[#This Row],[BVPS]]&lt;&gt;0,Main_S[[#This Row],[Current Price]]/Main_S[[#This Row],[BVPS]],""),"")</f>
        <v>0.72148859543817523</v>
      </c>
      <c r="J118">
        <v>4.4800000000000004</v>
      </c>
      <c r="K118">
        <v>0.55000000000000004</v>
      </c>
      <c r="L118">
        <v>8.0299999999999994</v>
      </c>
      <c r="M118" s="1">
        <f>IF(ISNUMBER(Main_S[[#This Row],[EPS]]),IF(Main_S[[#This Row],[EPS]]&lt;&gt;0,Main_S[[#This Row],[Current Price]]/Main_S[[#This Row],[EPS]],""),"")</f>
        <v>15.815789473684211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0.95444192753348189</v>
      </c>
      <c r="P118" s="1">
        <f>(Main_S[[#This Row],[P/B]]-VLOOKUP(Main_S[[#This Row],[Industry]], Mean_PB_S, 2, FALSE))/(VLOOKUP(Main_S[[#This Row],[Industry]], Mean_PB_S, 3, FALSE))</f>
        <v>-1.2271691711344834</v>
      </c>
      <c r="Q118" s="1">
        <f>(Main_S[[#This Row],[ROE]]-VLOOKUP(Main_S[[#This Row],[Industry]], Mean_ROE_S, 2, FALSE))/(VLOOKUP(Main_S[[#This Row],[Industry]], Mean_ROE_S, 3, FALSE))</f>
        <v>-1.1503295614984002</v>
      </c>
      <c r="R118" s="1">
        <f>(Main_S[[#This Row],[ROA]]-VLOOKUP(Main_S[[#This Row],[Industry]], Mean_ROA_S, 2, FALSE))/(VLOOKUP(Main_S[[#This Row],[Industry]], Mean_ROA_S, 3, FALSE))</f>
        <v>-0.94036523523123572</v>
      </c>
      <c r="S118" s="1">
        <f>(Main_S[[#This Row],[A/E]]-VLOOKUP(Main_S[[#This Row],[Industry]], Mean_AE_S, 2, FALSE))/(VLOOKUP(Main_S[[#This Row],[Industry]], Mean_AE_S, 3, FALSE))</f>
        <v>-0.88970847999638036</v>
      </c>
      <c r="T118" s="1">
        <f>(Main_S[[#This Row],[P/E]]-VLOOKUP(Main_S[[#This Row],[Industry]], Mean_PE_S, 2, FALSE))/(VLOOKUP(Main_S[[#This Row],[Industry]], Mean_PE_S, 3, FALSE))</f>
        <v>1.4730732016675332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7" t="s">
        <v>105</v>
      </c>
      <c r="B119" s="67" t="s">
        <v>489</v>
      </c>
      <c r="C119" s="2">
        <v>1286</v>
      </c>
      <c r="D119">
        <f>RTD("tos.rtd", , "LAST", Main_S[[#This Row],[Symbol]])</f>
        <v>10.33</v>
      </c>
      <c r="E119">
        <v>0.86</v>
      </c>
      <c r="F119">
        <v>17.84</v>
      </c>
      <c r="G119">
        <v>0.78</v>
      </c>
      <c r="H119" s="1">
        <f>IF(ISNUMBER(Main_S[[#This Row],[Free CF]]),IF(Main_S[[#This Row],[Free CF]]&lt;&gt;0,Main_S[[#This Row],[Current Price]]/Main_S[[#This Row],[Free CF]],""),"")</f>
        <v>12.011627906976745</v>
      </c>
      <c r="I119" s="1">
        <f>IF(ISNUMBER(Main_S[[#This Row],[BVPS]]),IF(Main_S[[#This Row],[BVPS]]&lt;&gt;0,Main_S[[#This Row],[Current Price]]/Main_S[[#This Row],[BVPS]],""),"")</f>
        <v>0.57903587443946192</v>
      </c>
      <c r="J119">
        <v>4.4400000000000004</v>
      </c>
      <c r="K119">
        <v>0.54</v>
      </c>
      <c r="L119">
        <v>7.9</v>
      </c>
      <c r="M119" s="1">
        <f>IF(ISNUMBER(Main_S[[#This Row],[EPS]]),IF(Main_S[[#This Row],[EPS]]&lt;&gt;0,Main_S[[#This Row],[Current Price]]/Main_S[[#This Row],[EPS]],""),"")</f>
        <v>13.243589743589743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0.45636210891416301</v>
      </c>
      <c r="P119" s="1">
        <f>(Main_S[[#This Row],[P/B]]-VLOOKUP(Main_S[[#This Row],[Industry]], Mean_PB_S, 2, FALSE))/(VLOOKUP(Main_S[[#This Row],[Industry]], Mean_PB_S, 3, FALSE))</f>
        <v>-1.7410895687183767</v>
      </c>
      <c r="Q119" s="1">
        <f>(Main_S[[#This Row],[ROE]]-VLOOKUP(Main_S[[#This Row],[Industry]], Mean_ROE_S, 2, FALSE))/(VLOOKUP(Main_S[[#This Row],[Industry]], Mean_ROE_S, 3, FALSE))</f>
        <v>-1.1600069498694845</v>
      </c>
      <c r="R119" s="1">
        <f>(Main_S[[#This Row],[ROA]]-VLOOKUP(Main_S[[#This Row],[Industry]], Mean_ROA_S, 2, FALSE))/(VLOOKUP(Main_S[[#This Row],[Industry]], Mean_ROA_S, 3, FALSE))</f>
        <v>-0.9630793713479322</v>
      </c>
      <c r="S119" s="1">
        <f>(Main_S[[#This Row],[A/E]]-VLOOKUP(Main_S[[#This Row],[Industry]], Mean_AE_S, 2, FALSE))/(VLOOKUP(Main_S[[#This Row],[Industry]], Mean_AE_S, 3, FALSE))</f>
        <v>-0.96440764495852693</v>
      </c>
      <c r="T119" s="1">
        <f>(Main_S[[#This Row],[P/E]]-VLOOKUP(Main_S[[#This Row],[Industry]], Mean_PE_S, 2, FALSE))/(VLOOKUP(Main_S[[#This Row],[Industry]], Mean_PE_S, 3, FALSE))</f>
        <v>0.47633733517005344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7" t="s">
        <v>105</v>
      </c>
      <c r="B120" s="67" t="s">
        <v>518</v>
      </c>
      <c r="C120" s="2">
        <v>321</v>
      </c>
      <c r="D120">
        <f>RTD("tos.rtd", , "LAST", Main_S[[#This Row],[Symbol]])</f>
        <v>13.29</v>
      </c>
      <c r="E120">
        <v>0.75</v>
      </c>
      <c r="F120">
        <v>12.73</v>
      </c>
      <c r="G120">
        <v>0.6</v>
      </c>
      <c r="H120" s="1">
        <f>IF(ISNUMBER(Main_S[[#This Row],[Free CF]]),IF(Main_S[[#This Row],[Free CF]]&lt;&gt;0,Main_S[[#This Row],[Current Price]]/Main_S[[#This Row],[Free CF]],""),"")</f>
        <v>17.72</v>
      </c>
      <c r="I120" s="1">
        <f>IF(ISNUMBER(Main_S[[#This Row],[BVPS]]),IF(Main_S[[#This Row],[BVPS]]&lt;&gt;0,Main_S[[#This Row],[Current Price]]/Main_S[[#This Row],[BVPS]],""),"")</f>
        <v>1.0439905734485466</v>
      </c>
      <c r="J120">
        <v>2.88</v>
      </c>
      <c r="K120">
        <v>0.49</v>
      </c>
      <c r="L120">
        <v>10.7</v>
      </c>
      <c r="M120" s="1">
        <f>IF(ISNUMBER(Main_S[[#This Row],[EPS]]),IF(Main_S[[#This Row],[EPS]]&lt;&gt;0,Main_S[[#This Row],[Current Price]]/Main_S[[#This Row],[EPS]],""),"")</f>
        <v>22.15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1.9032103015567434</v>
      </c>
      <c r="P120" s="1">
        <f>(Main_S[[#This Row],[P/B]]-VLOOKUP(Main_S[[#This Row],[Industry]], Mean_PB_S, 2, FALSE))/(VLOOKUP(Main_S[[#This Row],[Industry]], Mean_PB_S, 3, FALSE))</f>
        <v>-6.3693011474612288E-2</v>
      </c>
      <c r="Q120" s="1">
        <f>(Main_S[[#This Row],[ROE]]-VLOOKUP(Main_S[[#This Row],[Industry]], Mean_ROE_S, 2, FALSE))/(VLOOKUP(Main_S[[#This Row],[Industry]], Mean_ROE_S, 3, FALSE))</f>
        <v>-1.5374250963417748</v>
      </c>
      <c r="R120" s="1">
        <f>(Main_S[[#This Row],[ROA]]-VLOOKUP(Main_S[[#This Row],[Industry]], Mean_ROA_S, 2, FALSE))/(VLOOKUP(Main_S[[#This Row],[Industry]], Mean_ROA_S, 3, FALSE))</f>
        <v>-1.0766500519314151</v>
      </c>
      <c r="S120" s="1">
        <f>(Main_S[[#This Row],[A/E]]-VLOOKUP(Main_S[[#This Row],[Industry]], Mean_AE_S, 2, FALSE))/(VLOOKUP(Main_S[[#This Row],[Industry]], Mean_AE_S, 3, FALSE))</f>
        <v>0.64449744653387231</v>
      </c>
      <c r="T120" s="1">
        <f>(Main_S[[#This Row],[P/E]]-VLOOKUP(Main_S[[#This Row],[Industry]], Mean_PE_S, 2, FALSE))/(VLOOKUP(Main_S[[#This Row],[Industry]], Mean_PE_S, 3, FALSE))</f>
        <v>3.927600641219418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1" spans="1:26" x14ac:dyDescent="0.25">
      <c r="A121" s="67" t="s">
        <v>105</v>
      </c>
      <c r="B121" s="67" t="s">
        <v>491</v>
      </c>
      <c r="C121" s="2">
        <v>570</v>
      </c>
      <c r="D121">
        <f>RTD("tos.rtd", , "LAST", Main_S[[#This Row],[Symbol]])</f>
        <v>9.5399999999999991</v>
      </c>
      <c r="E121">
        <v>0.74</v>
      </c>
      <c r="F121">
        <v>11.3</v>
      </c>
      <c r="G121">
        <v>0.68</v>
      </c>
      <c r="H121" s="1">
        <f>IF(ISNUMBER(Main_S[[#This Row],[Free CF]]),IF(Main_S[[#This Row],[Free CF]]&lt;&gt;0,Main_S[[#This Row],[Current Price]]/Main_S[[#This Row],[Free CF]],""),"")</f>
        <v>12.891891891891891</v>
      </c>
      <c r="I121" s="1">
        <f>IF(ISNUMBER(Main_S[[#This Row],[BVPS]]),IF(Main_S[[#This Row],[BVPS]]&lt;&gt;0,Main_S[[#This Row],[Current Price]]/Main_S[[#This Row],[BVPS]],""),"")</f>
        <v>0.84424778761061936</v>
      </c>
      <c r="J121">
        <v>6.12</v>
      </c>
      <c r="K121">
        <v>0.78</v>
      </c>
      <c r="L121">
        <v>7.92</v>
      </c>
      <c r="M121" s="1">
        <f>IF(ISNUMBER(Main_S[[#This Row],[EPS]]),IF(Main_S[[#This Row],[EPS]]&lt;&gt;0,Main_S[[#This Row],[Current Price]]/Main_S[[#This Row],[EPS]],""),"")</f>
        <v>14.02941176470588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0.67947446649495791</v>
      </c>
      <c r="P121" s="1">
        <f>(Main_S[[#This Row],[P/B]]-VLOOKUP(Main_S[[#This Row],[Industry]], Mean_PB_S, 2, FALSE))/(VLOOKUP(Main_S[[#This Row],[Industry]], Mean_PB_S, 3, FALSE))</f>
        <v>-0.78429624876391058</v>
      </c>
      <c r="Q121" s="1">
        <f>(Main_S[[#This Row],[ROE]]-VLOOKUP(Main_S[[#This Row],[Industry]], Mean_ROE_S, 2, FALSE))/(VLOOKUP(Main_S[[#This Row],[Industry]], Mean_ROE_S, 3, FALSE))</f>
        <v>-0.75355663828394115</v>
      </c>
      <c r="R121" s="1">
        <f>(Main_S[[#This Row],[ROA]]-VLOOKUP(Main_S[[#This Row],[Industry]], Mean_ROA_S, 2, FALSE))/(VLOOKUP(Main_S[[#This Row],[Industry]], Mean_ROA_S, 3, FALSE))</f>
        <v>-0.41794010454721536</v>
      </c>
      <c r="S121" s="1">
        <f>(Main_S[[#This Row],[A/E]]-VLOOKUP(Main_S[[#This Row],[Industry]], Mean_AE_S, 2, FALSE))/(VLOOKUP(Main_S[[#This Row],[Industry]], Mean_AE_S, 3, FALSE))</f>
        <v>-0.95291546573358155</v>
      </c>
      <c r="T121" s="1">
        <f>(Main_S[[#This Row],[P/E]]-VLOOKUP(Main_S[[#This Row],[Industry]], Mean_PE_S, 2, FALSE))/(VLOOKUP(Main_S[[#This Row],[Industry]], Mean_PE_S, 3, FALSE))</f>
        <v>0.78084595631870279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7" t="s">
        <v>105</v>
      </c>
      <c r="B122" s="67" t="s">
        <v>496</v>
      </c>
      <c r="C122" s="2">
        <v>256</v>
      </c>
      <c r="D122">
        <f>RTD("tos.rtd", , "LAST", Main_S[[#This Row],[Symbol]])</f>
        <v>7.02</v>
      </c>
      <c r="E122">
        <v>0.7</v>
      </c>
      <c r="F122">
        <v>7.87</v>
      </c>
      <c r="G122">
        <v>0.97</v>
      </c>
      <c r="H122" s="1">
        <f>IF(ISNUMBER(Main_S[[#This Row],[Free CF]]),IF(Main_S[[#This Row],[Free CF]]&lt;&gt;0,Main_S[[#This Row],[Current Price]]/Main_S[[#This Row],[Free CF]],""),"")</f>
        <v>10.028571428571428</v>
      </c>
      <c r="I122" s="1">
        <f>IF(ISNUMBER(Main_S[[#This Row],[BVPS]]),IF(Main_S[[#This Row],[BVPS]]&lt;&gt;0,Main_S[[#This Row],[Current Price]]/Main_S[[#This Row],[BVPS]],""),"")</f>
        <v>0.89199491740787795</v>
      </c>
      <c r="J122">
        <v>12.74</v>
      </c>
      <c r="K122">
        <v>1.27</v>
      </c>
      <c r="L122">
        <v>9.73</v>
      </c>
      <c r="M122" s="1">
        <f>IF(ISNUMBER(Main_S[[#This Row],[EPS]]),IF(Main_S[[#This Row],[EPS]]&lt;&gt;0,Main_S[[#This Row],[Current Price]]/Main_S[[#This Row],[EPS]],""),"")</f>
        <v>7.2371134020618557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-4.6264845834563584E-2</v>
      </c>
      <c r="P122" s="1">
        <f>(Main_S[[#This Row],[P/B]]-VLOOKUP(Main_S[[#This Row],[Industry]], Mean_PB_S, 2, FALSE))/(VLOOKUP(Main_S[[#This Row],[Industry]], Mean_PB_S, 3, FALSE))</f>
        <v>-0.61204103484547279</v>
      </c>
      <c r="Q122" s="1">
        <f>(Main_S[[#This Row],[ROE]]-VLOOKUP(Main_S[[#This Row],[Industry]], Mean_ROE_S, 2, FALSE))/(VLOOKUP(Main_S[[#This Row],[Industry]], Mean_ROE_S, 3, FALSE))</f>
        <v>0.84805113713052127</v>
      </c>
      <c r="R122" s="1">
        <f>(Main_S[[#This Row],[ROA]]-VLOOKUP(Main_S[[#This Row],[Industry]], Mean_ROA_S, 2, FALSE))/(VLOOKUP(Main_S[[#This Row],[Industry]], Mean_ROA_S, 3, FALSE))</f>
        <v>0.69505256517091485</v>
      </c>
      <c r="S122" s="1">
        <f>(Main_S[[#This Row],[A/E]]-VLOOKUP(Main_S[[#This Row],[Industry]], Mean_AE_S, 2, FALSE))/(VLOOKUP(Main_S[[#This Row],[Industry]], Mean_AE_S, 3, FALSE))</f>
        <v>8.7126754124005848E-2</v>
      </c>
      <c r="T122" s="1">
        <f>(Main_S[[#This Row],[P/E]]-VLOOKUP(Main_S[[#This Row],[Industry]], Mean_PE_S, 2, FALSE))/(VLOOKUP(Main_S[[#This Row],[Industry]], Mean_PE_S, 3, FALSE))</f>
        <v>-1.8511920284418202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7" t="s">
        <v>105</v>
      </c>
      <c r="B123" s="67" t="s">
        <v>468</v>
      </c>
      <c r="C123" s="2">
        <v>406</v>
      </c>
      <c r="D123">
        <f>RTD("tos.rtd", , "LAST", Main_S[[#This Row],[Symbol]])</f>
        <v>12.18</v>
      </c>
      <c r="E123">
        <v>0.7</v>
      </c>
      <c r="F123">
        <v>20.81</v>
      </c>
      <c r="G123">
        <v>-1.45</v>
      </c>
      <c r="H123" s="1">
        <f>IF(ISNUMBER(Main_S[[#This Row],[Free CF]]),IF(Main_S[[#This Row],[Free CF]]&lt;&gt;0,Main_S[[#This Row],[Current Price]]/Main_S[[#This Row],[Free CF]],""),"")</f>
        <v>17.400000000000002</v>
      </c>
      <c r="I123" s="1">
        <f>IF(ISNUMBER(Main_S[[#This Row],[BVPS]]),IF(Main_S[[#This Row],[BVPS]]&lt;&gt;0,Main_S[[#This Row],[Current Price]]/Main_S[[#This Row],[BVPS]],""),"")</f>
        <v>0.5852955309947141</v>
      </c>
      <c r="J123">
        <v>-6.53</v>
      </c>
      <c r="K123">
        <v>-0.5</v>
      </c>
      <c r="L123">
        <v>12.82</v>
      </c>
      <c r="M123" s="1">
        <f>IF(ISNUMBER(Main_S[[#This Row],[EPS]]),IF(Main_S[[#This Row],[EPS]]&lt;&gt;0,Main_S[[#This Row],[Current Price]]/Main_S[[#This Row],[EPS]],""),"")</f>
        <v>-8.4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1.8221028660040599</v>
      </c>
      <c r="P123" s="1">
        <f>(Main_S[[#This Row],[P/B]]-VLOOKUP(Main_S[[#This Row],[Industry]], Mean_PB_S, 2, FALSE))/(VLOOKUP(Main_S[[#This Row],[Industry]], Mean_PB_S, 3, FALSE))</f>
        <v>-1.7185068818938625</v>
      </c>
      <c r="Q123" s="1">
        <f>(Main_S[[#This Row],[ROE]]-VLOOKUP(Main_S[[#This Row],[Industry]], Mean_ROE_S, 2, FALSE))/(VLOOKUP(Main_S[[#This Row],[Industry]], Mean_ROE_S, 3, FALSE))</f>
        <v>-3.814030710639372</v>
      </c>
      <c r="R123" s="1">
        <f>(Main_S[[#This Row],[ROA]]-VLOOKUP(Main_S[[#This Row],[Industry]], Mean_ROA_S, 2, FALSE))/(VLOOKUP(Main_S[[#This Row],[Industry]], Mean_ROA_S, 3, FALSE))</f>
        <v>-3.3253495274843718</v>
      </c>
      <c r="S123" s="1">
        <f>(Main_S[[#This Row],[A/E]]-VLOOKUP(Main_S[[#This Row],[Industry]], Mean_AE_S, 2, FALSE))/(VLOOKUP(Main_S[[#This Row],[Industry]], Mean_AE_S, 3, FALSE))</f>
        <v>1.8626684443781185</v>
      </c>
      <c r="T123" s="1">
        <f>(Main_S[[#This Row],[P/E]]-VLOOKUP(Main_S[[#This Row],[Industry]], Mean_PE_S, 2, FALSE))/(VLOOKUP(Main_S[[#This Row],[Industry]], Mean_PE_S, 3, FALSE))</f>
        <v>-7.9106249698141653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s="67" t="s">
        <v>105</v>
      </c>
      <c r="B124" s="67" t="s">
        <v>471</v>
      </c>
      <c r="C124" s="2">
        <v>269</v>
      </c>
      <c r="D124">
        <f>RTD("tos.rtd", , "LAST", Main_S[[#This Row],[Symbol]])</f>
        <v>11.87</v>
      </c>
      <c r="E124">
        <v>0.61</v>
      </c>
      <c r="F124">
        <v>16.91</v>
      </c>
      <c r="G124">
        <v>0.72</v>
      </c>
      <c r="H124" s="1">
        <f>IF(ISNUMBER(Main_S[[#This Row],[Free CF]]),IF(Main_S[[#This Row],[Free CF]]&lt;&gt;0,Main_S[[#This Row],[Current Price]]/Main_S[[#This Row],[Free CF]],""),"")</f>
        <v>19.459016393442621</v>
      </c>
      <c r="I124" s="1">
        <f>IF(ISNUMBER(Main_S[[#This Row],[BVPS]]),IF(Main_S[[#This Row],[BVPS]]&lt;&gt;0,Main_S[[#This Row],[Current Price]]/Main_S[[#This Row],[BVPS]],""),"")</f>
        <v>0.70195150798344175</v>
      </c>
      <c r="J124">
        <v>4.32</v>
      </c>
      <c r="K124">
        <v>0.39</v>
      </c>
      <c r="L124">
        <v>10.65</v>
      </c>
      <c r="M124" s="1">
        <f>IF(ISNUMBER(Main_S[[#This Row],[EPS]]),IF(Main_S[[#This Row],[EPS]]&lt;&gt;0,Main_S[[#This Row],[Current Price]]/Main_S[[#This Row],[EPS]],""),"")</f>
        <v>16.486111111111111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2.3439826767323968</v>
      </c>
      <c r="P124" s="1">
        <f>(Main_S[[#This Row],[P/B]]-VLOOKUP(Main_S[[#This Row],[Industry]], Mean_PB_S, 2, FALSE))/(VLOOKUP(Main_S[[#This Row],[Industry]], Mean_PB_S, 3, FALSE))</f>
        <v>-1.2976522597127536</v>
      </c>
      <c r="Q124" s="1">
        <f>(Main_S[[#This Row],[ROE]]-VLOOKUP(Main_S[[#This Row],[Industry]], Mean_ROE_S, 2, FALSE))/(VLOOKUP(Main_S[[#This Row],[Industry]], Mean_ROE_S, 3, FALSE))</f>
        <v>-1.1890391149827375</v>
      </c>
      <c r="R124" s="1">
        <f>(Main_S[[#This Row],[ROA]]-VLOOKUP(Main_S[[#This Row],[Industry]], Mean_ROA_S, 2, FALSE))/(VLOOKUP(Main_S[[#This Row],[Industry]], Mean_ROA_S, 3, FALSE))</f>
        <v>-1.3037914130983803</v>
      </c>
      <c r="S124" s="1">
        <f>(Main_S[[#This Row],[A/E]]-VLOOKUP(Main_S[[#This Row],[Industry]], Mean_AE_S, 2, FALSE))/(VLOOKUP(Main_S[[#This Row],[Industry]], Mean_AE_S, 3, FALSE))</f>
        <v>0.61576699847150862</v>
      </c>
      <c r="T124" s="1">
        <f>(Main_S[[#This Row],[P/E]]-VLOOKUP(Main_S[[#This Row],[Industry]], Mean_PE_S, 2, FALSE))/(VLOOKUP(Main_S[[#This Row],[Industry]], Mean_PE_S, 3, FALSE))</f>
        <v>1.7328250437564725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7" t="s">
        <v>105</v>
      </c>
      <c r="B125" s="67" t="s">
        <v>513</v>
      </c>
      <c r="C125" s="2">
        <v>981</v>
      </c>
      <c r="D125">
        <f>RTD("tos.rtd", , "LAST", Main_S[[#This Row],[Symbol]])</f>
        <v>17.36</v>
      </c>
      <c r="E125">
        <v>0.54</v>
      </c>
      <c r="F125">
        <v>29.33</v>
      </c>
      <c r="G125">
        <v>1.53</v>
      </c>
      <c r="H125" s="1">
        <f>IF(ISNUMBER(Main_S[[#This Row],[Free CF]]),IF(Main_S[[#This Row],[Free CF]]&lt;&gt;0,Main_S[[#This Row],[Current Price]]/Main_S[[#This Row],[Free CF]],""),"")</f>
        <v>32.148148148148145</v>
      </c>
      <c r="I125" s="1">
        <f>IF(ISNUMBER(Main_S[[#This Row],[BVPS]]),IF(Main_S[[#This Row],[BVPS]]&lt;&gt;0,Main_S[[#This Row],[Current Price]]/Main_S[[#This Row],[BVPS]],""),"")</f>
        <v>0.59188544152744627</v>
      </c>
      <c r="J125">
        <v>5.53</v>
      </c>
      <c r="K125">
        <v>0.7</v>
      </c>
      <c r="L125">
        <v>7.79</v>
      </c>
      <c r="M125" s="1">
        <f>IF(ISNUMBER(Main_S[[#This Row],[EPS]]),IF(Main_S[[#This Row],[EPS]]&lt;&gt;0,Main_S[[#This Row],[Current Price]]/Main_S[[#This Row],[EPS]],""),"")</f>
        <v>11.346405228758169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5.5601793517770828</v>
      </c>
      <c r="P125" s="1">
        <f>(Main_S[[#This Row],[P/B]]-VLOOKUP(Main_S[[#This Row],[Industry]], Mean_PB_S, 2, FALSE))/(VLOOKUP(Main_S[[#This Row],[Industry]], Mean_PB_S, 3, FALSE))</f>
        <v>-1.694732752363163</v>
      </c>
      <c r="Q125" s="1">
        <f>(Main_S[[#This Row],[ROE]]-VLOOKUP(Main_S[[#This Row],[Industry]], Mean_ROE_S, 2, FALSE))/(VLOOKUP(Main_S[[#This Row],[Industry]], Mean_ROE_S, 3, FALSE))</f>
        <v>-0.89629811675743554</v>
      </c>
      <c r="R125" s="1">
        <f>(Main_S[[#This Row],[ROA]]-VLOOKUP(Main_S[[#This Row],[Industry]], Mean_ROA_S, 2, FALSE))/(VLOOKUP(Main_S[[#This Row],[Industry]], Mean_ROA_S, 3, FALSE))</f>
        <v>-0.59965319348078783</v>
      </c>
      <c r="S125" s="1">
        <f>(Main_S[[#This Row],[A/E]]-VLOOKUP(Main_S[[#This Row],[Industry]], Mean_AE_S, 2, FALSE))/(VLOOKUP(Main_S[[#This Row],[Industry]], Mean_AE_S, 3, FALSE))</f>
        <v>-1.0276146306957286</v>
      </c>
      <c r="T125" s="1">
        <f>(Main_S[[#This Row],[P/E]]-VLOOKUP(Main_S[[#This Row],[Industry]], Mean_PE_S, 2, FALSE))/(VLOOKUP(Main_S[[#This Row],[Industry]], Mean_PE_S, 3, FALSE))</f>
        <v>-0.25882791236956898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7" t="s">
        <v>105</v>
      </c>
      <c r="B126" s="67" t="s">
        <v>728</v>
      </c>
      <c r="C126" s="2">
        <v>333</v>
      </c>
      <c r="D126">
        <f>RTD("tos.rtd", , "LAST", Main_S[[#This Row],[Symbol]])</f>
        <v>27.2</v>
      </c>
      <c r="E126">
        <v>0.52</v>
      </c>
      <c r="F126">
        <v>29.87</v>
      </c>
      <c r="G126">
        <v>0.64</v>
      </c>
      <c r="H126" s="1">
        <f>IF(ISNUMBER(Main_S[[#This Row],[Free CF]]),IF(Main_S[[#This Row],[Free CF]]&lt;&gt;0,Main_S[[#This Row],[Current Price]]/Main_S[[#This Row],[Free CF]],""),"")</f>
        <v>52.307692307692307</v>
      </c>
      <c r="I126" s="1">
        <f>IF(ISNUMBER(Main_S[[#This Row],[BVPS]]),IF(Main_S[[#This Row],[BVPS]]&lt;&gt;0,Main_S[[#This Row],[Current Price]]/Main_S[[#This Row],[BVPS]],""),"")</f>
        <v>0.91061265483762965</v>
      </c>
      <c r="J126">
        <v>2.77</v>
      </c>
      <c r="K126">
        <v>0.24</v>
      </c>
      <c r="L126">
        <v>10.83</v>
      </c>
      <c r="M126" s="1">
        <f>IF(ISNUMBER(Main_S[[#This Row],[EPS]]),IF(Main_S[[#This Row],[EPS]]&lt;&gt;0,Main_S[[#This Row],[Current Price]]/Main_S[[#This Row],[EPS]],""),"")</f>
        <v>42.5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10.669832253938718</v>
      </c>
      <c r="P126" s="1">
        <f>(Main_S[[#This Row],[P/B]]-VLOOKUP(Main_S[[#This Row],[Industry]], Mean_PB_S, 2, FALSE))/(VLOOKUP(Main_S[[#This Row],[Industry]], Mean_PB_S, 3, FALSE))</f>
        <v>-0.54487464479738834</v>
      </c>
      <c r="Q126" s="1">
        <f>(Main_S[[#This Row],[ROE]]-VLOOKUP(Main_S[[#This Row],[Industry]], Mean_ROE_S, 2, FALSE))/(VLOOKUP(Main_S[[#This Row],[Industry]], Mean_ROE_S, 3, FALSE))</f>
        <v>-1.5640379143622569</v>
      </c>
      <c r="R126" s="1">
        <f>(Main_S[[#This Row],[ROA]]-VLOOKUP(Main_S[[#This Row],[Industry]], Mean_ROA_S, 2, FALSE))/(VLOOKUP(Main_S[[#This Row],[Industry]], Mean_ROA_S, 3, FALSE))</f>
        <v>-1.6445034548488284</v>
      </c>
      <c r="S126" s="1">
        <f>(Main_S[[#This Row],[A/E]]-VLOOKUP(Main_S[[#This Row],[Industry]], Mean_AE_S, 2, FALSE))/(VLOOKUP(Main_S[[#This Row],[Industry]], Mean_AE_S, 3, FALSE))</f>
        <v>0.71919661149601988</v>
      </c>
      <c r="T126" s="1">
        <f>(Main_S[[#This Row],[P/E]]-VLOOKUP(Main_S[[#This Row],[Industry]], Mean_PE_S, 2, FALSE))/(VLOOKUP(Main_S[[#This Row],[Industry]], Mean_PE_S, 3, FALSE))</f>
        <v>11.813292660353083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7" spans="1:26" x14ac:dyDescent="0.25">
      <c r="A127" s="67" t="s">
        <v>105</v>
      </c>
      <c r="B127" s="67" t="s">
        <v>494</v>
      </c>
      <c r="C127" s="2">
        <v>389</v>
      </c>
      <c r="D127">
        <f>RTD("tos.rtd", , "LAST", Main_S[[#This Row],[Symbol]])</f>
        <v>6.16</v>
      </c>
      <c r="E127">
        <v>0.33</v>
      </c>
      <c r="F127">
        <v>11.96</v>
      </c>
      <c r="G127">
        <v>-1.1399999999999999</v>
      </c>
      <c r="H127" s="1">
        <f>IF(ISNUMBER(Main_S[[#This Row],[Free CF]]),IF(Main_S[[#This Row],[Free CF]]&lt;&gt;0,Main_S[[#This Row],[Current Price]]/Main_S[[#This Row],[Free CF]],""),"")</f>
        <v>18.666666666666668</v>
      </c>
      <c r="I127" s="1">
        <f>IF(ISNUMBER(Main_S[[#This Row],[BVPS]]),IF(Main_S[[#This Row],[BVPS]]&lt;&gt;0,Main_S[[#This Row],[Current Price]]/Main_S[[#This Row],[BVPS]],""),"")</f>
        <v>0.51505016722408026</v>
      </c>
      <c r="J127">
        <v>-8.86</v>
      </c>
      <c r="K127">
        <v>-0.91</v>
      </c>
      <c r="L127">
        <v>10.34</v>
      </c>
      <c r="M127" s="1">
        <f>IF(ISNUMBER(Main_S[[#This Row],[EPS]]),IF(Main_S[[#This Row],[EPS]]&lt;&gt;0,Main_S[[#This Row],[Current Price]]/Main_S[[#This Row],[EPS]],""),"")</f>
        <v>-5.4035087719298254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2.1431531317334351</v>
      </c>
      <c r="P127" s="1">
        <f>(Main_S[[#This Row],[P/B]]-VLOOKUP(Main_S[[#This Row],[Industry]], Mean_PB_S, 2, FALSE))/(VLOOKUP(Main_S[[#This Row],[Industry]], Mean_PB_S, 3, FALSE))</f>
        <v>-1.9719279820619346</v>
      </c>
      <c r="Q127" s="1">
        <f>(Main_S[[#This Row],[ROE]]-VLOOKUP(Main_S[[#This Row],[Industry]], Mean_ROE_S, 2, FALSE))/(VLOOKUP(Main_S[[#This Row],[Industry]], Mean_ROE_S, 3, FALSE))</f>
        <v>-4.3777385832550362</v>
      </c>
      <c r="R127" s="1">
        <f>(Main_S[[#This Row],[ROA]]-VLOOKUP(Main_S[[#This Row],[Industry]], Mean_ROA_S, 2, FALSE))/(VLOOKUP(Main_S[[#This Row],[Industry]], Mean_ROA_S, 3, FALSE))</f>
        <v>-4.25662910826893</v>
      </c>
      <c r="S127" s="1">
        <f>(Main_S[[#This Row],[A/E]]-VLOOKUP(Main_S[[#This Row],[Industry]], Mean_AE_S, 2, FALSE))/(VLOOKUP(Main_S[[#This Row],[Industry]], Mean_AE_S, 3, FALSE))</f>
        <v>0.43763822048484979</v>
      </c>
      <c r="T127" s="1">
        <f>(Main_S[[#This Row],[P/E]]-VLOOKUP(Main_S[[#This Row],[Industry]], Mean_PE_S, 2, FALSE))/(VLOOKUP(Main_S[[#This Row],[Industry]], Mean_PE_S, 3, FALSE))</f>
        <v>-6.7494747505219301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8" spans="1:26" x14ac:dyDescent="0.25">
      <c r="A128" s="67" t="s">
        <v>105</v>
      </c>
      <c r="B128" s="67" t="s">
        <v>448</v>
      </c>
      <c r="C128" s="2">
        <v>743</v>
      </c>
      <c r="D128">
        <f>RTD("tos.rtd", , "LAST", Main_S[[#This Row],[Symbol]])</f>
        <v>5.82</v>
      </c>
      <c r="E128">
        <v>0.24</v>
      </c>
      <c r="F128">
        <v>7.98</v>
      </c>
      <c r="G128">
        <v>0.4</v>
      </c>
      <c r="H128" s="1">
        <f>IF(ISNUMBER(Main_S[[#This Row],[Free CF]]),IF(Main_S[[#This Row],[Free CF]]&lt;&gt;0,Main_S[[#This Row],[Current Price]]/Main_S[[#This Row],[Free CF]],""),"")</f>
        <v>24.250000000000004</v>
      </c>
      <c r="I128" s="1">
        <f>IF(ISNUMBER(Main_S[[#This Row],[BVPS]]),IF(Main_S[[#This Row],[BVPS]]&lt;&gt;0,Main_S[[#This Row],[Current Price]]/Main_S[[#This Row],[BVPS]],""),"")</f>
        <v>0.72932330827067671</v>
      </c>
      <c r="J128">
        <v>5.0999999999999996</v>
      </c>
      <c r="K128">
        <v>0.54</v>
      </c>
      <c r="L128">
        <v>9.3699999999999992</v>
      </c>
      <c r="M128" s="1">
        <f>IF(ISNUMBER(Main_S[[#This Row],[EPS]]),IF(Main_S[[#This Row],[EPS]]&lt;&gt;0,Main_S[[#This Row],[Current Price]]/Main_S[[#This Row],[EPS]],""),"")</f>
        <v>14.55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3.5583089083037107</v>
      </c>
      <c r="P128" s="1">
        <f>(Main_S[[#This Row],[P/B]]-VLOOKUP(Main_S[[#This Row],[Industry]], Mean_PB_S, 2, FALSE))/(VLOOKUP(Main_S[[#This Row],[Industry]], Mean_PB_S, 3, FALSE))</f>
        <v>-1.1989042232584006</v>
      </c>
      <c r="Q128" s="1">
        <f>(Main_S[[#This Row],[ROE]]-VLOOKUP(Main_S[[#This Row],[Industry]], Mean_ROE_S, 2, FALSE))/(VLOOKUP(Main_S[[#This Row],[Industry]], Mean_ROE_S, 3, FALSE))</f>
        <v>-1.0003300417465926</v>
      </c>
      <c r="R128" s="1">
        <f>(Main_S[[#This Row],[ROA]]-VLOOKUP(Main_S[[#This Row],[Industry]], Mean_ROA_S, 2, FALSE))/(VLOOKUP(Main_S[[#This Row],[Industry]], Mean_ROA_S, 3, FALSE))</f>
        <v>-0.9630793713479322</v>
      </c>
      <c r="S128" s="1">
        <f>(Main_S[[#This Row],[A/E]]-VLOOKUP(Main_S[[#This Row],[Industry]], Mean_AE_S, 2, FALSE))/(VLOOKUP(Main_S[[#This Row],[Industry]], Mean_AE_S, 3, FALSE))</f>
        <v>-0.11973247192501769</v>
      </c>
      <c r="T128" s="1">
        <f>(Main_S[[#This Row],[P/E]]-VLOOKUP(Main_S[[#This Row],[Industry]], Mean_PE_S, 2, FALSE))/(VLOOKUP(Main_S[[#This Row],[Industry]], Mean_PE_S, 3, FALSE))</f>
        <v>0.98257561196065468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7" t="s">
        <v>105</v>
      </c>
      <c r="B129" s="67" t="s">
        <v>485</v>
      </c>
      <c r="C129" s="2">
        <v>654</v>
      </c>
      <c r="D129">
        <f>RTD("tos.rtd", , "LAST", Main_S[[#This Row],[Symbol]])</f>
        <v>15.08</v>
      </c>
      <c r="E129">
        <v>0.23</v>
      </c>
      <c r="F129">
        <v>17.600000000000001</v>
      </c>
      <c r="G129">
        <v>1.02</v>
      </c>
      <c r="H129" s="1">
        <f>IF(ISNUMBER(Main_S[[#This Row],[Free CF]]),IF(Main_S[[#This Row],[Free CF]]&lt;&gt;0,Main_S[[#This Row],[Current Price]]/Main_S[[#This Row],[Free CF]],""),"")</f>
        <v>65.565217391304344</v>
      </c>
      <c r="I129" s="1">
        <f>IF(ISNUMBER(Main_S[[#This Row],[BVPS]]),IF(Main_S[[#This Row],[BVPS]]&lt;&gt;0,Main_S[[#This Row],[Current Price]]/Main_S[[#This Row],[BVPS]],""),"")</f>
        <v>0.8568181818181817</v>
      </c>
      <c r="J129">
        <v>6.06</v>
      </c>
      <c r="K129">
        <v>0.59</v>
      </c>
      <c r="L129">
        <v>9.83</v>
      </c>
      <c r="M129" s="1">
        <f>IF(ISNUMBER(Main_S[[#This Row],[EPS]]),IF(Main_S[[#This Row],[EPS]]&lt;&gt;0,Main_S[[#This Row],[Current Price]]/Main_S[[#This Row],[EPS]],""),"")</f>
        <v>14.784313725490195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14.030094320523595</v>
      </c>
      <c r="P129" s="1">
        <f>(Main_S[[#This Row],[P/B]]-VLOOKUP(Main_S[[#This Row],[Industry]], Mean_PB_S, 2, FALSE))/(VLOOKUP(Main_S[[#This Row],[Industry]], Mean_PB_S, 3, FALSE))</f>
        <v>-0.73894659209434743</v>
      </c>
      <c r="Q129" s="1">
        <f>(Main_S[[#This Row],[ROE]]-VLOOKUP(Main_S[[#This Row],[Industry]], Mean_ROE_S, 2, FALSE))/(VLOOKUP(Main_S[[#This Row],[Industry]], Mean_ROE_S, 3, FALSE))</f>
        <v>-0.76807272084056788</v>
      </c>
      <c r="R129" s="1">
        <f>(Main_S[[#This Row],[ROA]]-VLOOKUP(Main_S[[#This Row],[Industry]], Mean_ROA_S, 2, FALSE))/(VLOOKUP(Main_S[[#This Row],[Industry]], Mean_ROA_S, 3, FALSE))</f>
        <v>-0.84950869076444968</v>
      </c>
      <c r="S129" s="1">
        <f>(Main_S[[#This Row],[A/E]]-VLOOKUP(Main_S[[#This Row],[Industry]], Mean_AE_S, 2, FALSE))/(VLOOKUP(Main_S[[#This Row],[Industry]], Mean_AE_S, 3, FALSE))</f>
        <v>0.14458765024873421</v>
      </c>
      <c r="T129" s="1">
        <f>(Main_S[[#This Row],[P/E]]-VLOOKUP(Main_S[[#This Row],[Industry]], Mean_PE_S, 2, FALSE))/(VLOOKUP(Main_S[[#This Row],[Industry]], Mean_PE_S, 3, FALSE))</f>
        <v>1.0733729522590085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7" t="s">
        <v>105</v>
      </c>
      <c r="B130" s="67" t="s">
        <v>451</v>
      </c>
      <c r="C130" s="2">
        <v>1502</v>
      </c>
      <c r="D130">
        <f>RTD("tos.rtd", , "LAST", Main_S[[#This Row],[Symbol]])</f>
        <v>14.17</v>
      </c>
      <c r="E130">
        <v>0.09</v>
      </c>
      <c r="F130">
        <v>10.49</v>
      </c>
      <c r="G130">
        <v>-0.02</v>
      </c>
      <c r="H130" s="1">
        <f>IF(ISNUMBER(Main_S[[#This Row],[Free CF]]),IF(Main_S[[#This Row],[Free CF]]&lt;&gt;0,Main_S[[#This Row],[Current Price]]/Main_S[[#This Row],[Free CF]],""),"")</f>
        <v>157.44444444444446</v>
      </c>
      <c r="I130" s="1">
        <f>IF(ISNUMBER(Main_S[[#This Row],[BVPS]]),IF(Main_S[[#This Row],[BVPS]]&lt;&gt;0,Main_S[[#This Row],[Current Price]]/Main_S[[#This Row],[BVPS]],""),"")</f>
        <v>1.3508102955195425</v>
      </c>
      <c r="J130">
        <v>-0.15</v>
      </c>
      <c r="K130">
        <v>-0.02</v>
      </c>
      <c r="L130">
        <v>9.64</v>
      </c>
      <c r="M130" s="1">
        <f>IF(ISNUMBER(Main_S[[#This Row],[EPS]]),IF(Main_S[[#This Row],[EPS]]&lt;&gt;0,Main_S[[#This Row],[Current Price]]/Main_S[[#This Row],[EPS]],""),"")</f>
        <v>-708.5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37.317870841908025</v>
      </c>
      <c r="P130" s="1">
        <f>(Main_S[[#This Row],[P/B]]-VLOOKUP(Main_S[[#This Row],[Industry]], Mean_PB_S, 2, FALSE))/(VLOOKUP(Main_S[[#This Row],[Industry]], Mean_PB_S, 3, FALSE))</f>
        <v>1.0432069652182163</v>
      </c>
      <c r="Q130" s="1">
        <f>(Main_S[[#This Row],[ROE]]-VLOOKUP(Main_S[[#This Row],[Industry]], Mean_ROE_S, 2, FALSE))/(VLOOKUP(Main_S[[#This Row],[Industry]], Mean_ROE_S, 3, FALSE))</f>
        <v>-2.2704872654514157</v>
      </c>
      <c r="R130" s="1">
        <f>(Main_S[[#This Row],[ROA]]-VLOOKUP(Main_S[[#This Row],[Industry]], Mean_ROA_S, 2, FALSE))/(VLOOKUP(Main_S[[#This Row],[Industry]], Mean_ROA_S, 3, FALSE))</f>
        <v>-2.2350709938829385</v>
      </c>
      <c r="S130" s="1">
        <f>(Main_S[[#This Row],[A/E]]-VLOOKUP(Main_S[[#This Row],[Industry]], Mean_AE_S, 2, FALSE))/(VLOOKUP(Main_S[[#This Row],[Industry]], Mean_AE_S, 3, FALSE))</f>
        <v>3.5411947611750212E-2</v>
      </c>
      <c r="T130" s="1">
        <f>(Main_S[[#This Row],[P/E]]-VLOOKUP(Main_S[[#This Row],[Industry]], Mean_PE_S, 2, FALSE))/(VLOOKUP(Main_S[[#This Row],[Industry]], Mean_PE_S, 3, FALSE))</f>
        <v>-279.20168062561163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1" spans="1:26" x14ac:dyDescent="0.25">
      <c r="A131" s="67" t="s">
        <v>105</v>
      </c>
      <c r="B131" s="67" t="s">
        <v>469</v>
      </c>
      <c r="C131" s="2">
        <v>425</v>
      </c>
      <c r="D131">
        <f>RTD("tos.rtd", , "LAST", Main_S[[#This Row],[Symbol]])</f>
        <v>5.37</v>
      </c>
      <c r="E131">
        <v>-0.28000000000000003</v>
      </c>
      <c r="F131">
        <v>11.81</v>
      </c>
      <c r="G131">
        <v>-1.2</v>
      </c>
      <c r="H131" s="1">
        <f>IF(ISNUMBER(Main_S[[#This Row],[Free CF]]),IF(Main_S[[#This Row],[Free CF]]&lt;&gt;0,Main_S[[#This Row],[Current Price]]/Main_S[[#This Row],[Free CF]],""),"")</f>
        <v>-19.178571428571427</v>
      </c>
      <c r="I131" s="1">
        <f>IF(ISNUMBER(Main_S[[#This Row],[BVPS]]),IF(Main_S[[#This Row],[BVPS]]&lt;&gt;0,Main_S[[#This Row],[Current Price]]/Main_S[[#This Row],[BVPS]],""),"")</f>
        <v>0.45469940728196445</v>
      </c>
      <c r="J131">
        <v>-8.68</v>
      </c>
      <c r="K131">
        <v>-0.66</v>
      </c>
      <c r="L131">
        <v>12.94</v>
      </c>
      <c r="M131" s="1">
        <f>IF(ISNUMBER(Main_S[[#This Row],[EPS]]),IF(Main_S[[#This Row],[EPS]]&lt;&gt;0,Main_S[[#This Row],[Current Price]]/Main_S[[#This Row],[EPS]],""),"")</f>
        <v>-4.4750000000000005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-7.4491287738463159</v>
      </c>
      <c r="P131" s="1">
        <f>(Main_S[[#This Row],[P/B]]-VLOOKUP(Main_S[[#This Row],[Industry]], Mean_PB_S, 2, FALSE))/(VLOOKUP(Main_S[[#This Row],[Industry]], Mean_PB_S, 3, FALSE))</f>
        <v>-2.1896527564747896</v>
      </c>
      <c r="Q131" s="1">
        <f>(Main_S[[#This Row],[ROE]]-VLOOKUP(Main_S[[#This Row],[Industry]], Mean_ROE_S, 2, FALSE))/(VLOOKUP(Main_S[[#This Row],[Industry]], Mean_ROE_S, 3, FALSE))</f>
        <v>-4.3341903355851565</v>
      </c>
      <c r="R131" s="1">
        <f>(Main_S[[#This Row],[ROA]]-VLOOKUP(Main_S[[#This Row],[Industry]], Mean_ROA_S, 2, FALSE))/(VLOOKUP(Main_S[[#This Row],[Industry]], Mean_ROA_S, 3, FALSE))</f>
        <v>-3.6887757053515169</v>
      </c>
      <c r="S131" s="1">
        <f>(Main_S[[#This Row],[A/E]]-VLOOKUP(Main_S[[#This Row],[Industry]], Mean_AE_S, 2, FALSE))/(VLOOKUP(Main_S[[#This Row],[Industry]], Mean_AE_S, 3, FALSE))</f>
        <v>1.9316215197277924</v>
      </c>
      <c r="T131" s="1">
        <f>(Main_S[[#This Row],[P/E]]-VLOOKUP(Main_S[[#This Row],[Industry]], Mean_PE_S, 2, FALSE))/(VLOOKUP(Main_S[[#This Row],[Industry]], Mean_PE_S, 3, FALSE))</f>
        <v>-6.3896745435193445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s="67" t="s">
        <v>105</v>
      </c>
      <c r="B132" s="67" t="s">
        <v>545</v>
      </c>
      <c r="C132" s="2">
        <v>378</v>
      </c>
      <c r="D132">
        <f>RTD("tos.rtd", , "LAST", Main_S[[#This Row],[Symbol]])</f>
        <v>11.15</v>
      </c>
      <c r="E132">
        <v>-5.49</v>
      </c>
      <c r="F132">
        <v>11.03</v>
      </c>
      <c r="G132">
        <v>0.88</v>
      </c>
      <c r="H132" s="1">
        <f>IF(ISNUMBER(Main_S[[#This Row],[Free CF]]),IF(Main_S[[#This Row],[Free CF]]&lt;&gt;0,Main_S[[#This Row],[Current Price]]/Main_S[[#This Row],[Free CF]],""),"")</f>
        <v>-2.0309653916211294</v>
      </c>
      <c r="I132" s="1">
        <f>IF(ISNUMBER(Main_S[[#This Row],[BVPS]]),IF(Main_S[[#This Row],[BVPS]]&lt;&gt;0,Main_S[[#This Row],[Current Price]]/Main_S[[#This Row],[BVPS]],""),"")</f>
        <v>1.0108794197642794</v>
      </c>
      <c r="J132">
        <v>7.73</v>
      </c>
      <c r="K132">
        <v>0.76</v>
      </c>
      <c r="L132">
        <v>9.5399999999999991</v>
      </c>
      <c r="M132" s="1">
        <f>IF(ISNUMBER(Main_S[[#This Row],[EPS]]),IF(Main_S[[#This Row],[EPS]]&lt;&gt;0,Main_S[[#This Row],[Current Price]]/Main_S[[#This Row],[EPS]],""),"")</f>
        <v>12.670454545454545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-3.1028839253314153</v>
      </c>
      <c r="P132" s="1">
        <f>(Main_S[[#This Row],[P/B]]-VLOOKUP(Main_S[[#This Row],[Industry]], Mean_PB_S, 2, FALSE))/(VLOOKUP(Main_S[[#This Row],[Industry]], Mean_PB_S, 3, FALSE))</f>
        <v>-0.18314666000150628</v>
      </c>
      <c r="Q132" s="1">
        <f>(Main_S[[#This Row],[ROE]]-VLOOKUP(Main_S[[#This Row],[Industry]], Mean_ROE_S, 2, FALSE))/(VLOOKUP(Main_S[[#This Row],[Industry]], Mean_ROE_S, 3, FALSE))</f>
        <v>-0.36404175634779545</v>
      </c>
      <c r="R132" s="1">
        <f>(Main_S[[#This Row],[ROA]]-VLOOKUP(Main_S[[#This Row],[Industry]], Mean_ROA_S, 2, FALSE))/(VLOOKUP(Main_S[[#This Row],[Industry]], Mean_ROA_S, 3, FALSE))</f>
        <v>-0.46336837678060849</v>
      </c>
      <c r="S132" s="1">
        <f>(Main_S[[#This Row],[A/E]]-VLOOKUP(Main_S[[#This Row],[Industry]], Mean_AE_S, 2, FALSE))/(VLOOKUP(Main_S[[#This Row],[Industry]], Mean_AE_S, 3, FALSE))</f>
        <v>-2.2048948512979168E-2</v>
      </c>
      <c r="T132" s="1">
        <f>(Main_S[[#This Row],[P/E]]-VLOOKUP(Main_S[[#This Row],[Industry]], Mean_PE_S, 2, FALSE))/(VLOOKUP(Main_S[[#This Row],[Industry]], Mean_PE_S, 3, FALSE))</f>
        <v>0.25424555837303525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7" t="s">
        <v>172</v>
      </c>
      <c r="B133" s="67" t="s">
        <v>635</v>
      </c>
      <c r="C133" s="2">
        <v>318</v>
      </c>
      <c r="D133">
        <f>RTD("tos.rtd", , "LAST", Main_S[[#This Row],[Symbol]])</f>
        <v>6.19</v>
      </c>
      <c r="H133" s="1" t="str">
        <f>IF(ISNUMBER(Main_S[[#This Row],[Free CF]]),IF(Main_S[[#This Row],[Free CF]]&lt;&gt;0,Main_S[[#This Row],[Current Price]]/Main_S[[#This Row],[Free CF]],""),"")</f>
        <v/>
      </c>
      <c r="I133" s="1" t="str">
        <f>IF(ISNUMBER(Main_S[[#This Row],[BVPS]]),IF(Main_S[[#This Row],[BVPS]]&lt;&gt;0,Main_S[[#This Row],[Current Price]]/Main_S[[#This Row],[BVPS]],""),"")</f>
        <v/>
      </c>
      <c r="J133">
        <v>20.05</v>
      </c>
      <c r="K133">
        <v>6.8</v>
      </c>
      <c r="L133">
        <v>2.14</v>
      </c>
      <c r="M133" s="1" t="str">
        <f>IF(ISNUMBER(Main_S[[#This Row],[EPS]]),IF(Main_S[[#This Row],[EPS]]&lt;&gt;0,Main_S[[#This Row],[Current Price]]/Main_S[[#This Row],[EPS]],""),"")</f>
        <v/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 t="e">
        <f>(Main_S[[#This Row],[P/FCF]]-VLOOKUP(Main_S[[#This Row],[Industry]], Mean_PFCF_S, 2, FALSE))/(VLOOKUP(Main_S[[#This Row],[Industry]], Mean_PFCF_S, 3, FALSE))</f>
        <v>#VALUE!</v>
      </c>
      <c r="P133" s="1" t="e">
        <f>(Main_S[[#This Row],[P/B]]-VLOOKUP(Main_S[[#This Row],[Industry]], Mean_PB_S, 2, FALSE))/(VLOOKUP(Main_S[[#This Row],[Industry]], Mean_PB_S, 3, FALSE))</f>
        <v>#VALUE!</v>
      </c>
      <c r="Q133" s="1">
        <f>(Main_S[[#This Row],[ROE]]-VLOOKUP(Main_S[[#This Row],[Industry]], Mean_ROE_S, 2, FALSE))/(VLOOKUP(Main_S[[#This Row],[Industry]], Mean_ROE_S, 3, FALSE))</f>
        <v>1.5288714768872687</v>
      </c>
      <c r="R133" s="1">
        <f>(Main_S[[#This Row],[ROA]]-VLOOKUP(Main_S[[#This Row],[Industry]], Mean_ROA_S, 2, FALSE))/(VLOOKUP(Main_S[[#This Row],[Industry]], Mean_ROA_S, 3, FALSE))</f>
        <v>1.0846189130535275</v>
      </c>
      <c r="S133" s="1">
        <f>(Main_S[[#This Row],[A/E]]-VLOOKUP(Main_S[[#This Row],[Industry]], Mean_AE_S, 2, FALSE))/(VLOOKUP(Main_S[[#This Row],[Industry]], Mean_AE_S, 3, FALSE))</f>
        <v>3.6734842349374956E-2</v>
      </c>
      <c r="T133" s="1" t="e">
        <f>(Main_S[[#This Row],[P/E]]-VLOOKUP(Main_S[[#This Row],[Industry]], Mean_PE_S, 2, FALSE))/(VLOOKUP(Main_S[[#This Row],[Industry]], Mean_PE_S, 3, FALSE))</f>
        <v>#VALUE!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4" spans="1:26" x14ac:dyDescent="0.25">
      <c r="A134" s="67" t="s">
        <v>172</v>
      </c>
      <c r="B134" s="67" t="s">
        <v>719</v>
      </c>
      <c r="C134" s="2">
        <v>575</v>
      </c>
      <c r="D134">
        <f>RTD("tos.rtd", , "LAST", Main_S[[#This Row],[Symbol]])</f>
        <v>229.5</v>
      </c>
      <c r="E134">
        <v>69.86</v>
      </c>
      <c r="F134">
        <v>484.82</v>
      </c>
      <c r="G134">
        <v>-36.07</v>
      </c>
      <c r="H134" s="1">
        <f>IF(ISNUMBER(Main_S[[#This Row],[Free CF]]),IF(Main_S[[#This Row],[Free CF]]&lt;&gt;0,Main_S[[#This Row],[Current Price]]/Main_S[[#This Row],[Free CF]],""),"")</f>
        <v>3.2851417119954194</v>
      </c>
      <c r="I134" s="1">
        <f>IF(ISNUMBER(Main_S[[#This Row],[BVPS]]),IF(Main_S[[#This Row],[BVPS]]&lt;&gt;0,Main_S[[#This Row],[Current Price]]/Main_S[[#This Row],[BVPS]],""),"")</f>
        <v>0.47337156057918406</v>
      </c>
      <c r="J134">
        <v>-7.31</v>
      </c>
      <c r="K134">
        <v>-1.7</v>
      </c>
      <c r="L134">
        <v>3.22</v>
      </c>
      <c r="M134" s="1">
        <f>IF(ISNUMBER(Main_S[[#This Row],[EPS]]),IF(Main_S[[#This Row],[EPS]]&lt;&gt;0,Main_S[[#This Row],[Current Price]]/Main_S[[#This Row],[EPS]],""),"")</f>
        <v>-6.3626282228999171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-0.29196381337088623</v>
      </c>
      <c r="P134" s="1">
        <f>(Main_S[[#This Row],[P/B]]-VLOOKUP(Main_S[[#This Row],[Industry]], Mean_PB_S, 2, FALSE))/(VLOOKUP(Main_S[[#This Row],[Industry]], Mean_PB_S, 3, FALSE))</f>
        <v>-0.93613414191598432</v>
      </c>
      <c r="Q134" s="1">
        <f>(Main_S[[#This Row],[ROE]]-VLOOKUP(Main_S[[#This Row],[Industry]], Mean_ROE_S, 2, FALSE))/(VLOOKUP(Main_S[[#This Row],[Industry]], Mean_ROE_S, 3, FALSE))</f>
        <v>-2.3820455005164618</v>
      </c>
      <c r="R134" s="1">
        <f>(Main_S[[#This Row],[ROA]]-VLOOKUP(Main_S[[#This Row],[Industry]], Mean_ROA_S, 2, FALSE))/(VLOOKUP(Main_S[[#This Row],[Industry]], Mean_ROA_S, 3, FALSE))</f>
        <v>-3.7030909184747114</v>
      </c>
      <c r="S134" s="1">
        <f>(Main_S[[#This Row],[A/E]]-VLOOKUP(Main_S[[#This Row],[Industry]], Mean_AE_S, 2, FALSE))/(VLOOKUP(Main_S[[#This Row],[Industry]], Mean_AE_S, 3, FALSE))</f>
        <v>2.1221435849523029</v>
      </c>
      <c r="T134" s="1">
        <f>(Main_S[[#This Row],[P/E]]-VLOOKUP(Main_S[[#This Row],[Industry]], Mean_PE_S, 2, FALSE))/(VLOOKUP(Main_S[[#This Row],[Industry]], Mean_PE_S, 3, FALSE))</f>
        <v>-2.080261952205249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7" t="s">
        <v>172</v>
      </c>
      <c r="B135" s="67" t="s">
        <v>623</v>
      </c>
      <c r="C135" s="2">
        <v>381</v>
      </c>
      <c r="D135">
        <f>RTD("tos.rtd", , "LAST", Main_S[[#This Row],[Symbol]])</f>
        <v>24.13</v>
      </c>
      <c r="E135">
        <v>14.2</v>
      </c>
      <c r="F135">
        <v>25.86</v>
      </c>
      <c r="G135">
        <v>2.02</v>
      </c>
      <c r="H135" s="1">
        <f>IF(ISNUMBER(Main_S[[#This Row],[Free CF]]),IF(Main_S[[#This Row],[Free CF]]&lt;&gt;0,Main_S[[#This Row],[Current Price]]/Main_S[[#This Row],[Free CF]],""),"")</f>
        <v>1.6992957746478874</v>
      </c>
      <c r="I135" s="1">
        <f>IF(ISNUMBER(Main_S[[#This Row],[BVPS]]),IF(Main_S[[#This Row],[BVPS]]&lt;&gt;0,Main_S[[#This Row],[Current Price]]/Main_S[[#This Row],[BVPS]],""),"")</f>
        <v>0.93310131477184843</v>
      </c>
      <c r="J135">
        <v>7.36</v>
      </c>
      <c r="K135">
        <v>5.66</v>
      </c>
      <c r="L135">
        <v>3.03</v>
      </c>
      <c r="M135" s="1">
        <f>IF(ISNUMBER(Main_S[[#This Row],[EPS]]),IF(Main_S[[#This Row],[EPS]]&lt;&gt;0,Main_S[[#This Row],[Current Price]]/Main_S[[#This Row],[EPS]],""),"")</f>
        <v>11.945544554455445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-0.40820301512001711</v>
      </c>
      <c r="P135" s="1">
        <f>(Main_S[[#This Row],[P/B]]-VLOOKUP(Main_S[[#This Row],[Industry]], Mean_PB_S, 2, FALSE))/(VLOOKUP(Main_S[[#This Row],[Industry]], Mean_PB_S, 3, FALSE))</f>
        <v>-0.40096107824821253</v>
      </c>
      <c r="Q135" s="1">
        <f>(Main_S[[#This Row],[ROE]]-VLOOKUP(Main_S[[#This Row],[Industry]], Mean_ROE_S, 2, FALSE))/(VLOOKUP(Main_S[[#This Row],[Industry]], Mean_ROE_S, 3, FALSE))</f>
        <v>-0.28507356855327742</v>
      </c>
      <c r="R135" s="1">
        <f>(Main_S[[#This Row],[ROA]]-VLOOKUP(Main_S[[#This Row],[Industry]], Mean_ROA_S, 2, FALSE))/(VLOOKUP(Main_S[[#This Row],[Industry]], Mean_ROA_S, 3, FALSE))</f>
        <v>0.44250253564856384</v>
      </c>
      <c r="S135" s="1">
        <f>(Main_S[[#This Row],[A/E]]-VLOOKUP(Main_S[[#This Row],[Industry]], Mean_AE_S, 2, FALSE))/(VLOOKUP(Main_S[[#This Row],[Industry]], Mean_AE_S, 3, FALSE))</f>
        <v>1.7552661209758611</v>
      </c>
      <c r="T135" s="1">
        <f>(Main_S[[#This Row],[P/E]]-VLOOKUP(Main_S[[#This Row],[Industry]], Mean_PE_S, 2, FALSE))/(VLOOKUP(Main_S[[#This Row],[Industry]], Mean_PE_S, 3, FALSE))</f>
        <v>2.0934841212715639E-2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7" t="s">
        <v>172</v>
      </c>
      <c r="B136" s="67" t="s">
        <v>626</v>
      </c>
      <c r="C136" s="2">
        <v>914</v>
      </c>
      <c r="D136">
        <f>RTD("tos.rtd", , "LAST", Main_S[[#This Row],[Symbol]])</f>
        <v>16.899999999999999</v>
      </c>
      <c r="E136">
        <v>6.78</v>
      </c>
      <c r="F136">
        <v>18.16</v>
      </c>
      <c r="G136">
        <v>1.61</v>
      </c>
      <c r="H136" s="1">
        <f>IF(ISNUMBER(Main_S[[#This Row],[Free CF]]),IF(Main_S[[#This Row],[Free CF]]&lt;&gt;0,Main_S[[#This Row],[Current Price]]/Main_S[[#This Row],[Free CF]],""),"")</f>
        <v>2.4926253687315629</v>
      </c>
      <c r="I136" s="1">
        <f>IF(ISNUMBER(Main_S[[#This Row],[BVPS]]),IF(Main_S[[#This Row],[BVPS]]&lt;&gt;0,Main_S[[#This Row],[Current Price]]/Main_S[[#This Row],[BVPS]],""),"")</f>
        <v>0.93061674008810569</v>
      </c>
      <c r="J136">
        <v>8.86</v>
      </c>
      <c r="K136">
        <v>4.12</v>
      </c>
      <c r="L136">
        <v>2.5299999999999998</v>
      </c>
      <c r="M136" s="1">
        <f>IF(ISNUMBER(Main_S[[#This Row],[EPS]]),IF(Main_S[[#This Row],[EPS]]&lt;&gt;0,Main_S[[#This Row],[Current Price]]/Main_S[[#This Row],[EPS]],""),"")</f>
        <v>10.496894409937887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-0.35005360945045511</v>
      </c>
      <c r="P136" s="1">
        <f>(Main_S[[#This Row],[P/B]]-VLOOKUP(Main_S[[#This Row],[Industry]], Mean_PB_S, 2, FALSE))/(VLOOKUP(Main_S[[#This Row],[Industry]], Mean_PB_S, 3, FALSE))</f>
        <v>-0.40385338059167308</v>
      </c>
      <c r="Q136" s="1">
        <f>(Main_S[[#This Row],[ROE]]-VLOOKUP(Main_S[[#This Row],[Industry]], Mean_ROE_S, 2, FALSE))/(VLOOKUP(Main_S[[#This Row],[Industry]], Mean_ROE_S, 3, FALSE))</f>
        <v>-7.0659260581581784E-2</v>
      </c>
      <c r="R136" s="1">
        <f>(Main_S[[#This Row],[ROA]]-VLOOKUP(Main_S[[#This Row],[Industry]], Mean_ROA_S, 2, FALSE))/(VLOOKUP(Main_S[[#This Row],[Industry]], Mean_ROA_S, 3, FALSE))</f>
        <v>-0.4249178338283171</v>
      </c>
      <c r="S136" s="1">
        <f>(Main_S[[#This Row],[A/E]]-VLOOKUP(Main_S[[#This Row],[Industry]], Mean_AE_S, 2, FALSE))/(VLOOKUP(Main_S[[#This Row],[Industry]], Mean_AE_S, 3, FALSE))</f>
        <v>0.78979911051154272</v>
      </c>
      <c r="T136" s="1">
        <f>(Main_S[[#This Row],[P/E]]-VLOOKUP(Main_S[[#This Row],[Industry]], Mean_PE_S, 2, FALSE))/(VLOOKUP(Main_S[[#This Row],[Industry]], Mean_PE_S, 3, FALSE))</f>
        <v>-0.1453241883180543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7" t="s">
        <v>172</v>
      </c>
      <c r="B137" s="67" t="s">
        <v>604</v>
      </c>
      <c r="C137" s="2">
        <v>385</v>
      </c>
      <c r="D137">
        <f>RTD("tos.rtd", , "LAST", Main_S[[#This Row],[Symbol]])</f>
        <v>141.75</v>
      </c>
      <c r="E137">
        <v>5.98</v>
      </c>
      <c r="F137">
        <v>60.75</v>
      </c>
      <c r="G137">
        <v>14.79</v>
      </c>
      <c r="H137" s="1">
        <f>IF(ISNUMBER(Main_S[[#This Row],[Free CF]]),IF(Main_S[[#This Row],[Free CF]]&lt;&gt;0,Main_S[[#This Row],[Current Price]]/Main_S[[#This Row],[Free CF]],""),"")</f>
        <v>23.704013377926419</v>
      </c>
      <c r="I137" s="1">
        <f>IF(ISNUMBER(Main_S[[#This Row],[BVPS]]),IF(Main_S[[#This Row],[BVPS]]&lt;&gt;0,Main_S[[#This Row],[Current Price]]/Main_S[[#This Row],[BVPS]],""),"")</f>
        <v>2.3333333333333335</v>
      </c>
      <c r="J137">
        <v>24.77</v>
      </c>
      <c r="K137">
        <v>14.03</v>
      </c>
      <c r="L137">
        <v>1.33</v>
      </c>
      <c r="M137" s="1">
        <f>IF(ISNUMBER(Main_S[[#This Row],[EPS]]),IF(Main_S[[#This Row],[EPS]]&lt;&gt;0,Main_S[[#This Row],[Current Price]]/Main_S[[#This Row],[EPS]],""),"")</f>
        <v>9.5841784989858017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1.2046969196607289</v>
      </c>
      <c r="P137" s="1">
        <f>(Main_S[[#This Row],[P/B]]-VLOOKUP(Main_S[[#This Row],[Industry]], Mean_PB_S, 2, FALSE))/(VLOOKUP(Main_S[[#This Row],[Industry]], Mean_PB_S, 3, FALSE))</f>
        <v>1.2290540608311091</v>
      </c>
      <c r="Q137" s="1">
        <f>(Main_S[[#This Row],[ROE]]-VLOOKUP(Main_S[[#This Row],[Industry]], Mean_ROE_S, 2, FALSE))/(VLOOKUP(Main_S[[#This Row],[Industry]], Mean_ROE_S, 3, FALSE))</f>
        <v>2.2035618326382043</v>
      </c>
      <c r="R137" s="1">
        <f>(Main_S[[#This Row],[ROA]]-VLOOKUP(Main_S[[#This Row],[Industry]], Mean_ROA_S, 2, FALSE))/(VLOOKUP(Main_S[[#This Row],[Industry]], Mean_ROA_S, 3, FALSE))</f>
        <v>5.1569885697534295</v>
      </c>
      <c r="S137" s="1">
        <f>(Main_S[[#This Row],[A/E]]-VLOOKUP(Main_S[[#This Row],[Industry]], Mean_AE_S, 2, FALSE))/(VLOOKUP(Main_S[[#This Row],[Industry]], Mean_AE_S, 3, FALSE))</f>
        <v>-1.5273217146028211</v>
      </c>
      <c r="T137" s="1">
        <f>(Main_S[[#This Row],[P/E]]-VLOOKUP(Main_S[[#This Row],[Industry]], Mean_PE_S, 2, FALSE))/(VLOOKUP(Main_S[[#This Row],[Industry]], Mean_PE_S, 3, FALSE))</f>
        <v>-0.25007498834142544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7" t="s">
        <v>172</v>
      </c>
      <c r="B138" s="67" t="s">
        <v>609</v>
      </c>
      <c r="C138" s="2">
        <v>596</v>
      </c>
      <c r="D138">
        <f>RTD("tos.rtd", , "LAST", Main_S[[#This Row],[Symbol]])</f>
        <v>26.84</v>
      </c>
      <c r="E138">
        <v>5.4</v>
      </c>
      <c r="F138">
        <v>21.41</v>
      </c>
      <c r="G138">
        <v>3.93</v>
      </c>
      <c r="H138" s="1">
        <f>IF(ISNUMBER(Main_S[[#This Row],[Free CF]]),IF(Main_S[[#This Row],[Free CF]]&lt;&gt;0,Main_S[[#This Row],[Current Price]]/Main_S[[#This Row],[Free CF]],""),"")</f>
        <v>4.9703703703703699</v>
      </c>
      <c r="I138" s="1">
        <f>IF(ISNUMBER(Main_S[[#This Row],[BVPS]]),IF(Main_S[[#This Row],[BVPS]]&lt;&gt;0,Main_S[[#This Row],[Current Price]]/Main_S[[#This Row],[BVPS]],""),"")</f>
        <v>1.2536198038299859</v>
      </c>
      <c r="J138">
        <v>18.79</v>
      </c>
      <c r="K138">
        <v>5.39</v>
      </c>
      <c r="L138">
        <v>1.62</v>
      </c>
      <c r="M138" s="1">
        <f>IF(ISNUMBER(Main_S[[#This Row],[EPS]]),IF(Main_S[[#This Row],[EPS]]&lt;&gt;0,Main_S[[#This Row],[Current Price]]/Main_S[[#This Row],[EPS]],""),"")</f>
        <v>6.8295165394402035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38" s="1">
        <f>(Main_S[[#This Row],[P/FCF]]-VLOOKUP(Main_S[[#This Row],[Industry]], Mean_PFCF_S, 2, FALSE))/(VLOOKUP(Main_S[[#This Row],[Industry]], Mean_PFCF_S, 3, FALSE))</f>
        <v>-0.16844006531884917</v>
      </c>
      <c r="P138" s="1">
        <f>(Main_S[[#This Row],[P/B]]-VLOOKUP(Main_S[[#This Row],[Industry]], Mean_PB_S, 2, FALSE))/(VLOOKUP(Main_S[[#This Row],[Industry]], Mean_PB_S, 3, FALSE))</f>
        <v>-2.784435002460852E-2</v>
      </c>
      <c r="Q138" s="1">
        <f>(Main_S[[#This Row],[ROE]]-VLOOKUP(Main_S[[#This Row],[Industry]], Mean_ROE_S, 2, FALSE))/(VLOOKUP(Main_S[[#This Row],[Industry]], Mean_ROE_S, 3, FALSE))</f>
        <v>1.3487634581910439</v>
      </c>
      <c r="R138" s="1">
        <f>(Main_S[[#This Row],[ROA]]-VLOOKUP(Main_S[[#This Row],[Industry]], Mean_ROA_S, 2, FALSE))/(VLOOKUP(Main_S[[#This Row],[Industry]], Mean_ROA_S, 3, FALSE))</f>
        <v>0.29042234100001951</v>
      </c>
      <c r="S138" s="1">
        <f>(Main_S[[#This Row],[A/E]]-VLOOKUP(Main_S[[#This Row],[Industry]], Mean_AE_S, 2, FALSE))/(VLOOKUP(Main_S[[#This Row],[Industry]], Mean_AE_S, 3, FALSE))</f>
        <v>-0.96735084853351627</v>
      </c>
      <c r="T138" s="1">
        <f>(Main_S[[#This Row],[P/E]]-VLOOKUP(Main_S[[#This Row],[Industry]], Mean_PE_S, 2, FALSE))/(VLOOKUP(Main_S[[#This Row],[Industry]], Mean_PE_S, 3, FALSE))</f>
        <v>-0.56622269716721874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7" t="s">
        <v>172</v>
      </c>
      <c r="B139" s="67" t="s">
        <v>634</v>
      </c>
      <c r="C139" s="2">
        <v>1428</v>
      </c>
      <c r="D139">
        <f>RTD("tos.rtd", , "LAST", Main_S[[#This Row],[Symbol]])</f>
        <v>8.64</v>
      </c>
      <c r="E139">
        <v>5.16</v>
      </c>
      <c r="F139">
        <v>3.74</v>
      </c>
      <c r="G139">
        <v>0.37</v>
      </c>
      <c r="H139" s="1">
        <f>IF(ISNUMBER(Main_S[[#This Row],[Free CF]]),IF(Main_S[[#This Row],[Free CF]]&lt;&gt;0,Main_S[[#This Row],[Current Price]]/Main_S[[#This Row],[Free CF]],""),"")</f>
        <v>1.6744186046511629</v>
      </c>
      <c r="I139" s="1">
        <f>IF(ISNUMBER(Main_S[[#This Row],[BVPS]]),IF(Main_S[[#This Row],[BVPS]]&lt;&gt;0,Main_S[[#This Row],[Current Price]]/Main_S[[#This Row],[BVPS]],""),"")</f>
        <v>2.3101604278074865</v>
      </c>
      <c r="J139">
        <v>10.6</v>
      </c>
      <c r="K139">
        <v>1.21</v>
      </c>
      <c r="L139">
        <v>9.75</v>
      </c>
      <c r="M139" s="1">
        <f>IF(ISNUMBER(Main_S[[#This Row],[EPS]]),IF(Main_S[[#This Row],[EPS]]&lt;&gt;0,Main_S[[#This Row],[Current Price]]/Main_S[[#This Row],[EPS]],""),"")</f>
        <v>23.351351351351354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-0.41002645982804042</v>
      </c>
      <c r="P139" s="1">
        <f>(Main_S[[#This Row],[P/B]]-VLOOKUP(Main_S[[#This Row],[Industry]], Mean_PB_S, 2, FALSE))/(VLOOKUP(Main_S[[#This Row],[Industry]], Mean_PB_S, 3, FALSE))</f>
        <v>1.2020783979960383</v>
      </c>
      <c r="Q139" s="1">
        <f>(Main_S[[#This Row],[ROE]]-VLOOKUP(Main_S[[#This Row],[Industry]], Mean_ROE_S, 2, FALSE))/(VLOOKUP(Main_S[[#This Row],[Industry]], Mean_ROE_S, 3, FALSE))</f>
        <v>0.17806133666558532</v>
      </c>
      <c r="R139" s="1">
        <f>(Main_S[[#This Row],[ROA]]-VLOOKUP(Main_S[[#This Row],[Industry]], Mean_ROA_S, 2, FALSE))/(VLOOKUP(Main_S[[#This Row],[Industry]], Mean_ROA_S, 3, FALSE))</f>
        <v>-2.0640043761515141</v>
      </c>
      <c r="S139" s="1">
        <f>(Main_S[[#This Row],[A/E]]-VLOOKUP(Main_S[[#This Row],[Industry]], Mean_AE_S, 2, FALSE))/(VLOOKUP(Main_S[[#This Row],[Industry]], Mean_AE_S, 3, FALSE))</f>
        <v>14.731142741616299</v>
      </c>
      <c r="T139" s="1">
        <f>(Main_S[[#This Row],[P/E]]-VLOOKUP(Main_S[[#This Row],[Industry]], Mean_PE_S, 2, FALSE))/(VLOOKUP(Main_S[[#This Row],[Industry]], Mean_PE_S, 3, FALSE))</f>
        <v>1.3299592293605538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7" t="s">
        <v>172</v>
      </c>
      <c r="B140" s="67" t="s">
        <v>631</v>
      </c>
      <c r="C140" s="2">
        <v>1180</v>
      </c>
      <c r="D140">
        <f>RTD("tos.rtd", , "LAST", Main_S[[#This Row],[Symbol]])</f>
        <v>175.25</v>
      </c>
      <c r="E140">
        <v>3.67</v>
      </c>
      <c r="F140">
        <v>129.32</v>
      </c>
      <c r="G140">
        <v>16.84</v>
      </c>
      <c r="H140" s="1">
        <f>IF(ISNUMBER(Main_S[[#This Row],[Free CF]]),IF(Main_S[[#This Row],[Free CF]]&lt;&gt;0,Main_S[[#This Row],[Current Price]]/Main_S[[#This Row],[Free CF]],""),"")</f>
        <v>47.752043596730246</v>
      </c>
      <c r="I140" s="1">
        <f>IF(ISNUMBER(Main_S[[#This Row],[BVPS]]),IF(Main_S[[#This Row],[BVPS]]&lt;&gt;0,Main_S[[#This Row],[Current Price]]/Main_S[[#This Row],[BVPS]],""),"")</f>
        <v>1.3551654809774205</v>
      </c>
      <c r="J140">
        <v>14.21</v>
      </c>
      <c r="K140">
        <v>3.14</v>
      </c>
      <c r="L140">
        <v>4.13</v>
      </c>
      <c r="M140" s="1">
        <f>IF(ISNUMBER(Main_S[[#This Row],[EPS]]),IF(Main_S[[#This Row],[EPS]]&lt;&gt;0,Main_S[[#This Row],[Current Price]]/Main_S[[#This Row],[EPS]],""),"")</f>
        <v>10.406769596199526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2.9673674101802314</v>
      </c>
      <c r="P140" s="1">
        <f>(Main_S[[#This Row],[P/B]]-VLOOKUP(Main_S[[#This Row],[Industry]], Mean_PB_S, 2, FALSE))/(VLOOKUP(Main_S[[#This Row],[Industry]], Mean_PB_S, 3, FALSE))</f>
        <v>9.0365338701425504E-2</v>
      </c>
      <c r="Q140" s="1">
        <f>(Main_S[[#This Row],[ROE]]-VLOOKUP(Main_S[[#This Row],[Industry]], Mean_ROE_S, 2, FALSE))/(VLOOKUP(Main_S[[#This Row],[Industry]], Mean_ROE_S, 3, FALSE))</f>
        <v>0.69408510451746663</v>
      </c>
      <c r="R140" s="1">
        <f>(Main_S[[#This Row],[ROA]]-VLOOKUP(Main_S[[#This Row],[Industry]], Mean_ROA_S, 2, FALSE))/(VLOOKUP(Main_S[[#This Row],[Industry]], Mean_ROA_S, 3, FALSE))</f>
        <v>-0.97691261440451405</v>
      </c>
      <c r="S140" s="1">
        <f>(Main_S[[#This Row],[A/E]]-VLOOKUP(Main_S[[#This Row],[Industry]], Mean_AE_S, 2, FALSE))/(VLOOKUP(Main_S[[#This Row],[Industry]], Mean_AE_S, 3, FALSE))</f>
        <v>3.8792935439973619</v>
      </c>
      <c r="T140" s="1">
        <f>(Main_S[[#This Row],[P/E]]-VLOOKUP(Main_S[[#This Row],[Industry]], Mean_PE_S, 2, FALSE))/(VLOOKUP(Main_S[[#This Row],[Industry]], Mean_PE_S, 3, FALSE))</f>
        <v>-0.15566765469983654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7" t="s">
        <v>172</v>
      </c>
      <c r="B141" s="67" t="s">
        <v>627</v>
      </c>
      <c r="C141" s="2">
        <v>667</v>
      </c>
      <c r="D141">
        <f>RTD("tos.rtd", , "LAST", Main_S[[#This Row],[Symbol]])</f>
        <v>7.95</v>
      </c>
      <c r="E141">
        <v>3.65</v>
      </c>
      <c r="F141">
        <v>9.18</v>
      </c>
      <c r="G141">
        <v>-0.55000000000000004</v>
      </c>
      <c r="H141" s="1">
        <f>IF(ISNUMBER(Main_S[[#This Row],[Free CF]]),IF(Main_S[[#This Row],[Free CF]]&lt;&gt;0,Main_S[[#This Row],[Current Price]]/Main_S[[#This Row],[Free CF]],""),"")</f>
        <v>2.1780821917808222</v>
      </c>
      <c r="I141" s="1">
        <f>IF(ISNUMBER(Main_S[[#This Row],[BVPS]]),IF(Main_S[[#This Row],[BVPS]]&lt;&gt;0,Main_S[[#This Row],[Current Price]]/Main_S[[#This Row],[BVPS]],""),"")</f>
        <v>0.86601307189542487</v>
      </c>
      <c r="J141">
        <v>-5.45</v>
      </c>
      <c r="K141">
        <v>6.34</v>
      </c>
      <c r="L141">
        <v>2.4300000000000002</v>
      </c>
      <c r="M141" s="1">
        <f>IF(ISNUMBER(Main_S[[#This Row],[EPS]]),IF(Main_S[[#This Row],[EPS]]&lt;&gt;0,Main_S[[#This Row],[Current Price]]/Main_S[[#This Row],[EPS]],""),"")</f>
        <v>-14.454545454545453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-0.37310896870278154</v>
      </c>
      <c r="P141" s="1">
        <f>(Main_S[[#This Row],[P/B]]-VLOOKUP(Main_S[[#This Row],[Industry]], Mean_PB_S, 2, FALSE))/(VLOOKUP(Main_S[[#This Row],[Industry]], Mean_PB_S, 3, FALSE))</f>
        <v>-0.47905874355881267</v>
      </c>
      <c r="Q141" s="1">
        <f>(Main_S[[#This Row],[ROE]]-VLOOKUP(Main_S[[#This Row],[Industry]], Mean_ROE_S, 2, FALSE))/(VLOOKUP(Main_S[[#This Row],[Industry]], Mean_ROE_S, 3, FALSE))</f>
        <v>-2.1161717586315589</v>
      </c>
      <c r="R141" s="1">
        <f>(Main_S[[#This Row],[ROA]]-VLOOKUP(Main_S[[#This Row],[Industry]], Mean_ROA_S, 2, FALSE))/(VLOOKUP(Main_S[[#This Row],[Industry]], Mean_ROA_S, 3, FALSE))</f>
        <v>0.8255193221708228</v>
      </c>
      <c r="S141" s="1">
        <f>(Main_S[[#This Row],[A/E]]-VLOOKUP(Main_S[[#This Row],[Industry]], Mean_AE_S, 2, FALSE))/(VLOOKUP(Main_S[[#This Row],[Industry]], Mean_AE_S, 3, FALSE))</f>
        <v>0.59670570841867965</v>
      </c>
      <c r="T141" s="1">
        <f>(Main_S[[#This Row],[P/E]]-VLOOKUP(Main_S[[#This Row],[Industry]], Mean_PE_S, 2, FALSE))/(VLOOKUP(Main_S[[#This Row],[Industry]], Mean_PE_S, 3, FALSE))</f>
        <v>-3.0089570626625384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2" spans="1:26" x14ac:dyDescent="0.25">
      <c r="A142" s="67" t="s">
        <v>172</v>
      </c>
      <c r="B142" s="67" t="s">
        <v>597</v>
      </c>
      <c r="C142" s="2">
        <v>411</v>
      </c>
      <c r="D142">
        <f>RTD("tos.rtd", , "LAST", Main_S[[#This Row],[Symbol]])</f>
        <v>9.42</v>
      </c>
      <c r="E142">
        <v>3.32</v>
      </c>
      <c r="F142">
        <v>1.64</v>
      </c>
      <c r="G142">
        <v>-0.49</v>
      </c>
      <c r="H142" s="1">
        <f>IF(ISNUMBER(Main_S[[#This Row],[Free CF]]),IF(Main_S[[#This Row],[Free CF]]&lt;&gt;0,Main_S[[#This Row],[Current Price]]/Main_S[[#This Row],[Free CF]],""),"")</f>
        <v>2.8373493975903616</v>
      </c>
      <c r="I142" s="1">
        <f>IF(ISNUMBER(Main_S[[#This Row],[BVPS]]),IF(Main_S[[#This Row],[BVPS]]&lt;&gt;0,Main_S[[#This Row],[Current Price]]/Main_S[[#This Row],[BVPS]],""),"")</f>
        <v>5.7439024390243905</v>
      </c>
      <c r="J142">
        <v>3.32</v>
      </c>
      <c r="K142">
        <v>3.82</v>
      </c>
      <c r="L142">
        <v>16.170000000000002</v>
      </c>
      <c r="M142" s="1">
        <f>IF(ISNUMBER(Main_S[[#This Row],[EPS]]),IF(Main_S[[#This Row],[EPS]]&lt;&gt;0,Main_S[[#This Row],[Current Price]]/Main_S[[#This Row],[EPS]],""),"")</f>
        <v>-19.224489795918366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-0.32478605666073546</v>
      </c>
      <c r="P142" s="1">
        <f>(Main_S[[#This Row],[P/B]]-VLOOKUP(Main_S[[#This Row],[Industry]], Mean_PB_S, 2, FALSE))/(VLOOKUP(Main_S[[#This Row],[Industry]], Mean_PB_S, 3, FALSE))</f>
        <v>5.1993098480569424</v>
      </c>
      <c r="Q142" s="1">
        <f>(Main_S[[#This Row],[ROE]]-VLOOKUP(Main_S[[#This Row],[Industry]], Mean_ROE_S, 2, FALSE))/(VLOOKUP(Main_S[[#This Row],[Industry]], Mean_ROE_S, 3, FALSE))</f>
        <v>-0.86256277135704462</v>
      </c>
      <c r="R142" s="1">
        <f>(Main_S[[#This Row],[ROA]]-VLOOKUP(Main_S[[#This Row],[Industry]], Mean_ROA_S, 2, FALSE))/(VLOOKUP(Main_S[[#This Row],[Industry]], Mean_ROA_S, 3, FALSE))</f>
        <v>-0.59389582788225515</v>
      </c>
      <c r="S142" s="1">
        <f>(Main_S[[#This Row],[A/E]]-VLOOKUP(Main_S[[#This Row],[Industry]], Mean_AE_S, 2, FALSE))/(VLOOKUP(Main_S[[#This Row],[Industry]], Mean_AE_S, 3, FALSE))</f>
        <v>27.127739155978151</v>
      </c>
      <c r="T142" s="1">
        <f>(Main_S[[#This Row],[P/E]]-VLOOKUP(Main_S[[#This Row],[Industry]], Mean_PE_S, 2, FALSE))/(VLOOKUP(Main_S[[#This Row],[Industry]], Mean_PE_S, 3, FALSE))</f>
        <v>-3.5563951864315837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3" spans="1:26" x14ac:dyDescent="0.25">
      <c r="A143" s="67" t="s">
        <v>172</v>
      </c>
      <c r="B143" s="67" t="s">
        <v>599</v>
      </c>
      <c r="C143" s="2">
        <v>1024</v>
      </c>
      <c r="D143">
        <f>RTD("tos.rtd", , "LAST", Main_S[[#This Row],[Symbol]])</f>
        <v>14.14</v>
      </c>
      <c r="E143">
        <v>3.31</v>
      </c>
      <c r="F143">
        <v>16.63</v>
      </c>
      <c r="G143">
        <v>1.3</v>
      </c>
      <c r="H143" s="1">
        <f>IF(ISNUMBER(Main_S[[#This Row],[Free CF]]),IF(Main_S[[#This Row],[Free CF]]&lt;&gt;0,Main_S[[#This Row],[Current Price]]/Main_S[[#This Row],[Free CF]],""),"")</f>
        <v>4.2719033232628396</v>
      </c>
      <c r="I143" s="1">
        <f>IF(ISNUMBER(Main_S[[#This Row],[BVPS]]),IF(Main_S[[#This Row],[BVPS]]&lt;&gt;0,Main_S[[#This Row],[Current Price]]/Main_S[[#This Row],[BVPS]],""),"")</f>
        <v>0.85027059530968141</v>
      </c>
      <c r="J143">
        <v>6.93</v>
      </c>
      <c r="K143">
        <v>4.8</v>
      </c>
      <c r="L143">
        <v>2.09</v>
      </c>
      <c r="M143" s="1">
        <f>IF(ISNUMBER(Main_S[[#This Row],[EPS]]),IF(Main_S[[#This Row],[EPS]]&lt;&gt;0,Main_S[[#This Row],[Current Price]]/Main_S[[#This Row],[EPS]],""),"")</f>
        <v>10.876923076923077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-0.21963624402183729</v>
      </c>
      <c r="P143" s="1">
        <f>(Main_S[[#This Row],[P/B]]-VLOOKUP(Main_S[[#This Row],[Industry]], Mean_PB_S, 2, FALSE))/(VLOOKUP(Main_S[[#This Row],[Industry]], Mean_PB_S, 3, FALSE))</f>
        <v>-0.49738461728631506</v>
      </c>
      <c r="Q143" s="1">
        <f>(Main_S[[#This Row],[ROE]]-VLOOKUP(Main_S[[#This Row],[Industry]], Mean_ROE_S, 2, FALSE))/(VLOOKUP(Main_S[[#This Row],[Industry]], Mean_ROE_S, 3, FALSE))</f>
        <v>-0.34653900350516359</v>
      </c>
      <c r="R143" s="1">
        <f>(Main_S[[#This Row],[ROA]]-VLOOKUP(Main_S[[#This Row],[Industry]], Mean_ROA_S, 2, FALSE))/(VLOOKUP(Main_S[[#This Row],[Industry]], Mean_ROA_S, 3, FALSE))</f>
        <v>-4.1901047306058169E-2</v>
      </c>
      <c r="S143" s="1">
        <f>(Main_S[[#This Row],[A/E]]-VLOOKUP(Main_S[[#This Row],[Industry]], Mean_AE_S, 2, FALSE))/(VLOOKUP(Main_S[[#This Row],[Industry]], Mean_AE_S, 3, FALSE))</f>
        <v>-5.98118586970574E-2</v>
      </c>
      <c r="T143" s="1">
        <f>(Main_S[[#This Row],[P/E]]-VLOOKUP(Main_S[[#This Row],[Industry]], Mean_PE_S, 2, FALSE))/(VLOOKUP(Main_S[[#This Row],[Industry]], Mean_PE_S, 3, FALSE))</f>
        <v>-0.10170896651591815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7" t="s">
        <v>172</v>
      </c>
      <c r="B144" s="67" t="s">
        <v>722</v>
      </c>
      <c r="C144" s="2">
        <v>280</v>
      </c>
      <c r="D144">
        <f>RTD("tos.rtd", , "LAST", Main_S[[#This Row],[Symbol]])</f>
        <v>7.29</v>
      </c>
      <c r="E144">
        <v>3.27</v>
      </c>
      <c r="F144">
        <v>8.6199999999999992</v>
      </c>
      <c r="G144">
        <v>0.93</v>
      </c>
      <c r="H144" s="1">
        <f>IF(ISNUMBER(Main_S[[#This Row],[Free CF]]),IF(Main_S[[#This Row],[Free CF]]&lt;&gt;0,Main_S[[#This Row],[Current Price]]/Main_S[[#This Row],[Free CF]],""),"")</f>
        <v>2.2293577981651378</v>
      </c>
      <c r="I144" s="1">
        <f>IF(ISNUMBER(Main_S[[#This Row],[BVPS]]),IF(Main_S[[#This Row],[BVPS]]&lt;&gt;0,Main_S[[#This Row],[Current Price]]/Main_S[[#This Row],[BVPS]],""),"")</f>
        <v>0.84570765661252911</v>
      </c>
      <c r="J144">
        <v>10.68</v>
      </c>
      <c r="K144">
        <v>6.55</v>
      </c>
      <c r="L144">
        <v>2.12</v>
      </c>
      <c r="M144" s="1">
        <f>IF(ISNUMBER(Main_S[[#This Row],[EPS]]),IF(Main_S[[#This Row],[EPS]]&lt;&gt;0,Main_S[[#This Row],[Current Price]]/Main_S[[#This Row],[EPS]],""),"")</f>
        <v>7.8387096774193541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44" s="1">
        <f>(Main_S[[#This Row],[P/FCF]]-VLOOKUP(Main_S[[#This Row],[Industry]], Mean_PFCF_S, 2, FALSE))/(VLOOKUP(Main_S[[#This Row],[Industry]], Mean_PFCF_S, 3, FALSE))</f>
        <v>-0.36935057363113638</v>
      </c>
      <c r="P144" s="1">
        <f>(Main_S[[#This Row],[P/B]]-VLOOKUP(Main_S[[#This Row],[Industry]], Mean_PB_S, 2, FALSE))/(VLOOKUP(Main_S[[#This Row],[Industry]], Mean_PB_S, 3, FALSE))</f>
        <v>-0.5026963506679657</v>
      </c>
      <c r="Q144" s="1">
        <f>(Main_S[[#This Row],[ROE]]-VLOOKUP(Main_S[[#This Row],[Industry]], Mean_ROE_S, 2, FALSE))/(VLOOKUP(Main_S[[#This Row],[Industry]], Mean_ROE_S, 3, FALSE))</f>
        <v>0.18949676642407576</v>
      </c>
      <c r="R144" s="1">
        <f>(Main_S[[#This Row],[ROA]]-VLOOKUP(Main_S[[#This Row],[Industry]], Mean_ROA_S, 2, FALSE))/(VLOOKUP(Main_S[[#This Row],[Industry]], Mean_ROA_S, 3, FALSE))</f>
        <v>0.94380391800857921</v>
      </c>
      <c r="S144" s="1">
        <f>(Main_S[[#This Row],[A/E]]-VLOOKUP(Main_S[[#This Row],[Industry]], Mean_AE_S, 2, FALSE))/(VLOOKUP(Main_S[[#This Row],[Industry]], Mean_AE_S, 3, FALSE))</f>
        <v>-1.8838380691978142E-3</v>
      </c>
      <c r="T144" s="1">
        <f>(Main_S[[#This Row],[P/E]]-VLOOKUP(Main_S[[#This Row],[Industry]], Mean_PE_S, 2, FALSE))/(VLOOKUP(Main_S[[#This Row],[Industry]], Mean_PE_S, 3, FALSE))</f>
        <v>-0.45039937546009662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7" t="s">
        <v>172</v>
      </c>
      <c r="B145" s="67" t="s">
        <v>637</v>
      </c>
      <c r="C145" s="2">
        <v>1506</v>
      </c>
      <c r="D145">
        <f>RTD("tos.rtd", , "LAST", Main_S[[#This Row],[Symbol]])</f>
        <v>56.56</v>
      </c>
      <c r="E145">
        <v>3.25</v>
      </c>
      <c r="F145">
        <v>14.89</v>
      </c>
      <c r="G145">
        <v>3.01</v>
      </c>
      <c r="H145" s="1">
        <f>IF(ISNUMBER(Main_S[[#This Row],[Free CF]]),IF(Main_S[[#This Row],[Free CF]]&lt;&gt;0,Main_S[[#This Row],[Current Price]]/Main_S[[#This Row],[Free CF]],""),"")</f>
        <v>17.403076923076924</v>
      </c>
      <c r="I145" s="1">
        <f>IF(ISNUMBER(Main_S[[#This Row],[BVPS]]),IF(Main_S[[#This Row],[BVPS]]&lt;&gt;0,Main_S[[#This Row],[Current Price]]/Main_S[[#This Row],[BVPS]],""),"")</f>
        <v>3.7985224983210206</v>
      </c>
      <c r="J145">
        <v>21.74</v>
      </c>
      <c r="K145">
        <v>10.56</v>
      </c>
      <c r="L145">
        <v>2.0299999999999998</v>
      </c>
      <c r="M145" s="1">
        <f>IF(ISNUMBER(Main_S[[#This Row],[EPS]]),IF(Main_S[[#This Row],[EPS]]&lt;&gt;0,Main_S[[#This Row],[Current Price]]/Main_S[[#This Row],[EPS]],""),"")</f>
        <v>18.790697674418606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0.74285141087900286</v>
      </c>
      <c r="P145" s="1">
        <f>(Main_S[[#This Row],[P/B]]-VLOOKUP(Main_S[[#This Row],[Industry]], Mean_PB_S, 2, FALSE))/(VLOOKUP(Main_S[[#This Row],[Industry]], Mean_PB_S, 3, FALSE))</f>
        <v>2.9346860481631065</v>
      </c>
      <c r="Q145" s="1">
        <f>(Main_S[[#This Row],[ROE]]-VLOOKUP(Main_S[[#This Row],[Industry]], Mean_ROE_S, 2, FALSE))/(VLOOKUP(Main_S[[#This Row],[Industry]], Mean_ROE_S, 3, FALSE))</f>
        <v>1.7704449305353789</v>
      </c>
      <c r="R145" s="1">
        <f>(Main_S[[#This Row],[ROA]]-VLOOKUP(Main_S[[#This Row],[Industry]], Mean_ROA_S, 2, FALSE))/(VLOOKUP(Main_S[[#This Row],[Industry]], Mean_ROA_S, 3, FALSE))</f>
        <v>3.2024764385295486</v>
      </c>
      <c r="S145" s="1">
        <f>(Main_S[[#This Row],[A/E]]-VLOOKUP(Main_S[[#This Row],[Industry]], Mean_AE_S, 2, FALSE))/(VLOOKUP(Main_S[[#This Row],[Industry]], Mean_AE_S, 3, FALSE))</f>
        <v>-0.17566789995277571</v>
      </c>
      <c r="T145" s="1">
        <f>(Main_S[[#This Row],[P/E]]-VLOOKUP(Main_S[[#This Row],[Industry]], Mean_PE_S, 2, FALSE))/(VLOOKUP(Main_S[[#This Row],[Industry]], Mean_PE_S, 3, FALSE))</f>
        <v>0.80654102709661435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7" t="s">
        <v>172</v>
      </c>
      <c r="B146" s="67" t="s">
        <v>608</v>
      </c>
      <c r="C146" s="2">
        <v>630</v>
      </c>
      <c r="D146">
        <f>RTD("tos.rtd", , "LAST", Main_S[[#This Row],[Symbol]])</f>
        <v>12.63</v>
      </c>
      <c r="E146">
        <v>3.19</v>
      </c>
      <c r="F146">
        <v>-0.63</v>
      </c>
      <c r="G146">
        <v>0.14000000000000001</v>
      </c>
      <c r="H146" s="1">
        <f>IF(ISNUMBER(Main_S[[#This Row],[Free CF]]),IF(Main_S[[#This Row],[Free CF]]&lt;&gt;0,Main_S[[#This Row],[Current Price]]/Main_S[[#This Row],[Free CF]],""),"")</f>
        <v>3.9592476489028217</v>
      </c>
      <c r="I146" s="1">
        <f>IF(ISNUMBER(Main_S[[#This Row],[BVPS]]),IF(Main_S[[#This Row],[BVPS]]&lt;&gt;0,Main_S[[#This Row],[Current Price]]/Main_S[[#This Row],[BVPS]],""),"")</f>
        <v>-20.047619047619047</v>
      </c>
      <c r="J146">
        <v>-57.12</v>
      </c>
      <c r="K146">
        <v>12.16</v>
      </c>
      <c r="L146">
        <v>-20.47</v>
      </c>
      <c r="M146" s="1">
        <f>IF(ISNUMBER(Main_S[[#This Row],[EPS]]),IF(Main_S[[#This Row],[EPS]]&lt;&gt;0,Main_S[[#This Row],[Current Price]]/Main_S[[#This Row],[EPS]],""),"")</f>
        <v>90.214285714285708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-0.24255325326848032</v>
      </c>
      <c r="P146" s="1">
        <f>(Main_S[[#This Row],[P/B]]-VLOOKUP(Main_S[[#This Row],[Industry]], Mean_PB_S, 2, FALSE))/(VLOOKUP(Main_S[[#This Row],[Industry]], Mean_PB_S, 3, FALSE))</f>
        <v>-24.824693264161841</v>
      </c>
      <c r="Q146" s="1">
        <f>(Main_S[[#This Row],[ROE]]-VLOOKUP(Main_S[[#This Row],[Industry]], Mean_ROE_S, 2, FALSE))/(VLOOKUP(Main_S[[#This Row],[Industry]], Mean_ROE_S, 3, FALSE))</f>
        <v>-9.5020299538965709</v>
      </c>
      <c r="R146" s="1">
        <f>(Main_S[[#This Row],[ROA]]-VLOOKUP(Main_S[[#This Row],[Industry]], Mean_ROA_S, 2, FALSE))/(VLOOKUP(Main_S[[#This Row],[Industry]], Mean_ROA_S, 3, FALSE))</f>
        <v>4.1036924068172169</v>
      </c>
      <c r="S146" s="1">
        <f>(Main_S[[#This Row],[A/E]]-VLOOKUP(Main_S[[#This Row],[Industry]], Mean_AE_S, 2, FALSE))/(VLOOKUP(Main_S[[#This Row],[Industry]], Mean_AE_S, 3, FALSE))</f>
        <v>-43.621683370847101</v>
      </c>
      <c r="T146" s="1">
        <f>(Main_S[[#This Row],[P/E]]-VLOOKUP(Main_S[[#This Row],[Industry]], Mean_PE_S, 2, FALSE))/(VLOOKUP(Main_S[[#This Row],[Industry]], Mean_PE_S, 3, FALSE))</f>
        <v>9.0037006229136338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7" spans="1:26" x14ac:dyDescent="0.25">
      <c r="A147" s="67" t="s">
        <v>172</v>
      </c>
      <c r="B147" s="67" t="s">
        <v>636</v>
      </c>
      <c r="C147" s="2">
        <v>654</v>
      </c>
      <c r="D147">
        <f>RTD("tos.rtd", , "LAST", Main_S[[#This Row],[Symbol]])</f>
        <v>5.23</v>
      </c>
      <c r="E147">
        <v>2.99</v>
      </c>
      <c r="F147">
        <v>0.46</v>
      </c>
      <c r="G147">
        <v>-34.11</v>
      </c>
      <c r="H147" s="1">
        <f>IF(ISNUMBER(Main_S[[#This Row],[Free CF]]),IF(Main_S[[#This Row],[Free CF]]&lt;&gt;0,Main_S[[#This Row],[Current Price]]/Main_S[[#This Row],[Free CF]],""),"")</f>
        <v>1.7491638795986622</v>
      </c>
      <c r="I147" s="1">
        <f>IF(ISNUMBER(Main_S[[#This Row],[BVPS]]),IF(Main_S[[#This Row],[BVPS]]&lt;&gt;0,Main_S[[#This Row],[Current Price]]/Main_S[[#This Row],[BVPS]],""),"")</f>
        <v>11.369565217391305</v>
      </c>
      <c r="J147">
        <v>-123.64</v>
      </c>
      <c r="K147">
        <v>0.51</v>
      </c>
      <c r="L147">
        <v>10.43</v>
      </c>
      <c r="M147" s="1">
        <f>IF(ISNUMBER(Main_S[[#This Row],[EPS]]),IF(Main_S[[#This Row],[EPS]]&lt;&gt;0,Main_S[[#This Row],[Current Price]]/Main_S[[#This Row],[EPS]],""),"")</f>
        <v>-0.15332746995016125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-0.40454778696972449</v>
      </c>
      <c r="P147" s="1">
        <f>(Main_S[[#This Row],[P/B]]-VLOOKUP(Main_S[[#This Row],[Industry]], Mean_PB_S, 2, FALSE))/(VLOOKUP(Main_S[[#This Row],[Industry]], Mean_PB_S, 3, FALSE))</f>
        <v>11.748164162582427</v>
      </c>
      <c r="Q147" s="1">
        <f>(Main_S[[#This Row],[ROE]]-VLOOKUP(Main_S[[#This Row],[Industry]], Mean_ROE_S, 2, FALSE))/(VLOOKUP(Main_S[[#This Row],[Industry]], Mean_ROE_S, 3, FALSE))</f>
        <v>-19.010589798081373</v>
      </c>
      <c r="R147" s="1">
        <f>(Main_S[[#This Row],[ROA]]-VLOOKUP(Main_S[[#This Row],[Industry]], Mean_ROA_S, 2, FALSE))/(VLOOKUP(Main_S[[#This Row],[Industry]], Mean_ROA_S, 3, FALSE))</f>
        <v>-2.4582863622773692</v>
      </c>
      <c r="S147" s="1">
        <f>(Main_S[[#This Row],[A/E]]-VLOOKUP(Main_S[[#This Row],[Industry]], Mean_AE_S, 2, FALSE))/(VLOOKUP(Main_S[[#This Row],[Industry]], Mean_AE_S, 3, FALSE))</f>
        <v>16.044177875847772</v>
      </c>
      <c r="T147" s="1">
        <f>(Main_S[[#This Row],[P/E]]-VLOOKUP(Main_S[[#This Row],[Industry]], Mean_PE_S, 2, FALSE))/(VLOOKUP(Main_S[[#This Row],[Industry]], Mean_PE_S, 3, FALSE))</f>
        <v>-1.3676314242913417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7" t="s">
        <v>172</v>
      </c>
      <c r="B148" s="67" t="s">
        <v>616</v>
      </c>
      <c r="C148" s="2">
        <v>1289</v>
      </c>
      <c r="D148">
        <f>RTD("tos.rtd", , "LAST", Main_S[[#This Row],[Symbol]])</f>
        <v>14.45</v>
      </c>
      <c r="E148">
        <v>2.91</v>
      </c>
      <c r="F148">
        <v>16.75</v>
      </c>
      <c r="G148">
        <v>0.11</v>
      </c>
      <c r="H148" s="1">
        <f>IF(ISNUMBER(Main_S[[#This Row],[Free CF]]),IF(Main_S[[#This Row],[Free CF]]&lt;&gt;0,Main_S[[#This Row],[Current Price]]/Main_S[[#This Row],[Free CF]],""),"")</f>
        <v>4.9656357388316144</v>
      </c>
      <c r="I148" s="1">
        <f>IF(ISNUMBER(Main_S[[#This Row],[BVPS]]),IF(Main_S[[#This Row],[BVPS]]&lt;&gt;0,Main_S[[#This Row],[Current Price]]/Main_S[[#This Row],[BVPS]],""),"")</f>
        <v>0.86268656716417902</v>
      </c>
      <c r="J148">
        <v>0.6</v>
      </c>
      <c r="K148">
        <v>5.81</v>
      </c>
      <c r="L148">
        <v>2.09</v>
      </c>
      <c r="M148" s="1">
        <f>IF(ISNUMBER(Main_S[[#This Row],[EPS]]),IF(Main_S[[#This Row],[EPS]]&lt;&gt;0,Main_S[[#This Row],[Current Price]]/Main_S[[#This Row],[EPS]],""),"")</f>
        <v>131.36363636363635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-0.16878710394200933</v>
      </c>
      <c r="P148" s="1">
        <f>(Main_S[[#This Row],[P/B]]-VLOOKUP(Main_S[[#This Row],[Industry]], Mean_PB_S, 2, FALSE))/(VLOOKUP(Main_S[[#This Row],[Industry]], Mean_PB_S, 3, FALSE))</f>
        <v>-0.48293113970478868</v>
      </c>
      <c r="Q148" s="1">
        <f>(Main_S[[#This Row],[ROE]]-VLOOKUP(Main_S[[#This Row],[Industry]], Mean_ROE_S, 2, FALSE))/(VLOOKUP(Main_S[[#This Row],[Industry]], Mean_ROE_S, 3, FALSE))</f>
        <v>-1.2513673831457197</v>
      </c>
      <c r="R148" s="1">
        <f>(Main_S[[#This Row],[ROA]]-VLOOKUP(Main_S[[#This Row],[Industry]], Mean_ROA_S, 2, FALSE))/(VLOOKUP(Main_S[[#This Row],[Industry]], Mean_ROA_S, 3, FALSE))</f>
        <v>0.52699153267553245</v>
      </c>
      <c r="S148" s="1">
        <f>(Main_S[[#This Row],[A/E]]-VLOOKUP(Main_S[[#This Row],[Industry]], Mean_AE_S, 2, FALSE))/(VLOOKUP(Main_S[[#This Row],[Industry]], Mean_AE_S, 3, FALSE))</f>
        <v>-5.98118586970574E-2</v>
      </c>
      <c r="T148" s="1">
        <f>(Main_S[[#This Row],[P/E]]-VLOOKUP(Main_S[[#This Row],[Industry]], Mean_PE_S, 2, FALSE))/(VLOOKUP(Main_S[[#This Row],[Industry]], Mean_PE_S, 3, FALSE))</f>
        <v>13.726339232845776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9" spans="1:26" x14ac:dyDescent="0.25">
      <c r="A149" s="67" t="s">
        <v>172</v>
      </c>
      <c r="B149" s="67" t="s">
        <v>625</v>
      </c>
      <c r="C149" s="2">
        <v>1495</v>
      </c>
      <c r="D149">
        <f>RTD("tos.rtd", , "LAST", Main_S[[#This Row],[Symbol]])</f>
        <v>62.4</v>
      </c>
      <c r="E149">
        <v>2.58</v>
      </c>
      <c r="F149">
        <v>12.64</v>
      </c>
      <c r="G149">
        <v>1.93</v>
      </c>
      <c r="H149" s="1">
        <f>IF(ISNUMBER(Main_S[[#This Row],[Free CF]]),IF(Main_S[[#This Row],[Free CF]]&lt;&gt;0,Main_S[[#This Row],[Current Price]]/Main_S[[#This Row],[Free CF]],""),"")</f>
        <v>24.186046511627907</v>
      </c>
      <c r="I149" s="1">
        <f>IF(ISNUMBER(Main_S[[#This Row],[BVPS]]),IF(Main_S[[#This Row],[BVPS]]&lt;&gt;0,Main_S[[#This Row],[Current Price]]/Main_S[[#This Row],[BVPS]],""),"")</f>
        <v>4.9367088607594933</v>
      </c>
      <c r="J149">
        <v>14.99</v>
      </c>
      <c r="K149">
        <v>11.35</v>
      </c>
      <c r="L149">
        <v>1.18</v>
      </c>
      <c r="M149" s="1">
        <f>IF(ISNUMBER(Main_S[[#This Row],[EPS]]),IF(Main_S[[#This Row],[EPS]]&lt;&gt;0,Main_S[[#This Row],[Current Price]]/Main_S[[#This Row],[EPS]],""),"")</f>
        <v>32.331606217616581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1.2400289436351448</v>
      </c>
      <c r="P149" s="1">
        <f>(Main_S[[#This Row],[P/B]]-VLOOKUP(Main_S[[#This Row],[Industry]], Mean_PB_S, 2, FALSE))/(VLOOKUP(Main_S[[#This Row],[Industry]], Mean_PB_S, 3, FALSE))</f>
        <v>4.2596528945678322</v>
      </c>
      <c r="Q149" s="1">
        <f>(Main_S[[#This Row],[ROE]]-VLOOKUP(Main_S[[#This Row],[Industry]], Mean_ROE_S, 2, FALSE))/(VLOOKUP(Main_S[[#This Row],[Industry]], Mean_ROE_S, 3, FALSE))</f>
        <v>0.80558054466274831</v>
      </c>
      <c r="R149" s="1">
        <f>(Main_S[[#This Row],[ROA]]-VLOOKUP(Main_S[[#This Row],[Industry]], Mean_ROA_S, 2, FALSE))/(VLOOKUP(Main_S[[#This Row],[Industry]], Mean_ROA_S, 3, FALSE))</f>
        <v>3.6474518228715844</v>
      </c>
      <c r="S149" s="1">
        <f>(Main_S[[#This Row],[A/E]]-VLOOKUP(Main_S[[#This Row],[Industry]], Mean_AE_S, 2, FALSE))/(VLOOKUP(Main_S[[#This Row],[Industry]], Mean_AE_S, 3, FALSE))</f>
        <v>-1.8169618177421167</v>
      </c>
      <c r="T149" s="1">
        <f>(Main_S[[#This Row],[P/E]]-VLOOKUP(Main_S[[#This Row],[Industry]], Mean_PE_S, 2, FALSE))/(VLOOKUP(Main_S[[#This Row],[Industry]], Mean_PE_S, 3, FALSE))</f>
        <v>2.3606072879374982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7" t="s">
        <v>172</v>
      </c>
      <c r="B150" s="67" t="s">
        <v>619</v>
      </c>
      <c r="C150" s="2">
        <v>435</v>
      </c>
      <c r="D150">
        <f>RTD("tos.rtd", , "LAST", Main_S[[#This Row],[Symbol]])</f>
        <v>6.94</v>
      </c>
      <c r="E150">
        <v>2.14</v>
      </c>
      <c r="F150">
        <v>7.48</v>
      </c>
      <c r="G150">
        <v>0.73</v>
      </c>
      <c r="H150" s="1">
        <f>IF(ISNUMBER(Main_S[[#This Row],[Free CF]]),IF(Main_S[[#This Row],[Free CF]]&lt;&gt;0,Main_S[[#This Row],[Current Price]]/Main_S[[#This Row],[Free CF]],""),"")</f>
        <v>3.2429906542056073</v>
      </c>
      <c r="I150" s="1">
        <f>IF(ISNUMBER(Main_S[[#This Row],[BVPS]]),IF(Main_S[[#This Row],[BVPS]]&lt;&gt;0,Main_S[[#This Row],[Current Price]]/Main_S[[#This Row],[BVPS]],""),"")</f>
        <v>0.92780748663101609</v>
      </c>
      <c r="J150">
        <v>9.6300000000000008</v>
      </c>
      <c r="K150">
        <v>5.07</v>
      </c>
      <c r="L150">
        <v>2.58</v>
      </c>
      <c r="M150" s="1">
        <f>IF(ISNUMBER(Main_S[[#This Row],[EPS]]),IF(Main_S[[#This Row],[EPS]]&lt;&gt;0,Main_S[[#This Row],[Current Price]]/Main_S[[#This Row],[EPS]],""),"")</f>
        <v>9.5068493150684947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-0.2950533980493098</v>
      </c>
      <c r="P150" s="1">
        <f>(Main_S[[#This Row],[P/B]]-VLOOKUP(Main_S[[#This Row],[Industry]], Mean_PB_S, 2, FALSE))/(VLOOKUP(Main_S[[#This Row],[Industry]], Mean_PB_S, 3, FALSE))</f>
        <v>-0.40712364266529094</v>
      </c>
      <c r="Q150" s="1">
        <f>(Main_S[[#This Row],[ROE]]-VLOOKUP(Main_S[[#This Row],[Industry]], Mean_ROE_S, 2, FALSE))/(VLOOKUP(Main_S[[#This Row],[Industry]], Mean_ROE_S, 3, FALSE))</f>
        <v>3.9406750843888894E-2</v>
      </c>
      <c r="R150" s="1">
        <f>(Main_S[[#This Row],[ROA]]-VLOOKUP(Main_S[[#This Row],[Industry]], Mean_ROA_S, 2, FALSE))/(VLOOKUP(Main_S[[#This Row],[Industry]], Mean_ROA_S, 3, FALSE))</f>
        <v>0.11017914734248614</v>
      </c>
      <c r="S150" s="1">
        <f>(Main_S[[#This Row],[A/E]]-VLOOKUP(Main_S[[#This Row],[Industry]], Mean_AE_S, 2, FALSE))/(VLOOKUP(Main_S[[#This Row],[Industry]], Mean_AE_S, 3, FALSE))</f>
        <v>0.88634581155797509</v>
      </c>
      <c r="T150" s="1">
        <f>(Main_S[[#This Row],[P/E]]-VLOOKUP(Main_S[[#This Row],[Industry]], Mean_PE_S, 2, FALSE))/(VLOOKUP(Main_S[[#This Row],[Industry]], Mean_PE_S, 3, FALSE))</f>
        <v>-0.25894992279068096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7" t="s">
        <v>172</v>
      </c>
      <c r="B151" s="67" t="s">
        <v>724</v>
      </c>
      <c r="C151" s="2">
        <v>762</v>
      </c>
      <c r="D151">
        <f>RTD("tos.rtd", , "LAST", Main_S[[#This Row],[Symbol]])</f>
        <v>30.399899999999999</v>
      </c>
      <c r="E151">
        <v>1.96</v>
      </c>
      <c r="F151">
        <v>38.43</v>
      </c>
      <c r="G151">
        <v>1.85</v>
      </c>
      <c r="H151" s="1">
        <f>IF(ISNUMBER(Main_S[[#This Row],[Free CF]]),IF(Main_S[[#This Row],[Free CF]]&lt;&gt;0,Main_S[[#This Row],[Current Price]]/Main_S[[#This Row],[Free CF]],""),"")</f>
        <v>15.510153061224489</v>
      </c>
      <c r="I151" s="1">
        <f>IF(ISNUMBER(Main_S[[#This Row],[BVPS]]),IF(Main_S[[#This Row],[BVPS]]&lt;&gt;0,Main_S[[#This Row],[Current Price]]/Main_S[[#This Row],[BVPS]],""),"")</f>
        <v>0.79104605776736925</v>
      </c>
      <c r="J151">
        <v>5.74</v>
      </c>
      <c r="K151">
        <v>1.52</v>
      </c>
      <c r="L151">
        <v>1.45</v>
      </c>
      <c r="M151" s="1">
        <f>IF(ISNUMBER(Main_S[[#This Row],[EPS]]),IF(Main_S[[#This Row],[EPS]]&lt;&gt;0,Main_S[[#This Row],[Current Price]]/Main_S[[#This Row],[EPS]],""),"")</f>
        <v>16.432378378378377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0.60410403732162432</v>
      </c>
      <c r="P151" s="1">
        <f>(Main_S[[#This Row],[P/B]]-VLOOKUP(Main_S[[#This Row],[Industry]], Mean_PB_S, 2, FALSE))/(VLOOKUP(Main_S[[#This Row],[Industry]], Mean_PB_S, 3, FALSE))</f>
        <v>-0.56632811487760482</v>
      </c>
      <c r="Q151" s="1">
        <f>(Main_S[[#This Row],[ROE]]-VLOOKUP(Main_S[[#This Row],[Industry]], Mean_ROE_S, 2, FALSE))/(VLOOKUP(Main_S[[#This Row],[Industry]], Mean_ROE_S, 3, FALSE))</f>
        <v>-0.51664102116270882</v>
      </c>
      <c r="R151" s="1">
        <f>(Main_S[[#This Row],[ROA]]-VLOOKUP(Main_S[[#This Row],[Industry]], Mean_ROA_S, 2, FALSE))/(VLOOKUP(Main_S[[#This Row],[Industry]], Mean_ROA_S, 3, FALSE))</f>
        <v>-1.8893937822957785</v>
      </c>
      <c r="S151" s="1">
        <f>(Main_S[[#This Row],[A/E]]-VLOOKUP(Main_S[[#This Row],[Industry]], Mean_AE_S, 2, FALSE))/(VLOOKUP(Main_S[[#This Row],[Industry]], Mean_AE_S, 3, FALSE))</f>
        <v>-1.2956096320913848</v>
      </c>
      <c r="T151" s="1">
        <f>(Main_S[[#This Row],[P/E]]-VLOOKUP(Main_S[[#This Row],[Industry]], Mean_PE_S, 2, FALSE))/(VLOOKUP(Main_S[[#This Row],[Industry]], Mean_PE_S, 3, FALSE))</f>
        <v>0.53588086876424146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7" t="s">
        <v>172</v>
      </c>
      <c r="B152" s="67" t="s">
        <v>622</v>
      </c>
      <c r="C152" s="2">
        <v>371</v>
      </c>
      <c r="D152">
        <f>RTD("tos.rtd", , "LAST", Main_S[[#This Row],[Symbol]])</f>
        <v>10.11</v>
      </c>
      <c r="E152">
        <v>1.96</v>
      </c>
      <c r="F152">
        <v>13.48</v>
      </c>
      <c r="G152">
        <v>1.67</v>
      </c>
      <c r="H152" s="1">
        <f>IF(ISNUMBER(Main_S[[#This Row],[Free CF]]),IF(Main_S[[#This Row],[Free CF]]&lt;&gt;0,Main_S[[#This Row],[Current Price]]/Main_S[[#This Row],[Free CF]],""),"")</f>
        <v>5.158163265306122</v>
      </c>
      <c r="I152" s="1">
        <f>IF(ISNUMBER(Main_S[[#This Row],[BVPS]]),IF(Main_S[[#This Row],[BVPS]]&lt;&gt;0,Main_S[[#This Row],[Current Price]]/Main_S[[#This Row],[BVPS]],""),"")</f>
        <v>0.74999999999999989</v>
      </c>
      <c r="J152">
        <v>12.28</v>
      </c>
      <c r="K152">
        <v>6.32</v>
      </c>
      <c r="L152">
        <v>2.0499999999999998</v>
      </c>
      <c r="M152" s="1">
        <f>IF(ISNUMBER(Main_S[[#This Row],[EPS]]),IF(Main_S[[#This Row],[EPS]]&lt;&gt;0,Main_S[[#This Row],[Current Price]]/Main_S[[#This Row],[EPS]],""),"")</f>
        <v>6.0538922155688626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52" s="1">
        <f>(Main_S[[#This Row],[P/FCF]]-VLOOKUP(Main_S[[#This Row],[Industry]], Mean_PFCF_S, 2, FALSE))/(VLOOKUP(Main_S[[#This Row],[Industry]], Mean_PFCF_S, 3, FALSE))</f>
        <v>-0.15467523754623402</v>
      </c>
      <c r="P152" s="1">
        <f>(Main_S[[#This Row],[P/B]]-VLOOKUP(Main_S[[#This Row],[Industry]], Mean_PB_S, 2, FALSE))/(VLOOKUP(Main_S[[#This Row],[Industry]], Mean_PB_S, 3, FALSE))</f>
        <v>-0.61410997864977546</v>
      </c>
      <c r="Q152" s="1">
        <f>(Main_S[[#This Row],[ROE]]-VLOOKUP(Main_S[[#This Row],[Industry]], Mean_ROE_S, 2, FALSE))/(VLOOKUP(Main_S[[#This Row],[Industry]], Mean_ROE_S, 3, FALSE))</f>
        <v>0.41820536159388449</v>
      </c>
      <c r="R152" s="1">
        <f>(Main_S[[#This Row],[ROA]]-VLOOKUP(Main_S[[#This Row],[Industry]], Mean_ROA_S, 2, FALSE))/(VLOOKUP(Main_S[[#This Row],[Industry]], Mean_ROA_S, 3, FALSE))</f>
        <v>0.81425412256722718</v>
      </c>
      <c r="S152" s="1">
        <f>(Main_S[[#This Row],[A/E]]-VLOOKUP(Main_S[[#This Row],[Industry]], Mean_AE_S, 2, FALSE))/(VLOOKUP(Main_S[[#This Row],[Industry]], Mean_AE_S, 3, FALSE))</f>
        <v>-0.13704921953420293</v>
      </c>
      <c r="T152" s="1">
        <f>(Main_S[[#This Row],[P/E]]-VLOOKUP(Main_S[[#This Row],[Industry]], Mean_PE_S, 2, FALSE))/(VLOOKUP(Main_S[[#This Row],[Industry]], Mean_PE_S, 3, FALSE))</f>
        <v>-0.65523973682675241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7" t="s">
        <v>172</v>
      </c>
      <c r="B153" s="67" t="s">
        <v>638</v>
      </c>
      <c r="C153" s="2">
        <v>369</v>
      </c>
      <c r="D153">
        <f>RTD("tos.rtd", , "LAST", Main_S[[#This Row],[Symbol]])</f>
        <v>37.909999999999997</v>
      </c>
      <c r="E153">
        <v>1.93</v>
      </c>
      <c r="F153">
        <v>10.51</v>
      </c>
      <c r="G153">
        <v>2.2799999999999998</v>
      </c>
      <c r="H153" s="1">
        <f>IF(ISNUMBER(Main_S[[#This Row],[Free CF]]),IF(Main_S[[#This Row],[Free CF]]&lt;&gt;0,Main_S[[#This Row],[Current Price]]/Main_S[[#This Row],[Free CF]],""),"")</f>
        <v>19.642487046632123</v>
      </c>
      <c r="I153" s="1">
        <f>IF(ISNUMBER(Main_S[[#This Row],[BVPS]]),IF(Main_S[[#This Row],[BVPS]]&lt;&gt;0,Main_S[[#This Row],[Current Price]]/Main_S[[#This Row],[BVPS]],""),"")</f>
        <v>3.6070409134157941</v>
      </c>
      <c r="J153">
        <v>22.87</v>
      </c>
      <c r="K153">
        <v>2.99</v>
      </c>
      <c r="L153">
        <v>1.45</v>
      </c>
      <c r="M153" s="1">
        <f>IF(ISNUMBER(Main_S[[#This Row],[EPS]]),IF(Main_S[[#This Row],[EPS]]&lt;&gt;0,Main_S[[#This Row],[Current Price]]/Main_S[[#This Row],[EPS]],""),"")</f>
        <v>16.62719298245614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0.90699550522045314</v>
      </c>
      <c r="P153" s="1">
        <f>(Main_S[[#This Row],[P/B]]-VLOOKUP(Main_S[[#This Row],[Industry]], Mean_PB_S, 2, FALSE))/(VLOOKUP(Main_S[[#This Row],[Industry]], Mean_PB_S, 3, FALSE))</f>
        <v>2.7117816450977683</v>
      </c>
      <c r="Q153" s="1">
        <f>(Main_S[[#This Row],[ROE]]-VLOOKUP(Main_S[[#This Row],[Industry]], Mean_ROE_S, 2, FALSE))/(VLOOKUP(Main_S[[#This Row],[Industry]], Mean_ROE_S, 3, FALSE))</f>
        <v>1.9319703758740567</v>
      </c>
      <c r="R153" s="1">
        <f>(Main_S[[#This Row],[ROA]]-VLOOKUP(Main_S[[#This Row],[Industry]], Mean_ROA_S, 2, FALSE))/(VLOOKUP(Main_S[[#This Row],[Industry]], Mean_ROA_S, 3, FALSE))</f>
        <v>-1.0614016114314828</v>
      </c>
      <c r="S153" s="1">
        <f>(Main_S[[#This Row],[A/E]]-VLOOKUP(Main_S[[#This Row],[Industry]], Mean_AE_S, 2, FALSE))/(VLOOKUP(Main_S[[#This Row],[Industry]], Mean_AE_S, 3, FALSE))</f>
        <v>-1.2956096320913848</v>
      </c>
      <c r="T153" s="1">
        <f>(Main_S[[#This Row],[P/E]]-VLOOKUP(Main_S[[#This Row],[Industry]], Mean_PE_S, 2, FALSE))/(VLOOKUP(Main_S[[#This Row],[Industry]], Mean_PE_S, 3, FALSE))</f>
        <v>0.55823939827874813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7" t="s">
        <v>172</v>
      </c>
      <c r="B154" s="67" t="s">
        <v>620</v>
      </c>
      <c r="C154" s="2">
        <v>1486</v>
      </c>
      <c r="D154">
        <f>RTD("tos.rtd", , "LAST", Main_S[[#This Row],[Symbol]])</f>
        <v>3.31</v>
      </c>
      <c r="E154">
        <v>1.52</v>
      </c>
      <c r="F154">
        <v>7.25</v>
      </c>
      <c r="G154">
        <v>-0.87</v>
      </c>
      <c r="H154" s="1">
        <f>IF(ISNUMBER(Main_S[[#This Row],[Free CF]]),IF(Main_S[[#This Row],[Free CF]]&lt;&gt;0,Main_S[[#This Row],[Current Price]]/Main_S[[#This Row],[Free CF]],""),"")</f>
        <v>2.1776315789473686</v>
      </c>
      <c r="I154" s="1">
        <f>IF(ISNUMBER(Main_S[[#This Row],[BVPS]]),IF(Main_S[[#This Row],[BVPS]]&lt;&gt;0,Main_S[[#This Row],[Current Price]]/Main_S[[#This Row],[BVPS]],""),"")</f>
        <v>0.45655172413793105</v>
      </c>
      <c r="J154">
        <v>-4.8</v>
      </c>
      <c r="K154">
        <v>4.33</v>
      </c>
      <c r="L154">
        <v>2.16</v>
      </c>
      <c r="M154" s="1">
        <f>IF(ISNUMBER(Main_S[[#This Row],[EPS]]),IF(Main_S[[#This Row],[EPS]]&lt;&gt;0,Main_S[[#This Row],[Current Price]]/Main_S[[#This Row],[EPS]],""),"")</f>
        <v>-3.8045977011494254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-0.37314199768423872</v>
      </c>
      <c r="P154" s="1">
        <f>(Main_S[[#This Row],[P/B]]-VLOOKUP(Main_S[[#This Row],[Industry]], Mean_PB_S, 2, FALSE))/(VLOOKUP(Main_S[[#This Row],[Industry]], Mean_PB_S, 3, FALSE))</f>
        <v>-0.95571417413396387</v>
      </c>
      <c r="Q154" s="1">
        <f>(Main_S[[#This Row],[ROE]]-VLOOKUP(Main_S[[#This Row],[Industry]], Mean_ROE_S, 2, FALSE))/(VLOOKUP(Main_S[[#This Row],[Industry]], Mean_ROE_S, 3, FALSE))</f>
        <v>-2.0232588918438243</v>
      </c>
      <c r="R154" s="1">
        <f>(Main_S[[#This Row],[ROA]]-VLOOKUP(Main_S[[#This Row],[Industry]], Mean_ROA_S, 2, FALSE))/(VLOOKUP(Main_S[[#This Row],[Industry]], Mean_ROA_S, 3, FALSE))</f>
        <v>-0.30663323799056064</v>
      </c>
      <c r="S154" s="1">
        <f>(Main_S[[#This Row],[A/E]]-VLOOKUP(Main_S[[#This Row],[Industry]], Mean_AE_S, 2, FALSE))/(VLOOKUP(Main_S[[#This Row],[Industry]], Mean_AE_S, 3, FALSE))</f>
        <v>7.5353522767947725E-2</v>
      </c>
      <c r="T154" s="1">
        <f>(Main_S[[#This Row],[P/E]]-VLOOKUP(Main_S[[#This Row],[Industry]], Mean_PE_S, 2, FALSE))/(VLOOKUP(Main_S[[#This Row],[Industry]], Mean_PE_S, 3, FALSE))</f>
        <v>-1.7866812877046689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7" t="s">
        <v>172</v>
      </c>
      <c r="B155" s="67" t="s">
        <v>725</v>
      </c>
      <c r="C155" s="2">
        <v>543</v>
      </c>
      <c r="D155">
        <f>RTD("tos.rtd", , "LAST", Main_S[[#This Row],[Symbol]])</f>
        <v>8.84</v>
      </c>
      <c r="E155">
        <v>1.22</v>
      </c>
      <c r="F155">
        <v>12.18</v>
      </c>
      <c r="G155">
        <v>1.01</v>
      </c>
      <c r="H155" s="1">
        <f>IF(ISNUMBER(Main_S[[#This Row],[Free CF]]),IF(Main_S[[#This Row],[Free CF]]&lt;&gt;0,Main_S[[#This Row],[Current Price]]/Main_S[[#This Row],[Free CF]],""),"")</f>
        <v>7.2459016393442619</v>
      </c>
      <c r="I155" s="1">
        <f>IF(ISNUMBER(Main_S[[#This Row],[BVPS]]),IF(Main_S[[#This Row],[BVPS]]&lt;&gt;0,Main_S[[#This Row],[Current Price]]/Main_S[[#This Row],[BVPS]],""),"")</f>
        <v>0.72577996715927751</v>
      </c>
      <c r="J155">
        <v>8.3800000000000008</v>
      </c>
      <c r="K155">
        <v>5.47</v>
      </c>
      <c r="L155">
        <v>1.47</v>
      </c>
      <c r="M155" s="1">
        <f>IF(ISNUMBER(Main_S[[#This Row],[EPS]]),IF(Main_S[[#This Row],[EPS]]&lt;&gt;0,Main_S[[#This Row],[Current Price]]/Main_S[[#This Row],[EPS]],""),"")</f>
        <v>8.7524752475247531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-1.648366307328724E-3</v>
      </c>
      <c r="P155" s="1">
        <f>(Main_S[[#This Row],[P/B]]-VLOOKUP(Main_S[[#This Row],[Industry]], Mean_PB_S, 2, FALSE))/(VLOOKUP(Main_S[[#This Row],[Industry]], Mean_PB_S, 3, FALSE))</f>
        <v>-0.64230460616581686</v>
      </c>
      <c r="Q155" s="1">
        <f>(Main_S[[#This Row],[ROE]]-VLOOKUP(Main_S[[#This Row],[Industry]], Mean_ROE_S, 2, FALSE))/(VLOOKUP(Main_S[[#This Row],[Industry]], Mean_ROE_S, 3, FALSE))</f>
        <v>-0.13927183913252422</v>
      </c>
      <c r="R155" s="1">
        <f>(Main_S[[#This Row],[ROA]]-VLOOKUP(Main_S[[#This Row],[Industry]], Mean_ROA_S, 2, FALSE))/(VLOOKUP(Main_S[[#This Row],[Industry]], Mean_ROA_S, 3, FALSE))</f>
        <v>0.33548313941440294</v>
      </c>
      <c r="S155" s="1">
        <f>(Main_S[[#This Row],[A/E]]-VLOOKUP(Main_S[[#This Row],[Industry]], Mean_AE_S, 2, FALSE))/(VLOOKUP(Main_S[[#This Row],[Industry]], Mean_AE_S, 3, FALSE))</f>
        <v>-1.2569909516728119</v>
      </c>
      <c r="T155" s="1">
        <f>(Main_S[[#This Row],[P/E]]-VLOOKUP(Main_S[[#This Row],[Industry]], Mean_PE_S, 2, FALSE))/(VLOOKUP(Main_S[[#This Row],[Industry]], Mean_PE_S, 3, FALSE))</f>
        <v>-0.34552810790160082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7" t="s">
        <v>172</v>
      </c>
      <c r="B156" s="67" t="s">
        <v>610</v>
      </c>
      <c r="C156" s="2">
        <v>1329</v>
      </c>
      <c r="D156">
        <f>RTD("tos.rtd", , "LAST", Main_S[[#This Row],[Symbol]])</f>
        <v>11.57</v>
      </c>
      <c r="E156">
        <v>1.1100000000000001</v>
      </c>
      <c r="F156">
        <v>13.2</v>
      </c>
      <c r="G156">
        <v>0.45</v>
      </c>
      <c r="H156" s="1">
        <f>IF(ISNUMBER(Main_S[[#This Row],[Free CF]]),IF(Main_S[[#This Row],[Free CF]]&lt;&gt;0,Main_S[[#This Row],[Current Price]]/Main_S[[#This Row],[Free CF]],""),"")</f>
        <v>10.423423423423422</v>
      </c>
      <c r="I156" s="1">
        <f>IF(ISNUMBER(Main_S[[#This Row],[BVPS]]),IF(Main_S[[#This Row],[BVPS]]&lt;&gt;0,Main_S[[#This Row],[Current Price]]/Main_S[[#This Row],[BVPS]],""),"")</f>
        <v>0.87651515151515158</v>
      </c>
      <c r="J156">
        <v>3.27</v>
      </c>
      <c r="K156">
        <v>6.4</v>
      </c>
      <c r="L156">
        <v>2.2599999999999998</v>
      </c>
      <c r="M156" s="1">
        <f>IF(ISNUMBER(Main_S[[#This Row],[EPS]]),IF(Main_S[[#This Row],[EPS]]&lt;&gt;0,Main_S[[#This Row],[Current Price]]/Main_S[[#This Row],[EPS]],""),"")</f>
        <v>25.711111111111112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0.23125735739721401</v>
      </c>
      <c r="P156" s="1">
        <f>(Main_S[[#This Row],[P/B]]-VLOOKUP(Main_S[[#This Row],[Industry]], Mean_PB_S, 2, FALSE))/(VLOOKUP(Main_S[[#This Row],[Industry]], Mean_PB_S, 3, FALSE))</f>
        <v>-0.4668332348252261</v>
      </c>
      <c r="Q156" s="1">
        <f>(Main_S[[#This Row],[ROE]]-VLOOKUP(Main_S[[#This Row],[Industry]], Mean_ROE_S, 2, FALSE))/(VLOOKUP(Main_S[[#This Row],[Industry]], Mean_ROE_S, 3, FALSE))</f>
        <v>-0.86970991495610128</v>
      </c>
      <c r="R156" s="1">
        <f>(Main_S[[#This Row],[ROA]]-VLOOKUP(Main_S[[#This Row],[Industry]], Mean_ROA_S, 2, FALSE))/(VLOOKUP(Main_S[[#This Row],[Industry]], Mean_ROA_S, 3, FALSE))</f>
        <v>0.85931492098161066</v>
      </c>
      <c r="S156" s="1">
        <f>(Main_S[[#This Row],[A/E]]-VLOOKUP(Main_S[[#This Row],[Industry]], Mean_AE_S, 2, FALSE))/(VLOOKUP(Main_S[[#This Row],[Industry]], Mean_AE_S, 3, FALSE))</f>
        <v>0.26844692486081073</v>
      </c>
      <c r="T156" s="1">
        <f>(Main_S[[#This Row],[P/E]]-VLOOKUP(Main_S[[#This Row],[Industry]], Mean_PE_S, 2, FALSE))/(VLOOKUP(Main_S[[#This Row],[Industry]], Mean_PE_S, 3, FALSE))</f>
        <v>1.6007847071808579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7" t="s">
        <v>172</v>
      </c>
      <c r="B157" s="67" t="s">
        <v>595</v>
      </c>
      <c r="C157" s="2">
        <v>980</v>
      </c>
      <c r="D157">
        <f>RTD("tos.rtd", , "LAST", Main_S[[#This Row],[Symbol]])</f>
        <v>9.1</v>
      </c>
      <c r="E157">
        <v>1.04</v>
      </c>
      <c r="F157">
        <v>11.29</v>
      </c>
      <c r="G157">
        <v>0.94</v>
      </c>
      <c r="H157" s="1">
        <f>IF(ISNUMBER(Main_S[[#This Row],[Free CF]]),IF(Main_S[[#This Row],[Free CF]]&lt;&gt;0,Main_S[[#This Row],[Current Price]]/Main_S[[#This Row],[Free CF]],""),"")</f>
        <v>8.75</v>
      </c>
      <c r="I157" s="1">
        <f>IF(ISNUMBER(Main_S[[#This Row],[BVPS]]),IF(Main_S[[#This Row],[BVPS]]&lt;&gt;0,Main_S[[#This Row],[Current Price]]/Main_S[[#This Row],[BVPS]],""),"")</f>
        <v>0.80602302922940661</v>
      </c>
      <c r="J157">
        <v>8.24</v>
      </c>
      <c r="K157">
        <v>4.93</v>
      </c>
      <c r="L157">
        <v>2.35</v>
      </c>
      <c r="M157" s="1">
        <f>IF(ISNUMBER(Main_S[[#This Row],[EPS]]),IF(Main_S[[#This Row],[EPS]]&lt;&gt;0,Main_S[[#This Row],[Current Price]]/Main_S[[#This Row],[EPS]],""),"")</f>
        <v>9.6808510638297882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0.10859890846087907</v>
      </c>
      <c r="P157" s="1">
        <f>(Main_S[[#This Row],[P/B]]-VLOOKUP(Main_S[[#This Row],[Industry]], Mean_PB_S, 2, FALSE))/(VLOOKUP(Main_S[[#This Row],[Industry]], Mean_PB_S, 3, FALSE))</f>
        <v>-0.54889336842339931</v>
      </c>
      <c r="Q157" s="1">
        <f>(Main_S[[#This Row],[ROE]]-VLOOKUP(Main_S[[#This Row],[Industry]], Mean_ROE_S, 2, FALSE))/(VLOOKUP(Main_S[[#This Row],[Industry]], Mean_ROE_S, 3, FALSE))</f>
        <v>-0.15928384120988259</v>
      </c>
      <c r="R157" s="1">
        <f>(Main_S[[#This Row],[ROA]]-VLOOKUP(Main_S[[#This Row],[Industry]], Mean_ROA_S, 2, FALSE))/(VLOOKUP(Main_S[[#This Row],[Industry]], Mean_ROA_S, 3, FALSE))</f>
        <v>3.1322750117314835E-2</v>
      </c>
      <c r="S157" s="1">
        <f>(Main_S[[#This Row],[A/E]]-VLOOKUP(Main_S[[#This Row],[Industry]], Mean_AE_S, 2, FALSE))/(VLOOKUP(Main_S[[#This Row],[Industry]], Mean_AE_S, 3, FALSE))</f>
        <v>0.4422309867443886</v>
      </c>
      <c r="T157" s="1">
        <f>(Main_S[[#This Row],[P/E]]-VLOOKUP(Main_S[[#This Row],[Industry]], Mean_PE_S, 2, FALSE))/(VLOOKUP(Main_S[[#This Row],[Industry]], Mean_PE_S, 3, FALSE))</f>
        <v>-0.238980048079942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7" t="s">
        <v>172</v>
      </c>
      <c r="B158" s="67" t="s">
        <v>593</v>
      </c>
      <c r="C158" s="2">
        <v>1078</v>
      </c>
      <c r="D158">
        <f>RTD("tos.rtd", , "LAST", Main_S[[#This Row],[Symbol]])</f>
        <v>31.21</v>
      </c>
      <c r="E158">
        <v>1</v>
      </c>
      <c r="F158">
        <v>0.59</v>
      </c>
      <c r="G158">
        <v>2.4</v>
      </c>
      <c r="H158" s="1">
        <f>IF(ISNUMBER(Main_S[[#This Row],[Free CF]]),IF(Main_S[[#This Row],[Free CF]]&lt;&gt;0,Main_S[[#This Row],[Current Price]]/Main_S[[#This Row],[Free CF]],""),"")</f>
        <v>31.21</v>
      </c>
      <c r="I158" s="1">
        <f>IF(ISNUMBER(Main_S[[#This Row],[BVPS]]),IF(Main_S[[#This Row],[BVPS]]&lt;&gt;0,Main_S[[#This Row],[Current Price]]/Main_S[[#This Row],[BVPS]],""),"")</f>
        <v>52.898305084745765</v>
      </c>
      <c r="J158">
        <v>230.62</v>
      </c>
      <c r="K158">
        <v>14.88</v>
      </c>
      <c r="L158">
        <v>31.21</v>
      </c>
      <c r="M158" s="1">
        <f>IF(ISNUMBER(Main_S[[#This Row],[EPS]]),IF(Main_S[[#This Row],[EPS]]&lt;&gt;0,Main_S[[#This Row],[Current Price]]/Main_S[[#This Row],[EPS]],""),"")</f>
        <v>13.004166666666668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1.7548700939533119</v>
      </c>
      <c r="P158" s="1">
        <f>(Main_S[[#This Row],[P/B]]-VLOOKUP(Main_S[[#This Row],[Industry]], Mean_PB_S, 2, FALSE))/(VLOOKUP(Main_S[[#This Row],[Industry]], Mean_PB_S, 3, FALSE))</f>
        <v>60.091919906875411</v>
      </c>
      <c r="Q158" s="1">
        <f>(Main_S[[#This Row],[ROE]]-VLOOKUP(Main_S[[#This Row],[Industry]], Mean_ROE_S, 2, FALSE))/(VLOOKUP(Main_S[[#This Row],[Industry]], Mean_ROE_S, 3, FALSE))</f>
        <v>31.62835202995392</v>
      </c>
      <c r="R158" s="1">
        <f>(Main_S[[#This Row],[ROA]]-VLOOKUP(Main_S[[#This Row],[Industry]], Mean_ROA_S, 2, FALSE))/(VLOOKUP(Main_S[[#This Row],[Industry]], Mean_ROA_S, 3, FALSE))</f>
        <v>5.6357595529062534</v>
      </c>
      <c r="S158" s="1">
        <f>(Main_S[[#This Row],[A/E]]-VLOOKUP(Main_S[[#This Row],[Industry]], Mean_AE_S, 2, FALSE))/(VLOOKUP(Main_S[[#This Row],[Industry]], Mean_AE_S, 3, FALSE))</f>
        <v>56.168986830744849</v>
      </c>
      <c r="T158" s="1">
        <f>(Main_S[[#This Row],[P/E]]-VLOOKUP(Main_S[[#This Row],[Industry]], Mean_PE_S, 2, FALSE))/(VLOOKUP(Main_S[[#This Row],[Industry]], Mean_PE_S, 3, FALSE))</f>
        <v>0.14243103936804505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s="67" t="s">
        <v>172</v>
      </c>
      <c r="B159" s="67" t="s">
        <v>594</v>
      </c>
      <c r="C159" s="2">
        <v>789</v>
      </c>
      <c r="D159">
        <f>RTD("tos.rtd", , "LAST", Main_S[[#This Row],[Symbol]])</f>
        <v>37.85</v>
      </c>
      <c r="E159">
        <v>0.93</v>
      </c>
      <c r="F159">
        <v>42.51</v>
      </c>
      <c r="G159">
        <v>1.8</v>
      </c>
      <c r="H159" s="1">
        <f>IF(ISNUMBER(Main_S[[#This Row],[Free CF]]),IF(Main_S[[#This Row],[Free CF]]&lt;&gt;0,Main_S[[#This Row],[Current Price]]/Main_S[[#This Row],[Free CF]],""),"")</f>
        <v>40.698924731182792</v>
      </c>
      <c r="I159" s="1">
        <f>IF(ISNUMBER(Main_S[[#This Row],[BVPS]]),IF(Main_S[[#This Row],[BVPS]]&lt;&gt;0,Main_S[[#This Row],[Current Price]]/Main_S[[#This Row],[BVPS]],""),"")</f>
        <v>0.89037873441543169</v>
      </c>
      <c r="J159">
        <v>4.2</v>
      </c>
      <c r="K159">
        <v>-1.26</v>
      </c>
      <c r="L159">
        <v>1.04</v>
      </c>
      <c r="M159" s="1">
        <f>IF(ISNUMBER(Main_S[[#This Row],[EPS]]),IF(Main_S[[#This Row],[EPS]]&lt;&gt;0,Main_S[[#This Row],[Current Price]]/Main_S[[#This Row],[EPS]],""),"")</f>
        <v>21.027777777777779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2.4503884985059723</v>
      </c>
      <c r="P159" s="1">
        <f>(Main_S[[#This Row],[P/B]]-VLOOKUP(Main_S[[#This Row],[Industry]], Mean_PB_S, 2, FALSE))/(VLOOKUP(Main_S[[#This Row],[Industry]], Mean_PB_S, 3, FALSE))</f>
        <v>-0.45069458800828394</v>
      </c>
      <c r="Q159" s="1">
        <f>(Main_S[[#This Row],[ROE]]-VLOOKUP(Main_S[[#This Row],[Industry]], Mean_ROE_S, 2, FALSE))/(VLOOKUP(Main_S[[#This Row],[Industry]], Mean_ROE_S, 3, FALSE))</f>
        <v>-0.73677304401364985</v>
      </c>
      <c r="R159" s="1">
        <f>(Main_S[[#This Row],[ROA]]-VLOOKUP(Main_S[[#This Row],[Industry]], Mean_ROA_S, 2, FALSE))/(VLOOKUP(Main_S[[#This Row],[Industry]], Mean_ROA_S, 3, FALSE))</f>
        <v>-3.4552565271956022</v>
      </c>
      <c r="S159" s="1">
        <f>(Main_S[[#This Row],[A/E]]-VLOOKUP(Main_S[[#This Row],[Industry]], Mean_AE_S, 2, FALSE))/(VLOOKUP(Main_S[[#This Row],[Industry]], Mean_AE_S, 3, FALSE))</f>
        <v>-2.0872925806721256</v>
      </c>
      <c r="T159" s="1">
        <f>(Main_S[[#This Row],[P/E]]-VLOOKUP(Main_S[[#This Row],[Industry]], Mean_PE_S, 2, FALSE))/(VLOOKUP(Main_S[[#This Row],[Industry]], Mean_PE_S, 3, FALSE))</f>
        <v>1.0632867764928258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7" t="s">
        <v>172</v>
      </c>
      <c r="B160" s="67" t="s">
        <v>606</v>
      </c>
      <c r="C160" s="2">
        <v>445</v>
      </c>
      <c r="D160">
        <f>RTD("tos.rtd", , "LAST", Main_S[[#This Row],[Symbol]])</f>
        <v>4.26</v>
      </c>
      <c r="E160">
        <v>0.9</v>
      </c>
      <c r="F160">
        <v>1.85</v>
      </c>
      <c r="G160">
        <v>0.25</v>
      </c>
      <c r="H160" s="1">
        <f>IF(ISNUMBER(Main_S[[#This Row],[Free CF]]),IF(Main_S[[#This Row],[Free CF]]&lt;&gt;0,Main_S[[#This Row],[Current Price]]/Main_S[[#This Row],[Free CF]],""),"")</f>
        <v>4.7333333333333334</v>
      </c>
      <c r="I160" s="1">
        <f>IF(ISNUMBER(Main_S[[#This Row],[BVPS]]),IF(Main_S[[#This Row],[BVPS]]&lt;&gt;0,Main_S[[#This Row],[Current Price]]/Main_S[[#This Row],[BVPS]],""),"")</f>
        <v>2.3027027027027023</v>
      </c>
      <c r="J160">
        <v>16.16</v>
      </c>
      <c r="K160">
        <v>6.18</v>
      </c>
      <c r="L160">
        <v>4.4000000000000004</v>
      </c>
      <c r="M160" s="1">
        <f>IF(ISNUMBER(Main_S[[#This Row],[EPS]]),IF(Main_S[[#This Row],[EPS]]&lt;&gt;0,Main_S[[#This Row],[Current Price]]/Main_S[[#This Row],[EPS]],""),"")</f>
        <v>17.04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-0.18581438606544651</v>
      </c>
      <c r="P160" s="1">
        <f>(Main_S[[#This Row],[P/B]]-VLOOKUP(Main_S[[#This Row],[Industry]], Mean_PB_S, 2, FALSE))/(VLOOKUP(Main_S[[#This Row],[Industry]], Mean_PB_S, 3, FALSE))</f>
        <v>1.1933968333247926</v>
      </c>
      <c r="Q160" s="1">
        <f>(Main_S[[#This Row],[ROE]]-VLOOKUP(Main_S[[#This Row],[Industry]], Mean_ROE_S, 2, FALSE))/(VLOOKUP(Main_S[[#This Row],[Industry]], Mean_ROE_S, 3, FALSE))</f>
        <v>0.97282370488067094</v>
      </c>
      <c r="R160" s="1">
        <f>(Main_S[[#This Row],[ROA]]-VLOOKUP(Main_S[[#This Row],[Industry]], Mean_ROA_S, 2, FALSE))/(VLOOKUP(Main_S[[#This Row],[Industry]], Mean_ROA_S, 3, FALSE))</f>
        <v>0.73539772534205583</v>
      </c>
      <c r="S160" s="1">
        <f>(Main_S[[#This Row],[A/E]]-VLOOKUP(Main_S[[#This Row],[Industry]], Mean_AE_S, 2, FALSE))/(VLOOKUP(Main_S[[#This Row],[Industry]], Mean_AE_S, 3, FALSE))</f>
        <v>4.4006457296480948</v>
      </c>
      <c r="T160" s="1">
        <f>(Main_S[[#This Row],[P/E]]-VLOOKUP(Main_S[[#This Row],[Industry]], Mean_PE_S, 2, FALSE))/(VLOOKUP(Main_S[[#This Row],[Industry]], Mean_PE_S, 3, FALSE))</f>
        <v>0.60561653373141477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7" t="s">
        <v>172</v>
      </c>
      <c r="B161" s="67" t="s">
        <v>632</v>
      </c>
      <c r="C161" s="2">
        <v>1388</v>
      </c>
      <c r="D161">
        <f>RTD("tos.rtd", , "LAST", Main_S[[#This Row],[Symbol]])</f>
        <v>10.02</v>
      </c>
      <c r="E161">
        <v>0.82</v>
      </c>
      <c r="F161">
        <v>2.91</v>
      </c>
      <c r="G161">
        <v>0.37</v>
      </c>
      <c r="H161" s="1">
        <f>IF(ISNUMBER(Main_S[[#This Row],[Free CF]]),IF(Main_S[[#This Row],[Free CF]]&lt;&gt;0,Main_S[[#This Row],[Current Price]]/Main_S[[#This Row],[Free CF]],""),"")</f>
        <v>12.219512195121952</v>
      </c>
      <c r="I161" s="1">
        <f>IF(ISNUMBER(Main_S[[#This Row],[BVPS]]),IF(Main_S[[#This Row],[BVPS]]&lt;&gt;0,Main_S[[#This Row],[Current Price]]/Main_S[[#This Row],[BVPS]],""),"")</f>
        <v>3.4432989690721647</v>
      </c>
      <c r="J161">
        <v>14.25</v>
      </c>
      <c r="K161">
        <v>9.18</v>
      </c>
      <c r="L161">
        <v>2.46</v>
      </c>
      <c r="M161" s="1">
        <f>IF(ISNUMBER(Main_S[[#This Row],[EPS]]),IF(Main_S[[#This Row],[EPS]]&lt;&gt;0,Main_S[[#This Row],[Current Price]]/Main_S[[#This Row],[EPS]],""),"")</f>
        <v>27.081081081081081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0.36290692068455982</v>
      </c>
      <c r="P161" s="1">
        <f>(Main_S[[#This Row],[P/B]]-VLOOKUP(Main_S[[#This Row],[Industry]], Mean_PB_S, 2, FALSE))/(VLOOKUP(Main_S[[#This Row],[Industry]], Mean_PB_S, 3, FALSE))</f>
        <v>2.5211690575805945</v>
      </c>
      <c r="Q161" s="1">
        <f>(Main_S[[#This Row],[ROE]]-VLOOKUP(Main_S[[#This Row],[Industry]], Mean_ROE_S, 2, FALSE))/(VLOOKUP(Main_S[[#This Row],[Industry]], Mean_ROE_S, 3, FALSE))</f>
        <v>0.69980281939671163</v>
      </c>
      <c r="R161" s="1">
        <f>(Main_S[[#This Row],[ROA]]-VLOOKUP(Main_S[[#This Row],[Industry]], Mean_ROA_S, 2, FALSE))/(VLOOKUP(Main_S[[#This Row],[Industry]], Mean_ROA_S, 3, FALSE))</f>
        <v>2.4251776658814341</v>
      </c>
      <c r="S161" s="1">
        <f>(Main_S[[#This Row],[A/E]]-VLOOKUP(Main_S[[#This Row],[Industry]], Mean_AE_S, 2, FALSE))/(VLOOKUP(Main_S[[#This Row],[Industry]], Mean_AE_S, 3, FALSE))</f>
        <v>0.65463372904653838</v>
      </c>
      <c r="T161" s="1">
        <f>(Main_S[[#This Row],[P/E]]-VLOOKUP(Main_S[[#This Row],[Industry]], Mean_PE_S, 2, FALSE))/(VLOOKUP(Main_S[[#This Row],[Industry]], Mean_PE_S, 3, FALSE))</f>
        <v>1.758013751443549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7" t="s">
        <v>172</v>
      </c>
      <c r="B162" s="67" t="s">
        <v>614</v>
      </c>
      <c r="C162" s="2">
        <v>1162</v>
      </c>
      <c r="D162">
        <f>RTD("tos.rtd", , "LAST", Main_S[[#This Row],[Symbol]])</f>
        <v>10.83</v>
      </c>
      <c r="E162">
        <v>0.72</v>
      </c>
      <c r="F162">
        <v>12.45</v>
      </c>
      <c r="G162">
        <v>0.99</v>
      </c>
      <c r="H162" s="1">
        <f>IF(ISNUMBER(Main_S[[#This Row],[Free CF]]),IF(Main_S[[#This Row],[Free CF]]&lt;&gt;0,Main_S[[#This Row],[Current Price]]/Main_S[[#This Row],[Free CF]],""),"")</f>
        <v>15.041666666666668</v>
      </c>
      <c r="I162" s="1">
        <f>IF(ISNUMBER(Main_S[[#This Row],[BVPS]]),IF(Main_S[[#This Row],[BVPS]]&lt;&gt;0,Main_S[[#This Row],[Current Price]]/Main_S[[#This Row],[BVPS]],""),"")</f>
        <v>0.86987951807228925</v>
      </c>
      <c r="J162">
        <v>8.09</v>
      </c>
      <c r="K162">
        <v>5.43</v>
      </c>
      <c r="L162">
        <v>2.38</v>
      </c>
      <c r="M162" s="1">
        <f>IF(ISNUMBER(Main_S[[#This Row],[EPS]]),IF(Main_S[[#This Row],[EPS]]&lt;&gt;0,Main_S[[#This Row],[Current Price]]/Main_S[[#This Row],[EPS]],""),"")</f>
        <v>10.939393939393939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0.56976496109028951</v>
      </c>
      <c r="P162" s="1">
        <f>(Main_S[[#This Row],[P/B]]-VLOOKUP(Main_S[[#This Row],[Industry]], Mean_PB_S, 2, FALSE))/(VLOOKUP(Main_S[[#This Row],[Industry]], Mean_PB_S, 3, FALSE))</f>
        <v>-0.47455779963010647</v>
      </c>
      <c r="Q162" s="1">
        <f>(Main_S[[#This Row],[ROE]]-VLOOKUP(Main_S[[#This Row],[Industry]], Mean_ROE_S, 2, FALSE))/(VLOOKUP(Main_S[[#This Row],[Industry]], Mean_ROE_S, 3, FALSE))</f>
        <v>-0.18072527200705221</v>
      </c>
      <c r="R162" s="1">
        <f>(Main_S[[#This Row],[ROA]]-VLOOKUP(Main_S[[#This Row],[Industry]], Mean_ROA_S, 2, FALSE))/(VLOOKUP(Main_S[[#This Row],[Industry]], Mean_ROA_S, 3, FALSE))</f>
        <v>0.31295274020721126</v>
      </c>
      <c r="S162" s="1">
        <f>(Main_S[[#This Row],[A/E]]-VLOOKUP(Main_S[[#This Row],[Industry]], Mean_AE_S, 2, FALSE))/(VLOOKUP(Main_S[[#This Row],[Industry]], Mean_AE_S, 3, FALSE))</f>
        <v>0.50015900737224739</v>
      </c>
      <c r="T162" s="1">
        <f>(Main_S[[#This Row],[P/E]]-VLOOKUP(Main_S[[#This Row],[Industry]], Mean_PE_S, 2, FALSE))/(VLOOKUP(Main_S[[#This Row],[Industry]], Mean_PE_S, 3, FALSE))</f>
        <v>-9.4539295489643779E-2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7" t="s">
        <v>172</v>
      </c>
      <c r="B163" s="67" t="s">
        <v>621</v>
      </c>
      <c r="C163" s="2">
        <v>1218</v>
      </c>
      <c r="D163">
        <f>RTD("tos.rtd", , "LAST", Main_S[[#This Row],[Symbol]])</f>
        <v>9.89</v>
      </c>
      <c r="E163">
        <v>0.71</v>
      </c>
      <c r="F163">
        <v>3.03</v>
      </c>
      <c r="G163">
        <v>0.16</v>
      </c>
      <c r="H163" s="1">
        <f>IF(ISNUMBER(Main_S[[#This Row],[Free CF]]),IF(Main_S[[#This Row],[Free CF]]&lt;&gt;0,Main_S[[#This Row],[Current Price]]/Main_S[[#This Row],[Free CF]],""),"")</f>
        <v>13.929577464788734</v>
      </c>
      <c r="I163" s="1">
        <f>IF(ISNUMBER(Main_S[[#This Row],[BVPS]]),IF(Main_S[[#This Row],[BVPS]]&lt;&gt;0,Main_S[[#This Row],[Current Price]]/Main_S[[#This Row],[BVPS]],""),"")</f>
        <v>3.2640264026402646</v>
      </c>
      <c r="J163">
        <v>4.9400000000000004</v>
      </c>
      <c r="K163">
        <v>7.23</v>
      </c>
      <c r="L163">
        <v>2.62</v>
      </c>
      <c r="M163" s="1">
        <f>IF(ISNUMBER(Main_S[[#This Row],[EPS]]),IF(Main_S[[#This Row],[EPS]]&lt;&gt;0,Main_S[[#This Row],[Current Price]]/Main_S[[#This Row],[EPS]],""),"")</f>
        <v>61.8125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0.48825114057609004</v>
      </c>
      <c r="P163" s="1">
        <f>(Main_S[[#This Row],[P/B]]-VLOOKUP(Main_S[[#This Row],[Industry]], Mean_PB_S, 2, FALSE))/(VLOOKUP(Main_S[[#This Row],[Industry]], Mean_PB_S, 3, FALSE))</f>
        <v>2.3124772169199255</v>
      </c>
      <c r="Q163" s="1">
        <f>(Main_S[[#This Row],[ROE]]-VLOOKUP(Main_S[[#This Row],[Industry]], Mean_ROE_S, 2, FALSE))/(VLOOKUP(Main_S[[#This Row],[Industry]], Mean_ROE_S, 3, FALSE))</f>
        <v>-0.63099531874761317</v>
      </c>
      <c r="R163" s="1">
        <f>(Main_S[[#This Row],[ROA]]-VLOOKUP(Main_S[[#This Row],[Industry]], Mean_ROA_S, 2, FALSE))/(VLOOKUP(Main_S[[#This Row],[Industry]], Mean_ROA_S, 3, FALSE))</f>
        <v>1.3268207045308387</v>
      </c>
      <c r="S163" s="1">
        <f>(Main_S[[#This Row],[A/E]]-VLOOKUP(Main_S[[#This Row],[Industry]], Mean_AE_S, 2, FALSE))/(VLOOKUP(Main_S[[#This Row],[Industry]], Mean_AE_S, 3, FALSE))</f>
        <v>0.96358317239512059</v>
      </c>
      <c r="T163" s="1">
        <f>(Main_S[[#This Row],[P/E]]-VLOOKUP(Main_S[[#This Row],[Industry]], Mean_PE_S, 2, FALSE))/(VLOOKUP(Main_S[[#This Row],[Industry]], Mean_PE_S, 3, FALSE))</f>
        <v>5.7440776230687627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4" spans="1:26" x14ac:dyDescent="0.25">
      <c r="A164" s="67" t="s">
        <v>172</v>
      </c>
      <c r="B164" s="67" t="s">
        <v>615</v>
      </c>
      <c r="C164" s="2">
        <v>682</v>
      </c>
      <c r="D164">
        <f>RTD("tos.rtd", , "LAST", Main_S[[#This Row],[Symbol]])</f>
        <v>11.58</v>
      </c>
      <c r="E164">
        <v>0.6</v>
      </c>
      <c r="F164">
        <v>100.04</v>
      </c>
      <c r="G164">
        <v>0.96</v>
      </c>
      <c r="H164" s="1">
        <f>IF(ISNUMBER(Main_S[[#This Row],[Free CF]]),IF(Main_S[[#This Row],[Free CF]]&lt;&gt;0,Main_S[[#This Row],[Current Price]]/Main_S[[#This Row],[Free CF]],""),"")</f>
        <v>19.3</v>
      </c>
      <c r="I164" s="1">
        <f>IF(ISNUMBER(Main_S[[#This Row],[BVPS]]),IF(Main_S[[#This Row],[BVPS]]&lt;&gt;0,Main_S[[#This Row],[Current Price]]/Main_S[[#This Row],[BVPS]],""),"")</f>
        <v>0.11575369852059175</v>
      </c>
      <c r="J164">
        <v>4.8600000000000003</v>
      </c>
      <c r="K164">
        <v>3.55</v>
      </c>
      <c r="L164">
        <v>1.17</v>
      </c>
      <c r="M164" s="1">
        <f>IF(ISNUMBER(Main_S[[#This Row],[EPS]]),IF(Main_S[[#This Row],[EPS]]&lt;&gt;0,Main_S[[#This Row],[Current Price]]/Main_S[[#This Row],[EPS]],""),"")</f>
        <v>12.0625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0.88189191856529436</v>
      </c>
      <c r="P164" s="1">
        <f>(Main_S[[#This Row],[P/B]]-VLOOKUP(Main_S[[#This Row],[Industry]], Mean_PB_S, 2, FALSE))/(VLOOKUP(Main_S[[#This Row],[Industry]], Mean_PB_S, 3, FALSE))</f>
        <v>-1.3524383839512049</v>
      </c>
      <c r="Q164" s="1">
        <f>(Main_S[[#This Row],[ROE]]-VLOOKUP(Main_S[[#This Row],[Industry]], Mean_ROE_S, 2, FALSE))/(VLOOKUP(Main_S[[#This Row],[Industry]], Mean_ROE_S, 3, FALSE))</f>
        <v>-0.6424307485061036</v>
      </c>
      <c r="R164" s="1">
        <f>(Main_S[[#This Row],[ROA]]-VLOOKUP(Main_S[[#This Row],[Industry]], Mean_ROA_S, 2, FALSE))/(VLOOKUP(Main_S[[#This Row],[Industry]], Mean_ROA_S, 3, FALSE))</f>
        <v>-0.7459760225307992</v>
      </c>
      <c r="S164" s="1">
        <f>(Main_S[[#This Row],[A/E]]-VLOOKUP(Main_S[[#This Row],[Industry]], Mean_AE_S, 2, FALSE))/(VLOOKUP(Main_S[[#This Row],[Industry]], Mean_AE_S, 3, FALSE))</f>
        <v>-1.8362711579514031</v>
      </c>
      <c r="T164" s="1">
        <f>(Main_S[[#This Row],[P/E]]-VLOOKUP(Main_S[[#This Row],[Industry]], Mean_PE_S, 2, FALSE))/(VLOOKUP(Main_S[[#This Row],[Industry]], Mean_PE_S, 3, FALSE))</f>
        <v>3.435761202329822E-2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7" t="s">
        <v>172</v>
      </c>
      <c r="B165" s="67" t="s">
        <v>603</v>
      </c>
      <c r="C165" s="2">
        <v>1950</v>
      </c>
      <c r="D165">
        <f>RTD("tos.rtd", , "LAST", Main_S[[#This Row],[Symbol]])</f>
        <v>10.72</v>
      </c>
      <c r="E165">
        <v>0.46</v>
      </c>
      <c r="F165">
        <v>6.62</v>
      </c>
      <c r="G165">
        <v>0.37</v>
      </c>
      <c r="H165" s="1">
        <f>IF(ISNUMBER(Main_S[[#This Row],[Free CF]]),IF(Main_S[[#This Row],[Free CF]]&lt;&gt;0,Main_S[[#This Row],[Current Price]]/Main_S[[#This Row],[Free CF]],""),"")</f>
        <v>23.304347826086957</v>
      </c>
      <c r="I165" s="1">
        <f>IF(ISNUMBER(Main_S[[#This Row],[BVPS]]),IF(Main_S[[#This Row],[BVPS]]&lt;&gt;0,Main_S[[#This Row],[Current Price]]/Main_S[[#This Row],[BVPS]],""),"")</f>
        <v>1.6193353474320242</v>
      </c>
      <c r="J165">
        <v>6.89</v>
      </c>
      <c r="K165">
        <v>2.42</v>
      </c>
      <c r="L165">
        <v>2.95</v>
      </c>
      <c r="M165" s="1">
        <f>IF(ISNUMBER(Main_S[[#This Row],[EPS]]),IF(Main_S[[#This Row],[EPS]]&lt;&gt;0,Main_S[[#This Row],[Current Price]]/Main_S[[#This Row],[EPS]],""),"")</f>
        <v>28.972972972972975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1.1754022677539062</v>
      </c>
      <c r="P165" s="1">
        <f>(Main_S[[#This Row],[P/B]]-VLOOKUP(Main_S[[#This Row],[Industry]], Mean_PB_S, 2, FALSE))/(VLOOKUP(Main_S[[#This Row],[Industry]], Mean_PB_S, 3, FALSE))</f>
        <v>0.39788643227843173</v>
      </c>
      <c r="Q165" s="1">
        <f>(Main_S[[#This Row],[ROE]]-VLOOKUP(Main_S[[#This Row],[Industry]], Mean_ROE_S, 2, FALSE))/(VLOOKUP(Main_S[[#This Row],[Industry]], Mean_ROE_S, 3, FALSE))</f>
        <v>-0.35225671838440881</v>
      </c>
      <c r="R165" s="1">
        <f>(Main_S[[#This Row],[ROA]]-VLOOKUP(Main_S[[#This Row],[Industry]], Mean_ROA_S, 2, FALSE))/(VLOOKUP(Main_S[[#This Row],[Industry]], Mean_ROA_S, 3, FALSE))</f>
        <v>-1.382459800133965</v>
      </c>
      <c r="S165" s="1">
        <f>(Main_S[[#This Row],[A/E]]-VLOOKUP(Main_S[[#This Row],[Industry]], Mean_AE_S, 2, FALSE))/(VLOOKUP(Main_S[[#This Row],[Industry]], Mean_AE_S, 3, FALSE))</f>
        <v>1.6007913993015708</v>
      </c>
      <c r="T165" s="1">
        <f>(Main_S[[#This Row],[P/E]]-VLOOKUP(Main_S[[#This Row],[Industry]], Mean_PE_S, 2, FALSE))/(VLOOKUP(Main_S[[#This Row],[Industry]], Mean_PE_S, 3, FALSE))</f>
        <v>1.9751428568479672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s="67" t="s">
        <v>172</v>
      </c>
      <c r="B166" s="67" t="s">
        <v>596</v>
      </c>
      <c r="C166" s="2">
        <v>1020</v>
      </c>
      <c r="D166">
        <f>RTD("tos.rtd", , "LAST", Main_S[[#This Row],[Symbol]])</f>
        <v>15.79</v>
      </c>
      <c r="E166">
        <v>0.45</v>
      </c>
      <c r="F166">
        <v>17.64</v>
      </c>
      <c r="G166">
        <v>1.75</v>
      </c>
      <c r="H166" s="1">
        <f>IF(ISNUMBER(Main_S[[#This Row],[Free CF]]),IF(Main_S[[#This Row],[Free CF]]&lt;&gt;0,Main_S[[#This Row],[Current Price]]/Main_S[[#This Row],[Free CF]],""),"")</f>
        <v>35.088888888888889</v>
      </c>
      <c r="I166" s="1">
        <f>IF(ISNUMBER(Main_S[[#This Row],[BVPS]]),IF(Main_S[[#This Row],[BVPS]]&lt;&gt;0,Main_S[[#This Row],[Current Price]]/Main_S[[#This Row],[BVPS]],""),"")</f>
        <v>0.89512471655328796</v>
      </c>
      <c r="J166">
        <v>9.8699999999999992</v>
      </c>
      <c r="K166">
        <v>5.0999999999999996</v>
      </c>
      <c r="L166">
        <v>2.31</v>
      </c>
      <c r="M166" s="1">
        <f>IF(ISNUMBER(Main_S[[#This Row],[EPS]]),IF(Main_S[[#This Row],[EPS]]&lt;&gt;0,Main_S[[#This Row],[Current Price]]/Main_S[[#This Row],[EPS]],""),"")</f>
        <v>9.0228571428571431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2.0391845645456779</v>
      </c>
      <c r="P166" s="1">
        <f>(Main_S[[#This Row],[P/B]]-VLOOKUP(Main_S[[#This Row],[Industry]], Mean_PB_S, 2, FALSE))/(VLOOKUP(Main_S[[#This Row],[Industry]], Mean_PB_S, 3, FALSE))</f>
        <v>-0.44516977309764272</v>
      </c>
      <c r="Q166" s="1">
        <f>(Main_S[[#This Row],[ROE]]-VLOOKUP(Main_S[[#This Row],[Industry]], Mean_ROE_S, 2, FALSE))/(VLOOKUP(Main_S[[#This Row],[Industry]], Mean_ROE_S, 3, FALSE))</f>
        <v>7.3713040119359988E-2</v>
      </c>
      <c r="R166" s="1">
        <f>(Main_S[[#This Row],[ROA]]-VLOOKUP(Main_S[[#This Row],[Industry]], Mean_ROA_S, 2, FALSE))/(VLOOKUP(Main_S[[#This Row],[Industry]], Mean_ROA_S, 3, FALSE))</f>
        <v>0.12707694674787956</v>
      </c>
      <c r="S166" s="1">
        <f>(Main_S[[#This Row],[A/E]]-VLOOKUP(Main_S[[#This Row],[Industry]], Mean_AE_S, 2, FALSE))/(VLOOKUP(Main_S[[#This Row],[Industry]], Mean_AE_S, 3, FALSE))</f>
        <v>0.3649936259072431</v>
      </c>
      <c r="T166" s="1">
        <f>(Main_S[[#This Row],[P/E]]-VLOOKUP(Main_S[[#This Row],[Industry]], Mean_PE_S, 2, FALSE))/(VLOOKUP(Main_S[[#This Row],[Industry]], Mean_PE_S, 3, FALSE))</f>
        <v>-0.31449685326031951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7" spans="1:26" x14ac:dyDescent="0.25">
      <c r="A167" s="67" t="s">
        <v>172</v>
      </c>
      <c r="B167" s="67" t="s">
        <v>607</v>
      </c>
      <c r="C167" s="2">
        <v>554</v>
      </c>
      <c r="D167">
        <f>RTD("tos.rtd", , "LAST", Main_S[[#This Row],[Symbol]])</f>
        <v>13.98</v>
      </c>
      <c r="E167">
        <v>0.44</v>
      </c>
      <c r="F167">
        <v>13.55</v>
      </c>
      <c r="G167">
        <v>1.78</v>
      </c>
      <c r="H167" s="1">
        <f>IF(ISNUMBER(Main_S[[#This Row],[Free CF]]),IF(Main_S[[#This Row],[Free CF]]&lt;&gt;0,Main_S[[#This Row],[Current Price]]/Main_S[[#This Row],[Free CF]],""),"")</f>
        <v>31.772727272727273</v>
      </c>
      <c r="I167" s="1">
        <f>IF(ISNUMBER(Main_S[[#This Row],[BVPS]]),IF(Main_S[[#This Row],[BVPS]]&lt;&gt;0,Main_S[[#This Row],[Current Price]]/Main_S[[#This Row],[BVPS]],""),"")</f>
        <v>1.0317343173431734</v>
      </c>
      <c r="J167">
        <v>13.17</v>
      </c>
      <c r="K167">
        <v>3.81</v>
      </c>
      <c r="L167">
        <v>2.02</v>
      </c>
      <c r="M167" s="1">
        <f>IF(ISNUMBER(Main_S[[#This Row],[EPS]]),IF(Main_S[[#This Row],[EPS]]&lt;&gt;0,Main_S[[#This Row],[Current Price]]/Main_S[[#This Row],[EPS]],""),"")</f>
        <v>7.8539325842696632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1.7961168301234656</v>
      </c>
      <c r="P167" s="1">
        <f>(Main_S[[#This Row],[P/B]]-VLOOKUP(Main_S[[#This Row],[Industry]], Mean_PB_S, 2, FALSE))/(VLOOKUP(Main_S[[#This Row],[Industry]], Mean_PB_S, 3, FALSE))</f>
        <v>-0.28614204449316505</v>
      </c>
      <c r="Q167" s="1">
        <f>(Main_S[[#This Row],[ROE]]-VLOOKUP(Main_S[[#This Row],[Industry]], Mean_ROE_S, 2, FALSE))/(VLOOKUP(Main_S[[#This Row],[Industry]], Mean_ROE_S, 3, FALSE))</f>
        <v>0.54542451765709077</v>
      </c>
      <c r="R167" s="1">
        <f>(Main_S[[#This Row],[ROA]]-VLOOKUP(Main_S[[#This Row],[Industry]], Mean_ROA_S, 2, FALSE))/(VLOOKUP(Main_S[[#This Row],[Industry]], Mean_ROA_S, 3, FALSE))</f>
        <v>-0.5995284276840529</v>
      </c>
      <c r="S167" s="1">
        <f>(Main_S[[#This Row],[A/E]]-VLOOKUP(Main_S[[#This Row],[Industry]], Mean_AE_S, 2, FALSE))/(VLOOKUP(Main_S[[#This Row],[Industry]], Mean_AE_S, 3, FALSE))</f>
        <v>-0.19497724016206167</v>
      </c>
      <c r="T167" s="1">
        <f>(Main_S[[#This Row],[P/E]]-VLOOKUP(Main_S[[#This Row],[Industry]], Mean_PE_S, 2, FALSE))/(VLOOKUP(Main_S[[#This Row],[Industry]], Mean_PE_S, 3, FALSE))</f>
        <v>-0.44865226921146362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s="67" t="s">
        <v>172</v>
      </c>
      <c r="B168" s="67" t="s">
        <v>630</v>
      </c>
      <c r="C168" s="2">
        <v>622</v>
      </c>
      <c r="D168">
        <f>RTD("tos.rtd", , "LAST", Main_S[[#This Row],[Symbol]])</f>
        <v>9.3800000000000008</v>
      </c>
      <c r="E168">
        <v>0.43</v>
      </c>
      <c r="F168">
        <v>5.23</v>
      </c>
      <c r="G168">
        <v>0.38</v>
      </c>
      <c r="H168" s="1">
        <f>IF(ISNUMBER(Main_S[[#This Row],[Free CF]]),IF(Main_S[[#This Row],[Free CF]]&lt;&gt;0,Main_S[[#This Row],[Current Price]]/Main_S[[#This Row],[Free CF]],""),"")</f>
        <v>21.813953488372096</v>
      </c>
      <c r="I168" s="1">
        <f>IF(ISNUMBER(Main_S[[#This Row],[BVPS]]),IF(Main_S[[#This Row],[BVPS]]&lt;&gt;0,Main_S[[#This Row],[Current Price]]/Main_S[[#This Row],[BVPS]],""),"")</f>
        <v>1.7934990439770555</v>
      </c>
      <c r="J168">
        <v>7.79</v>
      </c>
      <c r="K168">
        <v>4.4000000000000004</v>
      </c>
      <c r="L168">
        <v>1.81</v>
      </c>
      <c r="M168" s="1">
        <f>IF(ISNUMBER(Main_S[[#This Row],[EPS]]),IF(Main_S[[#This Row],[EPS]]&lt;&gt;0,Main_S[[#This Row],[Current Price]]/Main_S[[#This Row],[EPS]],""),"")</f>
        <v>24.684210526315791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1.0661594693032803</v>
      </c>
      <c r="P168" s="1">
        <f>(Main_S[[#This Row],[P/B]]-VLOOKUP(Main_S[[#This Row],[Industry]], Mean_PB_S, 2, FALSE))/(VLOOKUP(Main_S[[#This Row],[Industry]], Mean_PB_S, 3, FALSE))</f>
        <v>0.60063101909202921</v>
      </c>
      <c r="Q168" s="1">
        <f>(Main_S[[#This Row],[ROE]]-VLOOKUP(Main_S[[#This Row],[Industry]], Mean_ROE_S, 2, FALSE))/(VLOOKUP(Main_S[[#This Row],[Industry]], Mean_ROE_S, 3, FALSE))</f>
        <v>-0.22360813360139134</v>
      </c>
      <c r="R168" s="1">
        <f>(Main_S[[#This Row],[ROA]]-VLOOKUP(Main_S[[#This Row],[Industry]], Mean_ROA_S, 2, FALSE))/(VLOOKUP(Main_S[[#This Row],[Industry]], Mean_ROA_S, 3, FALSE))</f>
        <v>-0.26720503937797496</v>
      </c>
      <c r="S168" s="1">
        <f>(Main_S[[#This Row],[A/E]]-VLOOKUP(Main_S[[#This Row],[Industry]], Mean_AE_S, 2, FALSE))/(VLOOKUP(Main_S[[#This Row],[Industry]], Mean_AE_S, 3, FALSE))</f>
        <v>-0.60047338455707533</v>
      </c>
      <c r="T168" s="1">
        <f>(Main_S[[#This Row],[P/E]]-VLOOKUP(Main_S[[#This Row],[Industry]], Mean_PE_S, 2, FALSE))/(VLOOKUP(Main_S[[#This Row],[Industry]], Mean_PE_S, 3, FALSE))</f>
        <v>1.4829291329424632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7" t="s">
        <v>172</v>
      </c>
      <c r="B169" s="67" t="s">
        <v>598</v>
      </c>
      <c r="C169" s="2">
        <v>575</v>
      </c>
      <c r="D169">
        <f>RTD("tos.rtd", , "LAST", Main_S[[#This Row],[Symbol]])</f>
        <v>15.07</v>
      </c>
      <c r="E169">
        <v>0.12</v>
      </c>
      <c r="F169">
        <v>19.62</v>
      </c>
      <c r="G169">
        <v>1.34</v>
      </c>
      <c r="H169" s="1">
        <f>IF(ISNUMBER(Main_S[[#This Row],[Free CF]]),IF(Main_S[[#This Row],[Free CF]]&lt;&gt;0,Main_S[[#This Row],[Current Price]]/Main_S[[#This Row],[Free CF]],""),"")</f>
        <v>125.58333333333334</v>
      </c>
      <c r="I169" s="1">
        <f>IF(ISNUMBER(Main_S[[#This Row],[BVPS]]),IF(Main_S[[#This Row],[BVPS]]&lt;&gt;0,Main_S[[#This Row],[Current Price]]/Main_S[[#This Row],[BVPS]],""),"")</f>
        <v>0.76809378185524968</v>
      </c>
      <c r="J169">
        <v>6.7</v>
      </c>
      <c r="K169">
        <v>5.55</v>
      </c>
      <c r="L169">
        <v>2.29</v>
      </c>
      <c r="M169" s="1">
        <f>IF(ISNUMBER(Main_S[[#This Row],[EPS]]),IF(Main_S[[#This Row],[EPS]]&lt;&gt;0,Main_S[[#This Row],[Current Price]]/Main_S[[#This Row],[EPS]],""),"")</f>
        <v>11.246268656716417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8.6722387202017188</v>
      </c>
      <c r="P169" s="1">
        <f>(Main_S[[#This Row],[P/B]]-VLOOKUP(Main_S[[#This Row],[Industry]], Mean_PB_S, 2, FALSE))/(VLOOKUP(Main_S[[#This Row],[Industry]], Mean_PB_S, 3, FALSE))</f>
        <v>-0.59304694198421237</v>
      </c>
      <c r="Q169" s="1">
        <f>(Main_S[[#This Row],[ROE]]-VLOOKUP(Main_S[[#This Row],[Industry]], Mean_ROE_S, 2, FALSE))/(VLOOKUP(Main_S[[#This Row],[Industry]], Mean_ROE_S, 3, FALSE))</f>
        <v>-0.37941586406082356</v>
      </c>
      <c r="R169" s="1">
        <f>(Main_S[[#This Row],[ROA]]-VLOOKUP(Main_S[[#This Row],[Industry]], Mean_ROA_S, 2, FALSE))/(VLOOKUP(Main_S[[#This Row],[Industry]], Mean_ROA_S, 3, FALSE))</f>
        <v>0.38054393782878643</v>
      </c>
      <c r="S169" s="1">
        <f>(Main_S[[#This Row],[A/E]]-VLOOKUP(Main_S[[#This Row],[Industry]], Mean_AE_S, 2, FALSE))/(VLOOKUP(Main_S[[#This Row],[Industry]], Mean_AE_S, 3, FALSE))</f>
        <v>0.3263749454886703</v>
      </c>
      <c r="T169" s="1">
        <f>(Main_S[[#This Row],[P/E]]-VLOOKUP(Main_S[[#This Row],[Industry]], Mean_PE_S, 2, FALSE))/(VLOOKUP(Main_S[[#This Row],[Industry]], Mean_PE_S, 3, FALSE))</f>
        <v>-5.9319823843813221E-2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7" t="s">
        <v>172</v>
      </c>
      <c r="B170" s="67" t="s">
        <v>602</v>
      </c>
      <c r="C170" s="2">
        <v>357</v>
      </c>
      <c r="D170">
        <f>RTD("tos.rtd", , "LAST", Main_S[[#This Row],[Symbol]])</f>
        <v>1.97</v>
      </c>
      <c r="E170">
        <v>-0.01</v>
      </c>
      <c r="F170">
        <v>0.28000000000000003</v>
      </c>
      <c r="G170">
        <v>0.03</v>
      </c>
      <c r="H170" s="1">
        <f>IF(ISNUMBER(Main_S[[#This Row],[Free CF]]),IF(Main_S[[#This Row],[Free CF]]&lt;&gt;0,Main_S[[#This Row],[Current Price]]/Main_S[[#This Row],[Free CF]],""),"")</f>
        <v>-197</v>
      </c>
      <c r="I170" s="1">
        <f>IF(ISNUMBER(Main_S[[#This Row],[BVPS]]),IF(Main_S[[#This Row],[BVPS]]&lt;&gt;0,Main_S[[#This Row],[Current Price]]/Main_S[[#This Row],[BVPS]],""),"")</f>
        <v>7.0357142857142847</v>
      </c>
      <c r="J170">
        <v>17.12</v>
      </c>
      <c r="K170">
        <v>12.46</v>
      </c>
      <c r="L170">
        <v>1.24</v>
      </c>
      <c r="M170" s="1">
        <f>IF(ISNUMBER(Main_S[[#This Row],[EPS]]),IF(Main_S[[#This Row],[EPS]]&lt;&gt;0,Main_S[[#This Row],[Current Price]]/Main_S[[#This Row],[EPS]],""),"")</f>
        <v>65.666666666666671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-14.972447236466461</v>
      </c>
      <c r="P170" s="1">
        <f>(Main_S[[#This Row],[P/B]]-VLOOKUP(Main_S[[#This Row],[Industry]], Mean_PB_S, 2, FALSE))/(VLOOKUP(Main_S[[#This Row],[Industry]], Mean_PB_S, 3, FALSE))</f>
        <v>6.7031126743269676</v>
      </c>
      <c r="Q170" s="1">
        <f>(Main_S[[#This Row],[ROE]]-VLOOKUP(Main_S[[#This Row],[Industry]], Mean_ROE_S, 2, FALSE))/(VLOOKUP(Main_S[[#This Row],[Industry]], Mean_ROE_S, 3, FALSE))</f>
        <v>1.1100488619825564</v>
      </c>
      <c r="R170" s="1">
        <f>(Main_S[[#This Row],[ROA]]-VLOOKUP(Main_S[[#This Row],[Industry]], Mean_ROA_S, 2, FALSE))/(VLOOKUP(Main_S[[#This Row],[Industry]], Mean_ROA_S, 3, FALSE))</f>
        <v>4.2726704008711556</v>
      </c>
      <c r="S170" s="1">
        <f>(Main_S[[#This Row],[A/E]]-VLOOKUP(Main_S[[#This Row],[Industry]], Mean_AE_S, 2, FALSE))/(VLOOKUP(Main_S[[#This Row],[Industry]], Mean_AE_S, 3, FALSE))</f>
        <v>-1.7011057764863984</v>
      </c>
      <c r="T170" s="1">
        <f>(Main_S[[#This Row],[P/E]]-VLOOKUP(Main_S[[#This Row],[Industry]], Mean_PE_S, 2, FALSE))/(VLOOKUP(Main_S[[#This Row],[Industry]], Mean_PE_S, 3, FALSE))</f>
        <v>6.1864135535727041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1" spans="1:26" x14ac:dyDescent="0.25">
      <c r="A171" s="67" t="s">
        <v>172</v>
      </c>
      <c r="B171" s="67" t="s">
        <v>600</v>
      </c>
      <c r="C171" s="2">
        <v>509</v>
      </c>
      <c r="D171">
        <f>RTD("tos.rtd", , "LAST", Main_S[[#This Row],[Symbol]])</f>
        <v>9.1999999999999993</v>
      </c>
      <c r="E171">
        <v>-0.04</v>
      </c>
      <c r="F171">
        <v>14.28</v>
      </c>
      <c r="G171">
        <v>-0.28999999999999998</v>
      </c>
      <c r="H171" s="1">
        <f>IF(ISNUMBER(Main_S[[#This Row],[Free CF]]),IF(Main_S[[#This Row],[Free CF]]&lt;&gt;0,Main_S[[#This Row],[Current Price]]/Main_S[[#This Row],[Free CF]],""),"")</f>
        <v>-229.99999999999997</v>
      </c>
      <c r="I171" s="1">
        <f>IF(ISNUMBER(Main_S[[#This Row],[BVPS]]),IF(Main_S[[#This Row],[BVPS]]&lt;&gt;0,Main_S[[#This Row],[Current Price]]/Main_S[[#This Row],[BVPS]],""),"")</f>
        <v>0.64425770308123242</v>
      </c>
      <c r="J171">
        <v>-1.88</v>
      </c>
      <c r="K171">
        <v>5.76</v>
      </c>
      <c r="L171">
        <v>2.5099999999999998</v>
      </c>
      <c r="M171" s="1">
        <f>IF(ISNUMBER(Main_S[[#This Row],[EPS]]),IF(Main_S[[#This Row],[EPS]]&lt;&gt;0,Main_S[[#This Row],[Current Price]]/Main_S[[#This Row],[EPS]],""),"")</f>
        <v>-31.724137931034484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-17.391278452906811</v>
      </c>
      <c r="P171" s="1">
        <f>(Main_S[[#This Row],[P/B]]-VLOOKUP(Main_S[[#This Row],[Industry]], Mean_PB_S, 2, FALSE))/(VLOOKUP(Main_S[[#This Row],[Industry]], Mean_PB_S, 3, FALSE))</f>
        <v>-0.73720496757574339</v>
      </c>
      <c r="Q171" s="1">
        <f>(Main_S[[#This Row],[ROE]]-VLOOKUP(Main_S[[#This Row],[Industry]], Mean_ROE_S, 2, FALSE))/(VLOOKUP(Main_S[[#This Row],[Industry]], Mean_ROE_S, 3, FALSE))</f>
        <v>-1.6058657056589232</v>
      </c>
      <c r="R171" s="1">
        <f>(Main_S[[#This Row],[ROA]]-VLOOKUP(Main_S[[#This Row],[Industry]], Mean_ROA_S, 2, FALSE))/(VLOOKUP(Main_S[[#This Row],[Industry]], Mean_ROA_S, 3, FALSE))</f>
        <v>0.49882853366654289</v>
      </c>
      <c r="S171" s="1">
        <f>(Main_S[[#This Row],[A/E]]-VLOOKUP(Main_S[[#This Row],[Industry]], Mean_AE_S, 2, FALSE))/(VLOOKUP(Main_S[[#This Row],[Industry]], Mean_AE_S, 3, FALSE))</f>
        <v>0.75118043009296998</v>
      </c>
      <c r="T171" s="1">
        <f>(Main_S[[#This Row],[P/E]]-VLOOKUP(Main_S[[#This Row],[Industry]], Mean_PE_S, 2, FALSE))/(VLOOKUP(Main_S[[#This Row],[Industry]], Mean_PE_S, 3, FALSE))</f>
        <v>-4.9909578213682595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2" spans="1:26" x14ac:dyDescent="0.25">
      <c r="A172" s="67" t="s">
        <v>172</v>
      </c>
      <c r="B172" s="67" t="s">
        <v>734</v>
      </c>
      <c r="C172" s="2">
        <v>1181</v>
      </c>
      <c r="D172">
        <f>RTD("tos.rtd", , "LAST", Main_S[[#This Row],[Symbol]])</f>
        <v>3.46</v>
      </c>
      <c r="E172">
        <v>-0.34</v>
      </c>
      <c r="F172">
        <v>0.16</v>
      </c>
      <c r="G172">
        <v>0.05</v>
      </c>
      <c r="H172" s="1">
        <f>IF(ISNUMBER(Main_S[[#This Row],[Free CF]]),IF(Main_S[[#This Row],[Free CF]]&lt;&gt;0,Main_S[[#This Row],[Current Price]]/Main_S[[#This Row],[Free CF]],""),"")</f>
        <v>-10.176470588235293</v>
      </c>
      <c r="I172" s="1">
        <f>IF(ISNUMBER(Main_S[[#This Row],[BVPS]]),IF(Main_S[[#This Row],[BVPS]]&lt;&gt;0,Main_S[[#This Row],[Current Price]]/Main_S[[#This Row],[BVPS]],""),"")</f>
        <v>21.625</v>
      </c>
      <c r="J172">
        <v>49.8</v>
      </c>
      <c r="K172">
        <v>1.98</v>
      </c>
      <c r="L172">
        <v>14.2</v>
      </c>
      <c r="M172" s="1">
        <f>IF(ISNUMBER(Main_S[[#This Row],[EPS]]),IF(Main_S[[#This Row],[EPS]]&lt;&gt;0,Main_S[[#This Row],[Current Price]]/Main_S[[#This Row],[EPS]],""),"")</f>
        <v>69.199999999999989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-1.2786719362622634</v>
      </c>
      <c r="P172" s="1">
        <f>(Main_S[[#This Row],[P/B]]-VLOOKUP(Main_S[[#This Row],[Industry]], Mean_PB_S, 2, FALSE))/(VLOOKUP(Main_S[[#This Row],[Industry]], Mean_PB_S, 3, FALSE))</f>
        <v>23.686552752400829</v>
      </c>
      <c r="Q172" s="1">
        <f>(Main_S[[#This Row],[ROE]]-VLOOKUP(Main_S[[#This Row],[Industry]], Mean_ROE_S, 2, FALSE))/(VLOOKUP(Main_S[[#This Row],[Industry]], Mean_ROE_S, 3, FALSE))</f>
        <v>5.7814219183258997</v>
      </c>
      <c r="R172" s="1">
        <f>(Main_S[[#This Row],[ROA]]-VLOOKUP(Main_S[[#This Row],[Industry]], Mean_ROA_S, 2, FALSE))/(VLOOKUP(Main_S[[#This Row],[Industry]], Mean_ROA_S, 3, FALSE))</f>
        <v>-1.6302941914130737</v>
      </c>
      <c r="S172" s="1">
        <f>(Main_S[[#This Row],[A/E]]-VLOOKUP(Main_S[[#This Row],[Industry]], Mean_AE_S, 2, FALSE))/(VLOOKUP(Main_S[[#This Row],[Industry]], Mean_AE_S, 3, FALSE))</f>
        <v>23.323799134748732</v>
      </c>
      <c r="T172" s="1">
        <f>(Main_S[[#This Row],[P/E]]-VLOOKUP(Main_S[[#This Row],[Industry]], Mean_PE_S, 2, FALSE))/(VLOOKUP(Main_S[[#This Row],[Industry]], Mean_PE_S, 3, FALSE))</f>
        <v>6.5919280066184776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3" spans="1:26" x14ac:dyDescent="0.25">
      <c r="A173" s="67" t="s">
        <v>172</v>
      </c>
      <c r="B173" s="67" t="s">
        <v>611</v>
      </c>
      <c r="C173" s="2">
        <v>305</v>
      </c>
      <c r="D173">
        <f>RTD("tos.rtd", , "LAST", Main_S[[#This Row],[Symbol]])</f>
        <v>7.6</v>
      </c>
      <c r="E173">
        <v>-0.35</v>
      </c>
      <c r="F173">
        <v>7.57</v>
      </c>
      <c r="G173">
        <v>-0.95</v>
      </c>
      <c r="H173" s="1">
        <f>IF(ISNUMBER(Main_S[[#This Row],[Free CF]]),IF(Main_S[[#This Row],[Free CF]]&lt;&gt;0,Main_S[[#This Row],[Current Price]]/Main_S[[#This Row],[Free CF]],""),"")</f>
        <v>-21.714285714285715</v>
      </c>
      <c r="I173" s="1">
        <f>IF(ISNUMBER(Main_S[[#This Row],[BVPS]]),IF(Main_S[[#This Row],[BVPS]]&lt;&gt;0,Main_S[[#This Row],[Current Price]]/Main_S[[#This Row],[BVPS]],""),"")</f>
        <v>1.0039630118890355</v>
      </c>
      <c r="J173">
        <v>-11.21</v>
      </c>
      <c r="K173">
        <v>6.29</v>
      </c>
      <c r="L173">
        <v>2.58</v>
      </c>
      <c r="M173" s="1">
        <f>IF(ISNUMBER(Main_S[[#This Row],[EPS]]),IF(Main_S[[#This Row],[EPS]]&lt;&gt;0,Main_S[[#This Row],[Current Price]]/Main_S[[#This Row],[EPS]],""),"")</f>
        <v>-8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-2.1243697361534277</v>
      </c>
      <c r="P173" s="1">
        <f>(Main_S[[#This Row],[P/B]]-VLOOKUP(Main_S[[#This Row],[Industry]], Mean_PB_S, 2, FALSE))/(VLOOKUP(Main_S[[#This Row],[Industry]], Mean_PB_S, 3, FALSE))</f>
        <v>-0.31847072125685333</v>
      </c>
      <c r="Q173" s="1">
        <f>(Main_S[[#This Row],[ROE]]-VLOOKUP(Main_S[[#This Row],[Industry]], Mean_ROE_S, 2, FALSE))/(VLOOKUP(Main_S[[#This Row],[Industry]], Mean_ROE_S, 3, FALSE))</f>
        <v>-2.9395227012428711</v>
      </c>
      <c r="R173" s="1">
        <f>(Main_S[[#This Row],[ROA]]-VLOOKUP(Main_S[[#This Row],[Industry]], Mean_ROA_S, 2, FALSE))/(VLOOKUP(Main_S[[#This Row],[Industry]], Mean_ROA_S, 3, FALSE))</f>
        <v>0.79735632316183325</v>
      </c>
      <c r="S173" s="1">
        <f>(Main_S[[#This Row],[A/E]]-VLOOKUP(Main_S[[#This Row],[Industry]], Mean_AE_S, 2, FALSE))/(VLOOKUP(Main_S[[#This Row],[Industry]], Mean_AE_S, 3, FALSE))</f>
        <v>0.88634581155797509</v>
      </c>
      <c r="T173" s="1">
        <f>(Main_S[[#This Row],[P/E]]-VLOOKUP(Main_S[[#This Row],[Industry]], Mean_PE_S, 2, FALSE))/(VLOOKUP(Main_S[[#This Row],[Industry]], Mean_PE_S, 3, FALSE))</f>
        <v>-2.2681802316269462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4" spans="1:26" x14ac:dyDescent="0.25">
      <c r="A174" s="67" t="s">
        <v>172</v>
      </c>
      <c r="B174" s="67" t="s">
        <v>605</v>
      </c>
      <c r="C174" s="2">
        <v>717</v>
      </c>
      <c r="D174">
        <f>RTD("tos.rtd", , "LAST", Main_S[[#This Row],[Symbol]])</f>
        <v>20.52</v>
      </c>
      <c r="E174">
        <v>-0.83</v>
      </c>
      <c r="F174">
        <v>19.39</v>
      </c>
      <c r="G174">
        <v>2.33</v>
      </c>
      <c r="H174" s="1">
        <f>IF(ISNUMBER(Main_S[[#This Row],[Free CF]]),IF(Main_S[[#This Row],[Free CF]]&lt;&gt;0,Main_S[[#This Row],[Current Price]]/Main_S[[#This Row],[Free CF]],""),"")</f>
        <v>-24.722891566265062</v>
      </c>
      <c r="I174" s="1">
        <f>IF(ISNUMBER(Main_S[[#This Row],[BVPS]]),IF(Main_S[[#This Row],[BVPS]]&lt;&gt;0,Main_S[[#This Row],[Current Price]]/Main_S[[#This Row],[BVPS]],""),"")</f>
        <v>1.0582774626095925</v>
      </c>
      <c r="J174">
        <v>12.1</v>
      </c>
      <c r="K174">
        <v>5.51</v>
      </c>
      <c r="L174">
        <v>1.83</v>
      </c>
      <c r="M174" s="1">
        <f>IF(ISNUMBER(Main_S[[#This Row],[EPS]]),IF(Main_S[[#This Row],[EPS]]&lt;&gt;0,Main_S[[#This Row],[Current Price]]/Main_S[[#This Row],[EPS]],""),"")</f>
        <v>8.806866952789699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4" s="1">
        <f>(Main_S[[#This Row],[P/FCF]]-VLOOKUP(Main_S[[#This Row],[Industry]], Mean_PFCF_S, 2, FALSE))/(VLOOKUP(Main_S[[#This Row],[Industry]], Mean_PFCF_S, 3, FALSE))</f>
        <v>-2.3448942741150267</v>
      </c>
      <c r="P174" s="1">
        <f>(Main_S[[#This Row],[P/B]]-VLOOKUP(Main_S[[#This Row],[Industry]], Mean_PB_S, 2, FALSE))/(VLOOKUP(Main_S[[#This Row],[Industry]], Mean_PB_S, 3, FALSE))</f>
        <v>-0.25524307343014552</v>
      </c>
      <c r="Q174" s="1">
        <f>(Main_S[[#This Row],[ROE]]-VLOOKUP(Main_S[[#This Row],[Industry]], Mean_ROE_S, 2, FALSE))/(VLOOKUP(Main_S[[#This Row],[Industry]], Mean_ROE_S, 3, FALSE))</f>
        <v>0.39247564463728107</v>
      </c>
      <c r="R174" s="1">
        <f>(Main_S[[#This Row],[ROA]]-VLOOKUP(Main_S[[#This Row],[Industry]], Mean_ROA_S, 2, FALSE))/(VLOOKUP(Main_S[[#This Row],[Industry]], Mean_ROA_S, 3, FALSE))</f>
        <v>0.35801353862159468</v>
      </c>
      <c r="S174" s="1">
        <f>(Main_S[[#This Row],[A/E]]-VLOOKUP(Main_S[[#This Row],[Industry]], Mean_AE_S, 2, FALSE))/(VLOOKUP(Main_S[[#This Row],[Industry]], Mean_AE_S, 3, FALSE))</f>
        <v>-0.56185470413850258</v>
      </c>
      <c r="T174" s="1">
        <f>(Main_S[[#This Row],[P/E]]-VLOOKUP(Main_S[[#This Row],[Industry]], Mean_PE_S, 2, FALSE))/(VLOOKUP(Main_S[[#This Row],[Industry]], Mean_PE_S, 3, FALSE))</f>
        <v>-0.33928566754007022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5" spans="1:26" x14ac:dyDescent="0.25">
      <c r="A175" s="67" t="s">
        <v>172</v>
      </c>
      <c r="B175" s="67" t="s">
        <v>738</v>
      </c>
      <c r="C175" s="2">
        <v>305</v>
      </c>
      <c r="D175">
        <f>RTD("tos.rtd", , "LAST", Main_S[[#This Row],[Symbol]])</f>
        <v>5.69</v>
      </c>
      <c r="E175">
        <v>-1.2</v>
      </c>
      <c r="F175">
        <v>5.55</v>
      </c>
      <c r="G175">
        <v>-4.24</v>
      </c>
      <c r="H175" s="1">
        <f>IF(ISNUMBER(Main_S[[#This Row],[Free CF]]),IF(Main_S[[#This Row],[Free CF]]&lt;&gt;0,Main_S[[#This Row],[Current Price]]/Main_S[[#This Row],[Free CF]],""),"")</f>
        <v>-4.7416666666666671</v>
      </c>
      <c r="I175" s="1">
        <f>IF(ISNUMBER(Main_S[[#This Row],[BVPS]]),IF(Main_S[[#This Row],[BVPS]]&lt;&gt;0,Main_S[[#This Row],[Current Price]]/Main_S[[#This Row],[BVPS]],""),"")</f>
        <v>1.0252252252252254</v>
      </c>
      <c r="J175">
        <v>-128.53</v>
      </c>
      <c r="K175">
        <v>-17.059999999999999</v>
      </c>
      <c r="L175">
        <v>2.5299999999999998</v>
      </c>
      <c r="M175" s="1">
        <f>IF(ISNUMBER(Main_S[[#This Row],[EPS]]),IF(Main_S[[#This Row],[EPS]]&lt;&gt;0,Main_S[[#This Row],[Current Price]]/Main_S[[#This Row],[EPS]],""),"")</f>
        <v>-1.3419811320754718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-0.88031213684642606</v>
      </c>
      <c r="P175" s="1">
        <f>(Main_S[[#This Row],[P/B]]-VLOOKUP(Main_S[[#This Row],[Industry]], Mean_PB_S, 2, FALSE))/(VLOOKUP(Main_S[[#This Row],[Industry]], Mean_PB_S, 3, FALSE))</f>
        <v>-0.2937193020856726</v>
      </c>
      <c r="Q175" s="1">
        <f>(Main_S[[#This Row],[ROE]]-VLOOKUP(Main_S[[#This Row],[Industry]], Mean_ROE_S, 2, FALSE))/(VLOOKUP(Main_S[[#This Row],[Industry]], Mean_ROE_S, 3, FALSE))</f>
        <v>-19.7095804420691</v>
      </c>
      <c r="R175" s="1">
        <f>(Main_S[[#This Row],[ROA]]-VLOOKUP(Main_S[[#This Row],[Industry]], Mean_ROA_S, 2, FALSE))/(VLOOKUP(Main_S[[#This Row],[Industry]], Mean_ROA_S, 3, FALSE))</f>
        <v>-12.354764214036328</v>
      </c>
      <c r="S175" s="1">
        <f>(Main_S[[#This Row],[A/E]]-VLOOKUP(Main_S[[#This Row],[Industry]], Mean_AE_S, 2, FALSE))/(VLOOKUP(Main_S[[#This Row],[Industry]], Mean_AE_S, 3, FALSE))</f>
        <v>0.78979911051154272</v>
      </c>
      <c r="T175" s="1">
        <f>(Main_S[[#This Row],[P/E]]-VLOOKUP(Main_S[[#This Row],[Industry]], Mean_PE_S, 2, FALSE))/(VLOOKUP(Main_S[[#This Row],[Industry]], Mean_PE_S, 3, FALSE))</f>
        <v>-1.5040511147604743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6" spans="1:26" x14ac:dyDescent="0.25">
      <c r="A176" s="67" t="s">
        <v>172</v>
      </c>
      <c r="B176" s="67" t="s">
        <v>612</v>
      </c>
      <c r="C176" s="2">
        <v>1225</v>
      </c>
      <c r="D176">
        <f>RTD("tos.rtd", , "LAST", Main_S[[#This Row],[Symbol]])</f>
        <v>13.09</v>
      </c>
      <c r="E176">
        <v>-1.77</v>
      </c>
      <c r="F176">
        <v>14.93</v>
      </c>
      <c r="G176">
        <v>1.22</v>
      </c>
      <c r="H176" s="1">
        <f>IF(ISNUMBER(Main_S[[#This Row],[Free CF]]),IF(Main_S[[#This Row],[Free CF]]&lt;&gt;0,Main_S[[#This Row],[Current Price]]/Main_S[[#This Row],[Free CF]],""),"")</f>
        <v>-7.3954802259887007</v>
      </c>
      <c r="I176" s="1">
        <f>IF(ISNUMBER(Main_S[[#This Row],[BVPS]]),IF(Main_S[[#This Row],[BVPS]]&lt;&gt;0,Main_S[[#This Row],[Current Price]]/Main_S[[#This Row],[BVPS]],""),"")</f>
        <v>0.8767582049564635</v>
      </c>
      <c r="J176">
        <v>8.64</v>
      </c>
      <c r="K176">
        <v>5.59</v>
      </c>
      <c r="L176">
        <v>2.41</v>
      </c>
      <c r="M176" s="1">
        <f>IF(ISNUMBER(Main_S[[#This Row],[EPS]]),IF(Main_S[[#This Row],[EPS]]&lt;&gt;0,Main_S[[#This Row],[Current Price]]/Main_S[[#This Row],[EPS]],""),"")</f>
        <v>10.729508196721312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-1.0748311392676628</v>
      </c>
      <c r="P176" s="1">
        <f>(Main_S[[#This Row],[P/B]]-VLOOKUP(Main_S[[#This Row],[Industry]], Mean_PB_S, 2, FALSE))/(VLOOKUP(Main_S[[#This Row],[Industry]], Mean_PB_S, 3, FALSE))</f>
        <v>-0.46655029543825882</v>
      </c>
      <c r="Q176" s="1">
        <f>(Main_S[[#This Row],[ROE]]-VLOOKUP(Main_S[[#This Row],[Industry]], Mean_ROE_S, 2, FALSE))/(VLOOKUP(Main_S[[#This Row],[Industry]], Mean_ROE_S, 3, FALSE))</f>
        <v>-0.10210669241743033</v>
      </c>
      <c r="R176" s="1">
        <f>(Main_S[[#This Row],[ROA]]-VLOOKUP(Main_S[[#This Row],[Industry]], Mean_ROA_S, 2, FALSE))/(VLOOKUP(Main_S[[#This Row],[Industry]], Mean_ROA_S, 3, FALSE))</f>
        <v>0.40307433703597817</v>
      </c>
      <c r="S176" s="1">
        <f>(Main_S[[#This Row],[A/E]]-VLOOKUP(Main_S[[#This Row],[Industry]], Mean_AE_S, 2, FALSE))/(VLOOKUP(Main_S[[#This Row],[Industry]], Mean_AE_S, 3, FALSE))</f>
        <v>0.5580870280001069</v>
      </c>
      <c r="T176" s="1">
        <f>(Main_S[[#This Row],[P/E]]-VLOOKUP(Main_S[[#This Row],[Industry]], Mean_PE_S, 2, FALSE))/(VLOOKUP(Main_S[[#This Row],[Industry]], Mean_PE_S, 3, FALSE))</f>
        <v>-0.11862751307700135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7" spans="1:26" x14ac:dyDescent="0.25">
      <c r="A177" s="67" t="s">
        <v>172</v>
      </c>
      <c r="B177" s="67" t="s">
        <v>613</v>
      </c>
      <c r="C177" s="2">
        <v>742</v>
      </c>
      <c r="D177">
        <f>RTD("tos.rtd", , "LAST", Main_S[[#This Row],[Symbol]])</f>
        <v>17.98</v>
      </c>
      <c r="E177">
        <v>-2.15</v>
      </c>
      <c r="F177">
        <v>15.35</v>
      </c>
      <c r="G177">
        <v>1.5</v>
      </c>
      <c r="H177" s="1">
        <f>IF(ISNUMBER(Main_S[[#This Row],[Free CF]]),IF(Main_S[[#This Row],[Free CF]]&lt;&gt;0,Main_S[[#This Row],[Current Price]]/Main_S[[#This Row],[Free CF]],""),"")</f>
        <v>-8.36279069767442</v>
      </c>
      <c r="I177" s="1">
        <f>IF(ISNUMBER(Main_S[[#This Row],[BVPS]]),IF(Main_S[[#This Row],[BVPS]]&lt;&gt;0,Main_S[[#This Row],[Current Price]]/Main_S[[#This Row],[BVPS]],""),"")</f>
        <v>1.1713355048859935</v>
      </c>
      <c r="J177">
        <v>9.25</v>
      </c>
      <c r="K177">
        <v>4.9000000000000004</v>
      </c>
      <c r="L177">
        <v>1.84</v>
      </c>
      <c r="M177" s="1">
        <f>IF(ISNUMBER(Main_S[[#This Row],[EPS]]),IF(Main_S[[#This Row],[EPS]]&lt;&gt;0,Main_S[[#This Row],[Current Price]]/Main_S[[#This Row],[EPS]],""),"")</f>
        <v>11.986666666666666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-1.1457329806283616</v>
      </c>
      <c r="P177" s="1">
        <f>(Main_S[[#This Row],[P/B]]-VLOOKUP(Main_S[[#This Row],[Industry]], Mean_PB_S, 2, FALSE))/(VLOOKUP(Main_S[[#This Row],[Industry]], Mean_PB_S, 3, FALSE))</f>
        <v>-0.12363179896826862</v>
      </c>
      <c r="Q177" s="1">
        <f>(Main_S[[#This Row],[ROE]]-VLOOKUP(Main_S[[#This Row],[Industry]], Mean_ROE_S, 2, FALSE))/(VLOOKUP(Main_S[[#This Row],[Industry]], Mean_ROE_S, 3, FALSE))</f>
        <v>-1.4911540508940809E-2</v>
      </c>
      <c r="R177" s="1">
        <f>(Main_S[[#This Row],[ROA]]-VLOOKUP(Main_S[[#This Row],[Industry]], Mean_ROA_S, 2, FALSE))/(VLOOKUP(Main_S[[#This Row],[Industry]], Mean_ROA_S, 3, FALSE))</f>
        <v>1.4424950711921411E-2</v>
      </c>
      <c r="S177" s="1">
        <f>(Main_S[[#This Row],[A/E]]-VLOOKUP(Main_S[[#This Row],[Industry]], Mean_AE_S, 2, FALSE))/(VLOOKUP(Main_S[[#This Row],[Industry]], Mean_AE_S, 3, FALSE))</f>
        <v>-0.54254536392921615</v>
      </c>
      <c r="T177" s="1">
        <f>(Main_S[[#This Row],[P/E]]-VLOOKUP(Main_S[[#This Row],[Industry]], Mean_PE_S, 2, FALSE))/(VLOOKUP(Main_S[[#This Row],[Industry]], Mean_PE_S, 3, FALSE))</f>
        <v>2.5654353715004432E-2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8" spans="1:26" x14ac:dyDescent="0.25">
      <c r="A178" s="67" t="s">
        <v>172</v>
      </c>
      <c r="B178" s="67" t="s">
        <v>624</v>
      </c>
      <c r="C178" s="2">
        <v>377</v>
      </c>
      <c r="D178">
        <f>RTD("tos.rtd", , "LAST", Main_S[[#This Row],[Symbol]])</f>
        <v>13.55</v>
      </c>
      <c r="E178">
        <v>-2.65</v>
      </c>
      <c r="F178">
        <v>13.25</v>
      </c>
      <c r="G178">
        <v>1.42</v>
      </c>
      <c r="H178" s="1">
        <f>IF(ISNUMBER(Main_S[[#This Row],[Free CF]]),IF(Main_S[[#This Row],[Free CF]]&lt;&gt;0,Main_S[[#This Row],[Current Price]]/Main_S[[#This Row],[Free CF]],""),"")</f>
        <v>-5.1132075471698117</v>
      </c>
      <c r="I178" s="1">
        <f>IF(ISNUMBER(Main_S[[#This Row],[BVPS]]),IF(Main_S[[#This Row],[BVPS]]&lt;&gt;0,Main_S[[#This Row],[Current Price]]/Main_S[[#This Row],[BVPS]],""),"")</f>
        <v>1.0226415094339623</v>
      </c>
      <c r="J178">
        <v>10.83</v>
      </c>
      <c r="K178">
        <v>4.66</v>
      </c>
      <c r="L178">
        <v>2.71</v>
      </c>
      <c r="M178" s="1">
        <f>IF(ISNUMBER(Main_S[[#This Row],[EPS]]),IF(Main_S[[#This Row],[EPS]]&lt;&gt;0,Main_S[[#This Row],[Current Price]]/Main_S[[#This Row],[EPS]],""),"")</f>
        <v>9.5422535211267618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-0.90754530896596364</v>
      </c>
      <c r="P178" s="1">
        <f>(Main_S[[#This Row],[P/B]]-VLOOKUP(Main_S[[#This Row],[Industry]], Mean_PB_S, 2, FALSE))/(VLOOKUP(Main_S[[#This Row],[Industry]], Mean_PB_S, 3, FALSE))</f>
        <v>-0.29672701494969056</v>
      </c>
      <c r="Q178" s="1">
        <f>(Main_S[[#This Row],[ROE]]-VLOOKUP(Main_S[[#This Row],[Industry]], Mean_ROE_S, 2, FALSE))/(VLOOKUP(Main_S[[#This Row],[Industry]], Mean_ROE_S, 3, FALSE))</f>
        <v>0.21093819722124538</v>
      </c>
      <c r="R178" s="1">
        <f>(Main_S[[#This Row],[ROA]]-VLOOKUP(Main_S[[#This Row],[Industry]], Mean_ROA_S, 2, FALSE))/(VLOOKUP(Main_S[[#This Row],[Industry]], Mean_ROA_S, 3, FALSE))</f>
        <v>-0.12075744453122898</v>
      </c>
      <c r="S178" s="1">
        <f>(Main_S[[#This Row],[A/E]]-VLOOKUP(Main_S[[#This Row],[Industry]], Mean_AE_S, 2, FALSE))/(VLOOKUP(Main_S[[#This Row],[Industry]], Mean_AE_S, 3, FALSE))</f>
        <v>1.1373672342786976</v>
      </c>
      <c r="T178" s="1">
        <f>(Main_S[[#This Row],[P/E]]-VLOOKUP(Main_S[[#This Row],[Industry]], Mean_PE_S, 2, FALSE))/(VLOOKUP(Main_S[[#This Row],[Industry]], Mean_PE_S, 3, FALSE))</f>
        <v>-0.25488664432221736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7" t="s">
        <v>172</v>
      </c>
      <c r="B179" s="67" t="s">
        <v>601</v>
      </c>
      <c r="C179" s="2">
        <v>1118</v>
      </c>
      <c r="D179">
        <f>RTD("tos.rtd", , "LAST", Main_S[[#This Row],[Symbol]])</f>
        <v>21.35</v>
      </c>
      <c r="E179">
        <v>-4.6100000000000003</v>
      </c>
      <c r="F179">
        <v>16.7</v>
      </c>
      <c r="G179">
        <v>1.47</v>
      </c>
      <c r="H179" s="1">
        <f>IF(ISNUMBER(Main_S[[#This Row],[Free CF]]),IF(Main_S[[#This Row],[Free CF]]&lt;&gt;0,Main_S[[#This Row],[Current Price]]/Main_S[[#This Row],[Free CF]],""),"")</f>
        <v>-4.6312364425162693</v>
      </c>
      <c r="I179" s="1">
        <f>IF(ISNUMBER(Main_S[[#This Row],[BVPS]]),IF(Main_S[[#This Row],[BVPS]]&lt;&gt;0,Main_S[[#This Row],[Current Price]]/Main_S[[#This Row],[BVPS]],""),"")</f>
        <v>1.2784431137724552</v>
      </c>
      <c r="J179">
        <v>8.61</v>
      </c>
      <c r="K179">
        <v>6.37</v>
      </c>
      <c r="L179">
        <v>2.13</v>
      </c>
      <c r="M179" s="1">
        <f>IF(ISNUMBER(Main_S[[#This Row],[EPS]]),IF(Main_S[[#This Row],[EPS]]&lt;&gt;0,Main_S[[#This Row],[Current Price]]/Main_S[[#This Row],[EPS]],""),"")</f>
        <v>14.523809523809526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-0.87221783159147193</v>
      </c>
      <c r="P179" s="1">
        <f>(Main_S[[#This Row],[P/B]]-VLOOKUP(Main_S[[#This Row],[Industry]], Mean_PB_S, 2, FALSE))/(VLOOKUP(Main_S[[#This Row],[Industry]], Mean_PB_S, 3, FALSE))</f>
        <v>1.0525545397163329E-3</v>
      </c>
      <c r="Q179" s="1">
        <f>(Main_S[[#This Row],[ROE]]-VLOOKUP(Main_S[[#This Row],[Industry]], Mean_ROE_S, 2, FALSE))/(VLOOKUP(Main_S[[#This Row],[Industry]], Mean_ROE_S, 3, FALSE))</f>
        <v>-0.1063949785768644</v>
      </c>
      <c r="R179" s="1">
        <f>(Main_S[[#This Row],[ROA]]-VLOOKUP(Main_S[[#This Row],[Industry]], Mean_ROA_S, 2, FALSE))/(VLOOKUP(Main_S[[#This Row],[Industry]], Mean_ROA_S, 3, FALSE))</f>
        <v>0.84241712157621673</v>
      </c>
      <c r="S179" s="1">
        <f>(Main_S[[#This Row],[A/E]]-VLOOKUP(Main_S[[#This Row],[Industry]], Mean_AE_S, 2, FALSE))/(VLOOKUP(Main_S[[#This Row],[Industry]], Mean_AE_S, 3, FALSE))</f>
        <v>1.7425502140088141E-2</v>
      </c>
      <c r="T179" s="1">
        <f>(Main_S[[#This Row],[P/E]]-VLOOKUP(Main_S[[#This Row],[Industry]], Mean_PE_S, 2, FALSE))/(VLOOKUP(Main_S[[#This Row],[Industry]], Mean_PE_S, 3, FALSE))</f>
        <v>0.3168377776810275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7" t="s">
        <v>172</v>
      </c>
      <c r="B180" s="67" t="s">
        <v>628</v>
      </c>
      <c r="C180" s="2">
        <v>941</v>
      </c>
      <c r="D180">
        <f>RTD("tos.rtd", , "LAST", Main_S[[#This Row],[Symbol]])</f>
        <v>14.65</v>
      </c>
      <c r="E180">
        <v>-5.28</v>
      </c>
      <c r="F180">
        <v>13.05</v>
      </c>
      <c r="G180">
        <v>2.19</v>
      </c>
      <c r="H180" s="1">
        <f>IF(ISNUMBER(Main_S[[#This Row],[Free CF]]),IF(Main_S[[#This Row],[Free CF]]&lt;&gt;0,Main_S[[#This Row],[Current Price]]/Main_S[[#This Row],[Free CF]],""),"")</f>
        <v>-2.7746212121212119</v>
      </c>
      <c r="I180" s="1">
        <f>IF(ISNUMBER(Main_S[[#This Row],[BVPS]]),IF(Main_S[[#This Row],[BVPS]]&lt;&gt;0,Main_S[[#This Row],[Current Price]]/Main_S[[#This Row],[BVPS]],""),"")</f>
        <v>1.1226053639846743</v>
      </c>
      <c r="J180">
        <v>17.559999999999999</v>
      </c>
      <c r="K180">
        <v>6.88</v>
      </c>
      <c r="L180">
        <v>2.23</v>
      </c>
      <c r="M180" s="1">
        <f>IF(ISNUMBER(Main_S[[#This Row],[EPS]]),IF(Main_S[[#This Row],[EPS]]&lt;&gt;0,Main_S[[#This Row],[Current Price]]/Main_S[[#This Row],[EPS]],""),"")</f>
        <v>6.6894977168949774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-0.73613180504001252</v>
      </c>
      <c r="P180" s="1">
        <f>(Main_S[[#This Row],[P/B]]-VLOOKUP(Main_S[[#This Row],[Industry]], Mean_PB_S, 2, FALSE))/(VLOOKUP(Main_S[[#This Row],[Industry]], Mean_PB_S, 3, FALSE))</f>
        <v>-0.18035873160920432</v>
      </c>
      <c r="Q180" s="1">
        <f>(Main_S[[#This Row],[ROE]]-VLOOKUP(Main_S[[#This Row],[Industry]], Mean_ROE_S, 2, FALSE))/(VLOOKUP(Main_S[[#This Row],[Industry]], Mean_ROE_S, 3, FALSE))</f>
        <v>1.1729437256542534</v>
      </c>
      <c r="R180" s="1">
        <f>(Main_S[[#This Row],[ROA]]-VLOOKUP(Main_S[[#This Row],[Industry]], Mean_ROA_S, 2, FALSE))/(VLOOKUP(Main_S[[#This Row],[Industry]], Mean_ROA_S, 3, FALSE))</f>
        <v>1.1296797114679109</v>
      </c>
      <c r="S180" s="1">
        <f>(Main_S[[#This Row],[A/E]]-VLOOKUP(Main_S[[#This Row],[Industry]], Mean_AE_S, 2, FALSE))/(VLOOKUP(Main_S[[#This Row],[Industry]], Mean_AE_S, 3, FALSE))</f>
        <v>0.210518904232952</v>
      </c>
      <c r="T180" s="1">
        <f>(Main_S[[#This Row],[P/E]]-VLOOKUP(Main_S[[#This Row],[Industry]], Mean_PE_S, 2, FALSE))/(VLOOKUP(Main_S[[#This Row],[Industry]], Mean_PE_S, 3, FALSE))</f>
        <v>-0.58229241119756048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7" t="s">
        <v>172</v>
      </c>
      <c r="B181" s="67" t="s">
        <v>618</v>
      </c>
      <c r="C181" s="2">
        <v>1022</v>
      </c>
      <c r="D181">
        <f>RTD("tos.rtd", , "LAST", Main_S[[#This Row],[Symbol]])</f>
        <v>10.46</v>
      </c>
      <c r="E181">
        <v>-10.14</v>
      </c>
      <c r="F181">
        <v>11.07</v>
      </c>
      <c r="G181">
        <v>0.86</v>
      </c>
      <c r="H181" s="1">
        <f>IF(ISNUMBER(Main_S[[#This Row],[Free CF]]),IF(Main_S[[#This Row],[Free CF]]&lt;&gt;0,Main_S[[#This Row],[Current Price]]/Main_S[[#This Row],[Free CF]],""),"")</f>
        <v>-1.0315581854043392</v>
      </c>
      <c r="I181" s="1">
        <f>IF(ISNUMBER(Main_S[[#This Row],[BVPS]]),IF(Main_S[[#This Row],[BVPS]]&lt;&gt;0,Main_S[[#This Row],[Current Price]]/Main_S[[#This Row],[BVPS]],""),"")</f>
        <v>0.94489611562782305</v>
      </c>
      <c r="J181">
        <v>7.59</v>
      </c>
      <c r="K181">
        <v>5.65</v>
      </c>
      <c r="L181">
        <v>2.3199999999999998</v>
      </c>
      <c r="M181" s="1">
        <f>IF(ISNUMBER(Main_S[[#This Row],[EPS]]),IF(Main_S[[#This Row],[EPS]]&lt;&gt;0,Main_S[[#This Row],[Current Price]]/Main_S[[#This Row],[EPS]],""),"")</f>
        <v>12.162790697674421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-0.60836891833559525</v>
      </c>
      <c r="P181" s="1">
        <f>(Main_S[[#This Row],[P/B]]-VLOOKUP(Main_S[[#This Row],[Industry]], Mean_PB_S, 2, FALSE))/(VLOOKUP(Main_S[[#This Row],[Industry]], Mean_PB_S, 3, FALSE))</f>
        <v>-0.38723070806469417</v>
      </c>
      <c r="Q181" s="1">
        <f>(Main_S[[#This Row],[ROE]]-VLOOKUP(Main_S[[#This Row],[Industry]], Mean_ROE_S, 2, FALSE))/(VLOOKUP(Main_S[[#This Row],[Industry]], Mean_ROE_S, 3, FALSE))</f>
        <v>-0.25219670799761745</v>
      </c>
      <c r="R181" s="1">
        <f>(Main_S[[#This Row],[ROA]]-VLOOKUP(Main_S[[#This Row],[Industry]], Mean_ROA_S, 2, FALSE))/(VLOOKUP(Main_S[[#This Row],[Industry]], Mean_ROA_S, 3, FALSE))</f>
        <v>0.43686993584676603</v>
      </c>
      <c r="S181" s="1">
        <f>(Main_S[[#This Row],[A/E]]-VLOOKUP(Main_S[[#This Row],[Industry]], Mean_AE_S, 2, FALSE))/(VLOOKUP(Main_S[[#This Row],[Industry]], Mean_AE_S, 3, FALSE))</f>
        <v>0.38430296611652903</v>
      </c>
      <c r="T181" s="1">
        <f>(Main_S[[#This Row],[P/E]]-VLOOKUP(Main_S[[#This Row],[Industry]], Mean_PE_S, 2, FALSE))/(VLOOKUP(Main_S[[#This Row],[Industry]], Mean_PE_S, 3, FALSE))</f>
        <v>4.5867799026983659E-2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2" spans="1:26" x14ac:dyDescent="0.25">
      <c r="A182" s="67" t="s">
        <v>172</v>
      </c>
      <c r="B182" s="67" t="s">
        <v>633</v>
      </c>
      <c r="C182" s="2">
        <v>687</v>
      </c>
      <c r="D182">
        <f>RTD("tos.rtd", , "LAST", Main_S[[#This Row],[Symbol]])</f>
        <v>63.07</v>
      </c>
      <c r="E182">
        <v>-12.3</v>
      </c>
      <c r="F182">
        <v>82.87</v>
      </c>
      <c r="G182">
        <v>6.74</v>
      </c>
      <c r="H182" s="1">
        <f>IF(ISNUMBER(Main_S[[#This Row],[Free CF]]),IF(Main_S[[#This Row],[Free CF]]&lt;&gt;0,Main_S[[#This Row],[Current Price]]/Main_S[[#This Row],[Free CF]],""),"")</f>
        <v>-5.1276422764227636</v>
      </c>
      <c r="I182" s="1">
        <f>IF(ISNUMBER(Main_S[[#This Row],[BVPS]]),IF(Main_S[[#This Row],[BVPS]]&lt;&gt;0,Main_S[[#This Row],[Current Price]]/Main_S[[#This Row],[BVPS]],""),"")</f>
        <v>0.7610715578617111</v>
      </c>
      <c r="J182">
        <v>9.1</v>
      </c>
      <c r="K182">
        <v>2.23</v>
      </c>
      <c r="L182">
        <v>4.0999999999999996</v>
      </c>
      <c r="M182" s="1">
        <f>IF(ISNUMBER(Main_S[[#This Row],[EPS]]),IF(Main_S[[#This Row],[EPS]]&lt;&gt;0,Main_S[[#This Row],[Current Price]]/Main_S[[#This Row],[EPS]],""),"")</f>
        <v>9.3575667655786354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-0.90860334453317293</v>
      </c>
      <c r="P182" s="1">
        <f>(Main_S[[#This Row],[P/B]]-VLOOKUP(Main_S[[#This Row],[Industry]], Mean_PB_S, 2, FALSE))/(VLOOKUP(Main_S[[#This Row],[Industry]], Mean_PB_S, 3, FALSE))</f>
        <v>-0.60122153824236202</v>
      </c>
      <c r="Q182" s="1">
        <f>(Main_S[[#This Row],[ROE]]-VLOOKUP(Main_S[[#This Row],[Industry]], Mean_ROE_S, 2, FALSE))/(VLOOKUP(Main_S[[#This Row],[Industry]], Mean_ROE_S, 3, FALSE))</f>
        <v>-3.6352971306110433E-2</v>
      </c>
      <c r="R182" s="1">
        <f>(Main_S[[#This Row],[ROA]]-VLOOKUP(Main_S[[#This Row],[Industry]], Mean_ROA_S, 2, FALSE))/(VLOOKUP(Main_S[[#This Row],[Industry]], Mean_ROA_S, 3, FALSE))</f>
        <v>-1.4894791963681255</v>
      </c>
      <c r="S182" s="1">
        <f>(Main_S[[#This Row],[A/E]]-VLOOKUP(Main_S[[#This Row],[Industry]], Mean_AE_S, 2, FALSE))/(VLOOKUP(Main_S[[#This Row],[Industry]], Mean_AE_S, 3, FALSE))</f>
        <v>3.8213655233695021</v>
      </c>
      <c r="T182" s="1">
        <f>(Main_S[[#This Row],[P/E]]-VLOOKUP(Main_S[[#This Row],[Industry]], Mean_PE_S, 2, FALSE))/(VLOOKUP(Main_S[[#This Row],[Industry]], Mean_PE_S, 3, FALSE))</f>
        <v>-0.27608281847152788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3" spans="1:26" x14ac:dyDescent="0.25">
      <c r="A183" s="67" t="s">
        <v>166</v>
      </c>
      <c r="B183" s="67" t="s">
        <v>715</v>
      </c>
      <c r="C183" s="2">
        <v>293</v>
      </c>
      <c r="D183">
        <f>RTD("tos.rtd", , "LAST", Main_S[[#This Row],[Symbol]])</f>
        <v>12.48</v>
      </c>
      <c r="H183" s="1" t="str">
        <f>IF(ISNUMBER(Main_S[[#This Row],[Free CF]]),IF(Main_S[[#This Row],[Free CF]]&lt;&gt;0,Main_S[[#This Row],[Current Price]]/Main_S[[#This Row],[Free CF]],""),"")</f>
        <v/>
      </c>
      <c r="I183" s="1" t="str">
        <f>IF(ISNUMBER(Main_S[[#This Row],[BVPS]]),IF(Main_S[[#This Row],[BVPS]]&lt;&gt;0,Main_S[[#This Row],[Current Price]]/Main_S[[#This Row],[BVPS]],""),"")</f>
        <v/>
      </c>
      <c r="J183">
        <v>14.87</v>
      </c>
      <c r="K183">
        <v>0.2</v>
      </c>
      <c r="L183">
        <v>27.05</v>
      </c>
      <c r="M183" s="1" t="str">
        <f>IF(ISNUMBER(Main_S[[#This Row],[EPS]]),IF(Main_S[[#This Row],[EPS]]&lt;&gt;0,Main_S[[#This Row],[Current Price]]/Main_S[[#This Row],[EPS]],""),"")</f>
        <v/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 t="e">
        <f>(Main_S[[#This Row],[P/FCF]]-VLOOKUP(Main_S[[#This Row],[Industry]], Mean_PFCF_S, 2, FALSE))/(VLOOKUP(Main_S[[#This Row],[Industry]], Mean_PFCF_S, 3, FALSE))</f>
        <v>#VALUE!</v>
      </c>
      <c r="P183" s="1" t="e">
        <f>(Main_S[[#This Row],[P/B]]-VLOOKUP(Main_S[[#This Row],[Industry]], Mean_PB_S, 2, FALSE))/(VLOOKUP(Main_S[[#This Row],[Industry]], Mean_PB_S, 3, FALSE))</f>
        <v>#VALUE!</v>
      </c>
      <c r="Q183" s="1">
        <f>(Main_S[[#This Row],[ROE]]-VLOOKUP(Main_S[[#This Row],[Industry]], Mean_ROE_S, 2, FALSE))/(VLOOKUP(Main_S[[#This Row],[Industry]], Mean_ROE_S, 3, FALSE))</f>
        <v>7.8116302836993667E-2</v>
      </c>
      <c r="R183" s="1">
        <f>(Main_S[[#This Row],[ROA]]-VLOOKUP(Main_S[[#This Row],[Industry]], Mean_ROA_S, 2, FALSE))/(VLOOKUP(Main_S[[#This Row],[Industry]], Mean_ROA_S, 3, FALSE))</f>
        <v>-0.92242672409517301</v>
      </c>
      <c r="S183" s="1">
        <f>(Main_S[[#This Row],[A/E]]-VLOOKUP(Main_S[[#This Row],[Industry]], Mean_AE_S, 2, FALSE))/(VLOOKUP(Main_S[[#This Row],[Industry]], Mean_AE_S, 3, FALSE))</f>
        <v>9.6414574212972113</v>
      </c>
      <c r="T183" s="1" t="e">
        <f>(Main_S[[#This Row],[P/E]]-VLOOKUP(Main_S[[#This Row],[Industry]], Mean_PE_S, 2, FALSE))/(VLOOKUP(Main_S[[#This Row],[Industry]], Mean_PE_S, 3, FALSE))</f>
        <v>#VALUE!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4" spans="1:26" x14ac:dyDescent="0.25">
      <c r="A184" s="67" t="s">
        <v>166</v>
      </c>
      <c r="B184" s="67" t="s">
        <v>717</v>
      </c>
      <c r="C184" s="2">
        <v>546</v>
      </c>
      <c r="D184">
        <f>RTD("tos.rtd", , "LAST", Main_S[[#This Row],[Symbol]])</f>
        <v>1.39</v>
      </c>
      <c r="H184" s="1" t="str">
        <f>IF(ISNUMBER(Main_S[[#This Row],[Free CF]]),IF(Main_S[[#This Row],[Free CF]]&lt;&gt;0,Main_S[[#This Row],[Current Price]]/Main_S[[#This Row],[Free CF]],""),"")</f>
        <v/>
      </c>
      <c r="I184" s="1" t="str">
        <f>IF(ISNUMBER(Main_S[[#This Row],[BVPS]]),IF(Main_S[[#This Row],[BVPS]]&lt;&gt;0,Main_S[[#This Row],[Current Price]]/Main_S[[#This Row],[BVPS]],""),"")</f>
        <v/>
      </c>
      <c r="J184">
        <v>2.4300000000000002</v>
      </c>
      <c r="K184">
        <v>1.51</v>
      </c>
      <c r="L184">
        <v>1.76</v>
      </c>
      <c r="M184" s="1" t="str">
        <f>IF(ISNUMBER(Main_S[[#This Row],[EPS]]),IF(Main_S[[#This Row],[EPS]]&lt;&gt;0,Main_S[[#This Row],[Current Price]]/Main_S[[#This Row],[EPS]],""),"")</f>
        <v/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4" s="1" t="e">
        <f>(Main_S[[#This Row],[P/FCF]]-VLOOKUP(Main_S[[#This Row],[Industry]], Mean_PFCF_S, 2, FALSE))/(VLOOKUP(Main_S[[#This Row],[Industry]], Mean_PFCF_S, 3, FALSE))</f>
        <v>#VALUE!</v>
      </c>
      <c r="P184" s="1" t="e">
        <f>(Main_S[[#This Row],[P/B]]-VLOOKUP(Main_S[[#This Row],[Industry]], Mean_PB_S, 2, FALSE))/(VLOOKUP(Main_S[[#This Row],[Industry]], Mean_PB_S, 3, FALSE))</f>
        <v>#VALUE!</v>
      </c>
      <c r="Q184" s="1">
        <f>(Main_S[[#This Row],[ROE]]-VLOOKUP(Main_S[[#This Row],[Industry]], Mean_ROE_S, 2, FALSE))/(VLOOKUP(Main_S[[#This Row],[Industry]], Mean_ROE_S, 3, FALSE))</f>
        <v>-0.76756683642046297</v>
      </c>
      <c r="R184" s="1">
        <f>(Main_S[[#This Row],[ROA]]-VLOOKUP(Main_S[[#This Row],[Industry]], Mean_ROA_S, 2, FALSE))/(VLOOKUP(Main_S[[#This Row],[Industry]], Mean_ROA_S, 3, FALSE))</f>
        <v>-0.72431768427061272</v>
      </c>
      <c r="S184" s="1">
        <f>(Main_S[[#This Row],[A/E]]-VLOOKUP(Main_S[[#This Row],[Industry]], Mean_AE_S, 2, FALSE))/(VLOOKUP(Main_S[[#This Row],[Industry]], Mean_AE_S, 3, FALSE))</f>
        <v>-0.80338922907145693</v>
      </c>
      <c r="T184" s="1" t="e">
        <f>(Main_S[[#This Row],[P/E]]-VLOOKUP(Main_S[[#This Row],[Industry]], Mean_PE_S, 2, FALSE))/(VLOOKUP(Main_S[[#This Row],[Industry]], Mean_PE_S, 3, FALSE))</f>
        <v>#VALUE!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5" spans="1:26" x14ac:dyDescent="0.25">
      <c r="A185" s="67" t="s">
        <v>166</v>
      </c>
      <c r="B185" s="67" t="s">
        <v>590</v>
      </c>
      <c r="C185" s="2">
        <v>820</v>
      </c>
      <c r="D185">
        <f>RTD("tos.rtd", , "LAST", Main_S[[#This Row],[Symbol]])</f>
        <v>157.61000000000001</v>
      </c>
      <c r="E185">
        <v>46.17</v>
      </c>
      <c r="F185">
        <v>84.28</v>
      </c>
      <c r="G185">
        <v>16.3</v>
      </c>
      <c r="H185" s="1">
        <f>IF(ISNUMBER(Main_S[[#This Row],[Free CF]]),IF(Main_S[[#This Row],[Free CF]]&lt;&gt;0,Main_S[[#This Row],[Current Price]]/Main_S[[#This Row],[Free CF]],""),"")</f>
        <v>3.4136885423435133</v>
      </c>
      <c r="I185" s="1">
        <f>IF(ISNUMBER(Main_S[[#This Row],[BVPS]]),IF(Main_S[[#This Row],[BVPS]]&lt;&gt;0,Main_S[[#This Row],[Current Price]]/Main_S[[#This Row],[BVPS]],""),"")</f>
        <v>1.8700759373516851</v>
      </c>
      <c r="J185">
        <v>20.78</v>
      </c>
      <c r="K185">
        <v>9.36</v>
      </c>
      <c r="L185">
        <v>2.29</v>
      </c>
      <c r="M185" s="1">
        <f>IF(ISNUMBER(Main_S[[#This Row],[EPS]]),IF(Main_S[[#This Row],[EPS]]&lt;&gt;0,Main_S[[#This Row],[Current Price]]/Main_S[[#This Row],[EPS]],""),"")</f>
        <v>9.669325153374233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-1.5319709554443965E-3</v>
      </c>
      <c r="P185" s="1">
        <f>(Main_S[[#This Row],[P/B]]-VLOOKUP(Main_S[[#This Row],[Industry]], Mean_PB_S, 2, FALSE))/(VLOOKUP(Main_S[[#This Row],[Industry]], Mean_PB_S, 3, FALSE))</f>
        <v>0.64027183048674896</v>
      </c>
      <c r="Q185" s="1">
        <f>(Main_S[[#This Row],[ROE]]-VLOOKUP(Main_S[[#This Row],[Industry]], Mean_ROE_S, 2, FALSE))/(VLOOKUP(Main_S[[#This Row],[Industry]], Mean_ROE_S, 3, FALSE))</f>
        <v>0.47988377494403311</v>
      </c>
      <c r="R185" s="1">
        <f>(Main_S[[#This Row],[ROA]]-VLOOKUP(Main_S[[#This Row],[Industry]], Mean_ROA_S, 2, FALSE))/(VLOOKUP(Main_S[[#This Row],[Industry]], Mean_ROA_S, 3, FALSE))</f>
        <v>0.46282427192999631</v>
      </c>
      <c r="S185" s="1">
        <f>(Main_S[[#This Row],[A/E]]-VLOOKUP(Main_S[[#This Row],[Industry]], Mean_AE_S, 2, FALSE))/(VLOOKUP(Main_S[[#This Row],[Industry]], Mean_AE_S, 3, FALSE))</f>
        <v>-0.58449762271734884</v>
      </c>
      <c r="T185" s="1">
        <f>(Main_S[[#This Row],[P/E]]-VLOOKUP(Main_S[[#This Row],[Industry]], Mean_PE_S, 2, FALSE))/(VLOOKUP(Main_S[[#This Row],[Industry]], Mean_PE_S, 3, FALSE))</f>
        <v>0.20603135118043042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7" t="s">
        <v>166</v>
      </c>
      <c r="B186" s="67" t="s">
        <v>574</v>
      </c>
      <c r="C186" s="2">
        <v>742</v>
      </c>
      <c r="D186">
        <f>RTD("tos.rtd", , "LAST", Main_S[[#This Row],[Symbol]])</f>
        <v>51.91</v>
      </c>
      <c r="E186">
        <v>30.47</v>
      </c>
      <c r="F186">
        <v>35.29</v>
      </c>
      <c r="G186">
        <v>5.17</v>
      </c>
      <c r="H186" s="1">
        <f>IF(ISNUMBER(Main_S[[#This Row],[Free CF]]),IF(Main_S[[#This Row],[Free CF]]&lt;&gt;0,Main_S[[#This Row],[Current Price]]/Main_S[[#This Row],[Free CF]],""),"")</f>
        <v>1.7036429274696423</v>
      </c>
      <c r="I186" s="1">
        <f>IF(ISNUMBER(Main_S[[#This Row],[BVPS]]),IF(Main_S[[#This Row],[BVPS]]&lt;&gt;0,Main_S[[#This Row],[Current Price]]/Main_S[[#This Row],[BVPS]],""),"")</f>
        <v>1.4709549447435533</v>
      </c>
      <c r="J186">
        <v>20.56</v>
      </c>
      <c r="K186">
        <v>3.81</v>
      </c>
      <c r="L186">
        <v>6.14</v>
      </c>
      <c r="M186" s="1">
        <f>IF(ISNUMBER(Main_S[[#This Row],[EPS]]),IF(Main_S[[#This Row],[EPS]]&lt;&gt;0,Main_S[[#This Row],[Current Price]]/Main_S[[#This Row],[EPS]],""),"")</f>
        <v>10.040618955512572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-0.27887707046967053</v>
      </c>
      <c r="P186" s="1">
        <f>(Main_S[[#This Row],[P/B]]-VLOOKUP(Main_S[[#This Row],[Industry]], Mean_PB_S, 2, FALSE))/(VLOOKUP(Main_S[[#This Row],[Industry]], Mean_PB_S, 3, FALSE))</f>
        <v>0.20481644185653616</v>
      </c>
      <c r="Q186" s="1">
        <f>(Main_S[[#This Row],[ROE]]-VLOOKUP(Main_S[[#This Row],[Industry]], Mean_ROE_S, 2, FALSE))/(VLOOKUP(Main_S[[#This Row],[Industry]], Mean_ROE_S, 3, FALSE))</f>
        <v>0.46492796379960843</v>
      </c>
      <c r="R186" s="1">
        <f>(Main_S[[#This Row],[ROA]]-VLOOKUP(Main_S[[#This Row],[Industry]], Mean_ROA_S, 2, FALSE))/(VLOOKUP(Main_S[[#This Row],[Industry]], Mean_ROA_S, 3, FALSE))</f>
        <v>-0.37649265251756803</v>
      </c>
      <c r="S186" s="1">
        <f>(Main_S[[#This Row],[A/E]]-VLOOKUP(Main_S[[#This Row],[Industry]], Mean_AE_S, 2, FALSE))/(VLOOKUP(Main_S[[#This Row],[Industry]], Mean_AE_S, 3, FALSE))</f>
        <v>1.0055640460813609</v>
      </c>
      <c r="T186" s="1">
        <f>(Main_S[[#This Row],[P/E]]-VLOOKUP(Main_S[[#This Row],[Industry]], Mean_PE_S, 2, FALSE))/(VLOOKUP(Main_S[[#This Row],[Industry]], Mean_PE_S, 3, FALSE))</f>
        <v>0.23628088083513932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7" t="s">
        <v>166</v>
      </c>
      <c r="B187" s="67" t="s">
        <v>588</v>
      </c>
      <c r="C187" s="2">
        <v>262</v>
      </c>
      <c r="D187">
        <f>RTD("tos.rtd", , "LAST", Main_S[[#This Row],[Symbol]])</f>
        <v>27.84</v>
      </c>
      <c r="E187">
        <v>26.52</v>
      </c>
      <c r="F187">
        <v>35.479999999999997</v>
      </c>
      <c r="G187">
        <v>3.29</v>
      </c>
      <c r="H187" s="1">
        <f>IF(ISNUMBER(Main_S[[#This Row],[Free CF]]),IF(Main_S[[#This Row],[Free CF]]&lt;&gt;0,Main_S[[#This Row],[Current Price]]/Main_S[[#This Row],[Free CF]],""),"")</f>
        <v>1.0497737556561086</v>
      </c>
      <c r="I187" s="1">
        <f>IF(ISNUMBER(Main_S[[#This Row],[BVPS]]),IF(Main_S[[#This Row],[BVPS]]&lt;&gt;0,Main_S[[#This Row],[Current Price]]/Main_S[[#This Row],[BVPS]],""),"")</f>
        <v>0.7846674182638107</v>
      </c>
      <c r="J187">
        <v>9.51</v>
      </c>
      <c r="K187">
        <v>4.0999999999999996</v>
      </c>
      <c r="L187">
        <v>5.31</v>
      </c>
      <c r="M187" s="1">
        <f>IF(ISNUMBER(Main_S[[#This Row],[EPS]]),IF(Main_S[[#This Row],[EPS]]&lt;&gt;0,Main_S[[#This Row],[Current Price]]/Main_S[[#This Row],[EPS]],""),"")</f>
        <v>8.4620060790273559</v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>
        <f>(Main_S[[#This Row],[P/FCF]]-VLOOKUP(Main_S[[#This Row],[Industry]], Mean_PFCF_S, 2, FALSE))/(VLOOKUP(Main_S[[#This Row],[Industry]], Mean_PFCF_S, 3, FALSE))</f>
        <v>-0.38492535885950097</v>
      </c>
      <c r="P187" s="1">
        <f>(Main_S[[#This Row],[P/B]]-VLOOKUP(Main_S[[#This Row],[Industry]], Mean_PB_S, 2, FALSE))/(VLOOKUP(Main_S[[#This Row],[Industry]], Mean_PB_S, 3, FALSE))</f>
        <v>-0.54394798569819458</v>
      </c>
      <c r="Q187" s="1">
        <f>(Main_S[[#This Row],[ROE]]-VLOOKUP(Main_S[[#This Row],[Industry]], Mean_ROE_S, 2, FALSE))/(VLOOKUP(Main_S[[#This Row],[Industry]], Mean_ROE_S, 3, FALSE))</f>
        <v>-0.28626164140898441</v>
      </c>
      <c r="R187" s="1">
        <f>(Main_S[[#This Row],[ROA]]-VLOOKUP(Main_S[[#This Row],[Industry]], Mean_ROA_S, 2, FALSE))/(VLOOKUP(Main_S[[#This Row],[Industry]], Mean_ROA_S, 3, FALSE))</f>
        <v>-0.33263645286174937</v>
      </c>
      <c r="S187" s="1">
        <f>(Main_S[[#This Row],[A/E]]-VLOOKUP(Main_S[[#This Row],[Industry]], Mean_AE_S, 2, FALSE))/(VLOOKUP(Main_S[[#This Row],[Industry]], Mean_AE_S, 3, FALSE))</f>
        <v>0.66277153047021031</v>
      </c>
      <c r="T187" s="1">
        <f>(Main_S[[#This Row],[P/E]]-VLOOKUP(Main_S[[#This Row],[Industry]], Mean_PE_S, 2, FALSE))/(VLOOKUP(Main_S[[#This Row],[Industry]], Mean_PE_S, 3, FALSE))</f>
        <v>0.10767033914138661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8" spans="1:26" x14ac:dyDescent="0.25">
      <c r="A188" s="67" t="s">
        <v>166</v>
      </c>
      <c r="B188" s="67" t="s">
        <v>584</v>
      </c>
      <c r="C188" s="2">
        <v>332</v>
      </c>
      <c r="D188">
        <f>RTD("tos.rtd", , "LAST", Main_S[[#This Row],[Symbol]])</f>
        <v>13.89</v>
      </c>
      <c r="E188">
        <v>14.95</v>
      </c>
      <c r="F188">
        <v>0.89</v>
      </c>
      <c r="G188">
        <v>-0.62</v>
      </c>
      <c r="H188" s="1">
        <f>IF(ISNUMBER(Main_S[[#This Row],[Free CF]]),IF(Main_S[[#This Row],[Free CF]]&lt;&gt;0,Main_S[[#This Row],[Current Price]]/Main_S[[#This Row],[Free CF]],""),"")</f>
        <v>0.92909698996655532</v>
      </c>
      <c r="I188" s="1">
        <f>IF(ISNUMBER(Main_S[[#This Row],[BVPS]]),IF(Main_S[[#This Row],[BVPS]]&lt;&gt;0,Main_S[[#This Row],[Current Price]]/Main_S[[#This Row],[BVPS]],""),"")</f>
        <v>15.606741573033709</v>
      </c>
      <c r="J188">
        <v>43.36</v>
      </c>
      <c r="K188">
        <v>15.64</v>
      </c>
      <c r="L188">
        <v>28.38</v>
      </c>
      <c r="M188" s="1">
        <f>IF(ISNUMBER(Main_S[[#This Row],[EPS]]),IF(Main_S[[#This Row],[EPS]]&lt;&gt;0,Main_S[[#This Row],[Current Price]]/Main_S[[#This Row],[EPS]],""),"")</f>
        <v>-22.403225806451616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-0.4044974154748987</v>
      </c>
      <c r="P188" s="1">
        <f>(Main_S[[#This Row],[P/B]]-VLOOKUP(Main_S[[#This Row],[Industry]], Mean_PB_S, 2, FALSE))/(VLOOKUP(Main_S[[#This Row],[Industry]], Mean_PB_S, 3, FALSE))</f>
        <v>15.627469155740474</v>
      </c>
      <c r="Q188" s="1">
        <f>(Main_S[[#This Row],[ROE]]-VLOOKUP(Main_S[[#This Row],[Industry]], Mean_ROE_S, 2, FALSE))/(VLOOKUP(Main_S[[#This Row],[Industry]], Mean_ROE_S, 3, FALSE))</f>
        <v>2.0148938460399632</v>
      </c>
      <c r="R188" s="1">
        <f>(Main_S[[#This Row],[ROA]]-VLOOKUP(Main_S[[#This Row],[Industry]], Mean_ROA_S, 2, FALSE))/(VLOOKUP(Main_S[[#This Row],[Industry]], Mean_ROA_S, 3, FALSE))</f>
        <v>1.412537836890484</v>
      </c>
      <c r="S188" s="1">
        <f>(Main_S[[#This Row],[A/E]]-VLOOKUP(Main_S[[#This Row],[Industry]], Mean_AE_S, 2, FALSE))/(VLOOKUP(Main_S[[#This Row],[Industry]], Mean_AE_S, 3, FALSE))</f>
        <v>10.190751452336764</v>
      </c>
      <c r="T188" s="1">
        <f>(Main_S[[#This Row],[P/E]]-VLOOKUP(Main_S[[#This Row],[Industry]], Mean_PE_S, 2, FALSE))/(VLOOKUP(Main_S[[#This Row],[Industry]], Mean_PE_S, 3, FALSE))</f>
        <v>-2.4069386897251741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7" t="s">
        <v>166</v>
      </c>
      <c r="B189" s="67" t="s">
        <v>721</v>
      </c>
      <c r="C189" s="2">
        <v>292</v>
      </c>
      <c r="D189">
        <f>RTD("tos.rtd", , "LAST", Main_S[[#This Row],[Symbol]])</f>
        <v>6.81</v>
      </c>
      <c r="E189">
        <v>9.2100000000000009</v>
      </c>
      <c r="F189">
        <v>9.76</v>
      </c>
      <c r="G189">
        <v>-1.01</v>
      </c>
      <c r="H189" s="1">
        <f>IF(ISNUMBER(Main_S[[#This Row],[Free CF]]),IF(Main_S[[#This Row],[Free CF]]&lt;&gt;0,Main_S[[#This Row],[Current Price]]/Main_S[[#This Row],[Free CF]],""),"")</f>
        <v>0.73941368078175884</v>
      </c>
      <c r="I189" s="1">
        <f>IF(ISNUMBER(Main_S[[#This Row],[BVPS]]),IF(Main_S[[#This Row],[BVPS]]&lt;&gt;0,Main_S[[#This Row],[Current Price]]/Main_S[[#This Row],[BVPS]],""),"")</f>
        <v>0.69774590163934425</v>
      </c>
      <c r="J189">
        <v>-11.36</v>
      </c>
      <c r="K189">
        <v>-1.31</v>
      </c>
      <c r="L189">
        <v>8.81</v>
      </c>
      <c r="M189" s="1">
        <f>IF(ISNUMBER(Main_S[[#This Row],[EPS]]),IF(Main_S[[#This Row],[EPS]]&lt;&gt;0,Main_S[[#This Row],[Current Price]]/Main_S[[#This Row],[EPS]],""),"")</f>
        <v>-6.7425742574257423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-0.43526135288362411</v>
      </c>
      <c r="P189" s="1">
        <f>(Main_S[[#This Row],[P/B]]-VLOOKUP(Main_S[[#This Row],[Industry]], Mean_PB_S, 2, FALSE))/(VLOOKUP(Main_S[[#This Row],[Industry]], Mean_PB_S, 3, FALSE))</f>
        <v>-0.63878249328621606</v>
      </c>
      <c r="Q189" s="1">
        <f>(Main_S[[#This Row],[ROE]]-VLOOKUP(Main_S[[#This Row],[Industry]], Mean_ROE_S, 2, FALSE))/(VLOOKUP(Main_S[[#This Row],[Industry]], Mean_ROE_S, 3, FALSE))</f>
        <v>-1.7050242713368882</v>
      </c>
      <c r="R189" s="1">
        <f>(Main_S[[#This Row],[ROA]]-VLOOKUP(Main_S[[#This Row],[Industry]], Mean_ROA_S, 2, FALSE))/(VLOOKUP(Main_S[[#This Row],[Industry]], Mean_ROA_S, 3, FALSE))</f>
        <v>-1.1507814188547805</v>
      </c>
      <c r="S189" s="1">
        <f>(Main_S[[#This Row],[A/E]]-VLOOKUP(Main_S[[#This Row],[Industry]], Mean_AE_S, 2, FALSE))/(VLOOKUP(Main_S[[#This Row],[Industry]], Mean_AE_S, 3, FALSE))</f>
        <v>2.1082821384690376</v>
      </c>
      <c r="T189" s="1">
        <f>(Main_S[[#This Row],[P/E]]-VLOOKUP(Main_S[[#This Row],[Industry]], Mean_PE_S, 2, FALSE))/(VLOOKUP(Main_S[[#This Row],[Industry]], Mean_PE_S, 3, FALSE))</f>
        <v>-1.131055977123858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0" spans="1:26" x14ac:dyDescent="0.25">
      <c r="A190" s="67" t="s">
        <v>166</v>
      </c>
      <c r="B190" s="67" t="s">
        <v>576</v>
      </c>
      <c r="C190" s="2">
        <v>885</v>
      </c>
      <c r="D190">
        <f>RTD("tos.rtd", , "LAST", Main_S[[#This Row],[Symbol]])</f>
        <v>38.35</v>
      </c>
      <c r="E190">
        <v>5.07</v>
      </c>
      <c r="F190">
        <v>34.840000000000003</v>
      </c>
      <c r="G190">
        <v>-4.84</v>
      </c>
      <c r="H190" s="1">
        <f>IF(ISNUMBER(Main_S[[#This Row],[Free CF]]),IF(Main_S[[#This Row],[Free CF]]&lt;&gt;0,Main_S[[#This Row],[Current Price]]/Main_S[[#This Row],[Free CF]],""),"")</f>
        <v>7.5641025641025639</v>
      </c>
      <c r="I190" s="1">
        <f>IF(ISNUMBER(Main_S[[#This Row],[BVPS]]),IF(Main_S[[#This Row],[BVPS]]&lt;&gt;0,Main_S[[#This Row],[Current Price]]/Main_S[[#This Row],[BVPS]],""),"")</f>
        <v>1.1007462686567164</v>
      </c>
      <c r="J190">
        <v>-13.05</v>
      </c>
      <c r="K190">
        <v>4.17</v>
      </c>
      <c r="L190">
        <v>6.07</v>
      </c>
      <c r="M190" s="1">
        <f>IF(ISNUMBER(Main_S[[#This Row],[EPS]]),IF(Main_S[[#This Row],[EPS]]&lt;&gt;0,Main_S[[#This Row],[Current Price]]/Main_S[[#This Row],[EPS]],""),"")</f>
        <v>-7.9235537190082646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>
        <f>(Main_S[[#This Row],[P/FCF]]-VLOOKUP(Main_S[[#This Row],[Industry]], Mean_PFCF_S, 2, FALSE))/(VLOOKUP(Main_S[[#This Row],[Industry]], Mean_PFCF_S, 3, FALSE))</f>
        <v>0.67160620727666409</v>
      </c>
      <c r="P190" s="1">
        <f>(Main_S[[#This Row],[P/B]]-VLOOKUP(Main_S[[#This Row],[Industry]], Mean_PB_S, 2, FALSE))/(VLOOKUP(Main_S[[#This Row],[Industry]], Mean_PB_S, 3, FALSE))</f>
        <v>-0.19909456734951173</v>
      </c>
      <c r="Q190" s="1">
        <f>(Main_S[[#This Row],[ROE]]-VLOOKUP(Main_S[[#This Row],[Industry]], Mean_ROE_S, 2, FALSE))/(VLOOKUP(Main_S[[#This Row],[Industry]], Mean_ROE_S, 3, FALSE))</f>
        <v>-1.8199120933099668</v>
      </c>
      <c r="R190" s="1">
        <f>(Main_S[[#This Row],[ROA]]-VLOOKUP(Main_S[[#This Row],[Industry]], Mean_ROA_S, 2, FALSE))/(VLOOKUP(Main_S[[#This Row],[Industry]], Mean_ROA_S, 3, FALSE))</f>
        <v>-0.32205047363448275</v>
      </c>
      <c r="S190" s="1">
        <f>(Main_S[[#This Row],[A/E]]-VLOOKUP(Main_S[[#This Row],[Industry]], Mean_AE_S, 2, FALSE))/(VLOOKUP(Main_S[[#This Row],[Industry]], Mean_AE_S, 3, FALSE))</f>
        <v>0.9766538339213845</v>
      </c>
      <c r="T190" s="1">
        <f>(Main_S[[#This Row],[P/E]]-VLOOKUP(Main_S[[#This Row],[Industry]], Mean_PE_S, 2, FALSE))/(VLOOKUP(Main_S[[#This Row],[Industry]], Mean_PE_S, 3, FALSE))</f>
        <v>-1.2272710850491777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7" t="s">
        <v>166</v>
      </c>
      <c r="B191" s="67" t="s">
        <v>586</v>
      </c>
      <c r="C191" s="2">
        <v>1163</v>
      </c>
      <c r="D191">
        <f>RTD("tos.rtd", , "LAST", Main_S[[#This Row],[Symbol]])</f>
        <v>29.55</v>
      </c>
      <c r="E191">
        <v>4.8899999999999997</v>
      </c>
      <c r="F191">
        <v>16.22</v>
      </c>
      <c r="G191">
        <v>4.9000000000000004</v>
      </c>
      <c r="H191" s="1">
        <f>IF(ISNUMBER(Main_S[[#This Row],[Free CF]]),IF(Main_S[[#This Row],[Free CF]]&lt;&gt;0,Main_S[[#This Row],[Current Price]]/Main_S[[#This Row],[Free CF]],""),"")</f>
        <v>6.0429447852760738</v>
      </c>
      <c r="I191" s="1">
        <f>IF(ISNUMBER(Main_S[[#This Row],[BVPS]]),IF(Main_S[[#This Row],[BVPS]]&lt;&gt;0,Main_S[[#This Row],[Current Price]]/Main_S[[#This Row],[BVPS]],""),"")</f>
        <v>1.8218249075215784</v>
      </c>
      <c r="J191">
        <v>33.880000000000003</v>
      </c>
      <c r="K191">
        <v>17.04</v>
      </c>
      <c r="L191">
        <v>2.25</v>
      </c>
      <c r="M191" s="1">
        <f>IF(ISNUMBER(Main_S[[#This Row],[EPS]]),IF(Main_S[[#This Row],[EPS]]&lt;&gt;0,Main_S[[#This Row],[Current Price]]/Main_S[[#This Row],[EPS]],""),"")</f>
        <v>6.0306122448979593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0.4248960307317014</v>
      </c>
      <c r="P191" s="1">
        <f>(Main_S[[#This Row],[P/B]]-VLOOKUP(Main_S[[#This Row],[Industry]], Mean_PB_S, 2, FALSE))/(VLOOKUP(Main_S[[#This Row],[Industry]], Mean_PB_S, 3, FALSE))</f>
        <v>0.58762821780885999</v>
      </c>
      <c r="Q191" s="1">
        <f>(Main_S[[#This Row],[ROE]]-VLOOKUP(Main_S[[#This Row],[Industry]], Mean_ROE_S, 2, FALSE))/(VLOOKUP(Main_S[[#This Row],[Industry]], Mean_ROE_S, 3, FALSE))</f>
        <v>1.3704343476347631</v>
      </c>
      <c r="R191" s="1">
        <f>(Main_S[[#This Row],[ROA]]-VLOOKUP(Main_S[[#This Row],[Industry]], Mean_ROA_S, 2, FALSE))/(VLOOKUP(Main_S[[#This Row],[Industry]], Mean_ROA_S, 3, FALSE))</f>
        <v>1.6242574214358154</v>
      </c>
      <c r="S191" s="1">
        <f>(Main_S[[#This Row],[A/E]]-VLOOKUP(Main_S[[#This Row],[Industry]], Mean_AE_S, 2, FALSE))/(VLOOKUP(Main_S[[#This Row],[Industry]], Mean_AE_S, 3, FALSE))</f>
        <v>-0.60101774395162111</v>
      </c>
      <c r="T191" s="1">
        <f>(Main_S[[#This Row],[P/E]]-VLOOKUP(Main_S[[#This Row],[Industry]], Mean_PE_S, 2, FALSE))/(VLOOKUP(Main_S[[#This Row],[Industry]], Mean_PE_S, 3, FALSE))</f>
        <v>-9.041678071947841E-2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7" t="s">
        <v>166</v>
      </c>
      <c r="B192" s="67" t="s">
        <v>591</v>
      </c>
      <c r="C192" s="2">
        <v>793</v>
      </c>
      <c r="D192">
        <f>RTD("tos.rtd", , "LAST", Main_S[[#This Row],[Symbol]])</f>
        <v>18.52</v>
      </c>
      <c r="E192">
        <v>4.3</v>
      </c>
      <c r="F192">
        <v>24.36</v>
      </c>
      <c r="G192">
        <v>4.76</v>
      </c>
      <c r="H192" s="1">
        <f>IF(ISNUMBER(Main_S[[#This Row],[Free CF]]),IF(Main_S[[#This Row],[Free CF]]&lt;&gt;0,Main_S[[#This Row],[Current Price]]/Main_S[[#This Row],[Free CF]],""),"")</f>
        <v>4.3069767441860467</v>
      </c>
      <c r="I192" s="1">
        <f>IF(ISNUMBER(Main_S[[#This Row],[BVPS]]),IF(Main_S[[#This Row],[BVPS]]&lt;&gt;0,Main_S[[#This Row],[Current Price]]/Main_S[[#This Row],[BVPS]],""),"")</f>
        <v>0.76026272577996712</v>
      </c>
      <c r="J192">
        <v>23.94</v>
      </c>
      <c r="K192">
        <v>22.53</v>
      </c>
      <c r="L192">
        <v>1.63</v>
      </c>
      <c r="M192" s="1">
        <f>IF(ISNUMBER(Main_S[[#This Row],[EPS]]),IF(Main_S[[#This Row],[EPS]]&lt;&gt;0,Main_S[[#This Row],[Current Price]]/Main_S[[#This Row],[EPS]],""),"")</f>
        <v>3.8907563025210083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0.14334668203485901</v>
      </c>
      <c r="P192" s="1">
        <f>(Main_S[[#This Row],[P/B]]-VLOOKUP(Main_S[[#This Row],[Industry]], Mean_PB_S, 2, FALSE))/(VLOOKUP(Main_S[[#This Row],[Industry]], Mean_PB_S, 3, FALSE))</f>
        <v>-0.57057438482721001</v>
      </c>
      <c r="Q192" s="1">
        <f>(Main_S[[#This Row],[ROE]]-VLOOKUP(Main_S[[#This Row],[Industry]], Mean_ROE_S, 2, FALSE))/(VLOOKUP(Main_S[[#This Row],[Industry]], Mean_ROE_S, 3, FALSE))</f>
        <v>0.69470360774576645</v>
      </c>
      <c r="R192" s="1">
        <f>(Main_S[[#This Row],[ROA]]-VLOOKUP(Main_S[[#This Row],[Industry]], Mean_ROA_S, 2, FALSE))/(VLOOKUP(Main_S[[#This Row],[Industry]], Mean_ROA_S, 3, FALSE))</f>
        <v>2.4545006494028656</v>
      </c>
      <c r="S192" s="1">
        <f>(Main_S[[#This Row],[A/E]]-VLOOKUP(Main_S[[#This Row],[Industry]], Mean_AE_S, 2, FALSE))/(VLOOKUP(Main_S[[#This Row],[Industry]], Mean_AE_S, 3, FALSE))</f>
        <v>-0.85707962308284202</v>
      </c>
      <c r="T192" s="1">
        <f>(Main_S[[#This Row],[P/E]]-VLOOKUP(Main_S[[#This Row],[Industry]], Mean_PE_S, 2, FALSE))/(VLOOKUP(Main_S[[#This Row],[Industry]], Mean_PE_S, 3, FALSE))</f>
        <v>-0.26475213297407701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7" t="s">
        <v>166</v>
      </c>
      <c r="B193" s="67" t="s">
        <v>589</v>
      </c>
      <c r="C193" s="2">
        <v>474</v>
      </c>
      <c r="D193">
        <f>RTD("tos.rtd", , "LAST", Main_S[[#This Row],[Symbol]])</f>
        <v>36.19</v>
      </c>
      <c r="E193">
        <v>3.33</v>
      </c>
      <c r="F193">
        <v>7.67</v>
      </c>
      <c r="G193">
        <v>-4.13</v>
      </c>
      <c r="H193" s="1">
        <f>IF(ISNUMBER(Main_S[[#This Row],[Free CF]]),IF(Main_S[[#This Row],[Free CF]]&lt;&gt;0,Main_S[[#This Row],[Current Price]]/Main_S[[#This Row],[Free CF]],""),"")</f>
        <v>10.867867867867867</v>
      </c>
      <c r="I193" s="1">
        <f>IF(ISNUMBER(Main_S[[#This Row],[BVPS]]),IF(Main_S[[#This Row],[BVPS]]&lt;&gt;0,Main_S[[#This Row],[Current Price]]/Main_S[[#This Row],[BVPS]],""),"")</f>
        <v>4.7183833116036507</v>
      </c>
      <c r="J193">
        <v>-46.84</v>
      </c>
      <c r="K193">
        <v>3.71</v>
      </c>
      <c r="L193">
        <v>7.49</v>
      </c>
      <c r="M193" s="1">
        <f>IF(ISNUMBER(Main_S[[#This Row],[EPS]]),IF(Main_S[[#This Row],[EPS]]&lt;&gt;0,Main_S[[#This Row],[Current Price]]/Main_S[[#This Row],[EPS]],""),"")</f>
        <v>-8.7627118644067785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1.2074299940661284</v>
      </c>
      <c r="P193" s="1">
        <f>(Main_S[[#This Row],[P/B]]-VLOOKUP(Main_S[[#This Row],[Industry]], Mean_PB_S, 2, FALSE))/(VLOOKUP(Main_S[[#This Row],[Industry]], Mean_PB_S, 3, FALSE))</f>
        <v>3.7478778386000897</v>
      </c>
      <c r="Q193" s="1">
        <f>(Main_S[[#This Row],[ROE]]-VLOOKUP(Main_S[[#This Row],[Industry]], Mean_ROE_S, 2, FALSE))/(VLOOKUP(Main_S[[#This Row],[Industry]], Mean_ROE_S, 3, FALSE))</f>
        <v>-4.1169887231740718</v>
      </c>
      <c r="R193" s="1">
        <f>(Main_S[[#This Row],[ROA]]-VLOOKUP(Main_S[[#This Row],[Industry]], Mean_ROA_S, 2, FALSE))/(VLOOKUP(Main_S[[#This Row],[Industry]], Mean_ROA_S, 3, FALSE))</f>
        <v>-0.39161547998509172</v>
      </c>
      <c r="S193" s="1">
        <f>(Main_S[[#This Row],[A/E]]-VLOOKUP(Main_S[[#This Row],[Industry]], Mean_AE_S, 2, FALSE))/(VLOOKUP(Main_S[[#This Row],[Industry]], Mean_AE_S, 3, FALSE))</f>
        <v>1.5631181377380514</v>
      </c>
      <c r="T193" s="1">
        <f>(Main_S[[#This Row],[P/E]]-VLOOKUP(Main_S[[#This Row],[Industry]], Mean_PE_S, 2, FALSE))/(VLOOKUP(Main_S[[#This Row],[Industry]], Mean_PE_S, 3, FALSE))</f>
        <v>-1.2956378044989278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4" spans="1:26" x14ac:dyDescent="0.25">
      <c r="A194" s="67" t="s">
        <v>166</v>
      </c>
      <c r="B194" s="67" t="s">
        <v>582</v>
      </c>
      <c r="C194" s="2">
        <v>1359</v>
      </c>
      <c r="D194">
        <f>RTD("tos.rtd", , "LAST", Main_S[[#This Row],[Symbol]])</f>
        <v>13.58</v>
      </c>
      <c r="E194">
        <v>3.28</v>
      </c>
      <c r="F194">
        <v>25.55</v>
      </c>
      <c r="G194">
        <v>0.52</v>
      </c>
      <c r="H194" s="1">
        <f>IF(ISNUMBER(Main_S[[#This Row],[Free CF]]),IF(Main_S[[#This Row],[Free CF]]&lt;&gt;0,Main_S[[#This Row],[Current Price]]/Main_S[[#This Row],[Free CF]],""),"")</f>
        <v>4.1402439024390247</v>
      </c>
      <c r="I194" s="1">
        <f>IF(ISNUMBER(Main_S[[#This Row],[BVPS]]),IF(Main_S[[#This Row],[BVPS]]&lt;&gt;0,Main_S[[#This Row],[Current Price]]/Main_S[[#This Row],[BVPS]],""),"")</f>
        <v>0.53150684931506853</v>
      </c>
      <c r="J194">
        <v>2.09</v>
      </c>
      <c r="K194">
        <v>0.1</v>
      </c>
      <c r="L194">
        <v>19.68</v>
      </c>
      <c r="M194" s="1">
        <f>IF(ISNUMBER(Main_S[[#This Row],[EPS]]),IF(Main_S[[#This Row],[EPS]]&lt;&gt;0,Main_S[[#This Row],[Current Price]]/Main_S[[#This Row],[EPS]],""),"")</f>
        <v>26.115384615384613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>
        <f>(Main_S[[#This Row],[P/FCF]]-VLOOKUP(Main_S[[#This Row],[Industry]], Mean_PFCF_S, 2, FALSE))/(VLOOKUP(Main_S[[#This Row],[Industry]], Mean_PFCF_S, 3, FALSE))</f>
        <v>0.11630498432550972</v>
      </c>
      <c r="P194" s="1">
        <f>(Main_S[[#This Row],[P/B]]-VLOOKUP(Main_S[[#This Row],[Industry]], Mean_PB_S, 2, FALSE))/(VLOOKUP(Main_S[[#This Row],[Industry]], Mean_PB_S, 3, FALSE))</f>
        <v>-0.82015529119980513</v>
      </c>
      <c r="Q194" s="1">
        <f>(Main_S[[#This Row],[ROE]]-VLOOKUP(Main_S[[#This Row],[Industry]], Mean_ROE_S, 2, FALSE))/(VLOOKUP(Main_S[[#This Row],[Industry]], Mean_ROE_S, 3, FALSE))</f>
        <v>-0.79068036273457354</v>
      </c>
      <c r="R194" s="1">
        <f>(Main_S[[#This Row],[ROA]]-VLOOKUP(Main_S[[#This Row],[Industry]], Mean_ROA_S, 2, FALSE))/(VLOOKUP(Main_S[[#This Row],[Industry]], Mean_ROA_S, 3, FALSE))</f>
        <v>-0.9375495515626967</v>
      </c>
      <c r="S194" s="1">
        <f>(Main_S[[#This Row],[A/E]]-VLOOKUP(Main_S[[#This Row],[Industry]], Mean_AE_S, 2, FALSE))/(VLOOKUP(Main_S[[#This Row],[Industry]], Mean_AE_S, 3, FALSE))</f>
        <v>6.5976250838825381</v>
      </c>
      <c r="T194" s="1">
        <f>(Main_S[[#This Row],[P/E]]-VLOOKUP(Main_S[[#This Row],[Industry]], Mean_PE_S, 2, FALSE))/(VLOOKUP(Main_S[[#This Row],[Industry]], Mean_PE_S, 3, FALSE))</f>
        <v>1.5459017194281395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5" spans="1:26" x14ac:dyDescent="0.25">
      <c r="A195" s="67" t="s">
        <v>166</v>
      </c>
      <c r="B195" s="67" t="s">
        <v>592</v>
      </c>
      <c r="C195" s="2">
        <v>541</v>
      </c>
      <c r="D195">
        <f>RTD("tos.rtd", , "LAST", Main_S[[#This Row],[Symbol]])</f>
        <v>7.43</v>
      </c>
      <c r="E195">
        <v>2.2400000000000002</v>
      </c>
      <c r="F195">
        <v>13.68</v>
      </c>
      <c r="G195">
        <v>2.48</v>
      </c>
      <c r="H195" s="1">
        <f>IF(ISNUMBER(Main_S[[#This Row],[Free CF]]),IF(Main_S[[#This Row],[Free CF]]&lt;&gt;0,Main_S[[#This Row],[Current Price]]/Main_S[[#This Row],[Free CF]],""),"")</f>
        <v>3.3169642857142851</v>
      </c>
      <c r="I195" s="1">
        <f>IF(ISNUMBER(Main_S[[#This Row],[BVPS]]),IF(Main_S[[#This Row],[BVPS]]&lt;&gt;0,Main_S[[#This Row],[Current Price]]/Main_S[[#This Row],[BVPS]],""),"")</f>
        <v>0.54312865497076024</v>
      </c>
      <c r="J195">
        <v>17.95</v>
      </c>
      <c r="K195">
        <v>13.52</v>
      </c>
      <c r="L195">
        <v>1.36</v>
      </c>
      <c r="M195" s="1">
        <f>IF(ISNUMBER(Main_S[[#This Row],[EPS]]),IF(Main_S[[#This Row],[EPS]]&lt;&gt;0,Main_S[[#This Row],[Current Price]]/Main_S[[#This Row],[EPS]],""),"")</f>
        <v>2.995967741935484</v>
      </c>
      <c r="N1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95" s="1">
        <f>(Main_S[[#This Row],[P/FCF]]-VLOOKUP(Main_S[[#This Row],[Industry]], Mean_PFCF_S, 2, FALSE))/(VLOOKUP(Main_S[[#This Row],[Industry]], Mean_PFCF_S, 3, FALSE))</f>
        <v>-1.7219270958989299E-2</v>
      </c>
      <c r="P195" s="1">
        <f>(Main_S[[#This Row],[P/B]]-VLOOKUP(Main_S[[#This Row],[Industry]], Mean_PB_S, 2, FALSE))/(VLOOKUP(Main_S[[#This Row],[Industry]], Mean_PB_S, 3, FALSE))</f>
        <v>-0.80747548233955591</v>
      </c>
      <c r="Q195" s="1">
        <f>(Main_S[[#This Row],[ROE]]-VLOOKUP(Main_S[[#This Row],[Industry]], Mean_ROE_S, 2, FALSE))/(VLOOKUP(Main_S[[#This Row],[Industry]], Mean_ROE_S, 3, FALSE))</f>
        <v>0.2874976588589363</v>
      </c>
      <c r="R195" s="1">
        <f>(Main_S[[#This Row],[ROA]]-VLOOKUP(Main_S[[#This Row],[Industry]], Mean_ROA_S, 2, FALSE))/(VLOOKUP(Main_S[[#This Row],[Industry]], Mean_ROA_S, 3, FALSE))</f>
        <v>1.0919338945789816</v>
      </c>
      <c r="S195" s="1">
        <f>(Main_S[[#This Row],[A/E]]-VLOOKUP(Main_S[[#This Row],[Industry]], Mean_AE_S, 2, FALSE))/(VLOOKUP(Main_S[[#This Row],[Industry]], Mean_AE_S, 3, FALSE))</f>
        <v>-0.96859044141417994</v>
      </c>
      <c r="T195" s="1">
        <f>(Main_S[[#This Row],[P/E]]-VLOOKUP(Main_S[[#This Row],[Industry]], Mean_PE_S, 2, FALSE))/(VLOOKUP(Main_S[[#This Row],[Industry]], Mean_PE_S, 3, FALSE))</f>
        <v>-0.33765109584995423</v>
      </c>
      <c r="U1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6" spans="1:26" x14ac:dyDescent="0.25">
      <c r="A196" s="67" t="s">
        <v>166</v>
      </c>
      <c r="B196" s="67" t="s">
        <v>577</v>
      </c>
      <c r="C196" s="2">
        <v>822</v>
      </c>
      <c r="D196">
        <f>RTD("tos.rtd", , "LAST", Main_S[[#This Row],[Symbol]])</f>
        <v>13.71</v>
      </c>
      <c r="E196">
        <v>1.89</v>
      </c>
      <c r="F196">
        <v>15.48</v>
      </c>
      <c r="G196">
        <v>1.19</v>
      </c>
      <c r="H196" s="1">
        <f>IF(ISNUMBER(Main_S[[#This Row],[Free CF]]),IF(Main_S[[#This Row],[Free CF]]&lt;&gt;0,Main_S[[#This Row],[Current Price]]/Main_S[[#This Row],[Free CF]],""),"")</f>
        <v>7.2539682539682548</v>
      </c>
      <c r="I196" s="1">
        <f>IF(ISNUMBER(Main_S[[#This Row],[BVPS]]),IF(Main_S[[#This Row],[BVPS]]&lt;&gt;0,Main_S[[#This Row],[Current Price]]/Main_S[[#This Row],[BVPS]],""),"")</f>
        <v>0.88565891472868219</v>
      </c>
      <c r="J196">
        <v>10.84</v>
      </c>
      <c r="K196">
        <v>4.7</v>
      </c>
      <c r="L196">
        <v>2.15</v>
      </c>
      <c r="M196" s="1">
        <f>IF(ISNUMBER(Main_S[[#This Row],[EPS]]),IF(Main_S[[#This Row],[EPS]]&lt;&gt;0,Main_S[[#This Row],[Current Price]]/Main_S[[#This Row],[EPS]],""),"")</f>
        <v>11.521008403361346</v>
      </c>
      <c r="N1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6" s="1">
        <f>(Main_S[[#This Row],[P/FCF]]-VLOOKUP(Main_S[[#This Row],[Industry]], Mean_PFCF_S, 2, FALSE))/(VLOOKUP(Main_S[[#This Row],[Industry]], Mean_PFCF_S, 3, FALSE))</f>
        <v>0.62130682908532853</v>
      </c>
      <c r="P196" s="1">
        <f>(Main_S[[#This Row],[P/B]]-VLOOKUP(Main_S[[#This Row],[Industry]], Mean_PB_S, 2, FALSE))/(VLOOKUP(Main_S[[#This Row],[Industry]], Mean_PB_S, 3, FALSE))</f>
        <v>-0.43376262297377505</v>
      </c>
      <c r="Q196" s="1">
        <f>(Main_S[[#This Row],[ROE]]-VLOOKUP(Main_S[[#This Row],[Industry]], Mean_ROE_S, 2, FALSE))/(VLOOKUP(Main_S[[#This Row],[Industry]], Mean_ROE_S, 3, FALSE))</f>
        <v>-0.1958469649449637</v>
      </c>
      <c r="R196" s="1">
        <f>(Main_S[[#This Row],[ROA]]-VLOOKUP(Main_S[[#This Row],[Industry]], Mean_ROA_S, 2, FALSE))/(VLOOKUP(Main_S[[#This Row],[Industry]], Mean_ROA_S, 3, FALSE))</f>
        <v>-0.24189948805660721</v>
      </c>
      <c r="S196" s="1">
        <f>(Main_S[[#This Row],[A/E]]-VLOOKUP(Main_S[[#This Row],[Industry]], Mean_AE_S, 2, FALSE))/(VLOOKUP(Main_S[[#This Row],[Industry]], Mean_AE_S, 3, FALSE))</f>
        <v>-0.642318047037302</v>
      </c>
      <c r="T196" s="1">
        <f>(Main_S[[#This Row],[P/E]]-VLOOKUP(Main_S[[#This Row],[Industry]], Mean_PE_S, 2, FALSE))/(VLOOKUP(Main_S[[#This Row],[Industry]], Mean_PE_S, 3, FALSE))</f>
        <v>0.35688910064736967</v>
      </c>
      <c r="U1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7" spans="1:26" x14ac:dyDescent="0.25">
      <c r="A197" s="67" t="s">
        <v>166</v>
      </c>
      <c r="B197" s="67" t="s">
        <v>579</v>
      </c>
      <c r="C197" s="2">
        <v>814</v>
      </c>
      <c r="D197">
        <f>RTD("tos.rtd", , "LAST", Main_S[[#This Row],[Symbol]])</f>
        <v>17.690000000000001</v>
      </c>
      <c r="E197">
        <v>1.77</v>
      </c>
      <c r="F197">
        <v>8.0299999999999994</v>
      </c>
      <c r="G197">
        <v>2.72</v>
      </c>
      <c r="H197" s="1">
        <f>IF(ISNUMBER(Main_S[[#This Row],[Free CF]]),IF(Main_S[[#This Row],[Free CF]]&lt;&gt;0,Main_S[[#This Row],[Current Price]]/Main_S[[#This Row],[Free CF]],""),"")</f>
        <v>9.9943502824858772</v>
      </c>
      <c r="I197" s="1">
        <f>IF(ISNUMBER(Main_S[[#This Row],[BVPS]]),IF(Main_S[[#This Row],[BVPS]]&lt;&gt;0,Main_S[[#This Row],[Current Price]]/Main_S[[#This Row],[BVPS]],""),"")</f>
        <v>2.2029887920298883</v>
      </c>
      <c r="J197">
        <v>38.36</v>
      </c>
      <c r="K197">
        <v>14.11</v>
      </c>
      <c r="L197">
        <v>1.73</v>
      </c>
      <c r="M197" s="1">
        <f>IF(ISNUMBER(Main_S[[#This Row],[EPS]]),IF(Main_S[[#This Row],[EPS]]&lt;&gt;0,Main_S[[#This Row],[Current Price]]/Main_S[[#This Row],[EPS]],""),"")</f>
        <v>6.5036764705882355</v>
      </c>
      <c r="N1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7" s="1">
        <f>(Main_S[[#This Row],[P/FCF]]-VLOOKUP(Main_S[[#This Row],[Industry]], Mean_PFCF_S, 2, FALSE))/(VLOOKUP(Main_S[[#This Row],[Industry]], Mean_PFCF_S, 3, FALSE))</f>
        <v>1.0657578541313915</v>
      </c>
      <c r="P197" s="1">
        <f>(Main_S[[#This Row],[P/B]]-VLOOKUP(Main_S[[#This Row],[Industry]], Mean_PB_S, 2, FALSE))/(VLOOKUP(Main_S[[#This Row],[Industry]], Mean_PB_S, 3, FALSE))</f>
        <v>1.003491754266165</v>
      </c>
      <c r="Q197" s="1">
        <f>(Main_S[[#This Row],[ROE]]-VLOOKUP(Main_S[[#This Row],[Industry]], Mean_ROE_S, 2, FALSE))/(VLOOKUP(Main_S[[#This Row],[Industry]], Mean_ROE_S, 3, FALSE))</f>
        <v>1.6749890473030431</v>
      </c>
      <c r="R197" s="1">
        <f>(Main_S[[#This Row],[ROA]]-VLOOKUP(Main_S[[#This Row],[Industry]], Mean_ROA_S, 2, FALSE))/(VLOOKUP(Main_S[[#This Row],[Industry]], Mean_ROA_S, 3, FALSE))</f>
        <v>1.1811585766373713</v>
      </c>
      <c r="S197" s="1">
        <f>(Main_S[[#This Row],[A/E]]-VLOOKUP(Main_S[[#This Row],[Industry]], Mean_AE_S, 2, FALSE))/(VLOOKUP(Main_S[[#This Row],[Industry]], Mean_AE_S, 3, FALSE))</f>
        <v>-0.81577931999716113</v>
      </c>
      <c r="T197" s="1">
        <f>(Main_S[[#This Row],[P/E]]-VLOOKUP(Main_S[[#This Row],[Industry]], Mean_PE_S, 2, FALSE))/(VLOOKUP(Main_S[[#This Row],[Industry]], Mean_PE_S, 3, FALSE))</f>
        <v>-5.1875953371468456E-2</v>
      </c>
      <c r="U1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8" spans="1:26" x14ac:dyDescent="0.25">
      <c r="A198" s="67" t="s">
        <v>166</v>
      </c>
      <c r="B198" s="67" t="s">
        <v>583</v>
      </c>
      <c r="C198" s="2">
        <v>785</v>
      </c>
      <c r="D198">
        <f>RTD("tos.rtd", , "LAST", Main_S[[#This Row],[Symbol]])</f>
        <v>11.1</v>
      </c>
      <c r="E198">
        <v>0.73</v>
      </c>
      <c r="F198">
        <v>4.99</v>
      </c>
      <c r="G198">
        <v>0.38</v>
      </c>
      <c r="H198" s="1">
        <f>IF(ISNUMBER(Main_S[[#This Row],[Free CF]]),IF(Main_S[[#This Row],[Free CF]]&lt;&gt;0,Main_S[[#This Row],[Current Price]]/Main_S[[#This Row],[Free CF]],""),"")</f>
        <v>15.205479452054794</v>
      </c>
      <c r="I198" s="1">
        <f>IF(ISNUMBER(Main_S[[#This Row],[BVPS]]),IF(Main_S[[#This Row],[BVPS]]&lt;&gt;0,Main_S[[#This Row],[Current Price]]/Main_S[[#This Row],[BVPS]],""),"")</f>
        <v>2.224448897795591</v>
      </c>
      <c r="J198">
        <v>7.86</v>
      </c>
      <c r="K198">
        <v>2.09</v>
      </c>
      <c r="L198">
        <v>1.28</v>
      </c>
      <c r="M198" s="1">
        <f>IF(ISNUMBER(Main_S[[#This Row],[EPS]]),IF(Main_S[[#This Row],[EPS]]&lt;&gt;0,Main_S[[#This Row],[Current Price]]/Main_S[[#This Row],[EPS]],""),"")</f>
        <v>29.210526315789473</v>
      </c>
      <c r="N1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8" s="1">
        <f>(Main_S[[#This Row],[P/FCF]]-VLOOKUP(Main_S[[#This Row],[Industry]], Mean_PFCF_S, 2, FALSE))/(VLOOKUP(Main_S[[#This Row],[Industry]], Mean_PFCF_S, 3, FALSE))</f>
        <v>1.9109289569046812</v>
      </c>
      <c r="P198" s="1">
        <f>(Main_S[[#This Row],[P/B]]-VLOOKUP(Main_S[[#This Row],[Industry]], Mean_PB_S, 2, FALSE))/(VLOOKUP(Main_S[[#This Row],[Industry]], Mean_PB_S, 3, FALSE))</f>
        <v>1.0269055031526453</v>
      </c>
      <c r="Q198" s="1">
        <f>(Main_S[[#This Row],[ROE]]-VLOOKUP(Main_S[[#This Row],[Industry]], Mean_ROE_S, 2, FALSE))/(VLOOKUP(Main_S[[#This Row],[Industry]], Mean_ROE_S, 3, FALSE))</f>
        <v>-0.3984302249921679</v>
      </c>
      <c r="R198" s="1">
        <f>(Main_S[[#This Row],[ROA]]-VLOOKUP(Main_S[[#This Row],[Industry]], Mean_ROA_S, 2, FALSE))/(VLOOKUP(Main_S[[#This Row],[Industry]], Mean_ROA_S, 3, FALSE))</f>
        <v>-0.63660528495897539</v>
      </c>
      <c r="S198" s="1">
        <f>(Main_S[[#This Row],[A/E]]-VLOOKUP(Main_S[[#This Row],[Industry]], Mean_AE_S, 2, FALSE))/(VLOOKUP(Main_S[[#This Row],[Industry]], Mean_AE_S, 3, FALSE))</f>
        <v>-1.0016306838827245</v>
      </c>
      <c r="T198" s="1">
        <f>(Main_S[[#This Row],[P/E]]-VLOOKUP(Main_S[[#This Row],[Industry]], Mean_PE_S, 2, FALSE))/(VLOOKUP(Main_S[[#This Row],[Industry]], Mean_PE_S, 3, FALSE))</f>
        <v>1.7980647776658818</v>
      </c>
      <c r="U1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9" spans="1:26" x14ac:dyDescent="0.25">
      <c r="A199" s="67" t="s">
        <v>166</v>
      </c>
      <c r="B199" s="67" t="s">
        <v>581</v>
      </c>
      <c r="C199" s="2">
        <v>1220</v>
      </c>
      <c r="D199">
        <f>RTD("tos.rtd", , "LAST", Main_S[[#This Row],[Symbol]])</f>
        <v>7.52</v>
      </c>
      <c r="E199">
        <v>0.69</v>
      </c>
      <c r="F199">
        <v>9.1300000000000008</v>
      </c>
      <c r="G199">
        <v>1.07</v>
      </c>
      <c r="H199" s="1">
        <f>IF(ISNUMBER(Main_S[[#This Row],[Free CF]]),IF(Main_S[[#This Row],[Free CF]]&lt;&gt;0,Main_S[[#This Row],[Current Price]]/Main_S[[#This Row],[Free CF]],""),"")</f>
        <v>10.898550724637682</v>
      </c>
      <c r="I199" s="1">
        <f>IF(ISNUMBER(Main_S[[#This Row],[BVPS]]),IF(Main_S[[#This Row],[BVPS]]&lt;&gt;0,Main_S[[#This Row],[Current Price]]/Main_S[[#This Row],[BVPS]],""),"")</f>
        <v>0.82365826944140186</v>
      </c>
      <c r="J199">
        <v>12.57</v>
      </c>
      <c r="K199">
        <v>5.99</v>
      </c>
      <c r="L199">
        <v>2.02</v>
      </c>
      <c r="M199" s="1">
        <f>IF(ISNUMBER(Main_S[[#This Row],[EPS]]),IF(Main_S[[#This Row],[EPS]]&lt;&gt;0,Main_S[[#This Row],[Current Price]]/Main_S[[#This Row],[EPS]],""),"")</f>
        <v>7.0280373831775691</v>
      </c>
      <c r="N1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9" s="1">
        <f>(Main_S[[#This Row],[P/FCF]]-VLOOKUP(Main_S[[#This Row],[Industry]], Mean_PFCF_S, 2, FALSE))/(VLOOKUP(Main_S[[#This Row],[Industry]], Mean_PFCF_S, 3, FALSE))</f>
        <v>1.212406317440305</v>
      </c>
      <c r="P199" s="1">
        <f>(Main_S[[#This Row],[P/B]]-VLOOKUP(Main_S[[#This Row],[Industry]], Mean_PB_S, 2, FALSE))/(VLOOKUP(Main_S[[#This Row],[Industry]], Mean_PB_S, 3, FALSE))</f>
        <v>-0.50140756169892131</v>
      </c>
      <c r="Q199" s="1">
        <f>(Main_S[[#This Row],[ROE]]-VLOOKUP(Main_S[[#This Row],[Industry]], Mean_ROE_S, 2, FALSE))/(VLOOKUP(Main_S[[#This Row],[Industry]], Mean_ROE_S, 3, FALSE))</f>
        <v>-7.82399045819894E-2</v>
      </c>
      <c r="R199" s="1">
        <f>(Main_S[[#This Row],[ROA]]-VLOOKUP(Main_S[[#This Row],[Industry]], Mean_ROA_S, 2, FALSE))/(VLOOKUP(Main_S[[#This Row],[Industry]], Mean_ROA_S, 3, FALSE))</f>
        <v>-4.6815013725551684E-2</v>
      </c>
      <c r="S199" s="1">
        <f>(Main_S[[#This Row],[A/E]]-VLOOKUP(Main_S[[#This Row],[Industry]], Mean_AE_S, 2, FALSE))/(VLOOKUP(Main_S[[#This Row],[Industry]], Mean_AE_S, 3, FALSE))</f>
        <v>-0.69600844104868687</v>
      </c>
      <c r="T199" s="1">
        <f>(Main_S[[#This Row],[P/E]]-VLOOKUP(Main_S[[#This Row],[Industry]], Mean_PE_S, 2, FALSE))/(VLOOKUP(Main_S[[#This Row],[Industry]], Mean_PE_S, 3, FALSE))</f>
        <v>-9.1559540507380587E-3</v>
      </c>
      <c r="U1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0" spans="1:26" x14ac:dyDescent="0.25">
      <c r="A200" s="67" t="s">
        <v>166</v>
      </c>
      <c r="B200" s="67" t="s">
        <v>578</v>
      </c>
      <c r="C200" s="2">
        <v>507</v>
      </c>
      <c r="D200">
        <f>RTD("tos.rtd", , "LAST", Main_S[[#This Row],[Symbol]])</f>
        <v>10.27</v>
      </c>
      <c r="E200">
        <v>0.4</v>
      </c>
      <c r="F200">
        <v>17.27</v>
      </c>
      <c r="G200">
        <v>-0.11</v>
      </c>
      <c r="H200" s="1">
        <f>IF(ISNUMBER(Main_S[[#This Row],[Free CF]]),IF(Main_S[[#This Row],[Free CF]]&lt;&gt;0,Main_S[[#This Row],[Current Price]]/Main_S[[#This Row],[Free CF]],""),"")</f>
        <v>25.674999999999997</v>
      </c>
      <c r="I200" s="1">
        <f>IF(ISNUMBER(Main_S[[#This Row],[BVPS]]),IF(Main_S[[#This Row],[BVPS]]&lt;&gt;0,Main_S[[#This Row],[Current Price]]/Main_S[[#This Row],[BVPS]],""),"")</f>
        <v>0.5946728430804864</v>
      </c>
      <c r="J200">
        <v>-0.62</v>
      </c>
      <c r="K200">
        <v>-0.1</v>
      </c>
      <c r="L200">
        <v>6.04</v>
      </c>
      <c r="M200" s="1">
        <f>IF(ISNUMBER(Main_S[[#This Row],[EPS]]),IF(Main_S[[#This Row],[EPS]]&lt;&gt;0,Main_S[[#This Row],[Current Price]]/Main_S[[#This Row],[EPS]],""),"")</f>
        <v>-93.36363636363636</v>
      </c>
      <c r="N2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0" s="1">
        <f>(Main_S[[#This Row],[P/FCF]]-VLOOKUP(Main_S[[#This Row],[Industry]], Mean_PFCF_S, 2, FALSE))/(VLOOKUP(Main_S[[#This Row],[Industry]], Mean_PFCF_S, 3, FALSE))</f>
        <v>3.6089364211384733</v>
      </c>
      <c r="P200" s="1">
        <f>(Main_S[[#This Row],[P/B]]-VLOOKUP(Main_S[[#This Row],[Industry]], Mean_PB_S, 2, FALSE))/(VLOOKUP(Main_S[[#This Row],[Industry]], Mean_PB_S, 3, FALSE))</f>
        <v>-0.75123891528183939</v>
      </c>
      <c r="Q200" s="1">
        <f>(Main_S[[#This Row],[ROE]]-VLOOKUP(Main_S[[#This Row],[Industry]], Mean_ROE_S, 2, FALSE))/(VLOOKUP(Main_S[[#This Row],[Industry]], Mean_ROE_S, 3, FALSE))</f>
        <v>-0.97490876364998402</v>
      </c>
      <c r="R200" s="1">
        <f>(Main_S[[#This Row],[ROA]]-VLOOKUP(Main_S[[#This Row],[Industry]], Mean_ROA_S, 2, FALSE))/(VLOOKUP(Main_S[[#This Row],[Industry]], Mean_ROA_S, 3, FALSE))</f>
        <v>-0.96779520649774398</v>
      </c>
      <c r="S200" s="1">
        <f>(Main_S[[#This Row],[A/E]]-VLOOKUP(Main_S[[#This Row],[Industry]], Mean_AE_S, 2, FALSE))/(VLOOKUP(Main_S[[#This Row],[Industry]], Mean_AE_S, 3, FALSE))</f>
        <v>0.96426374299568018</v>
      </c>
      <c r="T200" s="1">
        <f>(Main_S[[#This Row],[P/E]]-VLOOKUP(Main_S[[#This Row],[Industry]], Mean_PE_S, 2, FALSE))/(VLOOKUP(Main_S[[#This Row],[Industry]], Mean_PE_S, 3, FALSE))</f>
        <v>-8.188126070440223</v>
      </c>
      <c r="U2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1" spans="1:26" x14ac:dyDescent="0.25">
      <c r="A201" s="67" t="s">
        <v>166</v>
      </c>
      <c r="B201" s="67" t="s">
        <v>733</v>
      </c>
      <c r="C201" s="2">
        <v>254</v>
      </c>
      <c r="D201">
        <f>RTD("tos.rtd", , "LAST", Main_S[[#This Row],[Symbol]])</f>
        <v>23.12</v>
      </c>
      <c r="E201">
        <v>-0.21</v>
      </c>
      <c r="F201">
        <v>0.28000000000000003</v>
      </c>
      <c r="G201">
        <v>-0.26</v>
      </c>
      <c r="H201" s="1">
        <f>IF(ISNUMBER(Main_S[[#This Row],[Free CF]]),IF(Main_S[[#This Row],[Free CF]]&lt;&gt;0,Main_S[[#This Row],[Current Price]]/Main_S[[#This Row],[Free CF]],""),"")</f>
        <v>-110.0952380952381</v>
      </c>
      <c r="I201" s="1">
        <f>IF(ISNUMBER(Main_S[[#This Row],[BVPS]]),IF(Main_S[[#This Row],[BVPS]]&lt;&gt;0,Main_S[[#This Row],[Current Price]]/Main_S[[#This Row],[BVPS]],""),"")</f>
        <v>82.571428571428569</v>
      </c>
      <c r="J201">
        <v>-65.06</v>
      </c>
      <c r="K201">
        <v>-36.92</v>
      </c>
      <c r="L201">
        <v>1.46</v>
      </c>
      <c r="M201" s="1">
        <f>IF(ISNUMBER(Main_S[[#This Row],[EPS]]),IF(Main_S[[#This Row],[EPS]]&lt;&gt;0,Main_S[[#This Row],[Current Price]]/Main_S[[#This Row],[EPS]],""),"")</f>
        <v>-88.92307692307692</v>
      </c>
      <c r="N2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1" s="1">
        <f>(Main_S[[#This Row],[P/FCF]]-VLOOKUP(Main_S[[#This Row],[Industry]], Mean_PFCF_S, 2, FALSE))/(VLOOKUP(Main_S[[#This Row],[Industry]], Mean_PFCF_S, 3, FALSE))</f>
        <v>-18.411066944895332</v>
      </c>
      <c r="P201" s="1">
        <f>(Main_S[[#This Row],[P/B]]-VLOOKUP(Main_S[[#This Row],[Industry]], Mean_PB_S, 2, FALSE))/(VLOOKUP(Main_S[[#This Row],[Industry]], Mean_PB_S, 3, FALSE))</f>
        <v>88.688356308867071</v>
      </c>
      <c r="Q201" s="1">
        <f>(Main_S[[#This Row],[ROE]]-VLOOKUP(Main_S[[#This Row],[Industry]], Mean_ROE_S, 2, FALSE))/(VLOOKUP(Main_S[[#This Row],[Industry]], Mean_ROE_S, 3, FALSE))</f>
        <v>-5.3556018097714073</v>
      </c>
      <c r="R201" s="1">
        <f>(Main_S[[#This Row],[ROA]]-VLOOKUP(Main_S[[#This Row],[Industry]], Mean_ROA_S, 2, FALSE))/(VLOOKUP(Main_S[[#This Row],[Industry]], Mean_ROA_S, 3, FALSE))</f>
        <v>-6.5360202800399643</v>
      </c>
      <c r="S201" s="1">
        <f>(Main_S[[#This Row],[A/E]]-VLOOKUP(Main_S[[#This Row],[Industry]], Mean_AE_S, 2, FALSE))/(VLOOKUP(Main_S[[#This Row],[Industry]], Mean_AE_S, 3, FALSE))</f>
        <v>-0.92729013832849927</v>
      </c>
      <c r="T201" s="1">
        <f>(Main_S[[#This Row],[P/E]]-VLOOKUP(Main_S[[#This Row],[Industry]], Mean_PE_S, 2, FALSE))/(VLOOKUP(Main_S[[#This Row],[Industry]], Mean_PE_S, 3, FALSE))</f>
        <v>-7.826351018696557</v>
      </c>
      <c r="U2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2" spans="1:26" x14ac:dyDescent="0.25">
      <c r="A202" s="67" t="s">
        <v>166</v>
      </c>
      <c r="B202" s="67" t="s">
        <v>587</v>
      </c>
      <c r="C202" s="2">
        <v>489</v>
      </c>
      <c r="D202">
        <f>RTD("tos.rtd", , "LAST", Main_S[[#This Row],[Symbol]])</f>
        <v>2.94</v>
      </c>
      <c r="E202">
        <v>-0.32</v>
      </c>
      <c r="F202">
        <v>9.17</v>
      </c>
      <c r="G202">
        <v>7.0000000000000007E-2</v>
      </c>
      <c r="H202" s="1">
        <f>IF(ISNUMBER(Main_S[[#This Row],[Free CF]]),IF(Main_S[[#This Row],[Free CF]]&lt;&gt;0,Main_S[[#This Row],[Current Price]]/Main_S[[#This Row],[Free CF]],""),"")</f>
        <v>-9.1875</v>
      </c>
      <c r="I202" s="1">
        <f>IF(ISNUMBER(Main_S[[#This Row],[BVPS]]),IF(Main_S[[#This Row],[BVPS]]&lt;&gt;0,Main_S[[#This Row],[Current Price]]/Main_S[[#This Row],[BVPS]],""),"")</f>
        <v>0.32061068702290074</v>
      </c>
      <c r="J202">
        <v>0.8</v>
      </c>
      <c r="K202">
        <v>-1.62</v>
      </c>
      <c r="L202">
        <v>1.1000000000000001</v>
      </c>
      <c r="M202" s="1">
        <f>IF(ISNUMBER(Main_S[[#This Row],[EPS]]),IF(Main_S[[#This Row],[EPS]]&lt;&gt;0,Main_S[[#This Row],[Current Price]]/Main_S[[#This Row],[EPS]],""),"")</f>
        <v>41.999999999999993</v>
      </c>
      <c r="N2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2" s="1">
        <f>(Main_S[[#This Row],[P/FCF]]-VLOOKUP(Main_S[[#This Row],[Industry]], Mean_PFCF_S, 2, FALSE))/(VLOOKUP(Main_S[[#This Row],[Industry]], Mean_PFCF_S, 3, FALSE))</f>
        <v>-2.0452656935389566</v>
      </c>
      <c r="P202" s="1">
        <f>(Main_S[[#This Row],[P/B]]-VLOOKUP(Main_S[[#This Row],[Industry]], Mean_PB_S, 2, FALSE))/(VLOOKUP(Main_S[[#This Row],[Industry]], Mean_PB_S, 3, FALSE))</f>
        <v>-1.0502506056843615</v>
      </c>
      <c r="Q202" s="1">
        <f>(Main_S[[#This Row],[ROE]]-VLOOKUP(Main_S[[#This Row],[Industry]], Mean_ROE_S, 2, FALSE))/(VLOOKUP(Main_S[[#This Row],[Industry]], Mean_ROE_S, 3, FALSE))</f>
        <v>-0.87837580080869881</v>
      </c>
      <c r="R202" s="1">
        <f>(Main_S[[#This Row],[ROA]]-VLOOKUP(Main_S[[#This Row],[Industry]], Mean_ROA_S, 2, FALSE))/(VLOOKUP(Main_S[[#This Row],[Industry]], Mean_ROA_S, 3, FALSE))</f>
        <v>-1.197662184004104</v>
      </c>
      <c r="S202" s="1">
        <f>(Main_S[[#This Row],[A/E]]-VLOOKUP(Main_S[[#This Row],[Industry]], Mean_AE_S, 2, FALSE))/(VLOOKUP(Main_S[[#This Row],[Industry]], Mean_AE_S, 3, FALSE))</f>
        <v>-1.0759712294369499</v>
      </c>
      <c r="T202" s="1">
        <f>(Main_S[[#This Row],[P/E]]-VLOOKUP(Main_S[[#This Row],[Industry]], Mean_PE_S, 2, FALSE))/(VLOOKUP(Main_S[[#This Row],[Industry]], Mean_PE_S, 3, FALSE))</f>
        <v>2.8400309005867812</v>
      </c>
      <c r="U2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3" spans="1:26" x14ac:dyDescent="0.25">
      <c r="A203" s="67" t="s">
        <v>166</v>
      </c>
      <c r="B203" s="67" t="s">
        <v>737</v>
      </c>
      <c r="C203" s="2">
        <v>911</v>
      </c>
      <c r="D203">
        <f>RTD("tos.rtd", , "LAST", Main_S[[#This Row],[Symbol]])</f>
        <v>24.651399999999999</v>
      </c>
      <c r="E203">
        <v>-0.97</v>
      </c>
      <c r="F203">
        <v>5.99</v>
      </c>
      <c r="G203">
        <v>1.45</v>
      </c>
      <c r="H203" s="1">
        <f>IF(ISNUMBER(Main_S[[#This Row],[Free CF]]),IF(Main_S[[#This Row],[Free CF]]&lt;&gt;0,Main_S[[#This Row],[Current Price]]/Main_S[[#This Row],[Free CF]],""),"")</f>
        <v>-25.413814432989689</v>
      </c>
      <c r="I203" s="1">
        <f>IF(ISNUMBER(Main_S[[#This Row],[BVPS]]),IF(Main_S[[#This Row],[BVPS]]&lt;&gt;0,Main_S[[#This Row],[Current Price]]/Main_S[[#This Row],[BVPS]],""),"")</f>
        <v>4.1154257095158595</v>
      </c>
      <c r="J203">
        <v>32.93</v>
      </c>
      <c r="K203">
        <v>15</v>
      </c>
      <c r="L203">
        <v>2.4</v>
      </c>
      <c r="M203" s="1">
        <f>IF(ISNUMBER(Main_S[[#This Row],[EPS]]),IF(Main_S[[#This Row],[EPS]]&lt;&gt;0,Main_S[[#This Row],[Current Price]]/Main_S[[#This Row],[EPS]],""),"")</f>
        <v>17.000965517241379</v>
      </c>
      <c r="N2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3" s="1">
        <f>(Main_S[[#This Row],[P/FCF]]-VLOOKUP(Main_S[[#This Row],[Industry]], Mean_PFCF_S, 2, FALSE))/(VLOOKUP(Main_S[[#This Row],[Industry]], Mean_PFCF_S, 3, FALSE))</f>
        <v>-4.676943323669648</v>
      </c>
      <c r="P203" s="1">
        <f>(Main_S[[#This Row],[P/B]]-VLOOKUP(Main_S[[#This Row],[Industry]], Mean_PB_S, 2, FALSE))/(VLOOKUP(Main_S[[#This Row],[Industry]], Mean_PB_S, 3, FALSE))</f>
        <v>3.0900293620543566</v>
      </c>
      <c r="Q203" s="1">
        <f>(Main_S[[#This Row],[ROE]]-VLOOKUP(Main_S[[#This Row],[Industry]], Mean_ROE_S, 2, FALSE))/(VLOOKUP(Main_S[[#This Row],[Industry]], Mean_ROE_S, 3, FALSE))</f>
        <v>1.3058524358747481</v>
      </c>
      <c r="R203" s="1">
        <f>(Main_S[[#This Row],[ROA]]-VLOOKUP(Main_S[[#This Row],[Industry]], Mean_ROA_S, 2, FALSE))/(VLOOKUP(Main_S[[#This Row],[Industry]], Mean_ROA_S, 3, FALSE))</f>
        <v>1.3157517410983324</v>
      </c>
      <c r="S203" s="1">
        <f>(Main_S[[#This Row],[A/E]]-VLOOKUP(Main_S[[#This Row],[Industry]], Mean_AE_S, 2, FALSE))/(VLOOKUP(Main_S[[#This Row],[Industry]], Mean_AE_S, 3, FALSE))</f>
        <v>-0.5390672893231</v>
      </c>
      <c r="T203" s="1">
        <f>(Main_S[[#This Row],[P/E]]-VLOOKUP(Main_S[[#This Row],[Industry]], Mean_PE_S, 2, FALSE))/(VLOOKUP(Main_S[[#This Row],[Industry]], Mean_PE_S, 3, FALSE))</f>
        <v>0.80334450676558078</v>
      </c>
      <c r="U2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4" spans="1:26" x14ac:dyDescent="0.25">
      <c r="A204" s="67" t="s">
        <v>166</v>
      </c>
      <c r="B204" s="67" t="s">
        <v>585</v>
      </c>
      <c r="C204" s="2">
        <v>563</v>
      </c>
      <c r="D204">
        <f>RTD("tos.rtd", , "LAST", Main_S[[#This Row],[Symbol]])</f>
        <v>14.65</v>
      </c>
      <c r="E204">
        <v>-1.99</v>
      </c>
      <c r="F204">
        <v>30.75</v>
      </c>
      <c r="G204">
        <v>1.79</v>
      </c>
      <c r="H204" s="1">
        <f>IF(ISNUMBER(Main_S[[#This Row],[Free CF]]),IF(Main_S[[#This Row],[Free CF]]&lt;&gt;0,Main_S[[#This Row],[Current Price]]/Main_S[[#This Row],[Free CF]],""),"")</f>
        <v>-7.3618090452261304</v>
      </c>
      <c r="I204" s="1">
        <f>IF(ISNUMBER(Main_S[[#This Row],[BVPS]]),IF(Main_S[[#This Row],[BVPS]]&lt;&gt;0,Main_S[[#This Row],[Current Price]]/Main_S[[#This Row],[BVPS]],""),"")</f>
        <v>0.47642276422764229</v>
      </c>
      <c r="J204">
        <v>6.93</v>
      </c>
      <c r="K204">
        <v>4.5199999999999996</v>
      </c>
      <c r="L204">
        <v>4.22</v>
      </c>
      <c r="M204" s="1">
        <f>IF(ISNUMBER(Main_S[[#This Row],[EPS]]),IF(Main_S[[#This Row],[EPS]]&lt;&gt;0,Main_S[[#This Row],[Current Price]]/Main_S[[#This Row],[EPS]],""),"")</f>
        <v>8.1843575418994412</v>
      </c>
      <c r="N2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4" s="1">
        <f>(Main_S[[#This Row],[P/FCF]]-VLOOKUP(Main_S[[#This Row],[Industry]], Mean_PFCF_S, 2, FALSE))/(VLOOKUP(Main_S[[#This Row],[Industry]], Mean_PFCF_S, 3, FALSE))</f>
        <v>-1.7491645631773973</v>
      </c>
      <c r="P204" s="1">
        <f>(Main_S[[#This Row],[P/B]]-VLOOKUP(Main_S[[#This Row],[Industry]], Mean_PB_S, 2, FALSE))/(VLOOKUP(Main_S[[#This Row],[Industry]], Mean_PB_S, 3, FALSE))</f>
        <v>-0.88025401345026733</v>
      </c>
      <c r="Q204" s="1">
        <f>(Main_S[[#This Row],[ROE]]-VLOOKUP(Main_S[[#This Row],[Industry]], Mean_ROE_S, 2, FALSE))/(VLOOKUP(Main_S[[#This Row],[Industry]], Mean_ROE_S, 3, FALSE))</f>
        <v>-0.46165251755723508</v>
      </c>
      <c r="R204" s="1">
        <f>(Main_S[[#This Row],[ROA]]-VLOOKUP(Main_S[[#This Row],[Industry]], Mean_ROA_S, 2, FALSE))/(VLOOKUP(Main_S[[#This Row],[Industry]], Mean_ROA_S, 3, FALSE))</f>
        <v>-0.26912057749814994</v>
      </c>
      <c r="S204" s="1">
        <f>(Main_S[[#This Row],[A/E]]-VLOOKUP(Main_S[[#This Row],[Industry]], Mean_AE_S, 2, FALSE))/(VLOOKUP(Main_S[[#This Row],[Industry]], Mean_AE_S, 3, FALSE))</f>
        <v>0.21259822683628998</v>
      </c>
      <c r="T204" s="1">
        <f>(Main_S[[#This Row],[P/E]]-VLOOKUP(Main_S[[#This Row],[Industry]], Mean_PE_S, 2, FALSE))/(VLOOKUP(Main_S[[#This Row],[Industry]], Mean_PE_S, 3, FALSE))</f>
        <v>8.5050145620601328E-2</v>
      </c>
      <c r="U2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5" spans="1:26" x14ac:dyDescent="0.25">
      <c r="A205" s="67" t="s">
        <v>166</v>
      </c>
      <c r="B205" s="67" t="s">
        <v>580</v>
      </c>
      <c r="C205" s="2">
        <v>1145</v>
      </c>
      <c r="D205">
        <f>RTD("tos.rtd", , "LAST", Main_S[[#This Row],[Symbol]])</f>
        <v>10.7</v>
      </c>
      <c r="E205">
        <v>-19.399999999999999</v>
      </c>
      <c r="F205">
        <v>11.95</v>
      </c>
      <c r="G205">
        <v>0.44</v>
      </c>
      <c r="H205" s="1">
        <f>IF(ISNUMBER(Main_S[[#This Row],[Free CF]]),IF(Main_S[[#This Row],[Free CF]]&lt;&gt;0,Main_S[[#This Row],[Current Price]]/Main_S[[#This Row],[Free CF]],""),"")</f>
        <v>-0.55154639175257736</v>
      </c>
      <c r="I205" s="1">
        <f>IF(ISNUMBER(Main_S[[#This Row],[BVPS]]),IF(Main_S[[#This Row],[BVPS]]&lt;&gt;0,Main_S[[#This Row],[Current Price]]/Main_S[[#This Row],[BVPS]],""),"")</f>
        <v>0.89539748953974896</v>
      </c>
      <c r="J205">
        <v>3.86</v>
      </c>
      <c r="K205">
        <v>0.41</v>
      </c>
      <c r="L205">
        <v>7.68</v>
      </c>
      <c r="M205" s="1">
        <f>IF(ISNUMBER(Main_S[[#This Row],[EPS]]),IF(Main_S[[#This Row],[EPS]]&lt;&gt;0,Main_S[[#This Row],[Current Price]]/Main_S[[#This Row],[EPS]],""),"")</f>
        <v>24.318181818181817</v>
      </c>
      <c r="N2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5" s="1">
        <f>(Main_S[[#This Row],[P/FCF]]-VLOOKUP(Main_S[[#This Row],[Industry]], Mean_PFCF_S, 2, FALSE))/(VLOOKUP(Main_S[[#This Row],[Industry]], Mean_PFCF_S, 3, FALSE))</f>
        <v>-0.64463673250607723</v>
      </c>
      <c r="P205" s="1">
        <f>(Main_S[[#This Row],[P/B]]-VLOOKUP(Main_S[[#This Row],[Industry]], Mean_PB_S, 2, FALSE))/(VLOOKUP(Main_S[[#This Row],[Industry]], Mean_PB_S, 3, FALSE))</f>
        <v>-0.42313748684313524</v>
      </c>
      <c r="Q205" s="1">
        <f>(Main_S[[#This Row],[ROE]]-VLOOKUP(Main_S[[#This Row],[Industry]], Mean_ROE_S, 2, FALSE))/(VLOOKUP(Main_S[[#This Row],[Industry]], Mean_ROE_S, 3, FALSE))</f>
        <v>-0.67035406398170394</v>
      </c>
      <c r="R205" s="1">
        <f>(Main_S[[#This Row],[ROA]]-VLOOKUP(Main_S[[#This Row],[Industry]], Mean_ROA_S, 2, FALSE))/(VLOOKUP(Main_S[[#This Row],[Industry]], Mean_ROA_S, 3, FALSE))</f>
        <v>-0.89066878641337321</v>
      </c>
      <c r="S205" s="1">
        <f>(Main_S[[#This Row],[A/E]]-VLOOKUP(Main_S[[#This Row],[Industry]], Mean_AE_S, 2, FALSE))/(VLOOKUP(Main_S[[#This Row],[Industry]], Mean_AE_S, 3, FALSE))</f>
        <v>1.6415887136008447</v>
      </c>
      <c r="T205" s="1">
        <f>(Main_S[[#This Row],[P/E]]-VLOOKUP(Main_S[[#This Row],[Industry]], Mean_PE_S, 2, FALSE))/(VLOOKUP(Main_S[[#This Row],[Industry]], Mean_PE_S, 3, FALSE))</f>
        <v>1.3994825252578682</v>
      </c>
      <c r="U2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6" spans="1:26" x14ac:dyDescent="0.25">
      <c r="A206" s="67" t="s">
        <v>166</v>
      </c>
      <c r="B206" s="67" t="s">
        <v>741</v>
      </c>
      <c r="C206" s="2">
        <v>1760</v>
      </c>
      <c r="D206">
        <f>RTD("tos.rtd", , "LAST", Main_S[[#This Row],[Symbol]])</f>
        <v>112.13</v>
      </c>
      <c r="E206">
        <v>-21.21</v>
      </c>
      <c r="F206">
        <v>49.59</v>
      </c>
      <c r="G206">
        <v>10.65</v>
      </c>
      <c r="H206" s="1">
        <f>IF(ISNUMBER(Main_S[[#This Row],[Free CF]]),IF(Main_S[[#This Row],[Free CF]]&lt;&gt;0,Main_S[[#This Row],[Current Price]]/Main_S[[#This Row],[Free CF]],""),"")</f>
        <v>-5.2866572371522862</v>
      </c>
      <c r="I206" s="1">
        <f>IF(ISNUMBER(Main_S[[#This Row],[BVPS]]),IF(Main_S[[#This Row],[BVPS]]&lt;&gt;0,Main_S[[#This Row],[Current Price]]/Main_S[[#This Row],[BVPS]],""),"")</f>
        <v>2.2611413591449887</v>
      </c>
      <c r="J206">
        <v>23.37</v>
      </c>
      <c r="K206">
        <v>5.41</v>
      </c>
      <c r="L206">
        <v>4.62</v>
      </c>
      <c r="M206" s="1">
        <f>IF(ISNUMBER(Main_S[[#This Row],[EPS]]),IF(Main_S[[#This Row],[EPS]]&lt;&gt;0,Main_S[[#This Row],[Current Price]]/Main_S[[#This Row],[EPS]],""),"")</f>
        <v>10.528638497652581</v>
      </c>
      <c r="N2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6" s="1">
        <f>(Main_S[[#This Row],[P/FCF]]-VLOOKUP(Main_S[[#This Row],[Industry]], Mean_PFCF_S, 2, FALSE))/(VLOOKUP(Main_S[[#This Row],[Industry]], Mean_PFCF_S, 3, FALSE))</f>
        <v>-1.4126044271720097</v>
      </c>
      <c r="P206" s="1">
        <f>(Main_S[[#This Row],[P/B]]-VLOOKUP(Main_S[[#This Row],[Industry]], Mean_PB_S, 2, FALSE))/(VLOOKUP(Main_S[[#This Row],[Industry]], Mean_PB_S, 3, FALSE))</f>
        <v>1.0669383010074769</v>
      </c>
      <c r="Q206" s="1">
        <f>(Main_S[[#This Row],[ROE]]-VLOOKUP(Main_S[[#This Row],[Industry]], Mean_ROE_S, 2, FALSE))/(VLOOKUP(Main_S[[#This Row],[Industry]], Mean_ROE_S, 3, FALSE))</f>
        <v>0.6559544606897576</v>
      </c>
      <c r="R206" s="1">
        <f>(Main_S[[#This Row],[ROA]]-VLOOKUP(Main_S[[#This Row],[Industry]], Mean_ROA_S, 2, FALSE))/(VLOOKUP(Main_S[[#This Row],[Industry]], Mean_ROA_S, 3, FALSE))</f>
        <v>-0.13452741303718907</v>
      </c>
      <c r="S206" s="1">
        <f>(Main_S[[#This Row],[A/E]]-VLOOKUP(Main_S[[#This Row],[Industry]], Mean_AE_S, 2, FALSE))/(VLOOKUP(Main_S[[#This Row],[Industry]], Mean_AE_S, 3, FALSE))</f>
        <v>0.37779943917901321</v>
      </c>
      <c r="T206" s="1">
        <f>(Main_S[[#This Row],[P/E]]-VLOOKUP(Main_S[[#This Row],[Industry]], Mean_PE_S, 2, FALSE))/(VLOOKUP(Main_S[[#This Row],[Industry]], Mean_PE_S, 3, FALSE))</f>
        <v>0.27604012682045576</v>
      </c>
      <c r="U2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7" spans="1:26" x14ac:dyDescent="0.25">
      <c r="A207" s="67" t="s">
        <v>150</v>
      </c>
      <c r="B207" s="67" t="s">
        <v>563</v>
      </c>
      <c r="C207" s="2">
        <v>565</v>
      </c>
      <c r="D207">
        <f>RTD("tos.rtd", , "LAST", Main_S[[#This Row],[Symbol]])</f>
        <v>42.64</v>
      </c>
      <c r="E207">
        <v>3.14</v>
      </c>
      <c r="F207">
        <v>17.45</v>
      </c>
      <c r="G207">
        <v>1.51</v>
      </c>
      <c r="H207" s="1">
        <f>IF(ISNUMBER(Main_S[[#This Row],[Free CF]]),IF(Main_S[[#This Row],[Free CF]]&lt;&gt;0,Main_S[[#This Row],[Current Price]]/Main_S[[#This Row],[Free CF]],""),"")</f>
        <v>13.579617834394904</v>
      </c>
      <c r="I207" s="1">
        <f>IF(ISNUMBER(Main_S[[#This Row],[BVPS]]),IF(Main_S[[#This Row],[BVPS]]&lt;&gt;0,Main_S[[#This Row],[Current Price]]/Main_S[[#This Row],[BVPS]],""),"")</f>
        <v>2.4435530085959885</v>
      </c>
      <c r="J207">
        <v>8.91</v>
      </c>
      <c r="K207">
        <v>1.18</v>
      </c>
      <c r="L207">
        <v>9.9</v>
      </c>
      <c r="M207" s="1">
        <f>IF(ISNUMBER(Main_S[[#This Row],[EPS]]),IF(Main_S[[#This Row],[EPS]]&lt;&gt;0,Main_S[[#This Row],[Current Price]]/Main_S[[#This Row],[EPS]],""),"")</f>
        <v>28.23841059602649</v>
      </c>
      <c r="N2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7" s="1">
        <f>(Main_S[[#This Row],[P/FCF]]-VLOOKUP(Main_S[[#This Row],[Industry]], Mean_PFCF_S, 2, FALSE))/(VLOOKUP(Main_S[[#This Row],[Industry]], Mean_PFCF_S, 3, FALSE))</f>
        <v>0.77473470116211096</v>
      </c>
      <c r="P207" s="1">
        <f>(Main_S[[#This Row],[P/B]]-VLOOKUP(Main_S[[#This Row],[Industry]], Mean_PB_S, 2, FALSE))/(VLOOKUP(Main_S[[#This Row],[Industry]], Mean_PB_S, 3, FALSE))</f>
        <v>0.93491672079577481</v>
      </c>
      <c r="Q207" s="1">
        <f>(Main_S[[#This Row],[ROE]]-VLOOKUP(Main_S[[#This Row],[Industry]], Mean_ROE_S, 2, FALSE))/(VLOOKUP(Main_S[[#This Row],[Industry]], Mean_ROE_S, 3, FALSE))</f>
        <v>0.35349678440028309</v>
      </c>
      <c r="R207" s="1">
        <f>(Main_S[[#This Row],[ROA]]-VLOOKUP(Main_S[[#This Row],[Industry]], Mean_ROA_S, 2, FALSE))/(VLOOKUP(Main_S[[#This Row],[Industry]], Mean_ROA_S, 3, FALSE))</f>
        <v>-0.41640144159015918</v>
      </c>
      <c r="S207" s="1">
        <f>(Main_S[[#This Row],[A/E]]-VLOOKUP(Main_S[[#This Row],[Industry]], Mean_AE_S, 2, FALSE))/(VLOOKUP(Main_S[[#This Row],[Industry]], Mean_AE_S, 3, FALSE))</f>
        <v>0.83775753633201966</v>
      </c>
      <c r="T207" s="1">
        <f>(Main_S[[#This Row],[P/E]]-VLOOKUP(Main_S[[#This Row],[Industry]], Mean_PE_S, 2, FALSE))/(VLOOKUP(Main_S[[#This Row],[Industry]], Mean_PE_S, 3, FALSE))</f>
        <v>1.6616162315144758</v>
      </c>
      <c r="U2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8" spans="1:26" x14ac:dyDescent="0.25">
      <c r="A208" s="67" t="s">
        <v>150</v>
      </c>
      <c r="B208" s="67" t="s">
        <v>342</v>
      </c>
      <c r="C208" s="2">
        <v>1947</v>
      </c>
      <c r="D208">
        <f>RTD("tos.rtd", , "LAST", Main_S[[#This Row],[Symbol]])</f>
        <v>27.36</v>
      </c>
      <c r="E208">
        <v>2.33</v>
      </c>
      <c r="F208">
        <v>3.75</v>
      </c>
      <c r="G208">
        <v>1.55</v>
      </c>
      <c r="H208" s="1">
        <f>IF(ISNUMBER(Main_S[[#This Row],[Free CF]]),IF(Main_S[[#This Row],[Free CF]]&lt;&gt;0,Main_S[[#This Row],[Current Price]]/Main_S[[#This Row],[Free CF]],""),"")</f>
        <v>11.742489270386265</v>
      </c>
      <c r="I208" s="1">
        <f>IF(ISNUMBER(Main_S[[#This Row],[BVPS]]),IF(Main_S[[#This Row],[BVPS]]&lt;&gt;0,Main_S[[#This Row],[Current Price]]/Main_S[[#This Row],[BVPS]],""),"")</f>
        <v>7.2960000000000003</v>
      </c>
      <c r="J208">
        <v>41.06</v>
      </c>
      <c r="K208">
        <v>6.16</v>
      </c>
      <c r="L208">
        <v>20.87</v>
      </c>
      <c r="M208" s="1">
        <f>IF(ISNUMBER(Main_S[[#This Row],[EPS]]),IF(Main_S[[#This Row],[EPS]]&lt;&gt;0,Main_S[[#This Row],[Current Price]]/Main_S[[#This Row],[EPS]],""),"")</f>
        <v>17.651612903225807</v>
      </c>
      <c r="N2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8" s="1">
        <f>(Main_S[[#This Row],[P/FCF]]-VLOOKUP(Main_S[[#This Row],[Industry]], Mean_PFCF_S, 2, FALSE))/(VLOOKUP(Main_S[[#This Row],[Industry]], Mean_PFCF_S, 3, FALSE))</f>
        <v>0.63626271866938755</v>
      </c>
      <c r="P208" s="1">
        <f>(Main_S[[#This Row],[P/B]]-VLOOKUP(Main_S[[#This Row],[Industry]], Mean_PB_S, 2, FALSE))/(VLOOKUP(Main_S[[#This Row],[Industry]], Mean_PB_S, 3, FALSE))</f>
        <v>5.3641164985891212</v>
      </c>
      <c r="Q208" s="1">
        <f>(Main_S[[#This Row],[ROE]]-VLOOKUP(Main_S[[#This Row],[Industry]], Mean_ROE_S, 2, FALSE))/(VLOOKUP(Main_S[[#This Row],[Industry]], Mean_ROE_S, 3, FALSE))</f>
        <v>3.9530976425390723</v>
      </c>
      <c r="R208" s="1">
        <f>(Main_S[[#This Row],[ROA]]-VLOOKUP(Main_S[[#This Row],[Industry]], Mean_ROA_S, 2, FALSE))/(VLOOKUP(Main_S[[#This Row],[Industry]], Mean_ROA_S, 3, FALSE))</f>
        <v>1.7362067028240207</v>
      </c>
      <c r="S208" s="1">
        <f>(Main_S[[#This Row],[A/E]]-VLOOKUP(Main_S[[#This Row],[Industry]], Mean_AE_S, 2, FALSE))/(VLOOKUP(Main_S[[#This Row],[Industry]], Mean_AE_S, 3, FALSE))</f>
        <v>3.1432326504272861</v>
      </c>
      <c r="T208" s="1">
        <f>(Main_S[[#This Row],[P/E]]-VLOOKUP(Main_S[[#This Row],[Industry]], Mean_PE_S, 2, FALSE))/(VLOOKUP(Main_S[[#This Row],[Industry]], Mean_PE_S, 3, FALSE))</f>
        <v>0.85667096821017918</v>
      </c>
      <c r="U2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9" spans="1:26" x14ac:dyDescent="0.25">
      <c r="A209" s="67" t="s">
        <v>150</v>
      </c>
      <c r="B209" s="67" t="s">
        <v>571</v>
      </c>
      <c r="C209" s="2">
        <v>733</v>
      </c>
      <c r="D209">
        <f>RTD("tos.rtd", , "LAST", Main_S[[#This Row],[Symbol]])</f>
        <v>13.02</v>
      </c>
      <c r="E209">
        <v>2.0499999999999998</v>
      </c>
      <c r="F209">
        <v>14.53</v>
      </c>
      <c r="G209">
        <v>-0.01</v>
      </c>
      <c r="H209" s="1">
        <f>IF(ISNUMBER(Main_S[[#This Row],[Free CF]]),IF(Main_S[[#This Row],[Free CF]]&lt;&gt;0,Main_S[[#This Row],[Current Price]]/Main_S[[#This Row],[Free CF]],""),"")</f>
        <v>6.3512195121951223</v>
      </c>
      <c r="I209" s="1">
        <f>IF(ISNUMBER(Main_S[[#This Row],[BVPS]]),IF(Main_S[[#This Row],[BVPS]]&lt;&gt;0,Main_S[[#This Row],[Current Price]]/Main_S[[#This Row],[BVPS]],""),"")</f>
        <v>0.89607708189951829</v>
      </c>
      <c r="J209">
        <v>-0.04</v>
      </c>
      <c r="K209">
        <v>1.56</v>
      </c>
      <c r="L209">
        <v>5.47</v>
      </c>
      <c r="M209" s="1">
        <f>IF(ISNUMBER(Main_S[[#This Row],[EPS]]),IF(Main_S[[#This Row],[EPS]]&lt;&gt;0,Main_S[[#This Row],[Current Price]]/Main_S[[#This Row],[EPS]],""),"")</f>
        <v>-1302</v>
      </c>
      <c r="N2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9" s="1">
        <f>(Main_S[[#This Row],[P/FCF]]-VLOOKUP(Main_S[[#This Row],[Industry]], Mean_PFCF_S, 2, FALSE))/(VLOOKUP(Main_S[[#This Row],[Industry]], Mean_PFCF_S, 3, FALSE))</f>
        <v>0.22990040620235272</v>
      </c>
      <c r="P209" s="1">
        <f>(Main_S[[#This Row],[P/B]]-VLOOKUP(Main_S[[#This Row],[Industry]], Mean_PB_S, 2, FALSE))/(VLOOKUP(Main_S[[#This Row],[Industry]], Mean_PB_S, 3, FALSE))</f>
        <v>-0.47758300208762583</v>
      </c>
      <c r="Q209" s="1">
        <f>(Main_S[[#This Row],[ROE]]-VLOOKUP(Main_S[[#This Row],[Industry]], Mean_ROE_S, 2, FALSE))/(VLOOKUP(Main_S[[#This Row],[Industry]], Mean_ROE_S, 3, FALSE))</f>
        <v>-0.64856939539263003</v>
      </c>
      <c r="R209" s="1">
        <f>(Main_S[[#This Row],[ROA]]-VLOOKUP(Main_S[[#This Row],[Industry]], Mean_ROA_S, 2, FALSE))/(VLOOKUP(Main_S[[#This Row],[Industry]], Mean_ROA_S, 3, FALSE))</f>
        <v>-0.25214620165494062</v>
      </c>
      <c r="S209" s="1">
        <f>(Main_S[[#This Row],[A/E]]-VLOOKUP(Main_S[[#This Row],[Industry]], Mean_AE_S, 2, FALSE))/(VLOOKUP(Main_S[[#This Row],[Industry]], Mean_AE_S, 3, FALSE))</f>
        <v>-9.3259305549660498E-2</v>
      </c>
      <c r="T209" s="1">
        <f>(Main_S[[#This Row],[P/E]]-VLOOKUP(Main_S[[#This Row],[Industry]], Mean_PE_S, 2, FALSE))/(VLOOKUP(Main_S[[#This Row],[Industry]], Mean_PE_S, 3, FALSE))</f>
        <v>-99.480309660094875</v>
      </c>
      <c r="U2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0" spans="1:26" x14ac:dyDescent="0.25">
      <c r="A210" s="67" t="s">
        <v>150</v>
      </c>
      <c r="B210" s="67" t="s">
        <v>726</v>
      </c>
      <c r="C210" s="2">
        <v>1648</v>
      </c>
      <c r="D210">
        <f>RTD("tos.rtd", , "LAST", Main_S[[#This Row],[Symbol]])</f>
        <v>2.84</v>
      </c>
      <c r="E210">
        <v>1.18</v>
      </c>
      <c r="F210">
        <v>30.12</v>
      </c>
      <c r="G210">
        <v>-1.0900000000000001</v>
      </c>
      <c r="H210" s="1">
        <f>IF(ISNUMBER(Main_S[[#This Row],[Free CF]]),IF(Main_S[[#This Row],[Free CF]]&lt;&gt;0,Main_S[[#This Row],[Current Price]]/Main_S[[#This Row],[Free CF]],""),"")</f>
        <v>2.406779661016949</v>
      </c>
      <c r="I210" s="1">
        <f>IF(ISNUMBER(Main_S[[#This Row],[BVPS]]),IF(Main_S[[#This Row],[BVPS]]&lt;&gt;0,Main_S[[#This Row],[Current Price]]/Main_S[[#This Row],[BVPS]],""),"")</f>
        <v>9.42895086321381E-2</v>
      </c>
      <c r="J210">
        <v>-3.32</v>
      </c>
      <c r="K210">
        <v>1.35</v>
      </c>
      <c r="L210">
        <v>2.36</v>
      </c>
      <c r="M210" s="1">
        <f>IF(ISNUMBER(Main_S[[#This Row],[EPS]]),IF(Main_S[[#This Row],[EPS]]&lt;&gt;0,Main_S[[#This Row],[Current Price]]/Main_S[[#This Row],[EPS]],""),"")</f>
        <v>-2.6055045871559628</v>
      </c>
      <c r="N2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0" s="1">
        <f>(Main_S[[#This Row],[P/FCF]]-VLOOKUP(Main_S[[#This Row],[Industry]], Mean_PFCF_S, 2, FALSE))/(VLOOKUP(Main_S[[#This Row],[Industry]], Mean_PFCF_S, 3, FALSE))</f>
        <v>-6.7408348729932108E-2</v>
      </c>
      <c r="P210" s="1">
        <f>(Main_S[[#This Row],[P/B]]-VLOOKUP(Main_S[[#This Row],[Industry]], Mean_PB_S, 2, FALSE))/(VLOOKUP(Main_S[[#This Row],[Industry]], Mean_PB_S, 3, FALSE))</f>
        <v>-1.2094358894338133</v>
      </c>
      <c r="Q210" s="1">
        <f>(Main_S[[#This Row],[ROE]]-VLOOKUP(Main_S[[#This Row],[Industry]], Mean_ROE_S, 2, FALSE))/(VLOOKUP(Main_S[[#This Row],[Industry]], Mean_ROE_S, 3, FALSE))</f>
        <v>-1.0158070568139435</v>
      </c>
      <c r="R210" s="1">
        <f>(Main_S[[#This Row],[ROA]]-VLOOKUP(Main_S[[#This Row],[Industry]], Mean_ROA_S, 2, FALSE))/(VLOOKUP(Main_S[[#This Row],[Industry]], Mean_ROA_S, 3, FALSE))</f>
        <v>-0.34291883425071923</v>
      </c>
      <c r="S210" s="1">
        <f>(Main_S[[#This Row],[A/E]]-VLOOKUP(Main_S[[#This Row],[Industry]], Mean_AE_S, 2, FALSE))/(VLOOKUP(Main_S[[#This Row],[Industry]], Mean_AE_S, 3, FALSE))</f>
        <v>-0.7468625512047451</v>
      </c>
      <c r="T210" s="1">
        <f>(Main_S[[#This Row],[P/E]]-VLOOKUP(Main_S[[#This Row],[Industry]], Mean_PE_S, 2, FALSE))/(VLOOKUP(Main_S[[#This Row],[Industry]], Mean_PE_S, 3, FALSE))</f>
        <v>-0.68353705741119164</v>
      </c>
      <c r="U2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1" spans="1:26" x14ac:dyDescent="0.25">
      <c r="A211" s="67" t="s">
        <v>150</v>
      </c>
      <c r="B211" s="67" t="s">
        <v>556</v>
      </c>
      <c r="C211" s="2">
        <v>281</v>
      </c>
      <c r="D211">
        <f>RTD("tos.rtd", , "LAST", Main_S[[#This Row],[Symbol]])</f>
        <v>11.88</v>
      </c>
      <c r="E211">
        <v>1.08</v>
      </c>
      <c r="F211">
        <v>12.59</v>
      </c>
      <c r="G211">
        <v>0.45</v>
      </c>
      <c r="H211" s="1">
        <f>IF(ISNUMBER(Main_S[[#This Row],[Free CF]]),IF(Main_S[[#This Row],[Free CF]]&lt;&gt;0,Main_S[[#This Row],[Current Price]]/Main_S[[#This Row],[Free CF]],""),"")</f>
        <v>11</v>
      </c>
      <c r="I211" s="1">
        <f>IF(ISNUMBER(Main_S[[#This Row],[BVPS]]),IF(Main_S[[#This Row],[BVPS]]&lt;&gt;0,Main_S[[#This Row],[Current Price]]/Main_S[[#This Row],[BVPS]],""),"")</f>
        <v>0.9436060365369342</v>
      </c>
      <c r="J211">
        <v>3.42</v>
      </c>
      <c r="K211">
        <v>0.94</v>
      </c>
      <c r="L211">
        <v>5.22</v>
      </c>
      <c r="M211" s="1">
        <f>IF(ISNUMBER(Main_S[[#This Row],[EPS]]),IF(Main_S[[#This Row],[EPS]]&lt;&gt;0,Main_S[[#This Row],[Current Price]]/Main_S[[#This Row],[EPS]],""),"")</f>
        <v>26.400000000000002</v>
      </c>
      <c r="N2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1" s="1">
        <f>(Main_S[[#This Row],[P/FCF]]-VLOOKUP(Main_S[[#This Row],[Industry]], Mean_PFCF_S, 2, FALSE))/(VLOOKUP(Main_S[[#This Row],[Industry]], Mean_PFCF_S, 3, FALSE))</f>
        <v>0.58029822970318234</v>
      </c>
      <c r="P211" s="1">
        <f>(Main_S[[#This Row],[P/B]]-VLOOKUP(Main_S[[#This Row],[Industry]], Mean_PB_S, 2, FALSE))/(VLOOKUP(Main_S[[#This Row],[Industry]], Mean_PB_S, 3, FALSE))</f>
        <v>-0.43419968729990843</v>
      </c>
      <c r="Q211" s="1">
        <f>(Main_S[[#This Row],[ROE]]-VLOOKUP(Main_S[[#This Row],[Industry]], Mean_ROE_S, 2, FALSE))/(VLOOKUP(Main_S[[#This Row],[Industry]], Mean_ROE_S, 3, FALSE))</f>
        <v>-0.26117844767380549</v>
      </c>
      <c r="R211" s="1">
        <f>(Main_S[[#This Row],[ROA]]-VLOOKUP(Main_S[[#This Row],[Industry]], Mean_ROA_S, 2, FALSE))/(VLOOKUP(Main_S[[#This Row],[Industry]], Mean_ROA_S, 3, FALSE))</f>
        <v>-0.52014159312819186</v>
      </c>
      <c r="S211" s="1">
        <f>(Main_S[[#This Row],[A/E]]-VLOOKUP(Main_S[[#This Row],[Industry]], Mean_AE_S, 2, FALSE))/(VLOOKUP(Main_S[[#This Row],[Industry]], Mean_AE_S, 3, FALSE))</f>
        <v>-0.14579975938045509</v>
      </c>
      <c r="T211" s="1">
        <f>(Main_S[[#This Row],[P/E]]-VLOOKUP(Main_S[[#This Row],[Industry]], Mean_PE_S, 2, FALSE))/(VLOOKUP(Main_S[[#This Row],[Industry]], Mean_PE_S, 3, FALSE))</f>
        <v>1.5218364846807122</v>
      </c>
      <c r="U2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2" spans="1:26" x14ac:dyDescent="0.25">
      <c r="A212" s="67" t="s">
        <v>150</v>
      </c>
      <c r="B212" s="67" t="s">
        <v>727</v>
      </c>
      <c r="C212" s="2">
        <v>388</v>
      </c>
      <c r="D212">
        <f>RTD("tos.rtd", , "LAST", Main_S[[#This Row],[Symbol]])</f>
        <v>8.25</v>
      </c>
      <c r="E212">
        <v>1.06</v>
      </c>
      <c r="F212">
        <v>7.67</v>
      </c>
      <c r="G212">
        <v>0.72</v>
      </c>
      <c r="H212" s="1">
        <f>IF(ISNUMBER(Main_S[[#This Row],[Free CF]]),IF(Main_S[[#This Row],[Free CF]]&lt;&gt;0,Main_S[[#This Row],[Current Price]]/Main_S[[#This Row],[Free CF]],""),"")</f>
        <v>7.783018867924528</v>
      </c>
      <c r="I212" s="1">
        <f>IF(ISNUMBER(Main_S[[#This Row],[BVPS]]),IF(Main_S[[#This Row],[BVPS]]&lt;&gt;0,Main_S[[#This Row],[Current Price]]/Main_S[[#This Row],[BVPS]],""),"")</f>
        <v>1.0756192959582791</v>
      </c>
      <c r="J212">
        <v>9.4700000000000006</v>
      </c>
      <c r="K212">
        <v>5.54</v>
      </c>
      <c r="L212">
        <v>1.64</v>
      </c>
      <c r="M212" s="1">
        <f>IF(ISNUMBER(Main_S[[#This Row],[EPS]]),IF(Main_S[[#This Row],[EPS]]&lt;&gt;0,Main_S[[#This Row],[Current Price]]/Main_S[[#This Row],[EPS]],""),"")</f>
        <v>11.458333333333334</v>
      </c>
      <c r="N2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2" s="1">
        <f>(Main_S[[#This Row],[P/FCF]]-VLOOKUP(Main_S[[#This Row],[Industry]], Mean_PFCF_S, 2, FALSE))/(VLOOKUP(Main_S[[#This Row],[Industry]], Mean_PFCF_S, 3, FALSE))</f>
        <v>0.33782104888564979</v>
      </c>
      <c r="P212" s="1">
        <f>(Main_S[[#This Row],[P/B]]-VLOOKUP(Main_S[[#This Row],[Industry]], Mean_PB_S, 2, FALSE))/(VLOOKUP(Main_S[[#This Row],[Industry]], Mean_PB_S, 3, FALSE))</f>
        <v>-0.31370108106462119</v>
      </c>
      <c r="Q212" s="1">
        <f>(Main_S[[#This Row],[ROE]]-VLOOKUP(Main_S[[#This Row],[Industry]], Mean_ROE_S, 2, FALSE))/(VLOOKUP(Main_S[[#This Row],[Industry]], Mean_ROE_S, 3, FALSE))</f>
        <v>0.41619589732587325</v>
      </c>
      <c r="R212" s="1">
        <f>(Main_S[[#This Row],[ROA]]-VLOOKUP(Main_S[[#This Row],[Industry]], Mean_ROA_S, 2, FALSE))/(VLOOKUP(Main_S[[#This Row],[Industry]], Mean_ROA_S, 3, FALSE))</f>
        <v>1.4682113113507691</v>
      </c>
      <c r="S212" s="1">
        <f>(Main_S[[#This Row],[A/E]]-VLOOKUP(Main_S[[#This Row],[Industry]], Mean_AE_S, 2, FALSE))/(VLOOKUP(Main_S[[#This Row],[Industry]], Mean_AE_S, 3, FALSE))</f>
        <v>-0.8981790582374336</v>
      </c>
      <c r="T212" s="1">
        <f>(Main_S[[#This Row],[P/E]]-VLOOKUP(Main_S[[#This Row],[Industry]], Mean_PE_S, 2, FALSE))/(VLOOKUP(Main_S[[#This Row],[Industry]], Mean_PE_S, 3, FALSE))</f>
        <v>0.3857777671911094</v>
      </c>
      <c r="U2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3" spans="1:26" x14ac:dyDescent="0.25">
      <c r="A213" s="67" t="s">
        <v>150</v>
      </c>
      <c r="B213" s="67" t="s">
        <v>572</v>
      </c>
      <c r="C213" s="2">
        <v>429</v>
      </c>
      <c r="D213">
        <f>RTD("tos.rtd", , "LAST", Main_S[[#This Row],[Symbol]])</f>
        <v>5.23</v>
      </c>
      <c r="E213">
        <v>0.93</v>
      </c>
      <c r="F213">
        <v>8.48</v>
      </c>
      <c r="G213">
        <v>-0.14000000000000001</v>
      </c>
      <c r="H213" s="1">
        <f>IF(ISNUMBER(Main_S[[#This Row],[Free CF]]),IF(Main_S[[#This Row],[Free CF]]&lt;&gt;0,Main_S[[#This Row],[Current Price]]/Main_S[[#This Row],[Free CF]],""),"")</f>
        <v>5.623655913978495</v>
      </c>
      <c r="I213" s="1">
        <f>IF(ISNUMBER(Main_S[[#This Row],[BVPS]]),IF(Main_S[[#This Row],[BVPS]]&lt;&gt;0,Main_S[[#This Row],[Current Price]]/Main_S[[#This Row],[BVPS]],""),"")</f>
        <v>0.616745283018868</v>
      </c>
      <c r="J213">
        <v>-1.65</v>
      </c>
      <c r="K213">
        <v>-0.36</v>
      </c>
      <c r="L213">
        <v>2.0299999999999998</v>
      </c>
      <c r="M213" s="1">
        <f>IF(ISNUMBER(Main_S[[#This Row],[EPS]]),IF(Main_S[[#This Row],[EPS]]&lt;&gt;0,Main_S[[#This Row],[Current Price]]/Main_S[[#This Row],[EPS]],""),"")</f>
        <v>-37.357142857142854</v>
      </c>
      <c r="N2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3" s="1">
        <f>(Main_S[[#This Row],[P/FCF]]-VLOOKUP(Main_S[[#This Row],[Industry]], Mean_PFCF_S, 2, FALSE))/(VLOOKUP(Main_S[[#This Row],[Industry]], Mean_PFCF_S, 3, FALSE))</f>
        <v>0.17506092691476055</v>
      </c>
      <c r="P213" s="1">
        <f>(Main_S[[#This Row],[P/B]]-VLOOKUP(Main_S[[#This Row],[Industry]], Mean_PB_S, 2, FALSE))/(VLOOKUP(Main_S[[#This Row],[Industry]], Mean_PB_S, 3, FALSE))</f>
        <v>-0.73255051512269653</v>
      </c>
      <c r="Q213" s="1">
        <f>(Main_S[[#This Row],[ROE]]-VLOOKUP(Main_S[[#This Row],[Industry]], Mean_ROE_S, 2, FALSE))/(VLOOKUP(Main_S[[#This Row],[Industry]], Mean_ROE_S, 3, FALSE))</f>
        <v>-0.82882934505370143</v>
      </c>
      <c r="R213" s="1">
        <f>(Main_S[[#This Row],[ROA]]-VLOOKUP(Main_S[[#This Row],[Industry]], Mean_ROA_S, 2, FALSE))/(VLOOKUP(Main_S[[#This Row],[Industry]], Mean_ROA_S, 3, FALSE))</f>
        <v>-1.0820674139592026</v>
      </c>
      <c r="S213" s="1">
        <f>(Main_S[[#This Row],[A/E]]-VLOOKUP(Main_S[[#This Row],[Industry]], Mean_AE_S, 2, FALSE))/(VLOOKUP(Main_S[[#This Row],[Industry]], Mean_AE_S, 3, FALSE))</f>
        <v>-0.81621595026139404</v>
      </c>
      <c r="T213" s="1">
        <f>(Main_S[[#This Row],[P/E]]-VLOOKUP(Main_S[[#This Row],[Industry]], Mean_PE_S, 2, FALSE))/(VLOOKUP(Main_S[[#This Row],[Industry]], Mean_PE_S, 3, FALSE))</f>
        <v>-3.325805987940845</v>
      </c>
      <c r="U2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4" spans="1:26" x14ac:dyDescent="0.25">
      <c r="A214" s="67" t="s">
        <v>150</v>
      </c>
      <c r="B214" s="67" t="s">
        <v>562</v>
      </c>
      <c r="C214" s="2">
        <v>611</v>
      </c>
      <c r="D214">
        <f>RTD("tos.rtd", , "LAST", Main_S[[#This Row],[Symbol]])</f>
        <v>17.920000000000002</v>
      </c>
      <c r="E214">
        <v>0.78</v>
      </c>
      <c r="F214">
        <v>15.92</v>
      </c>
      <c r="G214">
        <v>1.94</v>
      </c>
      <c r="H214" s="1">
        <f>IF(ISNUMBER(Main_S[[#This Row],[Free CF]]),IF(Main_S[[#This Row],[Free CF]]&lt;&gt;0,Main_S[[#This Row],[Current Price]]/Main_S[[#This Row],[Free CF]],""),"")</f>
        <v>22.974358974358974</v>
      </c>
      <c r="I214" s="1">
        <f>IF(ISNUMBER(Main_S[[#This Row],[BVPS]]),IF(Main_S[[#This Row],[BVPS]]&lt;&gt;0,Main_S[[#This Row],[Current Price]]/Main_S[[#This Row],[BVPS]],""),"")</f>
        <v>1.1256281407035178</v>
      </c>
      <c r="J214">
        <v>13.65</v>
      </c>
      <c r="K214">
        <v>1.32</v>
      </c>
      <c r="L214">
        <v>10.6</v>
      </c>
      <c r="M214" s="1">
        <f>IF(ISNUMBER(Main_S[[#This Row],[EPS]]),IF(Main_S[[#This Row],[EPS]]&lt;&gt;0,Main_S[[#This Row],[Current Price]]/Main_S[[#This Row],[EPS]],""),"")</f>
        <v>9.2371134020618566</v>
      </c>
      <c r="N2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4" s="1">
        <f>(Main_S[[#This Row],[P/FCF]]-VLOOKUP(Main_S[[#This Row],[Industry]], Mean_PFCF_S, 2, FALSE))/(VLOOKUP(Main_S[[#This Row],[Industry]], Mean_PFCF_S, 3, FALSE))</f>
        <v>1.4828552193136408</v>
      </c>
      <c r="P214" s="1">
        <f>(Main_S[[#This Row],[P/B]]-VLOOKUP(Main_S[[#This Row],[Industry]], Mean_PB_S, 2, FALSE))/(VLOOKUP(Main_S[[#This Row],[Industry]], Mean_PB_S, 3, FALSE))</f>
        <v>-0.26805418076345489</v>
      </c>
      <c r="Q214" s="1">
        <f>(Main_S[[#This Row],[ROE]]-VLOOKUP(Main_S[[#This Row],[Industry]], Mean_ROE_S, 2, FALSE))/(VLOOKUP(Main_S[[#This Row],[Industry]], Mean_ROE_S, 3, FALSE))</f>
        <v>0.88419999023474216</v>
      </c>
      <c r="R214" s="1">
        <f>(Main_S[[#This Row],[ROA]]-VLOOKUP(Main_S[[#This Row],[Industry]], Mean_ROA_S, 2, FALSE))/(VLOOKUP(Main_S[[#This Row],[Industry]], Mean_ROA_S, 3, FALSE))</f>
        <v>-0.35588635319297335</v>
      </c>
      <c r="S214" s="1">
        <f>(Main_S[[#This Row],[A/E]]-VLOOKUP(Main_S[[#This Row],[Industry]], Mean_AE_S, 2, FALSE))/(VLOOKUP(Main_S[[#This Row],[Industry]], Mean_AE_S, 3, FALSE))</f>
        <v>0.98487080705824437</v>
      </c>
      <c r="T214" s="1">
        <f>(Main_S[[#This Row],[P/E]]-VLOOKUP(Main_S[[#This Row],[Industry]], Mean_PE_S, 2, FALSE))/(VLOOKUP(Main_S[[#This Row],[Industry]], Mean_PE_S, 3, FALSE))</f>
        <v>0.21689190441034295</v>
      </c>
      <c r="U2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5" spans="1:26" x14ac:dyDescent="0.25">
      <c r="A215" s="67" t="s">
        <v>150</v>
      </c>
      <c r="B215" s="67" t="s">
        <v>566</v>
      </c>
      <c r="C215" s="2">
        <v>1481</v>
      </c>
      <c r="D215">
        <f>RTD("tos.rtd", , "LAST", Main_S[[#This Row],[Symbol]])</f>
        <v>7.44</v>
      </c>
      <c r="E215">
        <v>0.45</v>
      </c>
      <c r="F215">
        <v>0.55000000000000004</v>
      </c>
      <c r="G215">
        <v>0.27</v>
      </c>
      <c r="H215" s="1">
        <f>IF(ISNUMBER(Main_S[[#This Row],[Free CF]]),IF(Main_S[[#This Row],[Free CF]]&lt;&gt;0,Main_S[[#This Row],[Current Price]]/Main_S[[#This Row],[Free CF]],""),"")</f>
        <v>16.533333333333335</v>
      </c>
      <c r="I215" s="1">
        <f>IF(ISNUMBER(Main_S[[#This Row],[BVPS]]),IF(Main_S[[#This Row],[BVPS]]&lt;&gt;0,Main_S[[#This Row],[Current Price]]/Main_S[[#This Row],[BVPS]],""),"")</f>
        <v>13.527272727272727</v>
      </c>
      <c r="J215">
        <v>69.23</v>
      </c>
      <c r="K215">
        <v>7.32</v>
      </c>
      <c r="L215">
        <v>9.09</v>
      </c>
      <c r="M215" s="1">
        <f>IF(ISNUMBER(Main_S[[#This Row],[EPS]]),IF(Main_S[[#This Row],[EPS]]&lt;&gt;0,Main_S[[#This Row],[Current Price]]/Main_S[[#This Row],[EPS]],""),"")</f>
        <v>27.555555555555554</v>
      </c>
      <c r="N2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5" s="1">
        <f>(Main_S[[#This Row],[P/FCF]]-VLOOKUP(Main_S[[#This Row],[Industry]], Mean_PFCF_S, 2, FALSE))/(VLOOKUP(Main_S[[#This Row],[Industry]], Mean_PFCF_S, 3, FALSE))</f>
        <v>0.99736846173302607</v>
      </c>
      <c r="P215" s="1">
        <f>(Main_S[[#This Row],[P/B]]-VLOOKUP(Main_S[[#This Row],[Industry]], Mean_PB_S, 2, FALSE))/(VLOOKUP(Main_S[[#This Row],[Industry]], Mean_PB_S, 3, FALSE))</f>
        <v>11.05187606152675</v>
      </c>
      <c r="Q215" s="1">
        <f>(Main_S[[#This Row],[ROE]]-VLOOKUP(Main_S[[#This Row],[Industry]], Mean_ROE_S, 2, FALSE))/(VLOOKUP(Main_S[[#This Row],[Industry]], Mean_ROE_S, 3, FALSE))</f>
        <v>7.1070869480995595</v>
      </c>
      <c r="R215" s="1">
        <f>(Main_S[[#This Row],[ROA]]-VLOOKUP(Main_S[[#This Row],[Industry]], Mean_ROA_S, 2, FALSE))/(VLOOKUP(Main_S[[#This Row],[Industry]], Mean_ROA_S, 3, FALSE))</f>
        <v>2.237617435257846</v>
      </c>
      <c r="S215" s="1">
        <f>(Main_S[[#This Row],[A/E]]-VLOOKUP(Main_S[[#This Row],[Industry]], Mean_AE_S, 2, FALSE))/(VLOOKUP(Main_S[[#This Row],[Industry]], Mean_AE_S, 3, FALSE))</f>
        <v>0.66752646592024512</v>
      </c>
      <c r="T215" s="1">
        <f>(Main_S[[#This Row],[P/E]]-VLOOKUP(Main_S[[#This Row],[Industry]], Mean_PE_S, 2, FALSE))/(VLOOKUP(Main_S[[#This Row],[Industry]], Mean_PE_S, 3, FALSE))</f>
        <v>1.6096967610286717</v>
      </c>
      <c r="U2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6" spans="1:26" x14ac:dyDescent="0.25">
      <c r="A216" s="67" t="s">
        <v>150</v>
      </c>
      <c r="B216" s="67" t="s">
        <v>729</v>
      </c>
      <c r="C216" s="2">
        <v>534</v>
      </c>
      <c r="D216">
        <f>RTD("tos.rtd", , "LAST", Main_S[[#This Row],[Symbol]])</f>
        <v>6.77</v>
      </c>
      <c r="E216">
        <v>0.38</v>
      </c>
      <c r="F216">
        <v>1.2</v>
      </c>
      <c r="G216">
        <v>-1.5</v>
      </c>
      <c r="H216" s="1">
        <f>IF(ISNUMBER(Main_S[[#This Row],[Free CF]]),IF(Main_S[[#This Row],[Free CF]]&lt;&gt;0,Main_S[[#This Row],[Current Price]]/Main_S[[#This Row],[Free CF]],""),"")</f>
        <v>17.815789473684209</v>
      </c>
      <c r="I216" s="1">
        <f>IF(ISNUMBER(Main_S[[#This Row],[BVPS]]),IF(Main_S[[#This Row],[BVPS]]&lt;&gt;0,Main_S[[#This Row],[Current Price]]/Main_S[[#This Row],[BVPS]],""),"")</f>
        <v>5.6416666666666666</v>
      </c>
      <c r="J216">
        <v>-149.77000000000001</v>
      </c>
      <c r="K216">
        <v>9.6999999999999993</v>
      </c>
      <c r="L216">
        <v>1.57</v>
      </c>
      <c r="M216" s="1">
        <f>IF(ISNUMBER(Main_S[[#This Row],[EPS]]),IF(Main_S[[#This Row],[EPS]]&lt;&gt;0,Main_S[[#This Row],[Current Price]]/Main_S[[#This Row],[EPS]],""),"")</f>
        <v>-4.5133333333333328</v>
      </c>
      <c r="N2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6" s="1">
        <f>(Main_S[[#This Row],[P/FCF]]-VLOOKUP(Main_S[[#This Row],[Industry]], Mean_PFCF_S, 2, FALSE))/(VLOOKUP(Main_S[[#This Row],[Industry]], Mean_PFCF_S, 3, FALSE))</f>
        <v>1.0940324882434302</v>
      </c>
      <c r="P216" s="1">
        <f>(Main_S[[#This Row],[P/B]]-VLOOKUP(Main_S[[#This Row],[Industry]], Mean_PB_S, 2, FALSE))/(VLOOKUP(Main_S[[#This Row],[Industry]], Mean_PB_S, 3, FALSE))</f>
        <v>3.8540798417484829</v>
      </c>
      <c r="Q216" s="1">
        <f>(Main_S[[#This Row],[ROE]]-VLOOKUP(Main_S[[#This Row],[Industry]], Mean_ROE_S, 2, FALSE))/(VLOOKUP(Main_S[[#This Row],[Industry]], Mean_ROE_S, 3, FALSE))</f>
        <v>-17.412744713872282</v>
      </c>
      <c r="R216" s="1">
        <f>(Main_S[[#This Row],[ROA]]-VLOOKUP(Main_S[[#This Row],[Industry]], Mean_ROA_S, 2, FALSE))/(VLOOKUP(Main_S[[#This Row],[Industry]], Mean_ROA_S, 3, FALSE))</f>
        <v>3.2663739380100036</v>
      </c>
      <c r="S216" s="1">
        <f>(Main_S[[#This Row],[A/E]]-VLOOKUP(Main_S[[#This Row],[Industry]], Mean_AE_S, 2, FALSE))/(VLOOKUP(Main_S[[#This Row],[Industry]], Mean_AE_S, 3, FALSE))</f>
        <v>-0.91289038531005595</v>
      </c>
      <c r="T216" s="1">
        <f>(Main_S[[#This Row],[P/E]]-VLOOKUP(Main_S[[#This Row],[Industry]], Mean_PE_S, 2, FALSE))/(VLOOKUP(Main_S[[#This Row],[Industry]], Mean_PE_S, 3, FALSE))</f>
        <v>-0.82859486969710749</v>
      </c>
      <c r="U2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7" spans="1:26" x14ac:dyDescent="0.25">
      <c r="A217" s="67" t="s">
        <v>150</v>
      </c>
      <c r="B217" s="67" t="s">
        <v>567</v>
      </c>
      <c r="C217" s="2">
        <v>331</v>
      </c>
      <c r="D217">
        <f>RTD("tos.rtd", , "LAST", Main_S[[#This Row],[Symbol]])</f>
        <v>11.59</v>
      </c>
      <c r="E217">
        <v>0.37</v>
      </c>
      <c r="F217">
        <v>4.59</v>
      </c>
      <c r="G217">
        <v>1.7</v>
      </c>
      <c r="H217" s="1">
        <f>IF(ISNUMBER(Main_S[[#This Row],[Free CF]]),IF(Main_S[[#This Row],[Free CF]]&lt;&gt;0,Main_S[[#This Row],[Current Price]]/Main_S[[#This Row],[Free CF]],""),"")</f>
        <v>31.324324324324323</v>
      </c>
      <c r="I217" s="1">
        <f>IF(ISNUMBER(Main_S[[#This Row],[BVPS]]),IF(Main_S[[#This Row],[BVPS]]&lt;&gt;0,Main_S[[#This Row],[Current Price]]/Main_S[[#This Row],[BVPS]],""),"")</f>
        <v>2.5250544662309369</v>
      </c>
      <c r="J217">
        <v>39.270000000000003</v>
      </c>
      <c r="K217">
        <v>11.6</v>
      </c>
      <c r="L217">
        <v>3.52</v>
      </c>
      <c r="M217" s="1">
        <f>IF(ISNUMBER(Main_S[[#This Row],[EPS]]),IF(Main_S[[#This Row],[EPS]]&lt;&gt;0,Main_S[[#This Row],[Current Price]]/Main_S[[#This Row],[EPS]],""),"")</f>
        <v>6.8176470588235292</v>
      </c>
      <c r="N2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7" s="1">
        <f>(Main_S[[#This Row],[P/FCF]]-VLOOKUP(Main_S[[#This Row],[Industry]], Mean_PFCF_S, 2, FALSE))/(VLOOKUP(Main_S[[#This Row],[Industry]], Mean_PFCF_S, 3, FALSE))</f>
        <v>2.1122266625578341</v>
      </c>
      <c r="P217" s="1">
        <f>(Main_S[[#This Row],[P/B]]-VLOOKUP(Main_S[[#This Row],[Industry]], Mean_PB_S, 2, FALSE))/(VLOOKUP(Main_S[[#This Row],[Industry]], Mean_PB_S, 3, FALSE))</f>
        <v>1.0093093393418455</v>
      </c>
      <c r="Q217" s="1">
        <f>(Main_S[[#This Row],[ROE]]-VLOOKUP(Main_S[[#This Row],[Industry]], Mean_ROE_S, 2, FALSE))/(VLOOKUP(Main_S[[#This Row],[Industry]], Mean_ROE_S, 3, FALSE))</f>
        <v>3.7526844065804896</v>
      </c>
      <c r="R217" s="1">
        <f>(Main_S[[#This Row],[ROA]]-VLOOKUP(Main_S[[#This Row],[Industry]], Mean_ROA_S, 2, FALSE))/(VLOOKUP(Main_S[[#This Row],[Industry]], Mean_ROA_S, 3, FALSE))</f>
        <v>4.0876501376860963</v>
      </c>
      <c r="S217" s="1">
        <f>(Main_S[[#This Row],[A/E]]-VLOOKUP(Main_S[[#This Row],[Industry]], Mean_AE_S, 2, FALSE))/(VLOOKUP(Main_S[[#This Row],[Industry]], Mean_AE_S, 3, FALSE))</f>
        <v>-0.50307484542985825</v>
      </c>
      <c r="T217" s="1">
        <f>(Main_S[[#This Row],[P/E]]-VLOOKUP(Main_S[[#This Row],[Industry]], Mean_PE_S, 2, FALSE))/(VLOOKUP(Main_S[[#This Row],[Industry]], Mean_PE_S, 3, FALSE))</f>
        <v>3.2932785777308238E-2</v>
      </c>
      <c r="U2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8" spans="1:26" x14ac:dyDescent="0.25">
      <c r="A218" s="67" t="s">
        <v>150</v>
      </c>
      <c r="B218" s="67" t="s">
        <v>565</v>
      </c>
      <c r="C218" s="2">
        <v>1307</v>
      </c>
      <c r="D218">
        <f>RTD("tos.rtd", , "LAST", Main_S[[#This Row],[Symbol]])</f>
        <v>10.27</v>
      </c>
      <c r="E218">
        <v>0.36</v>
      </c>
      <c r="F218">
        <v>6.42</v>
      </c>
      <c r="G218">
        <v>0.04</v>
      </c>
      <c r="H218" s="1">
        <f>IF(ISNUMBER(Main_S[[#This Row],[Free CF]]),IF(Main_S[[#This Row],[Free CF]]&lt;&gt;0,Main_S[[#This Row],[Current Price]]/Main_S[[#This Row],[Free CF]],""),"")</f>
        <v>28.527777777777779</v>
      </c>
      <c r="I218" s="1">
        <f>IF(ISNUMBER(Main_S[[#This Row],[BVPS]]),IF(Main_S[[#This Row],[BVPS]]&lt;&gt;0,Main_S[[#This Row],[Current Price]]/Main_S[[#This Row],[BVPS]],""),"")</f>
        <v>1.5996884735202492</v>
      </c>
      <c r="J218">
        <v>0.63</v>
      </c>
      <c r="K218">
        <v>-0.1</v>
      </c>
      <c r="L218">
        <v>1.35</v>
      </c>
      <c r="M218" s="1">
        <f>IF(ISNUMBER(Main_S[[#This Row],[EPS]]),IF(Main_S[[#This Row],[EPS]]&lt;&gt;0,Main_S[[#This Row],[Current Price]]/Main_S[[#This Row],[EPS]],""),"")</f>
        <v>256.75</v>
      </c>
      <c r="N2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8" s="1">
        <f>(Main_S[[#This Row],[P/FCF]]-VLOOKUP(Main_S[[#This Row],[Industry]], Mean_PFCF_S, 2, FALSE))/(VLOOKUP(Main_S[[#This Row],[Industry]], Mean_PFCF_S, 3, FALSE))</f>
        <v>1.9014393763439019</v>
      </c>
      <c r="P218" s="1">
        <f>(Main_S[[#This Row],[P/B]]-VLOOKUP(Main_S[[#This Row],[Industry]], Mean_PB_S, 2, FALSE))/(VLOOKUP(Main_S[[#This Row],[Industry]], Mean_PB_S, 3, FALSE))</f>
        <v>0.16465696981522973</v>
      </c>
      <c r="Q218" s="1">
        <f>(Main_S[[#This Row],[ROE]]-VLOOKUP(Main_S[[#This Row],[Industry]], Mean_ROE_S, 2, FALSE))/(VLOOKUP(Main_S[[#This Row],[Industry]], Mean_ROE_S, 3, FALSE))</f>
        <v>-0.57355438528522762</v>
      </c>
      <c r="R218" s="1">
        <f>(Main_S[[#This Row],[ROA]]-VLOOKUP(Main_S[[#This Row],[Industry]], Mean_ROA_S, 2, FALSE))/(VLOOKUP(Main_S[[#This Row],[Industry]], Mean_ROA_S, 3, FALSE))</f>
        <v>-0.96968224979300055</v>
      </c>
      <c r="S218" s="1">
        <f>(Main_S[[#This Row],[A/E]]-VLOOKUP(Main_S[[#This Row],[Industry]], Mean_AE_S, 2, FALSE))/(VLOOKUP(Main_S[[#This Row],[Industry]], Mean_AE_S, 3, FALSE))</f>
        <v>-0.95912598468115529</v>
      </c>
      <c r="T218" s="1">
        <f>(Main_S[[#This Row],[P/E]]-VLOOKUP(Main_S[[#This Row],[Industry]], Mean_PE_S, 2, FALSE))/(VLOOKUP(Main_S[[#This Row],[Industry]], Mean_PE_S, 3, FALSE))</f>
        <v>19.036022245331914</v>
      </c>
      <c r="U2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9" spans="1:26" x14ac:dyDescent="0.25">
      <c r="A219" s="67" t="s">
        <v>150</v>
      </c>
      <c r="B219" s="67" t="s">
        <v>730</v>
      </c>
      <c r="C219" s="2">
        <v>557</v>
      </c>
      <c r="D219">
        <f>RTD("tos.rtd", , "LAST", Main_S[[#This Row],[Symbol]])</f>
        <v>1.8943000000000001</v>
      </c>
      <c r="E219">
        <v>0.24</v>
      </c>
      <c r="F219">
        <v>0.27</v>
      </c>
      <c r="G219">
        <v>0.02</v>
      </c>
      <c r="H219" s="1">
        <f>IF(ISNUMBER(Main_S[[#This Row],[Free CF]]),IF(Main_S[[#This Row],[Free CF]]&lt;&gt;0,Main_S[[#This Row],[Current Price]]/Main_S[[#This Row],[Free CF]],""),"")</f>
        <v>7.8929166666666672</v>
      </c>
      <c r="I219" s="1">
        <f>IF(ISNUMBER(Main_S[[#This Row],[BVPS]]),IF(Main_S[[#This Row],[BVPS]]&lt;&gt;0,Main_S[[#This Row],[Current Price]]/Main_S[[#This Row],[BVPS]],""),"")</f>
        <v>7.0159259259259255</v>
      </c>
      <c r="J219">
        <v>6.78</v>
      </c>
      <c r="K219">
        <v>1.4</v>
      </c>
      <c r="L219">
        <v>12.31</v>
      </c>
      <c r="M219" s="1">
        <f>IF(ISNUMBER(Main_S[[#This Row],[EPS]]),IF(Main_S[[#This Row],[EPS]]&lt;&gt;0,Main_S[[#This Row],[Current Price]]/Main_S[[#This Row],[EPS]],""),"")</f>
        <v>94.715000000000003</v>
      </c>
      <c r="N2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9" s="1">
        <f>(Main_S[[#This Row],[P/FCF]]-VLOOKUP(Main_S[[#This Row],[Industry]], Mean_PFCF_S, 2, FALSE))/(VLOOKUP(Main_S[[#This Row],[Industry]], Mean_PFCF_S, 3, FALSE))</f>
        <v>0.34610450076895455</v>
      </c>
      <c r="P219" s="1">
        <f>(Main_S[[#This Row],[P/B]]-VLOOKUP(Main_S[[#This Row],[Industry]], Mean_PB_S, 2, FALSE))/(VLOOKUP(Main_S[[#This Row],[Industry]], Mean_PB_S, 3, FALSE))</f>
        <v>5.1084714541708944</v>
      </c>
      <c r="Q219" s="1">
        <f>(Main_S[[#This Row],[ROE]]-VLOOKUP(Main_S[[#This Row],[Industry]], Mean_ROE_S, 2, FALSE))/(VLOOKUP(Main_S[[#This Row],[Industry]], Mean_ROE_S, 3, FALSE))</f>
        <v>0.11501622987973509</v>
      </c>
      <c r="R219" s="1">
        <f>(Main_S[[#This Row],[ROA]]-VLOOKUP(Main_S[[#This Row],[Industry]], Mean_ROA_S, 2, FALSE))/(VLOOKUP(Main_S[[#This Row],[Industry]], Mean_ROA_S, 3, FALSE))</f>
        <v>-0.32130630268029581</v>
      </c>
      <c r="S219" s="1">
        <f>(Main_S[[#This Row],[A/E]]-VLOOKUP(Main_S[[#This Row],[Industry]], Mean_AE_S, 2, FALSE))/(VLOOKUP(Main_S[[#This Row],[Industry]], Mean_AE_S, 3, FALSE))</f>
        <v>1.3442475112608796</v>
      </c>
      <c r="T219" s="1">
        <f>(Main_S[[#This Row],[P/E]]-VLOOKUP(Main_S[[#This Row],[Industry]], Mean_PE_S, 2, FALSE))/(VLOOKUP(Main_S[[#This Row],[Industry]], Mean_PE_S, 3, FALSE))</f>
        <v>6.7160261970266504</v>
      </c>
      <c r="U2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0" spans="1:26" x14ac:dyDescent="0.25">
      <c r="A220" s="67" t="s">
        <v>150</v>
      </c>
      <c r="B220" s="67" t="s">
        <v>564</v>
      </c>
      <c r="C220" s="2">
        <v>611</v>
      </c>
      <c r="D220">
        <f>RTD("tos.rtd", , "LAST", Main_S[[#This Row],[Symbol]])</f>
        <v>9.39</v>
      </c>
      <c r="E220">
        <v>0.1</v>
      </c>
      <c r="F220">
        <v>3.3</v>
      </c>
      <c r="G220">
        <v>0.8</v>
      </c>
      <c r="H220" s="1">
        <f>IF(ISNUMBER(Main_S[[#This Row],[Free CF]]),IF(Main_S[[#This Row],[Free CF]]&lt;&gt;0,Main_S[[#This Row],[Current Price]]/Main_S[[#This Row],[Free CF]],""),"")</f>
        <v>93.9</v>
      </c>
      <c r="I220" s="1">
        <f>IF(ISNUMBER(Main_S[[#This Row],[BVPS]]),IF(Main_S[[#This Row],[BVPS]]&lt;&gt;0,Main_S[[#This Row],[Current Price]]/Main_S[[#This Row],[BVPS]],""),"")</f>
        <v>2.8454545454545457</v>
      </c>
      <c r="J220">
        <v>28.2</v>
      </c>
      <c r="K220">
        <v>3.72</v>
      </c>
      <c r="L220">
        <v>1.54</v>
      </c>
      <c r="M220" s="1">
        <f>IF(ISNUMBER(Main_S[[#This Row],[EPS]]),IF(Main_S[[#This Row],[EPS]]&lt;&gt;0,Main_S[[#This Row],[Current Price]]/Main_S[[#This Row],[EPS]],""),"")</f>
        <v>11.737500000000001</v>
      </c>
      <c r="N2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0" s="1">
        <f>(Main_S[[#This Row],[P/FCF]]-VLOOKUP(Main_S[[#This Row],[Industry]], Mean_PFCF_S, 2, FALSE))/(VLOOKUP(Main_S[[#This Row],[Industry]], Mean_PFCF_S, 3, FALSE))</f>
        <v>6.8288142963189733</v>
      </c>
      <c r="P220" s="1">
        <f>(Main_S[[#This Row],[P/B]]-VLOOKUP(Main_S[[#This Row],[Industry]], Mean_PB_S, 2, FALSE))/(VLOOKUP(Main_S[[#This Row],[Industry]], Mean_PB_S, 3, FALSE))</f>
        <v>1.301763015232815</v>
      </c>
      <c r="Q220" s="1">
        <f>(Main_S[[#This Row],[ROE]]-VLOOKUP(Main_S[[#This Row],[Industry]], Mean_ROE_S, 2, FALSE))/(VLOOKUP(Main_S[[#This Row],[Industry]], Mean_ROE_S, 3, FALSE))</f>
        <v>2.513257299283556</v>
      </c>
      <c r="R220" s="1">
        <f>(Main_S[[#This Row],[ROA]]-VLOOKUP(Main_S[[#This Row],[Industry]], Mean_ROA_S, 2, FALSE))/(VLOOKUP(Main_S[[#This Row],[Industry]], Mean_ROA_S, 3, FALSE))</f>
        <v>0.6815151621873542</v>
      </c>
      <c r="S220" s="1">
        <f>(Main_S[[#This Row],[A/E]]-VLOOKUP(Main_S[[#This Row],[Industry]], Mean_AE_S, 2, FALSE))/(VLOOKUP(Main_S[[#This Row],[Industry]], Mean_AE_S, 3, FALSE))</f>
        <v>-0.91919523976975137</v>
      </c>
      <c r="T220" s="1">
        <f>(Main_S[[#This Row],[P/E]]-VLOOKUP(Main_S[[#This Row],[Industry]], Mean_PE_S, 2, FALSE))/(VLOOKUP(Main_S[[#This Row],[Industry]], Mean_PE_S, 3, FALSE))</f>
        <v>0.40700362722228711</v>
      </c>
      <c r="U2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1" spans="1:26" x14ac:dyDescent="0.25">
      <c r="A221" s="67" t="s">
        <v>150</v>
      </c>
      <c r="B221" s="67" t="s">
        <v>568</v>
      </c>
      <c r="C221" s="2">
        <v>344</v>
      </c>
      <c r="D221">
        <f>RTD("tos.rtd", , "LAST", Main_S[[#This Row],[Symbol]])</f>
        <v>4.16</v>
      </c>
      <c r="E221">
        <v>-0.25</v>
      </c>
      <c r="F221">
        <v>2.36</v>
      </c>
      <c r="G221">
        <v>-0.9</v>
      </c>
      <c r="H221" s="1">
        <f>IF(ISNUMBER(Main_S[[#This Row],[Free CF]]),IF(Main_S[[#This Row],[Free CF]]&lt;&gt;0,Main_S[[#This Row],[Current Price]]/Main_S[[#This Row],[Free CF]],""),"")</f>
        <v>-16.64</v>
      </c>
      <c r="I221" s="1">
        <f>IF(ISNUMBER(Main_S[[#This Row],[BVPS]]),IF(Main_S[[#This Row],[BVPS]]&lt;&gt;0,Main_S[[#This Row],[Current Price]]/Main_S[[#This Row],[BVPS]],""),"")</f>
        <v>1.7627118644067798</v>
      </c>
      <c r="J221">
        <v>-34.9</v>
      </c>
      <c r="K221">
        <v>0.69</v>
      </c>
      <c r="L221">
        <v>3.5</v>
      </c>
      <c r="M221" s="1">
        <f>IF(ISNUMBER(Main_S[[#This Row],[EPS]]),IF(Main_S[[#This Row],[EPS]]&lt;&gt;0,Main_S[[#This Row],[Current Price]]/Main_S[[#This Row],[EPS]],""),"")</f>
        <v>-4.6222222222222227</v>
      </c>
      <c r="N2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1" s="1">
        <f>(Main_S[[#This Row],[P/FCF]]-VLOOKUP(Main_S[[#This Row],[Industry]], Mean_PFCF_S, 2, FALSE))/(VLOOKUP(Main_S[[#This Row],[Industry]], Mean_PFCF_S, 3, FALSE))</f>
        <v>-1.5030429534242056</v>
      </c>
      <c r="P221" s="1">
        <f>(Main_S[[#This Row],[P/B]]-VLOOKUP(Main_S[[#This Row],[Industry]], Mean_PB_S, 2, FALSE))/(VLOOKUP(Main_S[[#This Row],[Industry]], Mean_PB_S, 3, FALSE))</f>
        <v>0.3134608965698869</v>
      </c>
      <c r="Q221" s="1">
        <f>(Main_S[[#This Row],[ROE]]-VLOOKUP(Main_S[[#This Row],[Industry]], Mean_ROE_S, 2, FALSE))/(VLOOKUP(Main_S[[#This Row],[Industry]], Mean_ROE_S, 3, FALSE))</f>
        <v>-4.551589175010613</v>
      </c>
      <c r="R221" s="1">
        <f>(Main_S[[#This Row],[ROA]]-VLOOKUP(Main_S[[#This Row],[Industry]], Mean_ROA_S, 2, FALSE))/(VLOOKUP(Main_S[[#This Row],[Industry]], Mean_ROA_S, 3, FALSE))</f>
        <v>-0.62820425098030941</v>
      </c>
      <c r="S221" s="1">
        <f>(Main_S[[#This Row],[A/E]]-VLOOKUP(Main_S[[#This Row],[Industry]], Mean_AE_S, 2, FALSE))/(VLOOKUP(Main_S[[#This Row],[Industry]], Mean_AE_S, 3, FALSE))</f>
        <v>-0.50727808173632183</v>
      </c>
      <c r="T221" s="1">
        <f>(Main_S[[#This Row],[P/E]]-VLOOKUP(Main_S[[#This Row],[Industry]], Mean_PE_S, 2, FALSE))/(VLOOKUP(Main_S[[#This Row],[Industry]], Mean_PE_S, 3, FALSE))</f>
        <v>-0.83687401112220383</v>
      </c>
      <c r="U2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2" spans="1:26" x14ac:dyDescent="0.25">
      <c r="A222" s="67" t="s">
        <v>150</v>
      </c>
      <c r="B222" s="67" t="s">
        <v>570</v>
      </c>
      <c r="C222" s="2">
        <v>680</v>
      </c>
      <c r="D222">
        <f>RTD("tos.rtd", , "LAST", Main_S[[#This Row],[Symbol]])</f>
        <v>8.4700000000000006</v>
      </c>
      <c r="E222">
        <v>-0.25</v>
      </c>
      <c r="F222">
        <v>-1.99</v>
      </c>
      <c r="G222">
        <v>-0.1</v>
      </c>
      <c r="H222" s="1">
        <f>IF(ISNUMBER(Main_S[[#This Row],[Free CF]]),IF(Main_S[[#This Row],[Free CF]]&lt;&gt;0,Main_S[[#This Row],[Current Price]]/Main_S[[#This Row],[Free CF]],""),"")</f>
        <v>-33.880000000000003</v>
      </c>
      <c r="I222" s="1">
        <f>IF(ISNUMBER(Main_S[[#This Row],[BVPS]]),IF(Main_S[[#This Row],[BVPS]]&lt;&gt;0,Main_S[[#This Row],[Current Price]]/Main_S[[#This Row],[BVPS]],""),"")</f>
        <v>-4.2562814070351767</v>
      </c>
      <c r="J222">
        <v>-121.83</v>
      </c>
      <c r="K222">
        <v>5.08</v>
      </c>
      <c r="L222">
        <v>-11.95</v>
      </c>
      <c r="M222" s="1">
        <f>IF(ISNUMBER(Main_S[[#This Row],[EPS]]),IF(Main_S[[#This Row],[EPS]]&lt;&gt;0,Main_S[[#This Row],[Current Price]]/Main_S[[#This Row],[EPS]],""),"")</f>
        <v>-84.7</v>
      </c>
      <c r="N2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2" s="1">
        <f>(Main_S[[#This Row],[P/FCF]]-VLOOKUP(Main_S[[#This Row],[Industry]], Mean_PFCF_S, 2, FALSE))/(VLOOKUP(Main_S[[#This Row],[Industry]], Mean_PFCF_S, 3, FALSE))</f>
        <v>-2.8024930980376705</v>
      </c>
      <c r="P222" s="1">
        <f>(Main_S[[#This Row],[P/B]]-VLOOKUP(Main_S[[#This Row],[Industry]], Mean_PB_S, 2, FALSE))/(VLOOKUP(Main_S[[#This Row],[Industry]], Mean_PB_S, 3, FALSE))</f>
        <v>-5.1805349590544365</v>
      </c>
      <c r="Q222" s="1">
        <f>(Main_S[[#This Row],[ROE]]-VLOOKUP(Main_S[[#This Row],[Industry]], Mean_ROE_S, 2, FALSE))/(VLOOKUP(Main_S[[#This Row],[Industry]], Mean_ROE_S, 3, FALSE))</f>
        <v>-14.284506829691946</v>
      </c>
      <c r="R222" s="1">
        <f>(Main_S[[#This Row],[ROA]]-VLOOKUP(Main_S[[#This Row],[Industry]], Mean_ROA_S, 2, FALSE))/(VLOOKUP(Main_S[[#This Row],[Industry]], Mean_ROA_S, 3, FALSE))</f>
        <v>1.269376020902873</v>
      </c>
      <c r="S222" s="1">
        <f>(Main_S[[#This Row],[A/E]]-VLOOKUP(Main_S[[#This Row],[Industry]], Mean_AE_S, 2, FALSE))/(VLOOKUP(Main_S[[#This Row],[Industry]], Mean_AE_S, 3, FALSE))</f>
        <v>-3.7542781284794269</v>
      </c>
      <c r="T222" s="1">
        <f>(Main_S[[#This Row],[P/E]]-VLOOKUP(Main_S[[#This Row],[Industry]], Mean_PE_S, 2, FALSE))/(VLOOKUP(Main_S[[#This Row],[Industry]], Mean_PE_S, 3, FALSE))</f>
        <v>-6.9254221999659054</v>
      </c>
      <c r="U2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3" spans="1:26" x14ac:dyDescent="0.25">
      <c r="A223" s="67" t="s">
        <v>150</v>
      </c>
      <c r="B223" s="67" t="s">
        <v>735</v>
      </c>
      <c r="C223" s="2">
        <v>445</v>
      </c>
      <c r="D223">
        <f>RTD("tos.rtd", , "LAST", Main_S[[#This Row],[Symbol]])</f>
        <v>5.4249999999999998</v>
      </c>
      <c r="E223">
        <v>-0.4</v>
      </c>
      <c r="F223">
        <v>5.76</v>
      </c>
      <c r="G223">
        <v>0.39</v>
      </c>
      <c r="H223" s="1">
        <f>IF(ISNUMBER(Main_S[[#This Row],[Free CF]]),IF(Main_S[[#This Row],[Free CF]]&lt;&gt;0,Main_S[[#This Row],[Current Price]]/Main_S[[#This Row],[Free CF]],""),"")</f>
        <v>-13.562499999999998</v>
      </c>
      <c r="I223" s="1">
        <f>IF(ISNUMBER(Main_S[[#This Row],[BVPS]]),IF(Main_S[[#This Row],[BVPS]]&lt;&gt;0,Main_S[[#This Row],[Current Price]]/Main_S[[#This Row],[BVPS]],""),"")</f>
        <v>0.94184027777777779</v>
      </c>
      <c r="J223">
        <v>6.74</v>
      </c>
      <c r="K223">
        <v>2.65</v>
      </c>
      <c r="L223">
        <v>2.61</v>
      </c>
      <c r="M223" s="1">
        <f>IF(ISNUMBER(Main_S[[#This Row],[EPS]]),IF(Main_S[[#This Row],[EPS]]&lt;&gt;0,Main_S[[#This Row],[Current Price]]/Main_S[[#This Row],[EPS]],""),"")</f>
        <v>13.910256410256409</v>
      </c>
      <c r="N2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3" s="1">
        <f>(Main_S[[#This Row],[P/FCF]]-VLOOKUP(Main_S[[#This Row],[Industry]], Mean_PFCF_S, 2, FALSE))/(VLOOKUP(Main_S[[#This Row],[Industry]], Mean_PFCF_S, 3, FALSE))</f>
        <v>-1.2710790427485708</v>
      </c>
      <c r="P223" s="1">
        <f>(Main_S[[#This Row],[P/B]]-VLOOKUP(Main_S[[#This Row],[Industry]], Mean_PB_S, 2, FALSE))/(VLOOKUP(Main_S[[#This Row],[Industry]], Mean_PB_S, 3, FALSE))</f>
        <v>-0.43581143047145604</v>
      </c>
      <c r="Q223" s="1">
        <f>(Main_S[[#This Row],[ROE]]-VLOOKUP(Main_S[[#This Row],[Industry]], Mean_ROE_S, 2, FALSE))/(VLOOKUP(Main_S[[#This Row],[Industry]], Mean_ROE_S, 3, FALSE))</f>
        <v>0.1105377218136215</v>
      </c>
      <c r="R223" s="1">
        <f>(Main_S[[#This Row],[ROA]]-VLOOKUP(Main_S[[#This Row],[Industry]], Mean_ROA_S, 2, FALSE))/(VLOOKUP(Main_S[[#This Row],[Industry]], Mean_ROA_S, 3, FALSE))</f>
        <v>0.21900698658029144</v>
      </c>
      <c r="S223" s="1">
        <f>(Main_S[[#This Row],[A/E]]-VLOOKUP(Main_S[[#This Row],[Industry]], Mean_AE_S, 2, FALSE))/(VLOOKUP(Main_S[[#This Row],[Industry]], Mean_AE_S, 3, FALSE))</f>
        <v>-0.69432209737395056</v>
      </c>
      <c r="T223" s="1">
        <f>(Main_S[[#This Row],[P/E]]-VLOOKUP(Main_S[[#This Row],[Industry]], Mean_PE_S, 2, FALSE))/(VLOOKUP(Main_S[[#This Row],[Industry]], Mean_PE_S, 3, FALSE))</f>
        <v>0.57220466643164858</v>
      </c>
      <c r="U2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4" spans="1:26" x14ac:dyDescent="0.25">
      <c r="A224" s="67" t="s">
        <v>150</v>
      </c>
      <c r="B224" s="67" t="s">
        <v>736</v>
      </c>
      <c r="C224" s="2">
        <v>563</v>
      </c>
      <c r="D224">
        <f>RTD("tos.rtd", , "LAST", Main_S[[#This Row],[Symbol]])</f>
        <v>14.19</v>
      </c>
      <c r="E224">
        <v>-0.69</v>
      </c>
      <c r="F224">
        <v>10.79</v>
      </c>
      <c r="G224">
        <v>1.28</v>
      </c>
      <c r="H224" s="1">
        <f>IF(ISNUMBER(Main_S[[#This Row],[Free CF]]),IF(Main_S[[#This Row],[Free CF]]&lt;&gt;0,Main_S[[#This Row],[Current Price]]/Main_S[[#This Row],[Free CF]],""),"")</f>
        <v>-20.565217391304348</v>
      </c>
      <c r="I224" s="1">
        <f>IF(ISNUMBER(Main_S[[#This Row],[BVPS]]),IF(Main_S[[#This Row],[BVPS]]&lt;&gt;0,Main_S[[#This Row],[Current Price]]/Main_S[[#This Row],[BVPS]],""),"")</f>
        <v>1.3151065801668211</v>
      </c>
      <c r="J224">
        <v>11.99</v>
      </c>
      <c r="K224">
        <v>1.37</v>
      </c>
      <c r="L224">
        <v>8.9600000000000009</v>
      </c>
      <c r="M224" s="1">
        <f>IF(ISNUMBER(Main_S[[#This Row],[EPS]]),IF(Main_S[[#This Row],[EPS]]&lt;&gt;0,Main_S[[#This Row],[Current Price]]/Main_S[[#This Row],[EPS]],""),"")</f>
        <v>11.0859375</v>
      </c>
      <c r="N2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4" s="1">
        <f>(Main_S[[#This Row],[P/FCF]]-VLOOKUP(Main_S[[#This Row],[Industry]], Mean_PFCF_S, 2, FALSE))/(VLOOKUP(Main_S[[#This Row],[Industry]], Mean_PFCF_S, 3, FALSE))</f>
        <v>-1.7989028320071361</v>
      </c>
      <c r="P224" s="1">
        <f>(Main_S[[#This Row],[P/B]]-VLOOKUP(Main_S[[#This Row],[Industry]], Mean_PB_S, 2, FALSE))/(VLOOKUP(Main_S[[#This Row],[Industry]], Mean_PB_S, 3, FALSE))</f>
        <v>-9.5102706290022848E-2</v>
      </c>
      <c r="Q224" s="1">
        <f>(Main_S[[#This Row],[ROE]]-VLOOKUP(Main_S[[#This Row],[Industry]], Mean_ROE_S, 2, FALSE))/(VLOOKUP(Main_S[[#This Row],[Industry]], Mean_ROE_S, 3, FALSE))</f>
        <v>0.69834190549102859</v>
      </c>
      <c r="R224" s="1">
        <f>(Main_S[[#This Row],[ROA]]-VLOOKUP(Main_S[[#This Row],[Industry]], Mean_ROA_S, 2, FALSE))/(VLOOKUP(Main_S[[#This Row],[Industry]], Mean_ROA_S, 3, FALSE))</f>
        <v>-0.33427382162254982</v>
      </c>
      <c r="S224" s="1">
        <f>(Main_S[[#This Row],[A/E]]-VLOOKUP(Main_S[[#This Row],[Industry]], Mean_AE_S, 2, FALSE))/(VLOOKUP(Main_S[[#This Row],[Industry]], Mean_AE_S, 3, FALSE))</f>
        <v>0.64020542992823215</v>
      </c>
      <c r="T224" s="1">
        <f>(Main_S[[#This Row],[P/E]]-VLOOKUP(Main_S[[#This Row],[Industry]], Mean_PE_S, 2, FALSE))/(VLOOKUP(Main_S[[#This Row],[Industry]], Mean_PE_S, 3, FALSE))</f>
        <v>0.35746342032116141</v>
      </c>
      <c r="U2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5" spans="1:26" x14ac:dyDescent="0.25">
      <c r="A225" s="67" t="s">
        <v>150</v>
      </c>
      <c r="B225" s="67" t="s">
        <v>551</v>
      </c>
      <c r="C225" s="2">
        <v>1172</v>
      </c>
      <c r="D225">
        <f>RTD("tos.rtd", , "LAST", Main_S[[#This Row],[Symbol]])</f>
        <v>19.66</v>
      </c>
      <c r="E225">
        <v>-0.84</v>
      </c>
      <c r="F225">
        <v>27.38</v>
      </c>
      <c r="G225">
        <v>-4.3099999999999996</v>
      </c>
      <c r="H225" s="1">
        <f>IF(ISNUMBER(Main_S[[#This Row],[Free CF]]),IF(Main_S[[#This Row],[Free CF]]&lt;&gt;0,Main_S[[#This Row],[Current Price]]/Main_S[[#This Row],[Free CF]],""),"")</f>
        <v>-23.404761904761905</v>
      </c>
      <c r="I225" s="1">
        <f>IF(ISNUMBER(Main_S[[#This Row],[BVPS]]),IF(Main_S[[#This Row],[BVPS]]&lt;&gt;0,Main_S[[#This Row],[Current Price]]/Main_S[[#This Row],[BVPS]],""),"")</f>
        <v>0.7180423666910154</v>
      </c>
      <c r="J225">
        <v>-13.82</v>
      </c>
      <c r="K225">
        <v>-1.94</v>
      </c>
      <c r="L225">
        <v>1.22</v>
      </c>
      <c r="M225" s="1">
        <f>IF(ISNUMBER(Main_S[[#This Row],[EPS]]),IF(Main_S[[#This Row],[EPS]]&lt;&gt;0,Main_S[[#This Row],[Current Price]]/Main_S[[#This Row],[EPS]],""),"")</f>
        <v>-4.5614849187935036</v>
      </c>
      <c r="N2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5" s="1">
        <f>(Main_S[[#This Row],[P/FCF]]-VLOOKUP(Main_S[[#This Row],[Industry]], Mean_PFCF_S, 2, FALSE))/(VLOOKUP(Main_S[[#This Row],[Industry]], Mean_PFCF_S, 3, FALSE))</f>
        <v>-2.0129310529264397</v>
      </c>
      <c r="P225" s="1">
        <f>(Main_S[[#This Row],[P/B]]-VLOOKUP(Main_S[[#This Row],[Industry]], Mean_PB_S, 2, FALSE))/(VLOOKUP(Main_S[[#This Row],[Industry]], Mean_PB_S, 3, FALSE))</f>
        <v>-0.64008891352527808</v>
      </c>
      <c r="Q225" s="1">
        <f>(Main_S[[#This Row],[ROE]]-VLOOKUP(Main_S[[#This Row],[Industry]], Mean_ROE_S, 2, FALSE))/(VLOOKUP(Main_S[[#This Row],[Industry]], Mean_ROE_S, 3, FALSE))</f>
        <v>-2.191415424168758</v>
      </c>
      <c r="R225" s="1">
        <f>(Main_S[[#This Row],[ROA]]-VLOOKUP(Main_S[[#This Row],[Industry]], Mean_ROA_S, 2, FALSE))/(VLOOKUP(Main_S[[#This Row],[Industry]], Mean_ROA_S, 3, FALSE))</f>
        <v>-1.7650234115845849</v>
      </c>
      <c r="S225" s="1">
        <f>(Main_S[[#This Row],[A/E]]-VLOOKUP(Main_S[[#This Row],[Industry]], Mean_AE_S, 2, FALSE))/(VLOOKUP(Main_S[[#This Row],[Industry]], Mean_AE_S, 3, FALSE))</f>
        <v>-0.98644702067316847</v>
      </c>
      <c r="T225" s="1">
        <f>(Main_S[[#This Row],[P/E]]-VLOOKUP(Main_S[[#This Row],[Industry]], Mean_PE_S, 2, FALSE))/(VLOOKUP(Main_S[[#This Row],[Industry]], Mean_PE_S, 3, FALSE))</f>
        <v>-0.83225597589384859</v>
      </c>
      <c r="U2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6" spans="1:26" x14ac:dyDescent="0.25">
      <c r="A226" s="67" t="s">
        <v>150</v>
      </c>
      <c r="B226" s="67" t="s">
        <v>553</v>
      </c>
      <c r="C226" s="2">
        <v>359</v>
      </c>
      <c r="D226">
        <f>RTD("tos.rtd", , "LAST", Main_S[[#This Row],[Symbol]])</f>
        <v>3.82</v>
      </c>
      <c r="E226">
        <v>-1.7</v>
      </c>
      <c r="F226">
        <v>5.62</v>
      </c>
      <c r="G226">
        <v>-0.12</v>
      </c>
      <c r="H226" s="1">
        <f>IF(ISNUMBER(Main_S[[#This Row],[Free CF]]),IF(Main_S[[#This Row],[Free CF]]&lt;&gt;0,Main_S[[#This Row],[Current Price]]/Main_S[[#This Row],[Free CF]],""),"")</f>
        <v>-2.2470588235294118</v>
      </c>
      <c r="I226" s="1">
        <f>IF(ISNUMBER(Main_S[[#This Row],[BVPS]]),IF(Main_S[[#This Row],[BVPS]]&lt;&gt;0,Main_S[[#This Row],[Current Price]]/Main_S[[#This Row],[BVPS]],""),"")</f>
        <v>0.67971530249110312</v>
      </c>
      <c r="J226">
        <v>-1.88</v>
      </c>
      <c r="K226">
        <v>0.97</v>
      </c>
      <c r="L226">
        <v>1.48</v>
      </c>
      <c r="M226" s="1">
        <f>IF(ISNUMBER(Main_S[[#This Row],[EPS]]),IF(Main_S[[#This Row],[EPS]]&lt;&gt;0,Main_S[[#This Row],[Current Price]]/Main_S[[#This Row],[EPS]],""),"")</f>
        <v>-31.833333333333332</v>
      </c>
      <c r="N2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6" s="1">
        <f>(Main_S[[#This Row],[P/FCF]]-VLOOKUP(Main_S[[#This Row],[Industry]], Mean_PFCF_S, 2, FALSE))/(VLOOKUP(Main_S[[#This Row],[Industry]], Mean_PFCF_S, 3, FALSE))</f>
        <v>-0.41818741437676948</v>
      </c>
      <c r="P226" s="1">
        <f>(Main_S[[#This Row],[P/B]]-VLOOKUP(Main_S[[#This Row],[Industry]], Mean_PB_S, 2, FALSE))/(VLOOKUP(Main_S[[#This Row],[Industry]], Mean_PB_S, 3, FALSE))</f>
        <v>-0.67507295859335315</v>
      </c>
      <c r="Q226" s="1">
        <f>(Main_S[[#This Row],[ROE]]-VLOOKUP(Main_S[[#This Row],[Industry]], Mean_ROE_S, 2, FALSE))/(VLOOKUP(Main_S[[#This Row],[Industry]], Mean_ROE_S, 3, FALSE))</f>
        <v>-0.85458076643385461</v>
      </c>
      <c r="R226" s="1">
        <f>(Main_S[[#This Row],[ROA]]-VLOOKUP(Main_S[[#This Row],[Industry]], Mean_ROA_S, 2, FALSE))/(VLOOKUP(Main_S[[#This Row],[Industry]], Mean_ROA_S, 3, FALSE))</f>
        <v>-0.50717407418593785</v>
      </c>
      <c r="S226" s="1">
        <f>(Main_S[[#This Row],[A/E]]-VLOOKUP(Main_S[[#This Row],[Industry]], Mean_AE_S, 2, FALSE))/(VLOOKUP(Main_S[[#This Row],[Industry]], Mean_AE_S, 3, FALSE))</f>
        <v>-0.93180494868914199</v>
      </c>
      <c r="T226" s="1">
        <f>(Main_S[[#This Row],[P/E]]-VLOOKUP(Main_S[[#This Row],[Industry]], Mean_PE_S, 2, FALSE))/(VLOOKUP(Main_S[[#This Row],[Industry]], Mean_PE_S, 3, FALSE))</f>
        <v>-2.9058145570467531</v>
      </c>
      <c r="U2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7" spans="1:26" x14ac:dyDescent="0.25">
      <c r="A227" s="67" t="s">
        <v>150</v>
      </c>
      <c r="B227" s="67" t="s">
        <v>739</v>
      </c>
      <c r="C227" s="2">
        <v>273</v>
      </c>
      <c r="D227">
        <f>RTD("tos.rtd", , "LAST", Main_S[[#This Row],[Symbol]])</f>
        <v>1.3</v>
      </c>
      <c r="E227">
        <v>-1.77</v>
      </c>
      <c r="F227">
        <v>1.3</v>
      </c>
      <c r="G227">
        <v>-0.45</v>
      </c>
      <c r="H227" s="1">
        <f>IF(ISNUMBER(Main_S[[#This Row],[Free CF]]),IF(Main_S[[#This Row],[Free CF]]&lt;&gt;0,Main_S[[#This Row],[Current Price]]/Main_S[[#This Row],[Free CF]],""),"")</f>
        <v>-0.7344632768361582</v>
      </c>
      <c r="I227" s="1">
        <f>IF(ISNUMBER(Main_S[[#This Row],[BVPS]]),IF(Main_S[[#This Row],[BVPS]]&lt;&gt;0,Main_S[[#This Row],[Current Price]]/Main_S[[#This Row],[BVPS]],""),"")</f>
        <v>1</v>
      </c>
      <c r="J227">
        <v>-30.97</v>
      </c>
      <c r="K227">
        <v>-2.72</v>
      </c>
      <c r="L227">
        <v>24.53</v>
      </c>
      <c r="M227" s="1">
        <f>IF(ISNUMBER(Main_S[[#This Row],[EPS]]),IF(Main_S[[#This Row],[EPS]]&lt;&gt;0,Main_S[[#This Row],[Current Price]]/Main_S[[#This Row],[EPS]],""),"")</f>
        <v>-2.8888888888888888</v>
      </c>
      <c r="N2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7" s="1">
        <f>(Main_S[[#This Row],[P/FCF]]-VLOOKUP(Main_S[[#This Row],[Industry]], Mean_PFCF_S, 2, FALSE))/(VLOOKUP(Main_S[[#This Row],[Industry]], Mean_PFCF_S, 3, FALSE))</f>
        <v>-0.30417682842014349</v>
      </c>
      <c r="P227" s="1">
        <f>(Main_S[[#This Row],[P/B]]-VLOOKUP(Main_S[[#This Row],[Industry]], Mean_PB_S, 2, FALSE))/(VLOOKUP(Main_S[[#This Row],[Industry]], Mean_PB_S, 3, FALSE))</f>
        <v>-0.38272460042477585</v>
      </c>
      <c r="Q227" s="1">
        <f>(Main_S[[#This Row],[ROE]]-VLOOKUP(Main_S[[#This Row],[Industry]], Mean_ROE_S, 2, FALSE))/(VLOOKUP(Main_S[[#This Row],[Industry]], Mean_ROE_S, 3, FALSE))</f>
        <v>-4.1115757575149541</v>
      </c>
      <c r="R227" s="1">
        <f>(Main_S[[#This Row],[ROA]]-VLOOKUP(Main_S[[#This Row],[Industry]], Mean_ROA_S, 2, FALSE))/(VLOOKUP(Main_S[[#This Row],[Industry]], Mean_ROA_S, 3, FALSE))</f>
        <v>-2.1021789040831913</v>
      </c>
      <c r="S227" s="1">
        <f>(Main_S[[#This Row],[A/E]]-VLOOKUP(Main_S[[#This Row],[Industry]], Mean_AE_S, 2, FALSE))/(VLOOKUP(Main_S[[#This Row],[Industry]], Mean_AE_S, 3, FALSE))</f>
        <v>3.912424894510119</v>
      </c>
      <c r="T227" s="1">
        <f>(Main_S[[#This Row],[P/E]]-VLOOKUP(Main_S[[#This Row],[Industry]], Mean_PE_S, 2, FALSE))/(VLOOKUP(Main_S[[#This Row],[Industry]], Mean_PE_S, 3, FALSE))</f>
        <v>-0.70508359660026432</v>
      </c>
      <c r="U2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8" spans="1:26" x14ac:dyDescent="0.25">
      <c r="A228" s="67" t="s">
        <v>150</v>
      </c>
      <c r="B228" s="67" t="s">
        <v>552</v>
      </c>
      <c r="C228" s="2">
        <v>506</v>
      </c>
      <c r="D228">
        <f>RTD("tos.rtd", , "LAST", Main_S[[#This Row],[Symbol]])</f>
        <v>6.56</v>
      </c>
      <c r="E228">
        <v>-1.99</v>
      </c>
      <c r="F228">
        <v>11.67</v>
      </c>
      <c r="G228">
        <v>-1.25</v>
      </c>
      <c r="H228" s="1">
        <f>IF(ISNUMBER(Main_S[[#This Row],[Free CF]]),IF(Main_S[[#This Row],[Free CF]]&lt;&gt;0,Main_S[[#This Row],[Current Price]]/Main_S[[#This Row],[Free CF]],""),"")</f>
        <v>-3.2964824120603011</v>
      </c>
      <c r="I228" s="1">
        <f>IF(ISNUMBER(Main_S[[#This Row],[BVPS]]),IF(Main_S[[#This Row],[BVPS]]&lt;&gt;0,Main_S[[#This Row],[Current Price]]/Main_S[[#This Row],[BVPS]],""),"")</f>
        <v>0.56212510711225361</v>
      </c>
      <c r="J228">
        <v>2.74</v>
      </c>
      <c r="K228">
        <v>4.12</v>
      </c>
      <c r="L228">
        <v>4.62</v>
      </c>
      <c r="M228" s="1">
        <f>IF(ISNUMBER(Main_S[[#This Row],[EPS]]),IF(Main_S[[#This Row],[EPS]]&lt;&gt;0,Main_S[[#This Row],[Current Price]]/Main_S[[#This Row],[EPS]],""),"")</f>
        <v>-5.2479999999999993</v>
      </c>
      <c r="N2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8" s="1">
        <f>(Main_S[[#This Row],[P/FCF]]-VLOOKUP(Main_S[[#This Row],[Industry]], Mean_PFCF_S, 2, FALSE))/(VLOOKUP(Main_S[[#This Row],[Industry]], Mean_PFCF_S, 3, FALSE))</f>
        <v>-0.497286813093547</v>
      </c>
      <c r="P228" s="1">
        <f>(Main_S[[#This Row],[P/B]]-VLOOKUP(Main_S[[#This Row],[Industry]], Mean_PB_S, 2, FALSE))/(VLOOKUP(Main_S[[#This Row],[Industry]], Mean_PB_S, 3, FALSE))</f>
        <v>-0.78240653032846208</v>
      </c>
      <c r="Q228" s="1">
        <f>(Main_S[[#This Row],[ROE]]-VLOOKUP(Main_S[[#This Row],[Industry]], Mean_ROE_S, 2, FALSE))/(VLOOKUP(Main_S[[#This Row],[Industry]], Mean_ROE_S, 3, FALSE))</f>
        <v>-0.33731308479773631</v>
      </c>
      <c r="R228" s="1">
        <f>(Main_S[[#This Row],[ROA]]-VLOOKUP(Main_S[[#This Row],[Industry]], Mean_ROA_S, 2, FALSE))/(VLOOKUP(Main_S[[#This Row],[Industry]], Mean_ROA_S, 3, FALSE))</f>
        <v>0.85441541475074212</v>
      </c>
      <c r="S228" s="1">
        <f>(Main_S[[#This Row],[A/E]]-VLOOKUP(Main_S[[#This Row],[Industry]], Mean_AE_S, 2, FALSE))/(VLOOKUP(Main_S[[#This Row],[Industry]], Mean_AE_S, 3, FALSE))</f>
        <v>-0.27189684857436203</v>
      </c>
      <c r="T228" s="1">
        <f>(Main_S[[#This Row],[P/E]]-VLOOKUP(Main_S[[#This Row],[Industry]], Mean_PE_S, 2, FALSE))/(VLOOKUP(Main_S[[#This Row],[Industry]], Mean_PE_S, 3, FALSE))</f>
        <v>-0.88445373000602179</v>
      </c>
      <c r="U2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9" spans="1:26" x14ac:dyDescent="0.25">
      <c r="A229" s="67" t="s">
        <v>150</v>
      </c>
      <c r="B229" s="67" t="s">
        <v>557</v>
      </c>
      <c r="C229" s="2">
        <v>847</v>
      </c>
      <c r="D229">
        <f>RTD("tos.rtd", , "LAST", Main_S[[#This Row],[Symbol]])</f>
        <v>14.57</v>
      </c>
      <c r="E229">
        <v>-3.71</v>
      </c>
      <c r="F229">
        <v>19.39</v>
      </c>
      <c r="G229">
        <v>0.71</v>
      </c>
      <c r="H229" s="1">
        <f>IF(ISNUMBER(Main_S[[#This Row],[Free CF]]),IF(Main_S[[#This Row],[Free CF]]&lt;&gt;0,Main_S[[#This Row],[Current Price]]/Main_S[[#This Row],[Free CF]],""),"")</f>
        <v>-3.92722371967655</v>
      </c>
      <c r="I229" s="1">
        <f>IF(ISNUMBER(Main_S[[#This Row],[BVPS]]),IF(Main_S[[#This Row],[BVPS]]&lt;&gt;0,Main_S[[#This Row],[Current Price]]/Main_S[[#This Row],[BVPS]],""),"")</f>
        <v>0.75141825683341923</v>
      </c>
      <c r="J229">
        <v>3.69</v>
      </c>
      <c r="K229">
        <v>2.56</v>
      </c>
      <c r="L229">
        <v>3.79</v>
      </c>
      <c r="M229" s="1">
        <f>IF(ISNUMBER(Main_S[[#This Row],[EPS]]),IF(Main_S[[#This Row],[EPS]]&lt;&gt;0,Main_S[[#This Row],[Current Price]]/Main_S[[#This Row],[EPS]],""),"")</f>
        <v>20.52112676056338</v>
      </c>
      <c r="N2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9" s="1">
        <f>(Main_S[[#This Row],[P/FCF]]-VLOOKUP(Main_S[[#This Row],[Industry]], Mean_PFCF_S, 2, FALSE))/(VLOOKUP(Main_S[[#This Row],[Industry]], Mean_PFCF_S, 3, FALSE))</f>
        <v>-0.54482839565709817</v>
      </c>
      <c r="P229" s="1">
        <f>(Main_S[[#This Row],[P/B]]-VLOOKUP(Main_S[[#This Row],[Industry]], Mean_PB_S, 2, FALSE))/(VLOOKUP(Main_S[[#This Row],[Industry]], Mean_PB_S, 3, FALSE))</f>
        <v>-0.60962418398484941</v>
      </c>
      <c r="Q229" s="1">
        <f>(Main_S[[#This Row],[ROE]]-VLOOKUP(Main_S[[#This Row],[Industry]], Mean_ROE_S, 2, FALSE))/(VLOOKUP(Main_S[[#This Row],[Industry]], Mean_ROE_S, 3, FALSE))</f>
        <v>-0.23094851822753887</v>
      </c>
      <c r="R229" s="1">
        <f>(Main_S[[#This Row],[ROA]]-VLOOKUP(Main_S[[#This Row],[Industry]], Mean_ROA_S, 2, FALSE))/(VLOOKUP(Main_S[[#This Row],[Industry]], Mean_ROA_S, 3, FALSE))</f>
        <v>0.18010442975352922</v>
      </c>
      <c r="S229" s="1">
        <f>(Main_S[[#This Row],[A/E]]-VLOOKUP(Main_S[[#This Row],[Industry]], Mean_AE_S, 2, FALSE))/(VLOOKUP(Main_S[[#This Row],[Industry]], Mean_AE_S, 3, FALSE))</f>
        <v>-0.44633115529260003</v>
      </c>
      <c r="T229" s="1">
        <f>(Main_S[[#This Row],[P/E]]-VLOOKUP(Main_S[[#This Row],[Industry]], Mean_PE_S, 2, FALSE))/(VLOOKUP(Main_S[[#This Row],[Industry]], Mean_PE_S, 3, FALSE))</f>
        <v>1.0748485186341992</v>
      </c>
      <c r="U2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0" spans="1:26" x14ac:dyDescent="0.25">
      <c r="A230" s="67" t="s">
        <v>150</v>
      </c>
      <c r="B230" s="67" t="s">
        <v>560</v>
      </c>
      <c r="C230" s="2">
        <v>1930</v>
      </c>
      <c r="D230">
        <f>RTD("tos.rtd", , "LAST", Main_S[[#This Row],[Symbol]])</f>
        <v>12.75</v>
      </c>
      <c r="E230">
        <v>-6.06</v>
      </c>
      <c r="F230">
        <v>3.89</v>
      </c>
      <c r="G230">
        <v>-2.54</v>
      </c>
      <c r="H230" s="1">
        <f>IF(ISNUMBER(Main_S[[#This Row],[Free CF]]),IF(Main_S[[#This Row],[Free CF]]&lt;&gt;0,Main_S[[#This Row],[Current Price]]/Main_S[[#This Row],[Free CF]],""),"")</f>
        <v>-2.1039603960396041</v>
      </c>
      <c r="I230" s="1">
        <f>IF(ISNUMBER(Main_S[[#This Row],[BVPS]]),IF(Main_S[[#This Row],[BVPS]]&lt;&gt;0,Main_S[[#This Row],[Current Price]]/Main_S[[#This Row],[BVPS]],""),"")</f>
        <v>3.2776349614395888</v>
      </c>
      <c r="J230">
        <v>1.54</v>
      </c>
      <c r="K230">
        <v>1.73</v>
      </c>
      <c r="L230">
        <v>43.24</v>
      </c>
      <c r="M230" s="1">
        <f>IF(ISNUMBER(Main_S[[#This Row],[EPS]]),IF(Main_S[[#This Row],[EPS]]&lt;&gt;0,Main_S[[#This Row],[Current Price]]/Main_S[[#This Row],[EPS]],""),"")</f>
        <v>-5.0196850393700787</v>
      </c>
      <c r="N2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0" s="1">
        <f>(Main_S[[#This Row],[P/FCF]]-VLOOKUP(Main_S[[#This Row],[Industry]], Mean_PFCF_S, 2, FALSE))/(VLOOKUP(Main_S[[#This Row],[Industry]], Mean_PFCF_S, 3, FALSE))</f>
        <v>-0.40740149370997186</v>
      </c>
      <c r="P230" s="1">
        <f>(Main_S[[#This Row],[P/B]]-VLOOKUP(Main_S[[#This Row],[Industry]], Mean_PB_S, 2, FALSE))/(VLOOKUP(Main_S[[#This Row],[Industry]], Mean_PB_S, 3, FALSE))</f>
        <v>1.6962471602092712</v>
      </c>
      <c r="Q230" s="1">
        <f>(Main_S[[#This Row],[ROE]]-VLOOKUP(Main_S[[#This Row],[Industry]], Mean_ROE_S, 2, FALSE))/(VLOOKUP(Main_S[[#This Row],[Industry]], Mean_ROE_S, 3, FALSE))</f>
        <v>-0.47166832678114368</v>
      </c>
      <c r="R230" s="1">
        <f>(Main_S[[#This Row],[ROA]]-VLOOKUP(Main_S[[#This Row],[Industry]], Mean_ROA_S, 2, FALSE))/(VLOOKUP(Main_S[[#This Row],[Industry]], Mean_ROA_S, 3, FALSE))</f>
        <v>-0.17866359431550075</v>
      </c>
      <c r="S230" s="1">
        <f>(Main_S[[#This Row],[A/E]]-VLOOKUP(Main_S[[#This Row],[Industry]], Mean_AE_S, 2, FALSE))/(VLOOKUP(Main_S[[#This Row],[Industry]], Mean_AE_S, 3, FALSE))</f>
        <v>7.8445524592067857</v>
      </c>
      <c r="T230" s="1">
        <f>(Main_S[[#This Row],[P/E]]-VLOOKUP(Main_S[[#This Row],[Industry]], Mean_PE_S, 2, FALSE))/(VLOOKUP(Main_S[[#This Row],[Industry]], Mean_PE_S, 3, FALSE))</f>
        <v>-0.86709427425430408</v>
      </c>
      <c r="U2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1" spans="1:26" x14ac:dyDescent="0.25">
      <c r="A231" s="67" t="s">
        <v>150</v>
      </c>
      <c r="B231" s="67" t="s">
        <v>550</v>
      </c>
      <c r="C231" s="2">
        <v>296</v>
      </c>
      <c r="D231">
        <f>RTD("tos.rtd", , "LAST", Main_S[[#This Row],[Symbol]])</f>
        <v>10.91</v>
      </c>
      <c r="E231">
        <v>-6.97</v>
      </c>
      <c r="F231">
        <v>10.73</v>
      </c>
      <c r="G231">
        <v>1.92</v>
      </c>
      <c r="H231" s="1">
        <f>IF(ISNUMBER(Main_S[[#This Row],[Free CF]]),IF(Main_S[[#This Row],[Free CF]]&lt;&gt;0,Main_S[[#This Row],[Current Price]]/Main_S[[#This Row],[Free CF]],""),"")</f>
        <v>-1.5652797704447634</v>
      </c>
      <c r="I231" s="1">
        <f>IF(ISNUMBER(Main_S[[#This Row],[BVPS]]),IF(Main_S[[#This Row],[BVPS]]&lt;&gt;0,Main_S[[#This Row],[Current Price]]/Main_S[[#This Row],[BVPS]],""),"")</f>
        <v>1.0167753960857409</v>
      </c>
      <c r="J231">
        <v>18.18</v>
      </c>
      <c r="K231">
        <v>5.83</v>
      </c>
      <c r="L231">
        <v>7.56</v>
      </c>
      <c r="M231" s="1">
        <f>IF(ISNUMBER(Main_S[[#This Row],[EPS]]),IF(Main_S[[#This Row],[EPS]]&lt;&gt;0,Main_S[[#This Row],[Current Price]]/Main_S[[#This Row],[EPS]],""),"")</f>
        <v>5.682291666666667</v>
      </c>
      <c r="N2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1" s="1">
        <f>(Main_S[[#This Row],[P/FCF]]-VLOOKUP(Main_S[[#This Row],[Industry]], Mean_PFCF_S, 2, FALSE))/(VLOOKUP(Main_S[[#This Row],[Industry]], Mean_PFCF_S, 3, FALSE))</f>
        <v>-0.3667989057268114</v>
      </c>
      <c r="P231" s="1">
        <f>(Main_S[[#This Row],[P/B]]-VLOOKUP(Main_S[[#This Row],[Industry]], Mean_PB_S, 2, FALSE))/(VLOOKUP(Main_S[[#This Row],[Industry]], Mean_PB_S, 3, FALSE))</f>
        <v>-0.36741241242004707</v>
      </c>
      <c r="Q231" s="1">
        <f>(Main_S[[#This Row],[ROE]]-VLOOKUP(Main_S[[#This Row],[Industry]], Mean_ROE_S, 2, FALSE))/(VLOOKUP(Main_S[[#This Row],[Industry]], Mean_ROE_S, 3, FALSE))</f>
        <v>1.3913910287221047</v>
      </c>
      <c r="R231" s="1">
        <f>(Main_S[[#This Row],[ROA]]-VLOOKUP(Main_S[[#This Row],[Industry]], Mean_ROA_S, 2, FALSE))/(VLOOKUP(Main_S[[#This Row],[Industry]], Mean_ROA_S, 3, FALSE))</f>
        <v>1.5935639944592255</v>
      </c>
      <c r="S231" s="1">
        <f>(Main_S[[#This Row],[A/E]]-VLOOKUP(Main_S[[#This Row],[Industry]], Mean_AE_S, 2, FALSE))/(VLOOKUP(Main_S[[#This Row],[Industry]], Mean_AE_S, 3, FALSE))</f>
        <v>0.34597888847578223</v>
      </c>
      <c r="T231" s="1">
        <f>(Main_S[[#This Row],[P/E]]-VLOOKUP(Main_S[[#This Row],[Industry]], Mean_PE_S, 2, FALSE))/(VLOOKUP(Main_S[[#This Row],[Industry]], Mean_PE_S, 3, FALSE))</f>
        <v>-5.3391612931579437E-2</v>
      </c>
      <c r="U2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2" spans="1:26" x14ac:dyDescent="0.25">
      <c r="A232" s="67" t="s">
        <v>150</v>
      </c>
      <c r="B232" s="67" t="s">
        <v>558</v>
      </c>
      <c r="C232" s="2">
        <v>1469</v>
      </c>
      <c r="D232">
        <f>RTD("tos.rtd", , "LAST", Main_S[[#This Row],[Symbol]])</f>
        <v>32.69</v>
      </c>
      <c r="E232">
        <v>-7.98</v>
      </c>
      <c r="F232">
        <v>35.08</v>
      </c>
      <c r="G232">
        <v>5.44</v>
      </c>
      <c r="H232" s="1">
        <f>IF(ISNUMBER(Main_S[[#This Row],[Free CF]]),IF(Main_S[[#This Row],[Free CF]]&lt;&gt;0,Main_S[[#This Row],[Current Price]]/Main_S[[#This Row],[Free CF]],""),"")</f>
        <v>-4.0964912280701746</v>
      </c>
      <c r="I232" s="1">
        <f>IF(ISNUMBER(Main_S[[#This Row],[BVPS]]),IF(Main_S[[#This Row],[BVPS]]&lt;&gt;0,Main_S[[#This Row],[Current Price]]/Main_S[[#This Row],[BVPS]],""),"")</f>
        <v>0.93187001140250858</v>
      </c>
      <c r="J232">
        <v>14.81</v>
      </c>
      <c r="K232">
        <v>1.59</v>
      </c>
      <c r="L232">
        <v>11.68</v>
      </c>
      <c r="M232" s="1">
        <f>IF(ISNUMBER(Main_S[[#This Row],[EPS]]),IF(Main_S[[#This Row],[EPS]]&lt;&gt;0,Main_S[[#This Row],[Current Price]]/Main_S[[#This Row],[EPS]],""),"")</f>
        <v>6.009191176470587</v>
      </c>
      <c r="N2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2" s="1">
        <f>(Main_S[[#This Row],[P/FCF]]-VLOOKUP(Main_S[[#This Row],[Industry]], Mean_PFCF_S, 2, FALSE))/(VLOOKUP(Main_S[[#This Row],[Industry]], Mean_PFCF_S, 3, FALSE))</f>
        <v>-0.55758678824761176</v>
      </c>
      <c r="P232" s="1">
        <f>(Main_S[[#This Row],[P/B]]-VLOOKUP(Main_S[[#This Row],[Industry]], Mean_PB_S, 2, FALSE))/(VLOOKUP(Main_S[[#This Row],[Industry]], Mean_PB_S, 3, FALSE))</f>
        <v>-0.44491205572137876</v>
      </c>
      <c r="Q232" s="1">
        <f>(Main_S[[#This Row],[ROE]]-VLOOKUP(Main_S[[#This Row],[Industry]], Mean_ROE_S, 2, FALSE))/(VLOOKUP(Main_S[[#This Row],[Industry]], Mean_ROE_S, 3, FALSE))</f>
        <v>1.0140767241520361</v>
      </c>
      <c r="R232" s="1">
        <f>(Main_S[[#This Row],[ROA]]-VLOOKUP(Main_S[[#This Row],[Industry]], Mean_ROA_S, 2, FALSE))/(VLOOKUP(Main_S[[#This Row],[Industry]], Mean_ROA_S, 3, FALSE))</f>
        <v>-0.2391786827126865</v>
      </c>
      <c r="S232" s="1">
        <f>(Main_S[[#This Row],[A/E]]-VLOOKUP(Main_S[[#This Row],[Industry]], Mean_AE_S, 2, FALSE))/(VLOOKUP(Main_S[[#This Row],[Industry]], Mean_AE_S, 3, FALSE))</f>
        <v>1.211845567607277</v>
      </c>
      <c r="T232" s="1">
        <f>(Main_S[[#This Row],[P/E]]-VLOOKUP(Main_S[[#This Row],[Industry]], Mean_PE_S, 2, FALSE))/(VLOOKUP(Main_S[[#This Row],[Industry]], Mean_PE_S, 3, FALSE))</f>
        <v>-2.8536484909996308E-2</v>
      </c>
      <c r="U2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3" spans="1:26" x14ac:dyDescent="0.25">
      <c r="A233" s="67" t="s">
        <v>150</v>
      </c>
      <c r="B233" s="67" t="s">
        <v>561</v>
      </c>
      <c r="C233" s="2">
        <v>866</v>
      </c>
      <c r="D233">
        <f>RTD("tos.rtd", , "LAST", Main_S[[#This Row],[Symbol]])</f>
        <v>4.24</v>
      </c>
      <c r="E233">
        <v>-8.82</v>
      </c>
      <c r="F233">
        <v>0.82</v>
      </c>
      <c r="G233">
        <v>-2.5099999999999998</v>
      </c>
      <c r="H233" s="1">
        <f>IF(ISNUMBER(Main_S[[#This Row],[Free CF]]),IF(Main_S[[#This Row],[Free CF]]&lt;&gt;0,Main_S[[#This Row],[Current Price]]/Main_S[[#This Row],[Free CF]],""),"")</f>
        <v>-0.48072562358276644</v>
      </c>
      <c r="I233" s="1">
        <f>IF(ISNUMBER(Main_S[[#This Row],[BVPS]]),IF(Main_S[[#This Row],[BVPS]]&lt;&gt;0,Main_S[[#This Row],[Current Price]]/Main_S[[#This Row],[BVPS]],""),"")</f>
        <v>5.1707317073170733</v>
      </c>
      <c r="J233">
        <v>-4.8</v>
      </c>
      <c r="K233">
        <v>1.84</v>
      </c>
      <c r="L233">
        <v>85.21</v>
      </c>
      <c r="M233" s="1">
        <f>IF(ISNUMBER(Main_S[[#This Row],[EPS]]),IF(Main_S[[#This Row],[EPS]]&lt;&gt;0,Main_S[[#This Row],[Current Price]]/Main_S[[#This Row],[EPS]],""),"")</f>
        <v>-1.6892430278884465</v>
      </c>
      <c r="N2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3" s="1">
        <f>(Main_S[[#This Row],[P/FCF]]-VLOOKUP(Main_S[[#This Row],[Industry]], Mean_PFCF_S, 2, FALSE))/(VLOOKUP(Main_S[[#This Row],[Industry]], Mean_PFCF_S, 3, FALSE))</f>
        <v>-0.28505157144717364</v>
      </c>
      <c r="P233" s="1">
        <f>(Main_S[[#This Row],[P/B]]-VLOOKUP(Main_S[[#This Row],[Industry]], Mean_PB_S, 2, FALSE))/(VLOOKUP(Main_S[[#This Row],[Industry]], Mean_PB_S, 3, FALSE))</f>
        <v>3.4242214587509161</v>
      </c>
      <c r="Q233" s="1">
        <f>(Main_S[[#This Row],[ROE]]-VLOOKUP(Main_S[[#This Row],[Industry]], Mean_ROE_S, 2, FALSE))/(VLOOKUP(Main_S[[#This Row],[Industry]], Mean_ROE_S, 3, FALSE))</f>
        <v>-1.1815118552601458</v>
      </c>
      <c r="R233" s="1">
        <f>(Main_S[[#This Row],[ROA]]-VLOOKUP(Main_S[[#This Row],[Industry]], Mean_ROA_S, 2, FALSE))/(VLOOKUP(Main_S[[#This Row],[Industry]], Mean_ROA_S, 3, FALSE))</f>
        <v>-0.13111602486056903</v>
      </c>
      <c r="S233" s="1">
        <f>(Main_S[[#This Row],[A/E]]-VLOOKUP(Main_S[[#This Row],[Industry]], Mean_AE_S, 2, FALSE))/(VLOOKUP(Main_S[[#This Row],[Industry]], Mean_AE_S, 3, FALSE))</f>
        <v>16.665043848320579</v>
      </c>
      <c r="T233" s="1">
        <f>(Main_S[[#This Row],[P/E]]-VLOOKUP(Main_S[[#This Row],[Industry]], Mean_PE_S, 2, FALSE))/(VLOOKUP(Main_S[[#This Row],[Industry]], Mean_PE_S, 3, FALSE))</f>
        <v>-0.61387100508058512</v>
      </c>
      <c r="U2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4" spans="1:26" x14ac:dyDescent="0.25">
      <c r="A234" s="67" t="s">
        <v>150</v>
      </c>
      <c r="B234" s="67" t="s">
        <v>554</v>
      </c>
      <c r="C234" s="2">
        <v>1524</v>
      </c>
      <c r="D234">
        <f>RTD("tos.rtd", , "LAST", Main_S[[#This Row],[Symbol]])</f>
        <v>41.43</v>
      </c>
      <c r="E234">
        <v>-33.71</v>
      </c>
      <c r="F234">
        <v>36.89</v>
      </c>
      <c r="G234">
        <v>5.6</v>
      </c>
      <c r="H234" s="1">
        <f>IF(ISNUMBER(Main_S[[#This Row],[Free CF]]),IF(Main_S[[#This Row],[Free CF]]&lt;&gt;0,Main_S[[#This Row],[Current Price]]/Main_S[[#This Row],[Free CF]],""),"")</f>
        <v>-1.2290121625630377</v>
      </c>
      <c r="I234" s="1">
        <f>IF(ISNUMBER(Main_S[[#This Row],[BVPS]]),IF(Main_S[[#This Row],[BVPS]]&lt;&gt;0,Main_S[[#This Row],[Current Price]]/Main_S[[#This Row],[BVPS]],""),"")</f>
        <v>1.1230685822716182</v>
      </c>
      <c r="J234">
        <v>15.82</v>
      </c>
      <c r="K234">
        <v>1.79</v>
      </c>
      <c r="L234">
        <v>9.0399999999999991</v>
      </c>
      <c r="M234" s="1">
        <f>IF(ISNUMBER(Main_S[[#This Row],[EPS]]),IF(Main_S[[#This Row],[EPS]]&lt;&gt;0,Main_S[[#This Row],[Current Price]]/Main_S[[#This Row],[EPS]],""),"")</f>
        <v>7.3982142857142863</v>
      </c>
      <c r="N2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4" s="1">
        <f>(Main_S[[#This Row],[P/FCF]]-VLOOKUP(Main_S[[#This Row],[Industry]], Mean_PFCF_S, 2, FALSE))/(VLOOKUP(Main_S[[#This Row],[Industry]], Mean_PFCF_S, 3, FALSE))</f>
        <v>-0.34145302453825377</v>
      </c>
      <c r="P234" s="1">
        <f>(Main_S[[#This Row],[P/B]]-VLOOKUP(Main_S[[#This Row],[Industry]], Mean_PB_S, 2, FALSE))/(VLOOKUP(Main_S[[#This Row],[Industry]], Mean_PB_S, 3, FALSE))</f>
        <v>-0.27039048565414237</v>
      </c>
      <c r="Q234" s="1">
        <f>(Main_S[[#This Row],[ROE]]-VLOOKUP(Main_S[[#This Row],[Industry]], Mean_ROE_S, 2, FALSE))/(VLOOKUP(Main_S[[#This Row],[Industry]], Mean_ROE_S, 3, FALSE))</f>
        <v>1.1271590528214037</v>
      </c>
      <c r="R234" s="1">
        <f>(Main_S[[#This Row],[ROA]]-VLOOKUP(Main_S[[#This Row],[Industry]], Mean_ROA_S, 2, FALSE))/(VLOOKUP(Main_S[[#This Row],[Industry]], Mean_ROA_S, 3, FALSE))</f>
        <v>-0.15272855643099253</v>
      </c>
      <c r="S234" s="1">
        <f>(Main_S[[#This Row],[A/E]]-VLOOKUP(Main_S[[#This Row],[Industry]], Mean_AE_S, 2, FALSE))/(VLOOKUP(Main_S[[#This Row],[Industry]], Mean_AE_S, 3, FALSE))</f>
        <v>0.65701837515408601</v>
      </c>
      <c r="T234" s="1">
        <f>(Main_S[[#This Row],[P/E]]-VLOOKUP(Main_S[[#This Row],[Industry]], Mean_PE_S, 2, FALSE))/(VLOOKUP(Main_S[[#This Row],[Industry]], Mean_PE_S, 3, FALSE))</f>
        <v>7.7075013944492315E-2</v>
      </c>
      <c r="U2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5" spans="1:26" x14ac:dyDescent="0.25">
      <c r="A235" s="67" t="s">
        <v>150</v>
      </c>
      <c r="B235" s="67" t="s">
        <v>559</v>
      </c>
      <c r="C235" s="2">
        <v>297</v>
      </c>
      <c r="D235">
        <f>RTD("tos.rtd", , "LAST", Main_S[[#This Row],[Symbol]])</f>
        <v>37.270000000000003</v>
      </c>
      <c r="E235">
        <v>-65.099999999999994</v>
      </c>
      <c r="F235">
        <v>57.66</v>
      </c>
      <c r="G235">
        <v>2.98</v>
      </c>
      <c r="H235" s="1">
        <f>IF(ISNUMBER(Main_S[[#This Row],[Free CF]]),IF(Main_S[[#This Row],[Free CF]]&lt;&gt;0,Main_S[[#This Row],[Current Price]]/Main_S[[#This Row],[Free CF]],""),"")</f>
        <v>-0.57250384024577583</v>
      </c>
      <c r="I235" s="1">
        <f>IF(ISNUMBER(Main_S[[#This Row],[BVPS]]),IF(Main_S[[#This Row],[BVPS]]&lt;&gt;0,Main_S[[#This Row],[Current Price]]/Main_S[[#This Row],[BVPS]],""),"")</f>
        <v>0.64637530350329531</v>
      </c>
      <c r="J235">
        <v>5.5</v>
      </c>
      <c r="K235">
        <v>2.2799999999999998</v>
      </c>
      <c r="L235">
        <v>35.33</v>
      </c>
      <c r="M235" s="1">
        <f>IF(ISNUMBER(Main_S[[#This Row],[EPS]]),IF(Main_S[[#This Row],[EPS]]&lt;&gt;0,Main_S[[#This Row],[Current Price]]/Main_S[[#This Row],[EPS]],""),"")</f>
        <v>12.506711409395974</v>
      </c>
      <c r="N2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5" s="1">
        <f>(Main_S[[#This Row],[P/FCF]]-VLOOKUP(Main_S[[#This Row],[Industry]], Mean_PFCF_S, 2, FALSE))/(VLOOKUP(Main_S[[#This Row],[Industry]], Mean_PFCF_S, 3, FALSE))</f>
        <v>-0.29196927544456996</v>
      </c>
      <c r="P235" s="1">
        <f>(Main_S[[#This Row],[P/B]]-VLOOKUP(Main_S[[#This Row],[Industry]], Mean_PB_S, 2, FALSE))/(VLOOKUP(Main_S[[#This Row],[Industry]], Mean_PB_S, 3, FALSE))</f>
        <v>-0.70550492752985494</v>
      </c>
      <c r="Q235" s="1">
        <f>(Main_S[[#This Row],[ROE]]-VLOOKUP(Main_S[[#This Row],[Industry]], Mean_ROE_S, 2, FALSE))/(VLOOKUP(Main_S[[#This Row],[Industry]], Mean_ROE_S, 3, FALSE))</f>
        <v>-2.8296028235899447E-2</v>
      </c>
      <c r="R235" s="1">
        <f>(Main_S[[#This Row],[ROA]]-VLOOKUP(Main_S[[#This Row],[Industry]], Mean_ROA_S, 2, FALSE))/(VLOOKUP(Main_S[[#This Row],[Industry]], Mean_ROA_S, 3, FALSE))</f>
        <v>5.907425295915756E-2</v>
      </c>
      <c r="S235" s="1">
        <f>(Main_S[[#This Row],[A/E]]-VLOOKUP(Main_S[[#This Row],[Industry]], Mean_AE_S, 2, FALSE))/(VLOOKUP(Main_S[[#This Row],[Industry]], Mean_AE_S, 3, FALSE))</f>
        <v>6.1821725000004442</v>
      </c>
      <c r="T235" s="1">
        <f>(Main_S[[#This Row],[P/E]]-VLOOKUP(Main_S[[#This Row],[Industry]], Mean_PE_S, 2, FALSE))/(VLOOKUP(Main_S[[#This Row],[Industry]], Mean_PE_S, 3, FALSE))</f>
        <v>0.46548902558726823</v>
      </c>
      <c r="U2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6" spans="1:26" x14ac:dyDescent="0.25">
      <c r="A236" s="67" t="s">
        <v>214</v>
      </c>
      <c r="B236" s="67" t="s">
        <v>714</v>
      </c>
      <c r="C236" s="2">
        <v>324</v>
      </c>
      <c r="D236">
        <f>RTD("tos.rtd", , "LAST", Main_S[[#This Row],[Symbol]])</f>
        <v>17</v>
      </c>
      <c r="H236" s="1" t="str">
        <f>IF(ISNUMBER(Main_S[[#This Row],[Free CF]]),IF(Main_S[[#This Row],[Free CF]]&lt;&gt;0,Main_S[[#This Row],[Current Price]]/Main_S[[#This Row],[Free CF]],""),"")</f>
        <v/>
      </c>
      <c r="I236" s="1" t="str">
        <f>IF(ISNUMBER(Main_S[[#This Row],[BVPS]]),IF(Main_S[[#This Row],[BVPS]]&lt;&gt;0,Main_S[[#This Row],[Current Price]]/Main_S[[#This Row],[BVPS]],""),"")</f>
        <v/>
      </c>
      <c r="J236">
        <v>26.82</v>
      </c>
      <c r="K236">
        <v>3.1</v>
      </c>
      <c r="L236">
        <v>7.38</v>
      </c>
      <c r="M236" s="1" t="str">
        <f>IF(ISNUMBER(Main_S[[#This Row],[EPS]]),IF(Main_S[[#This Row],[EPS]]&lt;&gt;0,Main_S[[#This Row],[Current Price]]/Main_S[[#This Row],[EPS]],""),"")</f>
        <v/>
      </c>
      <c r="N2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6" s="1" t="e">
        <f>(Main_S[[#This Row],[P/FCF]]-VLOOKUP(Main_S[[#This Row],[Industry]], Mean_PFCF_S, 2, FALSE))/(VLOOKUP(Main_S[[#This Row],[Industry]], Mean_PFCF_S, 3, FALSE))</f>
        <v>#VALUE!</v>
      </c>
      <c r="P236" s="1" t="e">
        <f>(Main_S[[#This Row],[P/B]]-VLOOKUP(Main_S[[#This Row],[Industry]], Mean_PB_S, 2, FALSE))/(VLOOKUP(Main_S[[#This Row],[Industry]], Mean_PB_S, 3, FALSE))</f>
        <v>#VALUE!</v>
      </c>
      <c r="Q236" s="1">
        <f>(Main_S[[#This Row],[ROE]]-VLOOKUP(Main_S[[#This Row],[Industry]], Mean_ROE_S, 2, FALSE))/(VLOOKUP(Main_S[[#This Row],[Industry]], Mean_ROE_S, 3, FALSE))</f>
        <v>1.5333565468458092</v>
      </c>
      <c r="R236" s="1">
        <f>(Main_S[[#This Row],[ROA]]-VLOOKUP(Main_S[[#This Row],[Industry]], Mean_ROA_S, 2, FALSE))/(VLOOKUP(Main_S[[#This Row],[Industry]], Mean_ROA_S, 3, FALSE))</f>
        <v>0.92663482079861215</v>
      </c>
      <c r="S236" s="1">
        <f>(Main_S[[#This Row],[A/E]]-VLOOKUP(Main_S[[#This Row],[Industry]], Mean_AE_S, 2, FALSE))/(VLOOKUP(Main_S[[#This Row],[Industry]], Mean_AE_S, 3, FALSE))</f>
        <v>0.96920699549085354</v>
      </c>
      <c r="T236" s="1" t="e">
        <f>(Main_S[[#This Row],[P/E]]-VLOOKUP(Main_S[[#This Row],[Industry]], Mean_PE_S, 2, FALSE))/(VLOOKUP(Main_S[[#This Row],[Industry]], Mean_PE_S, 3, FALSE))</f>
        <v>#VALUE!</v>
      </c>
      <c r="U2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7" spans="1:26" x14ac:dyDescent="0.25">
      <c r="A237" s="67" t="s">
        <v>214</v>
      </c>
      <c r="B237" s="67" t="s">
        <v>718</v>
      </c>
      <c r="C237" s="2">
        <v>681</v>
      </c>
      <c r="D237">
        <f>RTD("tos.rtd", , "LAST", Main_S[[#This Row],[Symbol]])</f>
        <v>16.78</v>
      </c>
      <c r="H237" s="1" t="str">
        <f>IF(ISNUMBER(Main_S[[#This Row],[Free CF]]),IF(Main_S[[#This Row],[Free CF]]&lt;&gt;0,Main_S[[#This Row],[Current Price]]/Main_S[[#This Row],[Free CF]],""),"")</f>
        <v/>
      </c>
      <c r="I237" s="1" t="str">
        <f>IF(ISNUMBER(Main_S[[#This Row],[BVPS]]),IF(Main_S[[#This Row],[BVPS]]&lt;&gt;0,Main_S[[#This Row],[Current Price]]/Main_S[[#This Row],[BVPS]],""),"")</f>
        <v/>
      </c>
      <c r="J237">
        <v>65.58</v>
      </c>
      <c r="K237">
        <v>24.96</v>
      </c>
      <c r="L237">
        <v>-1.7</v>
      </c>
      <c r="M237" s="1" t="str">
        <f>IF(ISNUMBER(Main_S[[#This Row],[EPS]]),IF(Main_S[[#This Row],[EPS]]&lt;&gt;0,Main_S[[#This Row],[Current Price]]/Main_S[[#This Row],[EPS]],""),"")</f>
        <v/>
      </c>
      <c r="N2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7" s="1" t="e">
        <f>(Main_S[[#This Row],[P/FCF]]-VLOOKUP(Main_S[[#This Row],[Industry]], Mean_PFCF_S, 2, FALSE))/(VLOOKUP(Main_S[[#This Row],[Industry]], Mean_PFCF_S, 3, FALSE))</f>
        <v>#VALUE!</v>
      </c>
      <c r="P237" s="1" t="e">
        <f>(Main_S[[#This Row],[P/B]]-VLOOKUP(Main_S[[#This Row],[Industry]], Mean_PB_S, 2, FALSE))/(VLOOKUP(Main_S[[#This Row],[Industry]], Mean_PB_S, 3, FALSE))</f>
        <v>#VALUE!</v>
      </c>
      <c r="Q237" s="1">
        <f>(Main_S[[#This Row],[ROE]]-VLOOKUP(Main_S[[#This Row],[Industry]], Mean_ROE_S, 2, FALSE))/(VLOOKUP(Main_S[[#This Row],[Industry]], Mean_ROE_S, 3, FALSE))</f>
        <v>5.1091350862500793</v>
      </c>
      <c r="R237" s="1">
        <f>(Main_S[[#This Row],[ROA]]-VLOOKUP(Main_S[[#This Row],[Industry]], Mean_ROA_S, 2, FALSE))/(VLOOKUP(Main_S[[#This Row],[Industry]], Mean_ROA_S, 3, FALSE))</f>
        <v>18.701038588486519</v>
      </c>
      <c r="S237" s="1">
        <f>(Main_S[[#This Row],[A/E]]-VLOOKUP(Main_S[[#This Row],[Industry]], Mean_AE_S, 2, FALSE))/(VLOOKUP(Main_S[[#This Row],[Industry]], Mean_AE_S, 3, FALSE))</f>
        <v>-2.4590748584464088</v>
      </c>
      <c r="T237" s="1" t="e">
        <f>(Main_S[[#This Row],[P/E]]-VLOOKUP(Main_S[[#This Row],[Industry]], Mean_PE_S, 2, FALSE))/(VLOOKUP(Main_S[[#This Row],[Industry]], Mean_PE_S, 3, FALSE))</f>
        <v>#VALUE!</v>
      </c>
      <c r="U2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8" spans="1:26" x14ac:dyDescent="0.25">
      <c r="A238" s="67" t="s">
        <v>214</v>
      </c>
      <c r="B238" s="67" t="s">
        <v>655</v>
      </c>
      <c r="C238" s="2">
        <v>1949</v>
      </c>
      <c r="D238">
        <f>RTD("tos.rtd", , "LAST", Main_S[[#This Row],[Symbol]])</f>
        <v>161.47999999999999</v>
      </c>
      <c r="E238">
        <v>30.3</v>
      </c>
      <c r="F238">
        <v>48.55</v>
      </c>
      <c r="G238">
        <v>10.46</v>
      </c>
      <c r="H238" s="1">
        <f>IF(ISNUMBER(Main_S[[#This Row],[Free CF]]),IF(Main_S[[#This Row],[Free CF]]&lt;&gt;0,Main_S[[#This Row],[Current Price]]/Main_S[[#This Row],[Free CF]],""),"")</f>
        <v>5.3293729372937291</v>
      </c>
      <c r="I238" s="1">
        <f>IF(ISNUMBER(Main_S[[#This Row],[BVPS]]),IF(Main_S[[#This Row],[BVPS]]&lt;&gt;0,Main_S[[#This Row],[Current Price]]/Main_S[[#This Row],[BVPS]],""),"")</f>
        <v>3.32605561277034</v>
      </c>
      <c r="J238">
        <v>30.74</v>
      </c>
      <c r="K238">
        <v>6.33</v>
      </c>
      <c r="L238">
        <v>4.41</v>
      </c>
      <c r="M238" s="1">
        <f>IF(ISNUMBER(Main_S[[#This Row],[EPS]]),IF(Main_S[[#This Row],[EPS]]&lt;&gt;0,Main_S[[#This Row],[Current Price]]/Main_S[[#This Row],[EPS]],""),"")</f>
        <v>15.437858508604204</v>
      </c>
      <c r="N2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8" s="1">
        <f>(Main_S[[#This Row],[P/FCF]]-VLOOKUP(Main_S[[#This Row],[Industry]], Mean_PFCF_S, 2, FALSE))/(VLOOKUP(Main_S[[#This Row],[Industry]], Mean_PFCF_S, 3, FALSE))</f>
        <v>-0.56729036634096208</v>
      </c>
      <c r="P238" s="1">
        <f>(Main_S[[#This Row],[P/B]]-VLOOKUP(Main_S[[#This Row],[Industry]], Mean_PB_S, 2, FALSE))/(VLOOKUP(Main_S[[#This Row],[Industry]], Mean_PB_S, 3, FALSE))</f>
        <v>2.3668578929840765</v>
      </c>
      <c r="Q238" s="1">
        <f>(Main_S[[#This Row],[ROE]]-VLOOKUP(Main_S[[#This Row],[Industry]], Mean_ROE_S, 2, FALSE))/(VLOOKUP(Main_S[[#This Row],[Industry]], Mean_ROE_S, 3, FALSE))</f>
        <v>1.8949935921106371</v>
      </c>
      <c r="R238" s="1">
        <f>(Main_S[[#This Row],[ROA]]-VLOOKUP(Main_S[[#This Row],[Industry]], Mean_ROA_S, 2, FALSE))/(VLOOKUP(Main_S[[#This Row],[Industry]], Mean_ROA_S, 3, FALSE))</f>
        <v>3.5529534012941264</v>
      </c>
      <c r="S238" s="1">
        <f>(Main_S[[#This Row],[A/E]]-VLOOKUP(Main_S[[#This Row],[Industry]], Mean_AE_S, 2, FALSE))/(VLOOKUP(Main_S[[#This Row],[Industry]], Mean_AE_S, 3, FALSE))</f>
        <v>-0.15215832457452846</v>
      </c>
      <c r="T238" s="1">
        <f>(Main_S[[#This Row],[P/E]]-VLOOKUP(Main_S[[#This Row],[Industry]], Mean_PE_S, 2, FALSE))/(VLOOKUP(Main_S[[#This Row],[Industry]], Mean_PE_S, 3, FALSE))</f>
        <v>0.37901384887520378</v>
      </c>
      <c r="U2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9" spans="1:26" x14ac:dyDescent="0.25">
      <c r="A239" s="67" t="s">
        <v>214</v>
      </c>
      <c r="B239" s="67" t="s">
        <v>666</v>
      </c>
      <c r="C239" s="2">
        <v>724</v>
      </c>
      <c r="D239">
        <f>RTD("tos.rtd", , "LAST", Main_S[[#This Row],[Symbol]])</f>
        <v>28.34</v>
      </c>
      <c r="E239">
        <v>12.94</v>
      </c>
      <c r="F239">
        <v>32.130000000000003</v>
      </c>
      <c r="G239">
        <v>2.54</v>
      </c>
      <c r="H239" s="1">
        <f>IF(ISNUMBER(Main_S[[#This Row],[Free CF]]),IF(Main_S[[#This Row],[Free CF]]&lt;&gt;0,Main_S[[#This Row],[Current Price]]/Main_S[[#This Row],[Free CF]],""),"")</f>
        <v>2.1901081916537866</v>
      </c>
      <c r="I239" s="1">
        <f>IF(ISNUMBER(Main_S[[#This Row],[BVPS]]),IF(Main_S[[#This Row],[BVPS]]&lt;&gt;0,Main_S[[#This Row],[Current Price]]/Main_S[[#This Row],[BVPS]],""),"")</f>
        <v>0.88204170557111727</v>
      </c>
      <c r="J239">
        <v>8.51</v>
      </c>
      <c r="K239">
        <v>1.69</v>
      </c>
      <c r="L239">
        <v>4.32</v>
      </c>
      <c r="M239" s="1">
        <f>IF(ISNUMBER(Main_S[[#This Row],[EPS]]),IF(Main_S[[#This Row],[EPS]]&lt;&gt;0,Main_S[[#This Row],[Current Price]]/Main_S[[#This Row],[EPS]],""),"")</f>
        <v>11.15748031496063</v>
      </c>
      <c r="N2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9" s="1">
        <f>(Main_S[[#This Row],[P/FCF]]-VLOOKUP(Main_S[[#This Row],[Industry]], Mean_PFCF_S, 2, FALSE))/(VLOOKUP(Main_S[[#This Row],[Industry]], Mean_PFCF_S, 3, FALSE))</f>
        <v>-1.0133952266414834</v>
      </c>
      <c r="P239" s="1">
        <f>(Main_S[[#This Row],[P/B]]-VLOOKUP(Main_S[[#This Row],[Industry]], Mean_PB_S, 2, FALSE))/(VLOOKUP(Main_S[[#This Row],[Industry]], Mean_PB_S, 3, FALSE))</f>
        <v>-0.77636996748285014</v>
      </c>
      <c r="Q239" s="1">
        <f>(Main_S[[#This Row],[ROE]]-VLOOKUP(Main_S[[#This Row],[Industry]], Mean_ROE_S, 2, FALSE))/(VLOOKUP(Main_S[[#This Row],[Industry]], Mean_ROE_S, 3, FALSE))</f>
        <v>-0.15582057019475301</v>
      </c>
      <c r="R239" s="1">
        <f>(Main_S[[#This Row],[ROA]]-VLOOKUP(Main_S[[#This Row],[Industry]], Mean_ROA_S, 2, FALSE))/(VLOOKUP(Main_S[[#This Row],[Industry]], Mean_ROA_S, 3, FALSE))</f>
        <v>-0.21983861526908918</v>
      </c>
      <c r="S239" s="1">
        <f>(Main_S[[#This Row],[A/E]]-VLOOKUP(Main_S[[#This Row],[Industry]], Mean_AE_S, 2, FALSE))/(VLOOKUP(Main_S[[#This Row],[Industry]], Mean_AE_S, 3, FALSE))</f>
        <v>-0.18613909184923694</v>
      </c>
      <c r="T239" s="1">
        <f>(Main_S[[#This Row],[P/E]]-VLOOKUP(Main_S[[#This Row],[Industry]], Mean_PE_S, 2, FALSE))/(VLOOKUP(Main_S[[#This Row],[Industry]], Mean_PE_S, 3, FALSE))</f>
        <v>-6.7407227144720944E-2</v>
      </c>
      <c r="U2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0" spans="1:26" x14ac:dyDescent="0.25">
      <c r="A240" s="67" t="s">
        <v>214</v>
      </c>
      <c r="B240" s="67" t="s">
        <v>645</v>
      </c>
      <c r="C240" s="2">
        <v>1771</v>
      </c>
      <c r="D240">
        <f>RTD("tos.rtd", , "LAST", Main_S[[#This Row],[Symbol]])</f>
        <v>43</v>
      </c>
      <c r="E240">
        <v>12.55</v>
      </c>
      <c r="F240">
        <v>32.79</v>
      </c>
      <c r="G240">
        <v>2.76</v>
      </c>
      <c r="H240" s="1">
        <f>IF(ISNUMBER(Main_S[[#This Row],[Free CF]]),IF(Main_S[[#This Row],[Free CF]]&lt;&gt;0,Main_S[[#This Row],[Current Price]]/Main_S[[#This Row],[Free CF]],""),"")</f>
        <v>3.4262948207171311</v>
      </c>
      <c r="I240" s="1">
        <f>IF(ISNUMBER(Main_S[[#This Row],[BVPS]]),IF(Main_S[[#This Row],[BVPS]]&lt;&gt;0,Main_S[[#This Row],[Current Price]]/Main_S[[#This Row],[BVPS]],""),"")</f>
        <v>1.3113754193351632</v>
      </c>
      <c r="J240">
        <v>8.9700000000000006</v>
      </c>
      <c r="K240">
        <v>0.78</v>
      </c>
      <c r="L240">
        <v>10.72</v>
      </c>
      <c r="M240" s="1">
        <f>IF(ISNUMBER(Main_S[[#This Row],[EPS]]),IF(Main_S[[#This Row],[EPS]]&lt;&gt;0,Main_S[[#This Row],[Current Price]]/Main_S[[#This Row],[EPS]],""),"")</f>
        <v>15.579710144927537</v>
      </c>
      <c r="N2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0" s="1">
        <f>(Main_S[[#This Row],[P/FCF]]-VLOOKUP(Main_S[[#This Row],[Industry]], Mean_PFCF_S, 2, FALSE))/(VLOOKUP(Main_S[[#This Row],[Industry]], Mean_PFCF_S, 3, FALSE))</f>
        <v>-0.8377270660540086</v>
      </c>
      <c r="P240" s="1">
        <f>(Main_S[[#This Row],[P/B]]-VLOOKUP(Main_S[[#This Row],[Industry]], Mean_PB_S, 2, FALSE))/(VLOOKUP(Main_S[[#This Row],[Industry]], Mean_PB_S, 3, FALSE))</f>
        <v>-0.22420711498608709</v>
      </c>
      <c r="Q240" s="1">
        <f>(Main_S[[#This Row],[ROE]]-VLOOKUP(Main_S[[#This Row],[Industry]], Mean_ROE_S, 2, FALSE))/(VLOOKUP(Main_S[[#This Row],[Industry]], Mean_ROE_S, 3, FALSE))</f>
        <v>-0.11338356998510474</v>
      </c>
      <c r="R240" s="1">
        <f>(Main_S[[#This Row],[ROA]]-VLOOKUP(Main_S[[#This Row],[Industry]], Mean_ROA_S, 2, FALSE))/(VLOOKUP(Main_S[[#This Row],[Industry]], Mean_ROA_S, 3, FALSE))</f>
        <v>-0.95976118748299555</v>
      </c>
      <c r="S240" s="1">
        <f>(Main_S[[#This Row],[A/E]]-VLOOKUP(Main_S[[#This Row],[Industry]], Mean_AE_S, 2, FALSE))/(VLOOKUP(Main_S[[#This Row],[Industry]], Mean_AE_S, 3, FALSE))</f>
        <v>2.2302710254633711</v>
      </c>
      <c r="T240" s="1">
        <f>(Main_S[[#This Row],[P/E]]-VLOOKUP(Main_S[[#This Row],[Industry]], Mean_PE_S, 2, FALSE))/(VLOOKUP(Main_S[[#This Row],[Industry]], Mean_PE_S, 3, FALSE))</f>
        <v>0.39380823321644925</v>
      </c>
      <c r="U2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1" spans="1:26" x14ac:dyDescent="0.25">
      <c r="A241" s="67" t="s">
        <v>214</v>
      </c>
      <c r="B241" s="67" t="s">
        <v>659</v>
      </c>
      <c r="C241" s="2">
        <v>441</v>
      </c>
      <c r="D241">
        <f>RTD("tos.rtd", , "LAST", Main_S[[#This Row],[Symbol]])</f>
        <v>196.36</v>
      </c>
      <c r="E241">
        <v>11.57</v>
      </c>
      <c r="F241">
        <v>134.9</v>
      </c>
      <c r="G241">
        <v>15.69</v>
      </c>
      <c r="H241" s="1">
        <f>IF(ISNUMBER(Main_S[[#This Row],[Free CF]]),IF(Main_S[[#This Row],[Free CF]]&lt;&gt;0,Main_S[[#This Row],[Current Price]]/Main_S[[#This Row],[Free CF]],""),"")</f>
        <v>16.971477960242005</v>
      </c>
      <c r="I241" s="1">
        <f>IF(ISNUMBER(Main_S[[#This Row],[BVPS]]),IF(Main_S[[#This Row],[BVPS]]&lt;&gt;0,Main_S[[#This Row],[Current Price]]/Main_S[[#This Row],[BVPS]],""),"")</f>
        <v>1.4555967383246851</v>
      </c>
      <c r="J241">
        <v>11.69</v>
      </c>
      <c r="K241">
        <v>7.07</v>
      </c>
      <c r="L241">
        <v>1.31</v>
      </c>
      <c r="M241" s="1">
        <f>IF(ISNUMBER(Main_S[[#This Row],[EPS]]),IF(Main_S[[#This Row],[EPS]]&lt;&gt;0,Main_S[[#This Row],[Current Price]]/Main_S[[#This Row],[EPS]],""),"")</f>
        <v>12.514977692797961</v>
      </c>
      <c r="N2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1" s="1">
        <f>(Main_S[[#This Row],[P/FCF]]-VLOOKUP(Main_S[[#This Row],[Industry]], Mean_PFCF_S, 2, FALSE))/(VLOOKUP(Main_S[[#This Row],[Industry]], Mean_PFCF_S, 3, FALSE))</f>
        <v>1.0871096462988179</v>
      </c>
      <c r="P241" s="1">
        <f>(Main_S[[#This Row],[P/B]]-VLOOKUP(Main_S[[#This Row],[Industry]], Mean_PB_S, 2, FALSE))/(VLOOKUP(Main_S[[#This Row],[Industry]], Mean_PB_S, 3, FALSE))</f>
        <v>-3.8725163927696232E-2</v>
      </c>
      <c r="Q241" s="1">
        <f>(Main_S[[#This Row],[ROE]]-VLOOKUP(Main_S[[#This Row],[Industry]], Mean_ROE_S, 2, FALSE))/(VLOOKUP(Main_S[[#This Row],[Industry]], Mean_ROE_S, 3, FALSE))</f>
        <v>0.1375482573415106</v>
      </c>
      <c r="R241" s="1">
        <f>(Main_S[[#This Row],[ROA]]-VLOOKUP(Main_S[[#This Row],[Industry]], Mean_ROA_S, 2, FALSE))/(VLOOKUP(Main_S[[#This Row],[Industry]], Mean_ROA_S, 3, FALSE))</f>
        <v>4.1546486797977424</v>
      </c>
      <c r="S241" s="1">
        <f>(Main_S[[#This Row],[A/E]]-VLOOKUP(Main_S[[#This Row],[Industry]], Mean_AE_S, 2, FALSE))/(VLOOKUP(Main_S[[#This Row],[Industry]], Mean_AE_S, 3, FALSE))</f>
        <v>-1.3226069751478229</v>
      </c>
      <c r="T241" s="1">
        <f>(Main_S[[#This Row],[P/E]]-VLOOKUP(Main_S[[#This Row],[Industry]], Mean_PE_S, 2, FALSE))/(VLOOKUP(Main_S[[#This Row],[Industry]], Mean_PE_S, 3, FALSE))</f>
        <v>7.4172654980720634E-2</v>
      </c>
      <c r="U2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2" spans="1:26" x14ac:dyDescent="0.25">
      <c r="A242" s="67" t="s">
        <v>214</v>
      </c>
      <c r="B242" s="67" t="s">
        <v>662</v>
      </c>
      <c r="C242" s="2">
        <v>1223</v>
      </c>
      <c r="D242">
        <f>RTD("tos.rtd", , "LAST", Main_S[[#This Row],[Symbol]])</f>
        <v>79.319999999999993</v>
      </c>
      <c r="E242">
        <v>10.29</v>
      </c>
      <c r="F242">
        <v>57.12</v>
      </c>
      <c r="G242">
        <v>4.9000000000000004</v>
      </c>
      <c r="H242" s="1">
        <f>IF(ISNUMBER(Main_S[[#This Row],[Free CF]]),IF(Main_S[[#This Row],[Free CF]]&lt;&gt;0,Main_S[[#This Row],[Current Price]]/Main_S[[#This Row],[Free CF]],""),"")</f>
        <v>7.7084548104956268</v>
      </c>
      <c r="I242" s="1">
        <f>IF(ISNUMBER(Main_S[[#This Row],[BVPS]]),IF(Main_S[[#This Row],[BVPS]]&lt;&gt;0,Main_S[[#This Row],[Current Price]]/Main_S[[#This Row],[BVPS]],""),"")</f>
        <v>1.3886554621848739</v>
      </c>
      <c r="J242">
        <v>8.75</v>
      </c>
      <c r="K242">
        <v>2.65</v>
      </c>
      <c r="L242">
        <v>2.69</v>
      </c>
      <c r="M242" s="1">
        <f>IF(ISNUMBER(Main_S[[#This Row],[EPS]]),IF(Main_S[[#This Row],[EPS]]&lt;&gt;0,Main_S[[#This Row],[Current Price]]/Main_S[[#This Row],[EPS]],""),"")</f>
        <v>16.187755102040814</v>
      </c>
      <c r="N2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2" s="1">
        <f>(Main_S[[#This Row],[P/FCF]]-VLOOKUP(Main_S[[#This Row],[Industry]], Mean_PFCF_S, 2, FALSE))/(VLOOKUP(Main_S[[#This Row],[Industry]], Mean_PFCF_S, 3, FALSE))</f>
        <v>-0.22921120683003546</v>
      </c>
      <c r="P242" s="1">
        <f>(Main_S[[#This Row],[P/B]]-VLOOKUP(Main_S[[#This Row],[Industry]], Mean_PB_S, 2, FALSE))/(VLOOKUP(Main_S[[#This Row],[Industry]], Mean_PB_S, 3, FALSE))</f>
        <v>-0.12481783449641273</v>
      </c>
      <c r="Q242" s="1">
        <f>(Main_S[[#This Row],[ROE]]-VLOOKUP(Main_S[[#This Row],[Industry]], Mean_ROE_S, 2, FALSE))/(VLOOKUP(Main_S[[#This Row],[Industry]], Mean_ROE_S, 3, FALSE))</f>
        <v>-0.13367952660711047</v>
      </c>
      <c r="R242" s="1">
        <f>(Main_S[[#This Row],[ROA]]-VLOOKUP(Main_S[[#This Row],[Industry]], Mean_ROA_S, 2, FALSE))/(VLOOKUP(Main_S[[#This Row],[Industry]], Mean_ROA_S, 3, FALSE))</f>
        <v>0.56073904333019664</v>
      </c>
      <c r="S242" s="1">
        <f>(Main_S[[#This Row],[A/E]]-VLOOKUP(Main_S[[#This Row],[Industry]], Mean_AE_S, 2, FALSE))/(VLOOKUP(Main_S[[#This Row],[Industry]], Mean_AE_S, 3, FALSE))</f>
        <v>-0.80156854360229191</v>
      </c>
      <c r="T242" s="1">
        <f>(Main_S[[#This Row],[P/E]]-VLOOKUP(Main_S[[#This Row],[Industry]], Mean_PE_S, 2, FALSE))/(VLOOKUP(Main_S[[#This Row],[Industry]], Mean_PE_S, 3, FALSE))</f>
        <v>0.45722414455486715</v>
      </c>
      <c r="U2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3" spans="1:26" x14ac:dyDescent="0.25">
      <c r="A243" s="67" t="s">
        <v>214</v>
      </c>
      <c r="B243" s="67" t="s">
        <v>649</v>
      </c>
      <c r="C243" s="2">
        <v>1218</v>
      </c>
      <c r="D243">
        <f>RTD("tos.rtd", , "LAST", Main_S[[#This Row],[Symbol]])</f>
        <v>35.31</v>
      </c>
      <c r="E243">
        <v>9.44</v>
      </c>
      <c r="F243">
        <v>11.98</v>
      </c>
      <c r="G243">
        <v>1.33</v>
      </c>
      <c r="H243" s="1">
        <f>IF(ISNUMBER(Main_S[[#This Row],[Free CF]]),IF(Main_S[[#This Row],[Free CF]]&lt;&gt;0,Main_S[[#This Row],[Current Price]]/Main_S[[#This Row],[Free CF]],""),"")</f>
        <v>3.7404661016949157</v>
      </c>
      <c r="I243" s="1">
        <f>IF(ISNUMBER(Main_S[[#This Row],[BVPS]]),IF(Main_S[[#This Row],[BVPS]]&lt;&gt;0,Main_S[[#This Row],[Current Price]]/Main_S[[#This Row],[BVPS]],""),"")</f>
        <v>2.9474123539232053</v>
      </c>
      <c r="J243">
        <v>14.4</v>
      </c>
      <c r="K243">
        <v>2.66</v>
      </c>
      <c r="L243">
        <v>4.4800000000000004</v>
      </c>
      <c r="M243" s="1">
        <f>IF(ISNUMBER(Main_S[[#This Row],[EPS]]),IF(Main_S[[#This Row],[EPS]]&lt;&gt;0,Main_S[[#This Row],[Current Price]]/Main_S[[#This Row],[EPS]],""),"")</f>
        <v>26.548872180451127</v>
      </c>
      <c r="N2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3" s="1">
        <f>(Main_S[[#This Row],[P/FCF]]-VLOOKUP(Main_S[[#This Row],[Industry]], Mean_PFCF_S, 2, FALSE))/(VLOOKUP(Main_S[[#This Row],[Industry]], Mean_PFCF_S, 3, FALSE))</f>
        <v>-0.793081791836316</v>
      </c>
      <c r="P243" s="1">
        <f>(Main_S[[#This Row],[P/B]]-VLOOKUP(Main_S[[#This Row],[Industry]], Mean_PB_S, 2, FALSE))/(VLOOKUP(Main_S[[#This Row],[Industry]], Mean_PB_S, 3, FALSE))</f>
        <v>1.879887652397271</v>
      </c>
      <c r="Q243" s="1">
        <f>(Main_S[[#This Row],[ROE]]-VLOOKUP(Main_S[[#This Row],[Industry]], Mean_ROE_S, 2, FALSE))/(VLOOKUP(Main_S[[#This Row],[Industry]], Mean_ROE_S, 3, FALSE))</f>
        <v>0.38755754118530772</v>
      </c>
      <c r="R243" s="1">
        <f>(Main_S[[#This Row],[ROA]]-VLOOKUP(Main_S[[#This Row],[Industry]], Mean_ROA_S, 2, FALSE))/(VLOOKUP(Main_S[[#This Row],[Industry]], Mean_ROA_S, 3, FALSE))</f>
        <v>0.56887006060727274</v>
      </c>
      <c r="S243" s="1">
        <f>(Main_S[[#This Row],[A/E]]-VLOOKUP(Main_S[[#This Row],[Industry]], Mean_AE_S, 2, FALSE))/(VLOOKUP(Main_S[[#This Row],[Industry]], Mean_AE_S, 3, FALSE))</f>
        <v>-0.1257288389164217</v>
      </c>
      <c r="T243" s="1">
        <f>(Main_S[[#This Row],[P/E]]-VLOOKUP(Main_S[[#This Row],[Industry]], Mean_PE_S, 2, FALSE))/(VLOOKUP(Main_S[[#This Row],[Industry]], Mean_PE_S, 3, FALSE))</f>
        <v>1.5378345078590185</v>
      </c>
      <c r="U2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4" spans="1:26" x14ac:dyDescent="0.25">
      <c r="A244" s="67" t="s">
        <v>214</v>
      </c>
      <c r="B244" s="67" t="s">
        <v>667</v>
      </c>
      <c r="C244" s="2">
        <v>764</v>
      </c>
      <c r="D244">
        <f>RTD("tos.rtd", , "LAST", Main_S[[#This Row],[Symbol]])</f>
        <v>26.89</v>
      </c>
      <c r="E244">
        <v>8.33</v>
      </c>
      <c r="F244">
        <v>14.98</v>
      </c>
      <c r="G244">
        <v>2.29</v>
      </c>
      <c r="H244" s="1">
        <f>IF(ISNUMBER(Main_S[[#This Row],[Free CF]]),IF(Main_S[[#This Row],[Free CF]]&lt;&gt;0,Main_S[[#This Row],[Current Price]]/Main_S[[#This Row],[Free CF]],""),"")</f>
        <v>3.2280912364945977</v>
      </c>
      <c r="I244" s="1">
        <f>IF(ISNUMBER(Main_S[[#This Row],[BVPS]]),IF(Main_S[[#This Row],[BVPS]]&lt;&gt;0,Main_S[[#This Row],[Current Price]]/Main_S[[#This Row],[BVPS]],""),"")</f>
        <v>1.7950600801068091</v>
      </c>
      <c r="J244">
        <v>16.95</v>
      </c>
      <c r="K244">
        <v>2.56</v>
      </c>
      <c r="L244">
        <v>6.43</v>
      </c>
      <c r="M244" s="1">
        <f>IF(ISNUMBER(Main_S[[#This Row],[EPS]]),IF(Main_S[[#This Row],[EPS]]&lt;&gt;0,Main_S[[#This Row],[Current Price]]/Main_S[[#This Row],[EPS]],""),"")</f>
        <v>11.742358078602621</v>
      </c>
      <c r="N2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4" s="1">
        <f>(Main_S[[#This Row],[P/FCF]]-VLOOKUP(Main_S[[#This Row],[Industry]], Mean_PFCF_S, 2, FALSE))/(VLOOKUP(Main_S[[#This Row],[Industry]], Mean_PFCF_S, 3, FALSE))</f>
        <v>-0.86589276388929315</v>
      </c>
      <c r="P244" s="1">
        <f>(Main_S[[#This Row],[P/B]]-VLOOKUP(Main_S[[#This Row],[Industry]], Mean_PB_S, 2, FALSE))/(VLOOKUP(Main_S[[#This Row],[Industry]], Mean_PB_S, 3, FALSE))</f>
        <v>0.39785608070177703</v>
      </c>
      <c r="Q244" s="1">
        <f>(Main_S[[#This Row],[ROE]]-VLOOKUP(Main_S[[#This Row],[Industry]], Mean_ROE_S, 2, FALSE))/(VLOOKUP(Main_S[[#This Row],[Industry]], Mean_ROE_S, 3, FALSE))</f>
        <v>0.62280612930400958</v>
      </c>
      <c r="R244" s="1">
        <f>(Main_S[[#This Row],[ROA]]-VLOOKUP(Main_S[[#This Row],[Industry]], Mean_ROA_S, 2, FALSE))/(VLOOKUP(Main_S[[#This Row],[Industry]], Mean_ROA_S, 3, FALSE))</f>
        <v>0.48755988783651377</v>
      </c>
      <c r="S244" s="1">
        <f>(Main_S[[#This Row],[A/E]]-VLOOKUP(Main_S[[#This Row],[Industry]], Mean_AE_S, 2, FALSE))/(VLOOKUP(Main_S[[#This Row],[Industry]], Mean_AE_S, 3, FALSE))</f>
        <v>0.61052111870226322</v>
      </c>
      <c r="T244" s="1">
        <f>(Main_S[[#This Row],[P/E]]-VLOOKUP(Main_S[[#This Row],[Industry]], Mean_PE_S, 2, FALSE))/(VLOOKUP(Main_S[[#This Row],[Industry]], Mean_PE_S, 3, FALSE))</f>
        <v>-6.4075330118695912E-3</v>
      </c>
      <c r="U2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5" spans="1:26" x14ac:dyDescent="0.25">
      <c r="A245" s="67" t="s">
        <v>214</v>
      </c>
      <c r="B245" s="67" t="s">
        <v>658</v>
      </c>
      <c r="C245" s="2">
        <v>1057</v>
      </c>
      <c r="D245">
        <f>RTD("tos.rtd", , "LAST", Main_S[[#This Row],[Symbol]])</f>
        <v>22.87</v>
      </c>
      <c r="E245">
        <v>4.59</v>
      </c>
      <c r="F245">
        <v>14.64</v>
      </c>
      <c r="G245">
        <v>2.73</v>
      </c>
      <c r="H245" s="1">
        <f>IF(ISNUMBER(Main_S[[#This Row],[Free CF]]),IF(Main_S[[#This Row],[Free CF]]&lt;&gt;0,Main_S[[#This Row],[Current Price]]/Main_S[[#This Row],[Free CF]],""),"")</f>
        <v>4.9825708061002185</v>
      </c>
      <c r="I245" s="1">
        <f>IF(ISNUMBER(Main_S[[#This Row],[BVPS]]),IF(Main_S[[#This Row],[BVPS]]&lt;&gt;0,Main_S[[#This Row],[Current Price]]/Main_S[[#This Row],[BVPS]],""),"")</f>
        <v>1.5621584699453552</v>
      </c>
      <c r="J245">
        <v>20.63</v>
      </c>
      <c r="K245">
        <v>3.87</v>
      </c>
      <c r="L245">
        <v>3.21</v>
      </c>
      <c r="M245" s="1">
        <f>IF(ISNUMBER(Main_S[[#This Row],[EPS]]),IF(Main_S[[#This Row],[EPS]]&lt;&gt;0,Main_S[[#This Row],[Current Price]]/Main_S[[#This Row],[EPS]],""),"")</f>
        <v>8.3772893772893777</v>
      </c>
      <c r="N2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5" s="1">
        <f>(Main_S[[#This Row],[P/FCF]]-VLOOKUP(Main_S[[#This Row],[Industry]], Mean_PFCF_S, 2, FALSE))/(VLOOKUP(Main_S[[#This Row],[Industry]], Mean_PFCF_S, 3, FALSE))</f>
        <v>-0.61657264382420962</v>
      </c>
      <c r="P245" s="1">
        <f>(Main_S[[#This Row],[P/B]]-VLOOKUP(Main_S[[#This Row],[Industry]], Mean_PB_S, 2, FALSE))/(VLOOKUP(Main_S[[#This Row],[Industry]], Mean_PB_S, 3, FALSE))</f>
        <v>9.8323075733726784E-2</v>
      </c>
      <c r="Q245" s="1">
        <f>(Main_S[[#This Row],[ROE]]-VLOOKUP(Main_S[[#This Row],[Industry]], Mean_ROE_S, 2, FALSE))/(VLOOKUP(Main_S[[#This Row],[Industry]], Mean_ROE_S, 3, FALSE))</f>
        <v>0.96230213098119521</v>
      </c>
      <c r="R245" s="1">
        <f>(Main_S[[#This Row],[ROA]]-VLOOKUP(Main_S[[#This Row],[Industry]], Mean_ROA_S, 2, FALSE))/(VLOOKUP(Main_S[[#This Row],[Industry]], Mean_ROA_S, 3, FALSE))</f>
        <v>1.552723151133456</v>
      </c>
      <c r="S245" s="1">
        <f>(Main_S[[#This Row],[A/E]]-VLOOKUP(Main_S[[#This Row],[Industry]], Mean_AE_S, 2, FALSE))/(VLOOKUP(Main_S[[#This Row],[Industry]], Mean_AE_S, 3, FALSE))</f>
        <v>-0.60523522157064247</v>
      </c>
      <c r="T245" s="1">
        <f>(Main_S[[#This Row],[P/E]]-VLOOKUP(Main_S[[#This Row],[Industry]], Mean_PE_S, 2, FALSE))/(VLOOKUP(Main_S[[#This Row],[Industry]], Mean_PE_S, 3, FALSE))</f>
        <v>-0.35736661245771711</v>
      </c>
      <c r="U2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6" spans="1:26" x14ac:dyDescent="0.25">
      <c r="A246" s="67" t="s">
        <v>214</v>
      </c>
      <c r="B246" s="67" t="s">
        <v>664</v>
      </c>
      <c r="C246" s="2">
        <v>832</v>
      </c>
      <c r="D246">
        <f>RTD("tos.rtd", , "LAST", Main_S[[#This Row],[Symbol]])</f>
        <v>22.58</v>
      </c>
      <c r="E246">
        <v>3.79</v>
      </c>
      <c r="F246">
        <v>12.63</v>
      </c>
      <c r="G246">
        <v>1.2</v>
      </c>
      <c r="H246" s="1">
        <f>IF(ISNUMBER(Main_S[[#This Row],[Free CF]]),IF(Main_S[[#This Row],[Free CF]]&lt;&gt;0,Main_S[[#This Row],[Current Price]]/Main_S[[#This Row],[Free CF]],""),"")</f>
        <v>5.9577836411609493</v>
      </c>
      <c r="I246" s="1">
        <f>IF(ISNUMBER(Main_S[[#This Row],[BVPS]]),IF(Main_S[[#This Row],[BVPS]]&lt;&gt;0,Main_S[[#This Row],[Current Price]]/Main_S[[#This Row],[BVPS]],""),"")</f>
        <v>1.7878068091844812</v>
      </c>
      <c r="J246">
        <v>13.22</v>
      </c>
      <c r="K246">
        <v>2.0699999999999998</v>
      </c>
      <c r="L246">
        <v>12.28</v>
      </c>
      <c r="M246" s="1">
        <f>IF(ISNUMBER(Main_S[[#This Row],[EPS]]),IF(Main_S[[#This Row],[EPS]]&lt;&gt;0,Main_S[[#This Row],[Current Price]]/Main_S[[#This Row],[EPS]],""),"")</f>
        <v>18.816666666666666</v>
      </c>
      <c r="N2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6" s="1">
        <f>(Main_S[[#This Row],[P/FCF]]-VLOOKUP(Main_S[[#This Row],[Industry]], Mean_PFCF_S, 2, FALSE))/(VLOOKUP(Main_S[[#This Row],[Industry]], Mean_PFCF_S, 3, FALSE))</f>
        <v>-0.47799013460695733</v>
      </c>
      <c r="P246" s="1">
        <f>(Main_S[[#This Row],[P/B]]-VLOOKUP(Main_S[[#This Row],[Industry]], Mean_PB_S, 2, FALSE))/(VLOOKUP(Main_S[[#This Row],[Industry]], Mean_PB_S, 3, FALSE))</f>
        <v>0.38852770365145894</v>
      </c>
      <c r="Q246" s="1">
        <f>(Main_S[[#This Row],[ROE]]-VLOOKUP(Main_S[[#This Row],[Industry]], Mean_ROE_S, 2, FALSE))/(VLOOKUP(Main_S[[#This Row],[Industry]], Mean_ROE_S, 3, FALSE))</f>
        <v>0.27869741021273192</v>
      </c>
      <c r="R246" s="1">
        <f>(Main_S[[#This Row],[ROA]]-VLOOKUP(Main_S[[#This Row],[Industry]], Mean_ROA_S, 2, FALSE))/(VLOOKUP(Main_S[[#This Row],[Industry]], Mean_ROA_S, 3, FALSE))</f>
        <v>8.9140041259794731E-2</v>
      </c>
      <c r="S246" s="1">
        <f>(Main_S[[#This Row],[A/E]]-VLOOKUP(Main_S[[#This Row],[Industry]], Mean_AE_S, 2, FALSE))/(VLOOKUP(Main_S[[#This Row],[Industry]], Mean_AE_S, 3, FALSE))</f>
        <v>2.819270991558319</v>
      </c>
      <c r="T246" s="1">
        <f>(Main_S[[#This Row],[P/E]]-VLOOKUP(Main_S[[#This Row],[Industry]], Mean_PE_S, 2, FALSE))/(VLOOKUP(Main_S[[#This Row],[Industry]], Mean_PE_S, 3, FALSE))</f>
        <v>0.73140588185656452</v>
      </c>
      <c r="U2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7" spans="1:26" x14ac:dyDescent="0.25">
      <c r="A247" s="67" t="s">
        <v>214</v>
      </c>
      <c r="B247" s="67" t="s">
        <v>652</v>
      </c>
      <c r="C247" s="2">
        <v>1170</v>
      </c>
      <c r="D247">
        <f>RTD("tos.rtd", , "LAST", Main_S[[#This Row],[Symbol]])</f>
        <v>47.09</v>
      </c>
      <c r="E247">
        <v>3.48</v>
      </c>
      <c r="F247">
        <v>44.43</v>
      </c>
      <c r="G247">
        <v>4.13</v>
      </c>
      <c r="H247" s="1">
        <f>IF(ISNUMBER(Main_S[[#This Row],[Free CF]]),IF(Main_S[[#This Row],[Free CF]]&lt;&gt;0,Main_S[[#This Row],[Current Price]]/Main_S[[#This Row],[Free CF]],""),"")</f>
        <v>13.5316091954023</v>
      </c>
      <c r="I247" s="1">
        <f>IF(ISNUMBER(Main_S[[#This Row],[BVPS]]),IF(Main_S[[#This Row],[BVPS]]&lt;&gt;0,Main_S[[#This Row],[Current Price]]/Main_S[[#This Row],[BVPS]],""),"")</f>
        <v>1.0598694575737115</v>
      </c>
      <c r="J247">
        <v>9.84</v>
      </c>
      <c r="K247">
        <v>2.2400000000000002</v>
      </c>
      <c r="L247">
        <v>3.31</v>
      </c>
      <c r="M247" s="1">
        <f>IF(ISNUMBER(Main_S[[#This Row],[EPS]]),IF(Main_S[[#This Row],[EPS]]&lt;&gt;0,Main_S[[#This Row],[Current Price]]/Main_S[[#This Row],[EPS]],""),"")</f>
        <v>11.401937046004845</v>
      </c>
      <c r="N2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7" s="1">
        <f>(Main_S[[#This Row],[P/FCF]]-VLOOKUP(Main_S[[#This Row],[Industry]], Mean_PFCF_S, 2, FALSE))/(VLOOKUP(Main_S[[#This Row],[Industry]], Mean_PFCF_S, 3, FALSE))</f>
        <v>0.59828748597537407</v>
      </c>
      <c r="P247" s="1">
        <f>(Main_S[[#This Row],[P/B]]-VLOOKUP(Main_S[[#This Row],[Industry]], Mean_PB_S, 2, FALSE))/(VLOOKUP(Main_S[[#This Row],[Industry]], Mean_PB_S, 3, FALSE))</f>
        <v>-0.54766703628746116</v>
      </c>
      <c r="Q247" s="1">
        <f>(Main_S[[#This Row],[ROE]]-VLOOKUP(Main_S[[#This Row],[Industry]], Mean_ROE_S, 2, FALSE))/(VLOOKUP(Main_S[[#This Row],[Industry]], Mean_ROE_S, 3, FALSE))</f>
        <v>-3.3122286979900599E-2</v>
      </c>
      <c r="R247" s="1">
        <f>(Main_S[[#This Row],[ROA]]-VLOOKUP(Main_S[[#This Row],[Industry]], Mean_ROA_S, 2, FALSE))/(VLOOKUP(Main_S[[#This Row],[Industry]], Mean_ROA_S, 3, FALSE))</f>
        <v>0.22736733497008524</v>
      </c>
      <c r="S247" s="1">
        <f>(Main_S[[#This Row],[A/E]]-VLOOKUP(Main_S[[#This Row],[Industry]], Mean_AE_S, 2, FALSE))/(VLOOKUP(Main_S[[#This Row],[Industry]], Mean_AE_S, 3, FALSE))</f>
        <v>-0.56747881348763296</v>
      </c>
      <c r="T247" s="1">
        <f>(Main_S[[#This Row],[P/E]]-VLOOKUP(Main_S[[#This Row],[Industry]], Mean_PE_S, 2, FALSE))/(VLOOKUP(Main_S[[#This Row],[Industry]], Mean_PE_S, 3, FALSE))</f>
        <v>-4.191166764599899E-2</v>
      </c>
      <c r="U2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8" spans="1:26" x14ac:dyDescent="0.25">
      <c r="A248" s="67" t="s">
        <v>214</v>
      </c>
      <c r="B248" s="67" t="s">
        <v>663</v>
      </c>
      <c r="C248" s="2">
        <v>1685</v>
      </c>
      <c r="D248">
        <f>RTD("tos.rtd", , "LAST", Main_S[[#This Row],[Symbol]])</f>
        <v>61.61</v>
      </c>
      <c r="E248">
        <v>3.35</v>
      </c>
      <c r="F248">
        <v>50.16</v>
      </c>
      <c r="G248">
        <v>2.6</v>
      </c>
      <c r="H248" s="1">
        <f>IF(ISNUMBER(Main_S[[#This Row],[Free CF]]),IF(Main_S[[#This Row],[Free CF]]&lt;&gt;0,Main_S[[#This Row],[Current Price]]/Main_S[[#This Row],[Free CF]],""),"")</f>
        <v>18.391044776119401</v>
      </c>
      <c r="I248" s="1">
        <f>IF(ISNUMBER(Main_S[[#This Row],[BVPS]]),IF(Main_S[[#This Row],[BVPS]]&lt;&gt;0,Main_S[[#This Row],[Current Price]]/Main_S[[#This Row],[BVPS]],""),"")</f>
        <v>1.2282695374800638</v>
      </c>
      <c r="J248">
        <v>6.3</v>
      </c>
      <c r="K248">
        <v>3.09</v>
      </c>
      <c r="L248">
        <v>1.93</v>
      </c>
      <c r="M248" s="1">
        <f>IF(ISNUMBER(Main_S[[#This Row],[EPS]]),IF(Main_S[[#This Row],[EPS]]&lt;&gt;0,Main_S[[#This Row],[Current Price]]/Main_S[[#This Row],[EPS]],""),"")</f>
        <v>23.696153846153845</v>
      </c>
      <c r="N2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8" s="1">
        <f>(Main_S[[#This Row],[P/FCF]]-VLOOKUP(Main_S[[#This Row],[Industry]], Mean_PFCF_S, 2, FALSE))/(VLOOKUP(Main_S[[#This Row],[Industry]], Mean_PFCF_S, 3, FALSE))</f>
        <v>1.2888370275156407</v>
      </c>
      <c r="P248" s="1">
        <f>(Main_S[[#This Row],[P/B]]-VLOOKUP(Main_S[[#This Row],[Industry]], Mean_PB_S, 2, FALSE))/(VLOOKUP(Main_S[[#This Row],[Industry]], Mean_PB_S, 3, FALSE))</f>
        <v>-0.33108896309920743</v>
      </c>
      <c r="Q248" s="1">
        <f>(Main_S[[#This Row],[ROE]]-VLOOKUP(Main_S[[#This Row],[Industry]], Mean_ROE_S, 2, FALSE))/(VLOOKUP(Main_S[[#This Row],[Industry]], Mean_ROE_S, 3, FALSE))</f>
        <v>-0.35970267989762805</v>
      </c>
      <c r="R248" s="1">
        <f>(Main_S[[#This Row],[ROA]]-VLOOKUP(Main_S[[#This Row],[Industry]], Mean_ROA_S, 2, FALSE))/(VLOOKUP(Main_S[[#This Row],[Industry]], Mean_ROA_S, 3, FALSE))</f>
        <v>0.91850380352153604</v>
      </c>
      <c r="S248" s="1">
        <f>(Main_S[[#This Row],[A/E]]-VLOOKUP(Main_S[[#This Row],[Industry]], Mean_AE_S, 2, FALSE))/(VLOOKUP(Main_S[[#This Row],[Industry]], Mean_AE_S, 3, FALSE))</f>
        <v>-1.0885172450331642</v>
      </c>
      <c r="T248" s="1">
        <f>(Main_S[[#This Row],[P/E]]-VLOOKUP(Main_S[[#This Row],[Industry]], Mean_PE_S, 2, FALSE))/(VLOOKUP(Main_S[[#This Row],[Industry]], Mean_PE_S, 3, FALSE))</f>
        <v>1.2403108941115355</v>
      </c>
      <c r="U2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9" spans="1:26" x14ac:dyDescent="0.25">
      <c r="A249" s="67" t="s">
        <v>214</v>
      </c>
      <c r="B249" s="67" t="s">
        <v>668</v>
      </c>
      <c r="C249" s="2">
        <v>499</v>
      </c>
      <c r="D249">
        <f>RTD("tos.rtd", , "LAST", Main_S[[#This Row],[Symbol]])</f>
        <v>14.96</v>
      </c>
      <c r="E249">
        <v>3.06</v>
      </c>
      <c r="F249">
        <v>19.3</v>
      </c>
      <c r="G249">
        <v>1.32</v>
      </c>
      <c r="H249" s="1">
        <f>IF(ISNUMBER(Main_S[[#This Row],[Free CF]]),IF(Main_S[[#This Row],[Free CF]]&lt;&gt;0,Main_S[[#This Row],[Current Price]]/Main_S[[#This Row],[Free CF]],""),"")</f>
        <v>4.8888888888888893</v>
      </c>
      <c r="I249" s="1">
        <f>IF(ISNUMBER(Main_S[[#This Row],[BVPS]]),IF(Main_S[[#This Row],[BVPS]]&lt;&gt;0,Main_S[[#This Row],[Current Price]]/Main_S[[#This Row],[BVPS]],""),"")</f>
        <v>0.77512953367875648</v>
      </c>
      <c r="J249">
        <v>7.04</v>
      </c>
      <c r="K249">
        <v>1.71</v>
      </c>
      <c r="L249">
        <v>3.23</v>
      </c>
      <c r="M249" s="1">
        <f>IF(ISNUMBER(Main_S[[#This Row],[EPS]]),IF(Main_S[[#This Row],[EPS]]&lt;&gt;0,Main_S[[#This Row],[Current Price]]/Main_S[[#This Row],[EPS]],""),"")</f>
        <v>11.333333333333334</v>
      </c>
      <c r="N2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9" s="1">
        <f>(Main_S[[#This Row],[P/FCF]]-VLOOKUP(Main_S[[#This Row],[Industry]], Mean_PFCF_S, 2, FALSE))/(VLOOKUP(Main_S[[#This Row],[Industry]], Mean_PFCF_S, 3, FALSE))</f>
        <v>-0.62988530203447657</v>
      </c>
      <c r="P249" s="1">
        <f>(Main_S[[#This Row],[P/B]]-VLOOKUP(Main_S[[#This Row],[Industry]], Mean_PB_S, 2, FALSE))/(VLOOKUP(Main_S[[#This Row],[Industry]], Mean_PB_S, 3, FALSE))</f>
        <v>-0.91386890573570212</v>
      </c>
      <c r="Q249" s="1">
        <f>(Main_S[[#This Row],[ROE]]-VLOOKUP(Main_S[[#This Row],[Industry]], Mean_ROE_S, 2, FALSE))/(VLOOKUP(Main_S[[#This Row],[Industry]], Mean_ROE_S, 3, FALSE))</f>
        <v>-0.29143446216906355</v>
      </c>
      <c r="R249" s="1">
        <f>(Main_S[[#This Row],[ROA]]-VLOOKUP(Main_S[[#This Row],[Industry]], Mean_ROA_S, 2, FALSE))/(VLOOKUP(Main_S[[#This Row],[Industry]], Mean_ROA_S, 3, FALSE))</f>
        <v>-0.20357658071493739</v>
      </c>
      <c r="S249" s="1">
        <f>(Main_S[[#This Row],[A/E]]-VLOOKUP(Main_S[[#This Row],[Industry]], Mean_AE_S, 2, FALSE))/(VLOOKUP(Main_S[[#This Row],[Industry]], Mean_AE_S, 3, FALSE))</f>
        <v>-0.59768393995404057</v>
      </c>
      <c r="T249" s="1">
        <f>(Main_S[[#This Row],[P/E]]-VLOOKUP(Main_S[[#This Row],[Industry]], Mean_PE_S, 2, FALSE))/(VLOOKUP(Main_S[[#This Row],[Industry]], Mean_PE_S, 3, FALSE))</f>
        <v>-4.9066676349495755E-2</v>
      </c>
      <c r="U2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0" spans="1:26" x14ac:dyDescent="0.25">
      <c r="A250" s="67" t="s">
        <v>214</v>
      </c>
      <c r="B250" s="67" t="s">
        <v>646</v>
      </c>
      <c r="C250" s="2">
        <v>522</v>
      </c>
      <c r="D250">
        <f>RTD("tos.rtd", , "LAST", Main_S[[#This Row],[Symbol]])</f>
        <v>10.92</v>
      </c>
      <c r="E250">
        <v>3.03</v>
      </c>
      <c r="F250">
        <v>5.47</v>
      </c>
      <c r="G250">
        <v>1.47</v>
      </c>
      <c r="H250" s="1">
        <f>IF(ISNUMBER(Main_S[[#This Row],[Free CF]]),IF(Main_S[[#This Row],[Free CF]]&lt;&gt;0,Main_S[[#This Row],[Current Price]]/Main_S[[#This Row],[Free CF]],""),"")</f>
        <v>3.6039603960396041</v>
      </c>
      <c r="I250" s="1">
        <f>IF(ISNUMBER(Main_S[[#This Row],[BVPS]]),IF(Main_S[[#This Row],[BVPS]]&lt;&gt;0,Main_S[[#This Row],[Current Price]]/Main_S[[#This Row],[BVPS]],""),"")</f>
        <v>1.9963436928702012</v>
      </c>
      <c r="J250">
        <v>31.11</v>
      </c>
      <c r="K250">
        <v>5.93</v>
      </c>
      <c r="L250">
        <v>4.45</v>
      </c>
      <c r="M250" s="1">
        <f>IF(ISNUMBER(Main_S[[#This Row],[EPS]]),IF(Main_S[[#This Row],[EPS]]&lt;&gt;0,Main_S[[#This Row],[Current Price]]/Main_S[[#This Row],[EPS]],""),"")</f>
        <v>7.4285714285714288</v>
      </c>
      <c r="N2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0" s="1">
        <f>(Main_S[[#This Row],[P/FCF]]-VLOOKUP(Main_S[[#This Row],[Industry]], Mean_PFCF_S, 2, FALSE))/(VLOOKUP(Main_S[[#This Row],[Industry]], Mean_PFCF_S, 3, FALSE))</f>
        <v>-0.81247991964193156</v>
      </c>
      <c r="P250" s="1">
        <f>(Main_S[[#This Row],[P/B]]-VLOOKUP(Main_S[[#This Row],[Industry]], Mean_PB_S, 2, FALSE))/(VLOOKUP(Main_S[[#This Row],[Industry]], Mean_PB_S, 3, FALSE))</f>
        <v>0.65672541758634728</v>
      </c>
      <c r="Q250" s="1">
        <f>(Main_S[[#This Row],[ROE]]-VLOOKUP(Main_S[[#This Row],[Industry]], Mean_ROE_S, 2, FALSE))/(VLOOKUP(Main_S[[#This Row],[Industry]], Mean_ROE_S, 3, FALSE))</f>
        <v>1.9291277009749197</v>
      </c>
      <c r="R250" s="1">
        <f>(Main_S[[#This Row],[ROA]]-VLOOKUP(Main_S[[#This Row],[Industry]], Mean_ROA_S, 2, FALSE))/(VLOOKUP(Main_S[[#This Row],[Industry]], Mean_ROA_S, 3, FALSE))</f>
        <v>3.2277127102110899</v>
      </c>
      <c r="S250" s="1">
        <f>(Main_S[[#This Row],[A/E]]-VLOOKUP(Main_S[[#This Row],[Industry]], Mean_AE_S, 2, FALSE))/(VLOOKUP(Main_S[[#This Row],[Industry]], Mean_AE_S, 3, FALSE))</f>
        <v>-0.13705576134132463</v>
      </c>
      <c r="T250" s="1">
        <f>(Main_S[[#This Row],[P/E]]-VLOOKUP(Main_S[[#This Row],[Industry]], Mean_PE_S, 2, FALSE))/(VLOOKUP(Main_S[[#This Row],[Industry]], Mean_PE_S, 3, FALSE))</f>
        <v>-0.45631293643792692</v>
      </c>
      <c r="U2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1" spans="1:26" x14ac:dyDescent="0.25">
      <c r="A251" s="67" t="s">
        <v>214</v>
      </c>
      <c r="B251" s="67" t="s">
        <v>650</v>
      </c>
      <c r="C251" s="2">
        <v>729</v>
      </c>
      <c r="D251">
        <f>RTD("tos.rtd", , "LAST", Main_S[[#This Row],[Symbol]])</f>
        <v>19.36</v>
      </c>
      <c r="E251">
        <v>2.58</v>
      </c>
      <c r="F251">
        <v>16.239999999999998</v>
      </c>
      <c r="G251">
        <v>2.0299999999999998</v>
      </c>
      <c r="H251" s="1">
        <f>IF(ISNUMBER(Main_S[[#This Row],[Free CF]]),IF(Main_S[[#This Row],[Free CF]]&lt;&gt;0,Main_S[[#This Row],[Current Price]]/Main_S[[#This Row],[Free CF]],""),"")</f>
        <v>7.5038759689922481</v>
      </c>
      <c r="I251" s="1">
        <f>IF(ISNUMBER(Main_S[[#This Row],[BVPS]]),IF(Main_S[[#This Row],[BVPS]]&lt;&gt;0,Main_S[[#This Row],[Current Price]]/Main_S[[#This Row],[BVPS]],""),"")</f>
        <v>1.1921182266009853</v>
      </c>
      <c r="J251">
        <v>13.11</v>
      </c>
      <c r="K251">
        <v>2.34</v>
      </c>
      <c r="L251">
        <v>4.05</v>
      </c>
      <c r="M251" s="1">
        <f>IF(ISNUMBER(Main_S[[#This Row],[EPS]]),IF(Main_S[[#This Row],[EPS]]&lt;&gt;0,Main_S[[#This Row],[Current Price]]/Main_S[[#This Row],[EPS]],""),"")</f>
        <v>9.5369458128078826</v>
      </c>
      <c r="N2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1" s="1">
        <f>(Main_S[[#This Row],[P/FCF]]-VLOOKUP(Main_S[[#This Row],[Industry]], Mean_PFCF_S, 2, FALSE))/(VLOOKUP(Main_S[[#This Row],[Industry]], Mean_PFCF_S, 3, FALSE))</f>
        <v>-0.25828285987747635</v>
      </c>
      <c r="P251" s="1">
        <f>(Main_S[[#This Row],[P/B]]-VLOOKUP(Main_S[[#This Row],[Industry]], Mean_PB_S, 2, FALSE))/(VLOOKUP(Main_S[[#This Row],[Industry]], Mean_PB_S, 3, FALSE))</f>
        <v>-0.37758289147367396</v>
      </c>
      <c r="Q251" s="1">
        <f>(Main_S[[#This Row],[ROE]]-VLOOKUP(Main_S[[#This Row],[Industry]], Mean_ROE_S, 2, FALSE))/(VLOOKUP(Main_S[[#This Row],[Industry]], Mean_ROE_S, 3, FALSE))</f>
        <v>0.26854943190172897</v>
      </c>
      <c r="R251" s="1">
        <f>(Main_S[[#This Row],[ROA]]-VLOOKUP(Main_S[[#This Row],[Industry]], Mean_ROA_S, 2, FALSE))/(VLOOKUP(Main_S[[#This Row],[Industry]], Mean_ROA_S, 3, FALSE))</f>
        <v>0.3086775077408439</v>
      </c>
      <c r="S251" s="1">
        <f>(Main_S[[#This Row],[A/E]]-VLOOKUP(Main_S[[#This Row],[Industry]], Mean_AE_S, 2, FALSE))/(VLOOKUP(Main_S[[#This Row],[Industry]], Mean_AE_S, 3, FALSE))</f>
        <v>-0.28808139367336277</v>
      </c>
      <c r="T251" s="1">
        <f>(Main_S[[#This Row],[P/E]]-VLOOKUP(Main_S[[#This Row],[Industry]], Mean_PE_S, 2, FALSE))/(VLOOKUP(Main_S[[#This Row],[Industry]], Mean_PE_S, 3, FALSE))</f>
        <v>-0.23642050668454354</v>
      </c>
      <c r="U2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2" spans="1:26" x14ac:dyDescent="0.25">
      <c r="A252" s="67" t="s">
        <v>214</v>
      </c>
      <c r="B252" s="67" t="s">
        <v>651</v>
      </c>
      <c r="C252" s="2">
        <v>606</v>
      </c>
      <c r="D252">
        <f>RTD("tos.rtd", , "LAST", Main_S[[#This Row],[Symbol]])</f>
        <v>17.98</v>
      </c>
      <c r="E252">
        <v>2.58</v>
      </c>
      <c r="F252">
        <v>16.239999999999998</v>
      </c>
      <c r="G252">
        <v>2.0299999999999998</v>
      </c>
      <c r="H252" s="1">
        <f>IF(ISNUMBER(Main_S[[#This Row],[Free CF]]),IF(Main_S[[#This Row],[Free CF]]&lt;&gt;0,Main_S[[#This Row],[Current Price]]/Main_S[[#This Row],[Free CF]],""),"")</f>
        <v>6.9689922480620154</v>
      </c>
      <c r="I252" s="1">
        <f>IF(ISNUMBER(Main_S[[#This Row],[BVPS]]),IF(Main_S[[#This Row],[BVPS]]&lt;&gt;0,Main_S[[#This Row],[Current Price]]/Main_S[[#This Row],[BVPS]],""),"")</f>
        <v>1.1071428571428572</v>
      </c>
      <c r="J252">
        <v>13.11</v>
      </c>
      <c r="K252">
        <v>2.34</v>
      </c>
      <c r="L252">
        <v>4.05</v>
      </c>
      <c r="M252" s="1">
        <f>IF(ISNUMBER(Main_S[[#This Row],[EPS]]),IF(Main_S[[#This Row],[EPS]]&lt;&gt;0,Main_S[[#This Row],[Current Price]]/Main_S[[#This Row],[EPS]],""),"")</f>
        <v>8.8571428571428577</v>
      </c>
      <c r="N2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2" s="1">
        <f>(Main_S[[#This Row],[P/FCF]]-VLOOKUP(Main_S[[#This Row],[Industry]], Mean_PFCF_S, 2, FALSE))/(VLOOKUP(Main_S[[#This Row],[Industry]], Mean_PFCF_S, 3, FALSE))</f>
        <v>-0.33429245031868093</v>
      </c>
      <c r="P252" s="1">
        <f>(Main_S[[#This Row],[P/B]]-VLOOKUP(Main_S[[#This Row],[Industry]], Mean_PB_S, 2, FALSE))/(VLOOKUP(Main_S[[#This Row],[Industry]], Mean_PB_S, 3, FALSE))</f>
        <v>-0.48686907349885927</v>
      </c>
      <c r="Q252" s="1">
        <f>(Main_S[[#This Row],[ROE]]-VLOOKUP(Main_S[[#This Row],[Industry]], Mean_ROE_S, 2, FALSE))/(VLOOKUP(Main_S[[#This Row],[Industry]], Mean_ROE_S, 3, FALSE))</f>
        <v>0.26854943190172897</v>
      </c>
      <c r="R252" s="1">
        <f>(Main_S[[#This Row],[ROA]]-VLOOKUP(Main_S[[#This Row],[Industry]], Mean_ROA_S, 2, FALSE))/(VLOOKUP(Main_S[[#This Row],[Industry]], Mean_ROA_S, 3, FALSE))</f>
        <v>0.3086775077408439</v>
      </c>
      <c r="S252" s="1">
        <f>(Main_S[[#This Row],[A/E]]-VLOOKUP(Main_S[[#This Row],[Industry]], Mean_AE_S, 2, FALSE))/(VLOOKUP(Main_S[[#This Row],[Industry]], Mean_AE_S, 3, FALSE))</f>
        <v>-0.28808139367336277</v>
      </c>
      <c r="T252" s="1">
        <f>(Main_S[[#This Row],[P/E]]-VLOOKUP(Main_S[[#This Row],[Industry]], Mean_PE_S, 2, FALSE))/(VLOOKUP(Main_S[[#This Row],[Industry]], Mean_PE_S, 3, FALSE))</f>
        <v>-0.30732040225923257</v>
      </c>
      <c r="U2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3" spans="1:26" x14ac:dyDescent="0.25">
      <c r="A253" s="67" t="s">
        <v>214</v>
      </c>
      <c r="B253" s="67" t="s">
        <v>657</v>
      </c>
      <c r="C253" s="2">
        <v>758</v>
      </c>
      <c r="D253">
        <f>RTD("tos.rtd", , "LAST", Main_S[[#This Row],[Symbol]])</f>
        <v>23.6</v>
      </c>
      <c r="E253">
        <v>2.4</v>
      </c>
      <c r="F253">
        <v>11.09</v>
      </c>
      <c r="G253">
        <v>2.5299999999999998</v>
      </c>
      <c r="H253" s="1">
        <f>IF(ISNUMBER(Main_S[[#This Row],[Free CF]]),IF(Main_S[[#This Row],[Free CF]]&lt;&gt;0,Main_S[[#This Row],[Current Price]]/Main_S[[#This Row],[Free CF]],""),"")</f>
        <v>9.8333333333333339</v>
      </c>
      <c r="I253" s="1">
        <f>IF(ISNUMBER(Main_S[[#This Row],[BVPS]]),IF(Main_S[[#This Row],[BVPS]]&lt;&gt;0,Main_S[[#This Row],[Current Price]]/Main_S[[#This Row],[BVPS]],""),"")</f>
        <v>2.1280432822362489</v>
      </c>
      <c r="J253">
        <v>27.59</v>
      </c>
      <c r="K253">
        <v>3.26</v>
      </c>
      <c r="L253">
        <v>6.73</v>
      </c>
      <c r="M253" s="1">
        <f>IF(ISNUMBER(Main_S[[#This Row],[EPS]]),IF(Main_S[[#This Row],[EPS]]&lt;&gt;0,Main_S[[#This Row],[Current Price]]/Main_S[[#This Row],[EPS]],""),"")</f>
        <v>9.3280632411067206</v>
      </c>
      <c r="N2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3" s="1">
        <f>(Main_S[[#This Row],[P/FCF]]-VLOOKUP(Main_S[[#This Row],[Industry]], Mean_PFCF_S, 2, FALSE))/(VLOOKUP(Main_S[[#This Row],[Industry]], Mean_PFCF_S, 3, FALSE))</f>
        <v>7.2744414435306076E-2</v>
      </c>
      <c r="P253" s="1">
        <f>(Main_S[[#This Row],[P/B]]-VLOOKUP(Main_S[[#This Row],[Industry]], Mean_PB_S, 2, FALSE))/(VLOOKUP(Main_S[[#This Row],[Industry]], Mean_PB_S, 3, FALSE))</f>
        <v>0.82610326657813338</v>
      </c>
      <c r="Q253" s="1">
        <f>(Main_S[[#This Row],[ROE]]-VLOOKUP(Main_S[[#This Row],[Industry]], Mean_ROE_S, 2, FALSE))/(VLOOKUP(Main_S[[#This Row],[Industry]], Mean_ROE_S, 3, FALSE))</f>
        <v>1.6043923950228287</v>
      </c>
      <c r="R253" s="1">
        <f>(Main_S[[#This Row],[ROA]]-VLOOKUP(Main_S[[#This Row],[Industry]], Mean_ROA_S, 2, FALSE))/(VLOOKUP(Main_S[[#This Row],[Industry]], Mean_ROA_S, 3, FALSE))</f>
        <v>1.0567310972318262</v>
      </c>
      <c r="S253" s="1">
        <f>(Main_S[[#This Row],[A/E]]-VLOOKUP(Main_S[[#This Row],[Industry]], Mean_AE_S, 2, FALSE))/(VLOOKUP(Main_S[[#This Row],[Industry]], Mean_AE_S, 3, FALSE))</f>
        <v>0.72379034295129197</v>
      </c>
      <c r="T253" s="1">
        <f>(Main_S[[#This Row],[P/E]]-VLOOKUP(Main_S[[#This Row],[Industry]], Mean_PE_S, 2, FALSE))/(VLOOKUP(Main_S[[#This Row],[Industry]], Mean_PE_S, 3, FALSE))</f>
        <v>-0.25820586727700678</v>
      </c>
      <c r="U2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4" spans="1:26" x14ac:dyDescent="0.25">
      <c r="A254" s="67" t="s">
        <v>214</v>
      </c>
      <c r="B254" s="67" t="s">
        <v>653</v>
      </c>
      <c r="C254" s="2">
        <v>1907</v>
      </c>
      <c r="D254">
        <f>RTD("tos.rtd", , "LAST", Main_S[[#This Row],[Symbol]])</f>
        <v>17.260000000000002</v>
      </c>
      <c r="E254">
        <v>1.9</v>
      </c>
      <c r="F254">
        <v>21.67</v>
      </c>
      <c r="G254">
        <v>-0.09</v>
      </c>
      <c r="H254" s="1">
        <f>IF(ISNUMBER(Main_S[[#This Row],[Free CF]]),IF(Main_S[[#This Row],[Free CF]]&lt;&gt;0,Main_S[[#This Row],[Current Price]]/Main_S[[#This Row],[Free CF]],""),"")</f>
        <v>9.0842105263157915</v>
      </c>
      <c r="I254" s="1">
        <f>IF(ISNUMBER(Main_S[[#This Row],[BVPS]]),IF(Main_S[[#This Row],[BVPS]]&lt;&gt;0,Main_S[[#This Row],[Current Price]]/Main_S[[#This Row],[BVPS]],""),"")</f>
        <v>0.79649284725426861</v>
      </c>
      <c r="J254">
        <v>-0.42</v>
      </c>
      <c r="K254">
        <v>0.15</v>
      </c>
      <c r="L254">
        <v>5.34</v>
      </c>
      <c r="M254" s="1">
        <f>IF(ISNUMBER(Main_S[[#This Row],[EPS]]),IF(Main_S[[#This Row],[EPS]]&lt;&gt;0,Main_S[[#This Row],[Current Price]]/Main_S[[#This Row],[EPS]],""),"")</f>
        <v>-191.7777777777778</v>
      </c>
      <c r="N2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4" s="1">
        <f>(Main_S[[#This Row],[P/FCF]]-VLOOKUP(Main_S[[#This Row],[Industry]], Mean_PFCF_S, 2, FALSE))/(VLOOKUP(Main_S[[#This Row],[Industry]], Mean_PFCF_S, 3, FALSE))</f>
        <v>-3.3709597013279351E-2</v>
      </c>
      <c r="P254" s="1">
        <f>(Main_S[[#This Row],[P/B]]-VLOOKUP(Main_S[[#This Row],[Industry]], Mean_PB_S, 2, FALSE))/(VLOOKUP(Main_S[[#This Row],[Industry]], Mean_PB_S, 3, FALSE))</f>
        <v>-0.88639370920566563</v>
      </c>
      <c r="Q254" s="1">
        <f>(Main_S[[#This Row],[ROE]]-VLOOKUP(Main_S[[#This Row],[Industry]], Mean_ROE_S, 2, FALSE))/(VLOOKUP(Main_S[[#This Row],[Industry]], Mean_ROE_S, 3, FALSE))</f>
        <v>-0.9796519003516192</v>
      </c>
      <c r="R254" s="1">
        <f>(Main_S[[#This Row],[ROA]]-VLOOKUP(Main_S[[#This Row],[Industry]], Mean_ROA_S, 2, FALSE))/(VLOOKUP(Main_S[[#This Row],[Industry]], Mean_ROA_S, 3, FALSE))</f>
        <v>-1.472015275938777</v>
      </c>
      <c r="S254" s="1">
        <f>(Main_S[[#This Row],[A/E]]-VLOOKUP(Main_S[[#This Row],[Industry]], Mean_AE_S, 2, FALSE))/(VLOOKUP(Main_S[[#This Row],[Industry]], Mean_AE_S, 3, FALSE))</f>
        <v>0.19897627059745976</v>
      </c>
      <c r="T254" s="1">
        <f>(Main_S[[#This Row],[P/E]]-VLOOKUP(Main_S[[#This Row],[Industry]], Mean_PE_S, 2, FALSE))/(VLOOKUP(Main_S[[#This Row],[Industry]], Mean_PE_S, 3, FALSE))</f>
        <v>-21.232494091355857</v>
      </c>
      <c r="U2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5" spans="1:26" x14ac:dyDescent="0.25">
      <c r="A255" s="67" t="s">
        <v>214</v>
      </c>
      <c r="B255" s="67" t="s">
        <v>643</v>
      </c>
      <c r="C255" s="2">
        <v>522</v>
      </c>
      <c r="D255">
        <f>RTD("tos.rtd", , "LAST", Main_S[[#This Row],[Symbol]])</f>
        <v>35.58</v>
      </c>
      <c r="E255">
        <v>1.7</v>
      </c>
      <c r="F255">
        <v>5.05</v>
      </c>
      <c r="G255">
        <v>-0.14000000000000001</v>
      </c>
      <c r="H255" s="1">
        <f>IF(ISNUMBER(Main_S[[#This Row],[Free CF]]),IF(Main_S[[#This Row],[Free CF]]&lt;&gt;0,Main_S[[#This Row],[Current Price]]/Main_S[[#This Row],[Free CF]],""),"")</f>
        <v>20.929411764705883</v>
      </c>
      <c r="I255" s="1">
        <f>IF(ISNUMBER(Main_S[[#This Row],[BVPS]]),IF(Main_S[[#This Row],[BVPS]]&lt;&gt;0,Main_S[[#This Row],[Current Price]]/Main_S[[#This Row],[BVPS]],""),"")</f>
        <v>7.0455445544554456</v>
      </c>
      <c r="J255">
        <v>16.690000000000001</v>
      </c>
      <c r="K255">
        <v>6.91</v>
      </c>
      <c r="L255">
        <v>4.3899999999999997</v>
      </c>
      <c r="M255" s="1">
        <f>IF(ISNUMBER(Main_S[[#This Row],[EPS]]),IF(Main_S[[#This Row],[EPS]]&lt;&gt;0,Main_S[[#This Row],[Current Price]]/Main_S[[#This Row],[EPS]],""),"")</f>
        <v>-254.14285714285711</v>
      </c>
      <c r="N2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5" s="1">
        <f>(Main_S[[#This Row],[P/FCF]]-VLOOKUP(Main_S[[#This Row],[Industry]], Mean_PFCF_S, 2, FALSE))/(VLOOKUP(Main_S[[#This Row],[Industry]], Mean_PFCF_S, 3, FALSE))</f>
        <v>1.6495513802657751</v>
      </c>
      <c r="P255" s="1">
        <f>(Main_S[[#This Row],[P/B]]-VLOOKUP(Main_S[[#This Row],[Industry]], Mean_PB_S, 2, FALSE))/(VLOOKUP(Main_S[[#This Row],[Industry]], Mean_PB_S, 3, FALSE))</f>
        <v>7.1504645794129127</v>
      </c>
      <c r="Q255" s="1">
        <f>(Main_S[[#This Row],[ROE]]-VLOOKUP(Main_S[[#This Row],[Industry]], Mean_ROE_S, 2, FALSE))/(VLOOKUP(Main_S[[#This Row],[Industry]], Mean_ROE_S, 3, FALSE))</f>
        <v>0.59881999875073033</v>
      </c>
      <c r="R255" s="1">
        <f>(Main_S[[#This Row],[ROA]]-VLOOKUP(Main_S[[#This Row],[Industry]], Mean_ROA_S, 2, FALSE))/(VLOOKUP(Main_S[[#This Row],[Industry]], Mean_ROA_S, 3, FALSE))</f>
        <v>4.0245524033645284</v>
      </c>
      <c r="S255" s="1">
        <f>(Main_S[[#This Row],[A/E]]-VLOOKUP(Main_S[[#This Row],[Industry]], Mean_AE_S, 2, FALSE))/(VLOOKUP(Main_S[[#This Row],[Industry]], Mean_AE_S, 3, FALSE))</f>
        <v>-0.15970960619113053</v>
      </c>
      <c r="T255" s="1">
        <f>(Main_S[[#This Row],[P/E]]-VLOOKUP(Main_S[[#This Row],[Industry]], Mean_PE_S, 2, FALSE))/(VLOOKUP(Main_S[[#This Row],[Industry]], Mean_PE_S, 3, FALSE))</f>
        <v>-27.736845944556855</v>
      </c>
      <c r="U2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6" spans="1:26" x14ac:dyDescent="0.25">
      <c r="A256" s="67" t="s">
        <v>214</v>
      </c>
      <c r="B256" s="67" t="s">
        <v>640</v>
      </c>
      <c r="C256" s="2">
        <v>882</v>
      </c>
      <c r="D256">
        <f>RTD("tos.rtd", , "LAST", Main_S[[#This Row],[Symbol]])</f>
        <v>9.7899999999999991</v>
      </c>
      <c r="E256">
        <v>1.52</v>
      </c>
      <c r="F256">
        <v>1.81</v>
      </c>
      <c r="G256">
        <v>0.2</v>
      </c>
      <c r="H256" s="1">
        <f>IF(ISNUMBER(Main_S[[#This Row],[Free CF]]),IF(Main_S[[#This Row],[Free CF]]&lt;&gt;0,Main_S[[#This Row],[Current Price]]/Main_S[[#This Row],[Free CF]],""),"")</f>
        <v>6.4407894736842097</v>
      </c>
      <c r="I256" s="1">
        <f>IF(ISNUMBER(Main_S[[#This Row],[BVPS]]),IF(Main_S[[#This Row],[BVPS]]&lt;&gt;0,Main_S[[#This Row],[Current Price]]/Main_S[[#This Row],[BVPS]],""),"")</f>
        <v>5.4088397790055245</v>
      </c>
      <c r="J256">
        <v>15.99</v>
      </c>
      <c r="K256">
        <v>2.95</v>
      </c>
      <c r="L256">
        <v>11.15</v>
      </c>
      <c r="M256" s="1">
        <f>IF(ISNUMBER(Main_S[[#This Row],[EPS]]),IF(Main_S[[#This Row],[EPS]]&lt;&gt;0,Main_S[[#This Row],[Current Price]]/Main_S[[#This Row],[EPS]],""),"")</f>
        <v>48.949999999999996</v>
      </c>
      <c r="N2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6" s="1">
        <f>(Main_S[[#This Row],[P/FCF]]-VLOOKUP(Main_S[[#This Row],[Industry]], Mean_PFCF_S, 2, FALSE))/(VLOOKUP(Main_S[[#This Row],[Industry]], Mean_PFCF_S, 3, FALSE))</f>
        <v>-0.40935264560849377</v>
      </c>
      <c r="P256" s="1">
        <f>(Main_S[[#This Row],[P/B]]-VLOOKUP(Main_S[[#This Row],[Industry]], Mean_PB_S, 2, FALSE))/(VLOOKUP(Main_S[[#This Row],[Industry]], Mean_PB_S, 3, FALSE))</f>
        <v>5.0455109069319883</v>
      </c>
      <c r="Q256" s="1">
        <f>(Main_S[[#This Row],[ROE]]-VLOOKUP(Main_S[[#This Row],[Industry]], Mean_ROE_S, 2, FALSE))/(VLOOKUP(Main_S[[#This Row],[Industry]], Mean_ROE_S, 3, FALSE))</f>
        <v>0.53424195495343951</v>
      </c>
      <c r="R256" s="1">
        <f>(Main_S[[#This Row],[ROA]]-VLOOKUP(Main_S[[#This Row],[Industry]], Mean_ROA_S, 2, FALSE))/(VLOOKUP(Main_S[[#This Row],[Industry]], Mean_ROA_S, 3, FALSE))</f>
        <v>0.80466956164247372</v>
      </c>
      <c r="S256" s="1">
        <f>(Main_S[[#This Row],[A/E]]-VLOOKUP(Main_S[[#This Row],[Industry]], Mean_AE_S, 2, FALSE))/(VLOOKUP(Main_S[[#This Row],[Industry]], Mean_AE_S, 3, FALSE))</f>
        <v>2.3926235802203117</v>
      </c>
      <c r="T256" s="1">
        <f>(Main_S[[#This Row],[P/E]]-VLOOKUP(Main_S[[#This Row],[Industry]], Mean_PE_S, 2, FALSE))/(VLOOKUP(Main_S[[#This Row],[Industry]], Mean_PE_S, 3, FALSE))</f>
        <v>3.8741550694658229</v>
      </c>
      <c r="U2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7" spans="1:26" x14ac:dyDescent="0.25">
      <c r="A257" s="67" t="s">
        <v>214</v>
      </c>
      <c r="B257" s="67" t="s">
        <v>654</v>
      </c>
      <c r="C257" s="2">
        <v>429</v>
      </c>
      <c r="D257">
        <f>RTD("tos.rtd", , "LAST", Main_S[[#This Row],[Symbol]])</f>
        <v>32.439900000000002</v>
      </c>
      <c r="E257">
        <v>1.32</v>
      </c>
      <c r="F257">
        <v>47.85</v>
      </c>
      <c r="G257">
        <v>1.99</v>
      </c>
      <c r="H257" s="1">
        <f>IF(ISNUMBER(Main_S[[#This Row],[Free CF]]),IF(Main_S[[#This Row],[Free CF]]&lt;&gt;0,Main_S[[#This Row],[Current Price]]/Main_S[[#This Row],[Free CF]],""),"")</f>
        <v>24.575681818181817</v>
      </c>
      <c r="I257" s="1">
        <f>IF(ISNUMBER(Main_S[[#This Row],[BVPS]]),IF(Main_S[[#This Row],[BVPS]]&lt;&gt;0,Main_S[[#This Row],[Current Price]]/Main_S[[#This Row],[BVPS]],""),"")</f>
        <v>0.67794984326018815</v>
      </c>
      <c r="J257">
        <v>4.1399999999999997</v>
      </c>
      <c r="K257">
        <v>1.29</v>
      </c>
      <c r="L257">
        <v>2.5099999999999998</v>
      </c>
      <c r="M257" s="1">
        <f>IF(ISNUMBER(Main_S[[#This Row],[EPS]]),IF(Main_S[[#This Row],[EPS]]&lt;&gt;0,Main_S[[#This Row],[Current Price]]/Main_S[[#This Row],[EPS]],""),"")</f>
        <v>16.301457286432161</v>
      </c>
      <c r="N2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7" s="1">
        <f>(Main_S[[#This Row],[P/FCF]]-VLOOKUP(Main_S[[#This Row],[Industry]], Mean_PFCF_S, 2, FALSE))/(VLOOKUP(Main_S[[#This Row],[Industry]], Mean_PFCF_S, 3, FALSE))</f>
        <v>2.167704172279584</v>
      </c>
      <c r="P257" s="1">
        <f>(Main_S[[#This Row],[P/B]]-VLOOKUP(Main_S[[#This Row],[Industry]], Mean_PB_S, 2, FALSE))/(VLOOKUP(Main_S[[#This Row],[Industry]], Mean_PB_S, 3, FALSE))</f>
        <v>-1.0388509729389293</v>
      </c>
      <c r="Q257" s="1">
        <f>(Main_S[[#This Row],[ROE]]-VLOOKUP(Main_S[[#This Row],[Industry]], Mean_ROE_S, 2, FALSE))/(VLOOKUP(Main_S[[#This Row],[Industry]], Mean_ROE_S, 3, FALSE))</f>
        <v>-0.55897207218641098</v>
      </c>
      <c r="R257" s="1">
        <f>(Main_S[[#This Row],[ROA]]-VLOOKUP(Main_S[[#This Row],[Industry]], Mean_ROA_S, 2, FALSE))/(VLOOKUP(Main_S[[#This Row],[Industry]], Mean_ROA_S, 3, FALSE))</f>
        <v>-0.54507930635212487</v>
      </c>
      <c r="S257" s="1">
        <f>(Main_S[[#This Row],[A/E]]-VLOOKUP(Main_S[[#This Row],[Industry]], Mean_AE_S, 2, FALSE))/(VLOOKUP(Main_S[[#This Row],[Industry]], Mean_AE_S, 3, FALSE))</f>
        <v>-0.86953007815170902</v>
      </c>
      <c r="T257" s="1">
        <f>(Main_S[[#This Row],[P/E]]-VLOOKUP(Main_S[[#This Row],[Industry]], Mean_PE_S, 2, FALSE))/(VLOOKUP(Main_S[[#This Row],[Industry]], Mean_PE_S, 3, FALSE))</f>
        <v>0.46908268817075105</v>
      </c>
      <c r="U2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8" spans="1:26" x14ac:dyDescent="0.25">
      <c r="A258" s="67" t="s">
        <v>214</v>
      </c>
      <c r="B258" s="67" t="s">
        <v>660</v>
      </c>
      <c r="C258" s="2">
        <v>275</v>
      </c>
      <c r="D258">
        <f>RTD("tos.rtd", , "LAST", Main_S[[#This Row],[Symbol]])</f>
        <v>12.87</v>
      </c>
      <c r="E258">
        <v>0.91</v>
      </c>
      <c r="F258">
        <v>12.27</v>
      </c>
      <c r="G258">
        <v>0.28999999999999998</v>
      </c>
      <c r="H258" s="1">
        <f>IF(ISNUMBER(Main_S[[#This Row],[Free CF]]),IF(Main_S[[#This Row],[Free CF]]&lt;&gt;0,Main_S[[#This Row],[Current Price]]/Main_S[[#This Row],[Free CF]],""),"")</f>
        <v>14.142857142857142</v>
      </c>
      <c r="I258" s="1">
        <f>IF(ISNUMBER(Main_S[[#This Row],[BVPS]]),IF(Main_S[[#This Row],[BVPS]]&lt;&gt;0,Main_S[[#This Row],[Current Price]]/Main_S[[#This Row],[BVPS]],""),"")</f>
        <v>1.0488997555012225</v>
      </c>
      <c r="J258">
        <v>2.4</v>
      </c>
      <c r="K258">
        <v>1.22</v>
      </c>
      <c r="L258">
        <v>2.0699999999999998</v>
      </c>
      <c r="M258" s="1">
        <f>IF(ISNUMBER(Main_S[[#This Row],[EPS]]),IF(Main_S[[#This Row],[EPS]]&lt;&gt;0,Main_S[[#This Row],[Current Price]]/Main_S[[#This Row],[EPS]],""),"")</f>
        <v>44.379310344827587</v>
      </c>
      <c r="N2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8" s="1">
        <f>(Main_S[[#This Row],[P/FCF]]-VLOOKUP(Main_S[[#This Row],[Industry]], Mean_PFCF_S, 2, FALSE))/(VLOOKUP(Main_S[[#This Row],[Industry]], Mean_PFCF_S, 3, FALSE))</f>
        <v>0.68514880615776486</v>
      </c>
      <c r="P258" s="1">
        <f>(Main_S[[#This Row],[P/B]]-VLOOKUP(Main_S[[#This Row],[Industry]], Mean_PB_S, 2, FALSE))/(VLOOKUP(Main_S[[#This Row],[Industry]], Mean_PB_S, 3, FALSE))</f>
        <v>-0.56177508742158211</v>
      </c>
      <c r="Q258" s="1">
        <f>(Main_S[[#This Row],[ROE]]-VLOOKUP(Main_S[[#This Row],[Industry]], Mean_ROE_S, 2, FALSE))/(VLOOKUP(Main_S[[#This Row],[Industry]], Mean_ROE_S, 3, FALSE))</f>
        <v>-0.71949463819681936</v>
      </c>
      <c r="R258" s="1">
        <f>(Main_S[[#This Row],[ROA]]-VLOOKUP(Main_S[[#This Row],[Industry]], Mean_ROA_S, 2, FALSE))/(VLOOKUP(Main_S[[#This Row],[Industry]], Mean_ROA_S, 3, FALSE))</f>
        <v>-0.60199642729165626</v>
      </c>
      <c r="S258" s="1">
        <f>(Main_S[[#This Row],[A/E]]-VLOOKUP(Main_S[[#This Row],[Industry]], Mean_AE_S, 2, FALSE))/(VLOOKUP(Main_S[[#This Row],[Industry]], Mean_AE_S, 3, FALSE))</f>
        <v>-1.0356582737169509</v>
      </c>
      <c r="T258" s="1">
        <f>(Main_S[[#This Row],[P/E]]-VLOOKUP(Main_S[[#This Row],[Industry]], Mean_PE_S, 2, FALSE))/(VLOOKUP(Main_S[[#This Row],[Industry]], Mean_PE_S, 3, FALSE))</f>
        <v>3.3974560251978874</v>
      </c>
      <c r="U2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9" spans="1:26" x14ac:dyDescent="0.25">
      <c r="A259" s="67" t="s">
        <v>214</v>
      </c>
      <c r="B259" s="67" t="s">
        <v>648</v>
      </c>
      <c r="C259" s="2">
        <v>904</v>
      </c>
      <c r="D259">
        <f>RTD("tos.rtd", , "LAST", Main_S[[#This Row],[Symbol]])</f>
        <v>45.65</v>
      </c>
      <c r="E259">
        <v>0.78</v>
      </c>
      <c r="F259">
        <v>13.7</v>
      </c>
      <c r="G259">
        <v>2.48</v>
      </c>
      <c r="H259" s="1">
        <f>IF(ISNUMBER(Main_S[[#This Row],[Free CF]]),IF(Main_S[[#This Row],[Free CF]]&lt;&gt;0,Main_S[[#This Row],[Current Price]]/Main_S[[#This Row],[Free CF]],""),"")</f>
        <v>58.525641025641022</v>
      </c>
      <c r="I259" s="1">
        <f>IF(ISNUMBER(Main_S[[#This Row],[BVPS]]),IF(Main_S[[#This Row],[BVPS]]&lt;&gt;0,Main_S[[#This Row],[Current Price]]/Main_S[[#This Row],[BVPS]],""),"")</f>
        <v>3.332116788321168</v>
      </c>
      <c r="J259">
        <v>16.89</v>
      </c>
      <c r="K259">
        <v>3.1</v>
      </c>
      <c r="L259">
        <v>4.4400000000000004</v>
      </c>
      <c r="M259" s="1">
        <f>IF(ISNUMBER(Main_S[[#This Row],[EPS]]),IF(Main_S[[#This Row],[EPS]]&lt;&gt;0,Main_S[[#This Row],[Current Price]]/Main_S[[#This Row],[EPS]],""),"")</f>
        <v>18.407258064516128</v>
      </c>
      <c r="N2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9" s="1">
        <f>(Main_S[[#This Row],[P/FCF]]-VLOOKUP(Main_S[[#This Row],[Industry]], Mean_PFCF_S, 2, FALSE))/(VLOOKUP(Main_S[[#This Row],[Industry]], Mean_PFCF_S, 3, FALSE))</f>
        <v>6.9921592713555327</v>
      </c>
      <c r="P259" s="1">
        <f>(Main_S[[#This Row],[P/B]]-VLOOKUP(Main_S[[#This Row],[Industry]], Mean_PB_S, 2, FALSE))/(VLOOKUP(Main_S[[#This Row],[Industry]], Mean_PB_S, 3, FALSE))</f>
        <v>2.3746531251643939</v>
      </c>
      <c r="Q259" s="1">
        <f>(Main_S[[#This Row],[ROE]]-VLOOKUP(Main_S[[#This Row],[Industry]], Mean_ROE_S, 2, FALSE))/(VLOOKUP(Main_S[[#This Row],[Industry]], Mean_ROE_S, 3, FALSE))</f>
        <v>0.6172708684070991</v>
      </c>
      <c r="R259" s="1">
        <f>(Main_S[[#This Row],[ROA]]-VLOOKUP(Main_S[[#This Row],[Industry]], Mean_ROA_S, 2, FALSE))/(VLOOKUP(Main_S[[#This Row],[Industry]], Mean_ROA_S, 3, FALSE))</f>
        <v>0.92663482079861215</v>
      </c>
      <c r="S259" s="1">
        <f>(Main_S[[#This Row],[A/E]]-VLOOKUP(Main_S[[#This Row],[Industry]], Mean_AE_S, 2, FALSE))/(VLOOKUP(Main_S[[#This Row],[Industry]], Mean_AE_S, 3, FALSE))</f>
        <v>-0.1408314021496255</v>
      </c>
      <c r="T259" s="1">
        <f>(Main_S[[#This Row],[P/E]]-VLOOKUP(Main_S[[#This Row],[Industry]], Mean_PE_S, 2, FALSE))/(VLOOKUP(Main_S[[#This Row],[Industry]], Mean_PE_S, 3, FALSE))</f>
        <v>0.68870670425228864</v>
      </c>
      <c r="U2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0" spans="1:26" x14ac:dyDescent="0.25">
      <c r="A260" s="67" t="s">
        <v>214</v>
      </c>
      <c r="B260" s="67" t="s">
        <v>647</v>
      </c>
      <c r="C260" s="2">
        <v>364</v>
      </c>
      <c r="D260">
        <f>RTD("tos.rtd", , "LAST", Main_S[[#This Row],[Symbol]])</f>
        <v>6.77</v>
      </c>
      <c r="E260">
        <v>0.31</v>
      </c>
      <c r="F260">
        <v>18.36</v>
      </c>
      <c r="G260">
        <v>-0.62</v>
      </c>
      <c r="H260" s="1">
        <f>IF(ISNUMBER(Main_S[[#This Row],[Free CF]]),IF(Main_S[[#This Row],[Free CF]]&lt;&gt;0,Main_S[[#This Row],[Current Price]]/Main_S[[#This Row],[Free CF]],""),"")</f>
        <v>21.838709677419352</v>
      </c>
      <c r="I260" s="1">
        <f>IF(ISNUMBER(Main_S[[#This Row],[BVPS]]),IF(Main_S[[#This Row],[BVPS]]&lt;&gt;0,Main_S[[#This Row],[Current Price]]/Main_S[[#This Row],[BVPS]],""),"")</f>
        <v>0.36873638344226578</v>
      </c>
      <c r="J260">
        <v>-5.29</v>
      </c>
      <c r="K260">
        <v>-0.16</v>
      </c>
      <c r="L260">
        <v>9.68</v>
      </c>
      <c r="M260" s="1">
        <f>IF(ISNUMBER(Main_S[[#This Row],[EPS]]),IF(Main_S[[#This Row],[EPS]]&lt;&gt;0,Main_S[[#This Row],[Current Price]]/Main_S[[#This Row],[EPS]],""),"")</f>
        <v>-10.919354838709676</v>
      </c>
      <c r="N2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0" s="1">
        <f>(Main_S[[#This Row],[P/FCF]]-VLOOKUP(Main_S[[#This Row],[Industry]], Mean_PFCF_S, 2, FALSE))/(VLOOKUP(Main_S[[#This Row],[Industry]], Mean_PFCF_S, 3, FALSE))</f>
        <v>1.7787670569257275</v>
      </c>
      <c r="P260" s="1">
        <f>(Main_S[[#This Row],[P/B]]-VLOOKUP(Main_S[[#This Row],[Industry]], Mean_PB_S, 2, FALSE))/(VLOOKUP(Main_S[[#This Row],[Industry]], Mean_PB_S, 3, FALSE))</f>
        <v>-1.4365280724300973</v>
      </c>
      <c r="Q260" s="1">
        <f>(Main_S[[#This Row],[ROE]]-VLOOKUP(Main_S[[#This Row],[Industry]], Mean_ROE_S, 2, FALSE))/(VLOOKUP(Main_S[[#This Row],[Industry]], Mean_ROE_S, 3, FALSE))</f>
        <v>-1.4289305764841991</v>
      </c>
      <c r="R260" s="1">
        <f>(Main_S[[#This Row],[ROA]]-VLOOKUP(Main_S[[#This Row],[Industry]], Mean_ROA_S, 2, FALSE))/(VLOOKUP(Main_S[[#This Row],[Industry]], Mean_ROA_S, 3, FALSE))</f>
        <v>-1.7240768115281297</v>
      </c>
      <c r="S260" s="1">
        <f>(Main_S[[#This Row],[A/E]]-VLOOKUP(Main_S[[#This Row],[Industry]], Mean_AE_S, 2, FALSE))/(VLOOKUP(Main_S[[#This Row],[Industry]], Mean_AE_S, 3, FALSE))</f>
        <v>1.837604381400072</v>
      </c>
      <c r="T260" s="1">
        <f>(Main_S[[#This Row],[P/E]]-VLOOKUP(Main_S[[#This Row],[Industry]], Mean_PE_S, 2, FALSE))/(VLOOKUP(Main_S[[#This Row],[Industry]], Mean_PE_S, 3, FALSE))</f>
        <v>-2.3699057584781573</v>
      </c>
      <c r="U2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1" spans="1:26" x14ac:dyDescent="0.25">
      <c r="A261" s="67" t="s">
        <v>214</v>
      </c>
      <c r="B261" s="67" t="s">
        <v>642</v>
      </c>
      <c r="C261" s="2">
        <v>375</v>
      </c>
      <c r="D261">
        <f>RTD("tos.rtd", , "LAST", Main_S[[#This Row],[Symbol]])</f>
        <v>2.2400000000000002</v>
      </c>
      <c r="E261">
        <v>0.2</v>
      </c>
      <c r="F261">
        <v>2.0299999999999998</v>
      </c>
      <c r="G261">
        <v>-0.04</v>
      </c>
      <c r="H261" s="1">
        <f>IF(ISNUMBER(Main_S[[#This Row],[Free CF]]),IF(Main_S[[#This Row],[Free CF]]&lt;&gt;0,Main_S[[#This Row],[Current Price]]/Main_S[[#This Row],[Free CF]],""),"")</f>
        <v>11.200000000000001</v>
      </c>
      <c r="I261" s="1">
        <f>IF(ISNUMBER(Main_S[[#This Row],[BVPS]]),IF(Main_S[[#This Row],[BVPS]]&lt;&gt;0,Main_S[[#This Row],[Current Price]]/Main_S[[#This Row],[BVPS]],""),"")</f>
        <v>1.1034482758620692</v>
      </c>
      <c r="J261">
        <v>0.82</v>
      </c>
      <c r="K261">
        <v>3.92</v>
      </c>
      <c r="L261">
        <v>3.7</v>
      </c>
      <c r="M261" s="1">
        <f>IF(ISNUMBER(Main_S[[#This Row],[EPS]]),IF(Main_S[[#This Row],[EPS]]&lt;&gt;0,Main_S[[#This Row],[Current Price]]/Main_S[[#This Row],[EPS]],""),"")</f>
        <v>-56.000000000000007</v>
      </c>
      <c r="N2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1" s="1">
        <f>(Main_S[[#This Row],[P/FCF]]-VLOOKUP(Main_S[[#This Row],[Industry]], Mean_PFCF_S, 2, FALSE))/(VLOOKUP(Main_S[[#This Row],[Industry]], Mean_PFCF_S, 3, FALSE))</f>
        <v>0.26695442595392022</v>
      </c>
      <c r="P261" s="1">
        <f>(Main_S[[#This Row],[P/B]]-VLOOKUP(Main_S[[#This Row],[Industry]], Mean_PB_S, 2, FALSE))/(VLOOKUP(Main_S[[#This Row],[Industry]], Mean_PB_S, 3, FALSE))</f>
        <v>-0.4916206466303889</v>
      </c>
      <c r="Q261" s="1">
        <f>(Main_S[[#This Row],[ROE]]-VLOOKUP(Main_S[[#This Row],[Industry]], Mean_ROE_S, 2, FALSE))/(VLOOKUP(Main_S[[#This Row],[Industry]], Mean_ROE_S, 3, FALSE))</f>
        <v>-0.86525650848213276</v>
      </c>
      <c r="R261" s="1">
        <f>(Main_S[[#This Row],[ROA]]-VLOOKUP(Main_S[[#This Row],[Industry]], Mean_ROA_S, 2, FALSE))/(VLOOKUP(Main_S[[#This Row],[Industry]], Mean_ROA_S, 3, FALSE))</f>
        <v>1.5933782375188354</v>
      </c>
      <c r="S261" s="1">
        <f>(Main_S[[#This Row],[A/E]]-VLOOKUP(Main_S[[#This Row],[Industry]], Mean_AE_S, 2, FALSE))/(VLOOKUP(Main_S[[#This Row],[Industry]], Mean_AE_S, 3, FALSE))</f>
        <v>-0.42022882196389588</v>
      </c>
      <c r="T261" s="1">
        <f>(Main_S[[#This Row],[P/E]]-VLOOKUP(Main_S[[#This Row],[Industry]], Mean_PE_S, 2, FALSE))/(VLOOKUP(Main_S[[#This Row],[Industry]], Mean_PE_S, 3, FALSE))</f>
        <v>-7.0715814539719561</v>
      </c>
      <c r="U2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2" spans="1:26" x14ac:dyDescent="0.25">
      <c r="A262" s="67" t="s">
        <v>214</v>
      </c>
      <c r="B262" s="67" t="s">
        <v>644</v>
      </c>
      <c r="C262" s="2">
        <v>524</v>
      </c>
      <c r="D262">
        <f>RTD("tos.rtd", , "LAST", Main_S[[#This Row],[Symbol]])</f>
        <v>1.47</v>
      </c>
      <c r="E262">
        <v>0.08</v>
      </c>
      <c r="F262">
        <v>1.81</v>
      </c>
      <c r="G262">
        <v>0.14000000000000001</v>
      </c>
      <c r="H262" s="1">
        <f>IF(ISNUMBER(Main_S[[#This Row],[Free CF]]),IF(Main_S[[#This Row],[Free CF]]&lt;&gt;0,Main_S[[#This Row],[Current Price]]/Main_S[[#This Row],[Free CF]],""),"")</f>
        <v>18.375</v>
      </c>
      <c r="I262" s="1">
        <f>IF(ISNUMBER(Main_S[[#This Row],[BVPS]]),IF(Main_S[[#This Row],[BVPS]]&lt;&gt;0,Main_S[[#This Row],[Current Price]]/Main_S[[#This Row],[BVPS]],""),"")</f>
        <v>0.81215469613259661</v>
      </c>
      <c r="J262">
        <v>7.35</v>
      </c>
      <c r="K262">
        <v>1.77</v>
      </c>
      <c r="L262">
        <v>1.35</v>
      </c>
      <c r="M262" s="1">
        <f>IF(ISNUMBER(Main_S[[#This Row],[EPS]]),IF(Main_S[[#This Row],[EPS]]&lt;&gt;0,Main_S[[#This Row],[Current Price]]/Main_S[[#This Row],[EPS]],""),"")</f>
        <v>10.499999999999998</v>
      </c>
      <c r="N2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2" s="1">
        <f>(Main_S[[#This Row],[P/FCF]]-VLOOKUP(Main_S[[#This Row],[Industry]], Mean_PFCF_S, 2, FALSE))/(VLOOKUP(Main_S[[#This Row],[Industry]], Mean_PFCF_S, 3, FALSE))</f>
        <v>1.286556986426644</v>
      </c>
      <c r="P262" s="1">
        <f>(Main_S[[#This Row],[P/B]]-VLOOKUP(Main_S[[#This Row],[Industry]], Mean_PB_S, 2, FALSE))/(VLOOKUP(Main_S[[#This Row],[Industry]], Mean_PB_S, 3, FALSE))</f>
        <v>-0.86625112343895938</v>
      </c>
      <c r="Q262" s="1">
        <f>(Main_S[[#This Row],[ROE]]-VLOOKUP(Main_S[[#This Row],[Industry]], Mean_ROE_S, 2, FALSE))/(VLOOKUP(Main_S[[#This Row],[Industry]], Mean_ROE_S, 3, FALSE))</f>
        <v>-0.26283561420169199</v>
      </c>
      <c r="R262" s="1">
        <f>(Main_S[[#This Row],[ROA]]-VLOOKUP(Main_S[[#This Row],[Industry]], Mean_ROA_S, 2, FALSE))/(VLOOKUP(Main_S[[#This Row],[Industry]], Mean_ROA_S, 3, FALSE))</f>
        <v>-0.15479047705248197</v>
      </c>
      <c r="S262" s="1">
        <f>(Main_S[[#This Row],[A/E]]-VLOOKUP(Main_S[[#This Row],[Industry]], Mean_AE_S, 2, FALSE))/(VLOOKUP(Main_S[[#This Row],[Industry]], Mean_AE_S, 3, FALSE))</f>
        <v>-1.3075044119146191</v>
      </c>
      <c r="T262" s="1">
        <f>(Main_S[[#This Row],[P/E]]-VLOOKUP(Main_S[[#This Row],[Industry]], Mean_PE_S, 2, FALSE))/(VLOOKUP(Main_S[[#This Row],[Industry]], Mean_PE_S, 3, FALSE))</f>
        <v>-0.13597898795373436</v>
      </c>
      <c r="U2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3" spans="1:26" x14ac:dyDescent="0.25">
      <c r="A263" s="67" t="s">
        <v>214</v>
      </c>
      <c r="B263" s="67" t="s">
        <v>731</v>
      </c>
      <c r="C263" s="2">
        <v>1400</v>
      </c>
      <c r="D263">
        <f>RTD("tos.rtd", , "LAST", Main_S[[#This Row],[Symbol]])</f>
        <v>29.57</v>
      </c>
      <c r="E263">
        <v>0.02</v>
      </c>
      <c r="F263">
        <v>11.99</v>
      </c>
      <c r="G263">
        <v>1.6</v>
      </c>
      <c r="H263" s="1">
        <f>IF(ISNUMBER(Main_S[[#This Row],[Free CF]]),IF(Main_S[[#This Row],[Free CF]]&lt;&gt;0,Main_S[[#This Row],[Current Price]]/Main_S[[#This Row],[Free CF]],""),"")</f>
        <v>1478.5</v>
      </c>
      <c r="I263" s="1">
        <f>IF(ISNUMBER(Main_S[[#This Row],[BVPS]]),IF(Main_S[[#This Row],[BVPS]]&lt;&gt;0,Main_S[[#This Row],[Current Price]]/Main_S[[#This Row],[BVPS]],""),"")</f>
        <v>2.4662218515429526</v>
      </c>
      <c r="J263">
        <v>15.04</v>
      </c>
      <c r="K263">
        <v>2.2200000000000002</v>
      </c>
      <c r="L263">
        <v>5.6</v>
      </c>
      <c r="M263" s="1">
        <f>IF(ISNUMBER(Main_S[[#This Row],[EPS]]),IF(Main_S[[#This Row],[EPS]]&lt;&gt;0,Main_S[[#This Row],[Current Price]]/Main_S[[#This Row],[EPS]],""),"")</f>
        <v>18.481249999999999</v>
      </c>
      <c r="N2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3" s="1">
        <f>(Main_S[[#This Row],[P/FCF]]-VLOOKUP(Main_S[[#This Row],[Industry]], Mean_PFCF_S, 2, FALSE))/(VLOOKUP(Main_S[[#This Row],[Industry]], Mean_PFCF_S, 3, FALSE))</f>
        <v>208.7774543537069</v>
      </c>
      <c r="P263" s="1">
        <f>(Main_S[[#This Row],[P/B]]-VLOOKUP(Main_S[[#This Row],[Industry]], Mean_PB_S, 2, FALSE))/(VLOOKUP(Main_S[[#This Row],[Industry]], Mean_PB_S, 3, FALSE))</f>
        <v>1.2610321750129529</v>
      </c>
      <c r="Q263" s="1">
        <f>(Main_S[[#This Row],[ROE]]-VLOOKUP(Main_S[[#This Row],[Industry]], Mean_ROE_S, 2, FALSE))/(VLOOKUP(Main_S[[#This Row],[Industry]], Mean_ROE_S, 3, FALSE))</f>
        <v>0.44660032408568773</v>
      </c>
      <c r="R263" s="1">
        <f>(Main_S[[#This Row],[ROA]]-VLOOKUP(Main_S[[#This Row],[Industry]], Mean_ROA_S, 2, FALSE))/(VLOOKUP(Main_S[[#This Row],[Industry]], Mean_ROA_S, 3, FALSE))</f>
        <v>0.21110530041593345</v>
      </c>
      <c r="S263" s="1">
        <f>(Main_S[[#This Row],[A/E]]-VLOOKUP(Main_S[[#This Row],[Industry]], Mean_AE_S, 2, FALSE))/(VLOOKUP(Main_S[[#This Row],[Industry]], Mean_AE_S, 3, FALSE))</f>
        <v>0.29714293161328437</v>
      </c>
      <c r="T263" s="1">
        <f>(Main_S[[#This Row],[P/E]]-VLOOKUP(Main_S[[#This Row],[Industry]], Mean_PE_S, 2, FALSE))/(VLOOKUP(Main_S[[#This Row],[Industry]], Mean_PE_S, 3, FALSE))</f>
        <v>0.69642367643585856</v>
      </c>
      <c r="U2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4" spans="1:26" x14ac:dyDescent="0.25">
      <c r="A264" s="67" t="s">
        <v>214</v>
      </c>
      <c r="B264" s="67" t="s">
        <v>732</v>
      </c>
      <c r="C264" s="2">
        <v>348</v>
      </c>
      <c r="D264">
        <f>RTD("tos.rtd", , "LAST", Main_S[[#This Row],[Symbol]])</f>
        <v>13.6</v>
      </c>
      <c r="E264">
        <v>-0.06</v>
      </c>
      <c r="F264">
        <v>0.2</v>
      </c>
      <c r="G264">
        <v>-0.4</v>
      </c>
      <c r="H264" s="1">
        <f>IF(ISNUMBER(Main_S[[#This Row],[Free CF]]),IF(Main_S[[#This Row],[Free CF]]&lt;&gt;0,Main_S[[#This Row],[Current Price]]/Main_S[[#This Row],[Free CF]],""),"")</f>
        <v>-226.66666666666666</v>
      </c>
      <c r="I264" s="1">
        <f>IF(ISNUMBER(Main_S[[#This Row],[BVPS]]),IF(Main_S[[#This Row],[BVPS]]&lt;&gt;0,Main_S[[#This Row],[Current Price]]/Main_S[[#This Row],[BVPS]],""),"")</f>
        <v>68</v>
      </c>
      <c r="J264">
        <v>-43.17</v>
      </c>
      <c r="K264">
        <v>-0.47</v>
      </c>
      <c r="L264">
        <v>35.229999999999997</v>
      </c>
      <c r="M264" s="1">
        <f>IF(ISNUMBER(Main_S[[#This Row],[EPS]]),IF(Main_S[[#This Row],[EPS]]&lt;&gt;0,Main_S[[#This Row],[Current Price]]/Main_S[[#This Row],[EPS]],""),"")</f>
        <v>-34</v>
      </c>
      <c r="N2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4" s="1">
        <f>(Main_S[[#This Row],[P/FCF]]-VLOOKUP(Main_S[[#This Row],[Industry]], Mean_PFCF_S, 2, FALSE))/(VLOOKUP(Main_S[[#This Row],[Industry]], Mean_PFCF_S, 3, FALSE))</f>
        <v>-33.535061237383395</v>
      </c>
      <c r="P264" s="1">
        <f>(Main_S[[#This Row],[P/B]]-VLOOKUP(Main_S[[#This Row],[Industry]], Mean_PB_S, 2, FALSE))/(VLOOKUP(Main_S[[#This Row],[Industry]], Mean_PB_S, 3, FALSE))</f>
        <v>85.543530188269088</v>
      </c>
      <c r="Q264" s="1">
        <f>(Main_S[[#This Row],[ROE]]-VLOOKUP(Main_S[[#This Row],[Industry]], Mean_ROE_S, 2, FALSE))/(VLOOKUP(Main_S[[#This Row],[Industry]], Mean_ROE_S, 3, FALSE))</f>
        <v>-4.9235252894004464</v>
      </c>
      <c r="R264" s="1">
        <f>(Main_S[[#This Row],[ROA]]-VLOOKUP(Main_S[[#This Row],[Industry]], Mean_ROA_S, 2, FALSE))/(VLOOKUP(Main_S[[#This Row],[Industry]], Mean_ROA_S, 3, FALSE))</f>
        <v>-1.9761383471174827</v>
      </c>
      <c r="S264" s="1">
        <f>(Main_S[[#This Row],[A/E]]-VLOOKUP(Main_S[[#This Row],[Industry]], Mean_AE_S, 2, FALSE))/(VLOOKUP(Main_S[[#This Row],[Industry]], Mean_AE_S, 3, FALSE))</f>
        <v>11.484366646608997</v>
      </c>
      <c r="T264" s="1">
        <f>(Main_S[[#This Row],[P/E]]-VLOOKUP(Main_S[[#This Row],[Industry]], Mean_PE_S, 2, FALSE))/(VLOOKUP(Main_S[[#This Row],[Industry]], Mean_PE_S, 3, FALSE))</f>
        <v>-4.7770964276200623</v>
      </c>
      <c r="U2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5" spans="1:26" x14ac:dyDescent="0.25">
      <c r="A265" s="67" t="s">
        <v>214</v>
      </c>
      <c r="B265" s="67" t="s">
        <v>661</v>
      </c>
      <c r="C265" s="2">
        <v>1184</v>
      </c>
      <c r="D265">
        <f>RTD("tos.rtd", , "LAST", Main_S[[#This Row],[Symbol]])</f>
        <v>23.1</v>
      </c>
      <c r="E265">
        <v>-0.37</v>
      </c>
      <c r="F265">
        <v>24.05</v>
      </c>
      <c r="G265">
        <v>0.83</v>
      </c>
      <c r="H265" s="1">
        <f>IF(ISNUMBER(Main_S[[#This Row],[Free CF]]),IF(Main_S[[#This Row],[Free CF]]&lt;&gt;0,Main_S[[#This Row],[Current Price]]/Main_S[[#This Row],[Free CF]],""),"")</f>
        <v>-62.432432432432435</v>
      </c>
      <c r="I265" s="1">
        <f>IF(ISNUMBER(Main_S[[#This Row],[BVPS]]),IF(Main_S[[#This Row],[BVPS]]&lt;&gt;0,Main_S[[#This Row],[Current Price]]/Main_S[[#This Row],[BVPS]],""),"")</f>
        <v>0.96049896049896055</v>
      </c>
      <c r="J265">
        <v>3.6</v>
      </c>
      <c r="K265">
        <v>0.95</v>
      </c>
      <c r="L265">
        <v>4.4800000000000004</v>
      </c>
      <c r="M265" s="1">
        <f>IF(ISNUMBER(Main_S[[#This Row],[EPS]]),IF(Main_S[[#This Row],[EPS]]&lt;&gt;0,Main_S[[#This Row],[Current Price]]/Main_S[[#This Row],[EPS]],""),"")</f>
        <v>27.831325301204821</v>
      </c>
      <c r="N2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5" s="1">
        <f>(Main_S[[#This Row],[P/FCF]]-VLOOKUP(Main_S[[#This Row],[Industry]], Mean_PFCF_S, 2, FALSE))/(VLOOKUP(Main_S[[#This Row],[Industry]], Mean_PFCF_S, 3, FALSE))</f>
        <v>-10.196574025884818</v>
      </c>
      <c r="P265" s="1">
        <f>(Main_S[[#This Row],[P/B]]-VLOOKUP(Main_S[[#This Row],[Industry]], Mean_PB_S, 2, FALSE))/(VLOOKUP(Main_S[[#This Row],[Industry]], Mean_PB_S, 3, FALSE))</f>
        <v>-0.67546668341456895</v>
      </c>
      <c r="Q265" s="1">
        <f>(Main_S[[#This Row],[ROE]]-VLOOKUP(Main_S[[#This Row],[Industry]], Mean_ROE_S, 2, FALSE))/(VLOOKUP(Main_S[[#This Row],[Industry]], Mean_ROE_S, 3, FALSE))</f>
        <v>-0.60878942025860672</v>
      </c>
      <c r="R265" s="1">
        <f>(Main_S[[#This Row],[ROA]]-VLOOKUP(Main_S[[#This Row],[Industry]], Mean_ROA_S, 2, FALSE))/(VLOOKUP(Main_S[[#This Row],[Industry]], Mean_ROA_S, 3, FALSE))</f>
        <v>-0.82153389377270536</v>
      </c>
      <c r="S265" s="1">
        <f>(Main_S[[#This Row],[A/E]]-VLOOKUP(Main_S[[#This Row],[Industry]], Mean_AE_S, 2, FALSE))/(VLOOKUP(Main_S[[#This Row],[Industry]], Mean_AE_S, 3, FALSE))</f>
        <v>-0.1257288389164217</v>
      </c>
      <c r="T265" s="1">
        <f>(Main_S[[#This Row],[P/E]]-VLOOKUP(Main_S[[#This Row],[Industry]], Mean_PE_S, 2, FALSE))/(VLOOKUP(Main_S[[#This Row],[Industry]], Mean_PE_S, 3, FALSE))</f>
        <v>1.6715876661575459</v>
      </c>
      <c r="U2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6" spans="1:26" x14ac:dyDescent="0.25">
      <c r="A266" s="67" t="s">
        <v>214</v>
      </c>
      <c r="B266" s="67" t="s">
        <v>641</v>
      </c>
      <c r="C266" s="2">
        <v>593</v>
      </c>
      <c r="D266">
        <f>RTD("tos.rtd", , "LAST", Main_S[[#This Row],[Symbol]])</f>
        <v>27.75</v>
      </c>
      <c r="E266">
        <v>-0.7</v>
      </c>
      <c r="F266">
        <v>12.83</v>
      </c>
      <c r="G266">
        <v>-2.11</v>
      </c>
      <c r="H266" s="1">
        <f>IF(ISNUMBER(Main_S[[#This Row],[Free CF]]),IF(Main_S[[#This Row],[Free CF]]&lt;&gt;0,Main_S[[#This Row],[Current Price]]/Main_S[[#This Row],[Free CF]],""),"")</f>
        <v>-39.642857142857146</v>
      </c>
      <c r="I266" s="1">
        <f>IF(ISNUMBER(Main_S[[#This Row],[BVPS]]),IF(Main_S[[#This Row],[BVPS]]&lt;&gt;0,Main_S[[#This Row],[Current Price]]/Main_S[[#This Row],[BVPS]],""),"")</f>
        <v>2.1628994544037412</v>
      </c>
      <c r="J266">
        <v>-12.02</v>
      </c>
      <c r="K266">
        <v>-3.9</v>
      </c>
      <c r="L266">
        <v>4.7699999999999996</v>
      </c>
      <c r="M266" s="1">
        <f>IF(ISNUMBER(Main_S[[#This Row],[EPS]]),IF(Main_S[[#This Row],[EPS]]&lt;&gt;0,Main_S[[#This Row],[Current Price]]/Main_S[[#This Row],[EPS]],""),"")</f>
        <v>-13.151658767772513</v>
      </c>
      <c r="N2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6" s="1">
        <f>(Main_S[[#This Row],[P/FCF]]-VLOOKUP(Main_S[[#This Row],[Industry]], Mean_PFCF_S, 2, FALSE))/(VLOOKUP(Main_S[[#This Row],[Industry]], Mean_PFCF_S, 3, FALSE))</f>
        <v>-6.9580640164998862</v>
      </c>
      <c r="P266" s="1">
        <f>(Main_S[[#This Row],[P/B]]-VLOOKUP(Main_S[[#This Row],[Industry]], Mean_PB_S, 2, FALSE))/(VLOOKUP(Main_S[[#This Row],[Industry]], Mean_PB_S, 3, FALSE))</f>
        <v>0.87093152681976493</v>
      </c>
      <c r="Q266" s="1">
        <f>(Main_S[[#This Row],[ROE]]-VLOOKUP(Main_S[[#This Row],[Industry]], Mean_ROE_S, 2, FALSE))/(VLOOKUP(Main_S[[#This Row],[Industry]], Mean_ROE_S, 3, FALSE))</f>
        <v>-2.0498023404210088</v>
      </c>
      <c r="R266" s="1">
        <f>(Main_S[[#This Row],[ROA]]-VLOOKUP(Main_S[[#This Row],[Industry]], Mean_ROA_S, 2, FALSE))/(VLOOKUP(Main_S[[#This Row],[Industry]], Mean_ROA_S, 3, FALSE))</f>
        <v>-4.7650772731545139</v>
      </c>
      <c r="S266" s="1">
        <f>(Main_S[[#This Row],[A/E]]-VLOOKUP(Main_S[[#This Row],[Industry]], Mean_AE_S, 2, FALSE))/(VLOOKUP(Main_S[[#This Row],[Industry]], Mean_AE_S, 3, FALSE))</f>
        <v>-1.6235255475694477E-2</v>
      </c>
      <c r="T266" s="1">
        <f>(Main_S[[#This Row],[P/E]]-VLOOKUP(Main_S[[#This Row],[Industry]], Mean_PE_S, 2, FALSE))/(VLOOKUP(Main_S[[#This Row],[Industry]], Mean_PE_S, 3, FALSE))</f>
        <v>-2.6027233920918471</v>
      </c>
      <c r="U2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7" spans="1:26" x14ac:dyDescent="0.25">
      <c r="A267" s="67" t="s">
        <v>214</v>
      </c>
      <c r="B267" s="67" t="s">
        <v>639</v>
      </c>
      <c r="C267" s="2">
        <v>741</v>
      </c>
      <c r="D267">
        <f>RTD("tos.rtd", , "LAST", Main_S[[#This Row],[Symbol]])</f>
        <v>6.18</v>
      </c>
      <c r="E267">
        <v>-3.46</v>
      </c>
      <c r="F267">
        <v>4.5</v>
      </c>
      <c r="G267">
        <v>-0.23</v>
      </c>
      <c r="H267" s="1">
        <f>IF(ISNUMBER(Main_S[[#This Row],[Free CF]]),IF(Main_S[[#This Row],[Free CF]]&lt;&gt;0,Main_S[[#This Row],[Current Price]]/Main_S[[#This Row],[Free CF]],""),"")</f>
        <v>-1.7861271676300576</v>
      </c>
      <c r="I267" s="1">
        <f>IF(ISNUMBER(Main_S[[#This Row],[BVPS]]),IF(Main_S[[#This Row],[BVPS]]&lt;&gt;0,Main_S[[#This Row],[Current Price]]/Main_S[[#This Row],[BVPS]],""),"")</f>
        <v>1.3733333333333333</v>
      </c>
      <c r="J267">
        <v>-6.12</v>
      </c>
      <c r="K267">
        <v>2.42</v>
      </c>
      <c r="L267">
        <v>1.99</v>
      </c>
      <c r="M267" s="1">
        <f>IF(ISNUMBER(Main_S[[#This Row],[EPS]]),IF(Main_S[[#This Row],[EPS]]&lt;&gt;0,Main_S[[#This Row],[Current Price]]/Main_S[[#This Row],[EPS]],""),"")</f>
        <v>-26.869565217391301</v>
      </c>
      <c r="N2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7" s="1">
        <f>(Main_S[[#This Row],[P/FCF]]-VLOOKUP(Main_S[[#This Row],[Industry]], Mean_PFCF_S, 2, FALSE))/(VLOOKUP(Main_S[[#This Row],[Industry]], Mean_PFCF_S, 3, FALSE))</f>
        <v>-1.5784377009784851</v>
      </c>
      <c r="P267" s="1">
        <f>(Main_S[[#This Row],[P/B]]-VLOOKUP(Main_S[[#This Row],[Industry]], Mean_PB_S, 2, FALSE))/(VLOOKUP(Main_S[[#This Row],[Industry]], Mean_PB_S, 3, FALSE))</f>
        <v>-0.14452350889783941</v>
      </c>
      <c r="Q267" s="1">
        <f>(Main_S[[#This Row],[ROE]]-VLOOKUP(Main_S[[#This Row],[Industry]], Mean_ROE_S, 2, FALSE))/(VLOOKUP(Main_S[[#This Row],[Industry]], Mean_ROE_S, 3, FALSE))</f>
        <v>-1.5055016855581296</v>
      </c>
      <c r="R267" s="1">
        <f>(Main_S[[#This Row],[ROA]]-VLOOKUP(Main_S[[#This Row],[Industry]], Mean_ROA_S, 2, FALSE))/(VLOOKUP(Main_S[[#This Row],[Industry]], Mean_ROA_S, 3, FALSE))</f>
        <v>0.37372564595745111</v>
      </c>
      <c r="S267" s="1">
        <f>(Main_S[[#This Row],[A/E]]-VLOOKUP(Main_S[[#This Row],[Industry]], Mean_AE_S, 2, FALSE))/(VLOOKUP(Main_S[[#This Row],[Industry]], Mean_AE_S, 3, FALSE))</f>
        <v>-1.0658634001833582</v>
      </c>
      <c r="T267" s="1">
        <f>(Main_S[[#This Row],[P/E]]-VLOOKUP(Main_S[[#This Row],[Industry]], Mean_PE_S, 2, FALSE))/(VLOOKUP(Main_S[[#This Row],[Industry]], Mean_PE_S, 3, FALSE))</f>
        <v>-4.0334293439803179</v>
      </c>
      <c r="U2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8" spans="1:26" x14ac:dyDescent="0.25">
      <c r="A268" s="67" t="s">
        <v>214</v>
      </c>
      <c r="B268" s="67" t="s">
        <v>740</v>
      </c>
      <c r="C268" s="2">
        <v>267</v>
      </c>
      <c r="D268">
        <f>RTD("tos.rtd", , "LAST", Main_S[[#This Row],[Symbol]])</f>
        <v>5.85</v>
      </c>
      <c r="E268">
        <v>-8.36</v>
      </c>
      <c r="F268">
        <v>10.56</v>
      </c>
      <c r="G268">
        <v>-2.78</v>
      </c>
      <c r="H268" s="1">
        <f>IF(ISNUMBER(Main_S[[#This Row],[Free CF]]),IF(Main_S[[#This Row],[Free CF]]&lt;&gt;0,Main_S[[#This Row],[Current Price]]/Main_S[[#This Row],[Free CF]],""),"")</f>
        <v>-0.69976076555023925</v>
      </c>
      <c r="I268" s="1">
        <f>IF(ISNUMBER(Main_S[[#This Row],[BVPS]]),IF(Main_S[[#This Row],[BVPS]]&lt;&gt;0,Main_S[[#This Row],[Current Price]]/Main_S[[#This Row],[BVPS]],""),"")</f>
        <v>0.55397727272727271</v>
      </c>
      <c r="J268">
        <v>-11.68</v>
      </c>
      <c r="K268">
        <v>-0.79</v>
      </c>
      <c r="L268">
        <v>10.220000000000001</v>
      </c>
      <c r="M268" s="1">
        <f>IF(ISNUMBER(Main_S[[#This Row],[EPS]]),IF(Main_S[[#This Row],[EPS]]&lt;&gt;0,Main_S[[#This Row],[Current Price]]/Main_S[[#This Row],[EPS]],""),"")</f>
        <v>-2.1043165467625902</v>
      </c>
      <c r="N2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8" s="1">
        <f>(Main_S[[#This Row],[P/FCF]]-VLOOKUP(Main_S[[#This Row],[Industry]], Mean_PFCF_S, 2, FALSE))/(VLOOKUP(Main_S[[#This Row],[Industry]], Mean_PFCF_S, 3, FALSE))</f>
        <v>-1.424059726738468</v>
      </c>
      <c r="P268" s="1">
        <f>(Main_S[[#This Row],[P/B]]-VLOOKUP(Main_S[[#This Row],[Industry]], Mean_PB_S, 2, FALSE))/(VLOOKUP(Main_S[[#This Row],[Industry]], Mean_PB_S, 3, FALSE))</f>
        <v>-1.1982911612639282</v>
      </c>
      <c r="Q268" s="1">
        <f>(Main_S[[#This Row],[ROE]]-VLOOKUP(Main_S[[#This Row],[Industry]], Mean_ROE_S, 2, FALSE))/(VLOOKUP(Main_S[[#This Row],[Industry]], Mean_ROE_S, 3, FALSE))</f>
        <v>-2.0184358620051817</v>
      </c>
      <c r="R268" s="1">
        <f>(Main_S[[#This Row],[ROA]]-VLOOKUP(Main_S[[#This Row],[Industry]], Mean_ROA_S, 2, FALSE))/(VLOOKUP(Main_S[[#This Row],[Industry]], Mean_ROA_S, 3, FALSE))</f>
        <v>-2.2363308999839111</v>
      </c>
      <c r="S268" s="1">
        <f>(Main_S[[#This Row],[A/E]]-VLOOKUP(Main_S[[#This Row],[Industry]], Mean_AE_S, 2, FALSE))/(VLOOKUP(Main_S[[#This Row],[Industry]], Mean_AE_S, 3, FALSE))</f>
        <v>2.0414889850483235</v>
      </c>
      <c r="T268" s="1">
        <f>(Main_S[[#This Row],[P/E]]-VLOOKUP(Main_S[[#This Row],[Industry]], Mean_PE_S, 2, FALSE))/(VLOOKUP(Main_S[[#This Row],[Industry]], Mean_PE_S, 3, FALSE))</f>
        <v>-1.4505433326785595</v>
      </c>
      <c r="U2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9" spans="1:26" x14ac:dyDescent="0.25">
      <c r="A269" s="67" t="s">
        <v>250</v>
      </c>
      <c r="B269" s="67" t="s">
        <v>671</v>
      </c>
      <c r="C269" s="2">
        <v>1325</v>
      </c>
      <c r="D269">
        <f>RTD("tos.rtd", , "LAST", Main_S[[#This Row],[Symbol]])</f>
        <v>16.579999999999998</v>
      </c>
      <c r="E269">
        <v>4.32</v>
      </c>
      <c r="F269">
        <v>20.67</v>
      </c>
      <c r="G269">
        <v>-0.24</v>
      </c>
      <c r="H269" s="1">
        <f>IF(ISNUMBER(Main_S[[#This Row],[Free CF]]),IF(Main_S[[#This Row],[Free CF]]&lt;&gt;0,Main_S[[#This Row],[Current Price]]/Main_S[[#This Row],[Free CF]],""),"")</f>
        <v>3.8379629629629624</v>
      </c>
      <c r="I269" s="1">
        <f>IF(ISNUMBER(Main_S[[#This Row],[BVPS]]),IF(Main_S[[#This Row],[BVPS]]&lt;&gt;0,Main_S[[#This Row],[Current Price]]/Main_S[[#This Row],[BVPS]],""),"")</f>
        <v>0.80212868892114164</v>
      </c>
      <c r="J269">
        <v>-0.11</v>
      </c>
      <c r="K269">
        <v>-0.01</v>
      </c>
      <c r="L269">
        <v>9.1</v>
      </c>
      <c r="M269" s="1">
        <f>IF(ISNUMBER(Main_S[[#This Row],[EPS]]),IF(Main_S[[#This Row],[EPS]]&lt;&gt;0,Main_S[[#This Row],[Current Price]]/Main_S[[#This Row],[EPS]],""),"")</f>
        <v>-69.083333333333329</v>
      </c>
      <c r="N2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9" s="1">
        <f>(Main_S[[#This Row],[P/FCF]]-VLOOKUP(Main_S[[#This Row],[Industry]], Mean_PFCF_S, 2, FALSE))/(VLOOKUP(Main_S[[#This Row],[Industry]], Mean_PFCF_S, 3, FALSE))</f>
        <v>-0.63436935742019063</v>
      </c>
      <c r="P269" s="1">
        <f>(Main_S[[#This Row],[P/B]]-VLOOKUP(Main_S[[#This Row],[Industry]], Mean_PB_S, 2, FALSE))/(VLOOKUP(Main_S[[#This Row],[Industry]], Mean_PB_S, 3, FALSE))</f>
        <v>0.42922029440815385</v>
      </c>
      <c r="Q269" s="1">
        <f>(Main_S[[#This Row],[ROE]]-VLOOKUP(Main_S[[#This Row],[Industry]], Mean_ROE_S, 2, FALSE))/(VLOOKUP(Main_S[[#This Row],[Industry]], Mean_ROE_S, 3, FALSE))</f>
        <v>-1.0353875784963997</v>
      </c>
      <c r="R269" s="1">
        <f>(Main_S[[#This Row],[ROA]]-VLOOKUP(Main_S[[#This Row],[Industry]], Mean_ROA_S, 2, FALSE))/(VLOOKUP(Main_S[[#This Row],[Industry]], Mean_ROA_S, 3, FALSE))</f>
        <v>-1.1740575097283059</v>
      </c>
      <c r="S269" s="1">
        <f>(Main_S[[#This Row],[A/E]]-VLOOKUP(Main_S[[#This Row],[Industry]], Mean_AE_S, 2, FALSE))/(VLOOKUP(Main_S[[#This Row],[Industry]], Mean_AE_S, 3, FALSE))</f>
        <v>0.41625453447370164</v>
      </c>
      <c r="T269" s="1">
        <f>(Main_S[[#This Row],[P/E]]-VLOOKUP(Main_S[[#This Row],[Industry]], Mean_PE_S, 2, FALSE))/(VLOOKUP(Main_S[[#This Row],[Industry]], Mean_PE_S, 3, FALSE))</f>
        <v>-5.3936674143753338</v>
      </c>
      <c r="U2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0" spans="1:26" x14ac:dyDescent="0.25">
      <c r="A270" s="67" t="s">
        <v>250</v>
      </c>
      <c r="B270" s="67" t="s">
        <v>690</v>
      </c>
      <c r="C270" s="2">
        <v>1102</v>
      </c>
      <c r="D270">
        <f>RTD("tos.rtd", , "LAST", Main_S[[#This Row],[Symbol]])</f>
        <v>10.79</v>
      </c>
      <c r="E270">
        <v>2.8</v>
      </c>
      <c r="F270">
        <v>14.86</v>
      </c>
      <c r="G270">
        <v>-0.32</v>
      </c>
      <c r="H270" s="1">
        <f>IF(ISNUMBER(Main_S[[#This Row],[Free CF]]),IF(Main_S[[#This Row],[Free CF]]&lt;&gt;0,Main_S[[#This Row],[Current Price]]/Main_S[[#This Row],[Free CF]],""),"")</f>
        <v>3.8535714285714286</v>
      </c>
      <c r="I270" s="1">
        <f>IF(ISNUMBER(Main_S[[#This Row],[BVPS]]),IF(Main_S[[#This Row],[BVPS]]&lt;&gt;0,Main_S[[#This Row],[Current Price]]/Main_S[[#This Row],[BVPS]],""),"")</f>
        <v>0.72611036339165547</v>
      </c>
      <c r="J270">
        <v>0.71</v>
      </c>
      <c r="K270">
        <v>0.12</v>
      </c>
      <c r="L270">
        <v>8.85</v>
      </c>
      <c r="M270" s="1">
        <f>IF(ISNUMBER(Main_S[[#This Row],[EPS]]),IF(Main_S[[#This Row],[EPS]]&lt;&gt;0,Main_S[[#This Row],[Current Price]]/Main_S[[#This Row],[EPS]],""),"")</f>
        <v>-33.71875</v>
      </c>
      <c r="N2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0" s="1">
        <f>(Main_S[[#This Row],[P/FCF]]-VLOOKUP(Main_S[[#This Row],[Industry]], Mean_PFCF_S, 2, FALSE))/(VLOOKUP(Main_S[[#This Row],[Industry]], Mean_PFCF_S, 3, FALSE))</f>
        <v>-0.63150628528478447</v>
      </c>
      <c r="P270" s="1">
        <f>(Main_S[[#This Row],[P/B]]-VLOOKUP(Main_S[[#This Row],[Industry]], Mean_PB_S, 2, FALSE))/(VLOOKUP(Main_S[[#This Row],[Industry]], Mean_PB_S, 3, FALSE))</f>
        <v>-3.8130979701404985E-2</v>
      </c>
      <c r="Q270" s="1">
        <f>(Main_S[[#This Row],[ROE]]-VLOOKUP(Main_S[[#This Row],[Industry]], Mean_ROE_S, 2, FALSE))/(VLOOKUP(Main_S[[#This Row],[Industry]], Mean_ROE_S, 3, FALSE))</f>
        <v>-0.86409951910829319</v>
      </c>
      <c r="R270" s="1">
        <f>(Main_S[[#This Row],[ROA]]-VLOOKUP(Main_S[[#This Row],[Industry]], Mean_ROA_S, 2, FALSE))/(VLOOKUP(Main_S[[#This Row],[Industry]], Mean_ROA_S, 3, FALSE))</f>
        <v>-1.0109939667104855</v>
      </c>
      <c r="S270" s="1">
        <f>(Main_S[[#This Row],[A/E]]-VLOOKUP(Main_S[[#This Row],[Industry]], Mean_AE_S, 2, FALSE))/(VLOOKUP(Main_S[[#This Row],[Industry]], Mean_AE_S, 3, FALSE))</f>
        <v>0.35703970089567627</v>
      </c>
      <c r="T270" s="1">
        <f>(Main_S[[#This Row],[P/E]]-VLOOKUP(Main_S[[#This Row],[Industry]], Mean_PE_S, 2, FALSE))/(VLOOKUP(Main_S[[#This Row],[Industry]], Mean_PE_S, 3, FALSE))</f>
        <v>-2.8515043647777092</v>
      </c>
      <c r="U2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1" spans="1:26" x14ac:dyDescent="0.25">
      <c r="A271" s="67" t="s">
        <v>250</v>
      </c>
      <c r="B271" s="67" t="s">
        <v>678</v>
      </c>
      <c r="C271" s="2">
        <v>487</v>
      </c>
      <c r="D271">
        <f>RTD("tos.rtd", , "LAST", Main_S[[#This Row],[Symbol]])</f>
        <v>7.66</v>
      </c>
      <c r="E271">
        <v>2.5299999999999998</v>
      </c>
      <c r="F271">
        <v>8.9</v>
      </c>
      <c r="G271">
        <v>0.48</v>
      </c>
      <c r="H271" s="1">
        <f>IF(ISNUMBER(Main_S[[#This Row],[Free CF]]),IF(Main_S[[#This Row],[Free CF]]&lt;&gt;0,Main_S[[#This Row],[Current Price]]/Main_S[[#This Row],[Free CF]],""),"")</f>
        <v>3.0276679841897236</v>
      </c>
      <c r="I271" s="1">
        <f>IF(ISNUMBER(Main_S[[#This Row],[BVPS]]),IF(Main_S[[#This Row],[BVPS]]&lt;&gt;0,Main_S[[#This Row],[Current Price]]/Main_S[[#This Row],[BVPS]],""),"")</f>
        <v>0.86067415730337071</v>
      </c>
      <c r="J271">
        <v>6.53</v>
      </c>
      <c r="K271">
        <v>0.88</v>
      </c>
      <c r="L271">
        <v>10.49</v>
      </c>
      <c r="M271" s="1">
        <f>IF(ISNUMBER(Main_S[[#This Row],[EPS]]),IF(Main_S[[#This Row],[EPS]]&lt;&gt;0,Main_S[[#This Row],[Current Price]]/Main_S[[#This Row],[EPS]],""),"")</f>
        <v>15.958333333333334</v>
      </c>
      <c r="N2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1" s="1">
        <f>(Main_S[[#This Row],[P/FCF]]-VLOOKUP(Main_S[[#This Row],[Industry]], Mean_PFCF_S, 2, FALSE))/(VLOOKUP(Main_S[[#This Row],[Industry]], Mean_PFCF_S, 3, FALSE))</f>
        <v>-0.783002351423573</v>
      </c>
      <c r="P271" s="1">
        <f>(Main_S[[#This Row],[P/B]]-VLOOKUP(Main_S[[#This Row],[Industry]], Mean_PB_S, 2, FALSE))/(VLOOKUP(Main_S[[#This Row],[Industry]], Mean_PB_S, 3, FALSE))</f>
        <v>0.78915060135976745</v>
      </c>
      <c r="Q271" s="1">
        <f>(Main_S[[#This Row],[ROE]]-VLOOKUP(Main_S[[#This Row],[Industry]], Mean_ROE_S, 2, FALSE))/(VLOOKUP(Main_S[[#This Row],[Industry]], Mean_ROE_S, 3, FALSE))</f>
        <v>0.35162792679265792</v>
      </c>
      <c r="R271" s="1">
        <f>(Main_S[[#This Row],[ROA]]-VLOOKUP(Main_S[[#This Row],[Industry]], Mean_ROA_S, 2, FALSE))/(VLOOKUP(Main_S[[#This Row],[Industry]], Mean_ROA_S, 3, FALSE))</f>
        <v>-5.769940752938247E-2</v>
      </c>
      <c r="S271" s="1">
        <f>(Main_S[[#This Row],[A/E]]-VLOOKUP(Main_S[[#This Row],[Industry]], Mean_AE_S, 2, FALSE))/(VLOOKUP(Main_S[[#This Row],[Industry]], Mean_AE_S, 3, FALSE))</f>
        <v>0.74548900916752259</v>
      </c>
      <c r="T271" s="1">
        <f>(Main_S[[#This Row],[P/E]]-VLOOKUP(Main_S[[#This Row],[Industry]], Mean_PE_S, 2, FALSE))/(VLOOKUP(Main_S[[#This Row],[Industry]], Mean_PE_S, 3, FALSE))</f>
        <v>0.71950464362614086</v>
      </c>
      <c r="U2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2" spans="1:26" x14ac:dyDescent="0.25">
      <c r="A272" s="67" t="s">
        <v>250</v>
      </c>
      <c r="B272" s="67" t="s">
        <v>686</v>
      </c>
      <c r="C272" s="2">
        <v>762</v>
      </c>
      <c r="D272">
        <f>RTD("tos.rtd", , "LAST", Main_S[[#This Row],[Symbol]])</f>
        <v>4.4000000000000004</v>
      </c>
      <c r="E272">
        <v>2.15</v>
      </c>
      <c r="F272">
        <v>10.61</v>
      </c>
      <c r="G272">
        <v>-1.62</v>
      </c>
      <c r="H272" s="1">
        <f>IF(ISNUMBER(Main_S[[#This Row],[Free CF]]),IF(Main_S[[#This Row],[Free CF]]&lt;&gt;0,Main_S[[#This Row],[Current Price]]/Main_S[[#This Row],[Free CF]],""),"")</f>
        <v>2.0465116279069768</v>
      </c>
      <c r="I272" s="1">
        <f>IF(ISNUMBER(Main_S[[#This Row],[BVPS]]),IF(Main_S[[#This Row],[BVPS]]&lt;&gt;0,Main_S[[#This Row],[Current Price]]/Main_S[[#This Row],[BVPS]],""),"")</f>
        <v>0.41470311027332712</v>
      </c>
      <c r="J272">
        <v>-11.15</v>
      </c>
      <c r="K272">
        <v>-2.31</v>
      </c>
      <c r="L272">
        <v>5.45</v>
      </c>
      <c r="M272" s="1">
        <f>IF(ISNUMBER(Main_S[[#This Row],[EPS]]),IF(Main_S[[#This Row],[EPS]]&lt;&gt;0,Main_S[[#This Row],[Current Price]]/Main_S[[#This Row],[EPS]],""),"")</f>
        <v>-2.7160493827160495</v>
      </c>
      <c r="N2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2" s="1">
        <f>(Main_S[[#This Row],[P/FCF]]-VLOOKUP(Main_S[[#This Row],[Industry]], Mean_PFCF_S, 2, FALSE))/(VLOOKUP(Main_S[[#This Row],[Industry]], Mean_PFCF_S, 3, FALSE))</f>
        <v>-0.96297657147926119</v>
      </c>
      <c r="P272" s="1">
        <f>(Main_S[[#This Row],[P/B]]-VLOOKUP(Main_S[[#This Row],[Industry]], Mean_PB_S, 2, FALSE))/(VLOOKUP(Main_S[[#This Row],[Industry]], Mean_PB_S, 3, FALSE))</f>
        <v>-1.9526243008593085</v>
      </c>
      <c r="Q272" s="1">
        <f>(Main_S[[#This Row],[ROE]]-VLOOKUP(Main_S[[#This Row],[Industry]], Mean_ROE_S, 2, FALSE))/(VLOOKUP(Main_S[[#This Row],[Industry]], Mean_ROE_S, 3, FALSE))</f>
        <v>-3.3415097439167605</v>
      </c>
      <c r="R272" s="1">
        <f>(Main_S[[#This Row],[ROA]]-VLOOKUP(Main_S[[#This Row],[Industry]], Mean_ROA_S, 2, FALSE))/(VLOOKUP(Main_S[[#This Row],[Industry]], Mean_ROA_S, 3, FALSE))</f>
        <v>-4.0590278861974332</v>
      </c>
      <c r="S272" s="1">
        <f>(Main_S[[#This Row],[A/E]]-VLOOKUP(Main_S[[#This Row],[Industry]], Mean_AE_S, 2, FALSE))/(VLOOKUP(Main_S[[#This Row],[Industry]], Mean_AE_S, 3, FALSE))</f>
        <v>-0.44828203576546821</v>
      </c>
      <c r="T272" s="1">
        <f>(Main_S[[#This Row],[P/E]]-VLOOKUP(Main_S[[#This Row],[Industry]], Mean_PE_S, 2, FALSE))/(VLOOKUP(Main_S[[#This Row],[Industry]], Mean_PE_S, 3, FALSE))</f>
        <v>-0.62289278453862673</v>
      </c>
      <c r="U2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3" spans="1:26" x14ac:dyDescent="0.25">
      <c r="A273" s="67" t="s">
        <v>250</v>
      </c>
      <c r="B273" s="67" t="s">
        <v>677</v>
      </c>
      <c r="C273" s="2">
        <v>907</v>
      </c>
      <c r="D273">
        <f>RTD("tos.rtd", , "LAST", Main_S[[#This Row],[Symbol]])</f>
        <v>11.13</v>
      </c>
      <c r="E273">
        <v>1.96</v>
      </c>
      <c r="F273">
        <v>14.97</v>
      </c>
      <c r="G273">
        <v>0.67</v>
      </c>
      <c r="H273" s="1">
        <f>IF(ISNUMBER(Main_S[[#This Row],[Free CF]]),IF(Main_S[[#This Row],[Free CF]]&lt;&gt;0,Main_S[[#This Row],[Current Price]]/Main_S[[#This Row],[Free CF]],""),"")</f>
        <v>5.6785714285714288</v>
      </c>
      <c r="I273" s="1">
        <f>IF(ISNUMBER(Main_S[[#This Row],[BVPS]]),IF(Main_S[[#This Row],[BVPS]]&lt;&gt;0,Main_S[[#This Row],[Current Price]]/Main_S[[#This Row],[BVPS]],""),"")</f>
        <v>0.74348697394789576</v>
      </c>
      <c r="J273">
        <v>4.91</v>
      </c>
      <c r="K273">
        <v>1.37</v>
      </c>
      <c r="L273">
        <v>4.5599999999999996</v>
      </c>
      <c r="M273" s="1">
        <f>IF(ISNUMBER(Main_S[[#This Row],[EPS]]),IF(Main_S[[#This Row],[EPS]]&lt;&gt;0,Main_S[[#This Row],[Current Price]]/Main_S[[#This Row],[EPS]],""),"")</f>
        <v>16.611940298507463</v>
      </c>
      <c r="N2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3" s="1">
        <f>(Main_S[[#This Row],[P/FCF]]-VLOOKUP(Main_S[[#This Row],[Industry]], Mean_PFCF_S, 2, FALSE))/(VLOOKUP(Main_S[[#This Row],[Industry]], Mean_PFCF_S, 3, FALSE))</f>
        <v>-0.29674521535091314</v>
      </c>
      <c r="P273" s="1">
        <f>(Main_S[[#This Row],[P/B]]-VLOOKUP(Main_S[[#This Row],[Industry]], Mean_PB_S, 2, FALSE))/(VLOOKUP(Main_S[[#This Row],[Industry]], Mean_PB_S, 3, FALSE))</f>
        <v>6.8698275305198966E-2</v>
      </c>
      <c r="Q273" s="1">
        <f>(Main_S[[#This Row],[ROE]]-VLOOKUP(Main_S[[#This Row],[Industry]], Mean_ROE_S, 2, FALSE))/(VLOOKUP(Main_S[[#This Row],[Industry]], Mean_ROE_S, 3, FALSE))</f>
        <v>1.3229565562496244E-2</v>
      </c>
      <c r="R273" s="1">
        <f>(Main_S[[#This Row],[ROA]]-VLOOKUP(Main_S[[#This Row],[Industry]], Mean_ROA_S, 2, FALSE))/(VLOOKUP(Main_S[[#This Row],[Industry]], Mean_ROA_S, 3, FALSE))</f>
        <v>0.55692471615317096</v>
      </c>
      <c r="S273" s="1">
        <f>(Main_S[[#This Row],[A/E]]-VLOOKUP(Main_S[[#This Row],[Industry]], Mean_AE_S, 2, FALSE))/(VLOOKUP(Main_S[[#This Row],[Industry]], Mean_AE_S, 3, FALSE))</f>
        <v>-0.65908684330323852</v>
      </c>
      <c r="T273" s="1">
        <f>(Main_S[[#This Row],[P/E]]-VLOOKUP(Main_S[[#This Row],[Industry]], Mean_PE_S, 2, FALSE))/(VLOOKUP(Main_S[[#This Row],[Industry]], Mean_PE_S, 3, FALSE))</f>
        <v>0.76648881024741611</v>
      </c>
      <c r="U2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4" spans="1:26" x14ac:dyDescent="0.25">
      <c r="A274" s="67" t="s">
        <v>250</v>
      </c>
      <c r="B274" s="67" t="s">
        <v>419</v>
      </c>
      <c r="C274" s="2">
        <v>1841</v>
      </c>
      <c r="D274">
        <f>RTD("tos.rtd", , "LAST", Main_S[[#This Row],[Symbol]])</f>
        <v>10.42</v>
      </c>
      <c r="E274">
        <v>1.64</v>
      </c>
      <c r="F274">
        <v>12.35</v>
      </c>
      <c r="G274">
        <v>1.03</v>
      </c>
      <c r="H274" s="1">
        <f>IF(ISNUMBER(Main_S[[#This Row],[Free CF]]),IF(Main_S[[#This Row],[Free CF]]&lt;&gt;0,Main_S[[#This Row],[Current Price]]/Main_S[[#This Row],[Free CF]],""),"")</f>
        <v>6.3536585365853666</v>
      </c>
      <c r="I274" s="1">
        <f>IF(ISNUMBER(Main_S[[#This Row],[BVPS]]),IF(Main_S[[#This Row],[BVPS]]&lt;&gt;0,Main_S[[#This Row],[Current Price]]/Main_S[[#This Row],[BVPS]],""),"")</f>
        <v>0.84372469635627534</v>
      </c>
      <c r="J274">
        <v>7.99</v>
      </c>
      <c r="K274">
        <v>1.78</v>
      </c>
      <c r="L274">
        <v>5.63</v>
      </c>
      <c r="M274" s="1">
        <f>IF(ISNUMBER(Main_S[[#This Row],[EPS]]),IF(Main_S[[#This Row],[EPS]]&lt;&gt;0,Main_S[[#This Row],[Current Price]]/Main_S[[#This Row],[EPS]],""),"")</f>
        <v>10.116504854368932</v>
      </c>
      <c r="N2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4" s="1">
        <f>(Main_S[[#This Row],[P/FCF]]-VLOOKUP(Main_S[[#This Row],[Industry]], Mean_PFCF_S, 2, FALSE))/(VLOOKUP(Main_S[[#This Row],[Industry]], Mean_PFCF_S, 3, FALSE))</f>
        <v>-0.172913498870196</v>
      </c>
      <c r="P274" s="1">
        <f>(Main_S[[#This Row],[P/B]]-VLOOKUP(Main_S[[#This Row],[Industry]], Mean_PB_S, 2, FALSE))/(VLOOKUP(Main_S[[#This Row],[Industry]], Mean_PB_S, 3, FALSE))</f>
        <v>0.68494740938045084</v>
      </c>
      <c r="Q274" s="1">
        <f>(Main_S[[#This Row],[ROE]]-VLOOKUP(Main_S[[#This Row],[Industry]], Mean_ROE_S, 2, FALSE))/(VLOOKUP(Main_S[[#This Row],[Industry]], Mean_ROE_S, 3, FALSE))</f>
        <v>0.65660422765440851</v>
      </c>
      <c r="R274" s="1">
        <f>(Main_S[[#This Row],[ROA]]-VLOOKUP(Main_S[[#This Row],[Industry]], Mean_ROA_S, 2, FALSE))/(VLOOKUP(Main_S[[#This Row],[Industry]], Mean_ROA_S, 3, FALSE))</f>
        <v>1.0712020441324501</v>
      </c>
      <c r="S274" s="1">
        <f>(Main_S[[#This Row],[A/E]]-VLOOKUP(Main_S[[#This Row],[Industry]], Mean_AE_S, 2, FALSE))/(VLOOKUP(Main_S[[#This Row],[Industry]], Mean_AE_S, 3, FALSE))</f>
        <v>-0.40564735558928999</v>
      </c>
      <c r="T274" s="1">
        <f>(Main_S[[#This Row],[P/E]]-VLOOKUP(Main_S[[#This Row],[Industry]], Mean_PE_S, 2, FALSE))/(VLOOKUP(Main_S[[#This Row],[Industry]], Mean_PE_S, 3, FALSE))</f>
        <v>0.29956811104122238</v>
      </c>
      <c r="U2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5" spans="1:26" x14ac:dyDescent="0.25">
      <c r="A275" s="67" t="s">
        <v>250</v>
      </c>
      <c r="B275" s="67" t="s">
        <v>679</v>
      </c>
      <c r="C275" s="2">
        <v>606</v>
      </c>
      <c r="D275">
        <f>RTD("tos.rtd", , "LAST", Main_S[[#This Row],[Symbol]])</f>
        <v>9.31</v>
      </c>
      <c r="E275">
        <v>1.34</v>
      </c>
      <c r="F275">
        <v>14.62</v>
      </c>
      <c r="G275">
        <v>0.16</v>
      </c>
      <c r="H275" s="1">
        <f>IF(ISNUMBER(Main_S[[#This Row],[Free CF]]),IF(Main_S[[#This Row],[Free CF]]&lt;&gt;0,Main_S[[#This Row],[Current Price]]/Main_S[[#This Row],[Free CF]],""),"")</f>
        <v>6.9477611940298507</v>
      </c>
      <c r="I275" s="1">
        <f>IF(ISNUMBER(Main_S[[#This Row],[BVPS]]),IF(Main_S[[#This Row],[BVPS]]&lt;&gt;0,Main_S[[#This Row],[Current Price]]/Main_S[[#This Row],[BVPS]],""),"")</f>
        <v>0.63679890560875518</v>
      </c>
      <c r="J275">
        <v>2.33</v>
      </c>
      <c r="K275">
        <v>0.46</v>
      </c>
      <c r="L275">
        <v>6.61</v>
      </c>
      <c r="M275" s="1">
        <f>IF(ISNUMBER(Main_S[[#This Row],[EPS]]),IF(Main_S[[#This Row],[EPS]]&lt;&gt;0,Main_S[[#This Row],[Current Price]]/Main_S[[#This Row],[EPS]],""),"")</f>
        <v>58.1875</v>
      </c>
      <c r="N2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5" s="1">
        <f>(Main_S[[#This Row],[P/FCF]]-VLOOKUP(Main_S[[#This Row],[Industry]], Mean_PFCF_S, 2, FALSE))/(VLOOKUP(Main_S[[#This Row],[Industry]], Mean_PFCF_S, 3, FALSE))</f>
        <v>-6.3936818729553979E-2</v>
      </c>
      <c r="P275" s="1">
        <f>(Main_S[[#This Row],[P/B]]-VLOOKUP(Main_S[[#This Row],[Industry]], Mean_PB_S, 2, FALSE))/(VLOOKUP(Main_S[[#This Row],[Industry]], Mean_PB_S, 3, FALSE))</f>
        <v>-0.58720678868157483</v>
      </c>
      <c r="Q275" s="1">
        <f>(Main_S[[#This Row],[ROE]]-VLOOKUP(Main_S[[#This Row],[Industry]], Mean_ROE_S, 2, FALSE))/(VLOOKUP(Main_S[[#This Row],[Industry]], Mean_ROE_S, 3, FALSE))</f>
        <v>-0.52570115787813154</v>
      </c>
      <c r="R275" s="1">
        <f>(Main_S[[#This Row],[ROA]]-VLOOKUP(Main_S[[#This Row],[Industry]], Mean_ROA_S, 2, FALSE))/(VLOOKUP(Main_S[[#This Row],[Industry]], Mean_ROA_S, 3, FALSE))</f>
        <v>-0.58452008497157104</v>
      </c>
      <c r="S275" s="1">
        <f>(Main_S[[#This Row],[A/E]]-VLOOKUP(Main_S[[#This Row],[Industry]], Mean_AE_S, 2, FALSE))/(VLOOKUP(Main_S[[#This Row],[Industry]], Mean_AE_S, 3, FALSE))</f>
        <v>-0.1735252079634306</v>
      </c>
      <c r="T275" s="1">
        <f>(Main_S[[#This Row],[P/E]]-VLOOKUP(Main_S[[#This Row],[Industry]], Mean_PE_S, 2, FALSE))/(VLOOKUP(Main_S[[#This Row],[Industry]], Mean_PE_S, 3, FALSE))</f>
        <v>3.7551243794343203</v>
      </c>
      <c r="U2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6" spans="1:26" x14ac:dyDescent="0.25">
      <c r="A276" s="67" t="s">
        <v>250</v>
      </c>
      <c r="B276" s="67" t="s">
        <v>670</v>
      </c>
      <c r="C276" s="2">
        <v>1366</v>
      </c>
      <c r="D276">
        <f>RTD("tos.rtd", , "LAST", Main_S[[#This Row],[Symbol]])</f>
        <v>10.029999999999999</v>
      </c>
      <c r="E276">
        <v>1.26</v>
      </c>
      <c r="F276">
        <v>13.4</v>
      </c>
      <c r="G276">
        <v>-0.04</v>
      </c>
      <c r="H276" s="1">
        <f>IF(ISNUMBER(Main_S[[#This Row],[Free CF]]),IF(Main_S[[#This Row],[Free CF]]&lt;&gt;0,Main_S[[#This Row],[Current Price]]/Main_S[[#This Row],[Free CF]],""),"")</f>
        <v>7.9603174603174596</v>
      </c>
      <c r="I276" s="1">
        <f>IF(ISNUMBER(Main_S[[#This Row],[BVPS]]),IF(Main_S[[#This Row],[BVPS]]&lt;&gt;0,Main_S[[#This Row],[Current Price]]/Main_S[[#This Row],[BVPS]],""),"")</f>
        <v>0.74850746268656709</v>
      </c>
      <c r="J276">
        <v>0.56000000000000005</v>
      </c>
      <c r="K276">
        <v>0.12</v>
      </c>
      <c r="L276">
        <v>4.72</v>
      </c>
      <c r="M276" s="1">
        <f>IF(ISNUMBER(Main_S[[#This Row],[EPS]]),IF(Main_S[[#This Row],[EPS]]&lt;&gt;0,Main_S[[#This Row],[Current Price]]/Main_S[[#This Row],[EPS]],""),"")</f>
        <v>-250.74999999999997</v>
      </c>
      <c r="N2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6" s="1">
        <f>(Main_S[[#This Row],[P/FCF]]-VLOOKUP(Main_S[[#This Row],[Industry]], Mean_PFCF_S, 2, FALSE))/(VLOOKUP(Main_S[[#This Row],[Industry]], Mean_PFCF_S, 3, FALSE))</f>
        <v>0.12179710952835605</v>
      </c>
      <c r="P276" s="1">
        <f>(Main_S[[#This Row],[P/B]]-VLOOKUP(Main_S[[#This Row],[Industry]], Mean_PB_S, 2, FALSE))/(VLOOKUP(Main_S[[#This Row],[Industry]], Mean_PB_S, 3, FALSE))</f>
        <v>9.956361984321617E-2</v>
      </c>
      <c r="Q276" s="1">
        <f>(Main_S[[#This Row],[ROE]]-VLOOKUP(Main_S[[#This Row],[Industry]], Mean_ROE_S, 2, FALSE))/(VLOOKUP(Main_S[[#This Row],[Industry]], Mean_ROE_S, 3, FALSE))</f>
        <v>-0.89543270070367842</v>
      </c>
      <c r="R276" s="1">
        <f>(Main_S[[#This Row],[ROA]]-VLOOKUP(Main_S[[#This Row],[Industry]], Mean_ROA_S, 2, FALSE))/(VLOOKUP(Main_S[[#This Row],[Industry]], Mean_ROA_S, 3, FALSE))</f>
        <v>-1.0109939667104855</v>
      </c>
      <c r="S276" s="1">
        <f>(Main_S[[#This Row],[A/E]]-VLOOKUP(Main_S[[#This Row],[Industry]], Mean_AE_S, 2, FALSE))/(VLOOKUP(Main_S[[#This Row],[Industry]], Mean_AE_S, 3, FALSE))</f>
        <v>-0.62118934981330232</v>
      </c>
      <c r="T276" s="1">
        <f>(Main_S[[#This Row],[P/E]]-VLOOKUP(Main_S[[#This Row],[Industry]], Mean_PE_S, 2, FALSE))/(VLOOKUP(Main_S[[#This Row],[Industry]], Mean_PE_S, 3, FALSE))</f>
        <v>-18.452672888597</v>
      </c>
      <c r="U2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7" spans="1:26" x14ac:dyDescent="0.25">
      <c r="A277" s="67" t="s">
        <v>250</v>
      </c>
      <c r="B277" s="67" t="s">
        <v>687</v>
      </c>
      <c r="C277" s="2">
        <v>305</v>
      </c>
      <c r="D277">
        <f>RTD("tos.rtd", , "LAST", Main_S[[#This Row],[Symbol]])</f>
        <v>14.28</v>
      </c>
      <c r="E277">
        <v>1.2</v>
      </c>
      <c r="F277">
        <v>14.87</v>
      </c>
      <c r="G277">
        <v>1.88</v>
      </c>
      <c r="H277" s="1">
        <f>IF(ISNUMBER(Main_S[[#This Row],[Free CF]]),IF(Main_S[[#This Row],[Free CF]]&lt;&gt;0,Main_S[[#This Row],[Current Price]]/Main_S[[#This Row],[Free CF]],""),"")</f>
        <v>11.9</v>
      </c>
      <c r="I277" s="1">
        <f>IF(ISNUMBER(Main_S[[#This Row],[BVPS]]),IF(Main_S[[#This Row],[BVPS]]&lt;&gt;0,Main_S[[#This Row],[Current Price]]/Main_S[[#This Row],[BVPS]],""),"")</f>
        <v>0.96032279757901817</v>
      </c>
      <c r="J277">
        <v>12.86</v>
      </c>
      <c r="K277">
        <v>9.61</v>
      </c>
      <c r="L277">
        <v>1.33</v>
      </c>
      <c r="M277" s="1">
        <f>IF(ISNUMBER(Main_S[[#This Row],[EPS]]),IF(Main_S[[#This Row],[EPS]]&lt;&gt;0,Main_S[[#This Row],[Current Price]]/Main_S[[#This Row],[EPS]],""),"")</f>
        <v>7.5957446808510642</v>
      </c>
      <c r="N2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7" s="1">
        <f>(Main_S[[#This Row],[P/FCF]]-VLOOKUP(Main_S[[#This Row],[Industry]], Mean_PFCF_S, 2, FALSE))/(VLOOKUP(Main_S[[#This Row],[Industry]], Mean_PFCF_S, 3, FALSE))</f>
        <v>0.84445592716337992</v>
      </c>
      <c r="P277" s="1">
        <f>(Main_S[[#This Row],[P/B]]-VLOOKUP(Main_S[[#This Row],[Industry]], Mean_PB_S, 2, FALSE))/(VLOOKUP(Main_S[[#This Row],[Industry]], Mean_PB_S, 3, FALSE))</f>
        <v>1.401778131257738</v>
      </c>
      <c r="Q277" s="1">
        <f>(Main_S[[#This Row],[ROE]]-VLOOKUP(Main_S[[#This Row],[Industry]], Mean_ROE_S, 2, FALSE))/(VLOOKUP(Main_S[[#This Row],[Industry]], Mean_ROE_S, 3, FALSE))</f>
        <v>1.673888190117919</v>
      </c>
      <c r="R277" s="1">
        <f>(Main_S[[#This Row],[ROA]]-VLOOKUP(Main_S[[#This Row],[Industry]], Mean_ROA_S, 2, FALSE))/(VLOOKUP(Main_S[[#This Row],[Industry]], Mean_ROA_S, 3, FALSE))</f>
        <v>10.892644673590393</v>
      </c>
      <c r="S277" s="1">
        <f>(Main_S[[#This Row],[A/E]]-VLOOKUP(Main_S[[#This Row],[Industry]], Mean_AE_S, 2, FALSE))/(VLOOKUP(Main_S[[#This Row],[Industry]], Mean_AE_S, 3, FALSE))</f>
        <v>-1.4241424931313258</v>
      </c>
      <c r="T277" s="1">
        <f>(Main_S[[#This Row],[P/E]]-VLOOKUP(Main_S[[#This Row],[Industry]], Mean_PE_S, 2, FALSE))/(VLOOKUP(Main_S[[#This Row],[Industry]], Mean_PE_S, 3, FALSE))</f>
        <v>0.11836469321459961</v>
      </c>
      <c r="U2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8" spans="1:26" x14ac:dyDescent="0.25">
      <c r="A278" s="67" t="s">
        <v>250</v>
      </c>
      <c r="B278" s="67" t="s">
        <v>673</v>
      </c>
      <c r="C278" s="2">
        <v>1067</v>
      </c>
      <c r="D278">
        <f>RTD("tos.rtd", , "LAST", Main_S[[#This Row],[Symbol]])</f>
        <v>13.75</v>
      </c>
      <c r="E278">
        <v>1.1100000000000001</v>
      </c>
      <c r="F278">
        <v>32.65</v>
      </c>
      <c r="G278">
        <v>1.52</v>
      </c>
      <c r="H278" s="1">
        <f>IF(ISNUMBER(Main_S[[#This Row],[Free CF]]),IF(Main_S[[#This Row],[Free CF]]&lt;&gt;0,Main_S[[#This Row],[Current Price]]/Main_S[[#This Row],[Free CF]],""),"")</f>
        <v>12.387387387387387</v>
      </c>
      <c r="I278" s="1">
        <f>IF(ISNUMBER(Main_S[[#This Row],[BVPS]]),IF(Main_S[[#This Row],[BVPS]]&lt;&gt;0,Main_S[[#This Row],[Current Price]]/Main_S[[#This Row],[BVPS]],""),"")</f>
        <v>0.42113323124042878</v>
      </c>
      <c r="J278">
        <v>8.09</v>
      </c>
      <c r="K278">
        <v>1.66</v>
      </c>
      <c r="L278">
        <v>5</v>
      </c>
      <c r="M278" s="1">
        <f>IF(ISNUMBER(Main_S[[#This Row],[EPS]]),IF(Main_S[[#This Row],[EPS]]&lt;&gt;0,Main_S[[#This Row],[Current Price]]/Main_S[[#This Row],[EPS]],""),"")</f>
        <v>9.0460526315789469</v>
      </c>
      <c r="N2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8" s="1">
        <f>(Main_S[[#This Row],[P/FCF]]-VLOOKUP(Main_S[[#This Row],[Industry]], Mean_PFCF_S, 2, FALSE))/(VLOOKUP(Main_S[[#This Row],[Industry]], Mean_PFCF_S, 3, FALSE))</f>
        <v>0.93385774813547617</v>
      </c>
      <c r="P278" s="1">
        <f>(Main_S[[#This Row],[P/B]]-VLOOKUP(Main_S[[#This Row],[Industry]], Mean_PB_S, 2, FALSE))/(VLOOKUP(Main_S[[#This Row],[Industry]], Mean_PB_S, 3, FALSE))</f>
        <v>-1.9130927115257876</v>
      </c>
      <c r="Q278" s="1">
        <f>(Main_S[[#This Row],[ROE]]-VLOOKUP(Main_S[[#This Row],[Industry]], Mean_ROE_S, 2, FALSE))/(VLOOKUP(Main_S[[#This Row],[Industry]], Mean_ROE_S, 3, FALSE))</f>
        <v>0.67749301538466533</v>
      </c>
      <c r="R278" s="1">
        <f>(Main_S[[#This Row],[ROA]]-VLOOKUP(Main_S[[#This Row],[Industry]], Mean_ROA_S, 2, FALSE))/(VLOOKUP(Main_S[[#This Row],[Industry]], Mean_ROA_S, 3, FALSE))</f>
        <v>0.92068185057753904</v>
      </c>
      <c r="S278" s="1">
        <f>(Main_S[[#This Row],[A/E]]-VLOOKUP(Main_S[[#This Row],[Industry]], Mean_AE_S, 2, FALSE))/(VLOOKUP(Main_S[[#This Row],[Industry]], Mean_AE_S, 3, FALSE))</f>
        <v>-0.55486873620591382</v>
      </c>
      <c r="T278" s="1">
        <f>(Main_S[[#This Row],[P/E]]-VLOOKUP(Main_S[[#This Row],[Industry]], Mean_PE_S, 2, FALSE))/(VLOOKUP(Main_S[[#This Row],[Industry]], Mean_PE_S, 3, FALSE))</f>
        <v>0.22261925909274255</v>
      </c>
      <c r="U2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9" spans="1:26" x14ac:dyDescent="0.25">
      <c r="A279" s="67" t="s">
        <v>250</v>
      </c>
      <c r="B279" s="67" t="s">
        <v>689</v>
      </c>
      <c r="C279" s="2">
        <v>613</v>
      </c>
      <c r="D279">
        <f>RTD("tos.rtd", , "LAST", Main_S[[#This Row],[Symbol]])</f>
        <v>7.93</v>
      </c>
      <c r="E279">
        <v>1.01</v>
      </c>
      <c r="F279">
        <v>13.69</v>
      </c>
      <c r="G279">
        <v>0.7</v>
      </c>
      <c r="H279" s="1">
        <f>IF(ISNUMBER(Main_S[[#This Row],[Free CF]]),IF(Main_S[[#This Row],[Free CF]]&lt;&gt;0,Main_S[[#This Row],[Current Price]]/Main_S[[#This Row],[Free CF]],""),"")</f>
        <v>7.8514851485148514</v>
      </c>
      <c r="I279" s="1">
        <f>IF(ISNUMBER(Main_S[[#This Row],[BVPS]]),IF(Main_S[[#This Row],[BVPS]]&lt;&gt;0,Main_S[[#This Row],[Current Price]]/Main_S[[#This Row],[BVPS]],""),"")</f>
        <v>0.57925493060628197</v>
      </c>
      <c r="J279">
        <v>6.41</v>
      </c>
      <c r="K279">
        <v>1.83</v>
      </c>
      <c r="L279">
        <v>3.59</v>
      </c>
      <c r="M279" s="1">
        <f>IF(ISNUMBER(Main_S[[#This Row],[EPS]]),IF(Main_S[[#This Row],[EPS]]&lt;&gt;0,Main_S[[#This Row],[Current Price]]/Main_S[[#This Row],[EPS]],""),"")</f>
        <v>11.328571428571429</v>
      </c>
      <c r="N2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9" s="1">
        <f>(Main_S[[#This Row],[P/FCF]]-VLOOKUP(Main_S[[#This Row],[Industry]], Mean_PFCF_S, 2, FALSE))/(VLOOKUP(Main_S[[#This Row],[Industry]], Mean_PFCF_S, 3, FALSE))</f>
        <v>0.10183391986127781</v>
      </c>
      <c r="P279" s="1">
        <f>(Main_S[[#This Row],[P/B]]-VLOOKUP(Main_S[[#This Row],[Industry]], Mean_PB_S, 2, FALSE))/(VLOOKUP(Main_S[[#This Row],[Industry]], Mean_PB_S, 3, FALSE))</f>
        <v>-0.94098003805817465</v>
      </c>
      <c r="Q279" s="1">
        <f>(Main_S[[#This Row],[ROE]]-VLOOKUP(Main_S[[#This Row],[Industry]], Mean_ROE_S, 2, FALSE))/(VLOOKUP(Main_S[[#This Row],[Industry]], Mean_ROE_S, 3, FALSE))</f>
        <v>0.32656138151634961</v>
      </c>
      <c r="R279" s="1">
        <f>(Main_S[[#This Row],[ROA]]-VLOOKUP(Main_S[[#This Row],[Industry]], Mean_ROA_S, 2, FALSE))/(VLOOKUP(Main_S[[#This Row],[Industry]], Mean_ROA_S, 3, FALSE))</f>
        <v>1.1339187914469966</v>
      </c>
      <c r="S279" s="1">
        <f>(Main_S[[#This Row],[A/E]]-VLOOKUP(Main_S[[#This Row],[Industry]], Mean_AE_S, 2, FALSE))/(VLOOKUP(Main_S[[#This Row],[Industry]], Mean_AE_S, 3, FALSE))</f>
        <v>-0.88884039758597677</v>
      </c>
      <c r="T279" s="1">
        <f>(Main_S[[#This Row],[P/E]]-VLOOKUP(Main_S[[#This Row],[Industry]], Mean_PE_S, 2, FALSE))/(VLOOKUP(Main_S[[#This Row],[Industry]], Mean_PE_S, 3, FALSE))</f>
        <v>0.38669683045937753</v>
      </c>
      <c r="U2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0" spans="1:26" x14ac:dyDescent="0.25">
      <c r="A280" s="67" t="s">
        <v>250</v>
      </c>
      <c r="B280" s="67" t="s">
        <v>680</v>
      </c>
      <c r="C280" s="2">
        <v>1348</v>
      </c>
      <c r="D280">
        <f>RTD("tos.rtd", , "LAST", Main_S[[#This Row],[Symbol]])</f>
        <v>10.7</v>
      </c>
      <c r="E280">
        <v>1</v>
      </c>
      <c r="F280">
        <v>11.84</v>
      </c>
      <c r="G280">
        <v>0.82</v>
      </c>
      <c r="H280" s="1">
        <f>IF(ISNUMBER(Main_S[[#This Row],[Free CF]]),IF(Main_S[[#This Row],[Free CF]]&lt;&gt;0,Main_S[[#This Row],[Current Price]]/Main_S[[#This Row],[Free CF]],""),"")</f>
        <v>10.7</v>
      </c>
      <c r="I280" s="1">
        <f>IF(ISNUMBER(Main_S[[#This Row],[BVPS]]),IF(Main_S[[#This Row],[BVPS]]&lt;&gt;0,Main_S[[#This Row],[Current Price]]/Main_S[[#This Row],[BVPS]],""),"")</f>
        <v>0.90371621621621612</v>
      </c>
      <c r="J280">
        <v>6.75</v>
      </c>
      <c r="K280">
        <v>2.09</v>
      </c>
      <c r="L280">
        <v>2.95</v>
      </c>
      <c r="M280" s="1">
        <f>IF(ISNUMBER(Main_S[[#This Row],[EPS]]),IF(Main_S[[#This Row],[EPS]]&lt;&gt;0,Main_S[[#This Row],[Current Price]]/Main_S[[#This Row],[EPS]],""),"")</f>
        <v>13.048780487804878</v>
      </c>
      <c r="N2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0" s="1">
        <f>(Main_S[[#This Row],[P/FCF]]-VLOOKUP(Main_S[[#This Row],[Industry]], Mean_PFCF_S, 2, FALSE))/(VLOOKUP(Main_S[[#This Row],[Industry]], Mean_PFCF_S, 3, FALSE))</f>
        <v>0.62433905926165623</v>
      </c>
      <c r="P280" s="1">
        <f>(Main_S[[#This Row],[P/B]]-VLOOKUP(Main_S[[#This Row],[Industry]], Mean_PB_S, 2, FALSE))/(VLOOKUP(Main_S[[#This Row],[Industry]], Mean_PB_S, 3, FALSE))</f>
        <v>1.0537678621729438</v>
      </c>
      <c r="Q280" s="1">
        <f>(Main_S[[#This Row],[ROE]]-VLOOKUP(Main_S[[#This Row],[Industry]], Mean_ROE_S, 2, FALSE))/(VLOOKUP(Main_S[[#This Row],[Industry]], Mean_ROE_S, 3, FALSE))</f>
        <v>0.39758325979922304</v>
      </c>
      <c r="R280" s="1">
        <f>(Main_S[[#This Row],[ROA]]-VLOOKUP(Main_S[[#This Row],[Industry]], Mean_ROA_S, 2, FALSE))/(VLOOKUP(Main_S[[#This Row],[Industry]], Mean_ROA_S, 3, FALSE))</f>
        <v>1.4600458774826368</v>
      </c>
      <c r="S280" s="1">
        <f>(Main_S[[#This Row],[A/E]]-VLOOKUP(Main_S[[#This Row],[Industry]], Mean_AE_S, 2, FALSE))/(VLOOKUP(Main_S[[#This Row],[Industry]], Mean_AE_S, 3, FALSE))</f>
        <v>-1.0404303715457215</v>
      </c>
      <c r="T280" s="1">
        <f>(Main_S[[#This Row],[P/E]]-VLOOKUP(Main_S[[#This Row],[Industry]], Mean_PE_S, 2, FALSE))/(VLOOKUP(Main_S[[#This Row],[Industry]], Mean_PE_S, 3, FALSE))</f>
        <v>0.51035308470525997</v>
      </c>
      <c r="U2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1" spans="1:26" x14ac:dyDescent="0.25">
      <c r="A281" s="67" t="s">
        <v>250</v>
      </c>
      <c r="B281" s="67" t="s">
        <v>681</v>
      </c>
      <c r="C281" s="2">
        <v>955</v>
      </c>
      <c r="D281">
        <f>RTD("tos.rtd", , "LAST", Main_S[[#This Row],[Symbol]])</f>
        <v>9.5500000000000007</v>
      </c>
      <c r="E281">
        <v>0.96</v>
      </c>
      <c r="F281">
        <v>17.91</v>
      </c>
      <c r="G281">
        <v>0.99</v>
      </c>
      <c r="H281" s="1">
        <f>IF(ISNUMBER(Main_S[[#This Row],[Free CF]]),IF(Main_S[[#This Row],[Free CF]]&lt;&gt;0,Main_S[[#This Row],[Current Price]]/Main_S[[#This Row],[Free CF]],""),"")</f>
        <v>9.9479166666666679</v>
      </c>
      <c r="I281" s="1">
        <f>IF(ISNUMBER(Main_S[[#This Row],[BVPS]]),IF(Main_S[[#This Row],[BVPS]]&lt;&gt;0,Main_S[[#This Row],[Current Price]]/Main_S[[#This Row],[BVPS]],""),"")</f>
        <v>0.5332216638749302</v>
      </c>
      <c r="J281">
        <v>7.37</v>
      </c>
      <c r="K281">
        <v>1.23</v>
      </c>
      <c r="L281">
        <v>6.27</v>
      </c>
      <c r="M281" s="1">
        <f>IF(ISNUMBER(Main_S[[#This Row],[EPS]]),IF(Main_S[[#This Row],[EPS]]&lt;&gt;0,Main_S[[#This Row],[Current Price]]/Main_S[[#This Row],[EPS]],""),"")</f>
        <v>9.6464646464646471</v>
      </c>
      <c r="N2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1" s="1">
        <f>(Main_S[[#This Row],[P/FCF]]-VLOOKUP(Main_S[[#This Row],[Industry]], Mean_PFCF_S, 2, FALSE))/(VLOOKUP(Main_S[[#This Row],[Industry]], Mean_PFCF_S, 3, FALSE))</f>
        <v>0.48638386948297213</v>
      </c>
      <c r="P281" s="1">
        <f>(Main_S[[#This Row],[P/B]]-VLOOKUP(Main_S[[#This Row],[Industry]], Mean_PB_S, 2, FALSE))/(VLOOKUP(Main_S[[#This Row],[Industry]], Mean_PB_S, 3, FALSE))</f>
        <v>-1.223986875008005</v>
      </c>
      <c r="Q281" s="1">
        <f>(Main_S[[#This Row],[ROE]]-VLOOKUP(Main_S[[#This Row],[Industry]], Mean_ROE_S, 2, FALSE))/(VLOOKUP(Main_S[[#This Row],[Industry]], Mean_ROE_S, 3, FALSE))</f>
        <v>0.52709374372681572</v>
      </c>
      <c r="R281" s="1">
        <f>(Main_S[[#This Row],[ROA]]-VLOOKUP(Main_S[[#This Row],[Industry]], Mean_ROA_S, 2, FALSE))/(VLOOKUP(Main_S[[#This Row],[Industry]], Mean_ROA_S, 3, FALSE))</f>
        <v>0.38131782367244133</v>
      </c>
      <c r="S281" s="1">
        <f>(Main_S[[#This Row],[A/E]]-VLOOKUP(Main_S[[#This Row],[Industry]], Mean_AE_S, 2, FALSE))/(VLOOKUP(Main_S[[#This Row],[Industry]], Mean_AE_S, 3, FALSE))</f>
        <v>-0.25405738162954522</v>
      </c>
      <c r="T281" s="1">
        <f>(Main_S[[#This Row],[P/E]]-VLOOKUP(Main_S[[#This Row],[Industry]], Mean_PE_S, 2, FALSE))/(VLOOKUP(Main_S[[#This Row],[Industry]], Mean_PE_S, 3, FALSE))</f>
        <v>0.26577953683135258</v>
      </c>
      <c r="U2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2" spans="1:26" x14ac:dyDescent="0.25">
      <c r="A282" s="67" t="s">
        <v>250</v>
      </c>
      <c r="B282" s="67" t="s">
        <v>682</v>
      </c>
      <c r="C282" s="2">
        <v>262</v>
      </c>
      <c r="D282">
        <f>RTD("tos.rtd", , "LAST", Main_S[[#This Row],[Symbol]])</f>
        <v>15.36</v>
      </c>
      <c r="E282">
        <v>0.71</v>
      </c>
      <c r="F282">
        <v>19.29</v>
      </c>
      <c r="G282">
        <v>2.59</v>
      </c>
      <c r="H282" s="1">
        <f>IF(ISNUMBER(Main_S[[#This Row],[Free CF]]),IF(Main_S[[#This Row],[Free CF]]&lt;&gt;0,Main_S[[#This Row],[Current Price]]/Main_S[[#This Row],[Free CF]],""),"")</f>
        <v>21.633802816901408</v>
      </c>
      <c r="I282" s="1">
        <f>IF(ISNUMBER(Main_S[[#This Row],[BVPS]]),IF(Main_S[[#This Row],[BVPS]]&lt;&gt;0,Main_S[[#This Row],[Current Price]]/Main_S[[#This Row],[BVPS]],""),"")</f>
        <v>0.79626749611197511</v>
      </c>
      <c r="J282">
        <v>14.33</v>
      </c>
      <c r="K282">
        <v>1.23</v>
      </c>
      <c r="L282">
        <v>15.86</v>
      </c>
      <c r="M282" s="1">
        <f>IF(ISNUMBER(Main_S[[#This Row],[EPS]]),IF(Main_S[[#This Row],[EPS]]&lt;&gt;0,Main_S[[#This Row],[Current Price]]/Main_S[[#This Row],[EPS]],""),"")</f>
        <v>5.9305019305019302</v>
      </c>
      <c r="N2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2" s="1">
        <f>(Main_S[[#This Row],[P/FCF]]-VLOOKUP(Main_S[[#This Row],[Industry]], Mean_PFCF_S, 2, FALSE))/(VLOOKUP(Main_S[[#This Row],[Industry]], Mean_PFCF_S, 3, FALSE))</f>
        <v>2.6299344178544732</v>
      </c>
      <c r="P282" s="1">
        <f>(Main_S[[#This Row],[P/B]]-VLOOKUP(Main_S[[#This Row],[Industry]], Mean_PB_S, 2, FALSE))/(VLOOKUP(Main_S[[#This Row],[Industry]], Mean_PB_S, 3, FALSE))</f>
        <v>0.39318640510466923</v>
      </c>
      <c r="Q282" s="1">
        <f>(Main_S[[#This Row],[ROE]]-VLOOKUP(Main_S[[#This Row],[Industry]], Mean_ROE_S, 2, FALSE))/(VLOOKUP(Main_S[[#This Row],[Industry]], Mean_ROE_S, 3, FALSE))</f>
        <v>1.9809533697526953</v>
      </c>
      <c r="R282" s="1">
        <f>(Main_S[[#This Row],[ROA]]-VLOOKUP(Main_S[[#This Row],[Industry]], Mean_ROA_S, 2, FALSE))/(VLOOKUP(Main_S[[#This Row],[Industry]], Mean_ROA_S, 3, FALSE))</f>
        <v>0.38131782367244133</v>
      </c>
      <c r="S282" s="1">
        <f>(Main_S[[#This Row],[A/E]]-VLOOKUP(Main_S[[#This Row],[Industry]], Mean_AE_S, 2, FALSE))/(VLOOKUP(Main_S[[#This Row],[Industry]], Mean_AE_S, 3, FALSE))</f>
        <v>2.0174236344235066</v>
      </c>
      <c r="T282" s="1">
        <f>(Main_S[[#This Row],[P/E]]-VLOOKUP(Main_S[[#This Row],[Industry]], Mean_PE_S, 2, FALSE))/(VLOOKUP(Main_S[[#This Row],[Industry]], Mean_PE_S, 3, FALSE))</f>
        <v>-1.3403390388900605E-3</v>
      </c>
      <c r="U2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3" spans="1:26" x14ac:dyDescent="0.25">
      <c r="A283" s="67" t="s">
        <v>250</v>
      </c>
      <c r="B283" s="67" t="s">
        <v>672</v>
      </c>
      <c r="C283" s="2">
        <v>660</v>
      </c>
      <c r="D283">
        <f>RTD("tos.rtd", , "LAST", Main_S[[#This Row],[Symbol]])</f>
        <v>5.26</v>
      </c>
      <c r="E283">
        <v>0.7</v>
      </c>
      <c r="F283">
        <v>7.92</v>
      </c>
      <c r="G283">
        <v>-0.56000000000000005</v>
      </c>
      <c r="H283" s="1">
        <f>IF(ISNUMBER(Main_S[[#This Row],[Free CF]]),IF(Main_S[[#This Row],[Free CF]]&lt;&gt;0,Main_S[[#This Row],[Current Price]]/Main_S[[#This Row],[Free CF]],""),"")</f>
        <v>7.5142857142857142</v>
      </c>
      <c r="I283" s="1">
        <f>IF(ISNUMBER(Main_S[[#This Row],[BVPS]]),IF(Main_S[[#This Row],[BVPS]]&lt;&gt;0,Main_S[[#This Row],[Current Price]]/Main_S[[#This Row],[BVPS]],""),"")</f>
        <v>0.66414141414141414</v>
      </c>
      <c r="J283">
        <v>-6.73</v>
      </c>
      <c r="K283">
        <v>2.58</v>
      </c>
      <c r="L283">
        <v>3.43</v>
      </c>
      <c r="M283" s="1">
        <f>IF(ISNUMBER(Main_S[[#This Row],[EPS]]),IF(Main_S[[#This Row],[EPS]]&lt;&gt;0,Main_S[[#This Row],[Current Price]]/Main_S[[#This Row],[EPS]],""),"")</f>
        <v>-9.3928571428571423</v>
      </c>
      <c r="N2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3" s="1">
        <f>(Main_S[[#This Row],[P/FCF]]-VLOOKUP(Main_S[[#This Row],[Industry]], Mean_PFCF_S, 2, FALSE))/(VLOOKUP(Main_S[[#This Row],[Industry]], Mean_PFCF_S, 3, FALSE))</f>
        <v>3.9981183760652052E-2</v>
      </c>
      <c r="P283" s="1">
        <f>(Main_S[[#This Row],[P/B]]-VLOOKUP(Main_S[[#This Row],[Industry]], Mean_PB_S, 2, FALSE))/(VLOOKUP(Main_S[[#This Row],[Industry]], Mean_PB_S, 3, FALSE))</f>
        <v>-0.4191084240953532</v>
      </c>
      <c r="Q283" s="1">
        <f>(Main_S[[#This Row],[ROE]]-VLOOKUP(Main_S[[#This Row],[Industry]], Mean_ROE_S, 2, FALSE))/(VLOOKUP(Main_S[[#This Row],[Industry]], Mean_ROE_S, 3, FALSE))</f>
        <v>-2.4182253262394062</v>
      </c>
      <c r="R283" s="1">
        <f>(Main_S[[#This Row],[ROA]]-VLOOKUP(Main_S[[#This Row],[Industry]], Mean_ROA_S, 2, FALSE))/(VLOOKUP(Main_S[[#This Row],[Industry]], Mean_ROA_S, 3, FALSE))</f>
        <v>2.0746700011651904</v>
      </c>
      <c r="S283" s="1">
        <f>(Main_S[[#This Row],[A/E]]-VLOOKUP(Main_S[[#This Row],[Industry]], Mean_AE_S, 2, FALSE))/(VLOOKUP(Main_S[[#This Row],[Industry]], Mean_AE_S, 3, FALSE))</f>
        <v>-0.92673789107591298</v>
      </c>
      <c r="T283" s="1">
        <f>(Main_S[[#This Row],[P/E]]-VLOOKUP(Main_S[[#This Row],[Industry]], Mean_PE_S, 2, FALSE))/(VLOOKUP(Main_S[[#This Row],[Industry]], Mean_PE_S, 3, FALSE))</f>
        <v>-1.1028513299882137</v>
      </c>
      <c r="U2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4" spans="1:26" x14ac:dyDescent="0.25">
      <c r="A284" s="67" t="s">
        <v>250</v>
      </c>
      <c r="B284" s="67" t="s">
        <v>684</v>
      </c>
      <c r="C284" s="2">
        <v>746</v>
      </c>
      <c r="D284">
        <f>RTD("tos.rtd", , "LAST", Main_S[[#This Row],[Symbol]])</f>
        <v>7.03</v>
      </c>
      <c r="E284">
        <v>0.63</v>
      </c>
      <c r="F284">
        <v>7.94</v>
      </c>
      <c r="G284">
        <v>0.46</v>
      </c>
      <c r="H284" s="1">
        <f>IF(ISNUMBER(Main_S[[#This Row],[Free CF]]),IF(Main_S[[#This Row],[Free CF]]&lt;&gt;0,Main_S[[#This Row],[Current Price]]/Main_S[[#This Row],[Free CF]],""),"")</f>
        <v>11.158730158730158</v>
      </c>
      <c r="I284" s="1">
        <f>IF(ISNUMBER(Main_S[[#This Row],[BVPS]]),IF(Main_S[[#This Row],[BVPS]]&lt;&gt;0,Main_S[[#This Row],[Current Price]]/Main_S[[#This Row],[BVPS]],""),"")</f>
        <v>0.88539042821158687</v>
      </c>
      <c r="J284">
        <v>5.23</v>
      </c>
      <c r="K284">
        <v>0.61</v>
      </c>
      <c r="L284">
        <v>8.5299999999999994</v>
      </c>
      <c r="M284" s="1">
        <f>IF(ISNUMBER(Main_S[[#This Row],[EPS]]),IF(Main_S[[#This Row],[EPS]]&lt;&gt;0,Main_S[[#This Row],[Current Price]]/Main_S[[#This Row],[EPS]],""),"")</f>
        <v>15.282608695652174</v>
      </c>
      <c r="N2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4" s="1">
        <f>(Main_S[[#This Row],[P/FCF]]-VLOOKUP(Main_S[[#This Row],[Industry]], Mean_PFCF_S, 2, FALSE))/(VLOOKUP(Main_S[[#This Row],[Industry]], Mean_PFCF_S, 3, FALSE))</f>
        <v>0.70848426405477538</v>
      </c>
      <c r="P284" s="1">
        <f>(Main_S[[#This Row],[P/B]]-VLOOKUP(Main_S[[#This Row],[Industry]], Mean_PB_S, 2, FALSE))/(VLOOKUP(Main_S[[#This Row],[Industry]], Mean_PB_S, 3, FALSE))</f>
        <v>0.94110318147429972</v>
      </c>
      <c r="Q284" s="1">
        <f>(Main_S[[#This Row],[ROE]]-VLOOKUP(Main_S[[#This Row],[Industry]], Mean_ROE_S, 2, FALSE))/(VLOOKUP(Main_S[[#This Row],[Industry]], Mean_ROE_S, 3, FALSE))</f>
        <v>8.0073686299318353E-2</v>
      </c>
      <c r="R284" s="1">
        <f>(Main_S[[#This Row],[ROA]]-VLOOKUP(Main_S[[#This Row],[Industry]], Mean_ROA_S, 2, FALSE))/(VLOOKUP(Main_S[[#This Row],[Industry]], Mean_ROA_S, 3, FALSE))</f>
        <v>-0.39636984302793227</v>
      </c>
      <c r="S284" s="1">
        <f>(Main_S[[#This Row],[A/E]]-VLOOKUP(Main_S[[#This Row],[Industry]], Mean_AE_S, 2, FALSE))/(VLOOKUP(Main_S[[#This Row],[Industry]], Mean_AE_S, 3, FALSE))</f>
        <v>0.2812447139158038</v>
      </c>
      <c r="T284" s="1">
        <f>(Main_S[[#This Row],[P/E]]-VLOOKUP(Main_S[[#This Row],[Industry]], Mean_PE_S, 2, FALSE))/(VLOOKUP(Main_S[[#This Row],[Industry]], Mean_PE_S, 3, FALSE))</f>
        <v>0.67093056063965617</v>
      </c>
      <c r="U2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5" spans="1:26" x14ac:dyDescent="0.25">
      <c r="A285" s="67" t="s">
        <v>250</v>
      </c>
      <c r="B285" s="67" t="s">
        <v>669</v>
      </c>
      <c r="C285" s="2">
        <v>254</v>
      </c>
      <c r="D285">
        <f>RTD("tos.rtd", , "LAST", Main_S[[#This Row],[Symbol]])</f>
        <v>4.88</v>
      </c>
      <c r="E285">
        <v>0.59</v>
      </c>
      <c r="F285">
        <v>9.89</v>
      </c>
      <c r="G285">
        <v>-0.24</v>
      </c>
      <c r="H285" s="1">
        <f>IF(ISNUMBER(Main_S[[#This Row],[Free CF]]),IF(Main_S[[#This Row],[Free CF]]&lt;&gt;0,Main_S[[#This Row],[Current Price]]/Main_S[[#This Row],[Free CF]],""),"")</f>
        <v>8.2711864406779672</v>
      </c>
      <c r="I285" s="1">
        <f>IF(ISNUMBER(Main_S[[#This Row],[BVPS]]),IF(Main_S[[#This Row],[BVPS]]&lt;&gt;0,Main_S[[#This Row],[Current Price]]/Main_S[[#This Row],[BVPS]],""),"")</f>
        <v>0.49342770475227499</v>
      </c>
      <c r="J285">
        <v>-2.33</v>
      </c>
      <c r="K285">
        <v>-0.73</v>
      </c>
      <c r="L285">
        <v>2.8</v>
      </c>
      <c r="M285" s="1">
        <f>IF(ISNUMBER(Main_S[[#This Row],[EPS]]),IF(Main_S[[#This Row],[EPS]]&lt;&gt;0,Main_S[[#This Row],[Current Price]]/Main_S[[#This Row],[EPS]],""),"")</f>
        <v>-20.333333333333332</v>
      </c>
      <c r="N2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5" s="1">
        <f>(Main_S[[#This Row],[P/FCF]]-VLOOKUP(Main_S[[#This Row],[Industry]], Mean_PFCF_S, 2, FALSE))/(VLOOKUP(Main_S[[#This Row],[Industry]], Mean_PFCF_S, 3, FALSE))</f>
        <v>0.1788200314323205</v>
      </c>
      <c r="P285" s="1">
        <f>(Main_S[[#This Row],[P/B]]-VLOOKUP(Main_S[[#This Row],[Industry]], Mean_PB_S, 2, FALSE))/(VLOOKUP(Main_S[[#This Row],[Industry]], Mean_PB_S, 3, FALSE))</f>
        <v>-1.4686352195788528</v>
      </c>
      <c r="Q285" s="1">
        <f>(Main_S[[#This Row],[ROE]]-VLOOKUP(Main_S[[#This Row],[Industry]], Mean_ROE_S, 2, FALSE))/(VLOOKUP(Main_S[[#This Row],[Industry]], Mean_ROE_S, 3, FALSE))</f>
        <v>-1.4991186661081028</v>
      </c>
      <c r="R285" s="1">
        <f>(Main_S[[#This Row],[ROA]]-VLOOKUP(Main_S[[#This Row],[Industry]], Mean_ROA_S, 2, FALSE))/(VLOOKUP(Main_S[[#This Row],[Industry]], Mean_ROA_S, 3, FALSE))</f>
        <v>-2.077178671057772</v>
      </c>
      <c r="S285" s="1">
        <f>(Main_S[[#This Row],[A/E]]-VLOOKUP(Main_S[[#This Row],[Industry]], Mean_AE_S, 2, FALSE))/(VLOOKUP(Main_S[[#This Row],[Industry]], Mean_AE_S, 3, FALSE))</f>
        <v>-1.0759592716925368</v>
      </c>
      <c r="T285" s="1">
        <f>(Main_S[[#This Row],[P/E]]-VLOOKUP(Main_S[[#This Row],[Industry]], Mean_PE_S, 2, FALSE))/(VLOOKUP(Main_S[[#This Row],[Industry]], Mean_PE_S, 3, FALSE))</f>
        <v>-1.8893012664763993</v>
      </c>
      <c r="U2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6" spans="1:26" x14ac:dyDescent="0.25">
      <c r="A286" s="67" t="s">
        <v>250</v>
      </c>
      <c r="B286" s="67" t="s">
        <v>675</v>
      </c>
      <c r="C286" s="2">
        <v>1290</v>
      </c>
      <c r="D286">
        <f>RTD("tos.rtd", , "LAST", Main_S[[#This Row],[Symbol]])</f>
        <v>12.21</v>
      </c>
      <c r="E286">
        <v>0.48</v>
      </c>
      <c r="F286">
        <v>12.6</v>
      </c>
      <c r="G286">
        <v>0.79</v>
      </c>
      <c r="H286" s="1">
        <f>IF(ISNUMBER(Main_S[[#This Row],[Free CF]]),IF(Main_S[[#This Row],[Free CF]]&lt;&gt;0,Main_S[[#This Row],[Current Price]]/Main_S[[#This Row],[Free CF]],""),"")</f>
        <v>25.437500000000004</v>
      </c>
      <c r="I286" s="1">
        <f>IF(ISNUMBER(Main_S[[#This Row],[BVPS]]),IF(Main_S[[#This Row],[BVPS]]&lt;&gt;0,Main_S[[#This Row],[Current Price]]/Main_S[[#This Row],[BVPS]],""),"")</f>
        <v>0.96904761904761916</v>
      </c>
      <c r="J286">
        <v>6.01</v>
      </c>
      <c r="K286">
        <v>0.92</v>
      </c>
      <c r="L286">
        <v>7.02</v>
      </c>
      <c r="M286" s="1">
        <f>IF(ISNUMBER(Main_S[[#This Row],[EPS]]),IF(Main_S[[#This Row],[EPS]]&lt;&gt;0,Main_S[[#This Row],[Current Price]]/Main_S[[#This Row],[EPS]],""),"")</f>
        <v>15.455696202531646</v>
      </c>
      <c r="N2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6" s="1">
        <f>(Main_S[[#This Row],[P/FCF]]-VLOOKUP(Main_S[[#This Row],[Industry]], Mean_PFCF_S, 2, FALSE))/(VLOOKUP(Main_S[[#This Row],[Industry]], Mean_PFCF_S, 3, FALSE))</f>
        <v>3.3276493431796994</v>
      </c>
      <c r="P286" s="1">
        <f>(Main_S[[#This Row],[P/B]]-VLOOKUP(Main_S[[#This Row],[Industry]], Mean_PB_S, 2, FALSE))/(VLOOKUP(Main_S[[#This Row],[Industry]], Mean_PB_S, 3, FALSE))</f>
        <v>1.4554172557889338</v>
      </c>
      <c r="Q286" s="1">
        <f>(Main_S[[#This Row],[ROE]]-VLOOKUP(Main_S[[#This Row],[Industry]], Mean_ROE_S, 2, FALSE))/(VLOOKUP(Main_S[[#This Row],[Industry]], Mean_ROE_S, 3, FALSE))</f>
        <v>0.24300623059532198</v>
      </c>
      <c r="R286" s="1">
        <f>(Main_S[[#This Row],[ROA]]-VLOOKUP(Main_S[[#This Row],[Industry]], Mean_ROA_S, 2, FALSE))/(VLOOKUP(Main_S[[#This Row],[Industry]], Mean_ROA_S, 3, FALSE))</f>
        <v>-7.5260096777454181E-3</v>
      </c>
      <c r="S286" s="1">
        <f>(Main_S[[#This Row],[A/E]]-VLOOKUP(Main_S[[#This Row],[Industry]], Mean_AE_S, 2, FALSE))/(VLOOKUP(Main_S[[#This Row],[Industry]], Mean_AE_S, 3, FALSE))</f>
        <v>-7.6412880895469215E-2</v>
      </c>
      <c r="T286" s="1">
        <f>(Main_S[[#This Row],[P/E]]-VLOOKUP(Main_S[[#This Row],[Industry]], Mean_PE_S, 2, FALSE))/(VLOOKUP(Main_S[[#This Row],[Industry]], Mean_PE_S, 3, FALSE))</f>
        <v>0.68337285807006942</v>
      </c>
      <c r="U2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7" spans="1:26" x14ac:dyDescent="0.25">
      <c r="A287" s="67" t="s">
        <v>250</v>
      </c>
      <c r="B287" s="67" t="s">
        <v>674</v>
      </c>
      <c r="C287" s="2">
        <v>359</v>
      </c>
      <c r="D287">
        <f>RTD("tos.rtd", , "LAST", Main_S[[#This Row],[Symbol]])</f>
        <v>2.98</v>
      </c>
      <c r="E287">
        <v>0.2</v>
      </c>
      <c r="F287">
        <v>13.88</v>
      </c>
      <c r="G287">
        <v>-1.78</v>
      </c>
      <c r="H287" s="1">
        <f>IF(ISNUMBER(Main_S[[#This Row],[Free CF]]),IF(Main_S[[#This Row],[Free CF]]&lt;&gt;0,Main_S[[#This Row],[Current Price]]/Main_S[[#This Row],[Free CF]],""),"")</f>
        <v>14.899999999999999</v>
      </c>
      <c r="I287" s="1">
        <f>IF(ISNUMBER(Main_S[[#This Row],[BVPS]]),IF(Main_S[[#This Row],[BVPS]]&lt;&gt;0,Main_S[[#This Row],[Current Price]]/Main_S[[#This Row],[BVPS]],""),"")</f>
        <v>0.21469740634005763</v>
      </c>
      <c r="J287">
        <v>-11.91</v>
      </c>
      <c r="K287">
        <v>-3.43</v>
      </c>
      <c r="L287">
        <v>3.44</v>
      </c>
      <c r="M287" s="1">
        <f>IF(ISNUMBER(Main_S[[#This Row],[EPS]]),IF(Main_S[[#This Row],[EPS]]&lt;&gt;0,Main_S[[#This Row],[Current Price]]/Main_S[[#This Row],[EPS]],""),"")</f>
        <v>-1.6741573033707864</v>
      </c>
      <c r="N2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7" s="1">
        <f>(Main_S[[#This Row],[P/FCF]]-VLOOKUP(Main_S[[#This Row],[Industry]], Mean_PFCF_S, 2, FALSE))/(VLOOKUP(Main_S[[#This Row],[Industry]], Mean_PFCF_S, 3, FALSE))</f>
        <v>1.3947480969176886</v>
      </c>
      <c r="P287" s="1">
        <f>(Main_S[[#This Row],[P/B]]-VLOOKUP(Main_S[[#This Row],[Industry]], Mean_PB_S, 2, FALSE))/(VLOOKUP(Main_S[[#This Row],[Industry]], Mean_PB_S, 3, FALSE))</f>
        <v>-3.1822346600895468</v>
      </c>
      <c r="Q287" s="1">
        <f>(Main_S[[#This Row],[ROE]]-VLOOKUP(Main_S[[#This Row],[Industry]], Mean_ROE_S, 2, FALSE))/(VLOOKUP(Main_S[[#This Row],[Industry]], Mean_ROE_S, 3, FALSE))</f>
        <v>-3.5002645306667133</v>
      </c>
      <c r="R287" s="1">
        <f>(Main_S[[#This Row],[ROA]]-VLOOKUP(Main_S[[#This Row],[Industry]], Mean_ROA_S, 2, FALSE))/(VLOOKUP(Main_S[[#This Row],[Industry]], Mean_ROA_S, 3, FALSE))</f>
        <v>-5.4638830260432698</v>
      </c>
      <c r="S287" s="1">
        <f>(Main_S[[#This Row],[A/E]]-VLOOKUP(Main_S[[#This Row],[Industry]], Mean_AE_S, 2, FALSE))/(VLOOKUP(Main_S[[#This Row],[Industry]], Mean_AE_S, 3, FALSE))</f>
        <v>-0.92436929773279197</v>
      </c>
      <c r="T287" s="1">
        <f>(Main_S[[#This Row],[P/E]]-VLOOKUP(Main_S[[#This Row],[Industry]], Mean_PE_S, 2, FALSE))/(VLOOKUP(Main_S[[#This Row],[Industry]], Mean_PE_S, 3, FALSE))</f>
        <v>-0.54799696233100481</v>
      </c>
      <c r="U2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8" spans="1:26" x14ac:dyDescent="0.25">
      <c r="A288" s="67" t="s">
        <v>250</v>
      </c>
      <c r="B288" s="67" t="s">
        <v>683</v>
      </c>
      <c r="C288" s="2">
        <v>590</v>
      </c>
      <c r="D288">
        <f>RTD("tos.rtd", , "LAST", Main_S[[#This Row],[Symbol]])</f>
        <v>6.81</v>
      </c>
      <c r="E288">
        <v>0.12</v>
      </c>
      <c r="F288">
        <v>9.57</v>
      </c>
      <c r="G288">
        <v>-0.06</v>
      </c>
      <c r="H288" s="1">
        <f>IF(ISNUMBER(Main_S[[#This Row],[Free CF]]),IF(Main_S[[#This Row],[Free CF]]&lt;&gt;0,Main_S[[#This Row],[Current Price]]/Main_S[[#This Row],[Free CF]],""),"")</f>
        <v>56.75</v>
      </c>
      <c r="I288" s="1">
        <f>IF(ISNUMBER(Main_S[[#This Row],[BVPS]]),IF(Main_S[[#This Row],[BVPS]]&lt;&gt;0,Main_S[[#This Row],[Current Price]]/Main_S[[#This Row],[BVPS]],""),"")</f>
        <v>0.71159874608150464</v>
      </c>
      <c r="J288">
        <v>1.58</v>
      </c>
      <c r="K288">
        <v>0.27</v>
      </c>
      <c r="L288">
        <v>11.54</v>
      </c>
      <c r="M288" s="1">
        <f>IF(ISNUMBER(Main_S[[#This Row],[EPS]]),IF(Main_S[[#This Row],[EPS]]&lt;&gt;0,Main_S[[#This Row],[Current Price]]/Main_S[[#This Row],[EPS]],""),"")</f>
        <v>-113.5</v>
      </c>
      <c r="N2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8" s="1">
        <f>(Main_S[[#This Row],[P/FCF]]-VLOOKUP(Main_S[[#This Row],[Industry]], Mean_PFCF_S, 2, FALSE))/(VLOOKUP(Main_S[[#This Row],[Industry]], Mean_PFCF_S, 3, FALSE))</f>
        <v>9.0713238649902994</v>
      </c>
      <c r="P288" s="1">
        <f>(Main_S[[#This Row],[P/B]]-VLOOKUP(Main_S[[#This Row],[Industry]], Mean_PB_S, 2, FALSE))/(VLOOKUP(Main_S[[#This Row],[Industry]], Mean_PB_S, 3, FALSE))</f>
        <v>-0.12734661017012255</v>
      </c>
      <c r="Q288" s="1">
        <f>(Main_S[[#This Row],[ROE]]-VLOOKUP(Main_S[[#This Row],[Industry]], Mean_ROE_S, 2, FALSE))/(VLOOKUP(Main_S[[#This Row],[Industry]], Mean_ROE_S, 3, FALSE))</f>
        <v>-0.68236706585505824</v>
      </c>
      <c r="R288" s="1">
        <f>(Main_S[[#This Row],[ROA]]-VLOOKUP(Main_S[[#This Row],[Industry]], Mean_ROA_S, 2, FALSE))/(VLOOKUP(Main_S[[#This Row],[Industry]], Mean_ROA_S, 3, FALSE))</f>
        <v>-0.82284372476684675</v>
      </c>
      <c r="S288" s="1">
        <f>(Main_S[[#This Row],[A/E]]-VLOOKUP(Main_S[[#This Row],[Industry]], Mean_AE_S, 2, FALSE))/(VLOOKUP(Main_S[[#This Row],[Industry]], Mean_AE_S, 3, FALSE))</f>
        <v>0.99419131019522877</v>
      </c>
      <c r="T288" s="1">
        <f>(Main_S[[#This Row],[P/E]]-VLOOKUP(Main_S[[#This Row],[Industry]], Mean_PE_S, 2, FALSE))/(VLOOKUP(Main_S[[#This Row],[Industry]], Mean_PE_S, 3, FALSE))</f>
        <v>-8.586534349127696</v>
      </c>
      <c r="U2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89" spans="1:26" x14ac:dyDescent="0.25">
      <c r="A289" s="67" t="s">
        <v>250</v>
      </c>
      <c r="B289" s="67" t="s">
        <v>676</v>
      </c>
      <c r="C289" s="2">
        <v>1188</v>
      </c>
      <c r="D289">
        <f>RTD("tos.rtd", , "LAST", Main_S[[#This Row],[Symbol]])</f>
        <v>12.77</v>
      </c>
      <c r="E289">
        <v>-5.61</v>
      </c>
      <c r="F289">
        <v>13.58</v>
      </c>
      <c r="G289">
        <v>1.38</v>
      </c>
      <c r="H289" s="1">
        <f>IF(ISNUMBER(Main_S[[#This Row],[Free CF]]),IF(Main_S[[#This Row],[Free CF]]&lt;&gt;0,Main_S[[#This Row],[Current Price]]/Main_S[[#This Row],[Free CF]],""),"")</f>
        <v>-2.2762923351158642</v>
      </c>
      <c r="I289" s="1">
        <f>IF(ISNUMBER(Main_S[[#This Row],[BVPS]]),IF(Main_S[[#This Row],[BVPS]]&lt;&gt;0,Main_S[[#This Row],[Current Price]]/Main_S[[#This Row],[BVPS]],""),"")</f>
        <v>0.94035346097201766</v>
      </c>
      <c r="J289">
        <v>9.61</v>
      </c>
      <c r="K289">
        <v>0.97</v>
      </c>
      <c r="L289">
        <v>12.98</v>
      </c>
      <c r="M289" s="1">
        <f>IF(ISNUMBER(Main_S[[#This Row],[EPS]]),IF(Main_S[[#This Row],[EPS]]&lt;&gt;0,Main_S[[#This Row],[Current Price]]/Main_S[[#This Row],[EPS]],""),"")</f>
        <v>9.2536231884057969</v>
      </c>
      <c r="N2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9" s="1">
        <f>(Main_S[[#This Row],[P/FCF]]-VLOOKUP(Main_S[[#This Row],[Industry]], Mean_PFCF_S, 2, FALSE))/(VLOOKUP(Main_S[[#This Row],[Industry]], Mean_PFCF_S, 3, FALSE))</f>
        <v>-1.7559116288907159</v>
      </c>
      <c r="P289" s="1">
        <f>(Main_S[[#This Row],[P/B]]-VLOOKUP(Main_S[[#This Row],[Industry]], Mean_PB_S, 2, FALSE))/(VLOOKUP(Main_S[[#This Row],[Industry]], Mean_PB_S, 3, FALSE))</f>
        <v>1.2790091167944511</v>
      </c>
      <c r="Q289" s="1">
        <f>(Main_S[[#This Row],[ROE]]-VLOOKUP(Main_S[[#This Row],[Industry]], Mean_ROE_S, 2, FALSE))/(VLOOKUP(Main_S[[#This Row],[Industry]], Mean_ROE_S, 3, FALSE))</f>
        <v>0.99500258888457005</v>
      </c>
      <c r="R289" s="1">
        <f>(Main_S[[#This Row],[ROA]]-VLOOKUP(Main_S[[#This Row],[Industry]], Mean_ROA_S, 2, FALSE))/(VLOOKUP(Main_S[[#This Row],[Industry]], Mean_ROA_S, 3, FALSE))</f>
        <v>5.5190737636800755E-2</v>
      </c>
      <c r="S289" s="1">
        <f>(Main_S[[#This Row],[A/E]]-VLOOKUP(Main_S[[#This Row],[Industry]], Mean_AE_S, 2, FALSE))/(VLOOKUP(Main_S[[#This Row],[Industry]], Mean_AE_S, 3, FALSE))</f>
        <v>1.3352687516046551</v>
      </c>
      <c r="T289" s="1">
        <f>(Main_S[[#This Row],[P/E]]-VLOOKUP(Main_S[[#This Row],[Industry]], Mean_PE_S, 2, FALSE))/(VLOOKUP(Main_S[[#This Row],[Industry]], Mean_PE_S, 3, FALSE))</f>
        <v>0.23754035104442553</v>
      </c>
      <c r="U2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0" spans="1:26" x14ac:dyDescent="0.25">
      <c r="A290" s="67" t="s">
        <v>250</v>
      </c>
      <c r="B290" s="67" t="s">
        <v>685</v>
      </c>
      <c r="C290" s="2">
        <v>1068</v>
      </c>
      <c r="D290">
        <f>RTD("tos.rtd", , "LAST", Main_S[[#This Row],[Symbol]])</f>
        <v>12.51</v>
      </c>
      <c r="E290">
        <v>-34.53</v>
      </c>
      <c r="F290">
        <v>15.64</v>
      </c>
      <c r="G290">
        <v>0.86</v>
      </c>
      <c r="H290" s="1">
        <f>IF(ISNUMBER(Main_S[[#This Row],[Free CF]]),IF(Main_S[[#This Row],[Free CF]]&lt;&gt;0,Main_S[[#This Row],[Current Price]]/Main_S[[#This Row],[Free CF]],""),"")</f>
        <v>-0.3622936576889661</v>
      </c>
      <c r="I290" s="1">
        <f>IF(ISNUMBER(Main_S[[#This Row],[BVPS]]),IF(Main_S[[#This Row],[BVPS]]&lt;&gt;0,Main_S[[#This Row],[Current Price]]/Main_S[[#This Row],[BVPS]],""),"")</f>
        <v>0.79987212276214825</v>
      </c>
      <c r="J290">
        <v>6.37</v>
      </c>
      <c r="K290">
        <v>0.91</v>
      </c>
      <c r="L290">
        <v>10.93</v>
      </c>
      <c r="M290" s="1">
        <f>IF(ISNUMBER(Main_S[[#This Row],[EPS]]),IF(Main_S[[#This Row],[EPS]]&lt;&gt;0,Main_S[[#This Row],[Current Price]]/Main_S[[#This Row],[EPS]],""),"")</f>
        <v>14.546511627906977</v>
      </c>
      <c r="N2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0" s="1">
        <f>(Main_S[[#This Row],[P/FCF]]-VLOOKUP(Main_S[[#This Row],[Industry]], Mean_PFCF_S, 2, FALSE))/(VLOOKUP(Main_S[[#This Row],[Industry]], Mean_PFCF_S, 3, FALSE))</f>
        <v>-1.4048254671880076</v>
      </c>
      <c r="P290" s="1">
        <f>(Main_S[[#This Row],[P/B]]-VLOOKUP(Main_S[[#This Row],[Industry]], Mean_PB_S, 2, FALSE))/(VLOOKUP(Main_S[[#This Row],[Industry]], Mean_PB_S, 3, FALSE))</f>
        <v>0.4153472044371177</v>
      </c>
      <c r="Q290" s="1">
        <f>(Main_S[[#This Row],[ROE]]-VLOOKUP(Main_S[[#This Row],[Industry]], Mean_ROE_S, 2, FALSE))/(VLOOKUP(Main_S[[#This Row],[Industry]], Mean_ROE_S, 3, FALSE))</f>
        <v>0.31820586642424686</v>
      </c>
      <c r="R290" s="1">
        <f>(Main_S[[#This Row],[ROA]]-VLOOKUP(Main_S[[#This Row],[Industry]], Mean_ROA_S, 2, FALSE))/(VLOOKUP(Main_S[[#This Row],[Industry]], Mean_ROA_S, 3, FALSE))</f>
        <v>-2.0069359140654681E-2</v>
      </c>
      <c r="S290" s="1">
        <f>(Main_S[[#This Row],[A/E]]-VLOOKUP(Main_S[[#This Row],[Industry]], Mean_AE_S, 2, FALSE))/(VLOOKUP(Main_S[[#This Row],[Industry]], Mean_AE_S, 3, FALSE))</f>
        <v>0.84970711626484707</v>
      </c>
      <c r="T290" s="1">
        <f>(Main_S[[#This Row],[P/E]]-VLOOKUP(Main_S[[#This Row],[Industry]], Mean_PE_S, 2, FALSE))/(VLOOKUP(Main_S[[#This Row],[Industry]], Mean_PE_S, 3, FALSE))</f>
        <v>0.61801663970070342</v>
      </c>
      <c r="U2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1" spans="1:26" x14ac:dyDescent="0.25">
      <c r="A291" s="67" t="s">
        <v>250</v>
      </c>
      <c r="B291" s="67" t="s">
        <v>688</v>
      </c>
      <c r="C291" s="2">
        <v>725</v>
      </c>
      <c r="D291">
        <f>RTD("tos.rtd", , "LAST", Main_S[[#This Row],[Symbol]])</f>
        <v>5.68</v>
      </c>
      <c r="E291">
        <v>-51.89</v>
      </c>
      <c r="F291">
        <v>8.39</v>
      </c>
      <c r="G291">
        <v>0.21</v>
      </c>
      <c r="H291" s="1">
        <f>IF(ISNUMBER(Main_S[[#This Row],[Free CF]]),IF(Main_S[[#This Row],[Free CF]]&lt;&gt;0,Main_S[[#This Row],[Current Price]]/Main_S[[#This Row],[Free CF]],""),"")</f>
        <v>-0.10946232414723453</v>
      </c>
      <c r="I291" s="1">
        <f>IF(ISNUMBER(Main_S[[#This Row],[BVPS]]),IF(Main_S[[#This Row],[BVPS]]&lt;&gt;0,Main_S[[#This Row],[Current Price]]/Main_S[[#This Row],[BVPS]],""),"")</f>
        <v>0.67699642431466023</v>
      </c>
      <c r="J291">
        <v>3.31</v>
      </c>
      <c r="K291">
        <v>0.23</v>
      </c>
      <c r="L291">
        <v>17.8</v>
      </c>
      <c r="M291" s="1">
        <f>IF(ISNUMBER(Main_S[[#This Row],[EPS]]),IF(Main_S[[#This Row],[EPS]]&lt;&gt;0,Main_S[[#This Row],[Current Price]]/Main_S[[#This Row],[EPS]],""),"")</f>
        <v>27.047619047619047</v>
      </c>
      <c r="N2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1" s="1">
        <f>(Main_S[[#This Row],[P/FCF]]-VLOOKUP(Main_S[[#This Row],[Industry]], Mean_PFCF_S, 2, FALSE))/(VLOOKUP(Main_S[[#This Row],[Industry]], Mean_PFCF_S, 3, FALSE))</f>
        <v>-1.3584484328158226</v>
      </c>
      <c r="P291" s="1">
        <f>(Main_S[[#This Row],[P/B]]-VLOOKUP(Main_S[[#This Row],[Industry]], Mean_PB_S, 2, FALSE))/(VLOOKUP(Main_S[[#This Row],[Industry]], Mean_PB_S, 3, FALSE))</f>
        <v>-0.34007740964834887</v>
      </c>
      <c r="Q291" s="1">
        <f>(Main_S[[#This Row],[ROE]]-VLOOKUP(Main_S[[#This Row],[Industry]], Mean_ROE_S, 2, FALSE))/(VLOOKUP(Main_S[[#This Row],[Industry]], Mean_ROE_S, 3, FALSE))</f>
        <v>-0.32099103812161406</v>
      </c>
      <c r="R291" s="1">
        <f>(Main_S[[#This Row],[ROA]]-VLOOKUP(Main_S[[#This Row],[Industry]], Mean_ROA_S, 2, FALSE))/(VLOOKUP(Main_S[[#This Row],[Industry]], Mean_ROA_S, 3, FALSE))</f>
        <v>-0.87301712261848385</v>
      </c>
      <c r="S291" s="1">
        <f>(Main_S[[#This Row],[A/E]]-VLOOKUP(Main_S[[#This Row],[Industry]], Mean_AE_S, 2, FALSE))/(VLOOKUP(Main_S[[#This Row],[Industry]], Mean_AE_S, 3, FALSE))</f>
        <v>2.4769307429889835</v>
      </c>
      <c r="T291" s="1">
        <f>(Main_S[[#This Row],[P/E]]-VLOOKUP(Main_S[[#This Row],[Industry]], Mean_PE_S, 2, FALSE))/(VLOOKUP(Main_S[[#This Row],[Industry]], Mean_PE_S, 3, FALSE))</f>
        <v>1.5166516684778764</v>
      </c>
      <c r="U2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42.7109375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214</v>
      </c>
      <c r="B3" s="1" cm="1">
        <f t="array" ref="B3">_xlfn.QUARTILE.INC(IF(Quartile_L[[#This Row],[Industry]]=Main_L[Industry],Main_L[P/FCF]),1)</f>
        <v>5.8326573449080525</v>
      </c>
      <c r="C3" s="1" cm="1">
        <f t="array" ref="C3">_xlfn.QUARTILE.INC(IF(Quartile_L[[#This Row],[Industry]]=Main_L[Industry],Main_L[P/FCF]),3)</f>
        <v>18.218233906302661</v>
      </c>
      <c r="D3" s="1">
        <f>Quartile_L[[#This Row],[P/FCF Q1]]-1.5*(Quartile_L[[#This Row],[P/FCF Q3]]-Quartile_L[[#This Row],[P/FCF Q1]])</f>
        <v>-12.745707497183858</v>
      </c>
      <c r="E3" s="1">
        <f>Quartile_L[[#This Row],[P/FCF Q3]]+1.5*(Quartile_L[[#This Row],[P/FCF Q3]]-Quartile_L[[#This Row],[P/FCF Q1]])</f>
        <v>36.796598748394572</v>
      </c>
      <c r="F3" s="1" cm="1">
        <f t="array" ref="F3">_xlfn.QUARTILE.INC(IF(Quartile_L[[#This Row],[Industry]]=Main_L[Industry],Main_L[P/B]),1)</f>
        <v>1.5125871261188737</v>
      </c>
      <c r="G3" s="1" cm="1">
        <f t="array" ref="G3">_xlfn.QUARTILE.INC(IF(Quartile_L[[#This Row],[Industry]]=Main_L[Industry],Main_L[P/B]),3)</f>
        <v>3.1492581512299993</v>
      </c>
      <c r="H3" s="1">
        <f>Quartile_L[[#This Row],[P/B Q1]]-1.5*(Quartile_L[[#This Row],[P/B Q3]]-Quartile_L[[#This Row],[P/B Q1]])</f>
        <v>-0.94241941154781483</v>
      </c>
      <c r="I3" s="1">
        <f>Quartile_L[[#This Row],[P/B Q3]]+1.5*(Quartile_L[[#This Row],[P/B Q3]]-Quartile_L[[#This Row],[P/B Q1]])</f>
        <v>5.6042646888966878</v>
      </c>
      <c r="J3" s="1" cm="1">
        <f t="array" ref="J3">_xlfn.QUARTILE.INC(IF(Quartile_L[[#This Row],[Industry]]=Main_L[Industry],Main_L[ROE]),1)</f>
        <v>10.24</v>
      </c>
      <c r="K3" s="1" cm="1">
        <f t="array" ref="K3">_xlfn.QUARTILE.INC(IF(Quartile_L[[#This Row],[Industry]]=Main_L[Industry],Main_L[ROE]),3)</f>
        <v>18.440000000000001</v>
      </c>
      <c r="L3" s="1">
        <f>Quartile_L[[#This Row],[ROE Q1]]-1.5*(Quartile_L[[#This Row],[ROE Q3]]-Quartile_L[[#This Row],[ROE Q1]])</f>
        <v>-2.0600000000000005</v>
      </c>
      <c r="M3" s="1">
        <f>Quartile_L[[#This Row],[ROE Q3]]+1.5*(Quartile_L[[#This Row],[ROE Q3]]-Quartile_L[[#This Row],[ROE Q1]])</f>
        <v>30.740000000000002</v>
      </c>
      <c r="N3" s="1" cm="1">
        <f t="array" ref="N3">_xlfn.QUARTILE.INC(IF(Quartile_L[[#This Row],[Industry]]=Main_L[Industry],Main_L[ROA]),1)</f>
        <v>0.89250000000000007</v>
      </c>
      <c r="O3" s="1" cm="1">
        <f t="array" ref="O3">_xlfn.QUARTILE.INC(IF(Quartile_L[[#This Row],[Industry]]=Main_L[Industry],Main_L[ROA]),3)</f>
        <v>3.45</v>
      </c>
      <c r="P3" s="1">
        <f>Quartile_L[[#This Row],[ROA Q1]]-1.5*(Quartile_L[[#This Row],[ROA Q3]]-Quartile_L[[#This Row],[ROA Q1]])</f>
        <v>-2.9437500000000001</v>
      </c>
      <c r="Q3" s="1">
        <f>Quartile_L[[#This Row],[ROA Q3]]+1.5*(Quartile_L[[#This Row],[ROA Q3]]-Quartile_L[[#This Row],[ROA Q1]])</f>
        <v>7.2862500000000008</v>
      </c>
      <c r="R3" s="1" cm="1">
        <f t="array" ref="R3">_xlfn.QUARTILE.INC(IF(Quartile_L[[#This Row],[Industry]]=Main_L[Industry],Main_L[P/E]),1)</f>
        <v>13.132723893753306</v>
      </c>
      <c r="S3" s="1" cm="1">
        <f t="array" ref="S3">_xlfn.QUARTILE.INC(IF(Quartile_L[[#This Row],[Industry]]=Main_L[Industry],Main_L[P/E]),3)</f>
        <v>19.325518310404959</v>
      </c>
      <c r="T3" s="1">
        <f>Quartile_L[[#This Row],[P/E Q1]]-1.5*(Quartile_L[[#This Row],[P/E Q3]]-Quartile_L[[#This Row],[P/E Q1]])</f>
        <v>3.8435322687758262</v>
      </c>
      <c r="U3" s="1">
        <f>Quartile_L[[#This Row],[P/E Q3]]+1.5*(Quartile_L[[#This Row],[P/E Q3]]-Quartile_L[[#This Row],[P/E Q1]])</f>
        <v>28.614709935382439</v>
      </c>
      <c r="V3" s="1" cm="1">
        <f t="array" ref="V3">_xlfn.QUARTILE.INC(IF(Quartile_L[[#This Row],[Industry]]=Main_L[Industry],Main_L[A/E]),1)</f>
        <v>3.8875000000000002</v>
      </c>
      <c r="W3" s="1" cm="1">
        <f t="array" ref="W3">_xlfn.QUARTILE.INC(IF(Quartile_L[[#This Row],[Industry]]=Main_L[Industry],Main_L[A/E]),3)</f>
        <v>11.7875</v>
      </c>
      <c r="X3" s="1">
        <f>Quartile_L[[#This Row],[A/E Q1]]-1.5*(Quartile_L[[#This Row],[A/E Q3]]-Quartile_L[[#This Row],[A/E Q1]])</f>
        <v>-7.9624999999999995</v>
      </c>
      <c r="Y3" s="1">
        <f>Quartile_L[[#This Row],[A/E Q3]]+1.5*(Quartile_L[[#This Row],[A/E Q3]]-Quartile_L[[#This Row],[A/E Q1]])</f>
        <v>23.637499999999999</v>
      </c>
    </row>
    <row r="4" spans="1:25" x14ac:dyDescent="0.25">
      <c r="A4" t="s">
        <v>166</v>
      </c>
      <c r="B4" s="1" cm="1">
        <f t="array" ref="B4">_xlfn.QUARTILE.INC(IF(Quartile_L[[#This Row],[Industry]]=Main_L[Industry],Main_L[P/FCF]),1)</f>
        <v>2.8807079141791752</v>
      </c>
      <c r="C4" s="1" cm="1">
        <f t="array" ref="C4">_xlfn.QUARTILE.INC(IF(Quartile_L[[#This Row],[Industry]]=Main_L[Industry],Main_L[P/FCF]),3)</f>
        <v>18.063147935779817</v>
      </c>
      <c r="D4" s="1">
        <f>Quartile_L[[#This Row],[P/FCF Q1]]-1.5*(Quartile_L[[#This Row],[P/FCF Q3]]-Quartile_L[[#This Row],[P/FCF Q1]])</f>
        <v>-19.892952118221785</v>
      </c>
      <c r="E4" s="1">
        <f>Quartile_L[[#This Row],[P/FCF Q3]]+1.5*(Quartile_L[[#This Row],[P/FCF Q3]]-Quartile_L[[#This Row],[P/FCF Q1]])</f>
        <v>40.836807968180779</v>
      </c>
      <c r="F4" s="1" cm="1">
        <f t="array" ref="F4">_xlfn.QUARTILE.INC(IF(Quartile_L[[#This Row],[Industry]]=Main_L[Industry],Main_L[P/B]),1)</f>
        <v>1.350519175046426</v>
      </c>
      <c r="G4" s="1" cm="1">
        <f t="array" ref="G4">_xlfn.QUARTILE.INC(IF(Quartile_L[[#This Row],[Industry]]=Main_L[Industry],Main_L[P/B]),3)</f>
        <v>4.1963193607947282</v>
      </c>
      <c r="H4" s="1">
        <f>Quartile_L[[#This Row],[P/B Q1]]-1.5*(Quartile_L[[#This Row],[P/B Q3]]-Quartile_L[[#This Row],[P/B Q1]])</f>
        <v>-2.918181103576027</v>
      </c>
      <c r="I4" s="1">
        <f>Quartile_L[[#This Row],[P/B Q3]]+1.5*(Quartile_L[[#This Row],[P/B Q3]]-Quartile_L[[#This Row],[P/B Q1]])</f>
        <v>8.4650196394171822</v>
      </c>
      <c r="J4" s="1" cm="1">
        <f t="array" ref="J4">_xlfn.QUARTILE.INC(IF(Quartile_L[[#This Row],[Industry]]=Main_L[Industry],Main_L[ROE]),1)</f>
        <v>7.64</v>
      </c>
      <c r="K4" s="1" cm="1">
        <f t="array" ref="K4">_xlfn.QUARTILE.INC(IF(Quartile_L[[#This Row],[Industry]]=Main_L[Industry],Main_L[ROE]),3)</f>
        <v>30.352500000000003</v>
      </c>
      <c r="L4" s="1">
        <f>Quartile_L[[#This Row],[ROE Q1]]-1.5*(Quartile_L[[#This Row],[ROE Q3]]-Quartile_L[[#This Row],[ROE Q1]])</f>
        <v>-26.428750000000001</v>
      </c>
      <c r="M4" s="1">
        <f>Quartile_L[[#This Row],[ROE Q3]]+1.5*(Quartile_L[[#This Row],[ROE Q3]]-Quartile_L[[#This Row],[ROE Q1]])</f>
        <v>64.421250000000001</v>
      </c>
      <c r="N4" s="1" cm="1">
        <f t="array" ref="N4">_xlfn.QUARTILE.INC(IF(Quartile_L[[#This Row],[Industry]]=Main_L[Industry],Main_L[ROA]),1)</f>
        <v>1.1000000000000001</v>
      </c>
      <c r="O4" s="1" cm="1">
        <f t="array" ref="O4">_xlfn.QUARTILE.INC(IF(Quartile_L[[#This Row],[Industry]]=Main_L[Industry],Main_L[ROA]),3)</f>
        <v>3.4074999999999998</v>
      </c>
      <c r="P4" s="1">
        <f>Quartile_L[[#This Row],[ROA Q1]]-1.5*(Quartile_L[[#This Row],[ROA Q3]]-Quartile_L[[#This Row],[ROA Q1]])</f>
        <v>-2.3612499999999996</v>
      </c>
      <c r="Q4" s="1">
        <f>Quartile_L[[#This Row],[ROA Q3]]+1.5*(Quartile_L[[#This Row],[ROA Q3]]-Quartile_L[[#This Row],[ROA Q1]])</f>
        <v>6.8687499999999995</v>
      </c>
      <c r="R4" s="1" cm="1">
        <f t="array" ref="R4">_xlfn.QUARTILE.INC(IF(Quartile_L[[#This Row],[Industry]]=Main_L[Industry],Main_L[P/E]),1)</f>
        <v>10.45590922751494</v>
      </c>
      <c r="S4" s="1" cm="1">
        <f t="array" ref="S4">_xlfn.QUARTILE.INC(IF(Quartile_L[[#This Row],[Industry]]=Main_L[Industry],Main_L[P/E]),3)</f>
        <v>29.857688060283227</v>
      </c>
      <c r="T4" s="1">
        <f>Quartile_L[[#This Row],[P/E Q1]]-1.5*(Quartile_L[[#This Row],[P/E Q3]]-Quartile_L[[#This Row],[P/E Q1]])</f>
        <v>-18.646759021637489</v>
      </c>
      <c r="U4" s="1">
        <f>Quartile_L[[#This Row],[P/E Q3]]+1.5*(Quartile_L[[#This Row],[P/E Q3]]-Quartile_L[[#This Row],[P/E Q1]])</f>
        <v>58.960356309435653</v>
      </c>
      <c r="V4" s="1" cm="1">
        <f t="array" ref="V4">_xlfn.QUARTILE.INC(IF(Quartile_L[[#This Row],[Industry]]=Main_L[Industry],Main_L[A/E]),1)</f>
        <v>6.2225000000000001</v>
      </c>
      <c r="W4" s="1" cm="1">
        <f t="array" ref="W4">_xlfn.QUARTILE.INC(IF(Quartile_L[[#This Row],[Industry]]=Main_L[Industry],Main_L[A/E]),3)</f>
        <v>8.89</v>
      </c>
      <c r="X4" s="1">
        <f>Quartile_L[[#This Row],[A/E Q1]]-1.5*(Quartile_L[[#This Row],[A/E Q3]]-Quartile_L[[#This Row],[A/E Q1]])</f>
        <v>2.2212499999999995</v>
      </c>
      <c r="Y4" s="1">
        <f>Quartile_L[[#This Row],[A/E Q3]]+1.5*(Quartile_L[[#This Row],[A/E Q3]]-Quartile_L[[#This Row],[A/E Q1]])</f>
        <v>12.891250000000001</v>
      </c>
    </row>
    <row r="5" spans="1:25" x14ac:dyDescent="0.25">
      <c r="A5" t="s">
        <v>105</v>
      </c>
      <c r="B5" s="1" cm="1">
        <f t="array" ref="B5">_xlfn.QUARTILE.INC(IF(Quartile_L[[#This Row],[Industry]]=Main_L[Industry],Main_L[P/FCF]),1)</f>
        <v>-5.0236823874233956</v>
      </c>
      <c r="C5" s="1" cm="1">
        <f t="array" ref="C5">_xlfn.QUARTILE.INC(IF(Quartile_L[[#This Row],[Industry]]=Main_L[Industry],Main_L[P/FCF]),3)</f>
        <v>10.457679225536369</v>
      </c>
      <c r="D5" s="1">
        <f>Quartile_L[[#This Row],[P/FCF Q1]]-1.5*(Quartile_L[[#This Row],[P/FCF Q3]]-Quartile_L[[#This Row],[P/FCF Q1]])</f>
        <v>-28.245724806863041</v>
      </c>
      <c r="E5" s="1">
        <f>Quartile_L[[#This Row],[P/FCF Q3]]+1.5*(Quartile_L[[#This Row],[P/FCF Q3]]-Quartile_L[[#This Row],[P/FCF Q1]])</f>
        <v>33.679721644976013</v>
      </c>
      <c r="F5" s="1" cm="1">
        <f t="array" ref="F5">_xlfn.QUARTILE.INC(IF(Quartile_L[[#This Row],[Industry]]=Main_L[Industry],Main_L[P/B]),1)</f>
        <v>1.097035040431267</v>
      </c>
      <c r="G5" s="1" cm="1">
        <f t="array" ref="G5">_xlfn.QUARTILE.INC(IF(Quartile_L[[#This Row],[Industry]]=Main_L[Industry],Main_L[P/B]),3)</f>
        <v>1.8169014084507045</v>
      </c>
      <c r="H5" s="1">
        <f>Quartile_L[[#This Row],[P/B Q1]]-1.5*(Quartile_L[[#This Row],[P/B Q3]]-Quartile_L[[#This Row],[P/B Q1]])</f>
        <v>1.7235488402110866E-2</v>
      </c>
      <c r="I5" s="1">
        <f>Quartile_L[[#This Row],[P/B Q3]]+1.5*(Quartile_L[[#This Row],[P/B Q3]]-Quartile_L[[#This Row],[P/B Q1]])</f>
        <v>2.8967009604798606</v>
      </c>
      <c r="J5" s="1" cm="1">
        <f t="array" ref="J5">_xlfn.QUARTILE.INC(IF(Quartile_L[[#This Row],[Industry]]=Main_L[Industry],Main_L[ROE]),1)</f>
        <v>8.99</v>
      </c>
      <c r="K5" s="1" cm="1">
        <f t="array" ref="K5">_xlfn.QUARTILE.INC(IF(Quartile_L[[#This Row],[Industry]]=Main_L[Industry],Main_L[ROE]),3)</f>
        <v>14.35</v>
      </c>
      <c r="L5" s="1">
        <f>Quartile_L[[#This Row],[ROE Q1]]-1.5*(Quartile_L[[#This Row],[ROE Q3]]-Quartile_L[[#This Row],[ROE Q1]])</f>
        <v>0.95000000000000107</v>
      </c>
      <c r="M5" s="1">
        <f>Quartile_L[[#This Row],[ROE Q3]]+1.5*(Quartile_L[[#This Row],[ROE Q3]]-Quartile_L[[#This Row],[ROE Q1]])</f>
        <v>22.39</v>
      </c>
      <c r="N5" s="1" cm="1">
        <f t="array" ref="N5">_xlfn.QUARTILE.INC(IF(Quartile_L[[#This Row],[Industry]]=Main_L[Industry],Main_L[ROA]),1)</f>
        <v>0.57999999999999996</v>
      </c>
      <c r="O5" s="1" cm="1">
        <f t="array" ref="O5">_xlfn.QUARTILE.INC(IF(Quartile_L[[#This Row],[Industry]]=Main_L[Industry],Main_L[ROA]),3)</f>
        <v>1.28</v>
      </c>
      <c r="P5" s="1">
        <f>Quartile_L[[#This Row],[ROA Q1]]-1.5*(Quartile_L[[#This Row],[ROA Q3]]-Quartile_L[[#This Row],[ROA Q1]])</f>
        <v>-0.47000000000000008</v>
      </c>
      <c r="Q5" s="1">
        <f>Quartile_L[[#This Row],[ROA Q3]]+1.5*(Quartile_L[[#This Row],[ROA Q3]]-Quartile_L[[#This Row],[ROA Q1]])</f>
        <v>2.33</v>
      </c>
      <c r="R5" s="1" cm="1">
        <f t="array" ref="R5">_xlfn.QUARTILE.INC(IF(Quartile_L[[#This Row],[Industry]]=Main_L[Industry],Main_L[P/E]),1)</f>
        <v>9.791044776119401</v>
      </c>
      <c r="S5" s="1" cm="1">
        <f t="array" ref="S5">_xlfn.QUARTILE.INC(IF(Quartile_L[[#This Row],[Industry]]=Main_L[Industry],Main_L[P/E]),3)</f>
        <v>15.627167630057803</v>
      </c>
      <c r="T5" s="1">
        <f>Quartile_L[[#This Row],[P/E Q1]]-1.5*(Quartile_L[[#This Row],[P/E Q3]]-Quartile_L[[#This Row],[P/E Q1]])</f>
        <v>1.0368604952117977</v>
      </c>
      <c r="U5" s="1">
        <f>Quartile_L[[#This Row],[P/E Q3]]+1.5*(Quartile_L[[#This Row],[P/E Q3]]-Quartile_L[[#This Row],[P/E Q1]])</f>
        <v>24.381351910965407</v>
      </c>
      <c r="V5" s="1" cm="1">
        <f t="array" ref="V5">_xlfn.QUARTILE.INC(IF(Quartile_L[[#This Row],[Industry]]=Main_L[Industry],Main_L[A/E]),1)</f>
        <v>9.9700000000000006</v>
      </c>
      <c r="W5" s="1" cm="1">
        <f t="array" ref="W5">_xlfn.QUARTILE.INC(IF(Quartile_L[[#This Row],[Industry]]=Main_L[Industry],Main_L[A/E]),3)</f>
        <v>17.07</v>
      </c>
      <c r="X5" s="1">
        <f>Quartile_L[[#This Row],[A/E Q1]]-1.5*(Quartile_L[[#This Row],[A/E Q3]]-Quartile_L[[#This Row],[A/E Q1]])</f>
        <v>-0.67999999999999794</v>
      </c>
      <c r="Y5" s="1">
        <f>Quartile_L[[#This Row],[A/E Q3]]+1.5*(Quartile_L[[#This Row],[A/E Q3]]-Quartile_L[[#This Row],[A/E Q1]])</f>
        <v>27.72</v>
      </c>
    </row>
    <row r="6" spans="1:25" x14ac:dyDescent="0.25">
      <c r="A6" t="s">
        <v>172</v>
      </c>
      <c r="B6" s="1" cm="1">
        <f t="array" ref="B6">_xlfn.QUARTILE.INC(IF(Quartile_L[[#This Row],[Industry]]=Main_L[Industry],Main_L[P/FCF]),1)</f>
        <v>3.1265276231593919</v>
      </c>
      <c r="C6" s="1" cm="1">
        <f t="array" ref="C6">_xlfn.QUARTILE.INC(IF(Quartile_L[[#This Row],[Industry]]=Main_L[Industry],Main_L[P/FCF]),3)</f>
        <v>28.742256738236641</v>
      </c>
      <c r="D6" s="1">
        <f>Quartile_L[[#This Row],[P/FCF Q1]]-1.5*(Quartile_L[[#This Row],[P/FCF Q3]]-Quartile_L[[#This Row],[P/FCF Q1]])</f>
        <v>-35.29706604945649</v>
      </c>
      <c r="E6" s="1">
        <f>Quartile_L[[#This Row],[P/FCF Q3]]+1.5*(Quartile_L[[#This Row],[P/FCF Q3]]-Quartile_L[[#This Row],[P/FCF Q1]])</f>
        <v>67.165850410852528</v>
      </c>
      <c r="F6" s="1" cm="1">
        <f t="array" ref="F6">_xlfn.QUARTILE.INC(IF(Quartile_L[[#This Row],[Industry]]=Main_L[Industry],Main_L[P/B]),1)</f>
        <v>1.9559506351458524</v>
      </c>
      <c r="G6" s="1" cm="1">
        <f t="array" ref="G6">_xlfn.QUARTILE.INC(IF(Quartile_L[[#This Row],[Industry]]=Main_L[Industry],Main_L[P/B]),3)</f>
        <v>6.4786340385472414</v>
      </c>
      <c r="H6" s="1">
        <f>Quartile_L[[#This Row],[P/B Q1]]-1.5*(Quartile_L[[#This Row],[P/B Q3]]-Quartile_L[[#This Row],[P/B Q1]])</f>
        <v>-4.8280744699562312</v>
      </c>
      <c r="I6" s="1">
        <f>Quartile_L[[#This Row],[P/B Q3]]+1.5*(Quartile_L[[#This Row],[P/B Q3]]-Quartile_L[[#This Row],[P/B Q1]])</f>
        <v>13.262659143649326</v>
      </c>
      <c r="J6" s="1" cm="1">
        <f t="array" ref="J6">_xlfn.QUARTILE.INC(IF(Quartile_L[[#This Row],[Industry]]=Main_L[Industry],Main_L[ROE]),1)</f>
        <v>10.387499999999999</v>
      </c>
      <c r="K6" s="1" cm="1">
        <f t="array" ref="K6">_xlfn.QUARTILE.INC(IF(Quartile_L[[#This Row],[Industry]]=Main_L[Industry],Main_L[ROE]),3)</f>
        <v>22.38</v>
      </c>
      <c r="L6" s="1">
        <f>Quartile_L[[#This Row],[ROE Q1]]-1.5*(Quartile_L[[#This Row],[ROE Q3]]-Quartile_L[[#This Row],[ROE Q1]])</f>
        <v>-7.6012500000000003</v>
      </c>
      <c r="M6" s="1">
        <f>Quartile_L[[#This Row],[ROE Q3]]+1.5*(Quartile_L[[#This Row],[ROE Q3]]-Quartile_L[[#This Row],[ROE Q1]])</f>
        <v>40.368749999999999</v>
      </c>
      <c r="N6" s="1" cm="1">
        <f t="array" ref="N6">_xlfn.QUARTILE.INC(IF(Quartile_L[[#This Row],[Industry]]=Main_L[Industry],Main_L[ROA]),1)</f>
        <v>1.3499999999999999</v>
      </c>
      <c r="O6" s="1" cm="1">
        <f t="array" ref="O6">_xlfn.QUARTILE.INC(IF(Quartile_L[[#This Row],[Industry]]=Main_L[Industry],Main_L[ROA]),3)</f>
        <v>8.1675000000000004</v>
      </c>
      <c r="P6" s="1">
        <f>Quartile_L[[#This Row],[ROA Q1]]-1.5*(Quartile_L[[#This Row],[ROA Q3]]-Quartile_L[[#This Row],[ROA Q1]])</f>
        <v>-8.8762500000000006</v>
      </c>
      <c r="Q6" s="1">
        <f>Quartile_L[[#This Row],[ROA Q3]]+1.5*(Quartile_L[[#This Row],[ROA Q3]]-Quartile_L[[#This Row],[ROA Q1]])</f>
        <v>18.393750000000001</v>
      </c>
      <c r="R6" s="1" cm="1">
        <f t="array" ref="R6">_xlfn.QUARTILE.INC(IF(Quartile_L[[#This Row],[Industry]]=Main_L[Industry],Main_L[P/E]),1)</f>
        <v>15.812820658989853</v>
      </c>
      <c r="S6" s="1" cm="1">
        <f t="array" ref="S6">_xlfn.QUARTILE.INC(IF(Quartile_L[[#This Row],[Industry]]=Main_L[Industry],Main_L[P/E]),3)</f>
        <v>39.180646244841526</v>
      </c>
      <c r="T6" s="1">
        <f>Quartile_L[[#This Row],[P/E Q1]]-1.5*(Quartile_L[[#This Row],[P/E Q3]]-Quartile_L[[#This Row],[P/E Q1]])</f>
        <v>-19.238917719787654</v>
      </c>
      <c r="U6" s="1">
        <f>Quartile_L[[#This Row],[P/E Q3]]+1.5*(Quartile_L[[#This Row],[P/E Q3]]-Quartile_L[[#This Row],[P/E Q1]])</f>
        <v>74.232384623619026</v>
      </c>
      <c r="V6" s="1" cm="1">
        <f t="array" ref="V6">_xlfn.QUARTILE.INC(IF(Quartile_L[[#This Row],[Industry]]=Main_L[Industry],Main_L[A/E]),1)</f>
        <v>2.1924999999999999</v>
      </c>
      <c r="W6" s="1" cm="1">
        <f t="array" ref="W6">_xlfn.QUARTILE.INC(IF(Quartile_L[[#This Row],[Industry]]=Main_L[Industry],Main_L[A/E]),3)</f>
        <v>12.305</v>
      </c>
      <c r="X6" s="1">
        <f>Quartile_L[[#This Row],[A/E Q1]]-1.5*(Quartile_L[[#This Row],[A/E Q3]]-Quartile_L[[#This Row],[A/E Q1]])</f>
        <v>-12.97625</v>
      </c>
      <c r="Y6" s="1">
        <f>Quartile_L[[#This Row],[A/E Q3]]+1.5*(Quartile_L[[#This Row],[A/E Q3]]-Quartile_L[[#This Row],[A/E Q1]])</f>
        <v>27.473750000000003</v>
      </c>
    </row>
    <row r="7" spans="1:25" x14ac:dyDescent="0.25">
      <c r="A7" t="s">
        <v>150</v>
      </c>
      <c r="B7" s="1" cm="1">
        <f t="array" ref="B7">_xlfn.QUARTILE.INC(IF(Quartile_L[[#This Row],[Industry]]=Main_L[Industry],Main_L[P/FCF]),1)</f>
        <v>8.8174474959612272</v>
      </c>
      <c r="C7" s="1" cm="1">
        <f t="array" ref="C7">_xlfn.QUARTILE.INC(IF(Quartile_L[[#This Row],[Industry]]=Main_L[Industry],Main_L[P/FCF]),3)</f>
        <v>33.855955678670362</v>
      </c>
      <c r="D7" s="1">
        <f>Quartile_L[[#This Row],[P/FCF Q1]]-1.5*(Quartile_L[[#This Row],[P/FCF Q3]]-Quartile_L[[#This Row],[P/FCF Q1]])</f>
        <v>-28.74031477810248</v>
      </c>
      <c r="E7" s="1">
        <f>Quartile_L[[#This Row],[P/FCF Q3]]+1.5*(Quartile_L[[#This Row],[P/FCF Q3]]-Quartile_L[[#This Row],[P/FCF Q1]])</f>
        <v>71.413717952734061</v>
      </c>
      <c r="F7" s="1" cm="1">
        <f t="array" ref="F7">_xlfn.QUARTILE.INC(IF(Quartile_L[[#This Row],[Industry]]=Main_L[Industry],Main_L[P/B]),1)</f>
        <v>1.8919540229885059</v>
      </c>
      <c r="G7" s="1" cm="1">
        <f t="array" ref="G7">_xlfn.QUARTILE.INC(IF(Quartile_L[[#This Row],[Industry]]=Main_L[Industry],Main_L[P/B]),3)</f>
        <v>9.9480519480519476</v>
      </c>
      <c r="H7" s="1">
        <f>Quartile_L[[#This Row],[P/B Q1]]-1.5*(Quartile_L[[#This Row],[P/B Q3]]-Quartile_L[[#This Row],[P/B Q1]])</f>
        <v>-10.192192864606659</v>
      </c>
      <c r="I7" s="1">
        <f>Quartile_L[[#This Row],[P/B Q3]]+1.5*(Quartile_L[[#This Row],[P/B Q3]]-Quartile_L[[#This Row],[P/B Q1]])</f>
        <v>22.032198835647112</v>
      </c>
      <c r="J7" s="1" cm="1">
        <f t="array" ref="J7">_xlfn.QUARTILE.INC(IF(Quartile_L[[#This Row],[Industry]]=Main_L[Industry],Main_L[ROE]),1)</f>
        <v>8.58</v>
      </c>
      <c r="K7" s="1" cm="1">
        <f t="array" ref="K7">_xlfn.QUARTILE.INC(IF(Quartile_L[[#This Row],[Industry]]=Main_L[Industry],Main_L[ROE]),3)</f>
        <v>30.04</v>
      </c>
      <c r="L7" s="1">
        <f>Quartile_L[[#This Row],[ROE Q1]]-1.5*(Quartile_L[[#This Row],[ROE Q3]]-Quartile_L[[#This Row],[ROE Q1]])</f>
        <v>-23.61</v>
      </c>
      <c r="M7" s="1">
        <f>Quartile_L[[#This Row],[ROE Q3]]+1.5*(Quartile_L[[#This Row],[ROE Q3]]-Quartile_L[[#This Row],[ROE Q1]])</f>
        <v>62.23</v>
      </c>
      <c r="N7" s="1" cm="1">
        <f t="array" ref="N7">_xlfn.QUARTILE.INC(IF(Quartile_L[[#This Row],[Industry]]=Main_L[Industry],Main_L[ROA]),1)</f>
        <v>1.93</v>
      </c>
      <c r="O7" s="1" cm="1">
        <f t="array" ref="O7">_xlfn.QUARTILE.INC(IF(Quartile_L[[#This Row],[Industry]]=Main_L[Industry],Main_L[ROA]),3)</f>
        <v>5.36</v>
      </c>
      <c r="P7" s="1">
        <f>Quartile_L[[#This Row],[ROA Q1]]-1.5*(Quartile_L[[#This Row],[ROA Q3]]-Quartile_L[[#This Row],[ROA Q1]])</f>
        <v>-3.2150000000000016</v>
      </c>
      <c r="Q7" s="1">
        <f>Quartile_L[[#This Row],[ROA Q3]]+1.5*(Quartile_L[[#This Row],[ROA Q3]]-Quartile_L[[#This Row],[ROA Q1]])</f>
        <v>10.505000000000003</v>
      </c>
      <c r="R7" s="1" cm="1">
        <f t="array" ref="R7">_xlfn.QUARTILE.INC(IF(Quartile_L[[#This Row],[Industry]]=Main_L[Industry],Main_L[P/E]),1)</f>
        <v>14.51595744680851</v>
      </c>
      <c r="S7" s="1" cm="1">
        <f t="array" ref="S7">_xlfn.QUARTILE.INC(IF(Quartile_L[[#This Row],[Industry]]=Main_L[Industry],Main_L[P/E]),3)</f>
        <v>30.657580919931856</v>
      </c>
      <c r="T7" s="1">
        <f>Quartile_L[[#This Row],[P/E Q1]]-1.5*(Quartile_L[[#This Row],[P/E Q3]]-Quartile_L[[#This Row],[P/E Q1]])</f>
        <v>-9.6964777628765084</v>
      </c>
      <c r="U7" s="1">
        <f>Quartile_L[[#This Row],[P/E Q3]]+1.5*(Quartile_L[[#This Row],[P/E Q3]]-Quartile_L[[#This Row],[P/E Q1]])</f>
        <v>54.870016129616872</v>
      </c>
      <c r="V7" s="1" cm="1">
        <f t="array" ref="V7">_xlfn.QUARTILE.INC(IF(Quartile_L[[#This Row],[Industry]]=Main_L[Industry],Main_L[A/E]),1)</f>
        <v>2.1800000000000002</v>
      </c>
      <c r="W7" s="1" cm="1">
        <f t="array" ref="W7">_xlfn.QUARTILE.INC(IF(Quartile_L[[#This Row],[Industry]]=Main_L[Industry],Main_L[A/E]),3)</f>
        <v>7.27</v>
      </c>
      <c r="X7" s="1">
        <f>Quartile_L[[#This Row],[A/E Q1]]-1.5*(Quartile_L[[#This Row],[A/E Q3]]-Quartile_L[[#This Row],[A/E Q1]])</f>
        <v>-5.4550000000000001</v>
      </c>
      <c r="Y7" s="1">
        <f>Quartile_L[[#This Row],[A/E Q3]]+1.5*(Quartile_L[[#This Row],[A/E Q3]]-Quartile_L[[#This Row],[A/E Q1]])</f>
        <v>14.904999999999999</v>
      </c>
    </row>
    <row r="8" spans="1:25" x14ac:dyDescent="0.25">
      <c r="A8" t="s">
        <v>250</v>
      </c>
      <c r="B8" s="1" cm="1">
        <f t="array" ref="B8">_xlfn.QUARTILE.INC(IF(Quartile_L[[#This Row],[Industry]]=Main_L[Industry],Main_L[P/FCF]),1)</f>
        <v>13.234482758620691</v>
      </c>
      <c r="C8" s="1" cm="1">
        <f t="array" ref="C8">_xlfn.QUARTILE.INC(IF(Quartile_L[[#This Row],[Industry]]=Main_L[Industry],Main_L[P/FCF]),3)</f>
        <v>13.234482758620691</v>
      </c>
      <c r="D8" s="1">
        <f>Quartile_L[[#This Row],[P/FCF Q1]]-1.5*(Quartile_L[[#This Row],[P/FCF Q3]]-Quartile_L[[#This Row],[P/FCF Q1]])</f>
        <v>13.234482758620691</v>
      </c>
      <c r="E8" s="1">
        <f>Quartile_L[[#This Row],[P/FCF Q3]]+1.5*(Quartile_L[[#This Row],[P/FCF Q3]]-Quartile_L[[#This Row],[P/FCF Q1]])</f>
        <v>13.234482758620691</v>
      </c>
      <c r="F8" s="1" cm="1">
        <f t="array" ref="F8">_xlfn.QUARTILE.INC(IF(Quartile_L[[#This Row],[Industry]]=Main_L[Industry],Main_L[P/B]),1)</f>
        <v>1.0089379600420612</v>
      </c>
      <c r="G8" s="1" cm="1">
        <f t="array" ref="G8">_xlfn.QUARTILE.INC(IF(Quartile_L[[#This Row],[Industry]]=Main_L[Industry],Main_L[P/B]),3)</f>
        <v>1.0089379600420612</v>
      </c>
      <c r="H8" s="1">
        <f>Quartile_L[[#This Row],[P/B Q1]]-1.5*(Quartile_L[[#This Row],[P/B Q3]]-Quartile_L[[#This Row],[P/B Q1]])</f>
        <v>1.0089379600420612</v>
      </c>
      <c r="I8" s="1">
        <f>Quartile_L[[#This Row],[P/B Q3]]+1.5*(Quartile_L[[#This Row],[P/B Q3]]-Quartile_L[[#This Row],[P/B Q1]])</f>
        <v>1.0089379600420612</v>
      </c>
      <c r="J8" s="1" cm="1">
        <f t="array" ref="J8">_xlfn.QUARTILE.INC(IF(Quartile_L[[#This Row],[Industry]]=Main_L[Industry],Main_L[ROE]),1)</f>
        <v>5.51</v>
      </c>
      <c r="K8" s="1" cm="1">
        <f t="array" ref="K8">_xlfn.QUARTILE.INC(IF(Quartile_L[[#This Row],[Industry]]=Main_L[Industry],Main_L[ROE]),3)</f>
        <v>5.51</v>
      </c>
      <c r="L8" s="1">
        <f>Quartile_L[[#This Row],[ROE Q1]]-1.5*(Quartile_L[[#This Row],[ROE Q3]]-Quartile_L[[#This Row],[ROE Q1]])</f>
        <v>5.51</v>
      </c>
      <c r="M8" s="1">
        <f>Quartile_L[[#This Row],[ROE Q3]]+1.5*(Quartile_L[[#This Row],[ROE Q3]]-Quartile_L[[#This Row],[ROE Q1]])</f>
        <v>5.51</v>
      </c>
      <c r="N8" s="1" cm="1">
        <f t="array" ref="N8">_xlfn.QUARTILE.INC(IF(Quartile_L[[#This Row],[Industry]]=Main_L[Industry],Main_L[ROA]),1)</f>
        <v>0.69</v>
      </c>
      <c r="O8" s="1" cm="1">
        <f t="array" ref="O8">_xlfn.QUARTILE.INC(IF(Quartile_L[[#This Row],[Industry]]=Main_L[Industry],Main_L[ROA]),3)</f>
        <v>0.69</v>
      </c>
      <c r="P8" s="1">
        <f>Quartile_L[[#This Row],[ROA Q1]]-1.5*(Quartile_L[[#This Row],[ROA Q3]]-Quartile_L[[#This Row],[ROA Q1]])</f>
        <v>0.69</v>
      </c>
      <c r="Q8" s="1">
        <f>Quartile_L[[#This Row],[ROA Q3]]+1.5*(Quartile_L[[#This Row],[ROA Q3]]-Quartile_L[[#This Row],[ROA Q1]])</f>
        <v>0.69</v>
      </c>
      <c r="R8" s="1" cm="1">
        <f t="array" ref="R8">_xlfn.QUARTILE.INC(IF(Quartile_L[[#This Row],[Industry]]=Main_L[Industry],Main_L[P/E]),1)</f>
        <v>20.634408602150536</v>
      </c>
      <c r="S8" s="1" cm="1">
        <f t="array" ref="S8">_xlfn.QUARTILE.INC(IF(Quartile_L[[#This Row],[Industry]]=Main_L[Industry],Main_L[P/E]),3)</f>
        <v>20.634408602150536</v>
      </c>
      <c r="T8" s="1">
        <f>Quartile_L[[#This Row],[P/E Q1]]-1.5*(Quartile_L[[#This Row],[P/E Q3]]-Quartile_L[[#This Row],[P/E Q1]])</f>
        <v>20.634408602150536</v>
      </c>
      <c r="U8" s="1">
        <f>Quartile_L[[#This Row],[P/E Q3]]+1.5*(Quartile_L[[#This Row],[P/E Q3]]-Quartile_L[[#This Row],[P/E Q1]])</f>
        <v>20.634408602150536</v>
      </c>
      <c r="V8" s="1" cm="1">
        <f t="array" ref="V8">_xlfn.QUARTILE.INC(IF(Quartile_L[[#This Row],[Industry]]=Main_L[Industry],Main_L[A/E]),1)</f>
        <v>9.17</v>
      </c>
      <c r="W8" s="1" cm="1">
        <f t="array" ref="W8">_xlfn.QUARTILE.INC(IF(Quartile_L[[#This Row],[Industry]]=Main_L[Industry],Main_L[A/E]),3)</f>
        <v>9.17</v>
      </c>
      <c r="X8" s="1">
        <f>Quartile_L[[#This Row],[A/E Q1]]-1.5*(Quartile_L[[#This Row],[A/E Q3]]-Quartile_L[[#This Row],[A/E Q1]])</f>
        <v>9.17</v>
      </c>
      <c r="Y8" s="1">
        <f>Quartile_L[[#This Row],[A/E Q3]]+1.5*(Quartile_L[[#This Row],[A/E Q3]]-Quartile_L[[#This Row],[A/E Q1]])</f>
        <v>9.17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214</v>
      </c>
      <c r="B13" s="1" cm="1">
        <f t="array" ref="B13">_xlfn.QUARTILE.INC(IF(Quartile_M[[#This Row],[Industry]]=Main_M[Industry],Main_M[P/FCF]),1)</f>
        <v>3.8482339182416987</v>
      </c>
      <c r="C13" s="1" cm="1">
        <f t="array" ref="C13">_xlfn.QUARTILE.INC(IF(Quartile_M[[#This Row],[Industry]]=Main_M[Industry],Main_M[P/FCF]),3)</f>
        <v>12.623306710516012</v>
      </c>
      <c r="D13" s="1">
        <f>Quartile_M[[#This Row],[P/FCF Q1]]-1.5*(Quartile_M[[#This Row],[P/FCF Q3]]-Quartile_M[[#This Row],[P/FCF Q1]])</f>
        <v>-9.3143752701697711</v>
      </c>
      <c r="E13" s="1">
        <f>Quartile_M[[#This Row],[P/FCF Q3]]+1.5*(Quartile_M[[#This Row],[P/FCF Q3]]-Quartile_M[[#This Row],[P/FCF Q1]])</f>
        <v>25.785915898927481</v>
      </c>
      <c r="F13" s="1" cm="1">
        <f t="array" ref="F13">_xlfn.QUARTILE.INC(IF(Quartile_M[[#This Row],[Industry]]=Main_M[Industry],Main_M[P/B]),1)</f>
        <v>0.9498265787329041</v>
      </c>
      <c r="G13" s="1" cm="1">
        <f t="array" ref="G13">_xlfn.QUARTILE.INC(IF(Quartile_M[[#This Row],[Industry]]=Main_M[Industry],Main_M[P/B]),3)</f>
        <v>3.6386653681881302</v>
      </c>
      <c r="H13" s="1">
        <f>Quartile_M[[#This Row],[P/B Q1]]-1.5*(Quartile_M[[#This Row],[P/B Q3]]-Quartile_M[[#This Row],[P/B Q1]])</f>
        <v>-3.0834316054499356</v>
      </c>
      <c r="I13" s="1">
        <f>Quartile_M[[#This Row],[P/B Q3]]+1.5*(Quartile_M[[#This Row],[P/B Q3]]-Quartile_M[[#This Row],[P/B Q1]])</f>
        <v>7.6719235523709699</v>
      </c>
      <c r="J13" s="1" cm="1">
        <f t="array" ref="J13">_xlfn.QUARTILE.INC(IF(Quartile_M[[#This Row],[Industry]]=Main_M[Industry],Main_M[ROE]),1)</f>
        <v>7.3650000000000002</v>
      </c>
      <c r="K13" s="1" cm="1">
        <f t="array" ref="K13">_xlfn.QUARTILE.INC(IF(Quartile_M[[#This Row],[Industry]]=Main_M[Industry],Main_M[ROE]),3)</f>
        <v>16.810000000000002</v>
      </c>
      <c r="L13" s="1">
        <f>Quartile_M[[#This Row],[ROE Q1]]-1.5*(Quartile_M[[#This Row],[ROE Q3]]-Quartile_M[[#This Row],[ROE Q1]])</f>
        <v>-6.8025000000000038</v>
      </c>
      <c r="M13" s="1">
        <f>Quartile_M[[#This Row],[ROE Q3]]+1.5*(Quartile_M[[#This Row],[ROE Q3]]-Quartile_M[[#This Row],[ROE Q1]])</f>
        <v>30.977500000000006</v>
      </c>
      <c r="N13" s="1" cm="1">
        <f t="array" ref="N13">_xlfn.QUARTILE.INC(IF(Quartile_M[[#This Row],[Industry]]=Main_M[Industry],Main_M[ROA]),1)</f>
        <v>1.4249999999999998</v>
      </c>
      <c r="O13" s="1" cm="1">
        <f t="array" ref="O13">_xlfn.QUARTILE.INC(IF(Quartile_M[[#This Row],[Industry]]=Main_M[Industry],Main_M[ROA]),3)</f>
        <v>3.9249999999999998</v>
      </c>
      <c r="P13" s="1">
        <f>Quartile_M[[#This Row],[ROA Q1]]-1.5*(Quartile_M[[#This Row],[ROA Q3]]-Quartile_M[[#This Row],[ROA Q1]])</f>
        <v>-2.3250000000000002</v>
      </c>
      <c r="Q13" s="1">
        <f>Quartile_M[[#This Row],[ROA Q3]]+1.5*(Quartile_M[[#This Row],[ROA Q3]]-Quartile_M[[#This Row],[ROA Q1]])</f>
        <v>7.6749999999999998</v>
      </c>
      <c r="R13" s="1" cm="1">
        <f t="array" ref="R13">_xlfn.QUARTILE.INC(IF(Quartile_M[[#This Row],[Industry]]=Main_M[Industry],Main_M[P/E]),1)</f>
        <v>9.294589328537171</v>
      </c>
      <c r="S13" s="1" cm="1">
        <f t="array" ref="S13">_xlfn.QUARTILE.INC(IF(Quartile_M[[#This Row],[Industry]]=Main_M[Industry],Main_M[P/E]),3)</f>
        <v>23.889690055962117</v>
      </c>
      <c r="T13" s="1">
        <f>Quartile_M[[#This Row],[P/E Q1]]-1.5*(Quartile_M[[#This Row],[P/E Q3]]-Quartile_M[[#This Row],[P/E Q1]])</f>
        <v>-12.598061762600246</v>
      </c>
      <c r="U13" s="1">
        <f>Quartile_M[[#This Row],[P/E Q3]]+1.5*(Quartile_M[[#This Row],[P/E Q3]]-Quartile_M[[#This Row],[P/E Q1]])</f>
        <v>45.78234114709953</v>
      </c>
      <c r="V13" s="1" cm="1">
        <f t="array" ref="V13">_xlfn.QUARTILE.INC(IF(Quartile_M[[#This Row],[Industry]]=Main_M[Industry],Main_M[A/E]),1)</f>
        <v>3.2050000000000001</v>
      </c>
      <c r="W13" s="1" cm="1">
        <f t="array" ref="W13">_xlfn.QUARTILE.INC(IF(Quartile_M[[#This Row],[Industry]]=Main_M[Industry],Main_M[A/E]),3)</f>
        <v>6.6</v>
      </c>
      <c r="X13" s="1">
        <f>Quartile_M[[#This Row],[A/E Q1]]-1.5*(Quartile_M[[#This Row],[A/E Q3]]-Quartile_M[[#This Row],[A/E Q1]])</f>
        <v>-1.8874999999999993</v>
      </c>
      <c r="Y13" s="1">
        <f>Quartile_M[[#This Row],[A/E Q3]]+1.5*(Quartile_M[[#This Row],[A/E Q3]]-Quartile_M[[#This Row],[A/E Q1]])</f>
        <v>11.692499999999999</v>
      </c>
    </row>
    <row r="14" spans="1:25" x14ac:dyDescent="0.25">
      <c r="A14" t="s">
        <v>166</v>
      </c>
      <c r="B14" s="1" cm="1">
        <f t="array" ref="B14">_xlfn.QUARTILE.INC(IF(Quartile_M[[#This Row],[Industry]]=Main_M[Industry],Main_M[P/FCF]),1)</f>
        <v>1.6614752695533117</v>
      </c>
      <c r="C14" s="1" cm="1">
        <f t="array" ref="C14">_xlfn.QUARTILE.INC(IF(Quartile_M[[#This Row],[Industry]]=Main_M[Industry],Main_M[P/FCF]),3)</f>
        <v>12.002747252747252</v>
      </c>
      <c r="D14" s="1">
        <f>Quartile_M[[#This Row],[P/FCF Q1]]-1.5*(Quartile_M[[#This Row],[P/FCF Q3]]-Quartile_M[[#This Row],[P/FCF Q1]])</f>
        <v>-13.850432705237596</v>
      </c>
      <c r="E14" s="1">
        <f>Quartile_M[[#This Row],[P/FCF Q3]]+1.5*(Quartile_M[[#This Row],[P/FCF Q3]]-Quartile_M[[#This Row],[P/FCF Q1]])</f>
        <v>27.51465522753816</v>
      </c>
      <c r="F14" s="1" cm="1">
        <f t="array" ref="F14">_xlfn.QUARTILE.INC(IF(Quartile_M[[#This Row],[Industry]]=Main_M[Industry],Main_M[P/B]),1)</f>
        <v>1.2200722942802467</v>
      </c>
      <c r="G14" s="1" cm="1">
        <f t="array" ref="G14">_xlfn.QUARTILE.INC(IF(Quartile_M[[#This Row],[Industry]]=Main_M[Industry],Main_M[P/B]),3)</f>
        <v>3.4791952760230709</v>
      </c>
      <c r="H14" s="1">
        <f>Quartile_M[[#This Row],[P/B Q1]]-1.5*(Quartile_M[[#This Row],[P/B Q3]]-Quartile_M[[#This Row],[P/B Q1]])</f>
        <v>-2.1686121783339898</v>
      </c>
      <c r="I14" s="1">
        <f>Quartile_M[[#This Row],[P/B Q3]]+1.5*(Quartile_M[[#This Row],[P/B Q3]]-Quartile_M[[#This Row],[P/B Q1]])</f>
        <v>6.8678797486373071</v>
      </c>
      <c r="J14" s="1" cm="1">
        <f t="array" ref="J14">_xlfn.QUARTILE.INC(IF(Quartile_M[[#This Row],[Industry]]=Main_M[Industry],Main_M[ROE]),1)</f>
        <v>9.3800000000000008</v>
      </c>
      <c r="K14" s="1" cm="1">
        <f t="array" ref="K14">_xlfn.QUARTILE.INC(IF(Quartile_M[[#This Row],[Industry]]=Main_M[Industry],Main_M[ROE]),3)</f>
        <v>19.940000000000001</v>
      </c>
      <c r="L14" s="1">
        <f>Quartile_M[[#This Row],[ROE Q1]]-1.5*(Quartile_M[[#This Row],[ROE Q3]]-Quartile_M[[#This Row],[ROE Q1]])</f>
        <v>-6.4599999999999991</v>
      </c>
      <c r="M14" s="1">
        <f>Quartile_M[[#This Row],[ROE Q3]]+1.5*(Quartile_M[[#This Row],[ROE Q3]]-Quartile_M[[#This Row],[ROE Q1]])</f>
        <v>35.78</v>
      </c>
      <c r="N14" s="1" cm="1">
        <f t="array" ref="N14">_xlfn.QUARTILE.INC(IF(Quartile_M[[#This Row],[Industry]]=Main_M[Industry],Main_M[ROA]),1)</f>
        <v>2.1800000000000002</v>
      </c>
      <c r="O14" s="1" cm="1">
        <f t="array" ref="O14">_xlfn.QUARTILE.INC(IF(Quartile_M[[#This Row],[Industry]]=Main_M[Industry],Main_M[ROA]),3)</f>
        <v>6.94</v>
      </c>
      <c r="P14" s="1">
        <f>Quartile_M[[#This Row],[ROA Q1]]-1.5*(Quartile_M[[#This Row],[ROA Q3]]-Quartile_M[[#This Row],[ROA Q1]])</f>
        <v>-4.9599999999999991</v>
      </c>
      <c r="Q14" s="1">
        <f>Quartile_M[[#This Row],[ROA Q3]]+1.5*(Quartile_M[[#This Row],[ROA Q3]]-Quartile_M[[#This Row],[ROA Q1]])</f>
        <v>14.08</v>
      </c>
      <c r="R14" s="1" cm="1">
        <f t="array" ref="R14">_xlfn.QUARTILE.INC(IF(Quartile_M[[#This Row],[Industry]]=Main_M[Industry],Main_M[P/E]),1)</f>
        <v>6.628881987577639</v>
      </c>
      <c r="S14" s="1" cm="1">
        <f t="array" ref="S14">_xlfn.QUARTILE.INC(IF(Quartile_M[[#This Row],[Industry]]=Main_M[Industry],Main_M[P/E]),3)</f>
        <v>21.626547161758428</v>
      </c>
      <c r="T14" s="1">
        <f>Quartile_M[[#This Row],[P/E Q1]]-1.5*(Quartile_M[[#This Row],[P/E Q3]]-Quartile_M[[#This Row],[P/E Q1]])</f>
        <v>-15.867615773693544</v>
      </c>
      <c r="U14" s="1">
        <f>Quartile_M[[#This Row],[P/E Q3]]+1.5*(Quartile_M[[#This Row],[P/E Q3]]-Quartile_M[[#This Row],[P/E Q1]])</f>
        <v>44.12304492302961</v>
      </c>
      <c r="V14" s="1" cm="1">
        <f t="array" ref="V14">_xlfn.QUARTILE.INC(IF(Quartile_M[[#This Row],[Industry]]=Main_M[Industry],Main_M[A/E]),1)</f>
        <v>2.41</v>
      </c>
      <c r="W14" s="1" cm="1">
        <f t="array" ref="W14">_xlfn.QUARTILE.INC(IF(Quartile_M[[#This Row],[Industry]]=Main_M[Industry],Main_M[A/E]),3)</f>
        <v>5.41</v>
      </c>
      <c r="X14" s="1">
        <f>Quartile_M[[#This Row],[A/E Q1]]-1.5*(Quartile_M[[#This Row],[A/E Q3]]-Quartile_M[[#This Row],[A/E Q1]])</f>
        <v>-2.09</v>
      </c>
      <c r="Y14" s="1">
        <f>Quartile_M[[#This Row],[A/E Q3]]+1.5*(Quartile_M[[#This Row],[A/E Q3]]-Quartile_M[[#This Row],[A/E Q1]])</f>
        <v>9.91</v>
      </c>
    </row>
    <row r="15" spans="1:25" x14ac:dyDescent="0.25">
      <c r="A15" t="s">
        <v>105</v>
      </c>
      <c r="B15" s="1" cm="1">
        <f t="array" ref="B15">_xlfn.QUARTILE.INC(IF(Quartile_M[[#This Row],[Industry]]=Main_M[Industry],Main_M[P/FCF]),1)</f>
        <v>8.2630928853754941</v>
      </c>
      <c r="C15" s="1" cm="1">
        <f t="array" ref="C15">_xlfn.QUARTILE.INC(IF(Quartile_M[[#This Row],[Industry]]=Main_M[Industry],Main_M[P/FCF]),3)</f>
        <v>15.38904192322423</v>
      </c>
      <c r="D15" s="1">
        <f>Quartile_M[[#This Row],[P/FCF Q1]]-1.5*(Quartile_M[[#This Row],[P/FCF Q3]]-Quartile_M[[#This Row],[P/FCF Q1]])</f>
        <v>-2.4258306713976108</v>
      </c>
      <c r="E15" s="1">
        <f>Quartile_M[[#This Row],[P/FCF Q3]]+1.5*(Quartile_M[[#This Row],[P/FCF Q3]]-Quartile_M[[#This Row],[P/FCF Q1]])</f>
        <v>26.077965479997335</v>
      </c>
      <c r="F15" s="1" cm="1">
        <f t="array" ref="F15">_xlfn.QUARTILE.INC(IF(Quartile_M[[#This Row],[Industry]]=Main_M[Industry],Main_M[P/B]),1)</f>
        <v>0.96046704639214697</v>
      </c>
      <c r="G15" s="1" cm="1">
        <f t="array" ref="G15">_xlfn.QUARTILE.INC(IF(Quartile_M[[#This Row],[Industry]]=Main_M[Industry],Main_M[P/B]),3)</f>
        <v>1.5893291175772752</v>
      </c>
      <c r="H15" s="1">
        <f>Quartile_M[[#This Row],[P/B Q1]]-1.5*(Quartile_M[[#This Row],[P/B Q3]]-Quartile_M[[#This Row],[P/B Q1]])</f>
        <v>1.717393961445457E-2</v>
      </c>
      <c r="I15" s="1">
        <f>Quartile_M[[#This Row],[P/B Q3]]+1.5*(Quartile_M[[#This Row],[P/B Q3]]-Quartile_M[[#This Row],[P/B Q1]])</f>
        <v>2.5326222243549674</v>
      </c>
      <c r="J15" s="1" cm="1">
        <f t="array" ref="J15">_xlfn.QUARTILE.INC(IF(Quartile_M[[#This Row],[Industry]]=Main_M[Industry],Main_M[ROE]),1)</f>
        <v>7.32</v>
      </c>
      <c r="K15" s="1" cm="1">
        <f t="array" ref="K15">_xlfn.QUARTILE.INC(IF(Quartile_M[[#This Row],[Industry]]=Main_M[Industry],Main_M[ROE]),3)</f>
        <v>12.54</v>
      </c>
      <c r="L15" s="1">
        <f>Quartile_M[[#This Row],[ROE Q1]]-1.5*(Quartile_M[[#This Row],[ROE Q3]]-Quartile_M[[#This Row],[ROE Q1]])</f>
        <v>-0.50999999999999801</v>
      </c>
      <c r="M15" s="1">
        <f>Quartile_M[[#This Row],[ROE Q3]]+1.5*(Quartile_M[[#This Row],[ROE Q3]]-Quartile_M[[#This Row],[ROE Q1]])</f>
        <v>20.369999999999997</v>
      </c>
      <c r="N15" s="1" cm="1">
        <f t="array" ref="N15">_xlfn.QUARTILE.INC(IF(Quartile_M[[#This Row],[Industry]]=Main_M[Industry],Main_M[ROA]),1)</f>
        <v>0.79</v>
      </c>
      <c r="O15" s="1" cm="1">
        <f t="array" ref="O15">_xlfn.QUARTILE.INC(IF(Quartile_M[[#This Row],[Industry]]=Main_M[Industry],Main_M[ROA]),3)</f>
        <v>1.42</v>
      </c>
      <c r="P15" s="1">
        <f>Quartile_M[[#This Row],[ROA Q1]]-1.5*(Quartile_M[[#This Row],[ROA Q3]]-Quartile_M[[#This Row],[ROA Q1]])</f>
        <v>-0.1549999999999998</v>
      </c>
      <c r="Q15" s="1">
        <f>Quartile_M[[#This Row],[ROA Q3]]+1.5*(Quartile_M[[#This Row],[ROA Q3]]-Quartile_M[[#This Row],[ROA Q1]])</f>
        <v>2.3649999999999998</v>
      </c>
      <c r="R15" s="1" cm="1">
        <f t="array" ref="R15">_xlfn.QUARTILE.INC(IF(Quartile_M[[#This Row],[Industry]]=Main_M[Industry],Main_M[P/E]),1)</f>
        <v>10.989991659716431</v>
      </c>
      <c r="S15" s="1" cm="1">
        <f t="array" ref="S15">_xlfn.QUARTILE.INC(IF(Quartile_M[[#This Row],[Industry]]=Main_M[Industry],Main_M[P/E]),3)</f>
        <v>17.210633116883116</v>
      </c>
      <c r="T15" s="1">
        <f>Quartile_M[[#This Row],[P/E Q1]]-1.5*(Quartile_M[[#This Row],[P/E Q3]]-Quartile_M[[#This Row],[P/E Q1]])</f>
        <v>1.6590294739664024</v>
      </c>
      <c r="U15" s="1">
        <f>Quartile_M[[#This Row],[P/E Q3]]+1.5*(Quartile_M[[#This Row],[P/E Q3]]-Quartile_M[[#This Row],[P/E Q1]])</f>
        <v>26.541595302633144</v>
      </c>
      <c r="V15" s="1" cm="1">
        <f t="array" ref="V15">_xlfn.QUARTILE.INC(IF(Quartile_M[[#This Row],[Industry]]=Main_M[Industry],Main_M[A/E]),1)</f>
        <v>7.55</v>
      </c>
      <c r="W15" s="1" cm="1">
        <f t="array" ref="W15">_xlfn.QUARTILE.INC(IF(Quartile_M[[#This Row],[Industry]]=Main_M[Industry],Main_M[A/E]),3)</f>
        <v>10.43</v>
      </c>
      <c r="X15" s="1">
        <f>Quartile_M[[#This Row],[A/E Q1]]-1.5*(Quartile_M[[#This Row],[A/E Q3]]-Quartile_M[[#This Row],[A/E Q1]])</f>
        <v>3.2299999999999995</v>
      </c>
      <c r="Y15" s="1">
        <f>Quartile_M[[#This Row],[A/E Q3]]+1.5*(Quartile_M[[#This Row],[A/E Q3]]-Quartile_M[[#This Row],[A/E Q1]])</f>
        <v>14.75</v>
      </c>
    </row>
    <row r="16" spans="1:25" x14ac:dyDescent="0.25">
      <c r="A16" t="s">
        <v>172</v>
      </c>
      <c r="B16" s="1" cm="1">
        <f t="array" ref="B16">_xlfn.QUARTILE.INC(IF(Quartile_M[[#This Row],[Industry]]=Main_M[Industry],Main_M[P/FCF]),1)</f>
        <v>5.9115908283832646</v>
      </c>
      <c r="C16" s="1" cm="1">
        <f t="array" ref="C16">_xlfn.QUARTILE.INC(IF(Quartile_M[[#This Row],[Industry]]=Main_M[Industry],Main_M[P/FCF]),3)</f>
        <v>15.175481695568401</v>
      </c>
      <c r="D16" s="1">
        <f>Quartile_M[[#This Row],[P/FCF Q1]]-1.5*(Quartile_M[[#This Row],[P/FCF Q3]]-Quartile_M[[#This Row],[P/FCF Q1]])</f>
        <v>-7.9842454723944396</v>
      </c>
      <c r="E16" s="1">
        <f>Quartile_M[[#This Row],[P/FCF Q3]]+1.5*(Quartile_M[[#This Row],[P/FCF Q3]]-Quartile_M[[#This Row],[P/FCF Q1]])</f>
        <v>29.071317996346103</v>
      </c>
      <c r="F16" s="1" cm="1">
        <f t="array" ref="F16">_xlfn.QUARTILE.INC(IF(Quartile_M[[#This Row],[Industry]]=Main_M[Industry],Main_M[P/B]),1)</f>
        <v>1.3816727102780975</v>
      </c>
      <c r="G16" s="1" cm="1">
        <f t="array" ref="G16">_xlfn.QUARTILE.INC(IF(Quartile_M[[#This Row],[Industry]]=Main_M[Industry],Main_M[P/B]),3)</f>
        <v>6.5864805804809823</v>
      </c>
      <c r="H16" s="1">
        <f>Quartile_M[[#This Row],[P/B Q1]]-1.5*(Quartile_M[[#This Row],[P/B Q3]]-Quartile_M[[#This Row],[P/B Q1]])</f>
        <v>-6.4255390950262292</v>
      </c>
      <c r="I16" s="1">
        <f>Quartile_M[[#This Row],[P/B Q3]]+1.5*(Quartile_M[[#This Row],[P/B Q3]]-Quartile_M[[#This Row],[P/B Q1]])</f>
        <v>14.393692385785309</v>
      </c>
      <c r="J16" s="1" cm="1">
        <f t="array" ref="J16">_xlfn.QUARTILE.INC(IF(Quartile_M[[#This Row],[Industry]]=Main_M[Industry],Main_M[ROE]),1)</f>
        <v>8.81</v>
      </c>
      <c r="K16" s="1" cm="1">
        <f t="array" ref="K16">_xlfn.QUARTILE.INC(IF(Quartile_M[[#This Row],[Industry]]=Main_M[Industry],Main_M[ROE]),3)</f>
        <v>27.005000000000003</v>
      </c>
      <c r="L16" s="1">
        <f>Quartile_M[[#This Row],[ROE Q1]]-1.5*(Quartile_M[[#This Row],[ROE Q3]]-Quartile_M[[#This Row],[ROE Q1]])</f>
        <v>-18.482500000000002</v>
      </c>
      <c r="M16" s="1">
        <f>Quartile_M[[#This Row],[ROE Q3]]+1.5*(Quartile_M[[#This Row],[ROE Q3]]-Quartile_M[[#This Row],[ROE Q1]])</f>
        <v>54.297499999999999</v>
      </c>
      <c r="N16" s="1" cm="1">
        <f t="array" ref="N16">_xlfn.QUARTILE.INC(IF(Quartile_M[[#This Row],[Industry]]=Main_M[Industry],Main_M[ROA]),1)</f>
        <v>3.4</v>
      </c>
      <c r="O16" s="1" cm="1">
        <f t="array" ref="O16">_xlfn.QUARTILE.INC(IF(Quartile_M[[#This Row],[Industry]]=Main_M[Industry],Main_M[ROA]),3)</f>
        <v>10.885000000000002</v>
      </c>
      <c r="P16" s="1">
        <f>Quartile_M[[#This Row],[ROA Q1]]-1.5*(Quartile_M[[#This Row],[ROA Q3]]-Quartile_M[[#This Row],[ROA Q1]])</f>
        <v>-7.8275000000000023</v>
      </c>
      <c r="Q16" s="1">
        <f>Quartile_M[[#This Row],[ROA Q3]]+1.5*(Quartile_M[[#This Row],[ROA Q3]]-Quartile_M[[#This Row],[ROA Q1]])</f>
        <v>22.112500000000004</v>
      </c>
      <c r="R16" s="1" cm="1">
        <f t="array" ref="R16">_xlfn.QUARTILE.INC(IF(Quartile_M[[#This Row],[Industry]]=Main_M[Industry],Main_M[P/E]),1)</f>
        <v>11.440229833572225</v>
      </c>
      <c r="S16" s="1" cm="1">
        <f t="array" ref="S16">_xlfn.QUARTILE.INC(IF(Quartile_M[[#This Row],[Industry]]=Main_M[Industry],Main_M[P/E]),3)</f>
        <v>24.781209618517892</v>
      </c>
      <c r="T16" s="1">
        <f>Quartile_M[[#This Row],[P/E Q1]]-1.5*(Quartile_M[[#This Row],[P/E Q3]]-Quartile_M[[#This Row],[P/E Q1]])</f>
        <v>-8.5712398438462749</v>
      </c>
      <c r="U16" s="1">
        <f>Quartile_M[[#This Row],[P/E Q3]]+1.5*(Quartile_M[[#This Row],[P/E Q3]]-Quartile_M[[#This Row],[P/E Q1]])</f>
        <v>44.792679295936395</v>
      </c>
      <c r="V16" s="1" cm="1">
        <f t="array" ref="V16">_xlfn.QUARTILE.INC(IF(Quartile_M[[#This Row],[Industry]]=Main_M[Industry],Main_M[A/E]),1)</f>
        <v>1.8450000000000002</v>
      </c>
      <c r="W16" s="1" cm="1">
        <f t="array" ref="W16">_xlfn.QUARTILE.INC(IF(Quartile_M[[#This Row],[Industry]]=Main_M[Industry],Main_M[A/E]),3)</f>
        <v>4.4550000000000001</v>
      </c>
      <c r="X16" s="1">
        <f>Quartile_M[[#This Row],[A/E Q1]]-1.5*(Quartile_M[[#This Row],[A/E Q3]]-Quartile_M[[#This Row],[A/E Q1]])</f>
        <v>-2.0699999999999998</v>
      </c>
      <c r="Y16" s="1">
        <f>Quartile_M[[#This Row],[A/E Q3]]+1.5*(Quartile_M[[#This Row],[A/E Q3]]-Quartile_M[[#This Row],[A/E Q1]])</f>
        <v>8.370000000000001</v>
      </c>
    </row>
    <row r="17" spans="1:25" x14ac:dyDescent="0.25">
      <c r="A17" t="s">
        <v>150</v>
      </c>
      <c r="B17" s="1" cm="1">
        <f t="array" ref="B17">_xlfn.QUARTILE.INC(IF(Quartile_M[[#This Row],[Industry]]=Main_M[Industry],Main_M[P/FCF]),1)</f>
        <v>-2.7846177967422086</v>
      </c>
      <c r="C17" s="1" cm="1">
        <f t="array" ref="C17">_xlfn.QUARTILE.INC(IF(Quartile_M[[#This Row],[Industry]]=Main_M[Industry],Main_M[P/FCF]),3)</f>
        <v>12.711207171230113</v>
      </c>
      <c r="D17" s="1">
        <f>Quartile_M[[#This Row],[P/FCF Q1]]-1.5*(Quartile_M[[#This Row],[P/FCF Q3]]-Quartile_M[[#This Row],[P/FCF Q1]])</f>
        <v>-26.028355248700688</v>
      </c>
      <c r="E17" s="1">
        <f>Quartile_M[[#This Row],[P/FCF Q3]]+1.5*(Quartile_M[[#This Row],[P/FCF Q3]]-Quartile_M[[#This Row],[P/FCF Q1]])</f>
        <v>35.954944623188595</v>
      </c>
      <c r="F17" s="1" cm="1">
        <f t="array" ref="F17">_xlfn.QUARTILE.INC(IF(Quartile_M[[#This Row],[Industry]]=Main_M[Industry],Main_M[P/B]),1)</f>
        <v>1.2436852197442738</v>
      </c>
      <c r="G17" s="1" cm="1">
        <f t="array" ref="G17">_xlfn.QUARTILE.INC(IF(Quartile_M[[#This Row],[Industry]]=Main_M[Industry],Main_M[P/B]),3)</f>
        <v>4.0299300047797981</v>
      </c>
      <c r="H17" s="1">
        <f>Quartile_M[[#This Row],[P/B Q1]]-1.5*(Quartile_M[[#This Row],[P/B Q3]]-Quartile_M[[#This Row],[P/B Q1]])</f>
        <v>-2.9356819578090132</v>
      </c>
      <c r="I17" s="1">
        <f>Quartile_M[[#This Row],[P/B Q3]]+1.5*(Quartile_M[[#This Row],[P/B Q3]]-Quartile_M[[#This Row],[P/B Q1]])</f>
        <v>8.2092971823330849</v>
      </c>
      <c r="J17" s="1" cm="1">
        <f t="array" ref="J17">_xlfn.QUARTILE.INC(IF(Quartile_M[[#This Row],[Industry]]=Main_M[Industry],Main_M[ROE]),1)</f>
        <v>7.41</v>
      </c>
      <c r="K17" s="1" cm="1">
        <f t="array" ref="K17">_xlfn.QUARTILE.INC(IF(Quartile_M[[#This Row],[Industry]]=Main_M[Industry],Main_M[ROE]),3)</f>
        <v>20.254999999999999</v>
      </c>
      <c r="L17" s="1">
        <f>Quartile_M[[#This Row],[ROE Q1]]-1.5*(Quartile_M[[#This Row],[ROE Q3]]-Quartile_M[[#This Row],[ROE Q1]])</f>
        <v>-11.857499999999998</v>
      </c>
      <c r="M17" s="1">
        <f>Quartile_M[[#This Row],[ROE Q3]]+1.5*(Quartile_M[[#This Row],[ROE Q3]]-Quartile_M[[#This Row],[ROE Q1]])</f>
        <v>39.522499999999994</v>
      </c>
      <c r="N17" s="1" cm="1">
        <f t="array" ref="N17">_xlfn.QUARTILE.INC(IF(Quartile_M[[#This Row],[Industry]]=Main_M[Industry],Main_M[ROA]),1)</f>
        <v>1.46</v>
      </c>
      <c r="O17" s="1" cm="1">
        <f t="array" ref="O17">_xlfn.QUARTILE.INC(IF(Quartile_M[[#This Row],[Industry]]=Main_M[Industry],Main_M[ROA]),3)</f>
        <v>6.93</v>
      </c>
      <c r="P17" s="1">
        <f>Quartile_M[[#This Row],[ROA Q1]]-1.5*(Quartile_M[[#This Row],[ROA Q3]]-Quartile_M[[#This Row],[ROA Q1]])</f>
        <v>-6.7450000000000001</v>
      </c>
      <c r="Q17" s="1">
        <f>Quartile_M[[#This Row],[ROA Q3]]+1.5*(Quartile_M[[#This Row],[ROA Q3]]-Quartile_M[[#This Row],[ROA Q1]])</f>
        <v>15.135</v>
      </c>
      <c r="R17" s="1" cm="1">
        <f t="array" ref="R17">_xlfn.QUARTILE.INC(IF(Quartile_M[[#This Row],[Industry]]=Main_M[Industry],Main_M[P/E]),1)</f>
        <v>8.5001404989641642</v>
      </c>
      <c r="S17" s="1" cm="1">
        <f t="array" ref="S17">_xlfn.QUARTILE.INC(IF(Quartile_M[[#This Row],[Industry]]=Main_M[Industry],Main_M[P/E]),3)</f>
        <v>24.487433862433861</v>
      </c>
      <c r="T17" s="1">
        <f>Quartile_M[[#This Row],[P/E Q1]]-1.5*(Quartile_M[[#This Row],[P/E Q3]]-Quartile_M[[#This Row],[P/E Q1]])</f>
        <v>-15.48079954624038</v>
      </c>
      <c r="U17" s="1">
        <f>Quartile_M[[#This Row],[P/E Q3]]+1.5*(Quartile_M[[#This Row],[P/E Q3]]-Quartile_M[[#This Row],[P/E Q1]])</f>
        <v>48.468373907638409</v>
      </c>
      <c r="V17" s="1" cm="1">
        <f t="array" ref="V17">_xlfn.QUARTILE.INC(IF(Quartile_M[[#This Row],[Industry]]=Main_M[Industry],Main_M[A/E]),1)</f>
        <v>1.7149999999999999</v>
      </c>
      <c r="W17" s="1" cm="1">
        <f t="array" ref="W17">_xlfn.QUARTILE.INC(IF(Quartile_M[[#This Row],[Industry]]=Main_M[Industry],Main_M[A/E]),3)</f>
        <v>6.165</v>
      </c>
      <c r="X17" s="1">
        <f>Quartile_M[[#This Row],[A/E Q1]]-1.5*(Quartile_M[[#This Row],[A/E Q3]]-Quartile_M[[#This Row],[A/E Q1]])</f>
        <v>-4.9600000000000009</v>
      </c>
      <c r="Y17" s="1">
        <f>Quartile_M[[#This Row],[A/E Q3]]+1.5*(Quartile_M[[#This Row],[A/E Q3]]-Quartile_M[[#This Row],[A/E Q1]])</f>
        <v>12.84</v>
      </c>
    </row>
    <row r="18" spans="1:25" x14ac:dyDescent="0.25">
      <c r="A18" t="s">
        <v>250</v>
      </c>
      <c r="B18" s="1" cm="1">
        <f t="array" ref="B18">_xlfn.QUARTILE.INC(IF(Quartile_M[[#This Row],[Industry]]=Main_M[Industry],Main_M[P/FCF]),1)</f>
        <v>8.7670826243146163</v>
      </c>
      <c r="C18" s="1" cm="1">
        <f t="array" ref="C18">_xlfn.QUARTILE.INC(IF(Quartile_M[[#This Row],[Industry]]=Main_M[Industry],Main_M[P/FCF]),3)</f>
        <v>16.930494505494508</v>
      </c>
      <c r="D18" s="1">
        <f>Quartile_M[[#This Row],[P/FCF Q1]]-1.5*(Quartile_M[[#This Row],[P/FCF Q3]]-Quartile_M[[#This Row],[P/FCF Q1]])</f>
        <v>-3.4780351974552222</v>
      </c>
      <c r="E18" s="1">
        <f>Quartile_M[[#This Row],[P/FCF Q3]]+1.5*(Quartile_M[[#This Row],[P/FCF Q3]]-Quartile_M[[#This Row],[P/FCF Q1]])</f>
        <v>29.175612327264346</v>
      </c>
      <c r="F18" s="1" cm="1">
        <f t="array" ref="F18">_xlfn.QUARTILE.INC(IF(Quartile_M[[#This Row],[Industry]]=Main_M[Industry],Main_M[P/B]),1)</f>
        <v>0.90071498673621986</v>
      </c>
      <c r="G18" s="1" cm="1">
        <f t="array" ref="G18">_xlfn.QUARTILE.INC(IF(Quartile_M[[#This Row],[Industry]]=Main_M[Industry],Main_M[P/B]),3)</f>
        <v>1.0480430138012133</v>
      </c>
      <c r="H18" s="1">
        <f>Quartile_M[[#This Row],[P/B Q1]]-1.5*(Quartile_M[[#This Row],[P/B Q3]]-Quartile_M[[#This Row],[P/B Q1]])</f>
        <v>0.67972294613872963</v>
      </c>
      <c r="I18" s="1">
        <f>Quartile_M[[#This Row],[P/B Q3]]+1.5*(Quartile_M[[#This Row],[P/B Q3]]-Quartile_M[[#This Row],[P/B Q1]])</f>
        <v>1.2690350543987035</v>
      </c>
      <c r="J18" s="1" cm="1">
        <f t="array" ref="J18">_xlfn.QUARTILE.INC(IF(Quartile_M[[#This Row],[Industry]]=Main_M[Industry],Main_M[ROE]),1)</f>
        <v>3.0525000000000002</v>
      </c>
      <c r="K18" s="1" cm="1">
        <f t="array" ref="K18">_xlfn.QUARTILE.INC(IF(Quartile_M[[#This Row],[Industry]]=Main_M[Industry],Main_M[ROE]),3)</f>
        <v>6.1749999999999998</v>
      </c>
      <c r="L18" s="1">
        <f>Quartile_M[[#This Row],[ROE Q1]]-1.5*(Quartile_M[[#This Row],[ROE Q3]]-Quartile_M[[#This Row],[ROE Q1]])</f>
        <v>-1.6312499999999996</v>
      </c>
      <c r="M18" s="1">
        <f>Quartile_M[[#This Row],[ROE Q3]]+1.5*(Quartile_M[[#This Row],[ROE Q3]]-Quartile_M[[#This Row],[ROE Q1]])</f>
        <v>10.858750000000001</v>
      </c>
      <c r="N18" s="1" cm="1">
        <f t="array" ref="N18">_xlfn.QUARTILE.INC(IF(Quartile_M[[#This Row],[Industry]]=Main_M[Industry],Main_M[ROA]),1)</f>
        <v>0.29749999999999999</v>
      </c>
      <c r="O18" s="1" cm="1">
        <f t="array" ref="O18">_xlfn.QUARTILE.INC(IF(Quartile_M[[#This Row],[Industry]]=Main_M[Industry],Main_M[ROA]),3)</f>
        <v>0.84000000000000008</v>
      </c>
      <c r="P18" s="1">
        <f>Quartile_M[[#This Row],[ROA Q1]]-1.5*(Quartile_M[[#This Row],[ROA Q3]]-Quartile_M[[#This Row],[ROA Q1]])</f>
        <v>-0.51625000000000021</v>
      </c>
      <c r="Q18" s="1">
        <f>Quartile_M[[#This Row],[ROA Q3]]+1.5*(Quartile_M[[#This Row],[ROA Q3]]-Quartile_M[[#This Row],[ROA Q1]])</f>
        <v>1.6537500000000003</v>
      </c>
      <c r="R18" s="1" cm="1">
        <f t="array" ref="R18">_xlfn.QUARTILE.INC(IF(Quartile_M[[#This Row],[Industry]]=Main_M[Industry],Main_M[P/E]),1)</f>
        <v>-3.1509923118183423</v>
      </c>
      <c r="S18" s="1" cm="1">
        <f t="array" ref="S18">_xlfn.QUARTILE.INC(IF(Quartile_M[[#This Row],[Industry]]=Main_M[Industry],Main_M[P/E]),3)</f>
        <v>22.094959677419354</v>
      </c>
      <c r="T18" s="1">
        <f>Quartile_M[[#This Row],[P/E Q1]]-1.5*(Quartile_M[[#This Row],[P/E Q3]]-Quartile_M[[#This Row],[P/E Q1]])</f>
        <v>-41.019920295674886</v>
      </c>
      <c r="U18" s="1">
        <f>Quartile_M[[#This Row],[P/E Q3]]+1.5*(Quartile_M[[#This Row],[P/E Q3]]-Quartile_M[[#This Row],[P/E Q1]])</f>
        <v>59.963887661275898</v>
      </c>
      <c r="V18" s="1" cm="1">
        <f t="array" ref="V18">_xlfn.QUARTILE.INC(IF(Quartile_M[[#This Row],[Industry]]=Main_M[Industry],Main_M[A/E]),1)</f>
        <v>6.53</v>
      </c>
      <c r="W18" s="1" cm="1">
        <f t="array" ref="W18">_xlfn.QUARTILE.INC(IF(Quartile_M[[#This Row],[Industry]]=Main_M[Industry],Main_M[A/E]),3)</f>
        <v>10.125</v>
      </c>
      <c r="X18" s="1">
        <f>Quartile_M[[#This Row],[A/E Q1]]-1.5*(Quartile_M[[#This Row],[A/E Q3]]-Quartile_M[[#This Row],[A/E Q1]])</f>
        <v>1.1375000000000002</v>
      </c>
      <c r="Y18" s="1">
        <f>Quartile_M[[#This Row],[A/E Q3]]+1.5*(Quartile_M[[#This Row],[A/E Q3]]-Quartile_M[[#This Row],[A/E Q1]])</f>
        <v>15.5175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214</v>
      </c>
      <c r="B23" s="1" cm="1">
        <f t="array" ref="B23">_xlfn.QUARTILE.INC(IF(Quartile_S[[#This Row],[Industry]]=Main_S[Industry],Main_S[P/FCF]),1)</f>
        <v>3.5151276083783678</v>
      </c>
      <c r="C23" s="1" cm="1">
        <f t="array" ref="C23">_xlfn.QUARTILE.INC(IF(Quartile_S[[#This Row],[Industry]]=Main_S[Industry],Main_S[P/FCF]),3)</f>
        <v>15.557167551549574</v>
      </c>
      <c r="D23" s="1">
        <f>Quartile_S[[#This Row],[P/FCF Q1]]-1.5*(Quartile_S[[#This Row],[P/FCF Q3]]-Quartile_S[[#This Row],[P/FCF Q1]])</f>
        <v>-14.547932306378442</v>
      </c>
      <c r="E23" s="1">
        <f>Quartile_S[[#This Row],[P/FCF Q3]]+1.5*(Quartile_S[[#This Row],[P/FCF Q3]]-Quartile_S[[#This Row],[P/FCF Q1]])</f>
        <v>33.620227466306382</v>
      </c>
      <c r="F23" s="1" cm="1">
        <f t="array" ref="F23">_xlfn.QUARTILE.INC(IF(Quartile_S[[#This Row],[Industry]]=Main_S[Industry],Main_S[P/B]),1)</f>
        <v>1.0046993580000916</v>
      </c>
      <c r="G23" s="1" cm="1">
        <f t="array" ref="G23">_xlfn.QUARTILE.INC(IF(Quartile_S[[#This Row],[Industry]]=Main_S[Industry],Main_S[P/B]),3)</f>
        <v>2.1454713683199951</v>
      </c>
      <c r="H23" s="1">
        <f>Quartile_S[[#This Row],[P/B Q1]]-1.5*(Quartile_S[[#This Row],[P/B Q3]]-Quartile_S[[#This Row],[P/B Q1]])</f>
        <v>-0.70645865747976377</v>
      </c>
      <c r="I23" s="1">
        <f>Quartile_S[[#This Row],[P/B Q3]]+1.5*(Quartile_S[[#This Row],[P/B Q3]]-Quartile_S[[#This Row],[P/B Q1]])</f>
        <v>3.8566293837998504</v>
      </c>
      <c r="J23" s="1" cm="1">
        <f t="array" ref="J23">_xlfn.QUARTILE.INC(IF(Quartile_S[[#This Row],[Industry]]=Main_S[Industry],Main_S[ROE]),1)</f>
        <v>3.6</v>
      </c>
      <c r="K23" s="1" cm="1">
        <f t="array" ref="K23">_xlfn.QUARTILE.INC(IF(Quartile_S[[#This Row],[Industry]]=Main_S[Industry],Main_S[ROE]),3)</f>
        <v>16.690000000000001</v>
      </c>
      <c r="L23" s="1">
        <f>Quartile_S[[#This Row],[ROE Q1]]-1.5*(Quartile_S[[#This Row],[ROE Q3]]-Quartile_S[[#This Row],[ROE Q1]])</f>
        <v>-16.035</v>
      </c>
      <c r="M23" s="1">
        <f>Quartile_S[[#This Row],[ROE Q3]]+1.5*(Quartile_S[[#This Row],[ROE Q3]]-Quartile_S[[#This Row],[ROE Q1]])</f>
        <v>36.325000000000003</v>
      </c>
      <c r="N23" s="1" cm="1">
        <f t="array" ref="N23">_xlfn.QUARTILE.INC(IF(Quartile_S[[#This Row],[Industry]]=Main_S[Industry],Main_S[ROA]),1)</f>
        <v>1.29</v>
      </c>
      <c r="O23" s="1" cm="1">
        <f t="array" ref="O23">_xlfn.QUARTILE.INC(IF(Quartile_S[[#This Row],[Industry]]=Main_S[Industry],Main_S[ROA]),3)</f>
        <v>3.1</v>
      </c>
      <c r="P23" s="1">
        <f>Quartile_S[[#This Row],[ROA Q1]]-1.5*(Quartile_S[[#This Row],[ROA Q3]]-Quartile_S[[#This Row],[ROA Q1]])</f>
        <v>-1.4249999999999998</v>
      </c>
      <c r="Q23" s="1">
        <f>Quartile_S[[#This Row],[ROA Q3]]+1.5*(Quartile_S[[#This Row],[ROA Q3]]-Quartile_S[[#This Row],[ROA Q1]])</f>
        <v>5.8149999999999995</v>
      </c>
      <c r="R23" s="1" cm="1">
        <f t="array" ref="R23">_xlfn.QUARTILE.INC(IF(Quartile_S[[#This Row],[Industry]]=Main_S[Industry],Main_S[P/E]),1)</f>
        <v>2.6621274409044191</v>
      </c>
      <c r="S23" s="1" cm="1">
        <f t="array" ref="S23">_xlfn.QUARTILE.INC(IF(Quartile_S[[#This Row],[Industry]]=Main_S[Industry],Main_S[P/E]),3)</f>
        <v>17.354357675474144</v>
      </c>
      <c r="T23" s="1">
        <f>Quartile_S[[#This Row],[P/E Q1]]-1.5*(Quartile_S[[#This Row],[P/E Q3]]-Quartile_S[[#This Row],[P/E Q1]])</f>
        <v>-19.376217910950167</v>
      </c>
      <c r="U23" s="1">
        <f>Quartile_S[[#This Row],[P/E Q3]]+1.5*(Quartile_S[[#This Row],[P/E Q3]]-Quartile_S[[#This Row],[P/E Q1]])</f>
        <v>39.392703027328736</v>
      </c>
      <c r="V23" s="1" cm="1">
        <f t="array" ref="V23">_xlfn.QUARTILE.INC(IF(Quartile_S[[#This Row],[Industry]]=Main_S[Industry],Main_S[A/E]),1)</f>
        <v>3.21</v>
      </c>
      <c r="W23" s="1" cm="1">
        <f t="array" ref="W23">_xlfn.QUARTILE.INC(IF(Quartile_S[[#This Row],[Industry]]=Main_S[Industry],Main_S[A/E]),3)</f>
        <v>6.43</v>
      </c>
      <c r="X23" s="1">
        <f>Quartile_S[[#This Row],[A/E Q1]]-1.5*(Quartile_S[[#This Row],[A/E Q3]]-Quartile_S[[#This Row],[A/E Q1]])</f>
        <v>-1.62</v>
      </c>
      <c r="Y23" s="1">
        <f>Quartile_S[[#This Row],[A/E Q3]]+1.5*(Quartile_S[[#This Row],[A/E Q3]]-Quartile_S[[#This Row],[A/E Q1]])</f>
        <v>11.26</v>
      </c>
    </row>
    <row r="24" spans="1:25" x14ac:dyDescent="0.25">
      <c r="A24" t="s">
        <v>166</v>
      </c>
      <c r="B24" s="1" cm="1">
        <f t="array" ref="B24">_xlfn.QUARTILE.INC(IF(Quartile_S[[#This Row],[Industry]]=Main_S[Industry],Main_S[P/FCF]),1)</f>
        <v>-0.22880637361899331</v>
      </c>
      <c r="C24" s="1" cm="1">
        <f t="array" ref="C24">_xlfn.QUARTILE.INC(IF(Quartile_S[[#This Row],[Industry]]=Main_S[Industry],Main_S[P/FCF]),3)</f>
        <v>7.4865689865689866</v>
      </c>
      <c r="D24" s="1">
        <f>Quartile_S[[#This Row],[P/FCF Q1]]-1.5*(Quartile_S[[#This Row],[P/FCF Q3]]-Quartile_S[[#This Row],[P/FCF Q1]])</f>
        <v>-11.801869413900963</v>
      </c>
      <c r="E24" s="1">
        <f>Quartile_S[[#This Row],[P/FCF Q3]]+1.5*(Quartile_S[[#This Row],[P/FCF Q3]]-Quartile_S[[#This Row],[P/FCF Q1]])</f>
        <v>19.059632026850956</v>
      </c>
      <c r="F24" s="1" cm="1">
        <f t="array" ref="F24">_xlfn.QUARTILE.INC(IF(Quartile_S[[#This Row],[Industry]]=Main_S[Industry],Main_S[P/B]),1)</f>
        <v>0.71337510767449996</v>
      </c>
      <c r="G24" s="1" cm="1">
        <f t="array" ref="G24">_xlfn.QUARTILE.INC(IF(Quartile_S[[#This Row],[Industry]]=Main_S[Industry],Main_S[P/B]),3)</f>
        <v>2.2190838713541652</v>
      </c>
      <c r="H24" s="1">
        <f>Quartile_S[[#This Row],[P/B Q1]]-1.5*(Quartile_S[[#This Row],[P/B Q3]]-Quartile_S[[#This Row],[P/B Q1]])</f>
        <v>-1.5451880378449974</v>
      </c>
      <c r="I24" s="1">
        <f>Quartile_S[[#This Row],[P/B Q3]]+1.5*(Quartile_S[[#This Row],[P/B Q3]]-Quartile_S[[#This Row],[P/B Q1]])</f>
        <v>4.4776470168736626</v>
      </c>
      <c r="J24" s="1" cm="1">
        <f t="array" ref="J24">_xlfn.QUARTILE.INC(IF(Quartile_S[[#This Row],[Industry]]=Main_S[Industry],Main_S[ROE]),1)</f>
        <v>1.7674999999999998</v>
      </c>
      <c r="K24" s="1" cm="1">
        <f t="array" ref="K24">_xlfn.QUARTILE.INC(IF(Quartile_S[[#This Row],[Industry]]=Main_S[Industry],Main_S[ROE]),3)</f>
        <v>21.427500000000002</v>
      </c>
      <c r="L24" s="1">
        <f>Quartile_S[[#This Row],[ROE Q1]]-1.5*(Quartile_S[[#This Row],[ROE Q3]]-Quartile_S[[#This Row],[ROE Q1]])</f>
        <v>-27.722500000000007</v>
      </c>
      <c r="M24" s="1">
        <f>Quartile_S[[#This Row],[ROE Q3]]+1.5*(Quartile_S[[#This Row],[ROE Q3]]-Quartile_S[[#This Row],[ROE Q1]])</f>
        <v>50.917500000000004</v>
      </c>
      <c r="N24" s="1" cm="1">
        <f t="array" ref="N24">_xlfn.QUARTILE.INC(IF(Quartile_S[[#This Row],[Industry]]=Main_S[Industry],Main_S[ROA]),1)</f>
        <v>0.35749999999999998</v>
      </c>
      <c r="O24" s="1" cm="1">
        <f t="array" ref="O24">_xlfn.QUARTILE.INC(IF(Quartile_S[[#This Row],[Industry]]=Main_S[Industry],Main_S[ROA]),3)</f>
        <v>10.399999999999999</v>
      </c>
      <c r="P24" s="1">
        <f>Quartile_S[[#This Row],[ROA Q1]]-1.5*(Quartile_S[[#This Row],[ROA Q3]]-Quartile_S[[#This Row],[ROA Q1]])</f>
        <v>-14.706249999999999</v>
      </c>
      <c r="Q24" s="1">
        <f>Quartile_S[[#This Row],[ROA Q3]]+1.5*(Quartile_S[[#This Row],[ROA Q3]]-Quartile_S[[#This Row],[ROA Q1]])</f>
        <v>25.463749999999997</v>
      </c>
      <c r="R24" s="1" cm="1">
        <f t="array" ref="R24">_xlfn.QUARTILE.INC(IF(Quartile_S[[#This Row],[Industry]]=Main_S[Industry],Main_S[P/E]),1)</f>
        <v>-4.3079387575854362</v>
      </c>
      <c r="S24" s="1" cm="1">
        <f t="array" ref="S24">_xlfn.QUARTILE.INC(IF(Quartile_S[[#This Row],[Industry]]=Main_S[Industry],Main_S[P/E]),3)</f>
        <v>11.272915926934155</v>
      </c>
      <c r="T24" s="1">
        <f>Quartile_S[[#This Row],[P/E Q1]]-1.5*(Quartile_S[[#This Row],[P/E Q3]]-Quartile_S[[#This Row],[P/E Q1]])</f>
        <v>-27.679220784364823</v>
      </c>
      <c r="U24" s="1">
        <f>Quartile_S[[#This Row],[P/E Q3]]+1.5*(Quartile_S[[#This Row],[P/E Q3]]-Quartile_S[[#This Row],[P/E Q1]])</f>
        <v>34.644197953713544</v>
      </c>
      <c r="V24" s="1" cm="1">
        <f t="array" ref="V24">_xlfn.QUARTILE.INC(IF(Quartile_S[[#This Row],[Industry]]=Main_S[Industry],Main_S[A/E]),1)</f>
        <v>1.7524999999999999</v>
      </c>
      <c r="W24" s="1" cm="1">
        <f t="array" ref="W24">_xlfn.QUARTILE.INC(IF(Quartile_S[[#This Row],[Industry]]=Main_S[Industry],Main_S[A/E]),3)</f>
        <v>6.4775</v>
      </c>
      <c r="X24" s="1">
        <f>Quartile_S[[#This Row],[A/E Q1]]-1.5*(Quartile_S[[#This Row],[A/E Q3]]-Quartile_S[[#This Row],[A/E Q1]])</f>
        <v>-5.3349999999999991</v>
      </c>
      <c r="Y24" s="1">
        <f>Quartile_S[[#This Row],[A/E Q3]]+1.5*(Quartile_S[[#This Row],[A/E Q3]]-Quartile_S[[#This Row],[A/E Q1]])</f>
        <v>13.565</v>
      </c>
    </row>
    <row r="25" spans="1:25" x14ac:dyDescent="0.25">
      <c r="A25" t="s">
        <v>105</v>
      </c>
      <c r="B25" s="1" cm="1">
        <f t="array" ref="B25">_xlfn.QUARTILE.INC(IF(Quartile_S[[#This Row],[Industry]]=Main_S[Industry],Main_S[P/FCF]),1)</f>
        <v>8.1293092460045102</v>
      </c>
      <c r="C25" s="1" cm="1">
        <f t="array" ref="C25">_xlfn.QUARTILE.INC(IF(Quartile_S[[#This Row],[Industry]]=Main_S[Industry],Main_S[P/FCF]),3)</f>
        <v>13.516805509319235</v>
      </c>
      <c r="D25" s="1">
        <f>Quartile_S[[#This Row],[P/FCF Q1]]-1.5*(Quartile_S[[#This Row],[P/FCF Q3]]-Quartile_S[[#This Row],[P/FCF Q1]])</f>
        <v>4.8064851032421529E-2</v>
      </c>
      <c r="E25" s="1">
        <f>Quartile_S[[#This Row],[P/FCF Q3]]+1.5*(Quartile_S[[#This Row],[P/FCF Q3]]-Quartile_S[[#This Row],[P/FCF Q1]])</f>
        <v>21.598049904291322</v>
      </c>
      <c r="F25" s="1" cm="1">
        <f t="array" ref="F25">_xlfn.QUARTILE.INC(IF(Quartile_S[[#This Row],[Industry]]=Main_S[Industry],Main_S[P/B]),1)</f>
        <v>0.90400621476906484</v>
      </c>
      <c r="G25" s="1" cm="1">
        <f t="array" ref="G25">_xlfn.QUARTILE.INC(IF(Quartile_S[[#This Row],[Industry]]=Main_S[Industry],Main_S[P/B]),3)</f>
        <v>1.3050567377647555</v>
      </c>
      <c r="H25" s="1">
        <f>Quartile_S[[#This Row],[P/B Q1]]-1.5*(Quartile_S[[#This Row],[P/B Q3]]-Quartile_S[[#This Row],[P/B Q1]])</f>
        <v>0.30243043027552885</v>
      </c>
      <c r="I25" s="1">
        <f>Quartile_S[[#This Row],[P/B Q3]]+1.5*(Quartile_S[[#This Row],[P/B Q3]]-Quartile_S[[#This Row],[P/B Q1]])</f>
        <v>1.9066325222582914</v>
      </c>
      <c r="J25" s="1" cm="1">
        <f t="array" ref="J25">_xlfn.QUARTILE.INC(IF(Quartile_S[[#This Row],[Industry]]=Main_S[Industry],Main_S[ROE]),1)</f>
        <v>6.0649999999999995</v>
      </c>
      <c r="K25" s="1" cm="1">
        <f t="array" ref="K25">_xlfn.QUARTILE.INC(IF(Quartile_S[[#This Row],[Industry]]=Main_S[Industry],Main_S[ROE]),3)</f>
        <v>11.82</v>
      </c>
      <c r="L25" s="1">
        <f>Quartile_S[[#This Row],[ROE Q1]]-1.5*(Quartile_S[[#This Row],[ROE Q3]]-Quartile_S[[#This Row],[ROE Q1]])</f>
        <v>-2.5675000000000008</v>
      </c>
      <c r="M25" s="1">
        <f>Quartile_S[[#This Row],[ROE Q3]]+1.5*(Quartile_S[[#This Row],[ROE Q3]]-Quartile_S[[#This Row],[ROE Q1]])</f>
        <v>20.452500000000001</v>
      </c>
      <c r="N25" s="1" cm="1">
        <f t="array" ref="N25">_xlfn.QUARTILE.INC(IF(Quartile_S[[#This Row],[Industry]]=Main_S[Industry],Main_S[ROA]),1)</f>
        <v>0.65500000000000003</v>
      </c>
      <c r="O25" s="1" cm="1">
        <f t="array" ref="O25">_xlfn.QUARTILE.INC(IF(Quartile_S[[#This Row],[Industry]]=Main_S[Industry],Main_S[ROA]),3)</f>
        <v>1.25</v>
      </c>
      <c r="P25" s="1">
        <f>Quartile_S[[#This Row],[ROA Q1]]-1.5*(Quartile_S[[#This Row],[ROA Q3]]-Quartile_S[[#This Row],[ROA Q1]])</f>
        <v>-0.23749999999999993</v>
      </c>
      <c r="Q25" s="1">
        <f>Quartile_S[[#This Row],[ROA Q3]]+1.5*(Quartile_S[[#This Row],[ROA Q3]]-Quartile_S[[#This Row],[ROA Q1]])</f>
        <v>2.1425000000000001</v>
      </c>
      <c r="R25" s="1" cm="1">
        <f t="array" ref="R25">_xlfn.QUARTILE.INC(IF(Quartile_S[[#This Row],[Industry]]=Main_S[Industry],Main_S[P/E]),1)</f>
        <v>9.8146403175849564</v>
      </c>
      <c r="S25" s="1" cm="1">
        <f t="array" ref="S25">_xlfn.QUARTILE.INC(IF(Quartile_S[[#This Row],[Industry]]=Main_S[Industry],Main_S[P/E]),3)</f>
        <v>14.464300411522633</v>
      </c>
      <c r="T25" s="1">
        <f>Quartile_S[[#This Row],[P/E Q1]]-1.5*(Quartile_S[[#This Row],[P/E Q3]]-Quartile_S[[#This Row],[P/E Q1]])</f>
        <v>2.8401501766784421</v>
      </c>
      <c r="U25" s="1">
        <f>Quartile_S[[#This Row],[P/E Q3]]+1.5*(Quartile_S[[#This Row],[P/E Q3]]-Quartile_S[[#This Row],[P/E Q1]])</f>
        <v>21.438790552429147</v>
      </c>
      <c r="V25" s="1" cm="1">
        <f t="array" ref="V25">_xlfn.QUARTILE.INC(IF(Quartile_S[[#This Row],[Industry]]=Main_S[Industry],Main_S[A/E]),1)</f>
        <v>8.25</v>
      </c>
      <c r="W25" s="1" cm="1">
        <f t="array" ref="W25">_xlfn.QUARTILE.INC(IF(Quartile_S[[#This Row],[Industry]]=Main_S[Industry],Main_S[A/E]),3)</f>
        <v>10.809999999999999</v>
      </c>
      <c r="X25" s="1">
        <f>Quartile_S[[#This Row],[A/E Q1]]-1.5*(Quartile_S[[#This Row],[A/E Q3]]-Quartile_S[[#This Row],[A/E Q1]])</f>
        <v>4.4100000000000019</v>
      </c>
      <c r="Y25" s="1">
        <f>Quartile_S[[#This Row],[A/E Q3]]+1.5*(Quartile_S[[#This Row],[A/E Q3]]-Quartile_S[[#This Row],[A/E Q1]])</f>
        <v>14.649999999999997</v>
      </c>
    </row>
    <row r="26" spans="1:25" x14ac:dyDescent="0.25">
      <c r="A26" t="s">
        <v>172</v>
      </c>
      <c r="B26" s="1" cm="1">
        <f t="array" ref="B26">_xlfn.QUARTILE.INC(IF(Quartile_S[[#This Row],[Industry]]=Main_S[Industry],Main_S[P/FCF]),1)</f>
        <v>-1.0315581854043392</v>
      </c>
      <c r="C26" s="1" cm="1">
        <f t="array" ref="C26">_xlfn.QUARTILE.INC(IF(Quartile_S[[#This Row],[Industry]]=Main_S[Industry],Main_S[P/FCF]),3)</f>
        <v>17.403076923076924</v>
      </c>
      <c r="D26" s="1">
        <f>Quartile_S[[#This Row],[P/FCF Q1]]-1.5*(Quartile_S[[#This Row],[P/FCF Q3]]-Quartile_S[[#This Row],[P/FCF Q1]])</f>
        <v>-28.683510848126236</v>
      </c>
      <c r="E26" s="1">
        <f>Quartile_S[[#This Row],[P/FCF Q3]]+1.5*(Quartile_S[[#This Row],[P/FCF Q3]]-Quartile_S[[#This Row],[P/FCF Q1]])</f>
        <v>45.05502958579882</v>
      </c>
      <c r="F26" s="1" cm="1">
        <f t="array" ref="F26">_xlfn.QUARTILE.INC(IF(Quartile_S[[#This Row],[Industry]]=Main_S[Industry],Main_S[P/B]),1)</f>
        <v>0.85027059530968141</v>
      </c>
      <c r="G26" s="1" cm="1">
        <f t="array" ref="G26">_xlfn.QUARTILE.INC(IF(Quartile_S[[#This Row],[Industry]]=Main_S[Industry],Main_S[P/B]),3)</f>
        <v>2.3027027027027023</v>
      </c>
      <c r="H26" s="1">
        <f>Quartile_S[[#This Row],[P/B Q1]]-1.5*(Quartile_S[[#This Row],[P/B Q3]]-Quartile_S[[#This Row],[P/B Q1]])</f>
        <v>-1.32837756577985</v>
      </c>
      <c r="I26" s="1">
        <f>Quartile_S[[#This Row],[P/B Q3]]+1.5*(Quartile_S[[#This Row],[P/B Q3]]-Quartile_S[[#This Row],[P/B Q1]])</f>
        <v>4.4813508637922332</v>
      </c>
      <c r="J26" s="1" cm="1">
        <f t="array" ref="J26">_xlfn.QUARTILE.INC(IF(Quartile_S[[#This Row],[Industry]]=Main_S[Industry],Main_S[ROE]),1)</f>
        <v>4.8800000000000008</v>
      </c>
      <c r="K26" s="1" cm="1">
        <f t="array" ref="K26">_xlfn.QUARTILE.INC(IF(Quartile_S[[#This Row],[Industry]]=Main_S[Industry],Main_S[ROE]),3)</f>
        <v>13.950000000000001</v>
      </c>
      <c r="L26" s="1">
        <f>Quartile_S[[#This Row],[ROE Q1]]-1.5*(Quartile_S[[#This Row],[ROE Q3]]-Quartile_S[[#This Row],[ROE Q1]])</f>
        <v>-8.7249999999999996</v>
      </c>
      <c r="M26" s="1">
        <f>Quartile_S[[#This Row],[ROE Q3]]+1.5*(Quartile_S[[#This Row],[ROE Q3]]-Quartile_S[[#This Row],[ROE Q1]])</f>
        <v>27.555</v>
      </c>
      <c r="N26" s="1" cm="1">
        <f t="array" ref="N26">_xlfn.QUARTILE.INC(IF(Quartile_S[[#This Row],[Industry]]=Main_S[Industry],Main_S[ROA]),1)</f>
        <v>3.8125</v>
      </c>
      <c r="O26" s="1" cm="1">
        <f t="array" ref="O26">_xlfn.QUARTILE.INC(IF(Quartile_S[[#This Row],[Industry]]=Main_S[Industry],Main_S[ROA]),3)</f>
        <v>6.3624999999999998</v>
      </c>
      <c r="P26" s="1">
        <f>Quartile_S[[#This Row],[ROA Q1]]-1.5*(Quartile_S[[#This Row],[ROA Q3]]-Quartile_S[[#This Row],[ROA Q1]])</f>
        <v>-1.2499999999999734E-2</v>
      </c>
      <c r="Q26" s="1">
        <f>Quartile_S[[#This Row],[ROA Q3]]+1.5*(Quartile_S[[#This Row],[ROA Q3]]-Quartile_S[[#This Row],[ROA Q1]])</f>
        <v>10.1875</v>
      </c>
      <c r="R26" s="1" cm="1">
        <f t="array" ref="R26">_xlfn.QUARTILE.INC(IF(Quartile_S[[#This Row],[Industry]]=Main_S[Industry],Main_S[P/E]),1)</f>
        <v>7.8539325842696632</v>
      </c>
      <c r="S26" s="1" cm="1">
        <f t="array" ref="S26">_xlfn.QUARTILE.INC(IF(Quartile_S[[#This Row],[Industry]]=Main_S[Industry],Main_S[P/E]),3)</f>
        <v>18.790697674418606</v>
      </c>
      <c r="T26" s="1">
        <f>Quartile_S[[#This Row],[P/E Q1]]-1.5*(Quartile_S[[#This Row],[P/E Q3]]-Quartile_S[[#This Row],[P/E Q1]])</f>
        <v>-8.5512150509537506</v>
      </c>
      <c r="U26" s="1">
        <f>Quartile_S[[#This Row],[P/E Q3]]+1.5*(Quartile_S[[#This Row],[P/E Q3]]-Quartile_S[[#This Row],[P/E Q1]])</f>
        <v>35.195845309642024</v>
      </c>
      <c r="V26" s="1" cm="1">
        <f t="array" ref="V26">_xlfn.QUARTILE.INC(IF(Quartile_S[[#This Row],[Industry]]=Main_S[Industry],Main_S[A/E]),1)</f>
        <v>1.885</v>
      </c>
      <c r="W26" s="1" cm="1">
        <f t="array" ref="W26">_xlfn.QUARTILE.INC(IF(Quartile_S[[#This Row],[Industry]]=Main_S[Industry],Main_S[A/E]),3)</f>
        <v>2.6100000000000003</v>
      </c>
      <c r="X26" s="1">
        <f>Quartile_S[[#This Row],[A/E Q1]]-1.5*(Quartile_S[[#This Row],[A/E Q3]]-Quartile_S[[#This Row],[A/E Q1]])</f>
        <v>0.79749999999999965</v>
      </c>
      <c r="Y26" s="1">
        <f>Quartile_S[[#This Row],[A/E Q3]]+1.5*(Quartile_S[[#This Row],[A/E Q3]]-Quartile_S[[#This Row],[A/E Q1]])</f>
        <v>3.6975000000000007</v>
      </c>
    </row>
    <row r="27" spans="1:25" x14ac:dyDescent="0.25">
      <c r="A27" t="s">
        <v>150</v>
      </c>
      <c r="B27" s="1" cm="1">
        <f t="array" ref="B27">_xlfn.QUARTILE.INC(IF(Quartile_S[[#This Row],[Industry]]=Main_S[Industry],Main_S[P/FCF]),1)</f>
        <v>-3.2964824120603011</v>
      </c>
      <c r="C27" s="1" cm="1">
        <f t="array" ref="C27">_xlfn.QUARTILE.INC(IF(Quartile_S[[#This Row],[Industry]]=Main_S[Industry],Main_S[P/FCF]),3)</f>
        <v>11.742489270386265</v>
      </c>
      <c r="D27" s="1">
        <f>Quartile_S[[#This Row],[P/FCF Q1]]-1.5*(Quartile_S[[#This Row],[P/FCF Q3]]-Quartile_S[[#This Row],[P/FCF Q1]])</f>
        <v>-25.854939935730151</v>
      </c>
      <c r="E27" s="1">
        <f>Quartile_S[[#This Row],[P/FCF Q3]]+1.5*(Quartile_S[[#This Row],[P/FCF Q3]]-Quartile_S[[#This Row],[P/FCF Q1]])</f>
        <v>34.300946794056117</v>
      </c>
      <c r="F27" s="1" cm="1">
        <f t="array" ref="F27">_xlfn.QUARTILE.INC(IF(Quartile_S[[#This Row],[Industry]]=Main_S[Industry],Main_S[P/B]),1)</f>
        <v>0.75141825683341923</v>
      </c>
      <c r="G27" s="1" cm="1">
        <f t="array" ref="G27">_xlfn.QUARTILE.INC(IF(Quartile_S[[#This Row],[Industry]]=Main_S[Industry],Main_S[P/B]),3)</f>
        <v>2.5250544662309369</v>
      </c>
      <c r="H27" s="1">
        <f>Quartile_S[[#This Row],[P/B Q1]]-1.5*(Quartile_S[[#This Row],[P/B Q3]]-Quartile_S[[#This Row],[P/B Q1]])</f>
        <v>-1.9090360572628575</v>
      </c>
      <c r="I27" s="1">
        <f>Quartile_S[[#This Row],[P/B Q3]]+1.5*(Quartile_S[[#This Row],[P/B Q3]]-Quartile_S[[#This Row],[P/B Q1]])</f>
        <v>5.1855087803272131</v>
      </c>
      <c r="J27" s="1" cm="1">
        <f t="array" ref="J27">_xlfn.QUARTILE.INC(IF(Quartile_S[[#This Row],[Industry]]=Main_S[Industry],Main_S[ROE]),1)</f>
        <v>-1.88</v>
      </c>
      <c r="K27" s="1" cm="1">
        <f t="array" ref="K27">_xlfn.QUARTILE.INC(IF(Quartile_S[[#This Row],[Industry]]=Main_S[Industry],Main_S[ROE]),3)</f>
        <v>13.65</v>
      </c>
      <c r="L27" s="1">
        <f>Quartile_S[[#This Row],[ROE Q1]]-1.5*(Quartile_S[[#This Row],[ROE Q3]]-Quartile_S[[#This Row],[ROE Q1]])</f>
        <v>-25.175000000000001</v>
      </c>
      <c r="M27" s="1">
        <f>Quartile_S[[#This Row],[ROE Q3]]+1.5*(Quartile_S[[#This Row],[ROE Q3]]-Quartile_S[[#This Row],[ROE Q1]])</f>
        <v>36.945</v>
      </c>
      <c r="N27" s="1" cm="1">
        <f t="array" ref="N27">_xlfn.QUARTILE.INC(IF(Quartile_S[[#This Row],[Industry]]=Main_S[Industry],Main_S[ROA]),1)</f>
        <v>1.18</v>
      </c>
      <c r="O27" s="1" cm="1">
        <f t="array" ref="O27">_xlfn.QUARTILE.INC(IF(Quartile_S[[#This Row],[Industry]]=Main_S[Industry],Main_S[ROA]),3)</f>
        <v>4.12</v>
      </c>
      <c r="P27" s="1">
        <f>Quartile_S[[#This Row],[ROA Q1]]-1.5*(Quartile_S[[#This Row],[ROA Q3]]-Quartile_S[[#This Row],[ROA Q1]])</f>
        <v>-3.2300000000000004</v>
      </c>
      <c r="Q27" s="1">
        <f>Quartile_S[[#This Row],[ROA Q3]]+1.5*(Quartile_S[[#This Row],[ROA Q3]]-Quartile_S[[#This Row],[ROA Q1]])</f>
        <v>8.5300000000000011</v>
      </c>
      <c r="R27" s="1" cm="1">
        <f t="array" ref="R27">_xlfn.QUARTILE.INC(IF(Quartile_S[[#This Row],[Industry]]=Main_S[Industry],Main_S[P/E]),1)</f>
        <v>-4.5614849187935036</v>
      </c>
      <c r="S27" s="1" cm="1">
        <f t="array" ref="S27">_xlfn.QUARTILE.INC(IF(Quartile_S[[#This Row],[Industry]]=Main_S[Industry],Main_S[P/E]),3)</f>
        <v>13.910256410256409</v>
      </c>
      <c r="T27" s="1">
        <f>Quartile_S[[#This Row],[P/E Q1]]-1.5*(Quartile_S[[#This Row],[P/E Q3]]-Quartile_S[[#This Row],[P/E Q1]])</f>
        <v>-32.269096912368369</v>
      </c>
      <c r="U27" s="1">
        <f>Quartile_S[[#This Row],[P/E Q3]]+1.5*(Quartile_S[[#This Row],[P/E Q3]]-Quartile_S[[#This Row],[P/E Q1]])</f>
        <v>41.617868403831281</v>
      </c>
      <c r="V27" s="1" cm="1">
        <f t="array" ref="V27">_xlfn.QUARTILE.INC(IF(Quartile_S[[#This Row],[Industry]]=Main_S[Industry],Main_S[A/E]),1)</f>
        <v>2.0299999999999998</v>
      </c>
      <c r="W27" s="1" cm="1">
        <f t="array" ref="W27">_xlfn.QUARTILE.INC(IF(Quartile_S[[#This Row],[Industry]]=Main_S[Industry],Main_S[A/E]),3)</f>
        <v>10.6</v>
      </c>
      <c r="X27" s="1">
        <f>Quartile_S[[#This Row],[A/E Q1]]-1.5*(Quartile_S[[#This Row],[A/E Q3]]-Quartile_S[[#This Row],[A/E Q1]])</f>
        <v>-10.825000000000001</v>
      </c>
      <c r="Y27" s="1">
        <f>Quartile_S[[#This Row],[A/E Q3]]+1.5*(Quartile_S[[#This Row],[A/E Q3]]-Quartile_S[[#This Row],[A/E Q1]])</f>
        <v>23.454999999999998</v>
      </c>
    </row>
    <row r="28" spans="1:25" x14ac:dyDescent="0.25">
      <c r="A28" t="s">
        <v>250</v>
      </c>
      <c r="B28" s="1" cm="1">
        <f t="array" ref="B28">_xlfn.QUARTILE.INC(IF(Quartile_S[[#This Row],[Industry]]=Main_S[Industry],Main_S[P/FCF]),1)</f>
        <v>3.8457671957671957</v>
      </c>
      <c r="C28" s="1" cm="1">
        <f t="array" ref="C28">_xlfn.QUARTILE.INC(IF(Quartile_S[[#This Row],[Industry]]=Main_S[Industry],Main_S[P/FCF]),3)</f>
        <v>11.529365079365078</v>
      </c>
      <c r="D28" s="1">
        <f>Quartile_S[[#This Row],[P/FCF Q1]]-1.5*(Quartile_S[[#This Row],[P/FCF Q3]]-Quartile_S[[#This Row],[P/FCF Q1]])</f>
        <v>-7.6796296296296278</v>
      </c>
      <c r="E28" s="1">
        <f>Quartile_S[[#This Row],[P/FCF Q3]]+1.5*(Quartile_S[[#This Row],[P/FCF Q3]]-Quartile_S[[#This Row],[P/FCF Q1]])</f>
        <v>23.054761904761904</v>
      </c>
      <c r="F28" s="1" cm="1">
        <f t="array" ref="F28">_xlfn.QUARTILE.INC(IF(Quartile_S[[#This Row],[Industry]]=Main_S[Industry],Main_S[P/B]),1)</f>
        <v>0.60802691810751863</v>
      </c>
      <c r="G28" s="1" cm="1">
        <f t="array" ref="G28">_xlfn.QUARTILE.INC(IF(Quartile_S[[#This Row],[Industry]]=Main_S[Industry],Main_S[P/B]),3)</f>
        <v>0.85219942682982297</v>
      </c>
      <c r="H28" s="1">
        <f>Quartile_S[[#This Row],[P/B Q1]]-1.5*(Quartile_S[[#This Row],[P/B Q3]]-Quartile_S[[#This Row],[P/B Q1]])</f>
        <v>0.24176815502406213</v>
      </c>
      <c r="I28" s="1">
        <f>Quartile_S[[#This Row],[P/B Q3]]+1.5*(Quartile_S[[#This Row],[P/B Q3]]-Quartile_S[[#This Row],[P/B Q1]])</f>
        <v>1.2184581899132794</v>
      </c>
      <c r="J28" s="1" cm="1">
        <f t="array" ref="J28">_xlfn.QUARTILE.INC(IF(Quartile_S[[#This Row],[Industry]]=Main_S[Industry],Main_S[ROE]),1)</f>
        <v>0.63500000000000001</v>
      </c>
      <c r="K28" s="1" cm="1">
        <f t="array" ref="K28">_xlfn.QUARTILE.INC(IF(Quartile_S[[#This Row],[Industry]]=Main_S[Industry],Main_S[ROE]),3)</f>
        <v>7.0600000000000005</v>
      </c>
      <c r="L28" s="1">
        <f>Quartile_S[[#This Row],[ROE Q1]]-1.5*(Quartile_S[[#This Row],[ROE Q3]]-Quartile_S[[#This Row],[ROE Q1]])</f>
        <v>-9.0025000000000013</v>
      </c>
      <c r="M28" s="1">
        <f>Quartile_S[[#This Row],[ROE Q3]]+1.5*(Quartile_S[[#This Row],[ROE Q3]]-Quartile_S[[#This Row],[ROE Q1]])</f>
        <v>16.697500000000002</v>
      </c>
      <c r="N28" s="1" cm="1">
        <f t="array" ref="N28">_xlfn.QUARTILE.INC(IF(Quartile_S[[#This Row],[Industry]]=Main_S[Industry],Main_S[ROA]),1)</f>
        <v>0.17499999999999999</v>
      </c>
      <c r="O28" s="1" cm="1">
        <f t="array" ref="O28">_xlfn.QUARTILE.INC(IF(Quartile_S[[#This Row],[Industry]]=Main_S[Industry],Main_S[ROA]),3)</f>
        <v>1.5150000000000001</v>
      </c>
      <c r="P28" s="1">
        <f>Quartile_S[[#This Row],[ROA Q1]]-1.5*(Quartile_S[[#This Row],[ROA Q3]]-Quartile_S[[#This Row],[ROA Q1]])</f>
        <v>-1.8350000000000002</v>
      </c>
      <c r="Q28" s="1">
        <f>Quartile_S[[#This Row],[ROA Q3]]+1.5*(Quartile_S[[#This Row],[ROA Q3]]-Quartile_S[[#This Row],[ROA Q1]])</f>
        <v>3.5250000000000004</v>
      </c>
      <c r="R28" s="1" cm="1">
        <f t="array" ref="R28">_xlfn.QUARTILE.INC(IF(Quartile_S[[#This Row],[Industry]]=Main_S[Industry],Main_S[P/E]),1)</f>
        <v>-6.0544532627865957</v>
      </c>
      <c r="S28" s="1" cm="1">
        <f t="array" ref="S28">_xlfn.QUARTILE.INC(IF(Quartile_S[[#This Row],[Industry]]=Main_S[Industry],Main_S[P/E]),3)</f>
        <v>14.914560161779576</v>
      </c>
      <c r="T28" s="1">
        <f>Quartile_S[[#This Row],[P/E Q1]]-1.5*(Quartile_S[[#This Row],[P/E Q3]]-Quartile_S[[#This Row],[P/E Q1]])</f>
        <v>-37.507973399635851</v>
      </c>
      <c r="U28" s="1">
        <f>Quartile_S[[#This Row],[P/E Q3]]+1.5*(Quartile_S[[#This Row],[P/E Q3]]-Quartile_S[[#This Row],[P/E Q1]])</f>
        <v>46.368080298628833</v>
      </c>
      <c r="V28" s="1" cm="1">
        <f t="array" ref="V28">_xlfn.QUARTILE.INC(IF(Quartile_S[[#This Row],[Industry]]=Main_S[Industry],Main_S[A/E]),1)</f>
        <v>4.0749999999999993</v>
      </c>
      <c r="W28" s="1" cm="1">
        <f t="array" ref="W28">_xlfn.QUARTILE.INC(IF(Quartile_S[[#This Row],[Industry]]=Main_S[Industry],Main_S[A/E]),3)</f>
        <v>9.7949999999999999</v>
      </c>
      <c r="X28" s="1">
        <f>Quartile_S[[#This Row],[A/E Q1]]-1.5*(Quartile_S[[#This Row],[A/E Q3]]-Quartile_S[[#This Row],[A/E Q1]])</f>
        <v>-4.5050000000000026</v>
      </c>
      <c r="Y28" s="1">
        <f>Quartile_S[[#This Row],[A/E Q3]]+1.5*(Quartile_S[[#This Row],[A/E Q3]]-Quartile_S[[#This Row],[A/E Q1]])</f>
        <v>18.375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42.7109375" bestFit="1" customWidth="1"/>
    <col min="2" max="2" width="16.28515625" bestFit="1" customWidth="1"/>
    <col min="3" max="3" width="16.8554687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-3.2458143074234565E-2</v>
      </c>
      <c r="C5" s="1">
        <v>12.14112761083782</v>
      </c>
      <c r="E5" s="6" t="s">
        <v>105</v>
      </c>
      <c r="F5" s="1">
        <v>1.26497864732863</v>
      </c>
      <c r="G5" s="1">
        <v>0.45546574797911665</v>
      </c>
      <c r="I5" s="6" t="s">
        <v>105</v>
      </c>
      <c r="J5" s="1">
        <v>11.661818181818182</v>
      </c>
      <c r="K5" s="1">
        <v>3.3673642732499776</v>
      </c>
    </row>
    <row r="6" spans="1:11" x14ac:dyDescent="0.25">
      <c r="A6" s="6" t="s">
        <v>172</v>
      </c>
      <c r="B6" s="1">
        <v>17.242871117990141</v>
      </c>
      <c r="C6" s="1">
        <v>16.563510659895989</v>
      </c>
      <c r="E6" s="6" t="s">
        <v>172</v>
      </c>
      <c r="F6" s="1">
        <v>4.4503629818694286</v>
      </c>
      <c r="G6" s="1">
        <v>3.0476198795514722</v>
      </c>
      <c r="I6" s="6" t="s">
        <v>172</v>
      </c>
      <c r="J6" s="1">
        <v>15.888292682926828</v>
      </c>
      <c r="K6" s="1">
        <v>8.0959766889784834</v>
      </c>
    </row>
    <row r="7" spans="1:11" x14ac:dyDescent="0.25">
      <c r="A7" s="6" t="s">
        <v>166</v>
      </c>
      <c r="B7" s="1">
        <v>9.3779685207169639</v>
      </c>
      <c r="C7" s="1">
        <v>10.022504727583105</v>
      </c>
      <c r="E7" s="6" t="s">
        <v>166</v>
      </c>
      <c r="F7" s="1">
        <v>2.9455715916613094</v>
      </c>
      <c r="G7" s="1">
        <v>2.1345982382882047</v>
      </c>
      <c r="I7" s="6" t="s">
        <v>166</v>
      </c>
      <c r="J7" s="1">
        <v>14.114000000000001</v>
      </c>
      <c r="K7" s="1">
        <v>11.401004517146726</v>
      </c>
    </row>
    <row r="8" spans="1:11" x14ac:dyDescent="0.25">
      <c r="A8" s="6" t="s">
        <v>150</v>
      </c>
      <c r="B8" s="1">
        <v>22.541093691872621</v>
      </c>
      <c r="C8" s="1">
        <v>15.919807163613475</v>
      </c>
      <c r="E8" s="6" t="s">
        <v>150</v>
      </c>
      <c r="F8" s="1">
        <v>6.3984648696982358</v>
      </c>
      <c r="G8" s="1">
        <v>5.919612466529899</v>
      </c>
      <c r="I8" s="6" t="s">
        <v>150</v>
      </c>
      <c r="J8" s="1">
        <v>19.531874999999999</v>
      </c>
      <c r="K8" s="1">
        <v>14.709643613438605</v>
      </c>
    </row>
    <row r="9" spans="1:11" x14ac:dyDescent="0.25">
      <c r="A9" s="6" t="s">
        <v>214</v>
      </c>
      <c r="B9" s="1">
        <v>11.148868623122397</v>
      </c>
      <c r="C9" s="1">
        <v>7.9273990892094996</v>
      </c>
      <c r="E9" s="6" t="s">
        <v>214</v>
      </c>
      <c r="F9" s="1">
        <v>2.0771036371579736</v>
      </c>
      <c r="G9" s="1">
        <v>1.0535608133809349</v>
      </c>
      <c r="I9" s="6" t="s">
        <v>214</v>
      </c>
      <c r="J9" s="1">
        <v>13.683513513513519</v>
      </c>
      <c r="K9" s="1">
        <v>6.0021280983728351</v>
      </c>
    </row>
    <row r="10" spans="1:11" x14ac:dyDescent="0.25">
      <c r="A10" s="6" t="s">
        <v>250</v>
      </c>
      <c r="B10" s="1">
        <v>13.234482758620691</v>
      </c>
      <c r="C10" s="1">
        <v>0</v>
      </c>
      <c r="E10" s="6" t="s">
        <v>250</v>
      </c>
      <c r="F10" s="1">
        <v>1.0089379600420612</v>
      </c>
      <c r="G10" s="1">
        <v>0</v>
      </c>
      <c r="I10" s="6" t="s">
        <v>250</v>
      </c>
      <c r="J10" s="1">
        <v>5.51</v>
      </c>
      <c r="K10" s="1">
        <v>0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0.93978723404255293</v>
      </c>
      <c r="C25" s="1">
        <v>0.49279269026814104</v>
      </c>
      <c r="E25" s="6" t="s">
        <v>105</v>
      </c>
      <c r="F25" s="1">
        <v>13.667959183673469</v>
      </c>
      <c r="G25" s="1">
        <v>4.3898905102760324</v>
      </c>
      <c r="I25" s="6" t="s">
        <v>105</v>
      </c>
      <c r="J25" s="1">
        <v>11.683257807443541</v>
      </c>
      <c r="K25" s="1">
        <v>3.7726935560868644</v>
      </c>
    </row>
    <row r="26" spans="1:11" x14ac:dyDescent="0.25">
      <c r="A26" s="6" t="s">
        <v>172</v>
      </c>
      <c r="B26" s="1">
        <v>4.9331818181818186</v>
      </c>
      <c r="C26" s="1">
        <v>4.4603484233691022</v>
      </c>
      <c r="E26" s="6" t="s">
        <v>172</v>
      </c>
      <c r="F26" s="1">
        <v>6.859285714285714</v>
      </c>
      <c r="G26" s="1">
        <v>5.7697851709025842</v>
      </c>
      <c r="I26" s="6" t="s">
        <v>172</v>
      </c>
      <c r="J26" s="1">
        <v>27.374205451296042</v>
      </c>
      <c r="K26" s="1">
        <v>12.755880454939112</v>
      </c>
    </row>
    <row r="27" spans="1:11" x14ac:dyDescent="0.25">
      <c r="A27" s="6" t="s">
        <v>166</v>
      </c>
      <c r="B27" s="1">
        <v>1.746</v>
      </c>
      <c r="C27" s="1">
        <v>1.2336547328973373</v>
      </c>
      <c r="E27" s="6" t="s">
        <v>166</v>
      </c>
      <c r="F27" s="1">
        <v>7.298</v>
      </c>
      <c r="G27" s="1">
        <v>1.4755527777751622</v>
      </c>
      <c r="I27" s="6" t="s">
        <v>166</v>
      </c>
      <c r="J27" s="1">
        <v>17.330396373765264</v>
      </c>
      <c r="K27" s="1">
        <v>9.2316129808921534</v>
      </c>
    </row>
    <row r="28" spans="1:11" x14ac:dyDescent="0.25">
      <c r="A28" s="6" t="s">
        <v>150</v>
      </c>
      <c r="B28" s="1">
        <v>2.7285714285714286</v>
      </c>
      <c r="C28" s="1">
        <v>2.0447768203151071</v>
      </c>
      <c r="E28" s="6" t="s">
        <v>150</v>
      </c>
      <c r="F28" s="1">
        <v>3.983571428571429</v>
      </c>
      <c r="G28" s="1">
        <v>3.2023531685818987</v>
      </c>
      <c r="I28" s="6" t="s">
        <v>150</v>
      </c>
      <c r="J28" s="1">
        <v>24.239223216466065</v>
      </c>
      <c r="K28" s="1">
        <v>12.538535761048552</v>
      </c>
    </row>
    <row r="29" spans="1:11" x14ac:dyDescent="0.25">
      <c r="A29" s="6" t="s">
        <v>214</v>
      </c>
      <c r="B29" s="1">
        <v>2.4444736842105259</v>
      </c>
      <c r="C29" s="1">
        <v>1.8145707008146161</v>
      </c>
      <c r="E29" s="6" t="s">
        <v>214</v>
      </c>
      <c r="F29" s="1">
        <v>6.4626470588235279</v>
      </c>
      <c r="G29" s="1">
        <v>4.3457323953394935</v>
      </c>
      <c r="I29" s="6" t="s">
        <v>214</v>
      </c>
      <c r="J29" s="1">
        <v>16.228495098943931</v>
      </c>
      <c r="K29" s="1">
        <v>5.2728089450065898</v>
      </c>
    </row>
    <row r="30" spans="1:11" x14ac:dyDescent="0.25">
      <c r="A30" s="6" t="s">
        <v>250</v>
      </c>
      <c r="B30" s="1">
        <v>0.69</v>
      </c>
      <c r="C30" s="1">
        <v>0</v>
      </c>
      <c r="E30" s="6" t="s">
        <v>250</v>
      </c>
      <c r="F30" s="1">
        <v>9.17</v>
      </c>
      <c r="G30" s="1">
        <v>0</v>
      </c>
      <c r="I30" s="6" t="s">
        <v>250</v>
      </c>
      <c r="J30" s="1">
        <v>20.634408602150536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42.7109375" bestFit="1" customWidth="1"/>
    <col min="2" max="2" width="14.85546875" bestFit="1" customWidth="1"/>
    <col min="3" max="3" width="15.4257812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11.290127184408743</v>
      </c>
      <c r="C5" s="1">
        <v>4.7275944381313346</v>
      </c>
      <c r="E5" s="6" t="s">
        <v>105</v>
      </c>
      <c r="F5" s="1">
        <v>1.2630759823911699</v>
      </c>
      <c r="G5" s="1">
        <v>0.46636190052211646</v>
      </c>
      <c r="I5" s="6" t="s">
        <v>105</v>
      </c>
      <c r="J5" s="1">
        <v>9.6997014925373115</v>
      </c>
      <c r="K5" s="1">
        <v>3.6037165600559713</v>
      </c>
    </row>
    <row r="6" spans="1:11" x14ac:dyDescent="0.25">
      <c r="A6" s="6" t="s">
        <v>172</v>
      </c>
      <c r="B6" s="1">
        <v>10.958041054181415</v>
      </c>
      <c r="C6" s="1">
        <v>6.1847596182449625</v>
      </c>
      <c r="E6" s="6" t="s">
        <v>172</v>
      </c>
      <c r="F6" s="1">
        <v>3.6669447047949224</v>
      </c>
      <c r="G6" s="1">
        <v>2.9014150653723898</v>
      </c>
      <c r="I6" s="6" t="s">
        <v>172</v>
      </c>
      <c r="J6" s="1">
        <v>17.065714285714286</v>
      </c>
      <c r="K6" s="1">
        <v>17.47367641187563</v>
      </c>
    </row>
    <row r="7" spans="1:11" x14ac:dyDescent="0.25">
      <c r="A7" s="6" t="s">
        <v>166</v>
      </c>
      <c r="B7" s="1">
        <v>6.1171364449772501</v>
      </c>
      <c r="C7" s="1">
        <v>5.5459314270759448</v>
      </c>
      <c r="E7" s="6" t="s">
        <v>166</v>
      </c>
      <c r="F7" s="1">
        <v>1.8467630589531836</v>
      </c>
      <c r="G7" s="1">
        <v>1.0106774217881529</v>
      </c>
      <c r="I7" s="6" t="s">
        <v>166</v>
      </c>
      <c r="J7" s="1">
        <v>13.302727272727275</v>
      </c>
      <c r="K7" s="1">
        <v>11.738239833133642</v>
      </c>
    </row>
    <row r="8" spans="1:11" x14ac:dyDescent="0.25">
      <c r="A8" s="6" t="s">
        <v>150</v>
      </c>
      <c r="B8" s="1">
        <v>6.4328353547102655</v>
      </c>
      <c r="C8" s="1">
        <v>10.349394246789812</v>
      </c>
      <c r="E8" s="6" t="s">
        <v>150</v>
      </c>
      <c r="F8" s="1">
        <v>2.5930163892249594</v>
      </c>
      <c r="G8" s="1">
        <v>1.9315193077942903</v>
      </c>
      <c r="I8" s="6" t="s">
        <v>150</v>
      </c>
      <c r="J8" s="1">
        <v>17.09269230769231</v>
      </c>
      <c r="K8" s="1">
        <v>25.651421096889361</v>
      </c>
    </row>
    <row r="9" spans="1:11" x14ac:dyDescent="0.25">
      <c r="A9" s="6" t="s">
        <v>214</v>
      </c>
      <c r="B9" s="1">
        <v>8.0053415462828497</v>
      </c>
      <c r="C9" s="1">
        <v>5.7151591028210031</v>
      </c>
      <c r="E9" s="6" t="s">
        <v>214</v>
      </c>
      <c r="F9" s="1">
        <v>2.2137857260462837</v>
      </c>
      <c r="G9" s="1">
        <v>1.6941149486418339</v>
      </c>
      <c r="I9" s="6" t="s">
        <v>214</v>
      </c>
      <c r="J9" s="1">
        <v>12.512068965517242</v>
      </c>
      <c r="K9" s="1">
        <v>7.5241649229896082</v>
      </c>
    </row>
    <row r="10" spans="1:11" x14ac:dyDescent="0.25">
      <c r="A10" s="6" t="s">
        <v>250</v>
      </c>
      <c r="B10" s="1">
        <v>9.840205914964848</v>
      </c>
      <c r="C10" s="1">
        <v>1.7915845852514904</v>
      </c>
      <c r="E10" s="6" t="s">
        <v>250</v>
      </c>
      <c r="F10" s="1">
        <v>0.97581825265220568</v>
      </c>
      <c r="G10" s="1">
        <v>8.2053845951917656E-2</v>
      </c>
      <c r="I10" s="6" t="s">
        <v>250</v>
      </c>
      <c r="J10" s="1">
        <v>2.5933333333333333</v>
      </c>
      <c r="K10" s="1">
        <v>3.2575075679966661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1.1439130434782612</v>
      </c>
      <c r="C25" s="1">
        <v>0.51407780776703726</v>
      </c>
      <c r="E25" s="6" t="s">
        <v>105</v>
      </c>
      <c r="F25" s="1">
        <v>8.7397101449275354</v>
      </c>
      <c r="G25" s="1">
        <v>2.0876683971057006</v>
      </c>
      <c r="I25" s="6" t="s">
        <v>105</v>
      </c>
      <c r="J25" s="1">
        <v>13.520181718359391</v>
      </c>
      <c r="K25" s="1">
        <v>3.497326370857293</v>
      </c>
    </row>
    <row r="26" spans="1:11" x14ac:dyDescent="0.25">
      <c r="A26" s="6" t="s">
        <v>172</v>
      </c>
      <c r="B26" s="1">
        <v>7.0430303030303048</v>
      </c>
      <c r="C26" s="1">
        <v>5.6206256983992393</v>
      </c>
      <c r="E26" s="6" t="s">
        <v>172</v>
      </c>
      <c r="F26" s="1">
        <v>2.5551724137931031</v>
      </c>
      <c r="G26" s="1">
        <v>1.6088904308713337</v>
      </c>
      <c r="I26" s="6" t="s">
        <v>172</v>
      </c>
      <c r="J26" s="1">
        <v>18.246111372949908</v>
      </c>
      <c r="K26" s="1">
        <v>8.8235726426226648</v>
      </c>
    </row>
    <row r="27" spans="1:11" x14ac:dyDescent="0.25">
      <c r="A27" s="6" t="s">
        <v>166</v>
      </c>
      <c r="B27" s="1">
        <v>6.371666666666667</v>
      </c>
      <c r="C27" s="1">
        <v>5.5469764036114499</v>
      </c>
      <c r="E27" s="6" t="s">
        <v>166</v>
      </c>
      <c r="F27" s="1">
        <v>3.7908333333333331</v>
      </c>
      <c r="G27" s="1">
        <v>2.0554458491745504</v>
      </c>
      <c r="I27" s="6" t="s">
        <v>166</v>
      </c>
      <c r="J27" s="1">
        <v>11.662214887285179</v>
      </c>
      <c r="K27" s="1">
        <v>7.6390805247788824</v>
      </c>
    </row>
    <row r="28" spans="1:11" x14ac:dyDescent="0.25">
      <c r="A28" s="6" t="s">
        <v>150</v>
      </c>
      <c r="B28" s="1">
        <v>4.2244000000000002</v>
      </c>
      <c r="C28" s="1">
        <v>3.288131481556051</v>
      </c>
      <c r="E28" s="6" t="s">
        <v>150</v>
      </c>
      <c r="F28" s="1">
        <v>3.4669565217391294</v>
      </c>
      <c r="G28" s="1">
        <v>2.3814471938802422</v>
      </c>
      <c r="I28" s="6" t="s">
        <v>150</v>
      </c>
      <c r="J28" s="1">
        <v>16.520017691178357</v>
      </c>
      <c r="K28" s="1">
        <v>9.6180800040186636</v>
      </c>
    </row>
    <row r="29" spans="1:11" x14ac:dyDescent="0.25">
      <c r="A29" s="6" t="s">
        <v>214</v>
      </c>
      <c r="B29" s="1">
        <v>2.4103571428571429</v>
      </c>
      <c r="C29" s="1">
        <v>1.3947643993133167</v>
      </c>
      <c r="E29" s="6" t="s">
        <v>214</v>
      </c>
      <c r="F29" s="1">
        <v>4.4331999999999985</v>
      </c>
      <c r="G29" s="1">
        <v>1.7935411230300846</v>
      </c>
      <c r="I29" s="6" t="s">
        <v>214</v>
      </c>
      <c r="J29" s="1">
        <v>15.819653188863784</v>
      </c>
      <c r="K29" s="1">
        <v>9.03140132714279</v>
      </c>
    </row>
    <row r="30" spans="1:11" x14ac:dyDescent="0.25">
      <c r="A30" s="6" t="s">
        <v>250</v>
      </c>
      <c r="B30" s="1">
        <v>0.92</v>
      </c>
      <c r="C30" s="1">
        <v>0.53764920409749184</v>
      </c>
      <c r="E30" s="6" t="s">
        <v>250</v>
      </c>
      <c r="F30" s="1">
        <v>8.3550000000000004</v>
      </c>
      <c r="G30" s="1">
        <v>2.3351820057545831</v>
      </c>
      <c r="I30" s="6" t="s">
        <v>250</v>
      </c>
      <c r="J30" s="1">
        <v>3.3330068523634582</v>
      </c>
      <c r="K30" s="1">
        <v>26.093024842358943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42.7109375" bestFit="1" customWidth="1"/>
    <col min="2" max="2" width="16.28515625" bestFit="1" customWidth="1"/>
    <col min="3" max="3" width="16.85546875" bestFit="1" customWidth="1"/>
    <col min="5" max="5" width="42.7109375" bestFit="1" customWidth="1"/>
    <col min="6" max="6" width="14" bestFit="1" customWidth="1"/>
    <col min="7" max="7" width="14.5703125" bestFit="1" customWidth="1"/>
    <col min="9" max="9" width="42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10.211104023347449</v>
      </c>
      <c r="C5" s="1">
        <v>3.9453842649499107</v>
      </c>
      <c r="E5" s="6" t="s">
        <v>105</v>
      </c>
      <c r="F5" s="1">
        <v>1.0616455309785786</v>
      </c>
      <c r="G5" s="1">
        <v>0.27718829933279521</v>
      </c>
      <c r="I5" s="6" t="s">
        <v>105</v>
      </c>
      <c r="J5" s="1">
        <v>9.2347107438016529</v>
      </c>
      <c r="K5" s="1">
        <v>4.1333465668814471</v>
      </c>
    </row>
    <row r="6" spans="1:11" x14ac:dyDescent="0.25">
      <c r="A6" s="6" t="s">
        <v>172</v>
      </c>
      <c r="B6" s="1">
        <v>7.2683902229924833</v>
      </c>
      <c r="C6" s="1">
        <v>13.642952751603778</v>
      </c>
      <c r="E6" s="6" t="s">
        <v>172</v>
      </c>
      <c r="F6" s="1">
        <v>1.2775389377728228</v>
      </c>
      <c r="G6" s="1">
        <v>0.85903006971602447</v>
      </c>
      <c r="I6" s="6" t="s">
        <v>172</v>
      </c>
      <c r="J6" s="1">
        <v>9.3543181818181829</v>
      </c>
      <c r="K6" s="1">
        <v>6.9958017922852935</v>
      </c>
    </row>
    <row r="7" spans="1:11" x14ac:dyDescent="0.25">
      <c r="A7" s="6" t="s">
        <v>166</v>
      </c>
      <c r="B7" s="1">
        <v>3.4231343202536344</v>
      </c>
      <c r="C7" s="1">
        <v>6.1657682716191493</v>
      </c>
      <c r="E7" s="6" t="s">
        <v>166</v>
      </c>
      <c r="F7" s="1">
        <v>1.2832283860405094</v>
      </c>
      <c r="G7" s="1">
        <v>0.91656000368631096</v>
      </c>
      <c r="I7" s="6" t="s">
        <v>166</v>
      </c>
      <c r="J7" s="1">
        <v>13.720909090909094</v>
      </c>
      <c r="K7" s="1">
        <v>14.71000120792619</v>
      </c>
    </row>
    <row r="8" spans="1:11" x14ac:dyDescent="0.25">
      <c r="A8" s="6" t="s">
        <v>150</v>
      </c>
      <c r="B8" s="1">
        <v>3.301096335589881</v>
      </c>
      <c r="C8" s="1">
        <v>13.267150010690269</v>
      </c>
      <c r="E8" s="6" t="s">
        <v>150</v>
      </c>
      <c r="F8" s="1">
        <v>1.4192971482520822</v>
      </c>
      <c r="G8" s="1">
        <v>1.0955583931284152</v>
      </c>
      <c r="I8" s="6" t="s">
        <v>150</v>
      </c>
      <c r="J8" s="1">
        <v>5.7527272727272729</v>
      </c>
      <c r="K8" s="1">
        <v>8.9315458205061926</v>
      </c>
    </row>
    <row r="9" spans="1:11" x14ac:dyDescent="0.25">
      <c r="A9" s="6" t="s">
        <v>214</v>
      </c>
      <c r="B9" s="1">
        <v>9.3214268377951797</v>
      </c>
      <c r="C9" s="1">
        <v>7.0370556902813348</v>
      </c>
      <c r="E9" s="6" t="s">
        <v>214</v>
      </c>
      <c r="F9" s="1">
        <v>1.4857074536146035</v>
      </c>
      <c r="G9" s="1">
        <v>0.77754907238451509</v>
      </c>
      <c r="I9" s="6" t="s">
        <v>214</v>
      </c>
      <c r="J9" s="1">
        <v>10.199032258064515</v>
      </c>
      <c r="K9" s="1">
        <v>10.839597467481157</v>
      </c>
    </row>
    <row r="10" spans="1:11" x14ac:dyDescent="0.25">
      <c r="A10" s="6" t="s">
        <v>250</v>
      </c>
      <c r="B10" s="1">
        <v>7.296322316159392</v>
      </c>
      <c r="C10" s="1">
        <v>5.4516494416764489</v>
      </c>
      <c r="E10" s="6" t="s">
        <v>250</v>
      </c>
      <c r="F10" s="1">
        <v>0.73231266429095743</v>
      </c>
      <c r="G10" s="1">
        <v>0.1626577902763256</v>
      </c>
      <c r="I10" s="6" t="s">
        <v>250</v>
      </c>
      <c r="J10" s="1">
        <v>4.8466666666666658</v>
      </c>
      <c r="K10" s="1">
        <v>4.7872572258059991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0.96399999999999963</v>
      </c>
      <c r="C25" s="1">
        <v>0.44025447186825983</v>
      </c>
      <c r="E25" s="6" t="s">
        <v>105</v>
      </c>
      <c r="F25" s="1">
        <v>9.5783720930232583</v>
      </c>
      <c r="G25" s="1">
        <v>1.7403139655694393</v>
      </c>
      <c r="I25" s="6" t="s">
        <v>105</v>
      </c>
      <c r="J25" s="1">
        <v>12.014342551689452</v>
      </c>
      <c r="K25" s="1">
        <v>2.5806232288330841</v>
      </c>
    </row>
    <row r="26" spans="1:11" x14ac:dyDescent="0.25">
      <c r="A26" s="6" t="s">
        <v>172</v>
      </c>
      <c r="B26" s="1">
        <v>4.8743902439024396</v>
      </c>
      <c r="C26" s="1">
        <v>1.7753791058984869</v>
      </c>
      <c r="E26" s="6" t="s">
        <v>172</v>
      </c>
      <c r="F26" s="1">
        <v>2.1209756097560972</v>
      </c>
      <c r="G26" s="1">
        <v>0.51788408571260958</v>
      </c>
      <c r="I26" s="6" t="s">
        <v>172</v>
      </c>
      <c r="J26" s="1">
        <v>11.763134848144487</v>
      </c>
      <c r="K26" s="1">
        <v>8.7132118394174363</v>
      </c>
    </row>
    <row r="27" spans="1:11" x14ac:dyDescent="0.25">
      <c r="A27" s="6" t="s">
        <v>166</v>
      </c>
      <c r="B27" s="1">
        <v>6.2995652173913053</v>
      </c>
      <c r="C27" s="1">
        <v>6.6125200604682091</v>
      </c>
      <c r="E27" s="6" t="s">
        <v>166</v>
      </c>
      <c r="F27" s="1">
        <v>3.7052380952380952</v>
      </c>
      <c r="G27" s="1">
        <v>2.4212897370884185</v>
      </c>
      <c r="I27" s="6" t="s">
        <v>166</v>
      </c>
      <c r="J27" s="1">
        <v>7.1404209154343512</v>
      </c>
      <c r="K27" s="1">
        <v>12.274366126566887</v>
      </c>
    </row>
    <row r="28" spans="1:11" x14ac:dyDescent="0.25">
      <c r="A28" s="6" t="s">
        <v>150</v>
      </c>
      <c r="B28" s="1">
        <v>2.1433333333333331</v>
      </c>
      <c r="C28" s="1">
        <v>2.3134726182852381</v>
      </c>
      <c r="E28" s="6" t="s">
        <v>150</v>
      </c>
      <c r="F28" s="1">
        <v>5.9137500000000003</v>
      </c>
      <c r="G28" s="1">
        <v>4.7582383053850217</v>
      </c>
      <c r="I28" s="6" t="s">
        <v>150</v>
      </c>
      <c r="J28" s="1">
        <v>6.3845086127961705</v>
      </c>
      <c r="K28" s="1">
        <v>13.152195777066789</v>
      </c>
    </row>
    <row r="29" spans="1:11" x14ac:dyDescent="0.25">
      <c r="A29" s="6" t="s">
        <v>214</v>
      </c>
      <c r="B29" s="1">
        <v>1.9603703703703705</v>
      </c>
      <c r="C29" s="1">
        <v>1.2298584124514658</v>
      </c>
      <c r="E29" s="6" t="s">
        <v>214</v>
      </c>
      <c r="F29" s="1">
        <v>4.8130000000000006</v>
      </c>
      <c r="G29" s="1">
        <v>2.648557028522009</v>
      </c>
      <c r="I29" s="6" t="s">
        <v>214</v>
      </c>
      <c r="J29" s="1">
        <v>11.803794838765427</v>
      </c>
      <c r="K29" s="1">
        <v>9.5882081370471237</v>
      </c>
    </row>
    <row r="30" spans="1:11" x14ac:dyDescent="0.25">
      <c r="A30" s="6" t="s">
        <v>250</v>
      </c>
      <c r="B30" s="1">
        <v>0.92599999999999993</v>
      </c>
      <c r="C30" s="1">
        <v>0.79723522250337131</v>
      </c>
      <c r="E30" s="6" t="s">
        <v>250</v>
      </c>
      <c r="F30" s="1">
        <v>7.3426086956521734</v>
      </c>
      <c r="G30" s="1">
        <v>4.2219150995431516</v>
      </c>
      <c r="I30" s="6" t="s">
        <v>250</v>
      </c>
      <c r="J30" s="1">
        <v>5.9491476785168933</v>
      </c>
      <c r="K30" s="1">
        <v>13.911217590441678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0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16" sqref="L16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Financials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691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2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0">_xlfn._xlws.FILTER(_xlfn._xlws.FILTER(Main_L[], Main_L[Preliminary Criteria]="YES"), COUNTIF($A$8:$S$8,Main_L[#Headers]))</f>
        <v>Capital Markets</v>
      </c>
      <c r="B9" t="str">
        <v>TROW</v>
      </c>
      <c r="C9" s="9">
        <v>20619</v>
      </c>
      <c r="D9" s="1">
        <v>94.98</v>
      </c>
      <c r="E9" s="1">
        <v>5.75</v>
      </c>
      <c r="F9" s="1">
        <v>47.02</v>
      </c>
      <c r="G9" s="1">
        <v>8.81</v>
      </c>
      <c r="H9" s="1">
        <v>16.518260869565218</v>
      </c>
      <c r="I9" s="1">
        <v>2.0199914929817098</v>
      </c>
      <c r="J9" s="1">
        <v>18.45</v>
      </c>
      <c r="K9" s="1">
        <v>10.99</v>
      </c>
      <c r="L9" s="1">
        <v>1.35</v>
      </c>
      <c r="M9" s="1">
        <v>10.780930760499432</v>
      </c>
      <c r="N9" s="1">
        <v>-4.3747383227117971E-2</v>
      </c>
      <c r="O9" s="1">
        <v>-0.79746542710090351</v>
      </c>
      <c r="P9" s="1">
        <v>0.31641732869124617</v>
      </c>
      <c r="Q9" s="1">
        <v>1.3579248988901171</v>
      </c>
      <c r="R9" s="1">
        <v>-0.95485109949490199</v>
      </c>
      <c r="S9" s="1">
        <v>-1.3008333489337187</v>
      </c>
      <c r="T9">
        <f t="shared" ref="T9:T10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Financial Services</v>
      </c>
      <c r="B10" t="str">
        <v>ADYEY</v>
      </c>
      <c r="C10" s="2">
        <v>60311</v>
      </c>
      <c r="D10" s="1">
        <v>19.41</v>
      </c>
      <c r="E10" s="1">
        <v>53.31</v>
      </c>
      <c r="F10" s="1">
        <v>139.22999999999999</v>
      </c>
      <c r="G10" s="1">
        <v>30.65</v>
      </c>
      <c r="H10" s="1">
        <v>0.36409679234665165</v>
      </c>
      <c r="I10" s="1">
        <v>0.1394096099978453</v>
      </c>
      <c r="J10" s="1">
        <v>25.06</v>
      </c>
      <c r="K10" s="1">
        <v>5.36</v>
      </c>
      <c r="L10" s="1">
        <v>2.7</v>
      </c>
      <c r="M10" s="1">
        <v>0.63327895595432304</v>
      </c>
      <c r="N10" s="1">
        <v>-1.3930443171581885</v>
      </c>
      <c r="O10" s="1">
        <v>-1.0573420633681234</v>
      </c>
      <c r="P10" s="1">
        <v>0.37581637905554366</v>
      </c>
      <c r="Q10" s="1">
        <v>1.28690258285648</v>
      </c>
      <c r="R10" s="1">
        <v>-0.40082132138468479</v>
      </c>
      <c r="S10" s="1">
        <v>-1.8826715264348908</v>
      </c>
      <c r="T10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43" priority="1">
      <formula>$I9 &lt; (0.7*VLOOKUP($A9, Mean_PB_L, 2, FALSE))</formula>
    </cfRule>
  </conditionalFormatting>
  <conditionalFormatting sqref="J9:J1048576">
    <cfRule type="expression" dxfId="142" priority="3">
      <formula>$J9 &gt; VLOOKUP($A9, Mean_ROE_L, 2, FALSE)</formula>
    </cfRule>
  </conditionalFormatting>
  <conditionalFormatting sqref="K9:K1048576">
    <cfRule type="expression" dxfId="141" priority="4">
      <formula>$K9 &gt; VLOOKUP($A9, Mean_ROA_L, 2, FALSE)</formula>
    </cfRule>
  </conditionalFormatting>
  <conditionalFormatting sqref="M9:M1048576">
    <cfRule type="expression" dxfId="140" priority="5">
      <formula>AND($M9&gt;1, $M9&lt;25, $M9 &lt; VLOOKUP($A9, Mean_PE_L, 2, FALSE))</formula>
    </cfRule>
    <cfRule type="expression" dxfId="139" priority="6">
      <formula>AND($M9&gt;1, $M9&lt;25)</formula>
    </cfRule>
    <cfRule type="expression" dxfId="138" priority="9">
      <formula xml:space="preserve"> $M9 &lt; VLOOKUP($A9, Mean_PE_L, 2, FALSE)</formula>
    </cfRule>
  </conditionalFormatting>
  <conditionalFormatting sqref="N9:N1048576">
    <cfRule type="expression" dxfId="137" priority="10">
      <formula>$N9&lt;0</formula>
    </cfRule>
  </conditionalFormatting>
  <conditionalFormatting sqref="O9:O1048576">
    <cfRule type="expression" dxfId="136" priority="11">
      <formula>$O9&lt;0</formula>
    </cfRule>
  </conditionalFormatting>
  <conditionalFormatting sqref="P9:P1048576">
    <cfRule type="expression" dxfId="135" priority="12">
      <formula>$P9&gt;0</formula>
    </cfRule>
  </conditionalFormatting>
  <conditionalFormatting sqref="Q9:Q1048576">
    <cfRule type="expression" dxfId="134" priority="14">
      <formula>$Q9&gt;0</formula>
    </cfRule>
  </conditionalFormatting>
  <conditionalFormatting sqref="R9:R1048576">
    <cfRule type="expression" dxfId="133" priority="15">
      <formula>$R9&lt;0</formula>
    </cfRule>
  </conditionalFormatting>
  <conditionalFormatting sqref="S9:S1048576">
    <cfRule type="expression" dxfId="132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1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3" sqref="L3:L6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Financials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691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3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_xlfn._xlws.FILTER(_xlfn._xlws.FILTER(Main_M[], Main_M[Preliminary Criteria]="YES"), COUNTIF($A$8:$S$8,Main_M[#Headers]))</f>
        <v>Capital Markets</v>
      </c>
      <c r="B9" t="str">
        <v>FHI</v>
      </c>
      <c r="C9" s="2">
        <v>3338</v>
      </c>
      <c r="D9" s="1">
        <v>42.06</v>
      </c>
      <c r="E9" s="1">
        <v>4.3499999999999996</v>
      </c>
      <c r="F9" s="1">
        <v>14.26</v>
      </c>
      <c r="G9" s="1">
        <v>3.58</v>
      </c>
      <c r="H9" s="1">
        <v>9.6689655172413804</v>
      </c>
      <c r="I9" s="1">
        <v>2.9495091164095375</v>
      </c>
      <c r="J9" s="1">
        <v>25.15</v>
      </c>
      <c r="K9" s="1">
        <v>14.02</v>
      </c>
      <c r="L9" s="1">
        <v>1.86</v>
      </c>
      <c r="M9" s="1">
        <v>11.748603351955307</v>
      </c>
      <c r="N9" s="1">
        <v>-0.20842775087608542</v>
      </c>
      <c r="O9" s="1">
        <v>-0.24727092546936361</v>
      </c>
      <c r="P9" s="1">
        <v>0.46265511182245495</v>
      </c>
      <c r="Q9" s="1">
        <v>1.2413154818255812</v>
      </c>
      <c r="R9" s="1">
        <v>-0.4320818872771936</v>
      </c>
      <c r="S9" s="1">
        <v>-0.7363806344845053</v>
      </c>
      <c r="T9">
        <f t="shared" ref="T9:T11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Consumer Finance</v>
      </c>
      <c r="B10" t="str">
        <v>QFIN</v>
      </c>
      <c r="C10" s="2">
        <v>5527</v>
      </c>
      <c r="D10" s="1">
        <v>42.69</v>
      </c>
      <c r="E10" s="1">
        <v>9.5299999999999994</v>
      </c>
      <c r="F10" s="1">
        <v>23.63</v>
      </c>
      <c r="G10" s="1">
        <v>6.44</v>
      </c>
      <c r="H10" s="1">
        <v>4.4795383001049318</v>
      </c>
      <c r="I10" s="1">
        <v>1.8066017774016081</v>
      </c>
      <c r="J10" s="1">
        <v>30.42</v>
      </c>
      <c r="K10" s="1">
        <v>10.26</v>
      </c>
      <c r="L10" s="1">
        <v>2.41</v>
      </c>
      <c r="M10" s="1">
        <v>6.628881987577639</v>
      </c>
      <c r="N10" s="1">
        <v>-0.29527919095381439</v>
      </c>
      <c r="O10" s="1">
        <v>-3.9736992917601424E-2</v>
      </c>
      <c r="P10" s="1">
        <v>1.4582486787291258</v>
      </c>
      <c r="Q10" s="1">
        <v>0.70098249035308124</v>
      </c>
      <c r="R10" s="1">
        <v>-0.67179261077973129</v>
      </c>
      <c r="S10" s="1">
        <v>-0.65889250458624182</v>
      </c>
      <c r="T10">
        <f t="shared" si="0"/>
        <v>4</v>
      </c>
    </row>
    <row r="11" spans="1:20" x14ac:dyDescent="0.25">
      <c r="A11" t="str">
        <v>Consumer Finance</v>
      </c>
      <c r="B11" t="str">
        <v>FINV</v>
      </c>
      <c r="C11" s="2">
        <v>2119</v>
      </c>
      <c r="D11" s="1">
        <v>8.73</v>
      </c>
      <c r="E11" s="1">
        <v>1.71</v>
      </c>
      <c r="F11" s="1">
        <v>8.41</v>
      </c>
      <c r="G11" s="1">
        <v>1.37</v>
      </c>
      <c r="H11" s="1">
        <v>5.1052631578947372</v>
      </c>
      <c r="I11" s="1">
        <v>1.0380499405469679</v>
      </c>
      <c r="J11" s="1">
        <v>17.510000000000002</v>
      </c>
      <c r="K11" s="1">
        <v>19.66</v>
      </c>
      <c r="L11" s="1">
        <v>1.58</v>
      </c>
      <c r="M11" s="1">
        <v>6.3722627737226274</v>
      </c>
      <c r="N11" s="1">
        <v>-0.18245326333146106</v>
      </c>
      <c r="O11" s="1">
        <v>-0.80016937251392295</v>
      </c>
      <c r="P11" s="1">
        <v>0.3584244986541183</v>
      </c>
      <c r="Q11" s="1">
        <v>2.3955993980219108</v>
      </c>
      <c r="R11" s="1">
        <v>-1.0755979459255445</v>
      </c>
      <c r="S11" s="1">
        <v>-0.69248544983961569</v>
      </c>
      <c r="T11">
        <f t="shared" si="0"/>
        <v>5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31" priority="1">
      <formula>$I9 &lt; (0.7*VLOOKUP($A9, Mean_PB_M, 2, FALSE))</formula>
    </cfRule>
  </conditionalFormatting>
  <conditionalFormatting sqref="J9:J1048576">
    <cfRule type="expression" dxfId="130" priority="3">
      <formula>$J9 &gt; VLOOKUP($A9, Mean_ROE_M, 2, FALSE)</formula>
    </cfRule>
  </conditionalFormatting>
  <conditionalFormatting sqref="K9:K1048576">
    <cfRule type="expression" dxfId="129" priority="4">
      <formula>$K9 &gt; VLOOKUP($A9, Mean_ROA_M, 2, FALSE)</formula>
    </cfRule>
  </conditionalFormatting>
  <conditionalFormatting sqref="M9:M1048576">
    <cfRule type="expression" dxfId="128" priority="5">
      <formula>AND($M9&gt;1, $M9&lt;25, $M9 &lt; VLOOKUP($A9, Mean_PE_M, 2, FALSE))</formula>
    </cfRule>
    <cfRule type="expression" dxfId="127" priority="6">
      <formula>AND($M9&gt;1, $M9&lt;25)</formula>
    </cfRule>
    <cfRule type="expression" dxfId="126" priority="7">
      <formula xml:space="preserve"> $M9 &lt; VLOOKUP($A9, Mean_PE_M, 2, FALSE)</formula>
    </cfRule>
  </conditionalFormatting>
  <conditionalFormatting sqref="N9:N1048576">
    <cfRule type="expression" dxfId="125" priority="8">
      <formula>$N9&lt;0</formula>
    </cfRule>
  </conditionalFormatting>
  <conditionalFormatting sqref="O9:O1048576">
    <cfRule type="expression" dxfId="124" priority="9">
      <formula>$O9&lt;0</formula>
    </cfRule>
  </conditionalFormatting>
  <conditionalFormatting sqref="P9:P1048576">
    <cfRule type="expression" dxfId="123" priority="10">
      <formula>$P9&gt;0</formula>
    </cfRule>
  </conditionalFormatting>
  <conditionalFormatting sqref="Q9:Q1048576">
    <cfRule type="expression" dxfId="122" priority="11">
      <formula>$Q9&gt;0</formula>
    </cfRule>
  </conditionalFormatting>
  <conditionalFormatting sqref="R9:R1048576">
    <cfRule type="expression" dxfId="121" priority="12">
      <formula>$R9&lt;0</formula>
    </cfRule>
  </conditionalFormatting>
  <conditionalFormatting sqref="S9:S1048576">
    <cfRule type="expression" dxfId="12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2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19" sqref="J19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Financials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691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4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_xlfn._xlws.FILTER(_xlfn._xlws.FILTER(Main_S[], Main_S[Preliminary Criteria]="YES"), COUNTIF($A$8:$S$8,Main_S[#Headers]))</f>
        <v>Capital Markets</v>
      </c>
      <c r="B9" t="str">
        <v>GLAD</v>
      </c>
      <c r="C9">
        <v>596</v>
      </c>
      <c r="D9">
        <v>26.84</v>
      </c>
      <c r="E9">
        <v>5.4</v>
      </c>
      <c r="F9">
        <v>21.41</v>
      </c>
      <c r="G9">
        <v>3.93</v>
      </c>
      <c r="H9" s="1">
        <v>4.9703703703703699</v>
      </c>
      <c r="I9" s="1">
        <v>1.2536198038299859</v>
      </c>
      <c r="J9" s="1">
        <v>18.79</v>
      </c>
      <c r="K9" s="1">
        <v>5.39</v>
      </c>
      <c r="L9" s="1">
        <v>1.62</v>
      </c>
      <c r="M9" s="1">
        <v>6.8295165394402035</v>
      </c>
      <c r="N9" s="1">
        <v>-0.16844006531884917</v>
      </c>
      <c r="O9" s="1">
        <v>-2.784435002460852E-2</v>
      </c>
      <c r="P9" s="1">
        <v>1.3487634581910439</v>
      </c>
      <c r="Q9" s="1">
        <v>0.29042234100001951</v>
      </c>
      <c r="R9" s="1">
        <v>-0.96735084853351627</v>
      </c>
      <c r="S9" s="1">
        <v>-0.56622269716721874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  <row r="10" spans="1:20" x14ac:dyDescent="0.25">
      <c r="A10" t="str">
        <v>Capital Markets</v>
      </c>
      <c r="B10" t="str">
        <v>TPVG</v>
      </c>
      <c r="C10">
        <v>280</v>
      </c>
      <c r="D10">
        <v>7.29</v>
      </c>
      <c r="E10">
        <v>3.27</v>
      </c>
      <c r="F10">
        <v>8.6199999999999992</v>
      </c>
      <c r="G10">
        <v>0.93</v>
      </c>
      <c r="H10" s="1">
        <v>2.2293577981651378</v>
      </c>
      <c r="I10" s="1">
        <v>0.84570765661252911</v>
      </c>
      <c r="J10" s="1">
        <v>10.68</v>
      </c>
      <c r="K10" s="1">
        <v>6.55</v>
      </c>
      <c r="L10" s="1">
        <v>2.12</v>
      </c>
      <c r="M10" s="1">
        <v>7.8387096774193541</v>
      </c>
      <c r="N10" s="1">
        <v>-0.36935057363113638</v>
      </c>
      <c r="O10" s="1">
        <v>-0.5026963506679657</v>
      </c>
      <c r="P10" s="1">
        <v>0.18949676642407576</v>
      </c>
      <c r="Q10" s="1">
        <v>0.94380391800857921</v>
      </c>
      <c r="R10" s="1">
        <v>-1.8838380691978142E-3</v>
      </c>
      <c r="S10" s="1">
        <v>-0.45039937546009662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5</v>
      </c>
    </row>
    <row r="11" spans="1:20" x14ac:dyDescent="0.25">
      <c r="A11" t="str">
        <v>Capital Markets</v>
      </c>
      <c r="B11" t="str">
        <v>RWAY</v>
      </c>
      <c r="C11">
        <v>371</v>
      </c>
      <c r="D11">
        <v>10.11</v>
      </c>
      <c r="E11">
        <v>1.96</v>
      </c>
      <c r="F11">
        <v>13.48</v>
      </c>
      <c r="G11">
        <v>1.67</v>
      </c>
      <c r="H11" s="1">
        <v>5.158163265306122</v>
      </c>
      <c r="I11" s="1">
        <v>0.74999999999999989</v>
      </c>
      <c r="J11" s="1">
        <v>12.28</v>
      </c>
      <c r="K11" s="1">
        <v>6.32</v>
      </c>
      <c r="L11" s="1">
        <v>2.0499999999999998</v>
      </c>
      <c r="M11" s="1">
        <v>6.0538922155688626</v>
      </c>
      <c r="N11" s="1">
        <v>-0.15467523754623402</v>
      </c>
      <c r="O11" s="1">
        <v>-0.61410997864977546</v>
      </c>
      <c r="P11" s="1">
        <v>0.41820536159388449</v>
      </c>
      <c r="Q11" s="1">
        <v>0.81425412256722718</v>
      </c>
      <c r="R11" s="1">
        <v>-0.13704921953420293</v>
      </c>
      <c r="S11" s="1">
        <v>-0.65523973682675241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5</v>
      </c>
    </row>
    <row r="12" spans="1:20" x14ac:dyDescent="0.25">
      <c r="A12" t="str">
        <v>Consumer Finance</v>
      </c>
      <c r="B12" t="str">
        <v>YRD</v>
      </c>
      <c r="C12">
        <v>541</v>
      </c>
      <c r="D12">
        <v>7.43</v>
      </c>
      <c r="E12">
        <v>2.2400000000000002</v>
      </c>
      <c r="F12">
        <v>13.68</v>
      </c>
      <c r="G12">
        <v>2.48</v>
      </c>
      <c r="H12" s="1">
        <v>3.3169642857142851</v>
      </c>
      <c r="I12" s="1">
        <v>0.54312865497076024</v>
      </c>
      <c r="J12" s="1">
        <v>17.95</v>
      </c>
      <c r="K12" s="1">
        <v>13.52</v>
      </c>
      <c r="L12" s="1">
        <v>1.36</v>
      </c>
      <c r="M12" s="1">
        <v>2.995967741935484</v>
      </c>
      <c r="N12" s="1">
        <v>-1.7219270958989299E-2</v>
      </c>
      <c r="O12" s="1">
        <v>-0.80747548233955591</v>
      </c>
      <c r="P12" s="1">
        <v>0.2874976588589363</v>
      </c>
      <c r="Q12" s="1">
        <v>1.0919338945789816</v>
      </c>
      <c r="R12" s="1">
        <v>-0.96859044141417994</v>
      </c>
      <c r="S12" s="1">
        <v>-0.33765109584995423</v>
      </c>
      <c r="T12">
        <f>SUM(IF($I12 &lt; (0.7*VLOOKUP($A12, Mean_PB_S, 2, FALSE)),1,0), IF($J12&gt;VLOOKUP($A12, Mean_ROE_S, 2, FALSE),1,0), IF($K12&gt;VLOOKUP($A12, Mean_ROA_S, 2,FALSE),1,0), IF($M12&lt;VLOOKUP($A12, Mean_PE_S, 2, FALSE),1,0), IF(AND($M12&gt;1,$M12&lt;25),1,0))</f>
        <v>5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19" priority="1">
      <formula>$I9 &lt; (0.7*VLOOKUP($A9, Mean_PB_S, 2, FALSE))</formula>
    </cfRule>
  </conditionalFormatting>
  <conditionalFormatting sqref="J9:J1048576">
    <cfRule type="expression" dxfId="118" priority="3">
      <formula>$J9 &gt; VLOOKUP($A9, Mean_ROE_S, 2, FALSE)</formula>
    </cfRule>
  </conditionalFormatting>
  <conditionalFormatting sqref="K9:K1048576">
    <cfRule type="expression" dxfId="117" priority="4">
      <formula>$K9 &gt; VLOOKUP($A9, Mean_ROA_S, 2, FALSE)</formula>
    </cfRule>
  </conditionalFormatting>
  <conditionalFormatting sqref="M9:M1048576">
    <cfRule type="expression" dxfId="116" priority="5">
      <formula>AND($M9&gt;1, $M9&lt;25, $M9 &lt; VLOOKUP($A9, Mean_PE_S, 2, FALSE))</formula>
    </cfRule>
    <cfRule type="expression" dxfId="115" priority="6">
      <formula>AND($M9&gt;1, $M9&lt;25)</formula>
    </cfRule>
    <cfRule type="expression" dxfId="114" priority="7">
      <formula xml:space="preserve"> $M9 &lt; VLOOKUP($A9, Mean_PE_S, 2, FALSE)</formula>
    </cfRule>
  </conditionalFormatting>
  <conditionalFormatting sqref="N9:N1048576">
    <cfRule type="expression" dxfId="113" priority="8">
      <formula>$N9&lt;0</formula>
    </cfRule>
  </conditionalFormatting>
  <conditionalFormatting sqref="O9:O1048576">
    <cfRule type="expression" dxfId="112" priority="9">
      <formula>$O9&lt;0</formula>
    </cfRule>
  </conditionalFormatting>
  <conditionalFormatting sqref="P9:P1048576">
    <cfRule type="expression" dxfId="111" priority="10">
      <formula>$P9&gt;0</formula>
    </cfRule>
  </conditionalFormatting>
  <conditionalFormatting sqref="Q9:Q1048576">
    <cfRule type="expression" dxfId="110" priority="11">
      <formula>$Q9&gt;0</formula>
    </cfRule>
  </conditionalFormatting>
  <conditionalFormatting sqref="R9:R1048576">
    <cfRule type="expression" dxfId="109" priority="12">
      <formula>$R9&lt;0</formula>
    </cfRule>
  </conditionalFormatting>
  <conditionalFormatting sqref="S9:S1048576">
    <cfRule type="expression" dxfId="108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2025-06-09T20:34:24Z</dcterms:modified>
</cp:coreProperties>
</file>
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1CEFDDAD-6127-4A95-BF2C-A17B4D8365D5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Main_L!$A$1:$M$143</definedName>
    <definedName name="ExternalData_1" localSheetId="2" hidden="1">Main_M!$A$1:$M$175</definedName>
    <definedName name="ExternalData_1" localSheetId="3" hidden="1">Main_S!$A$1:$M$286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Y27" i="1"/>
  <c r="Y26" i="1"/>
  <c r="Y25" i="1"/>
  <c r="Y24" i="1"/>
  <c r="Y23" i="1"/>
  <c r="X28" i="1"/>
  <c r="X27" i="1"/>
  <c r="X26" i="1"/>
  <c r="X25" i="1"/>
  <c r="X24" i="1"/>
  <c r="X23" i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Q28" i="1"/>
  <c r="Q27" i="1"/>
  <c r="Q26" i="1"/>
  <c r="Q25" i="1"/>
  <c r="Q24" i="1"/>
  <c r="Q23" i="1"/>
  <c r="P28" i="1"/>
  <c r="P27" i="1"/>
  <c r="P26" i="1"/>
  <c r="P25" i="1"/>
  <c r="P24" i="1"/>
  <c r="X225" i="4" s="1"/>
  <c r="P23" i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M28" i="1"/>
  <c r="M27" i="1"/>
  <c r="W249" i="4" s="1"/>
  <c r="M26" i="1"/>
  <c r="W147" i="4" s="1"/>
  <c r="M25" i="1"/>
  <c r="M24" i="1"/>
  <c r="M23" i="1"/>
  <c r="W2" i="4" s="1"/>
  <c r="L28" i="1"/>
  <c r="L27" i="1"/>
  <c r="L26" i="1"/>
  <c r="L25" i="1"/>
  <c r="L24" i="1"/>
  <c r="L23" i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Y18" i="1"/>
  <c r="Y17" i="1"/>
  <c r="Y16" i="1"/>
  <c r="Y15" i="1"/>
  <c r="Y14" i="1"/>
  <c r="Y13" i="1"/>
  <c r="X18" i="1"/>
  <c r="X17" i="1"/>
  <c r="X16" i="1"/>
  <c r="X15" i="1"/>
  <c r="X14" i="1"/>
  <c r="X13" i="1"/>
  <c r="W18" i="1" a="1"/>
  <c r="W18" i="1" s="1"/>
  <c r="W17" i="1" a="1"/>
  <c r="W17" i="1" s="1"/>
  <c r="W16" i="1" a="1"/>
  <c r="W16" i="1" s="1"/>
  <c r="W15" i="1" a="1"/>
  <c r="W15" i="1" s="1"/>
  <c r="W14" i="1" a="1"/>
  <c r="W14" i="1" s="1"/>
  <c r="W13" i="1" a="1"/>
  <c r="W13" i="1" s="1"/>
  <c r="V18" i="1" a="1"/>
  <c r="V18" i="1" s="1"/>
  <c r="V17" i="1" a="1"/>
  <c r="V17" i="1" s="1"/>
  <c r="V16" i="1" a="1"/>
  <c r="V16" i="1" s="1"/>
  <c r="V15" i="1" a="1"/>
  <c r="V15" i="1" s="1"/>
  <c r="V14" i="1" a="1"/>
  <c r="V14" i="1" s="1"/>
  <c r="V13" i="1" a="1"/>
  <c r="V13" i="1" s="1"/>
  <c r="Q18" i="1"/>
  <c r="Q17" i="1"/>
  <c r="Q16" i="1"/>
  <c r="Q15" i="1"/>
  <c r="Q14" i="1"/>
  <c r="Q13" i="1"/>
  <c r="P18" i="1"/>
  <c r="P17" i="1"/>
  <c r="P16" i="1"/>
  <c r="P15" i="1"/>
  <c r="P14" i="1"/>
  <c r="P13" i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M18" i="1"/>
  <c r="M17" i="1"/>
  <c r="M16" i="1"/>
  <c r="M15" i="1"/>
  <c r="M14" i="1"/>
  <c r="M13" i="1"/>
  <c r="L18" i="1"/>
  <c r="L17" i="1"/>
  <c r="L16" i="1"/>
  <c r="L15" i="1"/>
  <c r="X111" i="3" s="1"/>
  <c r="L14" i="1"/>
  <c r="L13" i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J18" i="1" a="1"/>
  <c r="J18" i="1" s="1"/>
  <c r="J17" i="1" a="1"/>
  <c r="J17" i="1"/>
  <c r="J16" i="1" a="1"/>
  <c r="J16" i="1" s="1"/>
  <c r="J15" i="1" a="1"/>
  <c r="J15" i="1" s="1"/>
  <c r="J14" i="1" a="1"/>
  <c r="J14" i="1" s="1"/>
  <c r="J13" i="1" a="1"/>
  <c r="J13" i="1" s="1"/>
  <c r="Y8" i="1"/>
  <c r="Y7" i="1"/>
  <c r="Y6" i="1"/>
  <c r="Y5" i="1"/>
  <c r="Y4" i="1"/>
  <c r="Y3" i="1"/>
  <c r="X8" i="1"/>
  <c r="X7" i="1"/>
  <c r="X6" i="1"/>
  <c r="X5" i="1"/>
  <c r="X4" i="1"/>
  <c r="X3" i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8" i="1" a="1"/>
  <c r="V8" i="1" s="1"/>
  <c r="V7" i="1" a="1"/>
  <c r="V7" i="1" s="1"/>
  <c r="V6" i="1" a="1"/>
  <c r="V6" i="1" s="1"/>
  <c r="V5" i="1" a="1"/>
  <c r="V5" i="1"/>
  <c r="V4" i="1" a="1"/>
  <c r="V4" i="1" s="1"/>
  <c r="V3" i="1" a="1"/>
  <c r="V3" i="1"/>
  <c r="Q8" i="1"/>
  <c r="Q7" i="1"/>
  <c r="Q6" i="1"/>
  <c r="Q5" i="1"/>
  <c r="Q4" i="1"/>
  <c r="Q3" i="1"/>
  <c r="P8" i="1"/>
  <c r="P7" i="1"/>
  <c r="P6" i="1"/>
  <c r="P5" i="1"/>
  <c r="P4" i="1"/>
  <c r="P3" i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8" i="1" a="1"/>
  <c r="N8" i="1" s="1"/>
  <c r="N7" i="1" a="1"/>
  <c r="N7" i="1" s="1"/>
  <c r="N6" i="1" a="1"/>
  <c r="N6" i="1" s="1"/>
  <c r="N5" i="1" a="1"/>
  <c r="N5" i="1"/>
  <c r="N4" i="1" a="1"/>
  <c r="N4" i="1" s="1"/>
  <c r="N3" i="1" a="1"/>
  <c r="N3" i="1" s="1"/>
  <c r="M8" i="1"/>
  <c r="M7" i="1"/>
  <c r="W119" i="2" s="1"/>
  <c r="M6" i="1"/>
  <c r="M5" i="1"/>
  <c r="M4" i="1"/>
  <c r="M3" i="1"/>
  <c r="L8" i="1"/>
  <c r="L7" i="1"/>
  <c r="L6" i="1"/>
  <c r="L5" i="1"/>
  <c r="L4" i="1"/>
  <c r="L3" i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8" i="1" a="1"/>
  <c r="J8" i="1" s="1"/>
  <c r="J7" i="1" a="1"/>
  <c r="J7" i="1"/>
  <c r="J6" i="1" a="1"/>
  <c r="J6" i="1" s="1"/>
  <c r="J5" i="1" a="1"/>
  <c r="J5" i="1" s="1"/>
  <c r="J4" i="1" a="1"/>
  <c r="J4" i="1" s="1"/>
  <c r="J3" i="1" a="1"/>
  <c r="J3" i="1" s="1"/>
  <c r="M283" i="4"/>
  <c r="M276" i="4"/>
  <c r="M275" i="4"/>
  <c r="M274" i="4"/>
  <c r="M273" i="4"/>
  <c r="M272" i="4"/>
  <c r="M270" i="4"/>
  <c r="M256" i="4"/>
  <c r="M255" i="4"/>
  <c r="M254" i="4"/>
  <c r="M253" i="4"/>
  <c r="M252" i="4"/>
  <c r="M251" i="4"/>
  <c r="T251" i="4" s="1"/>
  <c r="M250" i="4"/>
  <c r="M249" i="4"/>
  <c r="M248" i="4"/>
  <c r="M247" i="4"/>
  <c r="M236" i="4"/>
  <c r="M235" i="4"/>
  <c r="M234" i="4"/>
  <c r="M233" i="4"/>
  <c r="M232" i="4"/>
  <c r="T232" i="4" s="1"/>
  <c r="M231" i="4"/>
  <c r="M230" i="4"/>
  <c r="M229" i="4"/>
  <c r="M228" i="4"/>
  <c r="M227" i="4"/>
  <c r="M216" i="4"/>
  <c r="M215" i="4"/>
  <c r="M214" i="4"/>
  <c r="M213" i="4"/>
  <c r="M212" i="4"/>
  <c r="M211" i="4"/>
  <c r="M196" i="4"/>
  <c r="M195" i="4"/>
  <c r="M194" i="4"/>
  <c r="T194" i="4" s="1"/>
  <c r="M193" i="4"/>
  <c r="M192" i="4"/>
  <c r="M191" i="4"/>
  <c r="M190" i="4"/>
  <c r="M189" i="4"/>
  <c r="M188" i="4"/>
  <c r="M187" i="4"/>
  <c r="T187" i="4" s="1"/>
  <c r="M176" i="4"/>
  <c r="T176" i="4" s="1"/>
  <c r="M175" i="4"/>
  <c r="M174" i="4"/>
  <c r="M173" i="4"/>
  <c r="M172" i="4"/>
  <c r="M165" i="4"/>
  <c r="M158" i="4"/>
  <c r="M156" i="4"/>
  <c r="T156" i="4" s="1"/>
  <c r="M155" i="4"/>
  <c r="M154" i="4"/>
  <c r="M153" i="4"/>
  <c r="M152" i="4"/>
  <c r="T152" i="4" s="1"/>
  <c r="M151" i="4"/>
  <c r="T151" i="4" s="1"/>
  <c r="M150" i="4"/>
  <c r="T150" i="4" s="1"/>
  <c r="M149" i="4"/>
  <c r="T149" i="4" s="1"/>
  <c r="M136" i="4"/>
  <c r="M135" i="4"/>
  <c r="M134" i="4"/>
  <c r="M133" i="4"/>
  <c r="M132" i="4"/>
  <c r="M131" i="4"/>
  <c r="M130" i="4"/>
  <c r="T130" i="4" s="1"/>
  <c r="M129" i="4"/>
  <c r="M128" i="4"/>
  <c r="T128" i="4" s="1"/>
  <c r="M127" i="4"/>
  <c r="M116" i="4"/>
  <c r="M115" i="4"/>
  <c r="T115" i="4" s="1"/>
  <c r="M114" i="4"/>
  <c r="M113" i="4"/>
  <c r="M112" i="4"/>
  <c r="M96" i="4"/>
  <c r="M95" i="4"/>
  <c r="T95" i="4" s="1"/>
  <c r="M94" i="4"/>
  <c r="T94" i="4" s="1"/>
  <c r="M93" i="4"/>
  <c r="M92" i="4"/>
  <c r="M91" i="4"/>
  <c r="M90" i="4"/>
  <c r="M89" i="4"/>
  <c r="M88" i="4"/>
  <c r="M87" i="4"/>
  <c r="M76" i="4"/>
  <c r="M74" i="4"/>
  <c r="M73" i="4"/>
  <c r="M69" i="4"/>
  <c r="M68" i="4"/>
  <c r="M56" i="4"/>
  <c r="M55" i="4"/>
  <c r="M54" i="4"/>
  <c r="M53" i="4"/>
  <c r="M51" i="4"/>
  <c r="M50" i="4"/>
  <c r="M49" i="4"/>
  <c r="M36" i="4"/>
  <c r="M35" i="4"/>
  <c r="M34" i="4"/>
  <c r="M33" i="4"/>
  <c r="M31" i="4"/>
  <c r="M30" i="4"/>
  <c r="M29" i="4"/>
  <c r="M28" i="4"/>
  <c r="M16" i="4"/>
  <c r="M15" i="4"/>
  <c r="M14" i="4"/>
  <c r="M13" i="4"/>
  <c r="I281" i="4"/>
  <c r="I280" i="4"/>
  <c r="I279" i="4"/>
  <c r="I276" i="4"/>
  <c r="I275" i="4"/>
  <c r="I274" i="4"/>
  <c r="I273" i="4"/>
  <c r="I272" i="4"/>
  <c r="I268" i="4"/>
  <c r="N268" i="4" s="1"/>
  <c r="I267" i="4"/>
  <c r="N267" i="4" s="1"/>
  <c r="I261" i="4"/>
  <c r="I260" i="4"/>
  <c r="I259" i="4"/>
  <c r="I256" i="4"/>
  <c r="I255" i="4"/>
  <c r="I254" i="4"/>
  <c r="I253" i="4"/>
  <c r="I252" i="4"/>
  <c r="I248" i="4"/>
  <c r="N248" i="4" s="1"/>
  <c r="I247" i="4"/>
  <c r="N247" i="4" s="1"/>
  <c r="I241" i="4"/>
  <c r="I240" i="4"/>
  <c r="I239" i="4"/>
  <c r="I237" i="4"/>
  <c r="I236" i="4"/>
  <c r="I235" i="4"/>
  <c r="I234" i="4"/>
  <c r="I233" i="4"/>
  <c r="I232" i="4"/>
  <c r="I221" i="4"/>
  <c r="P221" i="4" s="1"/>
  <c r="I220" i="4"/>
  <c r="I219" i="4"/>
  <c r="I217" i="4"/>
  <c r="I216" i="4"/>
  <c r="N216" i="4" s="1"/>
  <c r="I215" i="4"/>
  <c r="N215" i="4" s="1"/>
  <c r="I214" i="4"/>
  <c r="N214" i="4" s="1"/>
  <c r="I213" i="4"/>
  <c r="I212" i="4"/>
  <c r="N212" i="4" s="1"/>
  <c r="I208" i="4"/>
  <c r="I207" i="4"/>
  <c r="I201" i="4"/>
  <c r="I199" i="4"/>
  <c r="I196" i="4"/>
  <c r="P196" i="4" s="1"/>
  <c r="I195" i="4"/>
  <c r="I194" i="4"/>
  <c r="P194" i="4" s="1"/>
  <c r="I193" i="4"/>
  <c r="N193" i="4" s="1"/>
  <c r="I192" i="4"/>
  <c r="P192" i="4" s="1"/>
  <c r="I187" i="4"/>
  <c r="I181" i="4"/>
  <c r="I179" i="4"/>
  <c r="I178" i="4"/>
  <c r="I177" i="4"/>
  <c r="I176" i="4"/>
  <c r="I175" i="4"/>
  <c r="I174" i="4"/>
  <c r="I173" i="4"/>
  <c r="I172" i="4"/>
  <c r="I168" i="4"/>
  <c r="I167" i="4"/>
  <c r="I165" i="4"/>
  <c r="I161" i="4"/>
  <c r="I159" i="4"/>
  <c r="I158" i="4"/>
  <c r="I156" i="4"/>
  <c r="I155" i="4"/>
  <c r="I154" i="4"/>
  <c r="N154" i="4" s="1"/>
  <c r="I153" i="4"/>
  <c r="I152" i="4"/>
  <c r="I148" i="4"/>
  <c r="I147" i="4"/>
  <c r="P147" i="4" s="1"/>
  <c r="I141" i="4"/>
  <c r="P141" i="4" s="1"/>
  <c r="I139" i="4"/>
  <c r="P139" i="4" s="1"/>
  <c r="I138" i="4"/>
  <c r="P138" i="4" s="1"/>
  <c r="I137" i="4"/>
  <c r="I136" i="4"/>
  <c r="I135" i="4"/>
  <c r="I134" i="4"/>
  <c r="I133" i="4"/>
  <c r="I132" i="4"/>
  <c r="I121" i="4"/>
  <c r="I119" i="4"/>
  <c r="I117" i="4"/>
  <c r="I116" i="4"/>
  <c r="I115" i="4"/>
  <c r="I114" i="4"/>
  <c r="N114" i="4" s="1"/>
  <c r="I113" i="4"/>
  <c r="I112" i="4"/>
  <c r="I108" i="4"/>
  <c r="N108" i="4" s="1"/>
  <c r="I107" i="4"/>
  <c r="I101" i="4"/>
  <c r="I100" i="4"/>
  <c r="P100" i="4" s="1"/>
  <c r="I99" i="4"/>
  <c r="I96" i="4"/>
  <c r="I95" i="4"/>
  <c r="I94" i="4"/>
  <c r="I93" i="4"/>
  <c r="I92" i="4"/>
  <c r="I88" i="4"/>
  <c r="I87" i="4"/>
  <c r="I81" i="4"/>
  <c r="I79" i="4"/>
  <c r="I77" i="4"/>
  <c r="I76" i="4"/>
  <c r="I74" i="4"/>
  <c r="N74" i="4" s="1"/>
  <c r="I73" i="4"/>
  <c r="I72" i="4"/>
  <c r="I68" i="4"/>
  <c r="I61" i="4"/>
  <c r="I59" i="4"/>
  <c r="I56" i="4"/>
  <c r="I55" i="4"/>
  <c r="N55" i="4" s="1"/>
  <c r="I54" i="4"/>
  <c r="I53" i="4"/>
  <c r="I48" i="4"/>
  <c r="I41" i="4"/>
  <c r="I39" i="4"/>
  <c r="I37" i="4"/>
  <c r="I36" i="4"/>
  <c r="N36" i="4" s="1"/>
  <c r="I35" i="4"/>
  <c r="N35" i="4" s="1"/>
  <c r="I34" i="4"/>
  <c r="I33" i="4"/>
  <c r="I21" i="4"/>
  <c r="I19" i="4"/>
  <c r="I18" i="4"/>
  <c r="P18" i="4" s="1"/>
  <c r="I17" i="4"/>
  <c r="I16" i="4"/>
  <c r="I15" i="4"/>
  <c r="I14" i="4"/>
  <c r="I13" i="4"/>
  <c r="I8" i="4"/>
  <c r="N8" i="4" s="1"/>
  <c r="H286" i="4"/>
  <c r="O286" i="4" s="1"/>
  <c r="H285" i="4"/>
  <c r="H284" i="4"/>
  <c r="H281" i="4"/>
  <c r="H280" i="4"/>
  <c r="H279" i="4"/>
  <c r="O279" i="4" s="1"/>
  <c r="H275" i="4"/>
  <c r="H273" i="4"/>
  <c r="H272" i="4"/>
  <c r="H266" i="4"/>
  <c r="H265" i="4"/>
  <c r="H264" i="4"/>
  <c r="H263" i="4"/>
  <c r="O263" i="4" s="1"/>
  <c r="H261" i="4"/>
  <c r="H260" i="4"/>
  <c r="N260" i="4" s="1"/>
  <c r="H259" i="4"/>
  <c r="H258" i="4"/>
  <c r="H255" i="4"/>
  <c r="H253" i="4"/>
  <c r="H252" i="4"/>
  <c r="H245" i="4"/>
  <c r="O245" i="4" s="1"/>
  <c r="H241" i="4"/>
  <c r="H240" i="4"/>
  <c r="O240" i="4" s="1"/>
  <c r="H239" i="4"/>
  <c r="H237" i="4"/>
  <c r="H235" i="4"/>
  <c r="O235" i="4" s="1"/>
  <c r="H233" i="4"/>
  <c r="H232" i="4"/>
  <c r="H226" i="4"/>
  <c r="H225" i="4"/>
  <c r="O225" i="4" s="1"/>
  <c r="H224" i="4"/>
  <c r="H223" i="4"/>
  <c r="H220" i="4"/>
  <c r="H219" i="4"/>
  <c r="H215" i="4"/>
  <c r="H213" i="4"/>
  <c r="H212" i="4"/>
  <c r="H206" i="4"/>
  <c r="H205" i="4"/>
  <c r="H204" i="4"/>
  <c r="H201" i="4"/>
  <c r="H199" i="4"/>
  <c r="H197" i="4"/>
  <c r="H195" i="4"/>
  <c r="H193" i="4"/>
  <c r="H192" i="4"/>
  <c r="O192" i="4" s="1"/>
  <c r="H187" i="4"/>
  <c r="H185" i="4"/>
  <c r="H181" i="4"/>
  <c r="H179" i="4"/>
  <c r="H175" i="4"/>
  <c r="H173" i="4"/>
  <c r="O173" i="4" s="1"/>
  <c r="H172" i="4"/>
  <c r="H166" i="4"/>
  <c r="H165" i="4"/>
  <c r="H164" i="4"/>
  <c r="O164" i="4" s="1"/>
  <c r="H163" i="4"/>
  <c r="H161" i="4"/>
  <c r="H159" i="4"/>
  <c r="H158" i="4"/>
  <c r="H155" i="4"/>
  <c r="H153" i="4"/>
  <c r="O153" i="4" s="1"/>
  <c r="H152" i="4"/>
  <c r="H146" i="4"/>
  <c r="H145" i="4"/>
  <c r="O145" i="4" s="1"/>
  <c r="H144" i="4"/>
  <c r="H141" i="4"/>
  <c r="H139" i="4"/>
  <c r="H137" i="4"/>
  <c r="O137" i="4" s="1"/>
  <c r="H135" i="4"/>
  <c r="H133" i="4"/>
  <c r="H132" i="4"/>
  <c r="H121" i="4"/>
  <c r="H120" i="4"/>
  <c r="H119" i="4"/>
  <c r="H117" i="4"/>
  <c r="N117" i="4" s="1"/>
  <c r="H115" i="4"/>
  <c r="H113" i="4"/>
  <c r="N113" i="4" s="1"/>
  <c r="H112" i="4"/>
  <c r="O112" i="4" s="1"/>
  <c r="H106" i="4"/>
  <c r="H105" i="4"/>
  <c r="H101" i="4"/>
  <c r="H99" i="4"/>
  <c r="H98" i="4"/>
  <c r="H95" i="4"/>
  <c r="H93" i="4"/>
  <c r="H92" i="4"/>
  <c r="H86" i="4"/>
  <c r="H85" i="4"/>
  <c r="H84" i="4"/>
  <c r="O84" i="4" s="1"/>
  <c r="H83" i="4"/>
  <c r="H81" i="4"/>
  <c r="H80" i="4"/>
  <c r="H79" i="4"/>
  <c r="H78" i="4"/>
  <c r="O78" i="4" s="1"/>
  <c r="H77" i="4"/>
  <c r="O77" i="4" s="1"/>
  <c r="H73" i="4"/>
  <c r="H61" i="4"/>
  <c r="H59" i="4"/>
  <c r="H57" i="4"/>
  <c r="O57" i="4" s="1"/>
  <c r="H55" i="4"/>
  <c r="O55" i="4" s="1"/>
  <c r="H53" i="4"/>
  <c r="H46" i="4"/>
  <c r="H45" i="4"/>
  <c r="H44" i="4"/>
  <c r="H43" i="4"/>
  <c r="H41" i="4"/>
  <c r="O41" i="4" s="1"/>
  <c r="H39" i="4"/>
  <c r="H35" i="4"/>
  <c r="H33" i="4"/>
  <c r="H26" i="4"/>
  <c r="H25" i="4"/>
  <c r="H21" i="4"/>
  <c r="H19" i="4"/>
  <c r="H17" i="4"/>
  <c r="H15" i="4"/>
  <c r="H13" i="4"/>
  <c r="D286" i="4"/>
  <c r="D285" i="4"/>
  <c r="D284" i="4"/>
  <c r="D283" i="4"/>
  <c r="D282" i="4"/>
  <c r="D281" i="4"/>
  <c r="M281" i="4" s="1"/>
  <c r="T281" i="4" s="1"/>
  <c r="D280" i="4"/>
  <c r="M280" i="4" s="1"/>
  <c r="T280" i="4" s="1"/>
  <c r="D279" i="4"/>
  <c r="M279" i="4" s="1"/>
  <c r="T279" i="4" s="1"/>
  <c r="D278" i="4"/>
  <c r="D277" i="4"/>
  <c r="I277" i="4" s="1"/>
  <c r="P277" i="4" s="1"/>
  <c r="D276" i="4"/>
  <c r="H276" i="4" s="1"/>
  <c r="D275" i="4"/>
  <c r="D274" i="4"/>
  <c r="H274" i="4" s="1"/>
  <c r="D273" i="4"/>
  <c r="D272" i="4"/>
  <c r="D271" i="4"/>
  <c r="M271" i="4" s="1"/>
  <c r="T271" i="4" s="1"/>
  <c r="D270" i="4"/>
  <c r="D269" i="4"/>
  <c r="M269" i="4" s="1"/>
  <c r="D268" i="4"/>
  <c r="H268" i="4" s="1"/>
  <c r="D267" i="4"/>
  <c r="H267" i="4" s="1"/>
  <c r="D266" i="4"/>
  <c r="D265" i="4"/>
  <c r="D264" i="4"/>
  <c r="D263" i="4"/>
  <c r="D262" i="4"/>
  <c r="D261" i="4"/>
  <c r="M261" i="4" s="1"/>
  <c r="T261" i="4" s="1"/>
  <c r="D260" i="4"/>
  <c r="M260" i="4" s="1"/>
  <c r="T260" i="4" s="1"/>
  <c r="D259" i="4"/>
  <c r="M259" i="4" s="1"/>
  <c r="T259" i="4" s="1"/>
  <c r="D258" i="4"/>
  <c r="D257" i="4"/>
  <c r="D256" i="4"/>
  <c r="H256" i="4" s="1"/>
  <c r="D255" i="4"/>
  <c r="D254" i="4"/>
  <c r="H254" i="4" s="1"/>
  <c r="D253" i="4"/>
  <c r="D252" i="4"/>
  <c r="D251" i="4"/>
  <c r="D250" i="4"/>
  <c r="D249" i="4"/>
  <c r="D248" i="4"/>
  <c r="H248" i="4" s="1"/>
  <c r="D247" i="4"/>
  <c r="H247" i="4" s="1"/>
  <c r="D246" i="4"/>
  <c r="D245" i="4"/>
  <c r="D244" i="4"/>
  <c r="D243" i="4"/>
  <c r="D242" i="4"/>
  <c r="D241" i="4"/>
  <c r="M241" i="4" s="1"/>
  <c r="T241" i="4" s="1"/>
  <c r="D240" i="4"/>
  <c r="M240" i="4" s="1"/>
  <c r="D239" i="4"/>
  <c r="M239" i="4" s="1"/>
  <c r="T239" i="4" s="1"/>
  <c r="D238" i="4"/>
  <c r="D237" i="4"/>
  <c r="M237" i="4" s="1"/>
  <c r="D236" i="4"/>
  <c r="H236" i="4" s="1"/>
  <c r="D235" i="4"/>
  <c r="D234" i="4"/>
  <c r="H234" i="4" s="1"/>
  <c r="D233" i="4"/>
  <c r="D232" i="4"/>
  <c r="D231" i="4"/>
  <c r="D230" i="4"/>
  <c r="D229" i="4"/>
  <c r="D228" i="4"/>
  <c r="H228" i="4" s="1"/>
  <c r="D227" i="4"/>
  <c r="H227" i="4" s="1"/>
  <c r="D226" i="4"/>
  <c r="D225" i="4"/>
  <c r="D224" i="4"/>
  <c r="D223" i="4"/>
  <c r="D222" i="4"/>
  <c r="D221" i="4"/>
  <c r="M221" i="4" s="1"/>
  <c r="D220" i="4"/>
  <c r="M220" i="4" s="1"/>
  <c r="D219" i="4"/>
  <c r="M219" i="4" s="1"/>
  <c r="T219" i="4" s="1"/>
  <c r="D218" i="4"/>
  <c r="D217" i="4"/>
  <c r="D216" i="4"/>
  <c r="H216" i="4" s="1"/>
  <c r="D215" i="4"/>
  <c r="D214" i="4"/>
  <c r="H214" i="4" s="1"/>
  <c r="D213" i="4"/>
  <c r="D212" i="4"/>
  <c r="D211" i="4"/>
  <c r="D210" i="4"/>
  <c r="D209" i="4"/>
  <c r="D208" i="4"/>
  <c r="H208" i="4" s="1"/>
  <c r="D207" i="4"/>
  <c r="H207" i="4" s="1"/>
  <c r="D206" i="4"/>
  <c r="D205" i="4"/>
  <c r="D204" i="4"/>
  <c r="D203" i="4"/>
  <c r="D202" i="4"/>
  <c r="D201" i="4"/>
  <c r="M201" i="4" s="1"/>
  <c r="T201" i="4" s="1"/>
  <c r="D200" i="4"/>
  <c r="D199" i="4"/>
  <c r="M199" i="4" s="1"/>
  <c r="D198" i="4"/>
  <c r="D197" i="4"/>
  <c r="D196" i="4"/>
  <c r="H196" i="4" s="1"/>
  <c r="D195" i="4"/>
  <c r="D194" i="4"/>
  <c r="H194" i="4" s="1"/>
  <c r="D193" i="4"/>
  <c r="D192" i="4"/>
  <c r="D191" i="4"/>
  <c r="D190" i="4"/>
  <c r="D189" i="4"/>
  <c r="D188" i="4"/>
  <c r="H188" i="4" s="1"/>
  <c r="D187" i="4"/>
  <c r="D186" i="4"/>
  <c r="D185" i="4"/>
  <c r="D184" i="4"/>
  <c r="D183" i="4"/>
  <c r="D182" i="4"/>
  <c r="H182" i="4" s="1"/>
  <c r="D181" i="4"/>
  <c r="M181" i="4" s="1"/>
  <c r="D180" i="4"/>
  <c r="D179" i="4"/>
  <c r="M179" i="4" s="1"/>
  <c r="D178" i="4"/>
  <c r="D177" i="4"/>
  <c r="M177" i="4" s="1"/>
  <c r="D176" i="4"/>
  <c r="H176" i="4" s="1"/>
  <c r="D175" i="4"/>
  <c r="D174" i="4"/>
  <c r="H174" i="4" s="1"/>
  <c r="D173" i="4"/>
  <c r="D172" i="4"/>
  <c r="D171" i="4"/>
  <c r="M171" i="4" s="1"/>
  <c r="D170" i="4"/>
  <c r="M170" i="4" s="1"/>
  <c r="D169" i="4"/>
  <c r="M169" i="4" s="1"/>
  <c r="D168" i="4"/>
  <c r="H168" i="4" s="1"/>
  <c r="D167" i="4"/>
  <c r="H167" i="4" s="1"/>
  <c r="D166" i="4"/>
  <c r="D165" i="4"/>
  <c r="D164" i="4"/>
  <c r="D163" i="4"/>
  <c r="D162" i="4"/>
  <c r="D161" i="4"/>
  <c r="M161" i="4" s="1"/>
  <c r="D160" i="4"/>
  <c r="D159" i="4"/>
  <c r="M159" i="4" s="1"/>
  <c r="D158" i="4"/>
  <c r="D157" i="4"/>
  <c r="D156" i="4"/>
  <c r="H156" i="4" s="1"/>
  <c r="N156" i="4" s="1"/>
  <c r="D155" i="4"/>
  <c r="D154" i="4"/>
  <c r="H154" i="4" s="1"/>
  <c r="D153" i="4"/>
  <c r="D152" i="4"/>
  <c r="D151" i="4"/>
  <c r="D150" i="4"/>
  <c r="D149" i="4"/>
  <c r="D148" i="4"/>
  <c r="H148" i="4" s="1"/>
  <c r="D147" i="4"/>
  <c r="H147" i="4" s="1"/>
  <c r="D146" i="4"/>
  <c r="D145" i="4"/>
  <c r="D144" i="4"/>
  <c r="D143" i="4"/>
  <c r="D142" i="4"/>
  <c r="D141" i="4"/>
  <c r="M141" i="4" s="1"/>
  <c r="D140" i="4"/>
  <c r="D139" i="4"/>
  <c r="M139" i="4" s="1"/>
  <c r="D138" i="4"/>
  <c r="M138" i="4" s="1"/>
  <c r="T138" i="4" s="1"/>
  <c r="D137" i="4"/>
  <c r="M137" i="4" s="1"/>
  <c r="D136" i="4"/>
  <c r="H136" i="4" s="1"/>
  <c r="D135" i="4"/>
  <c r="D134" i="4"/>
  <c r="H134" i="4" s="1"/>
  <c r="D133" i="4"/>
  <c r="D132" i="4"/>
  <c r="D131" i="4"/>
  <c r="D130" i="4"/>
  <c r="D129" i="4"/>
  <c r="D128" i="4"/>
  <c r="H128" i="4" s="1"/>
  <c r="D127" i="4"/>
  <c r="H127" i="4" s="1"/>
  <c r="D126" i="4"/>
  <c r="D125" i="4"/>
  <c r="D124" i="4"/>
  <c r="D123" i="4"/>
  <c r="D122" i="4"/>
  <c r="D121" i="4"/>
  <c r="M121" i="4" s="1"/>
  <c r="D120" i="4"/>
  <c r="D119" i="4"/>
  <c r="M119" i="4" s="1"/>
  <c r="T119" i="4" s="1"/>
  <c r="D118" i="4"/>
  <c r="D117" i="4"/>
  <c r="M117" i="4" s="1"/>
  <c r="T117" i="4" s="1"/>
  <c r="D116" i="4"/>
  <c r="H116" i="4" s="1"/>
  <c r="O116" i="4" s="1"/>
  <c r="D115" i="4"/>
  <c r="D114" i="4"/>
  <c r="H114" i="4" s="1"/>
  <c r="D113" i="4"/>
  <c r="D112" i="4"/>
  <c r="D111" i="4"/>
  <c r="M111" i="4" s="1"/>
  <c r="D110" i="4"/>
  <c r="M110" i="4" s="1"/>
  <c r="D109" i="4"/>
  <c r="M109" i="4" s="1"/>
  <c r="D108" i="4"/>
  <c r="H108" i="4" s="1"/>
  <c r="D107" i="4"/>
  <c r="H107" i="4" s="1"/>
  <c r="D106" i="4"/>
  <c r="D105" i="4"/>
  <c r="D104" i="4"/>
  <c r="D103" i="4"/>
  <c r="D102" i="4"/>
  <c r="D101" i="4"/>
  <c r="M101" i="4" s="1"/>
  <c r="D100" i="4"/>
  <c r="D99" i="4"/>
  <c r="M99" i="4" s="1"/>
  <c r="D98" i="4"/>
  <c r="D97" i="4"/>
  <c r="D96" i="4"/>
  <c r="H96" i="4" s="1"/>
  <c r="D95" i="4"/>
  <c r="D94" i="4"/>
  <c r="H94" i="4" s="1"/>
  <c r="D93" i="4"/>
  <c r="D92" i="4"/>
  <c r="D91" i="4"/>
  <c r="D90" i="4"/>
  <c r="D89" i="4"/>
  <c r="D88" i="4"/>
  <c r="H88" i="4" s="1"/>
  <c r="D87" i="4"/>
  <c r="H87" i="4" s="1"/>
  <c r="N87" i="4" s="1"/>
  <c r="D86" i="4"/>
  <c r="D85" i="4"/>
  <c r="D84" i="4"/>
  <c r="D83" i="4"/>
  <c r="D82" i="4"/>
  <c r="D81" i="4"/>
  <c r="M81" i="4" s="1"/>
  <c r="T81" i="4" s="1"/>
  <c r="D80" i="4"/>
  <c r="D79" i="4"/>
  <c r="M79" i="4" s="1"/>
  <c r="T79" i="4" s="1"/>
  <c r="D78" i="4"/>
  <c r="D77" i="4"/>
  <c r="M77" i="4" s="1"/>
  <c r="D76" i="4"/>
  <c r="H76" i="4" s="1"/>
  <c r="O76" i="4" s="1"/>
  <c r="D75" i="4"/>
  <c r="H75" i="4" s="1"/>
  <c r="O75" i="4" s="1"/>
  <c r="D74" i="4"/>
  <c r="H74" i="4" s="1"/>
  <c r="O74" i="4" s="1"/>
  <c r="D73" i="4"/>
  <c r="D72" i="4"/>
  <c r="D71" i="4"/>
  <c r="M71" i="4" s="1"/>
  <c r="D70" i="4"/>
  <c r="M70" i="4" s="1"/>
  <c r="D69" i="4"/>
  <c r="D68" i="4"/>
  <c r="H68" i="4" s="1"/>
  <c r="D67" i="4"/>
  <c r="D66" i="4"/>
  <c r="D65" i="4"/>
  <c r="D64" i="4"/>
  <c r="D63" i="4"/>
  <c r="M63" i="4" s="1"/>
  <c r="D62" i="4"/>
  <c r="M62" i="4" s="1"/>
  <c r="D61" i="4"/>
  <c r="M61" i="4" s="1"/>
  <c r="T61" i="4" s="1"/>
  <c r="D60" i="4"/>
  <c r="D59" i="4"/>
  <c r="M59" i="4" s="1"/>
  <c r="T59" i="4" s="1"/>
  <c r="D58" i="4"/>
  <c r="D57" i="4"/>
  <c r="D56" i="4"/>
  <c r="H56" i="4" s="1"/>
  <c r="N56" i="4" s="1"/>
  <c r="D55" i="4"/>
  <c r="D54" i="4"/>
  <c r="H54" i="4" s="1"/>
  <c r="D53" i="4"/>
  <c r="D52" i="4"/>
  <c r="D51" i="4"/>
  <c r="D50" i="4"/>
  <c r="D49" i="4"/>
  <c r="D48" i="4"/>
  <c r="H48" i="4" s="1"/>
  <c r="D47" i="4"/>
  <c r="D46" i="4"/>
  <c r="D45" i="4"/>
  <c r="D44" i="4"/>
  <c r="D43" i="4"/>
  <c r="D42" i="4"/>
  <c r="D41" i="4"/>
  <c r="M41" i="4" s="1"/>
  <c r="T41" i="4" s="1"/>
  <c r="D40" i="4"/>
  <c r="D39" i="4"/>
  <c r="M39" i="4" s="1"/>
  <c r="T39" i="4" s="1"/>
  <c r="D38" i="4"/>
  <c r="D37" i="4"/>
  <c r="D36" i="4"/>
  <c r="H36" i="4" s="1"/>
  <c r="D35" i="4"/>
  <c r="D34" i="4"/>
  <c r="H34" i="4" s="1"/>
  <c r="D33" i="4"/>
  <c r="D32" i="4"/>
  <c r="D31" i="4"/>
  <c r="D30" i="4"/>
  <c r="D29" i="4"/>
  <c r="D28" i="4"/>
  <c r="H28" i="4" s="1"/>
  <c r="D27" i="4"/>
  <c r="D26" i="4"/>
  <c r="D25" i="4"/>
  <c r="D24" i="4"/>
  <c r="D23" i="4"/>
  <c r="D22" i="4"/>
  <c r="D21" i="4"/>
  <c r="M21" i="4" s="1"/>
  <c r="D20" i="4"/>
  <c r="D19" i="4"/>
  <c r="M19" i="4" s="1"/>
  <c r="T19" i="4" s="1"/>
  <c r="D18" i="4"/>
  <c r="D17" i="4"/>
  <c r="M17" i="4" s="1"/>
  <c r="D16" i="4"/>
  <c r="H16" i="4" s="1"/>
  <c r="O16" i="4" s="1"/>
  <c r="D15" i="4"/>
  <c r="D14" i="4"/>
  <c r="H14" i="4" s="1"/>
  <c r="D13" i="4"/>
  <c r="D12" i="4"/>
  <c r="D11" i="4"/>
  <c r="M11" i="4" s="1"/>
  <c r="D10" i="4"/>
  <c r="M10" i="4" s="1"/>
  <c r="D9" i="4"/>
  <c r="M9" i="4" s="1"/>
  <c r="D8" i="4"/>
  <c r="H8" i="4" s="1"/>
  <c r="D7" i="4"/>
  <c r="D6" i="4"/>
  <c r="D5" i="4"/>
  <c r="D4" i="4"/>
  <c r="D3" i="4"/>
  <c r="D2" i="4"/>
  <c r="M174" i="3"/>
  <c r="M172" i="3"/>
  <c r="M171" i="3"/>
  <c r="M166" i="3"/>
  <c r="M157" i="3"/>
  <c r="M156" i="3"/>
  <c r="M154" i="3"/>
  <c r="M151" i="3"/>
  <c r="M146" i="3"/>
  <c r="M145" i="3"/>
  <c r="M144" i="3"/>
  <c r="M143" i="3"/>
  <c r="M142" i="3"/>
  <c r="M139" i="3"/>
  <c r="M138" i="3"/>
  <c r="M137" i="3"/>
  <c r="M136" i="3"/>
  <c r="M134" i="3"/>
  <c r="M132" i="3"/>
  <c r="M131" i="3"/>
  <c r="T131" i="3" s="1"/>
  <c r="M123" i="3"/>
  <c r="M117" i="3"/>
  <c r="M116" i="3"/>
  <c r="M114" i="3"/>
  <c r="M112" i="3"/>
  <c r="M111" i="3"/>
  <c r="M105" i="3"/>
  <c r="M104" i="3"/>
  <c r="M103" i="3"/>
  <c r="M102" i="3"/>
  <c r="M97" i="3"/>
  <c r="M92" i="3"/>
  <c r="M91" i="3"/>
  <c r="M83" i="3"/>
  <c r="M82" i="3"/>
  <c r="T82" i="3" s="1"/>
  <c r="M79" i="3"/>
  <c r="M78" i="3"/>
  <c r="M77" i="3"/>
  <c r="M76" i="3"/>
  <c r="M65" i="3"/>
  <c r="M62" i="3"/>
  <c r="M60" i="3"/>
  <c r="M59" i="3"/>
  <c r="M58" i="3"/>
  <c r="T58" i="3" s="1"/>
  <c r="M57" i="3"/>
  <c r="M56" i="3"/>
  <c r="M54" i="3"/>
  <c r="M52" i="3"/>
  <c r="M51" i="3"/>
  <c r="M45" i="3"/>
  <c r="M44" i="3"/>
  <c r="M37" i="3"/>
  <c r="M36" i="3"/>
  <c r="M34" i="3"/>
  <c r="M32" i="3"/>
  <c r="M31" i="3"/>
  <c r="M25" i="3"/>
  <c r="M24" i="3"/>
  <c r="M23" i="3"/>
  <c r="M22" i="3"/>
  <c r="T22" i="3" s="1"/>
  <c r="M20" i="3"/>
  <c r="M19" i="3"/>
  <c r="M17" i="3"/>
  <c r="M11" i="3"/>
  <c r="M3" i="3"/>
  <c r="M2" i="3"/>
  <c r="I175" i="3"/>
  <c r="I174" i="3"/>
  <c r="I172" i="3"/>
  <c r="I171" i="3"/>
  <c r="I165" i="3"/>
  <c r="I157" i="3"/>
  <c r="I156" i="3"/>
  <c r="I155" i="3"/>
  <c r="I152" i="3"/>
  <c r="I151" i="3"/>
  <c r="I145" i="3"/>
  <c r="P145" i="3" s="1"/>
  <c r="I140" i="3"/>
  <c r="I137" i="3"/>
  <c r="I136" i="3"/>
  <c r="P136" i="3" s="1"/>
  <c r="I135" i="3"/>
  <c r="I134" i="3"/>
  <c r="I131" i="3"/>
  <c r="I120" i="3"/>
  <c r="I119" i="3"/>
  <c r="I117" i="3"/>
  <c r="I116" i="3"/>
  <c r="I115" i="3"/>
  <c r="I114" i="3"/>
  <c r="I112" i="3"/>
  <c r="I111" i="3"/>
  <c r="I108" i="3"/>
  <c r="I97" i="3"/>
  <c r="I96" i="3"/>
  <c r="I95" i="3"/>
  <c r="I94" i="3"/>
  <c r="P94" i="3" s="1"/>
  <c r="I92" i="3"/>
  <c r="I91" i="3"/>
  <c r="I90" i="3"/>
  <c r="I88" i="3"/>
  <c r="P88" i="3" s="1"/>
  <c r="I86" i="3"/>
  <c r="I85" i="3"/>
  <c r="N85" i="3" s="1"/>
  <c r="I79" i="3"/>
  <c r="I77" i="3"/>
  <c r="I76" i="3"/>
  <c r="I75" i="3"/>
  <c r="I71" i="3"/>
  <c r="I65" i="3"/>
  <c r="I59" i="3"/>
  <c r="I58" i="3"/>
  <c r="P58" i="3" s="1"/>
  <c r="I57" i="3"/>
  <c r="P57" i="3" s="1"/>
  <c r="I56" i="3"/>
  <c r="I55" i="3"/>
  <c r="I54" i="3"/>
  <c r="I52" i="3"/>
  <c r="I51" i="3"/>
  <c r="I50" i="3"/>
  <c r="I40" i="3"/>
  <c r="I37" i="3"/>
  <c r="N37" i="3" s="1"/>
  <c r="I36" i="3"/>
  <c r="I35" i="3"/>
  <c r="I34" i="3"/>
  <c r="I32" i="3"/>
  <c r="I31" i="3"/>
  <c r="I25" i="3"/>
  <c r="I17" i="3"/>
  <c r="I15" i="3"/>
  <c r="I12" i="3"/>
  <c r="I11" i="3"/>
  <c r="P11" i="3" s="1"/>
  <c r="I10" i="3"/>
  <c r="I8" i="3"/>
  <c r="I6" i="3"/>
  <c r="P6" i="3" s="1"/>
  <c r="I5" i="3"/>
  <c r="P5" i="3" s="1"/>
  <c r="H175" i="3"/>
  <c r="H174" i="3"/>
  <c r="H172" i="3"/>
  <c r="H171" i="3"/>
  <c r="H170" i="3"/>
  <c r="H164" i="3"/>
  <c r="H159" i="3"/>
  <c r="H157" i="3"/>
  <c r="H156" i="3"/>
  <c r="H155" i="3"/>
  <c r="H154" i="3"/>
  <c r="H152" i="3"/>
  <c r="H151" i="3"/>
  <c r="O151" i="3" s="1"/>
  <c r="H150" i="3"/>
  <c r="O150" i="3" s="1"/>
  <c r="H149" i="3"/>
  <c r="H148" i="3"/>
  <c r="H147" i="3"/>
  <c r="O147" i="3" s="1"/>
  <c r="H137" i="3"/>
  <c r="O137" i="3" s="1"/>
  <c r="H136" i="3"/>
  <c r="O136" i="3" s="1"/>
  <c r="H135" i="3"/>
  <c r="H134" i="3"/>
  <c r="O134" i="3" s="1"/>
  <c r="H132" i="3"/>
  <c r="H131" i="3"/>
  <c r="H129" i="3"/>
  <c r="H128" i="3"/>
  <c r="H127" i="3"/>
  <c r="H125" i="3"/>
  <c r="H124" i="3"/>
  <c r="H122" i="3"/>
  <c r="O122" i="3" s="1"/>
  <c r="H117" i="3"/>
  <c r="H116" i="3"/>
  <c r="H115" i="3"/>
  <c r="H112" i="3"/>
  <c r="H111" i="3"/>
  <c r="H107" i="3"/>
  <c r="H104" i="3"/>
  <c r="H102" i="3"/>
  <c r="H100" i="3"/>
  <c r="H99" i="3"/>
  <c r="O99" i="3" s="1"/>
  <c r="H97" i="3"/>
  <c r="H95" i="3"/>
  <c r="H92" i="3"/>
  <c r="H89" i="3"/>
  <c r="H88" i="3"/>
  <c r="N88" i="3" s="1"/>
  <c r="H87" i="3"/>
  <c r="H85" i="3"/>
  <c r="H77" i="3"/>
  <c r="H76" i="3"/>
  <c r="H75" i="3"/>
  <c r="H74" i="3"/>
  <c r="H65" i="3"/>
  <c r="H64" i="3"/>
  <c r="H62" i="3"/>
  <c r="H59" i="3"/>
  <c r="O59" i="3" s="1"/>
  <c r="H57" i="3"/>
  <c r="H56" i="3"/>
  <c r="H55" i="3"/>
  <c r="H54" i="3"/>
  <c r="H52" i="3"/>
  <c r="H51" i="3"/>
  <c r="H39" i="3"/>
  <c r="H37" i="3"/>
  <c r="H36" i="3"/>
  <c r="H35" i="3"/>
  <c r="H34" i="3"/>
  <c r="H32" i="3"/>
  <c r="H31" i="3"/>
  <c r="H29" i="3"/>
  <c r="H28" i="3"/>
  <c r="H22" i="3"/>
  <c r="H17" i="3"/>
  <c r="H16" i="3"/>
  <c r="O16" i="3" s="1"/>
  <c r="H15" i="3"/>
  <c r="H14" i="3"/>
  <c r="O14" i="3" s="1"/>
  <c r="H12" i="3"/>
  <c r="H11" i="3"/>
  <c r="H9" i="3"/>
  <c r="H5" i="3"/>
  <c r="D175" i="3"/>
  <c r="M175" i="3" s="1"/>
  <c r="D174" i="3"/>
  <c r="D173" i="3"/>
  <c r="D172" i="3"/>
  <c r="D171" i="3"/>
  <c r="D170" i="3"/>
  <c r="M170" i="3" s="1"/>
  <c r="D169" i="3"/>
  <c r="D168" i="3"/>
  <c r="D167" i="3"/>
  <c r="D166" i="3"/>
  <c r="D165" i="3"/>
  <c r="H165" i="3" s="1"/>
  <c r="D164" i="3"/>
  <c r="I164" i="3" s="1"/>
  <c r="D163" i="3"/>
  <c r="D162" i="3"/>
  <c r="D161" i="3"/>
  <c r="D160" i="3"/>
  <c r="D159" i="3"/>
  <c r="D158" i="3"/>
  <c r="D157" i="3"/>
  <c r="D156" i="3"/>
  <c r="D155" i="3"/>
  <c r="M155" i="3" s="1"/>
  <c r="D154" i="3"/>
  <c r="I154" i="3" s="1"/>
  <c r="D153" i="3"/>
  <c r="D152" i="3"/>
  <c r="M152" i="3" s="1"/>
  <c r="D151" i="3"/>
  <c r="D150" i="3"/>
  <c r="D149" i="3"/>
  <c r="D148" i="3"/>
  <c r="D147" i="3"/>
  <c r="D146" i="3"/>
  <c r="D145" i="3"/>
  <c r="H145" i="3" s="1"/>
  <c r="D144" i="3"/>
  <c r="D143" i="3"/>
  <c r="D142" i="3"/>
  <c r="D141" i="3"/>
  <c r="D140" i="3"/>
  <c r="D139" i="3"/>
  <c r="H139" i="3" s="1"/>
  <c r="O139" i="3" s="1"/>
  <c r="D138" i="3"/>
  <c r="H138" i="3" s="1"/>
  <c r="D137" i="3"/>
  <c r="D136" i="3"/>
  <c r="D135" i="3"/>
  <c r="M135" i="3" s="1"/>
  <c r="D134" i="3"/>
  <c r="D133" i="3"/>
  <c r="D132" i="3"/>
  <c r="I132" i="3" s="1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H119" i="3" s="1"/>
  <c r="D118" i="3"/>
  <c r="H118" i="3" s="1"/>
  <c r="D117" i="3"/>
  <c r="D116" i="3"/>
  <c r="D115" i="3"/>
  <c r="M115" i="3" s="1"/>
  <c r="D114" i="3"/>
  <c r="H114" i="3" s="1"/>
  <c r="D113" i="3"/>
  <c r="D112" i="3"/>
  <c r="D111" i="3"/>
  <c r="D110" i="3"/>
  <c r="D109" i="3"/>
  <c r="D108" i="3"/>
  <c r="D107" i="3"/>
  <c r="D106" i="3"/>
  <c r="D105" i="3"/>
  <c r="I105" i="3" s="1"/>
  <c r="D104" i="3"/>
  <c r="I104" i="3" s="1"/>
  <c r="D103" i="3"/>
  <c r="D102" i="3"/>
  <c r="I102" i="3" s="1"/>
  <c r="D101" i="3"/>
  <c r="D100" i="3"/>
  <c r="D99" i="3"/>
  <c r="D98" i="3"/>
  <c r="D97" i="3"/>
  <c r="D96" i="3"/>
  <c r="H96" i="3" s="1"/>
  <c r="D95" i="3"/>
  <c r="M95" i="3" s="1"/>
  <c r="D94" i="3"/>
  <c r="H94" i="3" s="1"/>
  <c r="D93" i="3"/>
  <c r="D92" i="3"/>
  <c r="D91" i="3"/>
  <c r="H91" i="3" s="1"/>
  <c r="D90" i="3"/>
  <c r="D89" i="3"/>
  <c r="D88" i="3"/>
  <c r="M88" i="3" s="1"/>
  <c r="T88" i="3" s="1"/>
  <c r="D87" i="3"/>
  <c r="D86" i="3"/>
  <c r="M86" i="3" s="1"/>
  <c r="D85" i="3"/>
  <c r="M85" i="3" s="1"/>
  <c r="D84" i="3"/>
  <c r="I84" i="3" s="1"/>
  <c r="D83" i="3"/>
  <c r="D82" i="3"/>
  <c r="I82" i="3" s="1"/>
  <c r="D81" i="3"/>
  <c r="D80" i="3"/>
  <c r="D79" i="3"/>
  <c r="H79" i="3" s="1"/>
  <c r="D78" i="3"/>
  <c r="H78" i="3" s="1"/>
  <c r="D77" i="3"/>
  <c r="D76" i="3"/>
  <c r="D75" i="3"/>
  <c r="M75" i="3" s="1"/>
  <c r="D74" i="3"/>
  <c r="M74" i="3" s="1"/>
  <c r="D73" i="3"/>
  <c r="D72" i="3"/>
  <c r="M72" i="3" s="1"/>
  <c r="D71" i="3"/>
  <c r="M71" i="3" s="1"/>
  <c r="D70" i="3"/>
  <c r="D69" i="3"/>
  <c r="D68" i="3"/>
  <c r="D67" i="3"/>
  <c r="D66" i="3"/>
  <c r="D65" i="3"/>
  <c r="D64" i="3"/>
  <c r="D63" i="3"/>
  <c r="D62" i="3"/>
  <c r="I62" i="3" s="1"/>
  <c r="D61" i="3"/>
  <c r="D60" i="3"/>
  <c r="D59" i="3"/>
  <c r="D58" i="3"/>
  <c r="H58" i="3" s="1"/>
  <c r="O58" i="3" s="1"/>
  <c r="D57" i="3"/>
  <c r="D56" i="3"/>
  <c r="D55" i="3"/>
  <c r="M55" i="3" s="1"/>
  <c r="D54" i="3"/>
  <c r="D53" i="3"/>
  <c r="M53" i="3" s="1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I39" i="3" s="1"/>
  <c r="D38" i="3"/>
  <c r="D37" i="3"/>
  <c r="D36" i="3"/>
  <c r="D35" i="3"/>
  <c r="M35" i="3" s="1"/>
  <c r="D34" i="3"/>
  <c r="D33" i="3"/>
  <c r="D32" i="3"/>
  <c r="D31" i="3"/>
  <c r="D30" i="3"/>
  <c r="D29" i="3"/>
  <c r="D28" i="3"/>
  <c r="D27" i="3"/>
  <c r="D26" i="3"/>
  <c r="M26" i="3" s="1"/>
  <c r="D25" i="3"/>
  <c r="H25" i="3" s="1"/>
  <c r="D24" i="3"/>
  <c r="D23" i="3"/>
  <c r="D22" i="3"/>
  <c r="I22" i="3" s="1"/>
  <c r="D21" i="3"/>
  <c r="D20" i="3"/>
  <c r="D19" i="3"/>
  <c r="D18" i="3"/>
  <c r="D17" i="3"/>
  <c r="D16" i="3"/>
  <c r="M16" i="3" s="1"/>
  <c r="D15" i="3"/>
  <c r="M15" i="3" s="1"/>
  <c r="D14" i="3"/>
  <c r="M14" i="3" s="1"/>
  <c r="D13" i="3"/>
  <c r="D12" i="3"/>
  <c r="M12" i="3" s="1"/>
  <c r="D11" i="3"/>
  <c r="D10" i="3"/>
  <c r="D9" i="3"/>
  <c r="D8" i="3"/>
  <c r="D7" i="3"/>
  <c r="D6" i="3"/>
  <c r="D5" i="3"/>
  <c r="M5" i="3" s="1"/>
  <c r="D4" i="3"/>
  <c r="M4" i="3" s="1"/>
  <c r="D3" i="3"/>
  <c r="D2" i="3"/>
  <c r="M143" i="2"/>
  <c r="M142" i="2"/>
  <c r="M133" i="2"/>
  <c r="M129" i="2"/>
  <c r="M128" i="2"/>
  <c r="M127" i="2"/>
  <c r="M125" i="2"/>
  <c r="M124" i="2"/>
  <c r="M123" i="2"/>
  <c r="M122" i="2"/>
  <c r="M118" i="2"/>
  <c r="M116" i="2"/>
  <c r="M111" i="2"/>
  <c r="M100" i="2"/>
  <c r="T100" i="2" s="1"/>
  <c r="M98" i="2"/>
  <c r="T98" i="2" s="1"/>
  <c r="M95" i="2"/>
  <c r="M94" i="2"/>
  <c r="M89" i="2"/>
  <c r="M86" i="2"/>
  <c r="M85" i="2"/>
  <c r="M84" i="2"/>
  <c r="M79" i="2"/>
  <c r="M78" i="2"/>
  <c r="M76" i="2"/>
  <c r="T76" i="2" s="1"/>
  <c r="M75" i="2"/>
  <c r="T75" i="2" s="1"/>
  <c r="M74" i="2"/>
  <c r="T74" i="2" s="1"/>
  <c r="M73" i="2"/>
  <c r="M64" i="2"/>
  <c r="M60" i="2"/>
  <c r="M59" i="2"/>
  <c r="M58" i="2"/>
  <c r="M56" i="2"/>
  <c r="M55" i="2"/>
  <c r="M52" i="2"/>
  <c r="M47" i="2"/>
  <c r="M44" i="2"/>
  <c r="M40" i="2"/>
  <c r="M39" i="2"/>
  <c r="M38" i="2"/>
  <c r="M37" i="2"/>
  <c r="M36" i="2"/>
  <c r="M35" i="2"/>
  <c r="M34" i="2"/>
  <c r="M33" i="2"/>
  <c r="M32" i="2"/>
  <c r="M27" i="2"/>
  <c r="M24" i="2"/>
  <c r="M19" i="2"/>
  <c r="M18" i="2"/>
  <c r="M17" i="2"/>
  <c r="M16" i="2"/>
  <c r="M15" i="2"/>
  <c r="M14" i="2"/>
  <c r="M13" i="2"/>
  <c r="M7" i="2"/>
  <c r="M3" i="2"/>
  <c r="M2" i="2"/>
  <c r="I143" i="2"/>
  <c r="I142" i="2"/>
  <c r="I140" i="2"/>
  <c r="P140" i="2" s="1"/>
  <c r="I138" i="2"/>
  <c r="I137" i="2"/>
  <c r="I136" i="2"/>
  <c r="I135" i="2"/>
  <c r="I134" i="2"/>
  <c r="I123" i="2"/>
  <c r="I122" i="2"/>
  <c r="I121" i="2"/>
  <c r="I119" i="2"/>
  <c r="I118" i="2"/>
  <c r="I117" i="2"/>
  <c r="I116" i="2"/>
  <c r="I115" i="2"/>
  <c r="I114" i="2"/>
  <c r="I103" i="2"/>
  <c r="I102" i="2"/>
  <c r="I100" i="2"/>
  <c r="I99" i="2"/>
  <c r="I98" i="2"/>
  <c r="I97" i="2"/>
  <c r="I96" i="2"/>
  <c r="P96" i="2" s="1"/>
  <c r="I95" i="2"/>
  <c r="I94" i="2"/>
  <c r="I85" i="2"/>
  <c r="I84" i="2"/>
  <c r="I83" i="2"/>
  <c r="I82" i="2"/>
  <c r="P82" i="2" s="1"/>
  <c r="I78" i="2"/>
  <c r="I77" i="2"/>
  <c r="P77" i="2" s="1"/>
  <c r="I76" i="2"/>
  <c r="I75" i="2"/>
  <c r="I74" i="2"/>
  <c r="I65" i="2"/>
  <c r="P65" i="2" s="1"/>
  <c r="I64" i="2"/>
  <c r="I63" i="2"/>
  <c r="I60" i="2"/>
  <c r="I59" i="2"/>
  <c r="I58" i="2"/>
  <c r="P58" i="2" s="1"/>
  <c r="I57" i="2"/>
  <c r="I56" i="2"/>
  <c r="I55" i="2"/>
  <c r="I45" i="2"/>
  <c r="I44" i="2"/>
  <c r="I40" i="2"/>
  <c r="I39" i="2"/>
  <c r="I38" i="2"/>
  <c r="I37" i="2"/>
  <c r="I36" i="2"/>
  <c r="I35" i="2"/>
  <c r="I34" i="2"/>
  <c r="I26" i="2"/>
  <c r="I25" i="2"/>
  <c r="I24" i="2"/>
  <c r="I19" i="2"/>
  <c r="I18" i="2"/>
  <c r="I17" i="2"/>
  <c r="I16" i="2"/>
  <c r="I15" i="2"/>
  <c r="I14" i="2"/>
  <c r="I5" i="2"/>
  <c r="I3" i="2"/>
  <c r="I2" i="2"/>
  <c r="H143" i="2"/>
  <c r="H142" i="2"/>
  <c r="H141" i="2"/>
  <c r="H140" i="2"/>
  <c r="H138" i="2"/>
  <c r="H137" i="2"/>
  <c r="H136" i="2"/>
  <c r="H131" i="2"/>
  <c r="H124" i="2"/>
  <c r="H120" i="2"/>
  <c r="O120" i="2" s="1"/>
  <c r="H119" i="2"/>
  <c r="H118" i="2"/>
  <c r="H117" i="2"/>
  <c r="H116" i="2"/>
  <c r="H111" i="2"/>
  <c r="H108" i="2"/>
  <c r="O108" i="2" s="1"/>
  <c r="H103" i="2"/>
  <c r="H102" i="2"/>
  <c r="H100" i="2"/>
  <c r="H99" i="2"/>
  <c r="H98" i="2"/>
  <c r="H97" i="2"/>
  <c r="H87" i="2"/>
  <c r="H78" i="2"/>
  <c r="H77" i="2"/>
  <c r="O77" i="2" s="1"/>
  <c r="H76" i="2"/>
  <c r="O76" i="2" s="1"/>
  <c r="H66" i="2"/>
  <c r="H64" i="2"/>
  <c r="H63" i="2"/>
  <c r="H61" i="2"/>
  <c r="H60" i="2"/>
  <c r="H59" i="2"/>
  <c r="H58" i="2"/>
  <c r="H57" i="2"/>
  <c r="H56" i="2"/>
  <c r="O56" i="2" s="1"/>
  <c r="H45" i="2"/>
  <c r="H44" i="2"/>
  <c r="H40" i="2"/>
  <c r="H39" i="2"/>
  <c r="H38" i="2"/>
  <c r="H37" i="2"/>
  <c r="H36" i="2"/>
  <c r="H34" i="2"/>
  <c r="H27" i="2"/>
  <c r="H26" i="2"/>
  <c r="H25" i="2"/>
  <c r="O25" i="2" s="1"/>
  <c r="H20" i="2"/>
  <c r="H19" i="2"/>
  <c r="N19" i="2" s="1"/>
  <c r="H18" i="2"/>
  <c r="H17" i="2"/>
  <c r="H16" i="2"/>
  <c r="H11" i="2"/>
  <c r="H8" i="2"/>
  <c r="H7" i="2"/>
  <c r="H6" i="2"/>
  <c r="H4" i="2"/>
  <c r="D143" i="2"/>
  <c r="D142" i="2"/>
  <c r="D141" i="2"/>
  <c r="M141" i="2" s="1"/>
  <c r="D140" i="2"/>
  <c r="M140" i="2" s="1"/>
  <c r="T140" i="2" s="1"/>
  <c r="D139" i="2"/>
  <c r="M139" i="2" s="1"/>
  <c r="D138" i="2"/>
  <c r="M138" i="2" s="1"/>
  <c r="D137" i="2"/>
  <c r="M137" i="2" s="1"/>
  <c r="D136" i="2"/>
  <c r="M136" i="2" s="1"/>
  <c r="D135" i="2"/>
  <c r="H135" i="2" s="1"/>
  <c r="D134" i="2"/>
  <c r="H134" i="2" s="1"/>
  <c r="D133" i="2"/>
  <c r="D132" i="2"/>
  <c r="I132" i="2" s="1"/>
  <c r="D131" i="2"/>
  <c r="I131" i="2" s="1"/>
  <c r="D130" i="2"/>
  <c r="D129" i="2"/>
  <c r="D128" i="2"/>
  <c r="D127" i="2"/>
  <c r="I127" i="2" s="1"/>
  <c r="D126" i="2"/>
  <c r="D125" i="2"/>
  <c r="D124" i="2"/>
  <c r="I124" i="2" s="1"/>
  <c r="D123" i="2"/>
  <c r="H123" i="2" s="1"/>
  <c r="D122" i="2"/>
  <c r="H122" i="2" s="1"/>
  <c r="D121" i="2"/>
  <c r="M121" i="2" s="1"/>
  <c r="D120" i="2"/>
  <c r="M120" i="2" s="1"/>
  <c r="T120" i="2" s="1"/>
  <c r="D119" i="2"/>
  <c r="M119" i="2" s="1"/>
  <c r="D118" i="2"/>
  <c r="D117" i="2"/>
  <c r="M117" i="2" s="1"/>
  <c r="D116" i="2"/>
  <c r="D115" i="2"/>
  <c r="M115" i="2" s="1"/>
  <c r="D114" i="2"/>
  <c r="M114" i="2" s="1"/>
  <c r="D113" i="2"/>
  <c r="D112" i="2"/>
  <c r="I112" i="2" s="1"/>
  <c r="D111" i="2"/>
  <c r="I111" i="2" s="1"/>
  <c r="D110" i="2"/>
  <c r="D109" i="2"/>
  <c r="D108" i="2"/>
  <c r="D107" i="2"/>
  <c r="I107" i="2" s="1"/>
  <c r="P107" i="2" s="1"/>
  <c r="D106" i="2"/>
  <c r="M106" i="2" s="1"/>
  <c r="D105" i="2"/>
  <c r="D104" i="2"/>
  <c r="D103" i="2"/>
  <c r="M103" i="2" s="1"/>
  <c r="D102" i="2"/>
  <c r="M102" i="2" s="1"/>
  <c r="T102" i="2" s="1"/>
  <c r="D101" i="2"/>
  <c r="M101" i="2" s="1"/>
  <c r="D100" i="2"/>
  <c r="D99" i="2"/>
  <c r="M99" i="2" s="1"/>
  <c r="T99" i="2" s="1"/>
  <c r="D98" i="2"/>
  <c r="D97" i="2"/>
  <c r="M97" i="2" s="1"/>
  <c r="D96" i="2"/>
  <c r="M96" i="2" s="1"/>
  <c r="T96" i="2" s="1"/>
  <c r="D95" i="2"/>
  <c r="H95" i="2" s="1"/>
  <c r="D94" i="2"/>
  <c r="H94" i="2" s="1"/>
  <c r="D93" i="2"/>
  <c r="D92" i="2"/>
  <c r="M92" i="2" s="1"/>
  <c r="D91" i="2"/>
  <c r="M91" i="2" s="1"/>
  <c r="D90" i="2"/>
  <c r="D89" i="2"/>
  <c r="D88" i="2"/>
  <c r="D87" i="2"/>
  <c r="D86" i="2"/>
  <c r="H86" i="2" s="1"/>
  <c r="D85" i="2"/>
  <c r="H85" i="2" s="1"/>
  <c r="D84" i="2"/>
  <c r="H84" i="2" s="1"/>
  <c r="D83" i="2"/>
  <c r="M83" i="2" s="1"/>
  <c r="D82" i="2"/>
  <c r="M82" i="2" s="1"/>
  <c r="D81" i="2"/>
  <c r="D80" i="2"/>
  <c r="I80" i="2" s="1"/>
  <c r="D79" i="2"/>
  <c r="I79" i="2" s="1"/>
  <c r="D78" i="2"/>
  <c r="D77" i="2"/>
  <c r="M77" i="2" s="1"/>
  <c r="T77" i="2" s="1"/>
  <c r="D76" i="2"/>
  <c r="D75" i="2"/>
  <c r="H75" i="2" s="1"/>
  <c r="D74" i="2"/>
  <c r="H74" i="2" s="1"/>
  <c r="D73" i="2"/>
  <c r="D72" i="2"/>
  <c r="M72" i="2" s="1"/>
  <c r="D71" i="2"/>
  <c r="D70" i="2"/>
  <c r="D69" i="2"/>
  <c r="D68" i="2"/>
  <c r="D67" i="2"/>
  <c r="D66" i="2"/>
  <c r="D65" i="2"/>
  <c r="H65" i="2" s="1"/>
  <c r="O65" i="2" s="1"/>
  <c r="D64" i="2"/>
  <c r="D63" i="2"/>
  <c r="M63" i="2" s="1"/>
  <c r="D62" i="2"/>
  <c r="M62" i="2" s="1"/>
  <c r="T62" i="2" s="1"/>
  <c r="D61" i="2"/>
  <c r="I61" i="2" s="1"/>
  <c r="D60" i="2"/>
  <c r="D59" i="2"/>
  <c r="D58" i="2"/>
  <c r="D57" i="2"/>
  <c r="M57" i="2" s="1"/>
  <c r="D56" i="2"/>
  <c r="D55" i="2"/>
  <c r="H55" i="2" s="1"/>
  <c r="O55" i="2" s="1"/>
  <c r="D54" i="2"/>
  <c r="H54" i="2" s="1"/>
  <c r="D53" i="2"/>
  <c r="D52" i="2"/>
  <c r="I52" i="2" s="1"/>
  <c r="D51" i="2"/>
  <c r="D50" i="2"/>
  <c r="D49" i="2"/>
  <c r="D48" i="2"/>
  <c r="D47" i="2"/>
  <c r="I47" i="2" s="1"/>
  <c r="D46" i="2"/>
  <c r="D45" i="2"/>
  <c r="M45" i="2" s="1"/>
  <c r="D44" i="2"/>
  <c r="D43" i="2"/>
  <c r="D42" i="2"/>
  <c r="D41" i="2"/>
  <c r="D40" i="2"/>
  <c r="D39" i="2"/>
  <c r="D38" i="2"/>
  <c r="D37" i="2"/>
  <c r="D36" i="2"/>
  <c r="D35" i="2"/>
  <c r="H35" i="2" s="1"/>
  <c r="D34" i="2"/>
  <c r="D33" i="2"/>
  <c r="D32" i="2"/>
  <c r="I32" i="2" s="1"/>
  <c r="D31" i="2"/>
  <c r="D30" i="2"/>
  <c r="D29" i="2"/>
  <c r="D28" i="2"/>
  <c r="D27" i="2"/>
  <c r="I27" i="2" s="1"/>
  <c r="D26" i="2"/>
  <c r="M26" i="2" s="1"/>
  <c r="D25" i="2"/>
  <c r="M25" i="2" s="1"/>
  <c r="D24" i="2"/>
  <c r="H24" i="2" s="1"/>
  <c r="D23" i="2"/>
  <c r="D22" i="2"/>
  <c r="D21" i="2"/>
  <c r="D20" i="2"/>
  <c r="M20" i="2" s="1"/>
  <c r="D19" i="2"/>
  <c r="D18" i="2"/>
  <c r="D17" i="2"/>
  <c r="D16" i="2"/>
  <c r="D15" i="2"/>
  <c r="H15" i="2" s="1"/>
  <c r="D14" i="2"/>
  <c r="H14" i="2" s="1"/>
  <c r="D13" i="2"/>
  <c r="D12" i="2"/>
  <c r="I12" i="2" s="1"/>
  <c r="D11" i="2"/>
  <c r="D10" i="2"/>
  <c r="D9" i="2"/>
  <c r="D8" i="2"/>
  <c r="D7" i="2"/>
  <c r="I7" i="2" s="1"/>
  <c r="D6" i="2"/>
  <c r="M6" i="2" s="1"/>
  <c r="D5" i="2"/>
  <c r="D4" i="2"/>
  <c r="D3" i="2"/>
  <c r="H3" i="2" s="1"/>
  <c r="D2" i="2"/>
  <c r="H2" i="2" s="1"/>
  <c r="N13" i="4"/>
  <c r="N19" i="4"/>
  <c r="N21" i="4"/>
  <c r="N33" i="4"/>
  <c r="N34" i="4"/>
  <c r="N39" i="4"/>
  <c r="N48" i="4"/>
  <c r="N53" i="4"/>
  <c r="N54" i="4"/>
  <c r="N59" i="4"/>
  <c r="N61" i="4"/>
  <c r="N76" i="4"/>
  <c r="N77" i="4"/>
  <c r="N88" i="4"/>
  <c r="N92" i="4"/>
  <c r="N93" i="4"/>
  <c r="N94" i="4"/>
  <c r="N95" i="4"/>
  <c r="N96" i="4"/>
  <c r="N112" i="4"/>
  <c r="N115" i="4"/>
  <c r="N116" i="4"/>
  <c r="N132" i="4"/>
  <c r="N133" i="4"/>
  <c r="N134" i="4"/>
  <c r="N137" i="4"/>
  <c r="N141" i="4"/>
  <c r="N219" i="4"/>
  <c r="N220" i="4"/>
  <c r="N233" i="4"/>
  <c r="N234" i="4"/>
  <c r="N194" i="4"/>
  <c r="N195" i="4"/>
  <c r="N196" i="4"/>
  <c r="N201" i="4"/>
  <c r="N207" i="4"/>
  <c r="N208" i="4"/>
  <c r="N147" i="4"/>
  <c r="N148" i="4"/>
  <c r="N153" i="4"/>
  <c r="N155" i="4"/>
  <c r="N158" i="4"/>
  <c r="N159" i="4"/>
  <c r="N161" i="4"/>
  <c r="N165" i="4"/>
  <c r="N167" i="4"/>
  <c r="N168" i="4"/>
  <c r="N172" i="4"/>
  <c r="N173" i="4"/>
  <c r="N174" i="4"/>
  <c r="N176" i="4"/>
  <c r="N181" i="4"/>
  <c r="N187" i="4"/>
  <c r="N235" i="4"/>
  <c r="N236" i="4"/>
  <c r="N237" i="4"/>
  <c r="N239" i="4"/>
  <c r="N240" i="4"/>
  <c r="N241" i="4"/>
  <c r="N254" i="4"/>
  <c r="N255" i="4"/>
  <c r="N259" i="4"/>
  <c r="N261" i="4"/>
  <c r="N273" i="4"/>
  <c r="N274" i="4"/>
  <c r="N275" i="4"/>
  <c r="N276" i="4"/>
  <c r="N279" i="4"/>
  <c r="N280" i="4"/>
  <c r="O8" i="4"/>
  <c r="O13" i="4"/>
  <c r="O14" i="4"/>
  <c r="O15" i="4"/>
  <c r="O17" i="4"/>
  <c r="O21" i="4"/>
  <c r="O25" i="4"/>
  <c r="O26" i="4"/>
  <c r="O28" i="4"/>
  <c r="O33" i="4"/>
  <c r="O34" i="4"/>
  <c r="O35" i="4"/>
  <c r="O36" i="4"/>
  <c r="O39" i="4"/>
  <c r="O43" i="4"/>
  <c r="O44" i="4"/>
  <c r="O45" i="4"/>
  <c r="O46" i="4"/>
  <c r="O48" i="4"/>
  <c r="O53" i="4"/>
  <c r="O54" i="4"/>
  <c r="O56" i="4"/>
  <c r="O59" i="4"/>
  <c r="O61" i="4"/>
  <c r="O68" i="4"/>
  <c r="O73" i="4"/>
  <c r="O86" i="4"/>
  <c r="O88" i="4"/>
  <c r="O92" i="4"/>
  <c r="O93" i="4"/>
  <c r="O94" i="4"/>
  <c r="O95" i="4"/>
  <c r="O96" i="4"/>
  <c r="O98" i="4"/>
  <c r="O99" i="4"/>
  <c r="O101" i="4"/>
  <c r="O106" i="4"/>
  <c r="O107" i="4"/>
  <c r="O108" i="4"/>
  <c r="O114" i="4"/>
  <c r="O115" i="4"/>
  <c r="O117" i="4"/>
  <c r="O119" i="4"/>
  <c r="O120" i="4"/>
  <c r="O121" i="4"/>
  <c r="O127" i="4"/>
  <c r="O128" i="4"/>
  <c r="O132" i="4"/>
  <c r="O133" i="4"/>
  <c r="O134" i="4"/>
  <c r="O135" i="4"/>
  <c r="O136" i="4"/>
  <c r="O139" i="4"/>
  <c r="O141" i="4"/>
  <c r="O212" i="4"/>
  <c r="O213" i="4"/>
  <c r="O214" i="4"/>
  <c r="O215" i="4"/>
  <c r="O216" i="4"/>
  <c r="O219" i="4"/>
  <c r="O220" i="4"/>
  <c r="O224" i="4"/>
  <c r="O226" i="4"/>
  <c r="O227" i="4"/>
  <c r="O228" i="4"/>
  <c r="O233" i="4"/>
  <c r="O234" i="4"/>
  <c r="O193" i="4"/>
  <c r="O194" i="4"/>
  <c r="O195" i="4"/>
  <c r="O196" i="4"/>
  <c r="O197" i="4"/>
  <c r="O201" i="4"/>
  <c r="O204" i="4"/>
  <c r="O205" i="4"/>
  <c r="O206" i="4"/>
  <c r="O207" i="4"/>
  <c r="O208" i="4"/>
  <c r="O147" i="4"/>
  <c r="O148" i="4"/>
  <c r="O152" i="4"/>
  <c r="O154" i="4"/>
  <c r="O155" i="4"/>
  <c r="O156" i="4"/>
  <c r="O158" i="4"/>
  <c r="O159" i="4"/>
  <c r="O161" i="4"/>
  <c r="O163" i="4"/>
  <c r="O165" i="4"/>
  <c r="O166" i="4"/>
  <c r="O167" i="4"/>
  <c r="O168" i="4"/>
  <c r="O172" i="4"/>
  <c r="O174" i="4"/>
  <c r="O176" i="4"/>
  <c r="O179" i="4"/>
  <c r="O181" i="4"/>
  <c r="O182" i="4"/>
  <c r="O185" i="4"/>
  <c r="O187" i="4"/>
  <c r="O188" i="4"/>
  <c r="O236" i="4"/>
  <c r="O237" i="4"/>
  <c r="O239" i="4"/>
  <c r="O241" i="4"/>
  <c r="O247" i="4"/>
  <c r="O248" i="4"/>
  <c r="O252" i="4"/>
  <c r="O253" i="4"/>
  <c r="O254" i="4"/>
  <c r="O255" i="4"/>
  <c r="O256" i="4"/>
  <c r="O259" i="4"/>
  <c r="O260" i="4"/>
  <c r="O261" i="4"/>
  <c r="O264" i="4"/>
  <c r="O265" i="4"/>
  <c r="O266" i="4"/>
  <c r="O267" i="4"/>
  <c r="O272" i="4"/>
  <c r="O273" i="4"/>
  <c r="O274" i="4"/>
  <c r="O275" i="4"/>
  <c r="O276" i="4"/>
  <c r="O280" i="4"/>
  <c r="O281" i="4"/>
  <c r="O284" i="4"/>
  <c r="O285" i="4"/>
  <c r="P8" i="4"/>
  <c r="P13" i="4"/>
  <c r="P19" i="4"/>
  <c r="P21" i="4"/>
  <c r="P33" i="4"/>
  <c r="P34" i="4"/>
  <c r="P35" i="4"/>
  <c r="P36" i="4"/>
  <c r="P37" i="4"/>
  <c r="P39" i="4"/>
  <c r="P48" i="4"/>
  <c r="P53" i="4"/>
  <c r="P54" i="4"/>
  <c r="P55" i="4"/>
  <c r="P56" i="4"/>
  <c r="P59" i="4"/>
  <c r="P61" i="4"/>
  <c r="P68" i="4"/>
  <c r="P73" i="4"/>
  <c r="P76" i="4"/>
  <c r="P77" i="4"/>
  <c r="P79" i="4"/>
  <c r="P81" i="4"/>
  <c r="P87" i="4"/>
  <c r="P88" i="4"/>
  <c r="P92" i="4"/>
  <c r="P93" i="4"/>
  <c r="P94" i="4"/>
  <c r="P95" i="4"/>
  <c r="P96" i="4"/>
  <c r="P107" i="4"/>
  <c r="P108" i="4"/>
  <c r="P112" i="4"/>
  <c r="P113" i="4"/>
  <c r="P114" i="4"/>
  <c r="P115" i="4"/>
  <c r="P116" i="4"/>
  <c r="P117" i="4"/>
  <c r="P119" i="4"/>
  <c r="P121" i="4"/>
  <c r="P132" i="4"/>
  <c r="P133" i="4"/>
  <c r="P134" i="4"/>
  <c r="P135" i="4"/>
  <c r="P137" i="4"/>
  <c r="P212" i="4"/>
  <c r="P213" i="4"/>
  <c r="P214" i="4"/>
  <c r="P215" i="4"/>
  <c r="P216" i="4"/>
  <c r="P219" i="4"/>
  <c r="P220" i="4"/>
  <c r="P233" i="4"/>
  <c r="P234" i="4"/>
  <c r="P195" i="4"/>
  <c r="P199" i="4"/>
  <c r="P201" i="4"/>
  <c r="P207" i="4"/>
  <c r="P208" i="4"/>
  <c r="P148" i="4"/>
  <c r="P152" i="4"/>
  <c r="P153" i="4"/>
  <c r="P154" i="4"/>
  <c r="P155" i="4"/>
  <c r="P156" i="4"/>
  <c r="P158" i="4"/>
  <c r="P159" i="4"/>
  <c r="P161" i="4"/>
  <c r="P165" i="4"/>
  <c r="P167" i="4"/>
  <c r="P168" i="4"/>
  <c r="P172" i="4"/>
  <c r="P173" i="4"/>
  <c r="P174" i="4"/>
  <c r="P175" i="4"/>
  <c r="P176" i="4"/>
  <c r="P177" i="4"/>
  <c r="P178" i="4"/>
  <c r="P179" i="4"/>
  <c r="P187" i="4"/>
  <c r="P235" i="4"/>
  <c r="P236" i="4"/>
  <c r="P237" i="4"/>
  <c r="P239" i="4"/>
  <c r="P240" i="4"/>
  <c r="P241" i="4"/>
  <c r="P247" i="4"/>
  <c r="P248" i="4"/>
  <c r="P254" i="4"/>
  <c r="P255" i="4"/>
  <c r="P256" i="4"/>
  <c r="P259" i="4"/>
  <c r="P261" i="4"/>
  <c r="P267" i="4"/>
  <c r="P268" i="4"/>
  <c r="P274" i="4"/>
  <c r="P275" i="4"/>
  <c r="P279" i="4"/>
  <c r="P280" i="4"/>
  <c r="P281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T9" i="4"/>
  <c r="T10" i="4"/>
  <c r="T11" i="4"/>
  <c r="T13" i="4"/>
  <c r="T14" i="4"/>
  <c r="T15" i="4"/>
  <c r="T16" i="4"/>
  <c r="T17" i="4"/>
  <c r="T21" i="4"/>
  <c r="T28" i="4"/>
  <c r="T29" i="4"/>
  <c r="T30" i="4"/>
  <c r="T31" i="4"/>
  <c r="T33" i="4"/>
  <c r="T34" i="4"/>
  <c r="T35" i="4"/>
  <c r="T36" i="4"/>
  <c r="T49" i="4"/>
  <c r="T50" i="4"/>
  <c r="T51" i="4"/>
  <c r="T53" i="4"/>
  <c r="T54" i="4"/>
  <c r="T55" i="4"/>
  <c r="T56" i="4"/>
  <c r="T63" i="4"/>
  <c r="T68" i="4"/>
  <c r="T69" i="4"/>
  <c r="T70" i="4"/>
  <c r="T71" i="4"/>
  <c r="T73" i="4"/>
  <c r="T74" i="4"/>
  <c r="T76" i="4"/>
  <c r="T77" i="4"/>
  <c r="T87" i="4"/>
  <c r="T88" i="4"/>
  <c r="T89" i="4"/>
  <c r="T90" i="4"/>
  <c r="T91" i="4"/>
  <c r="T96" i="4"/>
  <c r="T99" i="4"/>
  <c r="T101" i="4"/>
  <c r="T109" i="4"/>
  <c r="T110" i="4"/>
  <c r="T111" i="4"/>
  <c r="T112" i="4"/>
  <c r="T113" i="4"/>
  <c r="T114" i="4"/>
  <c r="T116" i="4"/>
  <c r="T121" i="4"/>
  <c r="T127" i="4"/>
  <c r="T129" i="4"/>
  <c r="T131" i="4"/>
  <c r="T132" i="4"/>
  <c r="T133" i="4"/>
  <c r="T134" i="4"/>
  <c r="T135" i="4"/>
  <c r="T136" i="4"/>
  <c r="T137" i="4"/>
  <c r="T139" i="4"/>
  <c r="T141" i="4"/>
  <c r="T211" i="4"/>
  <c r="T212" i="4"/>
  <c r="T213" i="4"/>
  <c r="T214" i="4"/>
  <c r="T215" i="4"/>
  <c r="T216" i="4"/>
  <c r="T220" i="4"/>
  <c r="T221" i="4"/>
  <c r="T227" i="4"/>
  <c r="T228" i="4"/>
  <c r="T229" i="4"/>
  <c r="T231" i="4"/>
  <c r="T233" i="4"/>
  <c r="T234" i="4"/>
  <c r="T191" i="4"/>
  <c r="T192" i="4"/>
  <c r="T193" i="4"/>
  <c r="T195" i="4"/>
  <c r="T196" i="4"/>
  <c r="T199" i="4"/>
  <c r="T153" i="4"/>
  <c r="T154" i="4"/>
  <c r="T155" i="4"/>
  <c r="T158" i="4"/>
  <c r="T159" i="4"/>
  <c r="T161" i="4"/>
  <c r="T165" i="4"/>
  <c r="T169" i="4"/>
  <c r="T170" i="4"/>
  <c r="T171" i="4"/>
  <c r="T172" i="4"/>
  <c r="T173" i="4"/>
  <c r="T174" i="4"/>
  <c r="T175" i="4"/>
  <c r="T177" i="4"/>
  <c r="T179" i="4"/>
  <c r="T181" i="4"/>
  <c r="T188" i="4"/>
  <c r="T235" i="4"/>
  <c r="T236" i="4"/>
  <c r="T237" i="4"/>
  <c r="T240" i="4"/>
  <c r="T247" i="4"/>
  <c r="T248" i="4"/>
  <c r="T249" i="4"/>
  <c r="T250" i="4"/>
  <c r="T252" i="4"/>
  <c r="T253" i="4"/>
  <c r="T254" i="4"/>
  <c r="T255" i="4"/>
  <c r="T256" i="4"/>
  <c r="T269" i="4"/>
  <c r="T270" i="4"/>
  <c r="T272" i="4"/>
  <c r="T273" i="4"/>
  <c r="T274" i="4"/>
  <c r="T275" i="4"/>
  <c r="T276" i="4"/>
  <c r="T28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144" i="4"/>
  <c r="W145" i="4"/>
  <c r="W146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51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6" i="4"/>
  <c r="X228" i="4"/>
  <c r="X229" i="4"/>
  <c r="X230" i="4"/>
  <c r="X231" i="4"/>
  <c r="X232" i="4"/>
  <c r="X233" i="4"/>
  <c r="X234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N5" i="3"/>
  <c r="N12" i="3"/>
  <c r="N17" i="3"/>
  <c r="N22" i="3"/>
  <c r="N25" i="3"/>
  <c r="N31" i="3"/>
  <c r="N32" i="3"/>
  <c r="N34" i="3"/>
  <c r="N35" i="3"/>
  <c r="N36" i="3"/>
  <c r="N51" i="3"/>
  <c r="N52" i="3"/>
  <c r="N54" i="3"/>
  <c r="N56" i="3"/>
  <c r="N58" i="3"/>
  <c r="N62" i="3"/>
  <c r="N65" i="3"/>
  <c r="N75" i="3"/>
  <c r="N119" i="3"/>
  <c r="N131" i="3"/>
  <c r="N132" i="3"/>
  <c r="N136" i="3"/>
  <c r="N137" i="3"/>
  <c r="N115" i="3"/>
  <c r="N116" i="3"/>
  <c r="N117" i="3"/>
  <c r="N76" i="3"/>
  <c r="N77" i="3"/>
  <c r="N79" i="3"/>
  <c r="N91" i="3"/>
  <c r="N95" i="3"/>
  <c r="N96" i="3"/>
  <c r="N97" i="3"/>
  <c r="N102" i="3"/>
  <c r="N104" i="3"/>
  <c r="N145" i="3"/>
  <c r="N151" i="3"/>
  <c r="N152" i="3"/>
  <c r="N154" i="3"/>
  <c r="N155" i="3"/>
  <c r="N156" i="3"/>
  <c r="N157" i="3"/>
  <c r="N164" i="3"/>
  <c r="N165" i="3"/>
  <c r="N171" i="3"/>
  <c r="N172" i="3"/>
  <c r="N174" i="3"/>
  <c r="N175" i="3"/>
  <c r="O5" i="3"/>
  <c r="O9" i="3"/>
  <c r="O11" i="3"/>
  <c r="O12" i="3"/>
  <c r="O17" i="3"/>
  <c r="O22" i="3"/>
  <c r="O25" i="3"/>
  <c r="O28" i="3"/>
  <c r="O29" i="3"/>
  <c r="O31" i="3"/>
  <c r="O32" i="3"/>
  <c r="O34" i="3"/>
  <c r="O35" i="3"/>
  <c r="O36" i="3"/>
  <c r="O37" i="3"/>
  <c r="O51" i="3"/>
  <c r="O52" i="3"/>
  <c r="O54" i="3"/>
  <c r="O55" i="3"/>
  <c r="O57" i="3"/>
  <c r="O62" i="3"/>
  <c r="O64" i="3"/>
  <c r="O65" i="3"/>
  <c r="O74" i="3"/>
  <c r="O75" i="3"/>
  <c r="O119" i="3"/>
  <c r="O124" i="3"/>
  <c r="O128" i="3"/>
  <c r="O129" i="3"/>
  <c r="O131" i="3"/>
  <c r="O132" i="3"/>
  <c r="O135" i="3"/>
  <c r="O138" i="3"/>
  <c r="O107" i="3"/>
  <c r="O111" i="3"/>
  <c r="O112" i="3"/>
  <c r="O115" i="3"/>
  <c r="O116" i="3"/>
  <c r="O117" i="3"/>
  <c r="O76" i="3"/>
  <c r="O77" i="3"/>
  <c r="O78" i="3"/>
  <c r="O79" i="3"/>
  <c r="O85" i="3"/>
  <c r="O87" i="3"/>
  <c r="O89" i="3"/>
  <c r="O91" i="3"/>
  <c r="O92" i="3"/>
  <c r="O95" i="3"/>
  <c r="O96" i="3"/>
  <c r="O97" i="3"/>
  <c r="O100" i="3"/>
  <c r="O102" i="3"/>
  <c r="O104" i="3"/>
  <c r="O145" i="3"/>
  <c r="O148" i="3"/>
  <c r="O149" i="3"/>
  <c r="O152" i="3"/>
  <c r="O154" i="3"/>
  <c r="O155" i="3"/>
  <c r="O156" i="3"/>
  <c r="O157" i="3"/>
  <c r="O159" i="3"/>
  <c r="O164" i="3"/>
  <c r="O165" i="3"/>
  <c r="O170" i="3"/>
  <c r="O171" i="3"/>
  <c r="O172" i="3"/>
  <c r="O174" i="3"/>
  <c r="O175" i="3"/>
  <c r="P8" i="3"/>
  <c r="P10" i="3"/>
  <c r="P12" i="3"/>
  <c r="P15" i="3"/>
  <c r="P17" i="3"/>
  <c r="P22" i="3"/>
  <c r="P25" i="3"/>
  <c r="P31" i="3"/>
  <c r="P32" i="3"/>
  <c r="P34" i="3"/>
  <c r="P35" i="3"/>
  <c r="P36" i="3"/>
  <c r="P37" i="3"/>
  <c r="P39" i="3"/>
  <c r="P40" i="3"/>
  <c r="P50" i="3"/>
  <c r="P51" i="3"/>
  <c r="P52" i="3"/>
  <c r="P54" i="3"/>
  <c r="P55" i="3"/>
  <c r="P56" i="3"/>
  <c r="P59" i="3"/>
  <c r="P62" i="3"/>
  <c r="P65" i="3"/>
  <c r="P71" i="3"/>
  <c r="P75" i="3"/>
  <c r="P119" i="3"/>
  <c r="P131" i="3"/>
  <c r="P132" i="3"/>
  <c r="P134" i="3"/>
  <c r="P137" i="3"/>
  <c r="P140" i="3"/>
  <c r="P108" i="3"/>
  <c r="P111" i="3"/>
  <c r="P112" i="3"/>
  <c r="P114" i="3"/>
  <c r="P115" i="3"/>
  <c r="P116" i="3"/>
  <c r="P117" i="3"/>
  <c r="P76" i="3"/>
  <c r="P77" i="3"/>
  <c r="P79" i="3"/>
  <c r="P82" i="3"/>
  <c r="P84" i="3"/>
  <c r="P85" i="3"/>
  <c r="P86" i="3"/>
  <c r="P90" i="3"/>
  <c r="P91" i="3"/>
  <c r="P92" i="3"/>
  <c r="P95" i="3"/>
  <c r="P96" i="3"/>
  <c r="P97" i="3"/>
  <c r="P102" i="3"/>
  <c r="P104" i="3"/>
  <c r="P105" i="3"/>
  <c r="P151" i="3"/>
  <c r="P155" i="3"/>
  <c r="P156" i="3"/>
  <c r="P157" i="3"/>
  <c r="P164" i="3"/>
  <c r="P165" i="3"/>
  <c r="P171" i="3"/>
  <c r="P172" i="3"/>
  <c r="P174" i="3"/>
  <c r="P175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T3" i="3"/>
  <c r="T4" i="3"/>
  <c r="T5" i="3"/>
  <c r="T12" i="3"/>
  <c r="T14" i="3"/>
  <c r="T15" i="3"/>
  <c r="T16" i="3"/>
  <c r="T17" i="3"/>
  <c r="T19" i="3"/>
  <c r="T20" i="3"/>
  <c r="T23" i="3"/>
  <c r="T24" i="3"/>
  <c r="T25" i="3"/>
  <c r="T26" i="3"/>
  <c r="T31" i="3"/>
  <c r="T32" i="3"/>
  <c r="T34" i="3"/>
  <c r="T35" i="3"/>
  <c r="T36" i="3"/>
  <c r="T37" i="3"/>
  <c r="T44" i="3"/>
  <c r="T45" i="3"/>
  <c r="T51" i="3"/>
  <c r="T52" i="3"/>
  <c r="T53" i="3"/>
  <c r="T54" i="3"/>
  <c r="T55" i="3"/>
  <c r="T56" i="3"/>
  <c r="T57" i="3"/>
  <c r="T59" i="3"/>
  <c r="T60" i="3"/>
  <c r="T62" i="3"/>
  <c r="T65" i="3"/>
  <c r="T71" i="3"/>
  <c r="T72" i="3"/>
  <c r="T74" i="3"/>
  <c r="T75" i="3"/>
  <c r="T123" i="3"/>
  <c r="T132" i="3"/>
  <c r="T134" i="3"/>
  <c r="T135" i="3"/>
  <c r="T136" i="3"/>
  <c r="T137" i="3"/>
  <c r="T138" i="3"/>
  <c r="T139" i="3"/>
  <c r="T142" i="3"/>
  <c r="T143" i="3"/>
  <c r="T111" i="3"/>
  <c r="T114" i="3"/>
  <c r="T115" i="3"/>
  <c r="T116" i="3"/>
  <c r="T117" i="3"/>
  <c r="T76" i="3"/>
  <c r="T77" i="3"/>
  <c r="T78" i="3"/>
  <c r="T79" i="3"/>
  <c r="T83" i="3"/>
  <c r="T85" i="3"/>
  <c r="T86" i="3"/>
  <c r="T91" i="3"/>
  <c r="T92" i="3"/>
  <c r="T95" i="3"/>
  <c r="T97" i="3"/>
  <c r="T102" i="3"/>
  <c r="T103" i="3"/>
  <c r="T104" i="3"/>
  <c r="T105" i="3"/>
  <c r="T144" i="3"/>
  <c r="T145" i="3"/>
  <c r="T146" i="3"/>
  <c r="T151" i="3"/>
  <c r="T152" i="3"/>
  <c r="T154" i="3"/>
  <c r="T155" i="3"/>
  <c r="T156" i="3"/>
  <c r="T157" i="3"/>
  <c r="T166" i="3"/>
  <c r="T170" i="3"/>
  <c r="T171" i="3"/>
  <c r="T172" i="3"/>
  <c r="T174" i="3"/>
  <c r="T175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07" i="3"/>
  <c r="X108" i="3"/>
  <c r="X109" i="3"/>
  <c r="X110" i="3"/>
  <c r="X112" i="3"/>
  <c r="X113" i="3"/>
  <c r="X114" i="3"/>
  <c r="X115" i="3"/>
  <c r="X116" i="3"/>
  <c r="X117" i="3"/>
  <c r="X118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N2" i="2"/>
  <c r="N3" i="2"/>
  <c r="N7" i="2"/>
  <c r="N14" i="2"/>
  <c r="N15" i="2"/>
  <c r="N16" i="2"/>
  <c r="N17" i="2"/>
  <c r="N18" i="2"/>
  <c r="N24" i="2"/>
  <c r="N26" i="2"/>
  <c r="N27" i="2"/>
  <c r="N34" i="2"/>
  <c r="N35" i="2"/>
  <c r="N36" i="2"/>
  <c r="N37" i="2"/>
  <c r="N38" i="2"/>
  <c r="N39" i="2"/>
  <c r="N40" i="2"/>
  <c r="N44" i="2"/>
  <c r="N45" i="2"/>
  <c r="N94" i="2"/>
  <c r="N95" i="2"/>
  <c r="N97" i="2"/>
  <c r="N98" i="2"/>
  <c r="N99" i="2"/>
  <c r="N100" i="2"/>
  <c r="N102" i="2"/>
  <c r="N103" i="2"/>
  <c r="N55" i="2"/>
  <c r="N56" i="2"/>
  <c r="N57" i="2"/>
  <c r="N58" i="2"/>
  <c r="N59" i="2"/>
  <c r="N60" i="2"/>
  <c r="N61" i="2"/>
  <c r="N63" i="2"/>
  <c r="N64" i="2"/>
  <c r="N74" i="2"/>
  <c r="N75" i="2"/>
  <c r="N76" i="2"/>
  <c r="N78" i="2"/>
  <c r="N84" i="2"/>
  <c r="N85" i="2"/>
  <c r="N111" i="2"/>
  <c r="N116" i="2"/>
  <c r="N117" i="2"/>
  <c r="N118" i="2"/>
  <c r="N119" i="2"/>
  <c r="N122" i="2"/>
  <c r="N123" i="2"/>
  <c r="N124" i="2"/>
  <c r="N131" i="2"/>
  <c r="N134" i="2"/>
  <c r="N135" i="2"/>
  <c r="N136" i="2"/>
  <c r="N137" i="2"/>
  <c r="N138" i="2"/>
  <c r="N140" i="2"/>
  <c r="N142" i="2"/>
  <c r="N143" i="2"/>
  <c r="O2" i="2"/>
  <c r="O3" i="2"/>
  <c r="O4" i="2"/>
  <c r="O6" i="2"/>
  <c r="O7" i="2"/>
  <c r="O8" i="2"/>
  <c r="O11" i="2"/>
  <c r="O14" i="2"/>
  <c r="O15" i="2"/>
  <c r="O16" i="2"/>
  <c r="O17" i="2"/>
  <c r="O18" i="2"/>
  <c r="O20" i="2"/>
  <c r="O24" i="2"/>
  <c r="O26" i="2"/>
  <c r="O27" i="2"/>
  <c r="O34" i="2"/>
  <c r="O35" i="2"/>
  <c r="O36" i="2"/>
  <c r="O37" i="2"/>
  <c r="O38" i="2"/>
  <c r="O39" i="2"/>
  <c r="O40" i="2"/>
  <c r="O44" i="2"/>
  <c r="O45" i="2"/>
  <c r="O94" i="2"/>
  <c r="O95" i="2"/>
  <c r="O97" i="2"/>
  <c r="O98" i="2"/>
  <c r="O99" i="2"/>
  <c r="O100" i="2"/>
  <c r="O102" i="2"/>
  <c r="O103" i="2"/>
  <c r="O87" i="2"/>
  <c r="O54" i="2"/>
  <c r="O57" i="2"/>
  <c r="O58" i="2"/>
  <c r="O59" i="2"/>
  <c r="O60" i="2"/>
  <c r="O61" i="2"/>
  <c r="O63" i="2"/>
  <c r="O64" i="2"/>
  <c r="O66" i="2"/>
  <c r="O74" i="2"/>
  <c r="O75" i="2"/>
  <c r="O78" i="2"/>
  <c r="O84" i="2"/>
  <c r="O85" i="2"/>
  <c r="O86" i="2"/>
  <c r="O111" i="2"/>
  <c r="O116" i="2"/>
  <c r="O117" i="2"/>
  <c r="O118" i="2"/>
  <c r="O119" i="2"/>
  <c r="O122" i="2"/>
  <c r="O123" i="2"/>
  <c r="O124" i="2"/>
  <c r="O131" i="2"/>
  <c r="O134" i="2"/>
  <c r="O135" i="2"/>
  <c r="O136" i="2"/>
  <c r="O137" i="2"/>
  <c r="O138" i="2"/>
  <c r="O140" i="2"/>
  <c r="O141" i="2"/>
  <c r="O142" i="2"/>
  <c r="O143" i="2"/>
  <c r="P2" i="2"/>
  <c r="P3" i="2"/>
  <c r="P5" i="2"/>
  <c r="P7" i="2"/>
  <c r="P12" i="2"/>
  <c r="P14" i="2"/>
  <c r="P15" i="2"/>
  <c r="P16" i="2"/>
  <c r="P17" i="2"/>
  <c r="P18" i="2"/>
  <c r="P19" i="2"/>
  <c r="P24" i="2"/>
  <c r="P25" i="2"/>
  <c r="P26" i="2"/>
  <c r="P27" i="2"/>
  <c r="P32" i="2"/>
  <c r="P34" i="2"/>
  <c r="P35" i="2"/>
  <c r="P36" i="2"/>
  <c r="P37" i="2"/>
  <c r="P38" i="2"/>
  <c r="P39" i="2"/>
  <c r="P40" i="2"/>
  <c r="P44" i="2"/>
  <c r="P45" i="2"/>
  <c r="P94" i="2"/>
  <c r="P95" i="2"/>
  <c r="P97" i="2"/>
  <c r="P98" i="2"/>
  <c r="P99" i="2"/>
  <c r="P100" i="2"/>
  <c r="P102" i="2"/>
  <c r="P103" i="2"/>
  <c r="P47" i="2"/>
  <c r="P52" i="2"/>
  <c r="P55" i="2"/>
  <c r="P56" i="2"/>
  <c r="P57" i="2"/>
  <c r="P59" i="2"/>
  <c r="P60" i="2"/>
  <c r="P61" i="2"/>
  <c r="P63" i="2"/>
  <c r="P64" i="2"/>
  <c r="P74" i="2"/>
  <c r="P75" i="2"/>
  <c r="P76" i="2"/>
  <c r="P78" i="2"/>
  <c r="P79" i="2"/>
  <c r="P80" i="2"/>
  <c r="P83" i="2"/>
  <c r="P84" i="2"/>
  <c r="P85" i="2"/>
  <c r="P111" i="2"/>
  <c r="P112" i="2"/>
  <c r="P114" i="2"/>
  <c r="P115" i="2"/>
  <c r="P116" i="2"/>
  <c r="P117" i="2"/>
  <c r="P118" i="2"/>
  <c r="P119" i="2"/>
  <c r="P121" i="2"/>
  <c r="P122" i="2"/>
  <c r="P123" i="2"/>
  <c r="P124" i="2"/>
  <c r="P127" i="2"/>
  <c r="P131" i="2"/>
  <c r="P132" i="2"/>
  <c r="P134" i="2"/>
  <c r="P135" i="2"/>
  <c r="P136" i="2"/>
  <c r="P137" i="2"/>
  <c r="P138" i="2"/>
  <c r="P142" i="2"/>
  <c r="P143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87" i="2"/>
  <c r="Q88" i="2"/>
  <c r="Q89" i="2"/>
  <c r="Q90" i="2"/>
  <c r="Q91" i="2"/>
  <c r="Q92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87" i="2"/>
  <c r="R88" i="2"/>
  <c r="R89" i="2"/>
  <c r="R90" i="2"/>
  <c r="R91" i="2"/>
  <c r="R92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87" i="2"/>
  <c r="S88" i="2"/>
  <c r="S89" i="2"/>
  <c r="S90" i="2"/>
  <c r="S91" i="2"/>
  <c r="S92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T2" i="2"/>
  <c r="T3" i="2"/>
  <c r="T6" i="2"/>
  <c r="T7" i="2"/>
  <c r="T13" i="2"/>
  <c r="T14" i="2"/>
  <c r="T15" i="2"/>
  <c r="T16" i="2"/>
  <c r="T17" i="2"/>
  <c r="T18" i="2"/>
  <c r="T19" i="2"/>
  <c r="T20" i="2"/>
  <c r="T24" i="2"/>
  <c r="T25" i="2"/>
  <c r="T26" i="2"/>
  <c r="T27" i="2"/>
  <c r="T32" i="2"/>
  <c r="T33" i="2"/>
  <c r="T34" i="2"/>
  <c r="T35" i="2"/>
  <c r="T36" i="2"/>
  <c r="T37" i="2"/>
  <c r="T38" i="2"/>
  <c r="T39" i="2"/>
  <c r="T40" i="2"/>
  <c r="T44" i="2"/>
  <c r="T45" i="2"/>
  <c r="T94" i="2"/>
  <c r="T95" i="2"/>
  <c r="T97" i="2"/>
  <c r="T101" i="2"/>
  <c r="T103" i="2"/>
  <c r="T106" i="2"/>
  <c r="T89" i="2"/>
  <c r="T92" i="2"/>
  <c r="T47" i="2"/>
  <c r="T52" i="2"/>
  <c r="T55" i="2"/>
  <c r="T56" i="2"/>
  <c r="T57" i="2"/>
  <c r="T58" i="2"/>
  <c r="T59" i="2"/>
  <c r="T60" i="2"/>
  <c r="T63" i="2"/>
  <c r="T64" i="2"/>
  <c r="T72" i="2"/>
  <c r="T73" i="2"/>
  <c r="T78" i="2"/>
  <c r="T79" i="2"/>
  <c r="T82" i="2"/>
  <c r="T83" i="2"/>
  <c r="T84" i="2"/>
  <c r="T85" i="2"/>
  <c r="T86" i="2"/>
  <c r="T111" i="2"/>
  <c r="T114" i="2"/>
  <c r="T115" i="2"/>
  <c r="T116" i="2"/>
  <c r="T117" i="2"/>
  <c r="T118" i="2"/>
  <c r="T119" i="2"/>
  <c r="T121" i="2"/>
  <c r="T122" i="2"/>
  <c r="T123" i="2"/>
  <c r="T124" i="2"/>
  <c r="T125" i="2"/>
  <c r="T127" i="2"/>
  <c r="T128" i="2"/>
  <c r="T129" i="2"/>
  <c r="T133" i="2"/>
  <c r="T136" i="2"/>
  <c r="T137" i="2"/>
  <c r="T138" i="2"/>
  <c r="T139" i="2"/>
  <c r="T141" i="2"/>
  <c r="T142" i="2"/>
  <c r="T143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87" i="2"/>
  <c r="W88" i="2"/>
  <c r="W89" i="2"/>
  <c r="W90" i="2"/>
  <c r="W91" i="2"/>
  <c r="W92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108" i="2"/>
  <c r="W109" i="2"/>
  <c r="W110" i="2"/>
  <c r="W111" i="2"/>
  <c r="W112" i="2"/>
  <c r="W113" i="2"/>
  <c r="W114" i="2"/>
  <c r="W115" i="2"/>
  <c r="W116" i="2"/>
  <c r="W117" i="2"/>
  <c r="W118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40" i="2"/>
  <c r="W141" i="2"/>
  <c r="W142" i="2"/>
  <c r="W143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87" i="2"/>
  <c r="X88" i="2"/>
  <c r="X89" i="2"/>
  <c r="X90" i="2"/>
  <c r="X91" i="2"/>
  <c r="X92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87" i="2"/>
  <c r="Y88" i="2"/>
  <c r="Y89" i="2"/>
  <c r="Y90" i="2"/>
  <c r="Y91" i="2"/>
  <c r="Y92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C1" i="12" a="1"/>
  <c r="C1" i="12" s="1"/>
  <c r="C1" i="11" a="1"/>
  <c r="C1" i="11" s="1"/>
  <c r="C1" i="9" a="1"/>
  <c r="C1" i="9" s="1"/>
  <c r="H96" i="2" l="1"/>
  <c r="N192" i="4"/>
  <c r="O88" i="3"/>
  <c r="M12" i="2"/>
  <c r="T12" i="2" s="1"/>
  <c r="H221" i="4"/>
  <c r="O221" i="4" s="1"/>
  <c r="O118" i="3"/>
  <c r="M65" i="2"/>
  <c r="T65" i="2" s="1"/>
  <c r="I118" i="3"/>
  <c r="P118" i="3" s="1"/>
  <c r="N77" i="2"/>
  <c r="I75" i="4"/>
  <c r="M75" i="4"/>
  <c r="T75" i="4" s="1"/>
  <c r="N75" i="4"/>
  <c r="M107" i="2"/>
  <c r="T107" i="2" s="1"/>
  <c r="I120" i="2"/>
  <c r="P120" i="2" s="1"/>
  <c r="H91" i="2"/>
  <c r="O91" i="2" s="1"/>
  <c r="N120" i="2"/>
  <c r="P75" i="4"/>
  <c r="H21" i="3"/>
  <c r="I21" i="3"/>
  <c r="H41" i="3"/>
  <c r="M41" i="3"/>
  <c r="I41" i="3"/>
  <c r="H61" i="3"/>
  <c r="I61" i="3"/>
  <c r="H81" i="3"/>
  <c r="I81" i="3"/>
  <c r="M81" i="3"/>
  <c r="H101" i="3"/>
  <c r="I101" i="3"/>
  <c r="M101" i="3"/>
  <c r="H121" i="3"/>
  <c r="I121" i="3"/>
  <c r="M121" i="3"/>
  <c r="H141" i="3"/>
  <c r="I141" i="3"/>
  <c r="M141" i="3"/>
  <c r="P120" i="3"/>
  <c r="T112" i="3"/>
  <c r="P135" i="3"/>
  <c r="N135" i="3"/>
  <c r="M21" i="3"/>
  <c r="M61" i="3"/>
  <c r="T230" i="4"/>
  <c r="M13" i="3"/>
  <c r="I13" i="3"/>
  <c r="H13" i="3"/>
  <c r="M33" i="3"/>
  <c r="I33" i="3"/>
  <c r="H33" i="3"/>
  <c r="M73" i="3"/>
  <c r="T73" i="3" s="1"/>
  <c r="H73" i="3"/>
  <c r="I73" i="3"/>
  <c r="M93" i="3"/>
  <c r="H93" i="3"/>
  <c r="I93" i="3"/>
  <c r="M113" i="3"/>
  <c r="H113" i="3"/>
  <c r="I113" i="3"/>
  <c r="N94" i="3"/>
  <c r="O94" i="3"/>
  <c r="N114" i="3"/>
  <c r="O114" i="3"/>
  <c r="P154" i="3"/>
  <c r="I53" i="3"/>
  <c r="N99" i="4"/>
  <c r="P99" i="4"/>
  <c r="H53" i="3"/>
  <c r="N55" i="3"/>
  <c r="M133" i="3"/>
  <c r="I133" i="3"/>
  <c r="P133" i="3" s="1"/>
  <c r="H133" i="3"/>
  <c r="M153" i="3"/>
  <c r="I153" i="3"/>
  <c r="H153" i="3"/>
  <c r="M173" i="3"/>
  <c r="H173" i="3"/>
  <c r="I173" i="3"/>
  <c r="O39" i="3"/>
  <c r="N39" i="3"/>
  <c r="N92" i="3"/>
  <c r="T62" i="4"/>
  <c r="P217" i="4"/>
  <c r="T189" i="4"/>
  <c r="T190" i="4"/>
  <c r="N8" i="2"/>
  <c r="N101" i="4"/>
  <c r="P101" i="4"/>
  <c r="N179" i="4"/>
  <c r="T92" i="4"/>
  <c r="M8" i="2"/>
  <c r="I8" i="2"/>
  <c r="M28" i="2"/>
  <c r="I28" i="2"/>
  <c r="H28" i="2"/>
  <c r="M48" i="2"/>
  <c r="I48" i="2"/>
  <c r="H48" i="2"/>
  <c r="I68" i="2"/>
  <c r="H68" i="2"/>
  <c r="M68" i="2"/>
  <c r="M88" i="2"/>
  <c r="I88" i="2"/>
  <c r="H88" i="2"/>
  <c r="I108" i="2"/>
  <c r="M108" i="2"/>
  <c r="I128" i="2"/>
  <c r="H128" i="2"/>
  <c r="N14" i="4"/>
  <c r="P14" i="4"/>
  <c r="P181" i="4"/>
  <c r="M9" i="2"/>
  <c r="H9" i="2"/>
  <c r="I9" i="2"/>
  <c r="M29" i="2"/>
  <c r="H29" i="2"/>
  <c r="I29" i="2"/>
  <c r="M49" i="2"/>
  <c r="H49" i="2"/>
  <c r="I49" i="2"/>
  <c r="M69" i="2"/>
  <c r="H69" i="2"/>
  <c r="I69" i="2"/>
  <c r="H89" i="2"/>
  <c r="I89" i="2"/>
  <c r="M109" i="2"/>
  <c r="H109" i="2"/>
  <c r="I109" i="2"/>
  <c r="H129" i="2"/>
  <c r="I129" i="2"/>
  <c r="H20" i="3"/>
  <c r="I20" i="3"/>
  <c r="P20" i="3" s="1"/>
  <c r="M40" i="3"/>
  <c r="H40" i="3"/>
  <c r="I60" i="3"/>
  <c r="P60" i="3" s="1"/>
  <c r="H60" i="3"/>
  <c r="H80" i="3"/>
  <c r="M80" i="3"/>
  <c r="I80" i="3"/>
  <c r="M100" i="3"/>
  <c r="I100" i="3"/>
  <c r="H120" i="3"/>
  <c r="M120" i="3"/>
  <c r="H140" i="3"/>
  <c r="M140" i="3"/>
  <c r="H160" i="3"/>
  <c r="I160" i="3"/>
  <c r="M160" i="3"/>
  <c r="O258" i="4"/>
  <c r="N15" i="4"/>
  <c r="P15" i="4"/>
  <c r="N68" i="4"/>
  <c r="N152" i="4"/>
  <c r="O15" i="3"/>
  <c r="N15" i="3"/>
  <c r="O19" i="4"/>
  <c r="N119" i="4"/>
  <c r="P16" i="4"/>
  <c r="N16" i="4"/>
  <c r="P72" i="4"/>
  <c r="M11" i="2"/>
  <c r="I11" i="2"/>
  <c r="M31" i="2"/>
  <c r="I31" i="2"/>
  <c r="H31" i="2"/>
  <c r="M51" i="2"/>
  <c r="I51" i="2"/>
  <c r="H51" i="2"/>
  <c r="M71" i="2"/>
  <c r="I71" i="2"/>
  <c r="H71" i="2"/>
  <c r="N79" i="4"/>
  <c r="O79" i="4"/>
  <c r="M12" i="4"/>
  <c r="I12" i="4"/>
  <c r="H12" i="4"/>
  <c r="I32" i="4"/>
  <c r="H32" i="4"/>
  <c r="M32" i="4"/>
  <c r="M52" i="4"/>
  <c r="I52" i="4"/>
  <c r="H52" i="4"/>
  <c r="H72" i="4"/>
  <c r="M72" i="4"/>
  <c r="O80" i="4"/>
  <c r="O81" i="4"/>
  <c r="N81" i="4"/>
  <c r="O113" i="4"/>
  <c r="T2" i="3"/>
  <c r="O83" i="4"/>
  <c r="M10" i="2"/>
  <c r="I10" i="2"/>
  <c r="H10" i="2"/>
  <c r="M30" i="2"/>
  <c r="I30" i="2"/>
  <c r="H30" i="2"/>
  <c r="M50" i="2"/>
  <c r="I50" i="2"/>
  <c r="H50" i="2"/>
  <c r="M70" i="2"/>
  <c r="I70" i="2"/>
  <c r="H70" i="2"/>
  <c r="M90" i="2"/>
  <c r="I90" i="2"/>
  <c r="H90" i="2"/>
  <c r="I110" i="2"/>
  <c r="P110" i="2" s="1"/>
  <c r="M110" i="2"/>
  <c r="H110" i="2"/>
  <c r="I130" i="2"/>
  <c r="H130" i="2"/>
  <c r="M130" i="2"/>
  <c r="N163" i="4"/>
  <c r="T93" i="4"/>
  <c r="N17" i="4"/>
  <c r="M18" i="4"/>
  <c r="H18" i="4"/>
  <c r="M38" i="4"/>
  <c r="H38" i="4"/>
  <c r="I38" i="4"/>
  <c r="M58" i="4"/>
  <c r="I58" i="4"/>
  <c r="H58" i="4"/>
  <c r="M78" i="4"/>
  <c r="I78" i="4"/>
  <c r="M98" i="4"/>
  <c r="I98" i="4"/>
  <c r="M118" i="4"/>
  <c r="I118" i="4"/>
  <c r="H118" i="4"/>
  <c r="M178" i="4"/>
  <c r="H178" i="4"/>
  <c r="M198" i="4"/>
  <c r="I198" i="4"/>
  <c r="M218" i="4"/>
  <c r="H218" i="4"/>
  <c r="I218" i="4"/>
  <c r="M238" i="4"/>
  <c r="I238" i="4"/>
  <c r="H238" i="4"/>
  <c r="M258" i="4"/>
  <c r="I258" i="4"/>
  <c r="M278" i="4"/>
  <c r="H278" i="4"/>
  <c r="I278" i="4"/>
  <c r="H138" i="4"/>
  <c r="N223" i="4"/>
  <c r="O223" i="4"/>
  <c r="O85" i="4"/>
  <c r="I6" i="2"/>
  <c r="I86" i="2"/>
  <c r="M61" i="2"/>
  <c r="M20" i="4"/>
  <c r="I20" i="4"/>
  <c r="H20" i="4"/>
  <c r="M40" i="4"/>
  <c r="H40" i="4"/>
  <c r="I40" i="4"/>
  <c r="M60" i="4"/>
  <c r="I60" i="4"/>
  <c r="H60" i="4"/>
  <c r="M80" i="4"/>
  <c r="I80" i="4"/>
  <c r="M100" i="4"/>
  <c r="H100" i="4"/>
  <c r="M120" i="4"/>
  <c r="I120" i="4"/>
  <c r="M140" i="4"/>
  <c r="I140" i="4"/>
  <c r="H140" i="4"/>
  <c r="M160" i="4"/>
  <c r="I160" i="4"/>
  <c r="H160" i="4"/>
  <c r="M180" i="4"/>
  <c r="H180" i="4"/>
  <c r="I180" i="4"/>
  <c r="M200" i="4"/>
  <c r="I200" i="4"/>
  <c r="H200" i="4"/>
  <c r="M21" i="2"/>
  <c r="I21" i="2"/>
  <c r="H21" i="2"/>
  <c r="M41" i="2"/>
  <c r="I41" i="2"/>
  <c r="H41" i="2"/>
  <c r="I81" i="2"/>
  <c r="H81" i="2"/>
  <c r="M81" i="2"/>
  <c r="I101" i="2"/>
  <c r="H101" i="2"/>
  <c r="M6" i="3"/>
  <c r="H6" i="3"/>
  <c r="H26" i="3"/>
  <c r="I26" i="3"/>
  <c r="I46" i="3"/>
  <c r="H46" i="3"/>
  <c r="M46" i="3"/>
  <c r="M66" i="3"/>
  <c r="H66" i="3"/>
  <c r="O66" i="3" s="1"/>
  <c r="I106" i="3"/>
  <c r="H106" i="3"/>
  <c r="M106" i="3"/>
  <c r="M126" i="3"/>
  <c r="I126" i="3"/>
  <c r="H126" i="3"/>
  <c r="H146" i="3"/>
  <c r="I146" i="3"/>
  <c r="H166" i="3"/>
  <c r="I166" i="3"/>
  <c r="I66" i="3"/>
  <c r="P66" i="3" s="1"/>
  <c r="O144" i="4"/>
  <c r="N272" i="4"/>
  <c r="M22" i="2"/>
  <c r="I22" i="2"/>
  <c r="H22" i="2"/>
  <c r="M42" i="2"/>
  <c r="I42" i="2"/>
  <c r="H42" i="2"/>
  <c r="I62" i="2"/>
  <c r="H62" i="2"/>
  <c r="H82" i="2"/>
  <c r="I7" i="3"/>
  <c r="M7" i="3"/>
  <c r="T7" i="3" s="1"/>
  <c r="H7" i="3"/>
  <c r="I27" i="3"/>
  <c r="M27" i="3"/>
  <c r="H27" i="3"/>
  <c r="I47" i="3"/>
  <c r="M47" i="3"/>
  <c r="H47" i="3"/>
  <c r="I67" i="3"/>
  <c r="M67" i="3"/>
  <c r="H67" i="3"/>
  <c r="I87" i="3"/>
  <c r="M87" i="3"/>
  <c r="I107" i="3"/>
  <c r="M107" i="3"/>
  <c r="I127" i="3"/>
  <c r="M127" i="3"/>
  <c r="I147" i="3"/>
  <c r="M147" i="3"/>
  <c r="I167" i="3"/>
  <c r="M167" i="3"/>
  <c r="H167" i="3"/>
  <c r="I2" i="4"/>
  <c r="H2" i="4"/>
  <c r="M2" i="4"/>
  <c r="I22" i="4"/>
  <c r="H22" i="4"/>
  <c r="I42" i="4"/>
  <c r="M42" i="4"/>
  <c r="H42" i="4"/>
  <c r="I62" i="4"/>
  <c r="H62" i="4"/>
  <c r="I82" i="4"/>
  <c r="M82" i="4"/>
  <c r="H82" i="4"/>
  <c r="I102" i="4"/>
  <c r="M102" i="4"/>
  <c r="H102" i="4"/>
  <c r="I122" i="4"/>
  <c r="H122" i="4"/>
  <c r="M122" i="4"/>
  <c r="I142" i="4"/>
  <c r="M142" i="4"/>
  <c r="H142" i="4"/>
  <c r="I162" i="4"/>
  <c r="H162" i="4"/>
  <c r="M162" i="4"/>
  <c r="I182" i="4"/>
  <c r="M182" i="4"/>
  <c r="I202" i="4"/>
  <c r="P202" i="4" s="1"/>
  <c r="M202" i="4"/>
  <c r="H202" i="4"/>
  <c r="I222" i="4"/>
  <c r="H222" i="4"/>
  <c r="M222" i="4"/>
  <c r="I242" i="4"/>
  <c r="M242" i="4"/>
  <c r="H242" i="4"/>
  <c r="I262" i="4"/>
  <c r="H262" i="4"/>
  <c r="M262" i="4"/>
  <c r="I282" i="4"/>
  <c r="H282" i="4"/>
  <c r="M282" i="4"/>
  <c r="O232" i="4"/>
  <c r="N59" i="3"/>
  <c r="M23" i="2"/>
  <c r="I23" i="2"/>
  <c r="H23" i="2"/>
  <c r="M43" i="2"/>
  <c r="I43" i="2"/>
  <c r="H43" i="2"/>
  <c r="H83" i="2"/>
  <c r="H121" i="2"/>
  <c r="M8" i="3"/>
  <c r="H8" i="3"/>
  <c r="M28" i="3"/>
  <c r="I28" i="3"/>
  <c r="M48" i="3"/>
  <c r="I48" i="3"/>
  <c r="H48" i="3"/>
  <c r="M68" i="3"/>
  <c r="H68" i="3"/>
  <c r="I68" i="3"/>
  <c r="M108" i="3"/>
  <c r="H108" i="3"/>
  <c r="M128" i="3"/>
  <c r="I128" i="3"/>
  <c r="M148" i="3"/>
  <c r="I148" i="3"/>
  <c r="M168" i="3"/>
  <c r="H168" i="3"/>
  <c r="I168" i="3"/>
  <c r="I3" i="4"/>
  <c r="H3" i="4"/>
  <c r="M3" i="4"/>
  <c r="I23" i="4"/>
  <c r="M23" i="4"/>
  <c r="H23" i="4"/>
  <c r="I43" i="4"/>
  <c r="M43" i="4"/>
  <c r="I63" i="4"/>
  <c r="H63" i="4"/>
  <c r="I83" i="4"/>
  <c r="M83" i="4"/>
  <c r="I103" i="4"/>
  <c r="M103" i="4"/>
  <c r="H103" i="4"/>
  <c r="I123" i="4"/>
  <c r="H123" i="4"/>
  <c r="M123" i="4"/>
  <c r="I143" i="4"/>
  <c r="M143" i="4"/>
  <c r="H143" i="4"/>
  <c r="I163" i="4"/>
  <c r="M163" i="4"/>
  <c r="I183" i="4"/>
  <c r="H183" i="4"/>
  <c r="M183" i="4"/>
  <c r="I203" i="4"/>
  <c r="M203" i="4"/>
  <c r="H203" i="4"/>
  <c r="I223" i="4"/>
  <c r="M223" i="4"/>
  <c r="I243" i="4"/>
  <c r="M243" i="4"/>
  <c r="H243" i="4"/>
  <c r="I263" i="4"/>
  <c r="M263" i="4"/>
  <c r="I283" i="4"/>
  <c r="H283" i="4"/>
  <c r="O146" i="4"/>
  <c r="P252" i="4"/>
  <c r="N252" i="4"/>
  <c r="P74" i="4"/>
  <c r="M4" i="2"/>
  <c r="I4" i="2"/>
  <c r="I104" i="2"/>
  <c r="H104" i="2"/>
  <c r="M104" i="2"/>
  <c r="I9" i="3"/>
  <c r="M9" i="3"/>
  <c r="I29" i="3"/>
  <c r="M29" i="3"/>
  <c r="I49" i="3"/>
  <c r="M49" i="3"/>
  <c r="H49" i="3"/>
  <c r="I69" i="3"/>
  <c r="M69" i="3"/>
  <c r="H69" i="3"/>
  <c r="I89" i="3"/>
  <c r="M89" i="3"/>
  <c r="I109" i="3"/>
  <c r="M109" i="3"/>
  <c r="H109" i="3"/>
  <c r="I129" i="3"/>
  <c r="N129" i="3" s="1"/>
  <c r="M129" i="3"/>
  <c r="I149" i="3"/>
  <c r="N149" i="3" s="1"/>
  <c r="M149" i="3"/>
  <c r="I169" i="3"/>
  <c r="M169" i="3"/>
  <c r="H169" i="3"/>
  <c r="N124" i="3"/>
  <c r="I170" i="3"/>
  <c r="P253" i="4"/>
  <c r="N253" i="4"/>
  <c r="N57" i="3"/>
  <c r="N263" i="4"/>
  <c r="M5" i="2"/>
  <c r="H5" i="2"/>
  <c r="I105" i="2"/>
  <c r="H105" i="2"/>
  <c r="M105" i="2"/>
  <c r="I125" i="2"/>
  <c r="H125" i="2"/>
  <c r="M10" i="3"/>
  <c r="H10" i="3"/>
  <c r="M30" i="3"/>
  <c r="T30" i="3" s="1"/>
  <c r="I30" i="3"/>
  <c r="H30" i="3"/>
  <c r="M50" i="3"/>
  <c r="H50" i="3"/>
  <c r="M70" i="3"/>
  <c r="H70" i="3"/>
  <c r="I70" i="3"/>
  <c r="M90" i="3"/>
  <c r="H90" i="3"/>
  <c r="M110" i="3"/>
  <c r="H110" i="3"/>
  <c r="I110" i="3"/>
  <c r="M130" i="3"/>
  <c r="I130" i="3"/>
  <c r="H130" i="3"/>
  <c r="M150" i="3"/>
  <c r="I150" i="3"/>
  <c r="O105" i="4"/>
  <c r="M22" i="4"/>
  <c r="M46" i="2"/>
  <c r="I46" i="2"/>
  <c r="H46" i="2"/>
  <c r="M66" i="2"/>
  <c r="I66" i="2"/>
  <c r="I106" i="2"/>
  <c r="H106" i="2"/>
  <c r="I126" i="2"/>
  <c r="H126" i="2"/>
  <c r="M126" i="2"/>
  <c r="I141" i="2"/>
  <c r="H86" i="3"/>
  <c r="H198" i="4"/>
  <c r="P136" i="4"/>
  <c r="N136" i="4"/>
  <c r="H7" i="4"/>
  <c r="M7" i="4"/>
  <c r="I7" i="4"/>
  <c r="H27" i="4"/>
  <c r="I27" i="4"/>
  <c r="M27" i="4"/>
  <c r="H47" i="4"/>
  <c r="M47" i="4"/>
  <c r="I47" i="4"/>
  <c r="H67" i="4"/>
  <c r="I67" i="4"/>
  <c r="M67" i="4"/>
  <c r="O87" i="4"/>
  <c r="N107" i="4"/>
  <c r="O199" i="4"/>
  <c r="N199" i="4"/>
  <c r="M67" i="2"/>
  <c r="I67" i="2"/>
  <c r="M87" i="2"/>
  <c r="I87" i="2"/>
  <c r="M4" i="4"/>
  <c r="I4" i="4"/>
  <c r="H4" i="4"/>
  <c r="M24" i="4"/>
  <c r="I24" i="4"/>
  <c r="M44" i="4"/>
  <c r="I44" i="4"/>
  <c r="M64" i="4"/>
  <c r="I64" i="4"/>
  <c r="H64" i="4"/>
  <c r="N64" i="4" s="1"/>
  <c r="M84" i="4"/>
  <c r="I84" i="4"/>
  <c r="M104" i="4"/>
  <c r="I104" i="4"/>
  <c r="M124" i="4"/>
  <c r="I124" i="4"/>
  <c r="H124" i="4"/>
  <c r="M144" i="4"/>
  <c r="I144" i="4"/>
  <c r="M164" i="4"/>
  <c r="I164" i="4"/>
  <c r="M184" i="4"/>
  <c r="I184" i="4"/>
  <c r="H184" i="4"/>
  <c r="M204" i="4"/>
  <c r="I204" i="4"/>
  <c r="M224" i="4"/>
  <c r="I224" i="4"/>
  <c r="P224" i="4" s="1"/>
  <c r="M244" i="4"/>
  <c r="I244" i="4"/>
  <c r="H244" i="4"/>
  <c r="M264" i="4"/>
  <c r="I264" i="4"/>
  <c r="N264" i="4" s="1"/>
  <c r="M284" i="4"/>
  <c r="I284" i="4"/>
  <c r="H67" i="2"/>
  <c r="N37" i="4"/>
  <c r="I13" i="2"/>
  <c r="H13" i="2"/>
  <c r="I33" i="2"/>
  <c r="H33" i="2"/>
  <c r="I53" i="2"/>
  <c r="H53" i="2"/>
  <c r="I73" i="2"/>
  <c r="H73" i="2"/>
  <c r="M93" i="2"/>
  <c r="I93" i="2"/>
  <c r="H93" i="2"/>
  <c r="I113" i="2"/>
  <c r="M113" i="2"/>
  <c r="H113" i="2"/>
  <c r="I133" i="2"/>
  <c r="H133" i="2"/>
  <c r="H18" i="3"/>
  <c r="I18" i="3"/>
  <c r="H38" i="3"/>
  <c r="M38" i="3"/>
  <c r="I38" i="3"/>
  <c r="H98" i="3"/>
  <c r="M98" i="3"/>
  <c r="I98" i="3"/>
  <c r="H158" i="3"/>
  <c r="M158" i="3"/>
  <c r="I158" i="3"/>
  <c r="H105" i="3"/>
  <c r="I138" i="3"/>
  <c r="M118" i="3"/>
  <c r="H127" i="2"/>
  <c r="I19" i="3"/>
  <c r="H19" i="3"/>
  <c r="M99" i="3"/>
  <c r="I99" i="3"/>
  <c r="M159" i="3"/>
  <c r="I159" i="3"/>
  <c r="I139" i="3"/>
  <c r="M39" i="3"/>
  <c r="M119" i="3"/>
  <c r="H161" i="3"/>
  <c r="I161" i="3"/>
  <c r="M161" i="3"/>
  <c r="N139" i="4"/>
  <c r="N205" i="4"/>
  <c r="I20" i="2"/>
  <c r="M80" i="2"/>
  <c r="I2" i="3"/>
  <c r="H2" i="3"/>
  <c r="I42" i="3"/>
  <c r="M42" i="3"/>
  <c r="I122" i="3"/>
  <c r="M122" i="3"/>
  <c r="I142" i="3"/>
  <c r="H142" i="3"/>
  <c r="I162" i="3"/>
  <c r="H162" i="3"/>
  <c r="H42" i="3"/>
  <c r="N111" i="3"/>
  <c r="M84" i="3"/>
  <c r="M162" i="3"/>
  <c r="H177" i="4"/>
  <c r="H47" i="2"/>
  <c r="H79" i="2"/>
  <c r="M53" i="2"/>
  <c r="H3" i="3"/>
  <c r="I3" i="3"/>
  <c r="H23" i="3"/>
  <c r="I23" i="3"/>
  <c r="H43" i="3"/>
  <c r="I43" i="3"/>
  <c r="M43" i="3"/>
  <c r="H63" i="3"/>
  <c r="I63" i="3"/>
  <c r="M63" i="3"/>
  <c r="H83" i="3"/>
  <c r="I83" i="3"/>
  <c r="H103" i="3"/>
  <c r="I103" i="3"/>
  <c r="H123" i="3"/>
  <c r="I123" i="3"/>
  <c r="H143" i="3"/>
  <c r="I143" i="3"/>
  <c r="H163" i="3"/>
  <c r="I163" i="3"/>
  <c r="N112" i="3"/>
  <c r="M163" i="3"/>
  <c r="H80" i="2"/>
  <c r="I54" i="2"/>
  <c r="M54" i="2"/>
  <c r="I4" i="3"/>
  <c r="H4" i="3"/>
  <c r="I24" i="3"/>
  <c r="H24" i="3"/>
  <c r="I44" i="3"/>
  <c r="H44" i="3"/>
  <c r="I64" i="3"/>
  <c r="M64" i="3"/>
  <c r="I124" i="3"/>
  <c r="P124" i="3" s="1"/>
  <c r="M124" i="3"/>
  <c r="I144" i="3"/>
  <c r="H144" i="3"/>
  <c r="H82" i="3"/>
  <c r="N82" i="3" s="1"/>
  <c r="M164" i="3"/>
  <c r="N213" i="4"/>
  <c r="H107" i="2"/>
  <c r="N107" i="2" s="1"/>
  <c r="H139" i="2"/>
  <c r="I139" i="2"/>
  <c r="I45" i="3"/>
  <c r="H45" i="3"/>
  <c r="M125" i="3"/>
  <c r="I125" i="3"/>
  <c r="H84" i="3"/>
  <c r="I78" i="3"/>
  <c r="M18" i="3"/>
  <c r="R17" i="1" s="1" a="1"/>
  <c r="R17" i="1" s="1"/>
  <c r="M165" i="3"/>
  <c r="M37" i="4"/>
  <c r="H37" i="4"/>
  <c r="M57" i="4"/>
  <c r="I57" i="4"/>
  <c r="M97" i="4"/>
  <c r="I97" i="4"/>
  <c r="H97" i="4"/>
  <c r="M157" i="4"/>
  <c r="I157" i="4"/>
  <c r="H157" i="4"/>
  <c r="M197" i="4"/>
  <c r="I197" i="4"/>
  <c r="M217" i="4"/>
  <c r="H217" i="4"/>
  <c r="M257" i="4"/>
  <c r="I257" i="4"/>
  <c r="M277" i="4"/>
  <c r="H277" i="4"/>
  <c r="H24" i="4"/>
  <c r="N73" i="4"/>
  <c r="H104" i="4"/>
  <c r="N104" i="4" s="1"/>
  <c r="H257" i="4"/>
  <c r="M167" i="4"/>
  <c r="M267" i="4"/>
  <c r="M131" i="2"/>
  <c r="M94" i="3"/>
  <c r="M5" i="4"/>
  <c r="I5" i="4"/>
  <c r="M25" i="4"/>
  <c r="I25" i="4"/>
  <c r="M45" i="4"/>
  <c r="I45" i="4"/>
  <c r="M65" i="4"/>
  <c r="I65" i="4"/>
  <c r="M85" i="4"/>
  <c r="I85" i="4"/>
  <c r="N85" i="4" s="1"/>
  <c r="M105" i="4"/>
  <c r="I105" i="4"/>
  <c r="N105" i="4" s="1"/>
  <c r="M125" i="4"/>
  <c r="I125" i="4"/>
  <c r="M145" i="4"/>
  <c r="I145" i="4"/>
  <c r="M185" i="4"/>
  <c r="I185" i="4"/>
  <c r="M205" i="4"/>
  <c r="I205" i="4"/>
  <c r="M225" i="4"/>
  <c r="I225" i="4"/>
  <c r="M245" i="4"/>
  <c r="I245" i="4"/>
  <c r="M265" i="4"/>
  <c r="I265" i="4"/>
  <c r="M285" i="4"/>
  <c r="I285" i="4"/>
  <c r="I188" i="4"/>
  <c r="M168" i="4"/>
  <c r="M268" i="4"/>
  <c r="M132" i="2"/>
  <c r="I14" i="3"/>
  <c r="M96" i="3"/>
  <c r="M6" i="4"/>
  <c r="I6" i="4"/>
  <c r="M26" i="4"/>
  <c r="I26" i="4"/>
  <c r="M46" i="4"/>
  <c r="I46" i="4"/>
  <c r="M66" i="4"/>
  <c r="I66" i="4"/>
  <c r="M86" i="4"/>
  <c r="I86" i="4"/>
  <c r="M106" i="4"/>
  <c r="I106" i="4"/>
  <c r="M126" i="4"/>
  <c r="I126" i="4"/>
  <c r="M146" i="4"/>
  <c r="I146" i="4"/>
  <c r="N146" i="4" s="1"/>
  <c r="M166" i="4"/>
  <c r="I166" i="4"/>
  <c r="M186" i="4"/>
  <c r="I186" i="4"/>
  <c r="M206" i="4"/>
  <c r="I206" i="4"/>
  <c r="M226" i="4"/>
  <c r="I226" i="4"/>
  <c r="M246" i="4"/>
  <c r="I246" i="4"/>
  <c r="M266" i="4"/>
  <c r="I266" i="4"/>
  <c r="M286" i="4"/>
  <c r="I286" i="4"/>
  <c r="N256" i="4"/>
  <c r="M107" i="4"/>
  <c r="I127" i="4"/>
  <c r="M8" i="4"/>
  <c r="M108" i="4"/>
  <c r="T108" i="4" s="1"/>
  <c r="H12" i="2"/>
  <c r="H32" i="2"/>
  <c r="H52" i="2"/>
  <c r="H72" i="2"/>
  <c r="H92" i="2"/>
  <c r="H112" i="2"/>
  <c r="H132" i="2"/>
  <c r="M112" i="2"/>
  <c r="M134" i="2"/>
  <c r="I16" i="3"/>
  <c r="I72" i="3"/>
  <c r="H125" i="4"/>
  <c r="H186" i="4"/>
  <c r="H246" i="4"/>
  <c r="I28" i="4"/>
  <c r="I128" i="4"/>
  <c r="P128" i="4" s="1"/>
  <c r="I227" i="4"/>
  <c r="M207" i="4"/>
  <c r="I91" i="2"/>
  <c r="M135" i="2"/>
  <c r="H71" i="3"/>
  <c r="I9" i="4"/>
  <c r="H9" i="4"/>
  <c r="I29" i="4"/>
  <c r="H29" i="4"/>
  <c r="I49" i="4"/>
  <c r="H49" i="4"/>
  <c r="I69" i="4"/>
  <c r="H69" i="4"/>
  <c r="I89" i="4"/>
  <c r="H89" i="4"/>
  <c r="I109" i="4"/>
  <c r="H109" i="4"/>
  <c r="I129" i="4"/>
  <c r="H129" i="4"/>
  <c r="I149" i="4"/>
  <c r="H149" i="4"/>
  <c r="I169" i="4"/>
  <c r="H169" i="4"/>
  <c r="I189" i="4"/>
  <c r="H189" i="4"/>
  <c r="I209" i="4"/>
  <c r="H209" i="4"/>
  <c r="I229" i="4"/>
  <c r="H229" i="4"/>
  <c r="I249" i="4"/>
  <c r="H249" i="4"/>
  <c r="I269" i="4"/>
  <c r="H269" i="4"/>
  <c r="H65" i="4"/>
  <c r="H126" i="4"/>
  <c r="N281" i="4"/>
  <c r="I228" i="4"/>
  <c r="M208" i="4"/>
  <c r="H114" i="2"/>
  <c r="I72" i="2"/>
  <c r="I92" i="2"/>
  <c r="H72" i="3"/>
  <c r="I74" i="3"/>
  <c r="I10" i="4"/>
  <c r="H10" i="4"/>
  <c r="I30" i="4"/>
  <c r="H30" i="4"/>
  <c r="I50" i="4"/>
  <c r="H50" i="4"/>
  <c r="I70" i="4"/>
  <c r="H70" i="4"/>
  <c r="I90" i="4"/>
  <c r="H90" i="4"/>
  <c r="I110" i="4"/>
  <c r="H110" i="4"/>
  <c r="I130" i="4"/>
  <c r="H130" i="4"/>
  <c r="I150" i="4"/>
  <c r="H150" i="4"/>
  <c r="I170" i="4"/>
  <c r="H170" i="4"/>
  <c r="I190" i="4"/>
  <c r="H190" i="4"/>
  <c r="I210" i="4"/>
  <c r="H210" i="4"/>
  <c r="I230" i="4"/>
  <c r="H230" i="4"/>
  <c r="I250" i="4"/>
  <c r="H250" i="4"/>
  <c r="I270" i="4"/>
  <c r="H270" i="4"/>
  <c r="H5" i="4"/>
  <c r="H66" i="4"/>
  <c r="M147" i="4"/>
  <c r="M209" i="4"/>
  <c r="H115" i="2"/>
  <c r="I11" i="4"/>
  <c r="H11" i="4"/>
  <c r="I31" i="4"/>
  <c r="H31" i="4"/>
  <c r="I51" i="4"/>
  <c r="H51" i="4"/>
  <c r="I71" i="4"/>
  <c r="H71" i="4"/>
  <c r="I91" i="4"/>
  <c r="H91" i="4"/>
  <c r="I111" i="4"/>
  <c r="H111" i="4"/>
  <c r="I131" i="4"/>
  <c r="H131" i="4"/>
  <c r="I151" i="4"/>
  <c r="H151" i="4"/>
  <c r="I171" i="4"/>
  <c r="H171" i="4"/>
  <c r="I191" i="4"/>
  <c r="H191" i="4"/>
  <c r="I211" i="4"/>
  <c r="H211" i="4"/>
  <c r="I231" i="4"/>
  <c r="P231" i="4" s="1"/>
  <c r="H231" i="4"/>
  <c r="I251" i="4"/>
  <c r="H251" i="4"/>
  <c r="I271" i="4"/>
  <c r="H271" i="4"/>
  <c r="H6" i="4"/>
  <c r="M48" i="4"/>
  <c r="M148" i="4"/>
  <c r="M210" i="4"/>
  <c r="N135" i="4"/>
  <c r="N175" i="4"/>
  <c r="X227" i="4"/>
  <c r="W252" i="4"/>
  <c r="W250" i="4"/>
  <c r="W173" i="4"/>
  <c r="W153" i="4"/>
  <c r="W172" i="4"/>
  <c r="W152" i="4"/>
  <c r="W171" i="4"/>
  <c r="W151" i="4"/>
  <c r="W190" i="4"/>
  <c r="W170" i="4"/>
  <c r="W150" i="4"/>
  <c r="W189" i="4"/>
  <c r="W169" i="4"/>
  <c r="W149" i="4"/>
  <c r="W188" i="4"/>
  <c r="W168" i="4"/>
  <c r="W148" i="4"/>
  <c r="W187" i="4"/>
  <c r="W167" i="4"/>
  <c r="W143" i="4"/>
  <c r="W123" i="4"/>
  <c r="W103" i="4"/>
  <c r="W83" i="4"/>
  <c r="W63" i="4"/>
  <c r="W43" i="4"/>
  <c r="W23" i="4"/>
  <c r="W3" i="4"/>
  <c r="W102" i="4"/>
  <c r="W82" i="4"/>
  <c r="W62" i="4"/>
  <c r="W42" i="4"/>
  <c r="W22" i="4"/>
  <c r="W139" i="2"/>
  <c r="P276" i="4"/>
  <c r="P273" i="4"/>
  <c r="P272" i="4"/>
  <c r="P260" i="4"/>
  <c r="P232" i="4"/>
  <c r="N232" i="4"/>
  <c r="P228" i="4"/>
  <c r="N225" i="4"/>
  <c r="P193" i="4"/>
  <c r="P142" i="4"/>
  <c r="P130" i="4"/>
  <c r="N121" i="4"/>
  <c r="P84" i="4"/>
  <c r="N83" i="4"/>
  <c r="P62" i="4"/>
  <c r="P41" i="4"/>
  <c r="N38" i="4"/>
  <c r="P27" i="4"/>
  <c r="P26" i="4"/>
  <c r="P17" i="4"/>
  <c r="O268" i="4"/>
  <c r="O246" i="4"/>
  <c r="O175" i="4"/>
  <c r="N41" i="4"/>
  <c r="N40" i="4"/>
  <c r="O38" i="4"/>
  <c r="T11" i="3"/>
  <c r="P152" i="3"/>
  <c r="N64" i="3"/>
  <c r="N134" i="3"/>
  <c r="O127" i="3"/>
  <c r="N127" i="3"/>
  <c r="O125" i="3"/>
  <c r="N86" i="3"/>
  <c r="N66" i="3"/>
  <c r="O56" i="3"/>
  <c r="N11" i="3"/>
  <c r="T91" i="2"/>
  <c r="N65" i="2"/>
  <c r="N42" i="2"/>
  <c r="N31" i="2"/>
  <c r="N25" i="2"/>
  <c r="O19" i="2"/>
  <c r="A2" i="15" a="1"/>
  <c r="A2" i="15" s="1"/>
  <c r="N96" i="2" l="1"/>
  <c r="O96" i="2"/>
  <c r="N221" i="4"/>
  <c r="S18" i="1" a="1"/>
  <c r="S18" i="1" s="1"/>
  <c r="R3" i="1" a="1"/>
  <c r="R3" i="1" s="1"/>
  <c r="R7" i="1" a="1"/>
  <c r="R7" i="1" s="1"/>
  <c r="C6" i="1" a="1"/>
  <c r="C6" i="1" s="1"/>
  <c r="N118" i="3"/>
  <c r="G7" i="1" a="1"/>
  <c r="G7" i="1" s="1"/>
  <c r="S7" i="1" a="1"/>
  <c r="S7" i="1" s="1"/>
  <c r="F5" i="1" a="1"/>
  <c r="F5" i="1" s="1"/>
  <c r="P89" i="3"/>
  <c r="N143" i="4"/>
  <c r="O143" i="4"/>
  <c r="P3" i="4"/>
  <c r="O121" i="2"/>
  <c r="N121" i="2"/>
  <c r="T242" i="4"/>
  <c r="T102" i="4"/>
  <c r="T127" i="3"/>
  <c r="N62" i="2"/>
  <c r="P62" i="2"/>
  <c r="N146" i="3"/>
  <c r="O146" i="3"/>
  <c r="P81" i="2"/>
  <c r="T140" i="4"/>
  <c r="T61" i="2"/>
  <c r="P198" i="4"/>
  <c r="T70" i="2"/>
  <c r="T52" i="4"/>
  <c r="N11" i="2"/>
  <c r="P11" i="2"/>
  <c r="O20" i="3"/>
  <c r="N20" i="3"/>
  <c r="O89" i="2"/>
  <c r="N89" i="2"/>
  <c r="T108" i="2"/>
  <c r="T113" i="3"/>
  <c r="C4" i="1" a="1"/>
  <c r="C4" i="1" s="1"/>
  <c r="N4" i="3"/>
  <c r="O4" i="3"/>
  <c r="N191" i="4"/>
  <c r="O191" i="4"/>
  <c r="P150" i="4"/>
  <c r="T208" i="4"/>
  <c r="P129" i="4"/>
  <c r="O24" i="4"/>
  <c r="N24" i="4"/>
  <c r="P44" i="3"/>
  <c r="N161" i="3"/>
  <c r="O161" i="3"/>
  <c r="P158" i="3"/>
  <c r="P44" i="4"/>
  <c r="P191" i="4"/>
  <c r="O130" i="4"/>
  <c r="O109" i="4"/>
  <c r="N109" i="4"/>
  <c r="N127" i="4"/>
  <c r="P127" i="4"/>
  <c r="N126" i="4"/>
  <c r="T85" i="4"/>
  <c r="N53" i="2"/>
  <c r="O53" i="2"/>
  <c r="P204" i="4"/>
  <c r="P67" i="4"/>
  <c r="P110" i="3"/>
  <c r="O69" i="3"/>
  <c r="N69" i="3"/>
  <c r="T143" i="4"/>
  <c r="P168" i="3"/>
  <c r="N83" i="2"/>
  <c r="O83" i="2"/>
  <c r="P242" i="4"/>
  <c r="P102" i="4"/>
  <c r="P127" i="3"/>
  <c r="O42" i="2"/>
  <c r="N126" i="3"/>
  <c r="O126" i="3"/>
  <c r="N41" i="2"/>
  <c r="O41" i="2"/>
  <c r="P120" i="4"/>
  <c r="P86" i="2"/>
  <c r="N86" i="2"/>
  <c r="T198" i="4"/>
  <c r="N50" i="2"/>
  <c r="O50" i="2"/>
  <c r="R18" i="1" a="1"/>
  <c r="R18" i="1" s="1"/>
  <c r="T18" i="1" s="1"/>
  <c r="T32" i="4"/>
  <c r="T11" i="2"/>
  <c r="P69" i="2"/>
  <c r="N108" i="2"/>
  <c r="P108" i="2"/>
  <c r="P173" i="3"/>
  <c r="P93" i="3"/>
  <c r="T141" i="3"/>
  <c r="T285" i="4"/>
  <c r="N115" i="2"/>
  <c r="O115" i="2"/>
  <c r="T146" i="4"/>
  <c r="N188" i="4"/>
  <c r="P188" i="4"/>
  <c r="P85" i="4"/>
  <c r="T18" i="3"/>
  <c r="N83" i="3"/>
  <c r="O83" i="3"/>
  <c r="N73" i="2"/>
  <c r="P73" i="2"/>
  <c r="T224" i="4"/>
  <c r="T67" i="4"/>
  <c r="P126" i="2"/>
  <c r="T130" i="3"/>
  <c r="P105" i="2"/>
  <c r="N228" i="4"/>
  <c r="P28" i="4"/>
  <c r="N28" i="4"/>
  <c r="O277" i="4"/>
  <c r="N277" i="4"/>
  <c r="P78" i="3"/>
  <c r="N78" i="3"/>
  <c r="O24" i="3"/>
  <c r="N24" i="3"/>
  <c r="T63" i="3"/>
  <c r="O162" i="3"/>
  <c r="N162" i="3"/>
  <c r="T158" i="3"/>
  <c r="T44" i="4"/>
  <c r="O106" i="2"/>
  <c r="N106" i="2"/>
  <c r="N5" i="2"/>
  <c r="O5" i="2"/>
  <c r="O171" i="4"/>
  <c r="N171" i="4"/>
  <c r="T147" i="4"/>
  <c r="N130" i="4"/>
  <c r="P109" i="4"/>
  <c r="N246" i="4"/>
  <c r="T107" i="4"/>
  <c r="T126" i="4"/>
  <c r="P285" i="4"/>
  <c r="N285" i="4"/>
  <c r="P65" i="4"/>
  <c r="T277" i="4"/>
  <c r="O84" i="3"/>
  <c r="P24" i="3"/>
  <c r="P63" i="3"/>
  <c r="P162" i="3"/>
  <c r="N204" i="4"/>
  <c r="O158" i="3"/>
  <c r="N158" i="3"/>
  <c r="P53" i="2"/>
  <c r="T204" i="4"/>
  <c r="P24" i="4"/>
  <c r="N67" i="4"/>
  <c r="O67" i="4"/>
  <c r="P106" i="2"/>
  <c r="N110" i="3"/>
  <c r="O110" i="3"/>
  <c r="T5" i="2"/>
  <c r="T69" i="3"/>
  <c r="P143" i="4"/>
  <c r="O168" i="3"/>
  <c r="N168" i="3"/>
  <c r="N43" i="2"/>
  <c r="O43" i="2"/>
  <c r="N82" i="4"/>
  <c r="O82" i="4"/>
  <c r="T107" i="3"/>
  <c r="P42" i="2"/>
  <c r="P126" i="3"/>
  <c r="P41" i="2"/>
  <c r="T120" i="4"/>
  <c r="N6" i="2"/>
  <c r="P6" i="2"/>
  <c r="N178" i="4"/>
  <c r="O178" i="4"/>
  <c r="P50" i="2"/>
  <c r="S13" i="1" a="1"/>
  <c r="S13" i="1" s="1"/>
  <c r="O32" i="4"/>
  <c r="N32" i="4"/>
  <c r="R4" i="1" a="1"/>
  <c r="R4" i="1" s="1"/>
  <c r="N69" i="2"/>
  <c r="O69" i="2"/>
  <c r="O88" i="2"/>
  <c r="N88" i="2"/>
  <c r="N173" i="3"/>
  <c r="O173" i="3"/>
  <c r="N93" i="3"/>
  <c r="O93" i="3"/>
  <c r="C5" i="1" a="1"/>
  <c r="C5" i="1" s="1"/>
  <c r="P141" i="3"/>
  <c r="N89" i="4"/>
  <c r="O89" i="4"/>
  <c r="P125" i="3"/>
  <c r="O33" i="2"/>
  <c r="N33" i="2"/>
  <c r="T110" i="3"/>
  <c r="T168" i="3"/>
  <c r="N222" i="4"/>
  <c r="O222" i="4"/>
  <c r="T42" i="2"/>
  <c r="T41" i="2"/>
  <c r="O100" i="4"/>
  <c r="N100" i="4"/>
  <c r="T178" i="4"/>
  <c r="T50" i="2"/>
  <c r="S14" i="1" a="1"/>
  <c r="S14" i="1" s="1"/>
  <c r="P32" i="4"/>
  <c r="T160" i="3"/>
  <c r="R5" i="1" a="1"/>
  <c r="R5" i="1" s="1"/>
  <c r="T69" i="2"/>
  <c r="P88" i="2"/>
  <c r="T173" i="3"/>
  <c r="F4" i="1" a="1"/>
  <c r="F4" i="1" s="1"/>
  <c r="T93" i="3"/>
  <c r="C7" i="1" a="1"/>
  <c r="C7" i="1" s="1"/>
  <c r="N141" i="3"/>
  <c r="O141" i="3"/>
  <c r="P82" i="4"/>
  <c r="T87" i="3"/>
  <c r="N22" i="2"/>
  <c r="T106" i="3"/>
  <c r="N21" i="2"/>
  <c r="O21" i="2"/>
  <c r="T100" i="4"/>
  <c r="O118" i="4"/>
  <c r="N118" i="4"/>
  <c r="N30" i="2"/>
  <c r="O30" i="2"/>
  <c r="S15" i="1" a="1"/>
  <c r="S15" i="1" s="1"/>
  <c r="N12" i="4"/>
  <c r="O12" i="4"/>
  <c r="P160" i="3"/>
  <c r="R6" i="1" a="1"/>
  <c r="R6" i="1" s="1"/>
  <c r="P49" i="2"/>
  <c r="T88" i="2"/>
  <c r="N153" i="3"/>
  <c r="O153" i="3"/>
  <c r="F8" i="1" a="1"/>
  <c r="F8" i="1" s="1"/>
  <c r="P73" i="3"/>
  <c r="C8" i="1" a="1"/>
  <c r="C8" i="1" s="1"/>
  <c r="T121" i="3"/>
  <c r="O160" i="3"/>
  <c r="N160" i="3"/>
  <c r="R8" i="1" a="1"/>
  <c r="R8" i="1" s="1"/>
  <c r="O49" i="2"/>
  <c r="N49" i="2"/>
  <c r="T68" i="2"/>
  <c r="P153" i="3"/>
  <c r="G8" i="1" a="1"/>
  <c r="G8" i="1" s="1"/>
  <c r="O73" i="3"/>
  <c r="N73" i="3"/>
  <c r="N89" i="3"/>
  <c r="P121" i="3"/>
  <c r="O126" i="4"/>
  <c r="O186" i="4"/>
  <c r="N186" i="4"/>
  <c r="T65" i="4"/>
  <c r="P47" i="4"/>
  <c r="P69" i="3"/>
  <c r="T126" i="3"/>
  <c r="N151" i="4"/>
  <c r="O151" i="4"/>
  <c r="P265" i="4"/>
  <c r="N265" i="4"/>
  <c r="O49" i="3"/>
  <c r="N49" i="3"/>
  <c r="O90" i="4"/>
  <c r="P86" i="4"/>
  <c r="N86" i="4"/>
  <c r="T148" i="3"/>
  <c r="O62" i="4"/>
  <c r="N87" i="3"/>
  <c r="P87" i="3"/>
  <c r="P22" i="2"/>
  <c r="N106" i="3"/>
  <c r="O106" i="3"/>
  <c r="P21" i="2"/>
  <c r="P80" i="4"/>
  <c r="P118" i="4"/>
  <c r="P30" i="2"/>
  <c r="S16" i="1" a="1"/>
  <c r="S16" i="1" s="1"/>
  <c r="P12" i="4"/>
  <c r="O131" i="4"/>
  <c r="N131" i="4"/>
  <c r="O5" i="4"/>
  <c r="N90" i="4"/>
  <c r="P90" i="4"/>
  <c r="P269" i="4"/>
  <c r="P69" i="4"/>
  <c r="T286" i="4"/>
  <c r="T86" i="4"/>
  <c r="N245" i="4"/>
  <c r="P245" i="4"/>
  <c r="P25" i="4"/>
  <c r="T217" i="4"/>
  <c r="P45" i="3"/>
  <c r="P54" i="2"/>
  <c r="N54" i="2"/>
  <c r="O43" i="3"/>
  <c r="N122" i="3"/>
  <c r="P122" i="3"/>
  <c r="P139" i="3"/>
  <c r="N139" i="3"/>
  <c r="P38" i="3"/>
  <c r="P13" i="2"/>
  <c r="P164" i="4"/>
  <c r="N164" i="4"/>
  <c r="T4" i="4"/>
  <c r="T27" i="4"/>
  <c r="P46" i="2"/>
  <c r="P70" i="3"/>
  <c r="P49" i="3"/>
  <c r="P263" i="4"/>
  <c r="O103" i="4"/>
  <c r="N103" i="4"/>
  <c r="P128" i="3"/>
  <c r="P23" i="2"/>
  <c r="T202" i="4"/>
  <c r="N62" i="4"/>
  <c r="O67" i="3"/>
  <c r="N67" i="3"/>
  <c r="T22" i="2"/>
  <c r="P106" i="3"/>
  <c r="T21" i="2"/>
  <c r="T80" i="4"/>
  <c r="T118" i="4"/>
  <c r="T30" i="2"/>
  <c r="T12" i="4"/>
  <c r="T140" i="3"/>
  <c r="S8" i="1" a="1"/>
  <c r="S8" i="1" s="1"/>
  <c r="T49" i="2"/>
  <c r="O68" i="2"/>
  <c r="N68" i="2"/>
  <c r="T153" i="3"/>
  <c r="F3" i="1" a="1"/>
  <c r="F3" i="1" s="1"/>
  <c r="O121" i="3"/>
  <c r="N121" i="3"/>
  <c r="T24" i="4"/>
  <c r="N46" i="2"/>
  <c r="O46" i="2"/>
  <c r="P131" i="4"/>
  <c r="N49" i="4"/>
  <c r="O49" i="4"/>
  <c r="P197" i="4"/>
  <c r="N243" i="4"/>
  <c r="O243" i="4"/>
  <c r="T66" i="4"/>
  <c r="P159" i="3"/>
  <c r="N159" i="3"/>
  <c r="P144" i="4"/>
  <c r="N144" i="4"/>
  <c r="T70" i="3"/>
  <c r="O108" i="3"/>
  <c r="N108" i="3"/>
  <c r="T182" i="4"/>
  <c r="T42" i="4"/>
  <c r="P67" i="3"/>
  <c r="T66" i="3"/>
  <c r="N44" i="4"/>
  <c r="P60" i="4"/>
  <c r="N138" i="4"/>
  <c r="O138" i="4"/>
  <c r="T98" i="4"/>
  <c r="P10" i="2"/>
  <c r="N120" i="4"/>
  <c r="T120" i="3"/>
  <c r="S3" i="1" a="1"/>
  <c r="S3" i="1" s="1"/>
  <c r="N29" i="2"/>
  <c r="O29" i="2"/>
  <c r="O48" i="2"/>
  <c r="N48" i="2"/>
  <c r="F6" i="1" a="1"/>
  <c r="F6" i="1" s="1"/>
  <c r="P33" i="3"/>
  <c r="P101" i="3"/>
  <c r="O63" i="3"/>
  <c r="N63" i="3"/>
  <c r="O283" i="4"/>
  <c r="N283" i="4"/>
  <c r="P110" i="4"/>
  <c r="P89" i="4"/>
  <c r="T257" i="4"/>
  <c r="T66" i="2"/>
  <c r="N123" i="4"/>
  <c r="O123" i="4"/>
  <c r="P151" i="4"/>
  <c r="N269" i="4"/>
  <c r="O269" i="4"/>
  <c r="P286" i="4"/>
  <c r="N286" i="4"/>
  <c r="P4" i="4"/>
  <c r="T29" i="3"/>
  <c r="O42" i="4"/>
  <c r="N42" i="4"/>
  <c r="P68" i="2"/>
  <c r="O133" i="3"/>
  <c r="N133" i="3"/>
  <c r="T101" i="3"/>
  <c r="P16" i="3"/>
  <c r="T266" i="4"/>
  <c r="P225" i="4"/>
  <c r="N38" i="3"/>
  <c r="O38" i="3"/>
  <c r="P87" i="2"/>
  <c r="N87" i="2"/>
  <c r="O27" i="4"/>
  <c r="T148" i="4"/>
  <c r="P111" i="4"/>
  <c r="N250" i="4"/>
  <c r="O250" i="4"/>
  <c r="N50" i="4"/>
  <c r="O50" i="4"/>
  <c r="N229" i="4"/>
  <c r="O229" i="4"/>
  <c r="N29" i="4"/>
  <c r="O29" i="4"/>
  <c r="T134" i="2"/>
  <c r="P246" i="4"/>
  <c r="N46" i="4"/>
  <c r="P46" i="4"/>
  <c r="N157" i="4"/>
  <c r="O157" i="4"/>
  <c r="P3" i="3"/>
  <c r="C18" i="1" a="1"/>
  <c r="C18" i="1" s="1"/>
  <c r="C17" i="1" a="1"/>
  <c r="C17" i="1" s="1"/>
  <c r="C16" i="1" a="1"/>
  <c r="C16" i="1" s="1"/>
  <c r="C13" i="1" a="1"/>
  <c r="C13" i="1" s="1"/>
  <c r="B18" i="1" a="1"/>
  <c r="B18" i="1" s="1"/>
  <c r="B17" i="1" a="1"/>
  <c r="B17" i="1" s="1"/>
  <c r="B16" i="1" a="1"/>
  <c r="B16" i="1" s="1"/>
  <c r="D16" i="1" s="1"/>
  <c r="B15" i="1" a="1"/>
  <c r="B15" i="1" s="1"/>
  <c r="B14" i="1" a="1"/>
  <c r="B14" i="1" s="1"/>
  <c r="B13" i="1" a="1"/>
  <c r="B13" i="1" s="1"/>
  <c r="C14" i="1" a="1"/>
  <c r="C14" i="1" s="1"/>
  <c r="O2" i="3"/>
  <c r="C15" i="1" a="1"/>
  <c r="C15" i="1" s="1"/>
  <c r="N2" i="3"/>
  <c r="T159" i="3"/>
  <c r="P18" i="3"/>
  <c r="O67" i="2"/>
  <c r="N67" i="2"/>
  <c r="T144" i="4"/>
  <c r="T87" i="2"/>
  <c r="P7" i="4"/>
  <c r="T22" i="4"/>
  <c r="O50" i="3"/>
  <c r="N50" i="3"/>
  <c r="O169" i="3"/>
  <c r="N169" i="3"/>
  <c r="T9" i="3"/>
  <c r="P243" i="4"/>
  <c r="T83" i="4"/>
  <c r="T108" i="3"/>
  <c r="N16" i="3"/>
  <c r="P182" i="4"/>
  <c r="P42" i="4"/>
  <c r="N47" i="3"/>
  <c r="O47" i="3"/>
  <c r="T46" i="3"/>
  <c r="N200" i="4"/>
  <c r="O200" i="4"/>
  <c r="T60" i="4"/>
  <c r="P278" i="4"/>
  <c r="P78" i="4"/>
  <c r="N78" i="4"/>
  <c r="T130" i="2"/>
  <c r="T10" i="2"/>
  <c r="O120" i="3"/>
  <c r="N120" i="3"/>
  <c r="S4" i="1" a="1"/>
  <c r="S4" i="1" s="1"/>
  <c r="T29" i="2"/>
  <c r="P48" i="2"/>
  <c r="T133" i="3"/>
  <c r="F7" i="1" a="1"/>
  <c r="F7" i="1" s="1"/>
  <c r="T33" i="3"/>
  <c r="T61" i="3"/>
  <c r="O101" i="3"/>
  <c r="N101" i="3"/>
  <c r="T128" i="3"/>
  <c r="N60" i="4"/>
  <c r="O60" i="4"/>
  <c r="O10" i="2"/>
  <c r="N10" i="2"/>
  <c r="O33" i="3"/>
  <c r="N33" i="3"/>
  <c r="T197" i="4"/>
  <c r="N139" i="2"/>
  <c r="O139" i="2"/>
  <c r="T163" i="3"/>
  <c r="P42" i="3"/>
  <c r="N29" i="3"/>
  <c r="P29" i="3"/>
  <c r="T243" i="4"/>
  <c r="P103" i="4"/>
  <c r="T5" i="4"/>
  <c r="T169" i="3"/>
  <c r="P83" i="4"/>
  <c r="P68" i="3"/>
  <c r="T162" i="4"/>
  <c r="O22" i="4"/>
  <c r="N22" i="4"/>
  <c r="T47" i="3"/>
  <c r="O46" i="3"/>
  <c r="N46" i="3"/>
  <c r="P200" i="4"/>
  <c r="P40" i="4"/>
  <c r="O278" i="4"/>
  <c r="N278" i="4"/>
  <c r="T78" i="4"/>
  <c r="O130" i="2"/>
  <c r="N130" i="2"/>
  <c r="P100" i="3"/>
  <c r="N100" i="3"/>
  <c r="S5" i="1" a="1"/>
  <c r="S5" i="1" s="1"/>
  <c r="P9" i="2"/>
  <c r="T48" i="2"/>
  <c r="G3" i="1" a="1"/>
  <c r="G3" i="1" s="1"/>
  <c r="N13" i="3"/>
  <c r="O13" i="3"/>
  <c r="T21" i="3"/>
  <c r="T81" i="3"/>
  <c r="T123" i="4"/>
  <c r="O45" i="3"/>
  <c r="N45" i="3"/>
  <c r="T184" i="4"/>
  <c r="T164" i="4"/>
  <c r="P170" i="3"/>
  <c r="P98" i="4"/>
  <c r="N98" i="4"/>
  <c r="N140" i="3"/>
  <c r="O140" i="3"/>
  <c r="P29" i="2"/>
  <c r="T210" i="4"/>
  <c r="O111" i="4"/>
  <c r="N111" i="4"/>
  <c r="P270" i="4"/>
  <c r="P70" i="4"/>
  <c r="P249" i="4"/>
  <c r="P49" i="4"/>
  <c r="N5" i="4"/>
  <c r="P5" i="4"/>
  <c r="O23" i="3"/>
  <c r="N23" i="3"/>
  <c r="T225" i="4"/>
  <c r="O107" i="2"/>
  <c r="P126" i="4"/>
  <c r="T209" i="4"/>
  <c r="T48" i="4"/>
  <c r="N91" i="4"/>
  <c r="O91" i="4"/>
  <c r="P250" i="4"/>
  <c r="P50" i="4"/>
  <c r="P229" i="4"/>
  <c r="P29" i="4"/>
  <c r="T112" i="2"/>
  <c r="T246" i="4"/>
  <c r="T46" i="4"/>
  <c r="P205" i="4"/>
  <c r="T94" i="3"/>
  <c r="P157" i="4"/>
  <c r="O3" i="3"/>
  <c r="N3" i="3"/>
  <c r="G13" i="1" a="1"/>
  <c r="G13" i="1" s="1"/>
  <c r="F18" i="1" a="1"/>
  <c r="F18" i="1" s="1"/>
  <c r="F17" i="1" a="1"/>
  <c r="F17" i="1" s="1"/>
  <c r="H17" i="1" s="1"/>
  <c r="F15" i="1" a="1"/>
  <c r="F15" i="1" s="1"/>
  <c r="F14" i="1" a="1"/>
  <c r="F14" i="1" s="1"/>
  <c r="F13" i="1" a="1"/>
  <c r="F13" i="1" s="1"/>
  <c r="G17" i="1" a="1"/>
  <c r="G17" i="1" s="1"/>
  <c r="G16" i="1" a="1"/>
  <c r="G16" i="1" s="1"/>
  <c r="G15" i="1" a="1"/>
  <c r="G15" i="1" s="1"/>
  <c r="G14" i="1" a="1"/>
  <c r="G14" i="1" s="1"/>
  <c r="F16" i="1" a="1"/>
  <c r="F16" i="1" s="1"/>
  <c r="G18" i="1" a="1"/>
  <c r="G18" i="1" s="1"/>
  <c r="P2" i="3"/>
  <c r="P99" i="3"/>
  <c r="N99" i="3"/>
  <c r="O18" i="3"/>
  <c r="N18" i="3"/>
  <c r="O124" i="4"/>
  <c r="N124" i="4"/>
  <c r="P67" i="2"/>
  <c r="T7" i="4"/>
  <c r="N197" i="4"/>
  <c r="T50" i="3"/>
  <c r="P9" i="3"/>
  <c r="N9" i="3"/>
  <c r="T223" i="4"/>
  <c r="N128" i="4"/>
  <c r="T222" i="4"/>
  <c r="O6" i="4"/>
  <c r="N6" i="4"/>
  <c r="P91" i="4"/>
  <c r="N230" i="4"/>
  <c r="O230" i="4"/>
  <c r="N30" i="4"/>
  <c r="O30" i="4"/>
  <c r="N209" i="4"/>
  <c r="O209" i="4"/>
  <c r="N9" i="4"/>
  <c r="O9" i="4"/>
  <c r="O132" i="2"/>
  <c r="N132" i="2"/>
  <c r="P226" i="4"/>
  <c r="N26" i="4"/>
  <c r="T205" i="4"/>
  <c r="T131" i="2"/>
  <c r="T157" i="4"/>
  <c r="T164" i="3"/>
  <c r="P163" i="3"/>
  <c r="T53" i="2"/>
  <c r="T80" i="2"/>
  <c r="T99" i="3"/>
  <c r="N133" i="2"/>
  <c r="O133" i="2"/>
  <c r="N226" i="4"/>
  <c r="P124" i="4"/>
  <c r="T67" i="2"/>
  <c r="O7" i="4"/>
  <c r="N7" i="4"/>
  <c r="N30" i="3"/>
  <c r="O30" i="3"/>
  <c r="P169" i="3"/>
  <c r="P223" i="4"/>
  <c r="N63" i="4"/>
  <c r="O63" i="4"/>
  <c r="N68" i="3"/>
  <c r="O68" i="3"/>
  <c r="N162" i="4"/>
  <c r="O162" i="4"/>
  <c r="P22" i="4"/>
  <c r="P47" i="3"/>
  <c r="P46" i="3"/>
  <c r="T200" i="4"/>
  <c r="O40" i="4"/>
  <c r="T278" i="4"/>
  <c r="O58" i="4"/>
  <c r="N58" i="4"/>
  <c r="P130" i="2"/>
  <c r="N71" i="2"/>
  <c r="O71" i="2"/>
  <c r="T100" i="3"/>
  <c r="S6" i="1" a="1"/>
  <c r="S6" i="1" s="1"/>
  <c r="N9" i="2"/>
  <c r="O9" i="2"/>
  <c r="N28" i="2"/>
  <c r="O28" i="2"/>
  <c r="G4" i="1" a="1"/>
  <c r="G4" i="1" s="1"/>
  <c r="P13" i="3"/>
  <c r="P81" i="3"/>
  <c r="N184" i="4"/>
  <c r="O184" i="4"/>
  <c r="P107" i="3"/>
  <c r="N107" i="3"/>
  <c r="O65" i="4"/>
  <c r="O125" i="4"/>
  <c r="N125" i="4"/>
  <c r="P45" i="4"/>
  <c r="P4" i="3"/>
  <c r="T98" i="3"/>
  <c r="P184" i="4"/>
  <c r="T47" i="4"/>
  <c r="T265" i="4"/>
  <c r="T39" i="3"/>
  <c r="P123" i="4"/>
  <c r="P72" i="3"/>
  <c r="T25" i="4"/>
  <c r="N20" i="2"/>
  <c r="P20" i="2"/>
  <c r="N19" i="3"/>
  <c r="O19" i="3"/>
  <c r="P133" i="2"/>
  <c r="N284" i="4"/>
  <c r="P284" i="4"/>
  <c r="T124" i="4"/>
  <c r="P30" i="3"/>
  <c r="T149" i="3"/>
  <c r="T104" i="2"/>
  <c r="N203" i="4"/>
  <c r="O203" i="4"/>
  <c r="P63" i="4"/>
  <c r="T68" i="3"/>
  <c r="P162" i="4"/>
  <c r="R27" i="1" a="1"/>
  <c r="R27" i="1" s="1"/>
  <c r="R26" i="1" a="1"/>
  <c r="R26" i="1" s="1"/>
  <c r="R25" i="1" a="1"/>
  <c r="R25" i="1" s="1"/>
  <c r="R24" i="1" a="1"/>
  <c r="R24" i="1" s="1"/>
  <c r="R23" i="1" a="1"/>
  <c r="R23" i="1" s="1"/>
  <c r="S28" i="1" a="1"/>
  <c r="S28" i="1" s="1"/>
  <c r="S27" i="1" a="1"/>
  <c r="S27" i="1" s="1"/>
  <c r="S26" i="1" a="1"/>
  <c r="S26" i="1" s="1"/>
  <c r="S25" i="1" a="1"/>
  <c r="S25" i="1" s="1"/>
  <c r="S24" i="1" a="1"/>
  <c r="S24" i="1" s="1"/>
  <c r="S23" i="1" a="1"/>
  <c r="S23" i="1" s="1"/>
  <c r="R28" i="1" a="1"/>
  <c r="R28" i="1" s="1"/>
  <c r="T2" i="4"/>
  <c r="N27" i="3"/>
  <c r="O27" i="3"/>
  <c r="P26" i="3"/>
  <c r="P180" i="4"/>
  <c r="T40" i="4"/>
  <c r="N258" i="4"/>
  <c r="P258" i="4"/>
  <c r="P58" i="4"/>
  <c r="N110" i="2"/>
  <c r="O110" i="2"/>
  <c r="P71" i="2"/>
  <c r="P80" i="3"/>
  <c r="T9" i="2"/>
  <c r="P28" i="2"/>
  <c r="N53" i="3"/>
  <c r="O53" i="3"/>
  <c r="G5" i="1" a="1"/>
  <c r="G5" i="1" s="1"/>
  <c r="T13" i="3"/>
  <c r="N170" i="3"/>
  <c r="O81" i="3"/>
  <c r="N81" i="3"/>
  <c r="N270" i="4"/>
  <c r="O270" i="4"/>
  <c r="O70" i="3"/>
  <c r="N70" i="3"/>
  <c r="N79" i="2"/>
  <c r="O79" i="2"/>
  <c r="P271" i="4"/>
  <c r="P71" i="4"/>
  <c r="N210" i="4"/>
  <c r="O210" i="4"/>
  <c r="O10" i="4"/>
  <c r="N10" i="4"/>
  <c r="O189" i="4"/>
  <c r="N189" i="4"/>
  <c r="N92" i="2"/>
  <c r="O92" i="2"/>
  <c r="N206" i="4"/>
  <c r="P206" i="4"/>
  <c r="P6" i="4"/>
  <c r="T185" i="4"/>
  <c r="T167" i="4"/>
  <c r="P143" i="3"/>
  <c r="N47" i="2"/>
  <c r="O47" i="2"/>
  <c r="P19" i="3"/>
  <c r="N113" i="2"/>
  <c r="O113" i="2"/>
  <c r="T284" i="4"/>
  <c r="P104" i="4"/>
  <c r="P149" i="3"/>
  <c r="O104" i="2"/>
  <c r="N104" i="2"/>
  <c r="T203" i="4"/>
  <c r="T43" i="4"/>
  <c r="N48" i="3"/>
  <c r="O48" i="3"/>
  <c r="T282" i="4"/>
  <c r="O142" i="4"/>
  <c r="B28" i="1" a="1"/>
  <c r="B28" i="1" s="1"/>
  <c r="B27" i="1" a="1"/>
  <c r="B27" i="1" s="1"/>
  <c r="B26" i="1" a="1"/>
  <c r="B26" i="1" s="1"/>
  <c r="B25" i="1" a="1"/>
  <c r="B25" i="1" s="1"/>
  <c r="B24" i="1" a="1"/>
  <c r="B24" i="1" s="1"/>
  <c r="B23" i="1" a="1"/>
  <c r="B23" i="1" s="1"/>
  <c r="C28" i="1" a="1"/>
  <c r="C28" i="1" s="1"/>
  <c r="C27" i="1" a="1"/>
  <c r="C27" i="1" s="1"/>
  <c r="C26" i="1" a="1"/>
  <c r="C26" i="1" s="1"/>
  <c r="N2" i="4"/>
  <c r="O2" i="4"/>
  <c r="C24" i="1" a="1"/>
  <c r="C24" i="1" s="1"/>
  <c r="C23" i="1" a="1"/>
  <c r="C23" i="1" s="1"/>
  <c r="C25" i="1" a="1"/>
  <c r="C25" i="1" s="1"/>
  <c r="T27" i="3"/>
  <c r="N45" i="4"/>
  <c r="N26" i="3"/>
  <c r="O26" i="3"/>
  <c r="N180" i="4"/>
  <c r="O180" i="4"/>
  <c r="O20" i="4"/>
  <c r="N20" i="4"/>
  <c r="T258" i="4"/>
  <c r="T58" i="4"/>
  <c r="T110" i="2"/>
  <c r="N80" i="4"/>
  <c r="T71" i="2"/>
  <c r="T80" i="3"/>
  <c r="T28" i="2"/>
  <c r="G6" i="1" a="1"/>
  <c r="G6" i="1" s="1"/>
  <c r="B3" i="1" a="1"/>
  <c r="B3" i="1" s="1"/>
  <c r="N128" i="3"/>
  <c r="P61" i="3"/>
  <c r="N66" i="2"/>
  <c r="P66" i="2"/>
  <c r="N69" i="4"/>
  <c r="O69" i="4"/>
  <c r="T54" i="2"/>
  <c r="N23" i="2"/>
  <c r="O23" i="2"/>
  <c r="O70" i="4"/>
  <c r="N70" i="4"/>
  <c r="P266" i="4"/>
  <c r="N266" i="4"/>
  <c r="P23" i="3"/>
  <c r="T103" i="4"/>
  <c r="P97" i="4"/>
  <c r="N144" i="3"/>
  <c r="O144" i="3"/>
  <c r="N251" i="4"/>
  <c r="O251" i="4"/>
  <c r="O51" i="4"/>
  <c r="N51" i="4"/>
  <c r="P210" i="4"/>
  <c r="P10" i="4"/>
  <c r="P189" i="4"/>
  <c r="N71" i="3"/>
  <c r="O71" i="3"/>
  <c r="N72" i="2"/>
  <c r="O72" i="2"/>
  <c r="T206" i="4"/>
  <c r="T6" i="4"/>
  <c r="P145" i="4"/>
  <c r="N145" i="4"/>
  <c r="T97" i="4"/>
  <c r="P144" i="3"/>
  <c r="N143" i="3"/>
  <c r="O143" i="3"/>
  <c r="N177" i="4"/>
  <c r="O177" i="4"/>
  <c r="N127" i="2"/>
  <c r="O127" i="2"/>
  <c r="T113" i="2"/>
  <c r="P264" i="4"/>
  <c r="T104" i="4"/>
  <c r="N125" i="3"/>
  <c r="N10" i="3"/>
  <c r="O10" i="3"/>
  <c r="T129" i="3"/>
  <c r="P104" i="2"/>
  <c r="P203" i="4"/>
  <c r="P43" i="4"/>
  <c r="N43" i="4"/>
  <c r="P48" i="3"/>
  <c r="O282" i="4"/>
  <c r="N282" i="4"/>
  <c r="T142" i="4"/>
  <c r="F23" i="1" a="1"/>
  <c r="F23" i="1" s="1"/>
  <c r="G28" i="1" a="1"/>
  <c r="G28" i="1" s="1"/>
  <c r="G27" i="1" a="1"/>
  <c r="G27" i="1" s="1"/>
  <c r="G26" i="1" a="1"/>
  <c r="G26" i="1" s="1"/>
  <c r="G25" i="1" a="1"/>
  <c r="G25" i="1" s="1"/>
  <c r="G24" i="1" a="1"/>
  <c r="G24" i="1" s="1"/>
  <c r="G23" i="1" a="1"/>
  <c r="G23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P2" i="4"/>
  <c r="P27" i="3"/>
  <c r="N6" i="3"/>
  <c r="O6" i="3"/>
  <c r="T180" i="4"/>
  <c r="P20" i="4"/>
  <c r="O238" i="4"/>
  <c r="N238" i="4"/>
  <c r="P38" i="4"/>
  <c r="S17" i="1" a="1"/>
  <c r="S17" i="1" s="1"/>
  <c r="U17" i="1" s="1"/>
  <c r="N51" i="2"/>
  <c r="O51" i="2"/>
  <c r="O80" i="3"/>
  <c r="N80" i="3"/>
  <c r="P129" i="2"/>
  <c r="P8" i="2"/>
  <c r="B5" i="1" a="1"/>
  <c r="B5" i="1" s="1"/>
  <c r="N61" i="3"/>
  <c r="O61" i="3"/>
  <c r="P98" i="3"/>
  <c r="P33" i="2"/>
  <c r="P148" i="3"/>
  <c r="N148" i="3"/>
  <c r="O217" i="4"/>
  <c r="N217" i="4"/>
  <c r="O13" i="2"/>
  <c r="N13" i="2"/>
  <c r="T90" i="3"/>
  <c r="T263" i="4"/>
  <c r="N202" i="4"/>
  <c r="O202" i="4"/>
  <c r="N249" i="4"/>
  <c r="O249" i="4"/>
  <c r="P66" i="4"/>
  <c r="T38" i="3"/>
  <c r="N27" i="4"/>
  <c r="T67" i="3"/>
  <c r="N65" i="4"/>
  <c r="N271" i="4"/>
  <c r="O271" i="4"/>
  <c r="O71" i="4"/>
  <c r="N71" i="4"/>
  <c r="P230" i="4"/>
  <c r="P30" i="4"/>
  <c r="P209" i="4"/>
  <c r="P9" i="4"/>
  <c r="T226" i="4"/>
  <c r="T26" i="4"/>
  <c r="P185" i="4"/>
  <c r="N185" i="4"/>
  <c r="N97" i="4"/>
  <c r="O97" i="4"/>
  <c r="N74" i="3"/>
  <c r="P74" i="3"/>
  <c r="P186" i="4"/>
  <c r="T124" i="3"/>
  <c r="N4" i="2"/>
  <c r="P4" i="2"/>
  <c r="O90" i="2"/>
  <c r="N90" i="2"/>
  <c r="N25" i="4"/>
  <c r="P51" i="2"/>
  <c r="N60" i="3"/>
  <c r="O60" i="3"/>
  <c r="O129" i="2"/>
  <c r="N129" i="2"/>
  <c r="T8" i="2"/>
  <c r="N182" i="4"/>
  <c r="B6" i="1" a="1"/>
  <c r="B6" i="1" s="1"/>
  <c r="D6" i="1" s="1"/>
  <c r="P41" i="3"/>
  <c r="O142" i="3"/>
  <c r="N142" i="3"/>
  <c r="P43" i="2"/>
  <c r="P142" i="3"/>
  <c r="P283" i="4"/>
  <c r="T45" i="4"/>
  <c r="N43" i="3"/>
  <c r="P43" i="3"/>
  <c r="T122" i="3"/>
  <c r="O98" i="3"/>
  <c r="N98" i="3"/>
  <c r="T49" i="3"/>
  <c r="T46" i="2"/>
  <c r="T23" i="2"/>
  <c r="N112" i="2"/>
  <c r="O112" i="2"/>
  <c r="T267" i="4"/>
  <c r="O163" i="3"/>
  <c r="N163" i="3"/>
  <c r="P251" i="4"/>
  <c r="P51" i="4"/>
  <c r="N190" i="4"/>
  <c r="O190" i="4"/>
  <c r="N169" i="4"/>
  <c r="O169" i="4"/>
  <c r="O52" i="2"/>
  <c r="N52" i="2"/>
  <c r="T96" i="3"/>
  <c r="T145" i="4"/>
  <c r="P57" i="4"/>
  <c r="N57" i="4"/>
  <c r="N84" i="4"/>
  <c r="T10" i="3"/>
  <c r="N167" i="3"/>
  <c r="O167" i="3"/>
  <c r="T6" i="3"/>
  <c r="T20" i="4"/>
  <c r="P238" i="4"/>
  <c r="O82" i="3"/>
  <c r="N231" i="4"/>
  <c r="O231" i="4"/>
  <c r="N31" i="4"/>
  <c r="O31" i="4"/>
  <c r="P190" i="4"/>
  <c r="O72" i="3"/>
  <c r="N72" i="3"/>
  <c r="P169" i="4"/>
  <c r="T135" i="2"/>
  <c r="N32" i="2"/>
  <c r="O32" i="2"/>
  <c r="T186" i="4"/>
  <c r="N14" i="3"/>
  <c r="P14" i="3"/>
  <c r="P125" i="4"/>
  <c r="T57" i="4"/>
  <c r="N123" i="3"/>
  <c r="O123" i="3"/>
  <c r="T162" i="3"/>
  <c r="N93" i="2"/>
  <c r="O93" i="2"/>
  <c r="N244" i="4"/>
  <c r="O244" i="4"/>
  <c r="T84" i="4"/>
  <c r="O86" i="3"/>
  <c r="N150" i="3"/>
  <c r="P150" i="3"/>
  <c r="N125" i="2"/>
  <c r="O125" i="2"/>
  <c r="O109" i="3"/>
  <c r="N109" i="3"/>
  <c r="T4" i="2"/>
  <c r="N183" i="4"/>
  <c r="O183" i="4"/>
  <c r="T23" i="4"/>
  <c r="P28" i="3"/>
  <c r="N28" i="3"/>
  <c r="T262" i="4"/>
  <c r="T122" i="4"/>
  <c r="T167" i="3"/>
  <c r="N101" i="2"/>
  <c r="O101" i="2"/>
  <c r="P160" i="4"/>
  <c r="T238" i="4"/>
  <c r="T38" i="4"/>
  <c r="P90" i="2"/>
  <c r="R13" i="1" a="1"/>
  <c r="R13" i="1" s="1"/>
  <c r="T72" i="4"/>
  <c r="T51" i="2"/>
  <c r="P109" i="2"/>
  <c r="P53" i="3"/>
  <c r="B7" i="1" a="1"/>
  <c r="B7" i="1" s="1"/>
  <c r="T41" i="3"/>
  <c r="N110" i="4"/>
  <c r="O110" i="4"/>
  <c r="P106" i="4"/>
  <c r="N106" i="4"/>
  <c r="P257" i="4"/>
  <c r="T82" i="4"/>
  <c r="T43" i="3"/>
  <c r="O4" i="4"/>
  <c r="N4" i="4"/>
  <c r="T43" i="2"/>
  <c r="N47" i="4"/>
  <c r="O47" i="4"/>
  <c r="T245" i="4"/>
  <c r="P139" i="2"/>
  <c r="N80" i="2"/>
  <c r="O80" i="2"/>
  <c r="T42" i="3"/>
  <c r="P123" i="3"/>
  <c r="P113" i="2"/>
  <c r="T264" i="4"/>
  <c r="N198" i="4"/>
  <c r="O198" i="4"/>
  <c r="P129" i="3"/>
  <c r="T183" i="4"/>
  <c r="O23" i="4"/>
  <c r="N23" i="4"/>
  <c r="T48" i="3"/>
  <c r="P282" i="4"/>
  <c r="N142" i="4"/>
  <c r="N7" i="3"/>
  <c r="O7" i="3"/>
  <c r="N160" i="4"/>
  <c r="O160" i="4"/>
  <c r="O22" i="2"/>
  <c r="N84" i="3"/>
  <c r="P31" i="4"/>
  <c r="O170" i="4"/>
  <c r="N170" i="4"/>
  <c r="P92" i="2"/>
  <c r="O149" i="4"/>
  <c r="N149" i="4"/>
  <c r="P91" i="2"/>
  <c r="N91" i="2"/>
  <c r="O12" i="2"/>
  <c r="N12" i="2"/>
  <c r="P166" i="4"/>
  <c r="N166" i="4"/>
  <c r="T132" i="2"/>
  <c r="T125" i="4"/>
  <c r="O257" i="4"/>
  <c r="N257" i="4"/>
  <c r="O37" i="4"/>
  <c r="T64" i="3"/>
  <c r="P103" i="3"/>
  <c r="T84" i="3"/>
  <c r="T161" i="3"/>
  <c r="T118" i="3"/>
  <c r="P93" i="2"/>
  <c r="P244" i="4"/>
  <c r="O64" i="4"/>
  <c r="N141" i="2"/>
  <c r="P141" i="2"/>
  <c r="T150" i="3"/>
  <c r="P125" i="2"/>
  <c r="T109" i="3"/>
  <c r="P183" i="4"/>
  <c r="P23" i="4"/>
  <c r="T28" i="3"/>
  <c r="O262" i="4"/>
  <c r="N262" i="4"/>
  <c r="N122" i="4"/>
  <c r="O122" i="4"/>
  <c r="P167" i="3"/>
  <c r="P7" i="3"/>
  <c r="P166" i="3"/>
  <c r="P101" i="2"/>
  <c r="T160" i="4"/>
  <c r="P218" i="4"/>
  <c r="O18" i="4"/>
  <c r="N18" i="4"/>
  <c r="T90" i="2"/>
  <c r="R14" i="1" a="1"/>
  <c r="R14" i="1" s="1"/>
  <c r="T14" i="1" s="1"/>
  <c r="N72" i="4"/>
  <c r="O72" i="4"/>
  <c r="O31" i="2"/>
  <c r="O40" i="3"/>
  <c r="N40" i="3"/>
  <c r="O109" i="2"/>
  <c r="N109" i="2"/>
  <c r="B8" i="1" a="1"/>
  <c r="B8" i="1" s="1"/>
  <c r="O41" i="3"/>
  <c r="N41" i="3"/>
  <c r="O211" i="4"/>
  <c r="N211" i="4"/>
  <c r="O11" i="4"/>
  <c r="N11" i="4"/>
  <c r="P170" i="4"/>
  <c r="P72" i="2"/>
  <c r="P149" i="4"/>
  <c r="T207" i="4"/>
  <c r="T166" i="4"/>
  <c r="T268" i="4"/>
  <c r="P105" i="4"/>
  <c r="O104" i="4"/>
  <c r="T37" i="4"/>
  <c r="P64" i="3"/>
  <c r="O103" i="3"/>
  <c r="N103" i="3"/>
  <c r="P138" i="3"/>
  <c r="N138" i="3"/>
  <c r="T93" i="2"/>
  <c r="T244" i="4"/>
  <c r="P64" i="4"/>
  <c r="T126" i="2"/>
  <c r="O130" i="3"/>
  <c r="N130" i="3"/>
  <c r="T105" i="2"/>
  <c r="P109" i="3"/>
  <c r="T163" i="4"/>
  <c r="T3" i="4"/>
  <c r="O8" i="3"/>
  <c r="N8" i="3"/>
  <c r="P262" i="4"/>
  <c r="P122" i="4"/>
  <c r="T147" i="3"/>
  <c r="O82" i="2"/>
  <c r="N82" i="2"/>
  <c r="N166" i="3"/>
  <c r="O166" i="3"/>
  <c r="T81" i="2"/>
  <c r="O140" i="4"/>
  <c r="N140" i="4"/>
  <c r="O218" i="4"/>
  <c r="N218" i="4"/>
  <c r="T18" i="4"/>
  <c r="N70" i="2"/>
  <c r="O70" i="2"/>
  <c r="R15" i="1" a="1"/>
  <c r="R15" i="1" s="1"/>
  <c r="N52" i="4"/>
  <c r="O52" i="4"/>
  <c r="P31" i="2"/>
  <c r="T40" i="3"/>
  <c r="T109" i="2"/>
  <c r="O128" i="2"/>
  <c r="N128" i="2"/>
  <c r="P113" i="3"/>
  <c r="C3" i="1" a="1"/>
  <c r="C3" i="1" s="1"/>
  <c r="P21" i="3"/>
  <c r="P171" i="4"/>
  <c r="T106" i="4"/>
  <c r="T125" i="3"/>
  <c r="T119" i="3"/>
  <c r="O90" i="3"/>
  <c r="N90" i="3"/>
  <c r="P222" i="4"/>
  <c r="N66" i="4"/>
  <c r="O66" i="4"/>
  <c r="P211" i="4"/>
  <c r="P11" i="4"/>
  <c r="O150" i="4"/>
  <c r="N150" i="4"/>
  <c r="N114" i="2"/>
  <c r="O114" i="2"/>
  <c r="N129" i="4"/>
  <c r="O129" i="4"/>
  <c r="P227" i="4"/>
  <c r="N227" i="4"/>
  <c r="T8" i="4"/>
  <c r="P146" i="4"/>
  <c r="T168" i="4"/>
  <c r="T105" i="4"/>
  <c r="T165" i="3"/>
  <c r="O44" i="3"/>
  <c r="N44" i="3"/>
  <c r="P83" i="3"/>
  <c r="O42" i="3"/>
  <c r="N42" i="3"/>
  <c r="P161" i="3"/>
  <c r="O105" i="3"/>
  <c r="N105" i="3"/>
  <c r="O73" i="2"/>
  <c r="N224" i="4"/>
  <c r="T64" i="4"/>
  <c r="O126" i="2"/>
  <c r="N126" i="2"/>
  <c r="P130" i="3"/>
  <c r="N105" i="2"/>
  <c r="O105" i="2"/>
  <c r="T89" i="3"/>
  <c r="P163" i="4"/>
  <c r="N3" i="4"/>
  <c r="O3" i="4"/>
  <c r="T8" i="3"/>
  <c r="O242" i="4"/>
  <c r="N242" i="4"/>
  <c r="O102" i="4"/>
  <c r="N102" i="4"/>
  <c r="N147" i="3"/>
  <c r="P147" i="3"/>
  <c r="O62" i="2"/>
  <c r="P146" i="3"/>
  <c r="O81" i="2"/>
  <c r="N81" i="2"/>
  <c r="P140" i="4"/>
  <c r="T218" i="4"/>
  <c r="P70" i="2"/>
  <c r="R16" i="1" a="1"/>
  <c r="R16" i="1" s="1"/>
  <c r="T16" i="1" s="1"/>
  <c r="P52" i="4"/>
  <c r="T31" i="2"/>
  <c r="P89" i="2"/>
  <c r="P128" i="2"/>
  <c r="O113" i="3"/>
  <c r="N113" i="3"/>
  <c r="B4" i="1" a="1"/>
  <c r="B4" i="1" s="1"/>
  <c r="O21" i="3"/>
  <c r="N21" i="3"/>
  <c r="E15" i="1" l="1"/>
  <c r="T15" i="1"/>
  <c r="Z112" i="3" s="1"/>
  <c r="H18" i="1"/>
  <c r="E18" i="1"/>
  <c r="H7" i="1"/>
  <c r="U3" i="1"/>
  <c r="U5" i="1"/>
  <c r="D7" i="1"/>
  <c r="D5" i="1"/>
  <c r="U7" i="1"/>
  <c r="I4" i="1"/>
  <c r="I6" i="1"/>
  <c r="I5" i="1"/>
  <c r="E14" i="1"/>
  <c r="H16" i="1"/>
  <c r="V105" i="3" s="1"/>
  <c r="D4" i="1"/>
  <c r="E25" i="1"/>
  <c r="D17" i="1"/>
  <c r="U159" i="3" s="1"/>
  <c r="H13" i="1"/>
  <c r="T13" i="1"/>
  <c r="Z6" i="3" s="1"/>
  <c r="H14" i="1"/>
  <c r="E13" i="1"/>
  <c r="H15" i="1"/>
  <c r="T8" i="1"/>
  <c r="U6" i="1"/>
  <c r="A9" i="9" a="1"/>
  <c r="A9" i="9" s="1"/>
  <c r="T9" i="9" s="1"/>
  <c r="H3" i="1"/>
  <c r="H24" i="1"/>
  <c r="U24" i="1"/>
  <c r="H26" i="1"/>
  <c r="E3" i="1"/>
  <c r="U27" i="1"/>
  <c r="E27" i="1"/>
  <c r="E28" i="1"/>
  <c r="D23" i="1"/>
  <c r="U142" i="4" s="1"/>
  <c r="H25" i="1"/>
  <c r="H8" i="1"/>
  <c r="D8" i="1"/>
  <c r="U28" i="1"/>
  <c r="T23" i="1"/>
  <c r="U4" i="1"/>
  <c r="I27" i="1"/>
  <c r="E24" i="1"/>
  <c r="T7" i="1"/>
  <c r="I28" i="1"/>
  <c r="T25" i="1"/>
  <c r="H23" i="1"/>
  <c r="T26" i="1"/>
  <c r="E26" i="1"/>
  <c r="U25" i="1"/>
  <c r="U14" i="1"/>
  <c r="Z127" i="3" s="1"/>
  <c r="E23" i="1"/>
  <c r="U26" i="1"/>
  <c r="Z130" i="3"/>
  <c r="H6" i="1"/>
  <c r="T4" i="1"/>
  <c r="U15" i="1"/>
  <c r="Z109" i="3" s="1"/>
  <c r="I13" i="1"/>
  <c r="V2" i="3" s="1"/>
  <c r="E4" i="1"/>
  <c r="T24" i="1"/>
  <c r="I3" i="1"/>
  <c r="D13" i="1"/>
  <c r="E7" i="1"/>
  <c r="D14" i="1"/>
  <c r="E8" i="1"/>
  <c r="U13" i="1"/>
  <c r="D15" i="1"/>
  <c r="T27" i="1"/>
  <c r="U77" i="3"/>
  <c r="H4" i="1"/>
  <c r="E5" i="1"/>
  <c r="U90" i="2" s="1"/>
  <c r="Z141" i="3"/>
  <c r="D24" i="1"/>
  <c r="D18" i="1"/>
  <c r="U8" i="1"/>
  <c r="D25" i="1"/>
  <c r="H27" i="1"/>
  <c r="D26" i="1"/>
  <c r="E16" i="1"/>
  <c r="U95" i="3" s="1"/>
  <c r="I8" i="1"/>
  <c r="U18" i="1"/>
  <c r="Z173" i="3" s="1"/>
  <c r="H28" i="1"/>
  <c r="D3" i="1"/>
  <c r="D27" i="1"/>
  <c r="I18" i="1"/>
  <c r="V175" i="3" s="1"/>
  <c r="E17" i="1"/>
  <c r="T17" i="1"/>
  <c r="I23" i="1"/>
  <c r="D28" i="1"/>
  <c r="V76" i="3"/>
  <c r="V84" i="3"/>
  <c r="E6" i="1"/>
  <c r="U68" i="2" s="1"/>
  <c r="I24" i="1"/>
  <c r="I14" i="1"/>
  <c r="V128" i="3" s="1"/>
  <c r="T5" i="1"/>
  <c r="T3" i="1"/>
  <c r="I25" i="1"/>
  <c r="I15" i="1"/>
  <c r="V118" i="3" s="1"/>
  <c r="Z125" i="3"/>
  <c r="I26" i="1"/>
  <c r="T28" i="1"/>
  <c r="I16" i="1"/>
  <c r="T6" i="1"/>
  <c r="H5" i="1"/>
  <c r="U23" i="1"/>
  <c r="I17" i="1"/>
  <c r="V165" i="3" s="1"/>
  <c r="U16" i="1"/>
  <c r="Z105" i="3" s="1"/>
  <c r="V160" i="3"/>
  <c r="I7" i="1"/>
  <c r="A6" i="9"/>
  <c r="V5" i="3" l="1"/>
  <c r="V96" i="3"/>
  <c r="Z123" i="3"/>
  <c r="Z143" i="3"/>
  <c r="Z138" i="3"/>
  <c r="V102" i="3"/>
  <c r="V79" i="3"/>
  <c r="U147" i="3"/>
  <c r="Z128" i="3"/>
  <c r="Z139" i="3"/>
  <c r="Z137" i="3"/>
  <c r="Z115" i="3"/>
  <c r="Z107" i="3"/>
  <c r="V111" i="2"/>
  <c r="Z116" i="3"/>
  <c r="Z53" i="3"/>
  <c r="Z140" i="3"/>
  <c r="Z135" i="3"/>
  <c r="V31" i="3"/>
  <c r="V101" i="3"/>
  <c r="Z134" i="3"/>
  <c r="Z124" i="3"/>
  <c r="V57" i="3"/>
  <c r="Z9" i="3"/>
  <c r="Z108" i="3"/>
  <c r="Z11" i="3"/>
  <c r="Z117" i="3"/>
  <c r="Z111" i="3"/>
  <c r="Z119" i="3"/>
  <c r="V43" i="3"/>
  <c r="Z114" i="3"/>
  <c r="Z20" i="3"/>
  <c r="Z110" i="3"/>
  <c r="Z136" i="3"/>
  <c r="V62" i="3"/>
  <c r="V72" i="3"/>
  <c r="V38" i="3"/>
  <c r="Z93" i="3"/>
  <c r="V16" i="3"/>
  <c r="Z132" i="3"/>
  <c r="V54" i="3"/>
  <c r="V18" i="3"/>
  <c r="Z131" i="3"/>
  <c r="V25" i="3"/>
  <c r="V21" i="3"/>
  <c r="Z133" i="3"/>
  <c r="Z142" i="3"/>
  <c r="V95" i="3"/>
  <c r="V39" i="3"/>
  <c r="Z120" i="3"/>
  <c r="V94" i="3"/>
  <c r="Z121" i="3"/>
  <c r="U83" i="3"/>
  <c r="V82" i="3"/>
  <c r="Z128" i="2"/>
  <c r="V47" i="3"/>
  <c r="Z129" i="3"/>
  <c r="V85" i="3"/>
  <c r="Z126" i="3"/>
  <c r="Z122" i="3"/>
  <c r="V77" i="3"/>
  <c r="U164" i="3"/>
  <c r="V53" i="3"/>
  <c r="V104" i="3"/>
  <c r="V61" i="3"/>
  <c r="U99" i="2"/>
  <c r="V106" i="3"/>
  <c r="Z118" i="3"/>
  <c r="V4" i="3"/>
  <c r="V223" i="4"/>
  <c r="Z169" i="4"/>
  <c r="Z143" i="2"/>
  <c r="V156" i="4"/>
  <c r="U118" i="2"/>
  <c r="U143" i="2"/>
  <c r="U133" i="2"/>
  <c r="V153" i="4"/>
  <c r="V161" i="4"/>
  <c r="U111" i="2"/>
  <c r="U108" i="2"/>
  <c r="U131" i="2"/>
  <c r="U113" i="2"/>
  <c r="U124" i="2"/>
  <c r="Z51" i="4"/>
  <c r="U135" i="2"/>
  <c r="U116" i="2"/>
  <c r="U122" i="2"/>
  <c r="U142" i="2"/>
  <c r="U119" i="2"/>
  <c r="U138" i="2"/>
  <c r="U121" i="2"/>
  <c r="U120" i="2"/>
  <c r="Z149" i="4"/>
  <c r="U141" i="2"/>
  <c r="U115" i="2"/>
  <c r="U140" i="2"/>
  <c r="U134" i="2"/>
  <c r="Z170" i="4"/>
  <c r="U123" i="2"/>
  <c r="U125" i="2"/>
  <c r="U137" i="2"/>
  <c r="U139" i="2"/>
  <c r="U136" i="2"/>
  <c r="Z89" i="3"/>
  <c r="V25" i="2"/>
  <c r="V56" i="3"/>
  <c r="V169" i="3"/>
  <c r="Z104" i="3"/>
  <c r="V50" i="3"/>
  <c r="V13" i="3"/>
  <c r="U100" i="3"/>
  <c r="Z94" i="3"/>
  <c r="V75" i="3"/>
  <c r="V7" i="3"/>
  <c r="U85" i="3"/>
  <c r="Z171" i="4"/>
  <c r="V158" i="3"/>
  <c r="V19" i="3"/>
  <c r="V97" i="3"/>
  <c r="V11" i="3"/>
  <c r="Z30" i="3"/>
  <c r="V23" i="3"/>
  <c r="U87" i="3"/>
  <c r="Z91" i="3"/>
  <c r="Z42" i="4"/>
  <c r="V69" i="3"/>
  <c r="V37" i="3"/>
  <c r="Z71" i="3"/>
  <c r="U104" i="2"/>
  <c r="U102" i="3"/>
  <c r="Z106" i="3"/>
  <c r="V71" i="3"/>
  <c r="V15" i="3"/>
  <c r="U76" i="3"/>
  <c r="V164" i="3"/>
  <c r="V174" i="3"/>
  <c r="Z15" i="3"/>
  <c r="V60" i="3"/>
  <c r="V143" i="2"/>
  <c r="U92" i="3"/>
  <c r="V133" i="4"/>
  <c r="V58" i="3"/>
  <c r="U99" i="3"/>
  <c r="V163" i="3"/>
  <c r="V8" i="3"/>
  <c r="V36" i="3"/>
  <c r="Z4" i="3"/>
  <c r="U101" i="3"/>
  <c r="U97" i="3"/>
  <c r="V48" i="3"/>
  <c r="V63" i="3"/>
  <c r="Z85" i="3"/>
  <c r="V3" i="3"/>
  <c r="V59" i="3"/>
  <c r="U104" i="3"/>
  <c r="V110" i="3"/>
  <c r="V46" i="3"/>
  <c r="V68" i="3"/>
  <c r="V144" i="3"/>
  <c r="Z49" i="3"/>
  <c r="V35" i="3"/>
  <c r="V34" i="3"/>
  <c r="Z7" i="3"/>
  <c r="Z99" i="3"/>
  <c r="U96" i="3"/>
  <c r="V74" i="3"/>
  <c r="Z96" i="3"/>
  <c r="V6" i="3"/>
  <c r="V20" i="3"/>
  <c r="V26" i="3"/>
  <c r="U91" i="3"/>
  <c r="Z113" i="3"/>
  <c r="Z80" i="3"/>
  <c r="V32" i="3"/>
  <c r="U93" i="3"/>
  <c r="U88" i="3"/>
  <c r="Z125" i="2"/>
  <c r="V225" i="4"/>
  <c r="Z129" i="2"/>
  <c r="U42" i="4"/>
  <c r="Z124" i="2"/>
  <c r="Z123" i="2"/>
  <c r="V148" i="4"/>
  <c r="Z122" i="2"/>
  <c r="U89" i="2"/>
  <c r="Z120" i="2"/>
  <c r="V47" i="4"/>
  <c r="Z142" i="2"/>
  <c r="V143" i="4"/>
  <c r="Z121" i="2"/>
  <c r="V171" i="4"/>
  <c r="Z141" i="2"/>
  <c r="Z209" i="4"/>
  <c r="V160" i="4"/>
  <c r="Z107" i="4"/>
  <c r="Z208" i="4"/>
  <c r="V144" i="4"/>
  <c r="Z57" i="4"/>
  <c r="V137" i="2"/>
  <c r="Z204" i="4"/>
  <c r="V135" i="2"/>
  <c r="Z46" i="4"/>
  <c r="V112" i="2"/>
  <c r="Z199" i="4"/>
  <c r="V115" i="2"/>
  <c r="V157" i="4"/>
  <c r="Z24" i="4"/>
  <c r="V114" i="2"/>
  <c r="Z138" i="2"/>
  <c r="V196" i="4"/>
  <c r="Z197" i="4"/>
  <c r="Z118" i="2"/>
  <c r="V234" i="4"/>
  <c r="U84" i="2"/>
  <c r="Z127" i="2"/>
  <c r="U117" i="2"/>
  <c r="V177" i="4"/>
  <c r="V154" i="4"/>
  <c r="V100" i="4"/>
  <c r="V26" i="4"/>
  <c r="U91" i="2"/>
  <c r="U44" i="4"/>
  <c r="U46" i="4"/>
  <c r="V60" i="4"/>
  <c r="Z130" i="2"/>
  <c r="Z109" i="2"/>
  <c r="Z132" i="2"/>
  <c r="Z126" i="2"/>
  <c r="Z131" i="2"/>
  <c r="Z113" i="2"/>
  <c r="Z108" i="2"/>
  <c r="Z134" i="2"/>
  <c r="Z112" i="2"/>
  <c r="Z135" i="2"/>
  <c r="Z110" i="2"/>
  <c r="V111" i="4"/>
  <c r="U57" i="2"/>
  <c r="U83" i="4"/>
  <c r="V22" i="2"/>
  <c r="U7" i="4"/>
  <c r="V45" i="4"/>
  <c r="V20" i="2"/>
  <c r="U15" i="4"/>
  <c r="Z191" i="4"/>
  <c r="V41" i="4"/>
  <c r="V124" i="4"/>
  <c r="V6" i="2"/>
  <c r="U51" i="2"/>
  <c r="V42" i="2"/>
  <c r="V17" i="4"/>
  <c r="V113" i="4"/>
  <c r="V21" i="2"/>
  <c r="U92" i="2"/>
  <c r="U41" i="4"/>
  <c r="Z136" i="2"/>
  <c r="V173" i="4"/>
  <c r="U128" i="4"/>
  <c r="V115" i="4"/>
  <c r="Z52" i="4"/>
  <c r="V20" i="4"/>
  <c r="Z115" i="2"/>
  <c r="Z137" i="2"/>
  <c r="V30" i="4"/>
  <c r="Z200" i="4"/>
  <c r="Z202" i="4"/>
  <c r="V167" i="4"/>
  <c r="U64" i="4"/>
  <c r="U116" i="4"/>
  <c r="V36" i="2"/>
  <c r="V54" i="4"/>
  <c r="V104" i="4"/>
  <c r="U107" i="2"/>
  <c r="Z114" i="2"/>
  <c r="U45" i="4"/>
  <c r="V10" i="2"/>
  <c r="U125" i="4"/>
  <c r="U106" i="2"/>
  <c r="Z139" i="2"/>
  <c r="U28" i="4"/>
  <c r="Z119" i="2"/>
  <c r="U110" i="4"/>
  <c r="V191" i="4"/>
  <c r="V23" i="4"/>
  <c r="V84" i="4"/>
  <c r="Z37" i="4"/>
  <c r="V147" i="4"/>
  <c r="U115" i="4"/>
  <c r="V14" i="2"/>
  <c r="V101" i="4"/>
  <c r="V41" i="2"/>
  <c r="Z116" i="2"/>
  <c r="V150" i="4"/>
  <c r="V9" i="4"/>
  <c r="V93" i="4"/>
  <c r="V175" i="4"/>
  <c r="V212" i="4"/>
  <c r="U88" i="4"/>
  <c r="V45" i="2"/>
  <c r="V79" i="4"/>
  <c r="Z196" i="4"/>
  <c r="Z117" i="2"/>
  <c r="V213" i="4"/>
  <c r="U88" i="2"/>
  <c r="U61" i="2"/>
  <c r="V159" i="4"/>
  <c r="V231" i="4"/>
  <c r="Z198" i="4"/>
  <c r="V40" i="2"/>
  <c r="V33" i="4"/>
  <c r="U100" i="4"/>
  <c r="U16" i="4"/>
  <c r="Z140" i="2"/>
  <c r="V78" i="4"/>
  <c r="Z192" i="4"/>
  <c r="V33" i="2"/>
  <c r="V71" i="4"/>
  <c r="V186" i="4"/>
  <c r="Z133" i="2"/>
  <c r="V32" i="4"/>
  <c r="V218" i="4"/>
  <c r="Z111" i="2"/>
  <c r="V11" i="2"/>
  <c r="V97" i="4"/>
  <c r="U85" i="2"/>
  <c r="V189" i="4"/>
  <c r="U9" i="4"/>
  <c r="V155" i="4"/>
  <c r="V17" i="2"/>
  <c r="Z124" i="4"/>
  <c r="Z55" i="4"/>
  <c r="Z71" i="4"/>
  <c r="Z87" i="4"/>
  <c r="Z50" i="4"/>
  <c r="Z183" i="4"/>
  <c r="Z157" i="4"/>
  <c r="Z185" i="4"/>
  <c r="Z163" i="4"/>
  <c r="Z160" i="4"/>
  <c r="Z167" i="4"/>
  <c r="Z145" i="4"/>
  <c r="Z186" i="4"/>
  <c r="Z166" i="4"/>
  <c r="Z168" i="4"/>
  <c r="Z180" i="4"/>
  <c r="V128" i="2"/>
  <c r="V109" i="2"/>
  <c r="V141" i="2"/>
  <c r="V139" i="2"/>
  <c r="V129" i="2"/>
  <c r="V133" i="2"/>
  <c r="V130" i="2"/>
  <c r="V125" i="2"/>
  <c r="V113" i="2"/>
  <c r="Z25" i="4"/>
  <c r="Z118" i="4"/>
  <c r="V134" i="2"/>
  <c r="Z15" i="2"/>
  <c r="Z35" i="2"/>
  <c r="Z20" i="2"/>
  <c r="Z40" i="2"/>
  <c r="Z7" i="2"/>
  <c r="Z34" i="2"/>
  <c r="Z19" i="2"/>
  <c r="Z33" i="2"/>
  <c r="Z12" i="2"/>
  <c r="Z32" i="2"/>
  <c r="Z13" i="2"/>
  <c r="Z36" i="2"/>
  <c r="Z14" i="2"/>
  <c r="Z17" i="2"/>
  <c r="Z37" i="2"/>
  <c r="Z16" i="2"/>
  <c r="Z39" i="2"/>
  <c r="Z38" i="2"/>
  <c r="Z27" i="2"/>
  <c r="Z18" i="2"/>
  <c r="Z25" i="2"/>
  <c r="Z44" i="2"/>
  <c r="Z45" i="2"/>
  <c r="Z24" i="2"/>
  <c r="Z2" i="2"/>
  <c r="Z3" i="2"/>
  <c r="Z26" i="2"/>
  <c r="Z6" i="2"/>
  <c r="Z8" i="2"/>
  <c r="Z30" i="2"/>
  <c r="Z43" i="2"/>
  <c r="Z31" i="2"/>
  <c r="Z28" i="2"/>
  <c r="Z4" i="2"/>
  <c r="Z9" i="2"/>
  <c r="Z42" i="2"/>
  <c r="Z10" i="2"/>
  <c r="Z41" i="2"/>
  <c r="Z23" i="2"/>
  <c r="Z22" i="2"/>
  <c r="Z29" i="2"/>
  <c r="Z21" i="2"/>
  <c r="Z11" i="2"/>
  <c r="Z5" i="2"/>
  <c r="V2" i="4"/>
  <c r="U59" i="2"/>
  <c r="Z144" i="4"/>
  <c r="Z73" i="3"/>
  <c r="Z12" i="3"/>
  <c r="Z65" i="3"/>
  <c r="U40" i="4"/>
  <c r="Z98" i="3"/>
  <c r="V174" i="4"/>
  <c r="Z164" i="4"/>
  <c r="V169" i="4"/>
  <c r="V221" i="4"/>
  <c r="U120" i="4"/>
  <c r="U43" i="4"/>
  <c r="U77" i="4"/>
  <c r="U57" i="4"/>
  <c r="V89" i="4"/>
  <c r="U63" i="4"/>
  <c r="Z88" i="3"/>
  <c r="Z188" i="4"/>
  <c r="Z165" i="4"/>
  <c r="U89" i="4"/>
  <c r="Z40" i="4"/>
  <c r="Z228" i="4"/>
  <c r="Z227" i="4"/>
  <c r="Z233" i="4"/>
  <c r="Z214" i="4"/>
  <c r="Z216" i="4"/>
  <c r="Z221" i="4"/>
  <c r="Z211" i="4"/>
  <c r="Z212" i="4"/>
  <c r="Z219" i="4"/>
  <c r="Z220" i="4"/>
  <c r="Z234" i="4"/>
  <c r="Z213" i="4"/>
  <c r="Z229" i="4"/>
  <c r="Z230" i="4"/>
  <c r="Z215" i="4"/>
  <c r="Z232" i="4"/>
  <c r="Z210" i="4"/>
  <c r="Z217" i="4"/>
  <c r="Z218" i="4"/>
  <c r="Z223" i="4"/>
  <c r="Z226" i="4"/>
  <c r="Z222" i="4"/>
  <c r="Z224" i="4"/>
  <c r="Z225" i="4"/>
  <c r="Z93" i="4"/>
  <c r="Z54" i="4"/>
  <c r="Z70" i="4"/>
  <c r="Z17" i="4"/>
  <c r="Z101" i="3"/>
  <c r="V172" i="3"/>
  <c r="Z102" i="2"/>
  <c r="Z98" i="2"/>
  <c r="Z99" i="2"/>
  <c r="Z100" i="2"/>
  <c r="Z101" i="2"/>
  <c r="Z103" i="2"/>
  <c r="Z106" i="2"/>
  <c r="Z107" i="2"/>
  <c r="Z94" i="2"/>
  <c r="Z97" i="2"/>
  <c r="Z95" i="2"/>
  <c r="Z96" i="2"/>
  <c r="Z105" i="2"/>
  <c r="Z104" i="2"/>
  <c r="Z93" i="2"/>
  <c r="V44" i="2"/>
  <c r="V28" i="3"/>
  <c r="V58" i="4"/>
  <c r="V33" i="3"/>
  <c r="V72" i="4"/>
  <c r="V88" i="4"/>
  <c r="V34" i="4"/>
  <c r="U106" i="3"/>
  <c r="Z13" i="3"/>
  <c r="Z114" i="4"/>
  <c r="Z96" i="4"/>
  <c r="Z59" i="4"/>
  <c r="Z133" i="4"/>
  <c r="V171" i="3"/>
  <c r="V118" i="4"/>
  <c r="V19" i="2"/>
  <c r="Z32" i="4"/>
  <c r="U47" i="2"/>
  <c r="V151" i="4"/>
  <c r="V16" i="4"/>
  <c r="V55" i="4"/>
  <c r="V107" i="4"/>
  <c r="V9" i="3"/>
  <c r="U167" i="3"/>
  <c r="U162" i="3"/>
  <c r="U163" i="3"/>
  <c r="U166" i="3"/>
  <c r="U144" i="3"/>
  <c r="U164" i="4"/>
  <c r="U165" i="4"/>
  <c r="U185" i="4"/>
  <c r="U148" i="4"/>
  <c r="U154" i="4"/>
  <c r="U155" i="4"/>
  <c r="U181" i="4"/>
  <c r="U156" i="4"/>
  <c r="U158" i="4"/>
  <c r="U187" i="4"/>
  <c r="U159" i="4"/>
  <c r="U188" i="4"/>
  <c r="U152" i="4"/>
  <c r="U153" i="4"/>
  <c r="U166" i="4"/>
  <c r="U167" i="4"/>
  <c r="U168" i="4"/>
  <c r="U172" i="4"/>
  <c r="U145" i="4"/>
  <c r="U147" i="4"/>
  <c r="U173" i="4"/>
  <c r="U176" i="4"/>
  <c r="U146" i="4"/>
  <c r="U174" i="4"/>
  <c r="U175" i="4"/>
  <c r="U179" i="4"/>
  <c r="U182" i="4"/>
  <c r="U161" i="4"/>
  <c r="U144" i="4"/>
  <c r="U163" i="4"/>
  <c r="U157" i="4"/>
  <c r="U189" i="4"/>
  <c r="U160" i="4"/>
  <c r="U183" i="4"/>
  <c r="U150" i="4"/>
  <c r="U149" i="4"/>
  <c r="U190" i="4"/>
  <c r="U180" i="4"/>
  <c r="U169" i="4"/>
  <c r="U151" i="4"/>
  <c r="U177" i="4"/>
  <c r="U170" i="4"/>
  <c r="U178" i="4"/>
  <c r="U171" i="4"/>
  <c r="U184" i="4"/>
  <c r="U162" i="4"/>
  <c r="U186" i="4"/>
  <c r="V247" i="4"/>
  <c r="V248" i="4"/>
  <c r="V255" i="4"/>
  <c r="V256" i="4"/>
  <c r="V240" i="4"/>
  <c r="V241" i="4"/>
  <c r="V253" i="4"/>
  <c r="V254" i="4"/>
  <c r="V259" i="4"/>
  <c r="V261" i="4"/>
  <c r="V235" i="4"/>
  <c r="V236" i="4"/>
  <c r="V237" i="4"/>
  <c r="V239" i="4"/>
  <c r="V260" i="4"/>
  <c r="V252" i="4"/>
  <c r="V245" i="4"/>
  <c r="V243" i="4"/>
  <c r="V251" i="4"/>
  <c r="V244" i="4"/>
  <c r="V238" i="4"/>
  <c r="V257" i="4"/>
  <c r="V249" i="4"/>
  <c r="V250" i="4"/>
  <c r="V242" i="4"/>
  <c r="V246" i="4"/>
  <c r="V258" i="4"/>
  <c r="V264" i="4"/>
  <c r="V263" i="4"/>
  <c r="V262" i="4"/>
  <c r="Z58" i="4"/>
  <c r="Z104" i="4"/>
  <c r="Z72" i="4"/>
  <c r="Z60" i="4"/>
  <c r="V136" i="2"/>
  <c r="V228" i="4"/>
  <c r="Z10" i="3"/>
  <c r="Z44" i="4"/>
  <c r="Z126" i="4"/>
  <c r="U54" i="2"/>
  <c r="Z51" i="3"/>
  <c r="Z2" i="3"/>
  <c r="U146" i="3"/>
  <c r="V158" i="4"/>
  <c r="V178" i="4"/>
  <c r="V28" i="2"/>
  <c r="Z47" i="3"/>
  <c r="Z42" i="3"/>
  <c r="U154" i="3"/>
  <c r="U19" i="4"/>
  <c r="U133" i="4"/>
  <c r="U26" i="4"/>
  <c r="U114" i="4"/>
  <c r="Z81" i="3"/>
  <c r="Z85" i="4"/>
  <c r="Z158" i="4"/>
  <c r="V106" i="4"/>
  <c r="V3" i="4"/>
  <c r="V27" i="3"/>
  <c r="Z108" i="4"/>
  <c r="Z41" i="4"/>
  <c r="Z53" i="4"/>
  <c r="Z16" i="4"/>
  <c r="Z175" i="3"/>
  <c r="Z39" i="3"/>
  <c r="V15" i="2"/>
  <c r="V3" i="2"/>
  <c r="U160" i="3"/>
  <c r="U87" i="2"/>
  <c r="Z21" i="3"/>
  <c r="V74" i="4"/>
  <c r="V99" i="4"/>
  <c r="V77" i="4"/>
  <c r="V226" i="4"/>
  <c r="U31" i="4"/>
  <c r="U4" i="4"/>
  <c r="U140" i="4"/>
  <c r="U11" i="4"/>
  <c r="U129" i="4"/>
  <c r="U23" i="4"/>
  <c r="U72" i="4"/>
  <c r="U37" i="4"/>
  <c r="U30" i="4"/>
  <c r="U69" i="4"/>
  <c r="U38" i="4"/>
  <c r="U3" i="4"/>
  <c r="U124" i="4"/>
  <c r="U103" i="4"/>
  <c r="U71" i="4"/>
  <c r="U102" i="4"/>
  <c r="Z29" i="4"/>
  <c r="V110" i="2"/>
  <c r="Z120" i="4"/>
  <c r="Z12" i="4"/>
  <c r="U77" i="2"/>
  <c r="V63" i="4"/>
  <c r="Z45" i="3"/>
  <c r="Z62" i="3"/>
  <c r="V129" i="4"/>
  <c r="U24" i="4"/>
  <c r="V6" i="4"/>
  <c r="V149" i="3"/>
  <c r="U143" i="4"/>
  <c r="U151" i="3"/>
  <c r="U105" i="4"/>
  <c r="U14" i="4"/>
  <c r="U127" i="4"/>
  <c r="U86" i="4"/>
  <c r="U67" i="4"/>
  <c r="Z156" i="4"/>
  <c r="Z48" i="3"/>
  <c r="U125" i="3"/>
  <c r="U139" i="3"/>
  <c r="U135" i="3"/>
  <c r="U136" i="3"/>
  <c r="U119" i="3"/>
  <c r="U122" i="3"/>
  <c r="U129" i="3"/>
  <c r="U128" i="3"/>
  <c r="U131" i="3"/>
  <c r="U132" i="3"/>
  <c r="U134" i="3"/>
  <c r="U137" i="3"/>
  <c r="U138" i="3"/>
  <c r="U124" i="3"/>
  <c r="U127" i="3"/>
  <c r="U126" i="3"/>
  <c r="U130" i="3"/>
  <c r="U121" i="3"/>
  <c r="U143" i="3"/>
  <c r="U123" i="3"/>
  <c r="U142" i="3"/>
  <c r="U120" i="3"/>
  <c r="U140" i="3"/>
  <c r="U141" i="3"/>
  <c r="U133" i="3"/>
  <c r="V128" i="4"/>
  <c r="Z69" i="4"/>
  <c r="Z119" i="4"/>
  <c r="Z21" i="4"/>
  <c r="Z132" i="4"/>
  <c r="Z174" i="3"/>
  <c r="Z90" i="3"/>
  <c r="V34" i="2"/>
  <c r="V38" i="2"/>
  <c r="V46" i="4"/>
  <c r="V120" i="3"/>
  <c r="V139" i="4"/>
  <c r="V87" i="4"/>
  <c r="V76" i="4"/>
  <c r="U207" i="4"/>
  <c r="U208" i="4"/>
  <c r="U194" i="4"/>
  <c r="U195" i="4"/>
  <c r="U196" i="4"/>
  <c r="U197" i="4"/>
  <c r="U199" i="4"/>
  <c r="U201" i="4"/>
  <c r="U192" i="4"/>
  <c r="U205" i="4"/>
  <c r="U206" i="4"/>
  <c r="U193" i="4"/>
  <c r="U204" i="4"/>
  <c r="U191" i="4"/>
  <c r="U202" i="4"/>
  <c r="U198" i="4"/>
  <c r="U209" i="4"/>
  <c r="U203" i="4"/>
  <c r="U200" i="4"/>
  <c r="V198" i="4"/>
  <c r="V127" i="2"/>
  <c r="U78" i="2"/>
  <c r="U248" i="4"/>
  <c r="U255" i="4"/>
  <c r="U253" i="4"/>
  <c r="U254" i="4"/>
  <c r="U256" i="4"/>
  <c r="U241" i="4"/>
  <c r="U245" i="4"/>
  <c r="U252" i="4"/>
  <c r="U240" i="4"/>
  <c r="U247" i="4"/>
  <c r="U261" i="4"/>
  <c r="U263" i="4"/>
  <c r="U264" i="4"/>
  <c r="U239" i="4"/>
  <c r="U236" i="4"/>
  <c r="U237" i="4"/>
  <c r="U235" i="4"/>
  <c r="U259" i="4"/>
  <c r="U260" i="4"/>
  <c r="U258" i="4"/>
  <c r="U250" i="4"/>
  <c r="U262" i="4"/>
  <c r="U249" i="4"/>
  <c r="U238" i="4"/>
  <c r="U242" i="4"/>
  <c r="U244" i="4"/>
  <c r="U246" i="4"/>
  <c r="U257" i="4"/>
  <c r="U243" i="4"/>
  <c r="U251" i="4"/>
  <c r="Z24" i="3"/>
  <c r="Z32" i="3"/>
  <c r="V173" i="3"/>
  <c r="U212" i="4"/>
  <c r="U233" i="4"/>
  <c r="U213" i="4"/>
  <c r="U234" i="4"/>
  <c r="U214" i="4"/>
  <c r="U215" i="4"/>
  <c r="U216" i="4"/>
  <c r="U219" i="4"/>
  <c r="U224" i="4"/>
  <c r="U225" i="4"/>
  <c r="U226" i="4"/>
  <c r="U227" i="4"/>
  <c r="U221" i="4"/>
  <c r="U220" i="4"/>
  <c r="U223" i="4"/>
  <c r="U232" i="4"/>
  <c r="U228" i="4"/>
  <c r="U211" i="4"/>
  <c r="U222" i="4"/>
  <c r="U229" i="4"/>
  <c r="U217" i="4"/>
  <c r="U231" i="4"/>
  <c r="U210" i="4"/>
  <c r="U218" i="4"/>
  <c r="U230" i="4"/>
  <c r="U20" i="4"/>
  <c r="U170" i="3"/>
  <c r="U73" i="4"/>
  <c r="U85" i="4"/>
  <c r="U74" i="4"/>
  <c r="U55" i="4"/>
  <c r="Z77" i="3"/>
  <c r="V141" i="3"/>
  <c r="Z155" i="4"/>
  <c r="V167" i="3"/>
  <c r="Z22" i="4"/>
  <c r="U53" i="2"/>
  <c r="Z141" i="4"/>
  <c r="Z34" i="4"/>
  <c r="Z117" i="4"/>
  <c r="Z109" i="4"/>
  <c r="Z171" i="3"/>
  <c r="U118" i="4"/>
  <c r="V12" i="2"/>
  <c r="V18" i="2"/>
  <c r="Z5" i="4"/>
  <c r="U97" i="4"/>
  <c r="V133" i="3"/>
  <c r="V137" i="4"/>
  <c r="V138" i="4"/>
  <c r="V48" i="4"/>
  <c r="Z147" i="4"/>
  <c r="Z40" i="3"/>
  <c r="U107" i="4"/>
  <c r="U56" i="4"/>
  <c r="Z159" i="4"/>
  <c r="Z129" i="4"/>
  <c r="U70" i="4"/>
  <c r="V131" i="2"/>
  <c r="Z61" i="3"/>
  <c r="U76" i="2"/>
  <c r="Z144" i="3"/>
  <c r="Z145" i="3"/>
  <c r="Z151" i="3"/>
  <c r="Z170" i="3"/>
  <c r="Z146" i="3"/>
  <c r="Z152" i="3"/>
  <c r="Z154" i="3"/>
  <c r="Z156" i="3"/>
  <c r="Z155" i="3"/>
  <c r="Z157" i="3"/>
  <c r="Z166" i="3"/>
  <c r="Z158" i="3"/>
  <c r="Z150" i="3"/>
  <c r="Z160" i="3"/>
  <c r="Z148" i="3"/>
  <c r="Z164" i="3"/>
  <c r="Z167" i="3"/>
  <c r="Z165" i="3"/>
  <c r="Z147" i="3"/>
  <c r="Z162" i="3"/>
  <c r="Z168" i="3"/>
  <c r="Z159" i="3"/>
  <c r="Z163" i="3"/>
  <c r="Z169" i="3"/>
  <c r="Z153" i="3"/>
  <c r="Z161" i="3"/>
  <c r="Z149" i="3"/>
  <c r="U15" i="2"/>
  <c r="U36" i="2"/>
  <c r="U17" i="2"/>
  <c r="U18" i="2"/>
  <c r="U16" i="2"/>
  <c r="U19" i="2"/>
  <c r="U20" i="2"/>
  <c r="U44" i="2"/>
  <c r="U45" i="2"/>
  <c r="U26" i="2"/>
  <c r="U39" i="2"/>
  <c r="U24" i="2"/>
  <c r="U2" i="2"/>
  <c r="U25" i="2"/>
  <c r="U3" i="2"/>
  <c r="U4" i="2"/>
  <c r="U6" i="2"/>
  <c r="U34" i="2"/>
  <c r="U7" i="2"/>
  <c r="U8" i="2"/>
  <c r="U11" i="2"/>
  <c r="U14" i="2"/>
  <c r="U35" i="2"/>
  <c r="U37" i="2"/>
  <c r="U40" i="2"/>
  <c r="U27" i="2"/>
  <c r="U38" i="2"/>
  <c r="U9" i="2"/>
  <c r="U32" i="2"/>
  <c r="U22" i="2"/>
  <c r="U41" i="2"/>
  <c r="U28" i="2"/>
  <c r="U21" i="2"/>
  <c r="U5" i="2"/>
  <c r="U43" i="2"/>
  <c r="U31" i="2"/>
  <c r="U33" i="2"/>
  <c r="U29" i="2"/>
  <c r="U30" i="2"/>
  <c r="U13" i="2"/>
  <c r="U10" i="2"/>
  <c r="U42" i="2"/>
  <c r="U23" i="2"/>
  <c r="U12" i="2"/>
  <c r="Z56" i="3"/>
  <c r="Z59" i="3"/>
  <c r="U153" i="3"/>
  <c r="V181" i="4"/>
  <c r="Z103" i="4"/>
  <c r="U149" i="3"/>
  <c r="U80" i="4"/>
  <c r="U13" i="4"/>
  <c r="U25" i="4"/>
  <c r="U61" i="4"/>
  <c r="Z76" i="3"/>
  <c r="V73" i="3"/>
  <c r="Z154" i="4"/>
  <c r="U105" i="2"/>
  <c r="U60" i="4"/>
  <c r="U50" i="2"/>
  <c r="V102" i="4"/>
  <c r="Z62" i="4"/>
  <c r="Z33" i="4"/>
  <c r="Z79" i="4"/>
  <c r="Z15" i="4"/>
  <c r="Z172" i="3"/>
  <c r="Z82" i="4"/>
  <c r="V32" i="2"/>
  <c r="Z66" i="4"/>
  <c r="V29" i="4"/>
  <c r="Z45" i="4"/>
  <c r="V132" i="3"/>
  <c r="V136" i="4"/>
  <c r="V134" i="4"/>
  <c r="V75" i="4"/>
  <c r="V29" i="2"/>
  <c r="Z69" i="3"/>
  <c r="U109" i="4"/>
  <c r="Z55" i="3"/>
  <c r="U157" i="3"/>
  <c r="U71" i="2"/>
  <c r="Z38" i="3"/>
  <c r="V123" i="2"/>
  <c r="Z92" i="2"/>
  <c r="Z89" i="2"/>
  <c r="Z91" i="2"/>
  <c r="Z90" i="2"/>
  <c r="Z88" i="2"/>
  <c r="Z87" i="2"/>
  <c r="V120" i="2"/>
  <c r="V12" i="4"/>
  <c r="Z143" i="4"/>
  <c r="Z52" i="3"/>
  <c r="Z25" i="3"/>
  <c r="U168" i="3"/>
  <c r="V152" i="4"/>
  <c r="Z8" i="3"/>
  <c r="V202" i="4"/>
  <c r="V43" i="4"/>
  <c r="V24" i="4"/>
  <c r="U145" i="3"/>
  <c r="U59" i="4"/>
  <c r="U139" i="4"/>
  <c r="U112" i="4"/>
  <c r="U39" i="4"/>
  <c r="Z103" i="3"/>
  <c r="V121" i="3"/>
  <c r="Z153" i="4"/>
  <c r="U103" i="2"/>
  <c r="V98" i="4"/>
  <c r="U82" i="4"/>
  <c r="Z30" i="4"/>
  <c r="Z101" i="4"/>
  <c r="Z11" i="4"/>
  <c r="Z131" i="4"/>
  <c r="V125" i="3"/>
  <c r="V166" i="3"/>
  <c r="V39" i="2"/>
  <c r="V57" i="2"/>
  <c r="V77" i="2"/>
  <c r="V82" i="2"/>
  <c r="V64" i="2"/>
  <c r="V65" i="2"/>
  <c r="V47" i="2"/>
  <c r="V84" i="2"/>
  <c r="V85" i="2"/>
  <c r="V63" i="2"/>
  <c r="V52" i="2"/>
  <c r="V75" i="2"/>
  <c r="V74" i="2"/>
  <c r="V76" i="2"/>
  <c r="V58" i="2"/>
  <c r="V55" i="2"/>
  <c r="V78" i="2"/>
  <c r="V56" i="2"/>
  <c r="V80" i="2"/>
  <c r="V61" i="2"/>
  <c r="V79" i="2"/>
  <c r="V59" i="2"/>
  <c r="V60" i="2"/>
  <c r="V83" i="2"/>
  <c r="V69" i="2"/>
  <c r="V70" i="2"/>
  <c r="V71" i="2"/>
  <c r="V49" i="2"/>
  <c r="V62" i="2"/>
  <c r="V53" i="2"/>
  <c r="V66" i="2"/>
  <c r="V86" i="2"/>
  <c r="V73" i="2"/>
  <c r="V54" i="2"/>
  <c r="V81" i="2"/>
  <c r="V50" i="2"/>
  <c r="V46" i="2"/>
  <c r="V72" i="2"/>
  <c r="V51" i="2"/>
  <c r="V68" i="2"/>
  <c r="V67" i="2"/>
  <c r="V48" i="2"/>
  <c r="V117" i="3"/>
  <c r="V14" i="3"/>
  <c r="V136" i="3"/>
  <c r="V119" i="4"/>
  <c r="V15" i="4"/>
  <c r="V21" i="4"/>
  <c r="V108" i="2"/>
  <c r="Z67" i="3"/>
  <c r="Z58" i="3"/>
  <c r="U155" i="3"/>
  <c r="Z248" i="4"/>
  <c r="Z249" i="4"/>
  <c r="Z255" i="4"/>
  <c r="Z256" i="4"/>
  <c r="Z235" i="4"/>
  <c r="Z236" i="4"/>
  <c r="Z237" i="4"/>
  <c r="Z259" i="4"/>
  <c r="Z239" i="4"/>
  <c r="Z261" i="4"/>
  <c r="Z250" i="4"/>
  <c r="Z251" i="4"/>
  <c r="Z252" i="4"/>
  <c r="Z253" i="4"/>
  <c r="Z254" i="4"/>
  <c r="Z240" i="4"/>
  <c r="Z260" i="4"/>
  <c r="Z241" i="4"/>
  <c r="Z247" i="4"/>
  <c r="Z264" i="4"/>
  <c r="Z246" i="4"/>
  <c r="Z245" i="4"/>
  <c r="Z238" i="4"/>
  <c r="Z244" i="4"/>
  <c r="Z257" i="4"/>
  <c r="Z258" i="4"/>
  <c r="Z243" i="4"/>
  <c r="Z263" i="4"/>
  <c r="Z242" i="4"/>
  <c r="Z262" i="4"/>
  <c r="Z26" i="4"/>
  <c r="U2" i="4"/>
  <c r="Z49" i="4"/>
  <c r="U138" i="4"/>
  <c r="U169" i="3"/>
  <c r="U51" i="4"/>
  <c r="U50" i="4"/>
  <c r="Z97" i="4"/>
  <c r="V140" i="2"/>
  <c r="U62" i="4"/>
  <c r="U18" i="4"/>
  <c r="V124" i="2"/>
  <c r="V105" i="4"/>
  <c r="Z162" i="4"/>
  <c r="V125" i="4"/>
  <c r="V25" i="4"/>
  <c r="V51" i="4"/>
  <c r="V205" i="4"/>
  <c r="U279" i="4"/>
  <c r="U280" i="4"/>
  <c r="U281" i="4"/>
  <c r="U284" i="4"/>
  <c r="U285" i="4"/>
  <c r="U286" i="4"/>
  <c r="U265" i="4"/>
  <c r="U266" i="4"/>
  <c r="U267" i="4"/>
  <c r="U275" i="4"/>
  <c r="U273" i="4"/>
  <c r="U274" i="4"/>
  <c r="U276" i="4"/>
  <c r="U272" i="4"/>
  <c r="U268" i="4"/>
  <c r="U269" i="4"/>
  <c r="U270" i="4"/>
  <c r="U282" i="4"/>
  <c r="U283" i="4"/>
  <c r="U277" i="4"/>
  <c r="U271" i="4"/>
  <c r="U278" i="4"/>
  <c r="U65" i="2"/>
  <c r="V52" i="3"/>
  <c r="V120" i="4"/>
  <c r="V275" i="4"/>
  <c r="V277" i="4"/>
  <c r="V279" i="4"/>
  <c r="V280" i="4"/>
  <c r="V268" i="4"/>
  <c r="V281" i="4"/>
  <c r="V274" i="4"/>
  <c r="V273" i="4"/>
  <c r="V276" i="4"/>
  <c r="V267" i="4"/>
  <c r="V272" i="4"/>
  <c r="V282" i="4"/>
  <c r="V286" i="4"/>
  <c r="V278" i="4"/>
  <c r="V266" i="4"/>
  <c r="V270" i="4"/>
  <c r="V285" i="4"/>
  <c r="V271" i="4"/>
  <c r="V265" i="4"/>
  <c r="V269" i="4"/>
  <c r="V284" i="4"/>
  <c r="V283" i="4"/>
  <c r="Z23" i="3"/>
  <c r="Z57" i="3"/>
  <c r="U5" i="4"/>
  <c r="V176" i="4"/>
  <c r="V89" i="3"/>
  <c r="V207" i="4"/>
  <c r="V232" i="4"/>
  <c r="U165" i="3"/>
  <c r="U141" i="4"/>
  <c r="U76" i="4"/>
  <c r="U21" i="4"/>
  <c r="U101" i="4"/>
  <c r="Z97" i="3"/>
  <c r="Z150" i="4"/>
  <c r="U102" i="2"/>
  <c r="V50" i="4"/>
  <c r="U110" i="2"/>
  <c r="U129" i="2"/>
  <c r="U126" i="2"/>
  <c r="U112" i="2"/>
  <c r="U114" i="2"/>
  <c r="U109" i="2"/>
  <c r="U132" i="2"/>
  <c r="U127" i="2"/>
  <c r="U128" i="2"/>
  <c r="Z67" i="4"/>
  <c r="Z135" i="4"/>
  <c r="Z99" i="4"/>
  <c r="Z116" i="4"/>
  <c r="Z61" i="4"/>
  <c r="U66" i="4"/>
  <c r="V35" i="2"/>
  <c r="Z46" i="3"/>
  <c r="V111" i="3"/>
  <c r="Z84" i="3"/>
  <c r="V134" i="3"/>
  <c r="V121" i="4"/>
  <c r="V53" i="4"/>
  <c r="V96" i="4"/>
  <c r="V87" i="3"/>
  <c r="Z37" i="3"/>
  <c r="U70" i="2"/>
  <c r="U49" i="2"/>
  <c r="U62" i="2"/>
  <c r="U81" i="2"/>
  <c r="U52" i="2"/>
  <c r="U80" i="2"/>
  <c r="U72" i="2"/>
  <c r="U73" i="2"/>
  <c r="U74" i="2"/>
  <c r="V122" i="2"/>
  <c r="V150" i="3"/>
  <c r="V118" i="2"/>
  <c r="V83" i="4"/>
  <c r="V13" i="2"/>
  <c r="V23" i="2"/>
  <c r="V190" i="4"/>
  <c r="V166" i="4"/>
  <c r="V90" i="3"/>
  <c r="V10" i="4"/>
  <c r="U56" i="2"/>
  <c r="V51" i="3"/>
  <c r="V38" i="4"/>
  <c r="Z22" i="3"/>
  <c r="Z26" i="3"/>
  <c r="V45" i="3"/>
  <c r="V179" i="4"/>
  <c r="V127" i="4"/>
  <c r="V199" i="4"/>
  <c r="V217" i="4"/>
  <c r="Z100" i="4"/>
  <c r="V7" i="4"/>
  <c r="U78" i="4"/>
  <c r="U137" i="4"/>
  <c r="U94" i="4"/>
  <c r="U17" i="4"/>
  <c r="Z102" i="3"/>
  <c r="U107" i="3"/>
  <c r="U118" i="3"/>
  <c r="U111" i="3"/>
  <c r="U112" i="3"/>
  <c r="U114" i="3"/>
  <c r="U115" i="3"/>
  <c r="U116" i="3"/>
  <c r="U117" i="3"/>
  <c r="U109" i="3"/>
  <c r="U113" i="3"/>
  <c r="U108" i="3"/>
  <c r="U110" i="3"/>
  <c r="Z179" i="4"/>
  <c r="U97" i="2"/>
  <c r="U6" i="4"/>
  <c r="V24" i="3"/>
  <c r="Z92" i="4"/>
  <c r="Z94" i="4"/>
  <c r="Z10" i="4"/>
  <c r="Z14" i="4"/>
  <c r="U90" i="4"/>
  <c r="V146" i="4"/>
  <c r="V16" i="2"/>
  <c r="V40" i="4"/>
  <c r="V108" i="3"/>
  <c r="V44" i="4"/>
  <c r="V119" i="3"/>
  <c r="V68" i="4"/>
  <c r="V116" i="4"/>
  <c r="V19" i="4"/>
  <c r="Z68" i="3"/>
  <c r="U130" i="4"/>
  <c r="V28" i="4"/>
  <c r="V148" i="3"/>
  <c r="Z19" i="3"/>
  <c r="Z60" i="3"/>
  <c r="Z4" i="4"/>
  <c r="V187" i="4"/>
  <c r="V168" i="3"/>
  <c r="V193" i="4"/>
  <c r="U58" i="4"/>
  <c r="U87" i="4"/>
  <c r="U54" i="4"/>
  <c r="U68" i="4"/>
  <c r="V27" i="4"/>
  <c r="Z95" i="3"/>
  <c r="V29" i="3"/>
  <c r="Z177" i="4"/>
  <c r="U96" i="2"/>
  <c r="V69" i="4"/>
  <c r="Z63" i="4"/>
  <c r="Z35" i="4"/>
  <c r="Z112" i="4"/>
  <c r="Z130" i="4"/>
  <c r="V49" i="3"/>
  <c r="V30" i="3"/>
  <c r="V37" i="2"/>
  <c r="V152" i="3"/>
  <c r="V114" i="3"/>
  <c r="V109" i="4"/>
  <c r="V140" i="3"/>
  <c r="V18" i="4"/>
  <c r="V39" i="4"/>
  <c r="V95" i="4"/>
  <c r="V159" i="3"/>
  <c r="Z47" i="4"/>
  <c r="Z110" i="4"/>
  <c r="V230" i="4"/>
  <c r="V222" i="4"/>
  <c r="V224" i="4"/>
  <c r="V211" i="4"/>
  <c r="V227" i="4"/>
  <c r="V93" i="3"/>
  <c r="V208" i="4"/>
  <c r="V233" i="4"/>
  <c r="V90" i="4"/>
  <c r="V184" i="4"/>
  <c r="U106" i="4"/>
  <c r="U136" i="4"/>
  <c r="U36" i="4"/>
  <c r="U93" i="2"/>
  <c r="Z92" i="3"/>
  <c r="V170" i="3"/>
  <c r="Z172" i="4"/>
  <c r="U100" i="2"/>
  <c r="V70" i="3"/>
  <c r="U32" i="4"/>
  <c r="Z139" i="4"/>
  <c r="Z128" i="4"/>
  <c r="Z77" i="4"/>
  <c r="Z36" i="4"/>
  <c r="Z87" i="3"/>
  <c r="V5" i="2"/>
  <c r="V157" i="3"/>
  <c r="V116" i="3"/>
  <c r="U69" i="2"/>
  <c r="V137" i="3"/>
  <c r="V61" i="4"/>
  <c r="V8" i="4"/>
  <c r="V117" i="4"/>
  <c r="V182" i="4"/>
  <c r="U172" i="3"/>
  <c r="U174" i="3"/>
  <c r="U175" i="3"/>
  <c r="U171" i="3"/>
  <c r="U173" i="3"/>
  <c r="Z56" i="2"/>
  <c r="Z76" i="2"/>
  <c r="Z77" i="2"/>
  <c r="Z78" i="2"/>
  <c r="Z82" i="2"/>
  <c r="Z55" i="2"/>
  <c r="Z74" i="2"/>
  <c r="Z57" i="2"/>
  <c r="Z79" i="2"/>
  <c r="Z58" i="2"/>
  <c r="Z59" i="2"/>
  <c r="Z60" i="2"/>
  <c r="Z62" i="2"/>
  <c r="Z83" i="2"/>
  <c r="Z84" i="2"/>
  <c r="Z64" i="2"/>
  <c r="Z86" i="2"/>
  <c r="Z63" i="2"/>
  <c r="Z85" i="2"/>
  <c r="Z65" i="2"/>
  <c r="Z75" i="2"/>
  <c r="Z47" i="2"/>
  <c r="Z72" i="2"/>
  <c r="Z52" i="2"/>
  <c r="Z73" i="2"/>
  <c r="Z68" i="2"/>
  <c r="Z69" i="2"/>
  <c r="Z53" i="2"/>
  <c r="Z80" i="2"/>
  <c r="Z71" i="2"/>
  <c r="Z46" i="2"/>
  <c r="Z81" i="2"/>
  <c r="Z49" i="2"/>
  <c r="Z48" i="2"/>
  <c r="Z61" i="2"/>
  <c r="Z66" i="2"/>
  <c r="Z54" i="2"/>
  <c r="Z50" i="2"/>
  <c r="Z67" i="2"/>
  <c r="Z70" i="2"/>
  <c r="Z51" i="2"/>
  <c r="Z2" i="4"/>
  <c r="Z38" i="4"/>
  <c r="Z88" i="4"/>
  <c r="Z125" i="4"/>
  <c r="U46" i="2"/>
  <c r="U58" i="2"/>
  <c r="V64" i="4"/>
  <c r="Z70" i="3"/>
  <c r="U104" i="4"/>
  <c r="U83" i="2"/>
  <c r="U75" i="2"/>
  <c r="V122" i="4"/>
  <c r="V98" i="3"/>
  <c r="V80" i="3"/>
  <c r="V83" i="3"/>
  <c r="V100" i="3"/>
  <c r="V103" i="3"/>
  <c r="V99" i="3"/>
  <c r="V81" i="3"/>
  <c r="Z98" i="4"/>
  <c r="U82" i="2"/>
  <c r="V92" i="3"/>
  <c r="U60" i="2"/>
  <c r="V66" i="3"/>
  <c r="V22" i="3"/>
  <c r="V153" i="3"/>
  <c r="V41" i="3"/>
  <c r="Z74" i="3"/>
  <c r="Z14" i="3"/>
  <c r="V131" i="4"/>
  <c r="V110" i="4"/>
  <c r="V172" i="4"/>
  <c r="V65" i="4"/>
  <c r="V192" i="4"/>
  <c r="V220" i="4"/>
  <c r="U49" i="4"/>
  <c r="V162" i="4"/>
  <c r="U99" i="4"/>
  <c r="U53" i="4"/>
  <c r="U93" i="4"/>
  <c r="Z43" i="3"/>
  <c r="U79" i="3"/>
  <c r="Z86" i="3"/>
  <c r="V49" i="4"/>
  <c r="Z152" i="4"/>
  <c r="U98" i="2"/>
  <c r="Z195" i="4"/>
  <c r="V67" i="3"/>
  <c r="Z178" i="4"/>
  <c r="Z136" i="4"/>
  <c r="Z81" i="4"/>
  <c r="Z76" i="4"/>
  <c r="Z13" i="4"/>
  <c r="Z66" i="3"/>
  <c r="V204" i="4"/>
  <c r="V26" i="2"/>
  <c r="V145" i="3"/>
  <c r="V115" i="3"/>
  <c r="V135" i="3"/>
  <c r="V59" i="4"/>
  <c r="V114" i="4"/>
  <c r="V94" i="4"/>
  <c r="U130" i="2"/>
  <c r="Z3" i="3"/>
  <c r="U122" i="4"/>
  <c r="U75" i="4"/>
  <c r="V132" i="2"/>
  <c r="V66" i="4"/>
  <c r="Z75" i="3"/>
  <c r="Z36" i="3"/>
  <c r="V117" i="2"/>
  <c r="U67" i="2"/>
  <c r="V92" i="2"/>
  <c r="V89" i="2"/>
  <c r="V88" i="2"/>
  <c r="V90" i="2"/>
  <c r="V91" i="2"/>
  <c r="V87" i="2"/>
  <c r="V138" i="2"/>
  <c r="Z279" i="4"/>
  <c r="Z280" i="4"/>
  <c r="Z281" i="4"/>
  <c r="Z270" i="4"/>
  <c r="Z271" i="4"/>
  <c r="Z274" i="4"/>
  <c r="Z269" i="4"/>
  <c r="Z272" i="4"/>
  <c r="Z273" i="4"/>
  <c r="Z275" i="4"/>
  <c r="Z276" i="4"/>
  <c r="Z283" i="4"/>
  <c r="Z282" i="4"/>
  <c r="Z268" i="4"/>
  <c r="Z266" i="4"/>
  <c r="Z284" i="4"/>
  <c r="Z278" i="4"/>
  <c r="Z267" i="4"/>
  <c r="Z277" i="4"/>
  <c r="Z285" i="4"/>
  <c r="Z265" i="4"/>
  <c r="Z286" i="4"/>
  <c r="Z33" i="3"/>
  <c r="Z83" i="4"/>
  <c r="Z106" i="4"/>
  <c r="V91" i="3"/>
  <c r="U64" i="2"/>
  <c r="V55" i="3"/>
  <c r="V17" i="3"/>
  <c r="U47" i="4"/>
  <c r="Z44" i="3"/>
  <c r="Z34" i="3"/>
  <c r="V4" i="4"/>
  <c r="V42" i="3"/>
  <c r="V165" i="4"/>
  <c r="Z27" i="4"/>
  <c r="V219" i="4"/>
  <c r="Z182" i="4"/>
  <c r="V180" i="4"/>
  <c r="U98" i="4"/>
  <c r="U135" i="4"/>
  <c r="U35" i="4"/>
  <c r="Z231" i="4"/>
  <c r="Z83" i="3"/>
  <c r="Z175" i="4"/>
  <c r="Z181" i="4"/>
  <c r="U95" i="2"/>
  <c r="Z194" i="4"/>
  <c r="U48" i="2"/>
  <c r="U126" i="4"/>
  <c r="Z95" i="4"/>
  <c r="Z127" i="4"/>
  <c r="Z113" i="4"/>
  <c r="Z115" i="4"/>
  <c r="U123" i="4"/>
  <c r="V127" i="3"/>
  <c r="V7" i="2"/>
  <c r="V154" i="3"/>
  <c r="V82" i="4"/>
  <c r="V131" i="3"/>
  <c r="V141" i="4"/>
  <c r="V37" i="4"/>
  <c r="V209" i="4"/>
  <c r="V206" i="4"/>
  <c r="V203" i="4"/>
  <c r="V197" i="4"/>
  <c r="Z138" i="4"/>
  <c r="U55" i="2"/>
  <c r="Z140" i="4"/>
  <c r="U158" i="3"/>
  <c r="V121" i="2"/>
  <c r="Z123" i="4"/>
  <c r="Z28" i="3"/>
  <c r="V52" i="4"/>
  <c r="V140" i="4"/>
  <c r="V67" i="4"/>
  <c r="V142" i="4"/>
  <c r="V57" i="4"/>
  <c r="V86" i="4"/>
  <c r="V11" i="4"/>
  <c r="V142" i="2"/>
  <c r="V119" i="2"/>
  <c r="V210" i="4"/>
  <c r="V109" i="3"/>
  <c r="V113" i="3"/>
  <c r="V107" i="3"/>
  <c r="U101" i="2"/>
  <c r="V88" i="3"/>
  <c r="U66" i="2"/>
  <c r="V65" i="3"/>
  <c r="V10" i="3"/>
  <c r="U131" i="4"/>
  <c r="V147" i="3"/>
  <c r="Z17" i="3"/>
  <c r="Z54" i="3"/>
  <c r="U89" i="3"/>
  <c r="U105" i="3"/>
  <c r="U86" i="3"/>
  <c r="U98" i="3"/>
  <c r="U80" i="3"/>
  <c r="U90" i="3"/>
  <c r="U103" i="3"/>
  <c r="U81" i="3"/>
  <c r="U82" i="3"/>
  <c r="U22" i="4"/>
  <c r="V62" i="4"/>
  <c r="V195" i="4"/>
  <c r="V216" i="4"/>
  <c r="U152" i="3"/>
  <c r="U117" i="4"/>
  <c r="U96" i="4"/>
  <c r="U134" i="4"/>
  <c r="U92" i="4"/>
  <c r="V44" i="3"/>
  <c r="U94" i="3"/>
  <c r="Z82" i="3"/>
  <c r="Z187" i="4"/>
  <c r="Z151" i="4"/>
  <c r="U94" i="2"/>
  <c r="Z201" i="4"/>
  <c r="U27" i="4"/>
  <c r="V80" i="4"/>
  <c r="Z91" i="4"/>
  <c r="Z31" i="4"/>
  <c r="Z89" i="4"/>
  <c r="Z73" i="4"/>
  <c r="Z148" i="4"/>
  <c r="Z146" i="4"/>
  <c r="V27" i="2"/>
  <c r="V112" i="3"/>
  <c r="U12" i="4"/>
  <c r="Z7" i="4"/>
  <c r="V56" i="4"/>
  <c r="V81" i="4"/>
  <c r="V73" i="4"/>
  <c r="U161" i="3"/>
  <c r="V124" i="3"/>
  <c r="V138" i="3"/>
  <c r="V130" i="3"/>
  <c r="V129" i="3"/>
  <c r="V142" i="3"/>
  <c r="V123" i="3"/>
  <c r="V122" i="3"/>
  <c r="V143" i="3"/>
  <c r="V126" i="3"/>
  <c r="U156" i="3"/>
  <c r="Z121" i="4"/>
  <c r="Z27" i="3"/>
  <c r="Z18" i="3"/>
  <c r="Z35" i="3"/>
  <c r="U121" i="4"/>
  <c r="Z64" i="3"/>
  <c r="Z39" i="4"/>
  <c r="Z78" i="4"/>
  <c r="V162" i="3"/>
  <c r="V146" i="3"/>
  <c r="V161" i="3"/>
  <c r="V85" i="4"/>
  <c r="V116" i="2"/>
  <c r="V149" i="4"/>
  <c r="V185" i="4"/>
  <c r="V170" i="4"/>
  <c r="V183" i="4"/>
  <c r="V188" i="4"/>
  <c r="V163" i="4"/>
  <c r="V145" i="4"/>
  <c r="Z50" i="3"/>
  <c r="Z41" i="3"/>
  <c r="V31" i="4"/>
  <c r="V86" i="3"/>
  <c r="U63" i="2"/>
  <c r="V40" i="3"/>
  <c r="V12" i="3"/>
  <c r="V164" i="4"/>
  <c r="V64" i="3"/>
  <c r="Z72" i="3"/>
  <c r="Z31" i="3"/>
  <c r="Z184" i="4"/>
  <c r="V70" i="4"/>
  <c r="V168" i="4"/>
  <c r="V194" i="4"/>
  <c r="V215" i="4"/>
  <c r="U150" i="3"/>
  <c r="U81" i="4"/>
  <c r="U95" i="4"/>
  <c r="U48" i="4"/>
  <c r="U34" i="4"/>
  <c r="V126" i="4"/>
  <c r="U78" i="3"/>
  <c r="Z79" i="3"/>
  <c r="Z190" i="4"/>
  <c r="Z176" i="4"/>
  <c r="U17" i="3"/>
  <c r="U28" i="3"/>
  <c r="U74" i="3"/>
  <c r="U25" i="3"/>
  <c r="U51" i="3"/>
  <c r="U5" i="3"/>
  <c r="U31" i="3"/>
  <c r="U54" i="3"/>
  <c r="U15" i="3"/>
  <c r="U16" i="3"/>
  <c r="U52" i="3"/>
  <c r="U55" i="3"/>
  <c r="U57" i="3"/>
  <c r="U22" i="3"/>
  <c r="U58" i="3"/>
  <c r="U59" i="3"/>
  <c r="U29" i="3"/>
  <c r="U62" i="3"/>
  <c r="U32" i="3"/>
  <c r="U64" i="3"/>
  <c r="U34" i="3"/>
  <c r="U65" i="3"/>
  <c r="U35" i="3"/>
  <c r="U36" i="3"/>
  <c r="U37" i="3"/>
  <c r="U39" i="3"/>
  <c r="U75" i="3"/>
  <c r="U9" i="3"/>
  <c r="U12" i="3"/>
  <c r="U56" i="3"/>
  <c r="U71" i="3"/>
  <c r="U46" i="3"/>
  <c r="U14" i="3"/>
  <c r="U11" i="3"/>
  <c r="U10" i="3"/>
  <c r="U69" i="3"/>
  <c r="U41" i="3"/>
  <c r="U44" i="3"/>
  <c r="U53" i="3"/>
  <c r="U63" i="3"/>
  <c r="U2" i="3"/>
  <c r="U30" i="3"/>
  <c r="U70" i="3"/>
  <c r="U26" i="3"/>
  <c r="U27" i="3"/>
  <c r="U20" i="3"/>
  <c r="U45" i="3"/>
  <c r="U72" i="3"/>
  <c r="U38" i="3"/>
  <c r="U73" i="3"/>
  <c r="U19" i="3"/>
  <c r="U21" i="3"/>
  <c r="U8" i="3"/>
  <c r="U66" i="3"/>
  <c r="U42" i="3"/>
  <c r="U33" i="3"/>
  <c r="U43" i="3"/>
  <c r="U67" i="3"/>
  <c r="U3" i="3"/>
  <c r="U18" i="3"/>
  <c r="U68" i="3"/>
  <c r="U7" i="3"/>
  <c r="U49" i="3"/>
  <c r="U6" i="3"/>
  <c r="U24" i="3"/>
  <c r="U50" i="3"/>
  <c r="U47" i="3"/>
  <c r="U13" i="3"/>
  <c r="U60" i="3"/>
  <c r="U40" i="3"/>
  <c r="U4" i="3"/>
  <c r="U23" i="3"/>
  <c r="U48" i="3"/>
  <c r="U61" i="3"/>
  <c r="V5" i="4"/>
  <c r="Z90" i="4"/>
  <c r="Z75" i="4"/>
  <c r="Z19" i="4"/>
  <c r="V103" i="4"/>
  <c r="V126" i="2"/>
  <c r="V156" i="3"/>
  <c r="V22" i="4"/>
  <c r="U65" i="4"/>
  <c r="V132" i="4"/>
  <c r="V36" i="4"/>
  <c r="V135" i="4"/>
  <c r="V200" i="4"/>
  <c r="Z8" i="4"/>
  <c r="Z23" i="4"/>
  <c r="Z80" i="4"/>
  <c r="Z102" i="4"/>
  <c r="Z20" i="4"/>
  <c r="Z84" i="4"/>
  <c r="Z122" i="4"/>
  <c r="Z105" i="4"/>
  <c r="Z142" i="4"/>
  <c r="Z65" i="4"/>
  <c r="Z3" i="4"/>
  <c r="Z6" i="4"/>
  <c r="Z18" i="4"/>
  <c r="Z43" i="4"/>
  <c r="Z64" i="4"/>
  <c r="U52" i="4"/>
  <c r="U111" i="4"/>
  <c r="U86" i="2"/>
  <c r="Z16" i="3"/>
  <c r="Z5" i="3"/>
  <c r="Z48" i="4"/>
  <c r="U91" i="4"/>
  <c r="Z29" i="3"/>
  <c r="V201" i="4"/>
  <c r="V214" i="4"/>
  <c r="U148" i="3"/>
  <c r="U119" i="4"/>
  <c r="U84" i="4"/>
  <c r="U108" i="4"/>
  <c r="U8" i="4"/>
  <c r="Z78" i="3"/>
  <c r="Z189" i="4"/>
  <c r="Z174" i="4"/>
  <c r="V78" i="3"/>
  <c r="V31" i="2"/>
  <c r="V8" i="2"/>
  <c r="V30" i="2"/>
  <c r="V4" i="2"/>
  <c r="V43" i="2"/>
  <c r="V9" i="2"/>
  <c r="Z68" i="4"/>
  <c r="Z28" i="4"/>
  <c r="Z134" i="4"/>
  <c r="Z9" i="4"/>
  <c r="V229" i="4"/>
  <c r="Z63" i="3"/>
  <c r="V2" i="2"/>
  <c r="V155" i="3"/>
  <c r="Z100" i="3"/>
  <c r="Z86" i="4"/>
  <c r="Z206" i="4"/>
  <c r="Z205" i="4"/>
  <c r="Z203" i="4"/>
  <c r="Z207" i="4"/>
  <c r="V14" i="4"/>
  <c r="V35" i="4"/>
  <c r="V112" i="4"/>
  <c r="U29" i="4"/>
  <c r="U113" i="4"/>
  <c r="U79" i="4"/>
  <c r="U132" i="4"/>
  <c r="U33" i="4"/>
  <c r="V94" i="2"/>
  <c r="V95" i="2"/>
  <c r="V96" i="2"/>
  <c r="V97" i="2"/>
  <c r="V98" i="2"/>
  <c r="V99" i="2"/>
  <c r="V100" i="2"/>
  <c r="V102" i="2"/>
  <c r="V107" i="2"/>
  <c r="V103" i="2"/>
  <c r="V105" i="2"/>
  <c r="V93" i="2"/>
  <c r="V104" i="2"/>
  <c r="V106" i="2"/>
  <c r="V101" i="2"/>
  <c r="V42" i="4"/>
  <c r="Z161" i="4"/>
  <c r="Z173" i="4"/>
  <c r="U84" i="3"/>
  <c r="Z193" i="4"/>
  <c r="V91" i="4"/>
  <c r="Z56" i="4"/>
  <c r="Z74" i="4"/>
  <c r="Z111" i="4"/>
  <c r="Z137" i="4"/>
  <c r="V130" i="4"/>
  <c r="V24" i="2"/>
  <c r="V151" i="3"/>
  <c r="V123" i="4"/>
  <c r="V139" i="3"/>
  <c r="U10" i="4"/>
  <c r="V13" i="4"/>
  <c r="V108" i="4"/>
  <c r="V92" i="4"/>
  <c r="U79" i="2"/>
  <c r="T2" i="9"/>
  <c r="A9" i="11" l="1" a="1"/>
  <c r="A9" i="12" a="1"/>
  <c r="A6" i="11" l="1"/>
  <c r="T10" i="11"/>
  <c r="T11" i="11"/>
  <c r="T12" i="11"/>
  <c r="T13" i="11"/>
  <c r="A9" i="11"/>
  <c r="T9" i="11" s="1"/>
  <c r="T2" i="11" s="1"/>
  <c r="A6" i="12"/>
  <c r="T10" i="12"/>
  <c r="T11" i="12"/>
  <c r="T12" i="12"/>
  <c r="A9" i="12"/>
  <c r="T9" i="12" s="1"/>
  <c r="T2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<sst xmlns="http://schemas.openxmlformats.org/spreadsheetml/2006/main" count="1728" uniqueCount="712">
  <si>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</si>
  <si>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</si>
  <si>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</si>
  <si>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</si>
  <si>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</si>
  <si>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</si>
  <si>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</si>
  <si>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</si>
  <si>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</si>
  <si>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</si>
  <si>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</si>
  <si>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</si>
  <si>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</si>
  <si>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</si>
  <si>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</si>
  <si>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</si>
  <si>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</si>
  <si>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</si>
  <si>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</si>
  <si>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</si>
  <si>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</si>
  <si>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</si>
  <si>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</si>
  <si>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</si>
  <si>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</si>
  <si>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</si>
  <si>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</si>
  <si>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</si>
  <si>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</si>
  <si>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</si>
  <si>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</si>
  <si>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</si>
  <si>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</si>
  <si>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</si>
  <si>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</si>
  <si>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</si>
  <si>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</si>
  <si>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</si>
  <si>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</si>
  <si>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</si>
  <si>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</si>
  <si>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</si>
  <si>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</si>
  <si>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</si>
  <si>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</si>
  <si>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</si>
  <si>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</si>
  <si>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</si>
  <si>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</si>
  <si>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</si>
  <si>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</si>
  <si>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</si>
  <si>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</si>
  <si>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</si>
  <si>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</si>
  <si>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</si>
  <si>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</si>
  <si>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</si>
  <si>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</si>
  <si>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</si>
  <si>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</si>
  <si>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</si>
  <si>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</si>
  <si>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</si>
  <si>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</si>
  <si>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</si>
  <si>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</si>
  <si>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</si>
  <si>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</si>
  <si>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</si>
  <si>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</si>
  <si>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</si>
  <si>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</si>
  <si>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</si>
  <si>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</si>
  <si>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</si>
  <si>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</si>
  <si>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</si>
  <si>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</si>
  <si>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</si>
  <si>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</si>
  <si>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</si>
  <si>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</si>
  <si>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</si>
  <si>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</si>
  <si>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</si>
  <si>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</si>
  <si>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</si>
  <si>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</si>
  <si>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</si>
  <si>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</si>
  <si>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</si>
  <si>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</si>
  <si>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</si>
  <si>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</si>
  <si>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</si>
  <si>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</si>
  <si>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</si>
  <si>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</si>
  <si>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</si>
  <si>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</si>
  <si>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</si>
  <si>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</si>
  <si>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</si>
  <si>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</si>
  <si>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Banks</t>
  </si>
  <si>
    <t>BAC</t>
  </si>
  <si>
    <t>BAP</t>
  </si>
  <si>
    <t>BBD</t>
  </si>
  <si>
    <t>BBDO</t>
  </si>
  <si>
    <t>BBVA</t>
  </si>
  <si>
    <t>BCH</t>
  </si>
  <si>
    <t>BCS</t>
  </si>
  <si>
    <t>BMO</t>
  </si>
  <si>
    <t>BNS</t>
  </si>
  <si>
    <t>BSAC</t>
  </si>
  <si>
    <t>BSBR</t>
  </si>
  <si>
    <t>C</t>
  </si>
  <si>
    <t>CM</t>
  </si>
  <si>
    <t>FCNCA</t>
  </si>
  <si>
    <t>FITB</t>
  </si>
  <si>
    <t>HDB</t>
  </si>
  <si>
    <t>HSBC</t>
  </si>
  <si>
    <t>IBN</t>
  </si>
  <si>
    <t>ING</t>
  </si>
  <si>
    <t>ITUB</t>
  </si>
  <si>
    <t>JPM</t>
  </si>
  <si>
    <t>KB</t>
  </si>
  <si>
    <t>KEY</t>
  </si>
  <si>
    <t>LYG</t>
  </si>
  <si>
    <t>MFG</t>
  </si>
  <si>
    <t>MUFG</t>
  </si>
  <si>
    <t>NTIOF</t>
  </si>
  <si>
    <t>NU</t>
  </si>
  <si>
    <t>NWG</t>
  </si>
  <si>
    <t>PNC</t>
  </si>
  <si>
    <t>RY</t>
  </si>
  <si>
    <t>SAN</t>
  </si>
  <si>
    <t>SCBFY</t>
  </si>
  <si>
    <t>SHG</t>
  </si>
  <si>
    <t>SMFG</t>
  </si>
  <si>
    <t>TD</t>
  </si>
  <si>
    <t>USB</t>
  </si>
  <si>
    <t>WFC</t>
  </si>
  <si>
    <t>CFG</t>
  </si>
  <si>
    <t>EWBC</t>
  </si>
  <si>
    <t>HBAN</t>
  </si>
  <si>
    <t>MTB</t>
  </si>
  <si>
    <t>RF</t>
  </si>
  <si>
    <t>TFC</t>
  </si>
  <si>
    <t>Financial Services</t>
  </si>
  <si>
    <t>APO</t>
  </si>
  <si>
    <t>CRBG</t>
  </si>
  <si>
    <t>EQH</t>
  </si>
  <si>
    <t>IX</t>
  </si>
  <si>
    <t>AFRM</t>
  </si>
  <si>
    <t>CPAY</t>
  </si>
  <si>
    <t>FI</t>
  </si>
  <si>
    <t>FIS</t>
  </si>
  <si>
    <t>GPN</t>
  </si>
  <si>
    <t>JKHY</t>
  </si>
  <si>
    <t>MA</t>
  </si>
  <si>
    <t>PYPL</t>
  </si>
  <si>
    <t>TOST</t>
  </si>
  <si>
    <t>V</t>
  </si>
  <si>
    <t>XYZ</t>
  </si>
  <si>
    <t>Consumer Finance</t>
  </si>
  <si>
    <t>AXP</t>
  </si>
  <si>
    <t>COF</t>
  </si>
  <si>
    <t>DFS</t>
  </si>
  <si>
    <t>KSPI</t>
  </si>
  <si>
    <t>SOFI</t>
  </si>
  <si>
    <t>SYF</t>
  </si>
  <si>
    <t>Capital Markets</t>
  </si>
  <si>
    <t>AMP</t>
  </si>
  <si>
    <t>ARCC</t>
  </si>
  <si>
    <t>ARES</t>
  </si>
  <si>
    <t>BAM</t>
  </si>
  <si>
    <t>BEN</t>
  </si>
  <si>
    <t>BK</t>
  </si>
  <si>
    <t>BLK</t>
  </si>
  <si>
    <t>BN</t>
  </si>
  <si>
    <t>BX</t>
  </si>
  <si>
    <t>CG</t>
  </si>
  <si>
    <t>KKR</t>
  </si>
  <si>
    <t>NTRS</t>
  </si>
  <si>
    <t>OWL</t>
  </si>
  <si>
    <t>SEIC</t>
  </si>
  <si>
    <t>STT</t>
  </si>
  <si>
    <t>TROW</t>
  </si>
  <si>
    <t>FUTU</t>
  </si>
  <si>
    <t>GS</t>
  </si>
  <si>
    <t>HLI</t>
  </si>
  <si>
    <t>HOOD</t>
  </si>
  <si>
    <t>IBKR</t>
  </si>
  <si>
    <t>JEF</t>
  </si>
  <si>
    <t>LPLA</t>
  </si>
  <si>
    <t>MS</t>
  </si>
  <si>
    <t>NMR</t>
  </si>
  <si>
    <t>RJF</t>
  </si>
  <si>
    <t>SCHW</t>
  </si>
  <si>
    <t>DB</t>
  </si>
  <si>
    <t>UBS</t>
  </si>
  <si>
    <t>CBOE</t>
  </si>
  <si>
    <t>CME</t>
  </si>
  <si>
    <t>COIN</t>
  </si>
  <si>
    <t>FDS</t>
  </si>
  <si>
    <t>ICE</t>
  </si>
  <si>
    <t>MCO</t>
  </si>
  <si>
    <t>MORN</t>
  </si>
  <si>
    <t>MSCI</t>
  </si>
  <si>
    <t>NDAQ</t>
  </si>
  <si>
    <t>SPGI</t>
  </si>
  <si>
    <t>TMXXF</t>
  </si>
  <si>
    <t>TW</t>
  </si>
  <si>
    <t>Insurance</t>
  </si>
  <si>
    <t>AJG</t>
  </si>
  <si>
    <t>AON</t>
  </si>
  <si>
    <t>BRO</t>
  </si>
  <si>
    <t>MMC</t>
  </si>
  <si>
    <t>WTW</t>
  </si>
  <si>
    <t>AEG</t>
  </si>
  <si>
    <t>AFL</t>
  </si>
  <si>
    <t>GL</t>
  </si>
  <si>
    <t>MET</t>
  </si>
  <si>
    <t>MFC</t>
  </si>
  <si>
    <t>PFG</t>
  </si>
  <si>
    <t>PRU</t>
  </si>
  <si>
    <t>PUK</t>
  </si>
  <si>
    <t>SLF</t>
  </si>
  <si>
    <t>UNM</t>
  </si>
  <si>
    <t>ACGL</t>
  </si>
  <si>
    <t>AFG</t>
  </si>
  <si>
    <t>AIG</t>
  </si>
  <si>
    <t>AIZ</t>
  </si>
  <si>
    <t>ALL</t>
  </si>
  <si>
    <t>CB</t>
  </si>
  <si>
    <t>CINF</t>
  </si>
  <si>
    <t>CNA</t>
  </si>
  <si>
    <t>ERIE</t>
  </si>
  <si>
    <t>FNF</t>
  </si>
  <si>
    <t>HIG</t>
  </si>
  <si>
    <t>KNSL</t>
  </si>
  <si>
    <t>L</t>
  </si>
  <si>
    <t>MKL</t>
  </si>
  <si>
    <t>PGR</t>
  </si>
  <si>
    <t>TRV</t>
  </si>
  <si>
    <t>WRB</t>
  </si>
  <si>
    <t>BNT</t>
  </si>
  <si>
    <t>RGA</t>
  </si>
  <si>
    <t>RNR</t>
  </si>
  <si>
    <t>Mortgage Real Estate Investment Trusts (REITs)</t>
  </si>
  <si>
    <t>NLY</t>
  </si>
  <si>
    <t>AVAL</t>
  </si>
  <si>
    <t>BBAR</t>
  </si>
  <si>
    <t>BMA</t>
  </si>
  <si>
    <t>CIB</t>
  </si>
  <si>
    <t>CMA</t>
  </si>
  <si>
    <t>GGAL</t>
  </si>
  <si>
    <t>IFS</t>
  </si>
  <si>
    <t>INTR</t>
  </si>
  <si>
    <t>WF</t>
  </si>
  <si>
    <t>ABCB</t>
  </si>
  <si>
    <t>ASB</t>
  </si>
  <si>
    <t>AX</t>
  </si>
  <si>
    <t>BANC</t>
  </si>
  <si>
    <t>BANF</t>
  </si>
  <si>
    <t>BANR</t>
  </si>
  <si>
    <t>BKU</t>
  </si>
  <si>
    <t>BOH</t>
  </si>
  <si>
    <t>BOKF</t>
  </si>
  <si>
    <t>BPOP</t>
  </si>
  <si>
    <t>CADE</t>
  </si>
  <si>
    <t>CATY</t>
  </si>
  <si>
    <t>CBSH</t>
  </si>
  <si>
    <t>CBU</t>
  </si>
  <si>
    <t>CFR</t>
  </si>
  <si>
    <t>COLB</t>
  </si>
  <si>
    <t>CVBF</t>
  </si>
  <si>
    <t>EBC</t>
  </si>
  <si>
    <t>FBK</t>
  </si>
  <si>
    <t>FBP</t>
  </si>
  <si>
    <t>FFBC</t>
  </si>
  <si>
    <t>FFIN</t>
  </si>
  <si>
    <t>FHB</t>
  </si>
  <si>
    <t>FHN</t>
  </si>
  <si>
    <t>FIBK</t>
  </si>
  <si>
    <t>FLG</t>
  </si>
  <si>
    <t>FNB</t>
  </si>
  <si>
    <t>FRME</t>
  </si>
  <si>
    <t>FULT</t>
  </si>
  <si>
    <t>GBCI</t>
  </si>
  <si>
    <t>HOMB</t>
  </si>
  <si>
    <t>HWC</t>
  </si>
  <si>
    <t>IBOC</t>
  </si>
  <si>
    <t>INDB</t>
  </si>
  <si>
    <t>NBTB</t>
  </si>
  <si>
    <t>ONB</t>
  </si>
  <si>
    <t>OZK</t>
  </si>
  <si>
    <t>PB</t>
  </si>
  <si>
    <t>PFS</t>
  </si>
  <si>
    <t>PNFP</t>
  </si>
  <si>
    <t>PPBI</t>
  </si>
  <si>
    <t>PRK</t>
  </si>
  <si>
    <t>RNST</t>
  </si>
  <si>
    <t>SBCF</t>
  </si>
  <si>
    <t>SFBS</t>
  </si>
  <si>
    <t>SFNC</t>
  </si>
  <si>
    <t>SNV</t>
  </si>
  <si>
    <t>SSB</t>
  </si>
  <si>
    <t>SYBT</t>
  </si>
  <si>
    <t>TBBK</t>
  </si>
  <si>
    <t>TCBI</t>
  </si>
  <si>
    <t>TFSL</t>
  </si>
  <si>
    <t>TOWN</t>
  </si>
  <si>
    <t>TRMK</t>
  </si>
  <si>
    <t>UBSI</t>
  </si>
  <si>
    <t>UCB</t>
  </si>
  <si>
    <t>UMBF</t>
  </si>
  <si>
    <t>VLY</t>
  </si>
  <si>
    <t>WAFD</t>
  </si>
  <si>
    <t>WAL</t>
  </si>
  <si>
    <t>WBS</t>
  </si>
  <si>
    <t>WSBC</t>
  </si>
  <si>
    <t>WSFS</t>
  </si>
  <si>
    <t>WTFC</t>
  </si>
  <si>
    <t>ZION</t>
  </si>
  <si>
    <t>JXN</t>
  </si>
  <si>
    <t>VOYA</t>
  </si>
  <si>
    <t>BUR</t>
  </si>
  <si>
    <t>HASI</t>
  </si>
  <si>
    <t>ACT</t>
  </si>
  <si>
    <t>COOP</t>
  </si>
  <si>
    <t>ESNT</t>
  </si>
  <si>
    <t>MTG</t>
  </si>
  <si>
    <t>NMIH</t>
  </si>
  <si>
    <t>PFSI</t>
  </si>
  <si>
    <t>RDN</t>
  </si>
  <si>
    <t>WD</t>
  </si>
  <si>
    <t>AVDX</t>
  </si>
  <si>
    <t>DLO</t>
  </si>
  <si>
    <t>EEFT</t>
  </si>
  <si>
    <t>EVTC</t>
  </si>
  <si>
    <t>FOUR</t>
  </si>
  <si>
    <t>NATL</t>
  </si>
  <si>
    <t>PAGS</t>
  </si>
  <si>
    <t>PAY</t>
  </si>
  <si>
    <t>PAYO</t>
  </si>
  <si>
    <t>RELY</t>
  </si>
  <si>
    <t>STNE</t>
  </si>
  <si>
    <t>WEX</t>
  </si>
  <si>
    <t>WU</t>
  </si>
  <si>
    <t>ALLY</t>
  </si>
  <si>
    <t>BFH</t>
  </si>
  <si>
    <t>CACC</t>
  </si>
  <si>
    <t>ENVA</t>
  </si>
  <si>
    <t>FCFS</t>
  </si>
  <si>
    <t>FINV</t>
  </si>
  <si>
    <t>LU</t>
  </si>
  <si>
    <t>NNI</t>
  </si>
  <si>
    <t>OMF</t>
  </si>
  <si>
    <t>QFIN</t>
  </si>
  <si>
    <t>SLM</t>
  </si>
  <si>
    <t>UPST</t>
  </si>
  <si>
    <t>AB</t>
  </si>
  <si>
    <t>AMG</t>
  </si>
  <si>
    <t>APAM</t>
  </si>
  <si>
    <t>BXSL</t>
  </si>
  <si>
    <t>CNS</t>
  </si>
  <si>
    <t>FHI</t>
  </si>
  <si>
    <t>FSK</t>
  </si>
  <si>
    <t>GBDC</t>
  </si>
  <si>
    <t>HLNE</t>
  </si>
  <si>
    <t>HTGC</t>
  </si>
  <si>
    <t>IVZ</t>
  </si>
  <si>
    <t>JHG</t>
  </si>
  <si>
    <t>MAIN</t>
  </si>
  <si>
    <t>OBDC</t>
  </si>
  <si>
    <t>ONEXF</t>
  </si>
  <si>
    <t>STEP</t>
  </si>
  <si>
    <t>TPG</t>
  </si>
  <si>
    <t>VCTR</t>
  </si>
  <si>
    <t>BGC</t>
  </si>
  <si>
    <t>EVR</t>
  </si>
  <si>
    <t>FRHC</t>
  </si>
  <si>
    <t>LAZ</t>
  </si>
  <si>
    <t>MC</t>
  </si>
  <si>
    <t>MRX</t>
  </si>
  <si>
    <t>PIPR</t>
  </si>
  <si>
    <t>PJT</t>
  </si>
  <si>
    <t>SF</t>
  </si>
  <si>
    <t>SNEX</t>
  </si>
  <si>
    <t>VIRT</t>
  </si>
  <si>
    <t>XP</t>
  </si>
  <si>
    <t>MKTX</t>
  </si>
  <si>
    <t>BWIN</t>
  </si>
  <si>
    <t>GSHD</t>
  </si>
  <si>
    <t>RYAN</t>
  </si>
  <si>
    <t>BHF</t>
  </si>
  <si>
    <t>CNO</t>
  </si>
  <si>
    <t>FG</t>
  </si>
  <si>
    <t>GNW</t>
  </si>
  <si>
    <t>LNC</t>
  </si>
  <si>
    <t>OSCR</t>
  </si>
  <si>
    <t>PRI</t>
  </si>
  <si>
    <t>AGO</t>
  </si>
  <si>
    <t>AXS</t>
  </si>
  <si>
    <t>FAF</t>
  </si>
  <si>
    <t>HCXLY</t>
  </si>
  <si>
    <t>KMPR</t>
  </si>
  <si>
    <t>LMND</t>
  </si>
  <si>
    <t>MCY</t>
  </si>
  <si>
    <t>ORI</t>
  </si>
  <si>
    <t>PLMR</t>
  </si>
  <si>
    <t>RLI</t>
  </si>
  <si>
    <t>ROOT</t>
  </si>
  <si>
    <t>SIGI</t>
  </si>
  <si>
    <t>SKWD</t>
  </si>
  <si>
    <t>THG</t>
  </si>
  <si>
    <t>WTM</t>
  </si>
  <si>
    <t>ESGR</t>
  </si>
  <si>
    <t>SPNT</t>
  </si>
  <si>
    <t>ABR</t>
  </si>
  <si>
    <t>AGNC</t>
  </si>
  <si>
    <t>BXMT</t>
  </si>
  <si>
    <t>RITM</t>
  </si>
  <si>
    <t>STWD</t>
  </si>
  <si>
    <t>NTB</t>
  </si>
  <si>
    <t>SUPV</t>
  </si>
  <si>
    <t>ACNB</t>
  </si>
  <si>
    <t>AMAL</t>
  </si>
  <si>
    <t>AMTB</t>
  </si>
  <si>
    <t>AROW</t>
  </si>
  <si>
    <t>BCAL</t>
  </si>
  <si>
    <t>BCML</t>
  </si>
  <si>
    <t>BFC</t>
  </si>
  <si>
    <t>BFST</t>
  </si>
  <si>
    <t>BHB</t>
  </si>
  <si>
    <t>BHLB</t>
  </si>
  <si>
    <t>BHRB</t>
  </si>
  <si>
    <t>BMRC</t>
  </si>
  <si>
    <t>BRBS</t>
  </si>
  <si>
    <t>BRKL</t>
  </si>
  <si>
    <t>BSRR</t>
  </si>
  <si>
    <t>BSVN</t>
  </si>
  <si>
    <t>BUSE</t>
  </si>
  <si>
    <t>BWB</t>
  </si>
  <si>
    <t>BWFG</t>
  </si>
  <si>
    <t>BY</t>
  </si>
  <si>
    <t>CAC</t>
  </si>
  <si>
    <t>CARE</t>
  </si>
  <si>
    <t>CASH</t>
  </si>
  <si>
    <t>CBAN</t>
  </si>
  <si>
    <t>CBNK</t>
  </si>
  <si>
    <t>CCB</t>
  </si>
  <si>
    <t>CCBG</t>
  </si>
  <si>
    <t>CCNE</t>
  </si>
  <si>
    <t>CFFN</t>
  </si>
  <si>
    <t>CHCO</t>
  </si>
  <si>
    <t>CIVB</t>
  </si>
  <si>
    <t>CLBK</t>
  </si>
  <si>
    <t>CNOB</t>
  </si>
  <si>
    <t>COFS</t>
  </si>
  <si>
    <t>CPF</t>
  </si>
  <si>
    <t>CTBI</t>
  </si>
  <si>
    <t>CUBI</t>
  </si>
  <si>
    <t>CWBC</t>
  </si>
  <si>
    <t>CZFS</t>
  </si>
  <si>
    <t>CZNC</t>
  </si>
  <si>
    <t>DCOM</t>
  </si>
  <si>
    <t>EBTC</t>
  </si>
  <si>
    <t>EFSC</t>
  </si>
  <si>
    <t>EGBN</t>
  </si>
  <si>
    <t>EQBK</t>
  </si>
  <si>
    <t>ESQ</t>
  </si>
  <si>
    <t>FBIZ</t>
  </si>
  <si>
    <t>FBNC</t>
  </si>
  <si>
    <t>FCBC</t>
  </si>
  <si>
    <t>FCF</t>
  </si>
  <si>
    <t>FFIC</t>
  </si>
  <si>
    <t>FFWM</t>
  </si>
  <si>
    <t>FISI</t>
  </si>
  <si>
    <t>FLIC</t>
  </si>
  <si>
    <t>FMAO</t>
  </si>
  <si>
    <t>FMBH</t>
  </si>
  <si>
    <t>FMNB</t>
  </si>
  <si>
    <t>FNLC</t>
  </si>
  <si>
    <t>FRBA</t>
  </si>
  <si>
    <t>FSBC</t>
  </si>
  <si>
    <t>FSBW</t>
  </si>
  <si>
    <t>FSUN</t>
  </si>
  <si>
    <t>GABC</t>
  </si>
  <si>
    <t>GCBC</t>
  </si>
  <si>
    <t>GNTY</t>
  </si>
  <si>
    <t>GSBC</t>
  </si>
  <si>
    <t>HAFC</t>
  </si>
  <si>
    <t>HBCP</t>
  </si>
  <si>
    <t>HBNC</t>
  </si>
  <si>
    <t>HBT</t>
  </si>
  <si>
    <t>HFWA</t>
  </si>
  <si>
    <t>HIFS</t>
  </si>
  <si>
    <t>HONE</t>
  </si>
  <si>
    <t>HOPE</t>
  </si>
  <si>
    <t>HTB</t>
  </si>
  <si>
    <t>HTBK</t>
  </si>
  <si>
    <t>HTH</t>
  </si>
  <si>
    <t>IBCP</t>
  </si>
  <si>
    <t>KRNY</t>
  </si>
  <si>
    <t>LKFN</t>
  </si>
  <si>
    <t>LNKB</t>
  </si>
  <si>
    <t>LOB</t>
  </si>
  <si>
    <t>MBWM</t>
  </si>
  <si>
    <t>MCB</t>
  </si>
  <si>
    <t>MCBS</t>
  </si>
  <si>
    <t>MOFG</t>
  </si>
  <si>
    <t>MPB</t>
  </si>
  <si>
    <t>MSBI</t>
  </si>
  <si>
    <t>NBBK</t>
  </si>
  <si>
    <t>NBHC</t>
  </si>
  <si>
    <t>NBN</t>
  </si>
  <si>
    <t>NECB</t>
  </si>
  <si>
    <t>NFBK</t>
  </si>
  <si>
    <t>NIC</t>
  </si>
  <si>
    <t>NPB</t>
  </si>
  <si>
    <t>NRIM</t>
  </si>
  <si>
    <t>NWBI</t>
  </si>
  <si>
    <t>OBK</t>
  </si>
  <si>
    <t>OBT</t>
  </si>
  <si>
    <t>OCFC</t>
  </si>
  <si>
    <t>OFG</t>
  </si>
  <si>
    <t>ORRF</t>
  </si>
  <si>
    <t>OSBC</t>
  </si>
  <si>
    <t>PBFS</t>
  </si>
  <si>
    <t>PCB</t>
  </si>
  <si>
    <t>PDLB</t>
  </si>
  <si>
    <t>PEBO</t>
  </si>
  <si>
    <t>PFBC</t>
  </si>
  <si>
    <t>PFIS</t>
  </si>
  <si>
    <t>PGC</t>
  </si>
  <si>
    <t>PLBC</t>
  </si>
  <si>
    <t>PNBK</t>
  </si>
  <si>
    <t>QCRH</t>
  </si>
  <si>
    <t>RBB</t>
  </si>
  <si>
    <t>RBCAA</t>
  </si>
  <si>
    <t>RRBI</t>
  </si>
  <si>
    <t>SBSI</t>
  </si>
  <si>
    <t>SFST</t>
  </si>
  <si>
    <t>SHBI</t>
  </si>
  <si>
    <t>SMBC</t>
  </si>
  <si>
    <t>SMBK</t>
  </si>
  <si>
    <t>SPFI</t>
  </si>
  <si>
    <t>SRCE</t>
  </si>
  <si>
    <t>SSBK</t>
  </si>
  <si>
    <t>STBA</t>
  </si>
  <si>
    <t>STEL</t>
  </si>
  <si>
    <t>TCBK</t>
  </si>
  <si>
    <t>TCBX</t>
  </si>
  <si>
    <t>TFIN</t>
  </si>
  <si>
    <t>THFF</t>
  </si>
  <si>
    <t>TMP</t>
  </si>
  <si>
    <t>TRST</t>
  </si>
  <si>
    <t>UNTY</t>
  </si>
  <si>
    <t>USCB</t>
  </si>
  <si>
    <t>UVSP</t>
  </si>
  <si>
    <t>VBNK</t>
  </si>
  <si>
    <t>VBTX</t>
  </si>
  <si>
    <t>WABC</t>
  </si>
  <si>
    <t>WASH</t>
  </si>
  <si>
    <t>WTBA</t>
  </si>
  <si>
    <t>ALRS</t>
  </si>
  <si>
    <t>NEWT</t>
  </si>
  <si>
    <t>CNNE</t>
  </si>
  <si>
    <t>CODI</t>
  </si>
  <si>
    <t>ACTG</t>
  </si>
  <si>
    <t>BLX</t>
  </si>
  <si>
    <t>AGM</t>
  </si>
  <si>
    <t>GHI</t>
  </si>
  <si>
    <t>GHLD</t>
  </si>
  <si>
    <t>MBIN</t>
  </si>
  <si>
    <t>ONIT</t>
  </si>
  <si>
    <t>RKT</t>
  </si>
  <si>
    <t>UWMC</t>
  </si>
  <si>
    <t>VEL</t>
  </si>
  <si>
    <t>CASS</t>
  </si>
  <si>
    <t>CTLP</t>
  </si>
  <si>
    <t>FLYW</t>
  </si>
  <si>
    <t>GB</t>
  </si>
  <si>
    <t>IMXI</t>
  </si>
  <si>
    <t>LSAK</t>
  </si>
  <si>
    <t>MQ</t>
  </si>
  <si>
    <t>PRTH</t>
  </si>
  <si>
    <t>PSFE</t>
  </si>
  <si>
    <t>RPAY</t>
  </si>
  <si>
    <t>SEZL</t>
  </si>
  <si>
    <t>ATLC</t>
  </si>
  <si>
    <t>DAVE</t>
  </si>
  <si>
    <t>ECPG</t>
  </si>
  <si>
    <t>EZPW</t>
  </si>
  <si>
    <t>GDOT</t>
  </si>
  <si>
    <t>JFIN</t>
  </si>
  <si>
    <t>LC</t>
  </si>
  <si>
    <t>LX</t>
  </si>
  <si>
    <t>NAVI</t>
  </si>
  <si>
    <t>NRDS</t>
  </si>
  <si>
    <t>OPFI</t>
  </si>
  <si>
    <t>PRAA</t>
  </si>
  <si>
    <t>PRG</t>
  </si>
  <si>
    <t>QD</t>
  </si>
  <si>
    <t>RM</t>
  </si>
  <si>
    <t>TREE</t>
  </si>
  <si>
    <t>WRLD</t>
  </si>
  <si>
    <t>XYF</t>
  </si>
  <si>
    <t>YRD</t>
  </si>
  <si>
    <t>AAMI</t>
  </si>
  <si>
    <t>AC</t>
  </si>
  <si>
    <t>ALTI</t>
  </si>
  <si>
    <t>BBDC</t>
  </si>
  <si>
    <t>BCSF</t>
  </si>
  <si>
    <t>BRDG</t>
  </si>
  <si>
    <t>CCAP</t>
  </si>
  <si>
    <t>CGBD</t>
  </si>
  <si>
    <t>CION</t>
  </si>
  <si>
    <t>CSWC</t>
  </si>
  <si>
    <t>CYFRF</t>
  </si>
  <si>
    <t>DBRG</t>
  </si>
  <si>
    <t>DHIL</t>
  </si>
  <si>
    <t>FDUS</t>
  </si>
  <si>
    <t>FRRPF</t>
  </si>
  <si>
    <t>GAIN</t>
  </si>
  <si>
    <t>GCMG</t>
  </si>
  <si>
    <t>GLAD</t>
  </si>
  <si>
    <t>GSBD</t>
  </si>
  <si>
    <t>HRZN</t>
  </si>
  <si>
    <t>MFIC</t>
  </si>
  <si>
    <t>MSIF</t>
  </si>
  <si>
    <t>NMFC</t>
  </si>
  <si>
    <t>NOAH</t>
  </si>
  <si>
    <t>OCSL</t>
  </si>
  <si>
    <t>PAX</t>
  </si>
  <si>
    <t>PFLT</t>
  </si>
  <si>
    <t>PNNT</t>
  </si>
  <si>
    <t>PSEC</t>
  </si>
  <si>
    <t>PX</t>
  </si>
  <si>
    <t>RWAY</t>
  </si>
  <si>
    <t>SAR</t>
  </si>
  <si>
    <t>SCM</t>
  </si>
  <si>
    <t>SII</t>
  </si>
  <si>
    <t>SLRC</t>
  </si>
  <si>
    <t>TCPC</t>
  </si>
  <si>
    <t>TRIN</t>
  </si>
  <si>
    <t>TSLX</t>
  </si>
  <si>
    <t>VINP</t>
  </si>
  <si>
    <t>VRTS</t>
  </si>
  <si>
    <t>WT</t>
  </si>
  <si>
    <t>OPY</t>
  </si>
  <si>
    <t>TIGR</t>
  </si>
  <si>
    <t>WTF</t>
  </si>
  <si>
    <t>CNCK</t>
  </si>
  <si>
    <t>DFIN</t>
  </si>
  <si>
    <t>VALU</t>
  </si>
  <si>
    <t>ABL</t>
  </si>
  <si>
    <t>HGTY</t>
  </si>
  <si>
    <t>HIPO</t>
  </si>
  <si>
    <t>SLQT</t>
  </si>
  <si>
    <t>TWFG</t>
  </si>
  <si>
    <t>WDH</t>
  </si>
  <si>
    <t>HMN</t>
  </si>
  <si>
    <t>ACIC</t>
  </si>
  <si>
    <t>AMBC</t>
  </si>
  <si>
    <t>AMSF</t>
  </si>
  <si>
    <t>BOW</t>
  </si>
  <si>
    <t>DGICA</t>
  </si>
  <si>
    <t>DGICB</t>
  </si>
  <si>
    <t>EIG</t>
  </si>
  <si>
    <t>FIHL</t>
  </si>
  <si>
    <t>GBLI</t>
  </si>
  <si>
    <t>HCI</t>
  </si>
  <si>
    <t>HG</t>
  </si>
  <si>
    <t>HRTG</t>
  </si>
  <si>
    <t>IGIC</t>
  </si>
  <si>
    <t>ITIC</t>
  </si>
  <si>
    <t>NODK</t>
  </si>
  <si>
    <t>PRA</t>
  </si>
  <si>
    <t>SAFT</t>
  </si>
  <si>
    <t>STC</t>
  </si>
  <si>
    <t>TIPT</t>
  </si>
  <si>
    <t>TRUP</t>
  </si>
  <si>
    <t>UFCS</t>
  </si>
  <si>
    <t>UVE</t>
  </si>
  <si>
    <t>GLRE</t>
  </si>
  <si>
    <t>ACRE</t>
  </si>
  <si>
    <t>ARI</t>
  </si>
  <si>
    <t>ARR</t>
  </si>
  <si>
    <t>BRSP</t>
  </si>
  <si>
    <t>CIM</t>
  </si>
  <si>
    <t>CMTG</t>
  </si>
  <si>
    <t>DX</t>
  </si>
  <si>
    <t>EFC</t>
  </si>
  <si>
    <t>FBRT</t>
  </si>
  <si>
    <t>IVR</t>
  </si>
  <si>
    <t>KREF</t>
  </si>
  <si>
    <t>LADR</t>
  </si>
  <si>
    <t>MFA</t>
  </si>
  <si>
    <t>NREF</t>
  </si>
  <si>
    <t>NYMT</t>
  </si>
  <si>
    <t>ORC</t>
  </si>
  <si>
    <t>PMT</t>
  </si>
  <si>
    <t>RC</t>
  </si>
  <si>
    <t>REFI</t>
  </si>
  <si>
    <t>RWT</t>
  </si>
  <si>
    <t>TRTX</t>
  </si>
  <si>
    <t>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</si>
</sst>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9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9.1999999999999993</v>
        <stp/>
        <stp>LAST</stp>
        <stp>VLY</stp>
        <tr r="D68" s="3"/>
      </tp>
      <tp>
        <v>16.7</v>
        <stp/>
        <stp>LAST</stp>
        <stp>VEL</stp>
        <tr r="D223" s="4"/>
      </tp>
      <tp>
        <v>71.680000000000007</v>
        <stp/>
        <stp>LAST</stp>
        <stp>WRB</stp>
        <tr r="D139" s="2"/>
      </tp>
      <tp>
        <v>304.20999999999998</v>
        <stp/>
        <stp>LAST</stp>
        <stp>WTW</stp>
        <tr r="D112" s="2"/>
      </tp>
      <tp>
        <v>7.19</v>
        <stp/>
        <stp>LAST</stp>
        <stp>WTF</stp>
        <tr r="D187" s="4"/>
      </tp>
      <tp>
        <v>1784.12</v>
        <stp/>
        <stp>LAST</stp>
        <stp>WTM</stp>
        <tr r="D168" s="3"/>
      </tp>
      <tp>
        <v>52.88</v>
        <stp/>
        <stp>LAST</stp>
        <stp>WBS</stp>
        <tr r="D71" s="3"/>
      </tp>
      <tp>
        <v>79.67</v>
        <stp/>
        <stp>LAST</stp>
        <stp>WAL</stp>
        <tr r="D70" s="3"/>
      </tp>
      <tp>
        <v>75.989999999999995</v>
        <stp/>
        <stp>LAST</stp>
        <stp>WFC</stp>
        <tr r="D39" s="2"/>
      </tp>
      <tp>
        <v>1.31</v>
        <stp/>
        <stp>LAST</stp>
        <stp>WDH</stp>
        <tr r="D240" s="4"/>
      </tp>
      <tp>
        <v>138.13</v>
        <stp/>
        <stp>LAST</stp>
        <stp>WEX</stp>
        <tr r="D142" s="3"/>
      </tp>
      <tp>
        <v>264.92</v>
        <stp/>
        <stp>LAST</stp>
        <stp>TRV</stp>
        <tr r="D138" s="2"/>
      </tp>
      <tp>
        <v>52.85</v>
        <stp/>
        <stp>LAST</stp>
        <stp>TPG</stp>
        <tr r="D92" s="3"/>
      </tp>
      <tp>
        <v>12.04</v>
        <stp/>
        <stp>LAST</stp>
        <stp>TWO</stp>
        <tr r="D286" s="4"/>
      </tp>
      <tp>
        <v>166.22</v>
        <stp/>
        <stp>LAST</stp>
        <stp>THG</stp>
        <tr r="D167" s="3"/>
      </tp>
      <tp>
        <v>65.06</v>
        <stp/>
        <stp>LAST</stp>
        <stp>TMP</stp>
        <tr r="D134" s="4"/>
      </tp>
      <tp>
        <v>41.35</v>
        <stp/>
        <stp>LAST</stp>
        <stp>TFC</stp>
        <tr r="D45" s="2"/>
      </tp>
      <tp>
        <v>44.37</v>
        <stp/>
        <stp>LAST</stp>
        <stp>USB</stp>
        <tr r="D38" s="2"/>
      </tp>
      <tp>
        <v>25.73</v>
        <stp/>
        <stp>LAST</stp>
        <stp>UVE</stp>
        <tr r="D263" s="4"/>
      </tp>
      <tp>
        <v>80.92</v>
        <stp/>
        <stp>LAST</stp>
        <stp>UNM</stp>
        <tr r="D122" s="2"/>
      </tp>
      <tp>
        <v>32.49</v>
        <stp/>
        <stp>LAST</stp>
        <stp>UBS</stp>
        <tr r="D74" s="2"/>
      </tp>
      <tp>
        <v>29.77</v>
        <stp/>
        <stp>LAST</stp>
        <stp>UCB</stp>
        <tr r="D66" s="3"/>
      </tp>
      <tp>
        <v>4.1399999999999997</v>
        <stp/>
        <stp>LAST</stp>
        <stp>FRRPF</stp>
        <tr r="D158" s="4"/>
      </tp>
      <tp>
        <v>5.94</v>
        <stp/>
        <stp>LAST</stp>
        <stp>RWT</stp>
        <tr r="D284" s="4"/>
      </tp>
      <tp>
        <v>153.04</v>
        <stp/>
        <stp>LAST</stp>
        <stp>RJF</stp>
        <tr r="D71" s="2"/>
      </tp>
      <tp>
        <v>12.61</v>
        <stp/>
        <stp>LAST</stp>
        <stp>RKT</stp>
        <tr r="D221" s="4"/>
      </tp>
      <tp>
        <v>243.44</v>
        <stp/>
        <stp>LAST</stp>
        <stp>RNR</stp>
        <tr r="D142" s="2"/>
      </tp>
      <tp>
        <v>74.36</v>
        <stp/>
        <stp>LAST</stp>
        <stp>RLI</stp>
        <tr r="D163" s="3"/>
      </tp>
      <tp>
        <v>16.95</v>
        <stp/>
        <stp>LAST</stp>
        <stp>RBB</stp>
        <tr r="D117" s="4"/>
      </tp>
      <tp>
        <v>206.41</v>
        <stp/>
        <stp>LAST</stp>
        <stp>RGA</stp>
        <tr r="D141" s="2"/>
      </tp>
      <tp>
        <v>34.020000000000003</v>
        <stp/>
        <stp>LAST</stp>
        <stp>RDN</stp>
        <tr r="D129" s="3"/>
      </tp>
      <tp>
        <v>61.36</v>
        <stp/>
        <stp>LAST</stp>
        <stp>SYF</stp>
        <tr r="D92" s="2"/>
      </tp>
      <tp>
        <v>91.64</v>
        <stp/>
        <stp>LAST</stp>
        <stp>SSB</stp>
        <tr r="D58" s="3"/>
      </tp>
      <tp>
        <v>97.78</v>
        <stp/>
        <stp>LAST</stp>
        <stp>STT</stp>
        <tr r="D60" s="2"/>
      </tp>
      <tp>
        <v>65.38</v>
        <stp/>
        <stp>LAST</stp>
        <stp>STC</stp>
        <tr r="D259" s="4"/>
      </tp>
      <tp>
        <v>36.72</v>
        <stp/>
        <stp>LAST</stp>
        <stp>SHG</stp>
        <tr r="D35" s="2"/>
      </tp>
      <tp>
        <v>54.74</v>
        <stp/>
        <stp>LAST</stp>
        <stp>SII</stp>
        <tr r="D177" s="4"/>
      </tp>
      <tp>
        <v>49.55</v>
        <stp/>
        <stp>LAST</stp>
        <stp>SNV</stp>
        <tr r="D57" s="3"/>
      </tp>
      <tp>
        <v>62.42</v>
        <stp/>
        <stp>LAST</stp>
        <stp>SLF</stp>
        <tr r="D121" s="2"/>
      </tp>
      <tp>
        <v>33.700000000000003</v>
        <stp/>
        <stp>LAST</stp>
        <stp>SLM</stp>
        <tr r="D117" s="3"/>
      </tp>
      <tp>
        <v>13.03</v>
        <stp/>
        <stp>LAST</stp>
        <stp>SCM</stp>
        <tr r="D176" s="4"/>
      </tp>
      <tp>
        <v>24.12</v>
        <stp/>
        <stp>LAST</stp>
        <stp>SAR</stp>
        <tr r="D175" s="4"/>
      </tp>
      <tp>
        <v>7.57</v>
        <stp/>
        <stp>LAST</stp>
        <stp>SAN</stp>
        <tr r="D33" s="2"/>
      </tp>
      <tp>
        <v>107.4</v>
        <stp/>
        <stp>LAST</stp>
        <stp>PRU</stp>
        <tr r="D119" s="2"/>
      </tp>
      <tp>
        <v>28.79</v>
        <stp/>
        <stp>LAST</stp>
        <stp>PRG</stp>
        <tr r="D203" s="4"/>
      </tp>
      <tp>
        <v>23</v>
        <stp/>
        <stp>LAST</stp>
        <stp>PRA</stp>
        <tr r="D257" s="4"/>
      </tp>
      <tp>
        <v>168.68</v>
        <stp/>
        <stp>LAST</stp>
        <stp>PRK</stp>
        <tr r="D52" s="3"/>
      </tp>
      <tp>
        <v>271.3</v>
        <stp/>
        <stp>LAST</stp>
        <stp>PRI</stp>
        <tr r="D153" s="3"/>
      </tp>
      <tp>
        <v>23.09</v>
        <stp/>
        <stp>LAST</stp>
        <stp>PUK</stp>
        <tr r="D120" s="2"/>
      </tp>
      <tp>
        <v>150.06</v>
        <stp/>
        <stp>LAST</stp>
        <stp>PJT</stp>
        <tr r="D101" s="3"/>
      </tp>
      <tp>
        <v>177.53</v>
        <stp/>
        <stp>LAST</stp>
        <stp>PNC</stp>
        <tr r="D31" s="2"/>
      </tp>
      <tp>
        <v>12.92</v>
        <stp/>
        <stp>LAST</stp>
        <stp>PMT</stp>
        <tr r="D281" s="4"/>
      </tp>
      <tp>
        <v>20.64</v>
        <stp/>
        <stp>LAST</stp>
        <stp>PCB</stp>
        <tr r="D108" s="4"/>
      </tp>
      <tp>
        <v>12.52</v>
        <stp/>
        <stp>LAST</stp>
        <stp>PAX</stp>
        <tr r="D169" s="4"/>
      </tp>
      <tp>
        <v>38.17</v>
        <stp/>
        <stp>LAST</stp>
        <stp>PAY</stp>
        <tr r="D138" s="3"/>
      </tp>
      <tp>
        <v>17.98</v>
        <stp/>
        <stp>LAST</stp>
        <stp>PFS</stp>
        <tr r="D49" s="3"/>
      </tp>
      <tp>
        <v>81.7</v>
        <stp/>
        <stp>LAST</stp>
        <stp>PFG</stp>
        <tr r="D118" s="2"/>
      </tp>
      <tp>
        <v>282.58999999999997</v>
        <stp/>
        <stp>LAST</stp>
        <stp>PGR</stp>
        <tr r="D137" s="2"/>
      </tp>
      <tp>
        <v>29.4</v>
        <stp/>
        <stp>LAST</stp>
        <stp>PGC</stp>
        <tr r="D113" s="4"/>
      </tp>
      <tp>
        <v>38.880000000000003</v>
        <stp/>
        <stp>LAST</stp>
        <stp>TMXXF</stp>
        <tr r="D85" s="2"/>
      </tp>
      <tp>
        <v>30.315000000000001</v>
        <stp/>
        <stp>LAST</stp>
        <stp>HCXLY</stp>
        <tr r="D157" s="3"/>
      </tp>
      <tp>
        <v>58.17</v>
        <stp/>
        <stp>LAST</stp>
        <stp>XYZ</stp>
        <tr r="D107" s="2"/>
      </tp>
      <tp>
        <v>14.92</v>
        <stp/>
        <stp>LAST</stp>
        <stp>XYF</stp>
        <tr r="D208" s="4"/>
      </tp>
      <tp>
        <v>6.51</v>
        <stp/>
        <stp>LAST</stp>
        <stp>YRD</stp>
        <tr r="D209" s="4"/>
      </tp>
      <tp>
        <v>3</v>
        <stp/>
        <stp>LAST</stp>
        <stp>CYFRF</stp>
        <tr r="D154" s="4"/>
      </tp>
      <tp>
        <v>20.79</v>
        <stp/>
        <stp>LAST</stp>
        <stp>FSK</stp>
        <tr r="D82" s="3"/>
      </tp>
      <tp>
        <v>24.54</v>
        <stp/>
        <stp>LAST</stp>
        <stp>FHB</stp>
        <tr r="D33" s="3"/>
      </tp>
      <tp>
        <v>20.2</v>
        <stp/>
        <stp>LAST</stp>
        <stp>FHN</stp>
        <tr r="D34" s="3"/>
      </tp>
      <tp>
        <v>42.82</v>
        <stp/>
        <stp>LAST</stp>
        <stp>FHI</stp>
        <tr r="D81" s="3"/>
      </tp>
      <tp>
        <v>77.680000000000007</v>
        <stp/>
        <stp>LAST</stp>
        <stp>FIS</stp>
        <tr r="D100" s="2"/>
      </tp>
      <tp>
        <v>57.32</v>
        <stp/>
        <stp>LAST</stp>
        <stp>FNF</stp>
        <tr r="D132" s="2"/>
      </tp>
      <tp>
        <v>14.49</v>
        <stp/>
        <stp>LAST</stp>
        <stp>FNB</stp>
        <tr r="D37" s="3"/>
      </tp>
      <tp>
        <v>12.44</v>
        <stp/>
        <stp>LAST</stp>
        <stp>FLG</stp>
        <tr r="D36" s="3"/>
      </tp>
      <tp>
        <v>20.93</v>
        <stp/>
        <stp>LAST</stp>
        <stp>FBP</stp>
        <tr r="D30" s="3"/>
      </tp>
      <tp>
        <v>46.41</v>
        <stp/>
        <stp>LAST</stp>
        <stp>FBK</stp>
        <tr r="D29" s="3"/>
      </tp>
      <tp>
        <v>16.059999999999999</v>
        <stp/>
        <stp>LAST</stp>
        <stp>FCF</stp>
        <tr r="D53" s="4"/>
      </tp>
      <tp>
        <v>60.05</v>
        <stp/>
        <stp>LAST</stp>
        <stp>FAF</stp>
        <tr r="D156" s="3"/>
      </tp>
      <tp>
        <v>451.43</v>
        <stp/>
        <stp>LAST</stp>
        <stp>FDS</stp>
        <tr r="D78" s="2"/>
      </tp>
      <tp>
        <v>82.76</v>
        <stp/>
        <stp>LAST</stp>
        <stp>GPN</stp>
        <tr r="D101" s="2"/>
      </tp>
      <tp>
        <v>11.51</v>
        <stp/>
        <stp>LAST</stp>
        <stp>GHI</stp>
        <tr r="D217" s="4"/>
      </tp>
      <tp>
        <v>7.06</v>
        <stp/>
        <stp>LAST</stp>
        <stp>GNW</stp>
        <tr r="D150" s="3"/>
      </tp>
      <tp>
        <v>9.85</v>
        <stp/>
        <stp>LAST</stp>
        <stp>DLO</stp>
        <tr r="D132" s="3"/>
      </tp>
      <tp>
        <v>204.07</v>
        <stp/>
        <stp>LAST</stp>
        <stp>DFS</stp>
        <tr r="D89" s="2"/>
      </tp>
      <tp>
        <v>77.36</v>
        <stp/>
        <stp>LAST</stp>
        <stp>ONEXF</stp>
        <tr r="D90" s="3"/>
      </tp>
      <tp>
        <v>90.17</v>
        <stp/>
        <stp>LAST</stp>
        <stp>ESQ</stp>
        <tr r="D49" s="4"/>
      </tp>
      <tp>
        <v>54.26</v>
        <stp/>
        <stp>LAST</stp>
        <stp>EQH</stp>
        <tr r="D95" s="2"/>
      </tp>
      <tp>
        <v>236.15</v>
        <stp/>
        <stp>LAST</stp>
        <stp>EVR</stp>
        <tr r="D95" s="3"/>
      </tp>
      <tp>
        <v>49.5</v>
        <stp/>
        <stp>LAST</stp>
        <stp>EIG</stp>
        <tr r="D248" s="4"/>
      </tp>
      <tp>
        <v>15.7</v>
        <stp/>
        <stp>LAST</stp>
        <stp>EBC</stp>
        <tr r="D28" s="3"/>
      </tp>
      <tp>
        <v>13.07</v>
        <stp/>
        <stp>LAST</stp>
        <stp>EFC</stp>
        <tr r="D272" s="4"/>
      </tp>
      <tp>
        <v>31.14</v>
        <stp/>
        <stp>LAST</stp>
        <stp>SCBFY</stp>
        <tr r="D34" s="2"/>
      </tp>
      <tp>
        <v>109.02</v>
        <stp/>
        <stp>LAST</stp>
        <stp>BRO</stp>
        <tr r="D110" s="2"/>
      </tp>
      <tp>
        <v>15.85</v>
        <stp/>
        <stp>LAST</stp>
        <stp>BWB</stp>
        <tr r="D21" s="4"/>
      </tp>
      <tp>
        <v>14.35</v>
        <stp/>
        <stp>LAST</stp>
        <stp>BUR</stp>
        <tr r="D121" s="3"/>
      </tp>
      <tp>
        <v>35.799999999999997</v>
        <stp/>
        <stp>LAST</stp>
        <stp>BKU</stp>
        <tr r="D17" s="3"/>
      </tp>
      <tp>
        <v>59.78</v>
        <stp/>
        <stp>LAST</stp>
        <stp>BHF</stp>
        <tr r="D147" s="3"/>
      </tp>
      <tp>
        <v>31.04</v>
        <stp/>
        <stp>LAST</stp>
        <stp>BHB</stp>
        <tr r="D12" s="4"/>
      </tp>
      <tp>
        <v>59.46</v>
        <stp/>
        <stp>LAST</stp>
        <stp>BNT</stp>
        <tr r="D140" s="2"/>
      </tp>
      <tp>
        <v>50.67</v>
        <stp/>
        <stp>LAST</stp>
        <stp>BNS</stp>
        <tr r="D10" s="2"/>
      </tp>
      <tp>
        <v>38.479999999999997</v>
        <stp/>
        <stp>LAST</stp>
        <stp>BOW</stp>
        <tr r="D245" s="4"/>
      </tp>
      <tp>
        <v>70.44</v>
        <stp/>
        <stp>LAST</stp>
        <stp>BOH</stp>
        <tr r="D18" s="3"/>
      </tp>
      <tp>
        <v>40.909999999999997</v>
        <stp/>
        <stp>LAST</stp>
        <stp>BLX</stp>
        <tr r="D215" s="4"/>
      </tp>
      <tp>
        <v>959.18</v>
        <stp/>
        <stp>LAST</stp>
        <stp>BLK</stp>
        <tr r="D52" s="2"/>
      </tp>
      <tp>
        <v>93</v>
        <stp/>
        <stp>LAST</stp>
        <stp>BMA</stp>
        <tr r="D4" s="3"/>
      </tp>
      <tp>
        <v>101.87</v>
        <stp/>
        <stp>LAST</stp>
        <stp>BMO</stp>
        <tr r="D9" s="2"/>
      </tp>
      <tp>
        <v>2.75</v>
        <stp/>
        <stp>LAST</stp>
        <stp>BBD</stp>
        <tr r="D4" s="2"/>
      </tp>
      <tp>
        <v>17</v>
        <stp/>
        <stp>LAST</stp>
        <stp>BCS</stp>
        <tr r="D8" s="2"/>
      </tp>
      <tp>
        <v>30.75</v>
        <stp/>
        <stp>LAST</stp>
        <stp>BCH</stp>
        <tr r="D7" s="2"/>
      </tp>
      <tp>
        <v>206.47</v>
        <stp/>
        <stp>LAST</stp>
        <stp>BAP</stp>
        <tr r="D3" s="2"/>
      </tp>
      <tp>
        <v>44.28</v>
        <stp/>
        <stp>LAST</stp>
        <stp>BAC</stp>
        <tr r="D2" s="2"/>
      </tp>
      <tp>
        <v>58.32</v>
        <stp/>
        <stp>LAST</stp>
        <stp>BAM</stp>
        <tr r="D49" s="2"/>
      </tp>
      <tp>
        <v>116.01</v>
        <stp/>
        <stp>LAST</stp>
        <stp>BFC</stp>
        <tr r="D10" s="4"/>
      </tp>
      <tp>
        <v>55.13</v>
        <stp/>
        <stp>LAST</stp>
        <stp>BFH</stp>
        <tr r="D108" s="3"/>
      </tp>
      <tp>
        <v>9.34</v>
        <stp/>
        <stp>LAST</stp>
        <stp>BGC</stp>
        <tr r="D94" s="3"/>
      </tp>
      <tp>
        <v>21.58</v>
        <stp/>
        <stp>LAST</stp>
        <stp>BEN</stp>
        <tr r="D50" s="2"/>
      </tp>
      <tp>
        <v>73.19</v>
        <stp/>
        <stp>LAST</stp>
        <stp>RBCAA</stp>
        <tr r="D118" s="4"/>
      </tp>
      <tp>
        <v>27.67</v>
        <stp/>
        <stp>LAST</stp>
        <stp>CPF</stp>
        <tr r="D38" s="4"/>
      </tp>
      <tp>
        <v>41.77</v>
        <stp/>
        <stp>LAST</stp>
        <stp>CIB</stp>
        <tr r="D5" s="3"/>
      </tp>
      <tp>
        <v>13.03</v>
        <stp/>
        <stp>LAST</stp>
        <stp>CIM</stp>
        <tr r="D269" s="4"/>
      </tp>
      <tp>
        <v>81.95</v>
        <stp/>
        <stp>LAST</stp>
        <stp>CNS</stp>
        <tr r="D80" s="3"/>
      </tp>
      <tp>
        <v>48.5</v>
        <stp/>
        <stp>LAST</stp>
        <stp>CNA</stp>
        <tr r="D130" s="2"/>
      </tp>
      <tp>
        <v>38.659999999999997</v>
        <stp/>
        <stp>LAST</stp>
        <stp>CNO</stp>
        <tr r="D148" s="3"/>
      </tp>
      <tp>
        <v>201.04</v>
        <stp/>
        <stp>LAST</stp>
        <stp>COF</stp>
        <tr r="D88" s="2"/>
      </tp>
      <tp>
        <v>268.33999999999997</v>
        <stp/>
        <stp>LAST</stp>
        <stp>CME</stp>
        <tr r="D76" s="2"/>
      </tp>
      <tp>
        <v>58.57</v>
        <stp/>
        <stp>LAST</stp>
        <stp>CMA</stp>
        <tr r="D6" s="3"/>
      </tp>
      <tp>
        <v>57.78</v>
        <stp/>
        <stp>LAST</stp>
        <stp>CBU</stp>
        <tr r="D24" s="3"/>
      </tp>
      <tp>
        <v>86.6</v>
        <stp/>
        <stp>LAST</stp>
        <stp>CCB</stp>
        <tr r="D29" s="4"/>
      </tp>
      <tp>
        <v>41.31</v>
        <stp/>
        <stp>LAST</stp>
        <stp>CAC</stp>
        <tr r="D24" s="4"/>
      </tp>
      <tp>
        <v>130.49</v>
        <stp/>
        <stp>LAST</stp>
        <stp>CFR</stp>
        <tr r="D25" s="3"/>
      </tp>
      <tp>
        <v>41.87</v>
        <stp/>
        <stp>LAST</stp>
        <stp>CFG</stp>
        <tr r="D40" s="2"/>
      </tp>
      <tp>
        <v>99.94</v>
        <stp/>
        <stp>LAST</stp>
        <stp>AXS</stp>
        <tr r="D155" s="3"/>
      </tp>
      <tp>
        <v>302.3</v>
        <stp/>
        <stp>LAST</stp>
        <stp>AXP</stp>
        <tr r="D87" s="2"/>
      </tp>
      <tp>
        <v>17.02</v>
        <stp/>
        <stp>LAST</stp>
        <stp>ARR</stp>
        <tr r="D267" s="4"/>
      </tp>
      <tp>
        <v>9.91</v>
        <stp/>
        <stp>LAST</stp>
        <stp>ARI</stp>
        <tr r="D266" s="4"/>
      </tp>
      <tp>
        <v>24.56</v>
        <stp/>
        <stp>LAST</stp>
        <stp>ASB</stp>
        <tr r="D12" s="3"/>
      </tp>
      <tp>
        <v>145.07</v>
        <stp/>
        <stp>LAST</stp>
        <stp>APO</stp>
        <tr r="D93" s="2"/>
      </tp>
      <tp>
        <v>332.7</v>
        <stp/>
        <stp>LAST</stp>
        <stp>AJG</stp>
        <tr r="D108" s="2"/>
      </tp>
      <tp>
        <v>202.45</v>
        <stp/>
        <stp>LAST</stp>
        <stp>AIZ</stp>
        <tr r="D126" s="2"/>
      </tp>
      <tp>
        <v>83.64</v>
        <stp/>
        <stp>LAST</stp>
        <stp>AIG</stp>
        <tr r="D125" s="2"/>
      </tp>
      <tp>
        <v>355.07</v>
        <stp/>
        <stp>LAST</stp>
        <stp>AON</stp>
        <tr r="D109" s="2"/>
      </tp>
      <tp>
        <v>202.56</v>
        <stp/>
        <stp>LAST</stp>
        <stp>ALL</stp>
        <tr r="D127" s="2"/>
      </tp>
      <tp>
        <v>519.69000000000005</v>
        <stp/>
        <stp>LAST</stp>
        <stp>AMP</stp>
        <tr r="D46" s="2"/>
      </tp>
      <tp>
        <v>182.46</v>
        <stp/>
        <stp>LAST</stp>
        <stp>AMG</stp>
        <tr r="D77" s="3"/>
      </tp>
      <tp>
        <v>11.09</v>
        <stp/>
        <stp>LAST</stp>
        <stp>ABR</stp>
        <tr r="D171" s="3"/>
      </tp>
      <tp>
        <v>8.83</v>
        <stp/>
        <stp>LAST</stp>
        <stp>ABL</stp>
        <tr r="D235" s="4"/>
      </tp>
      <tp>
        <v>36.119999999999997</v>
        <stp/>
        <stp>LAST</stp>
        <stp>ACT</stp>
        <tr r="D123" s="3"/>
      </tp>
      <tp>
        <v>124.25</v>
        <stp/>
        <stp>LAST</stp>
        <stp>AFG</stp>
        <tr r="D124" s="2"/>
      </tp>
      <tp>
        <v>105.03</v>
        <stp/>
        <stp>LAST</stp>
        <stp>AFL</stp>
        <tr r="D114" s="2"/>
      </tp>
      <tp>
        <v>87.69</v>
        <stp/>
        <stp>LAST</stp>
        <stp>AGO</stp>
        <tr r="D154" s="3"/>
      </tp>
      <tp>
        <v>193.88</v>
        <stp/>
        <stp>LAST</stp>
        <stp>AGM</stp>
        <tr r="D216" s="4"/>
      </tp>
      <tp>
        <v>6.73</v>
        <stp/>
        <stp>LAST</stp>
        <stp>AEG</stp>
        <tr r="D113" s="2"/>
      </tp>
      <tp>
        <v>1955.12</v>
        <stp/>
        <stp>LAST</stp>
        <stp>FCNCA</stp>
        <tr r="D15" s="2"/>
      </tp>
      <tp>
        <v>14.16</v>
        <stp/>
        <stp>LAST</stp>
        <stp>NPB</stp>
        <tr r="D98" s="4"/>
      </tp>
      <tp>
        <v>13.12</v>
        <stp/>
        <stp>LAST</stp>
        <stp>NWG</stp>
        <tr r="D30" s="2"/>
      </tp>
      <tp>
        <v>42.82</v>
        <stp/>
        <stp>LAST</stp>
        <stp>NTB</stp>
        <tr r="D2" s="4"/>
      </tp>
      <tp>
        <v>122.84</v>
        <stp/>
        <stp>LAST</stp>
        <stp>NIC</stp>
        <tr r="D97" s="4"/>
      </tp>
      <tp>
        <v>116.28</v>
        <stp/>
        <stp>LAST</stp>
        <stp>NNI</stp>
        <tr r="D114" s="3"/>
      </tp>
      <tp>
        <v>19.559999999999999</v>
        <stp/>
        <stp>LAST</stp>
        <stp>NLY</stp>
        <tr r="D143" s="2"/>
      </tp>
      <tp>
        <v>5.92</v>
        <stp/>
        <stp>LAST</stp>
        <stp>NMR</stp>
        <tr r="D70" s="2"/>
      </tp>
      <tp>
        <v>87.08</v>
        <stp/>
        <stp>LAST</stp>
        <stp>NBN</stp>
        <tr r="D94" s="4"/>
      </tp>
      <tp>
        <v>46.87</v>
        <stp/>
        <stp>LAST</stp>
        <stp>OZK</stp>
        <tr r="D47" s="3"/>
      </tp>
      <tp>
        <v>7.25</v>
        <stp/>
        <stp>LAST</stp>
        <stp>ORC</stp>
        <tr r="D280" s="4"/>
      </tp>
      <tp>
        <v>37.700000000000003</v>
        <stp/>
        <stp>LAST</stp>
        <stp>ORI</stp>
        <tr r="D161" s="3"/>
      </tp>
      <tp>
        <v>63.09</v>
        <stp/>
        <stp>LAST</stp>
        <stp>OPY</stp>
        <tr r="D185" s="4"/>
      </tp>
      <tp>
        <v>19.97</v>
        <stp/>
        <stp>LAST</stp>
        <stp>OWL</stp>
        <tr r="D58" s="2"/>
      </tp>
      <tp>
        <v>22.45</v>
        <stp/>
        <stp>LAST</stp>
        <stp>ONB</stp>
        <tr r="D46" s="3"/>
      </tp>
      <tp>
        <v>52.38</v>
        <stp/>
        <stp>LAST</stp>
        <stp>OMF</stp>
        <tr r="D115" s="3"/>
      </tp>
      <tp>
        <v>26.87</v>
        <stp/>
        <stp>LAST</stp>
        <stp>OBT</stp>
        <tr r="D102" s="4"/>
      </tp>
      <tp>
        <v>34.31</v>
        <stp/>
        <stp>LAST</stp>
        <stp>OBK</stp>
        <tr r="D101" s="4"/>
      </tp>
      <tp>
        <v>42.6</v>
        <stp/>
        <stp>LAST</stp>
        <stp>OFG</stp>
        <tr r="D104" s="4"/>
      </tp>
      <tp>
        <v>3.91</v>
        <stp/>
        <stp>LAST</stp>
        <stp>LYG</stp>
        <tr r="D25" s="2"/>
      </tp>
      <tp>
        <v>35.49</v>
        <stp/>
        <stp>LAST</stp>
        <stp>LNC</stp>
        <tr r="D151" s="3"/>
      </tp>
      <tp>
        <v>28.99</v>
        <stp/>
        <stp>LAST</stp>
        <stp>LOB</stp>
        <tr r="D85" s="4"/>
      </tp>
      <tp>
        <v>46.38</v>
        <stp/>
        <stp>LAST</stp>
        <stp>LAZ</stp>
        <tr r="D97" s="3"/>
      </tp>
      <tp>
        <v>48.33</v>
        <stp/>
        <stp>LAST</stp>
        <stp>MRX</stp>
        <tr r="D99" s="3"/>
      </tp>
      <tp>
        <v>28.71</v>
        <stp/>
        <stp>LAST</stp>
        <stp>MPB</stp>
        <tr r="D90" s="4"/>
      </tp>
      <tp>
        <v>26.59</v>
        <stp/>
        <stp>LAST</stp>
        <stp>MTG</stp>
        <tr r="D126" s="3"/>
      </tp>
      <tp>
        <v>186.5</v>
        <stp/>
        <stp>LAST</stp>
        <stp>MTB</stp>
        <tr r="D43" s="2"/>
      </tp>
      <tp>
        <v>1913.55</v>
        <stp/>
        <stp>LAST</stp>
        <stp>MKL</stp>
        <tr r="D136" s="2"/>
      </tp>
      <tp>
        <v>223.77</v>
        <stp/>
        <stp>LAST</stp>
        <stp>MMC</stp>
        <tr r="D111" s="2"/>
      </tp>
      <tp>
        <v>62</v>
        <stp/>
        <stp>LAST</stp>
        <stp>MCY</stp>
        <tr r="D160" s="3"/>
      </tp>
      <tp>
        <v>68.06</v>
        <stp/>
        <stp>LAST</stp>
        <stp>MCB</stp>
        <tr r="D87" s="4"/>
      </tp>
      <tp>
        <v>484.7</v>
        <stp/>
        <stp>LAST</stp>
        <stp>MCO</stp>
        <tr r="D80" s="2"/>
      </tp>
      <tp>
        <v>5.17</v>
        <stp/>
        <stp>LAST</stp>
        <stp>MFG</stp>
        <tr r="D26" s="2"/>
      </tp>
      <tp>
        <v>31.75</v>
        <stp/>
        <stp>LAST</stp>
        <stp>MFC</stp>
        <tr r="D117" s="2"/>
      </tp>
      <tp>
        <v>9.6</v>
        <stp/>
        <stp>LAST</stp>
        <stp>MFA</stp>
        <tr r="D277" s="4"/>
      </tp>
      <tp>
        <v>81.16</v>
        <stp/>
        <stp>LAST</stp>
        <stp>MET</stp>
        <tr r="D116" s="2"/>
      </tp>
      <tp>
        <v>89.23</v>
        <stp/>
        <stp>LAST</stp>
        <stp>JXN</stp>
        <tr r="D119" s="3"/>
      </tp>
      <tp>
        <v>263.01</v>
        <stp/>
        <stp>LAST</stp>
        <stp>JPM</stp>
        <tr r="D22" s="2"/>
      </tp>
      <tp>
        <v>38.24</v>
        <stp/>
        <stp>LAST</stp>
        <stp>JHG</stp>
        <tr r="D87" s="3"/>
      </tp>
      <tp>
        <v>54.37</v>
        <stp/>
        <stp>LAST</stp>
        <stp>JEF</stp>
        <tr r="D67" s="2"/>
      </tp>
      <tp>
        <v>126.9</v>
        <stp/>
        <stp>LAST</stp>
        <stp>KKR</stp>
        <tr r="D56" s="2"/>
      </tp>
      <tp>
        <v>16.62</v>
        <stp/>
        <stp>LAST</stp>
        <stp>KEY</stp>
        <tr r="D24" s="2"/>
      </tp>
      <tp>
        <v>58.03</v>
        <stp/>
        <stp>LAST</stp>
        <stp>HWC</stp>
        <tr r="D42" s="3"/>
      </tp>
      <tp>
        <v>36.81</v>
        <stp/>
        <stp>LAST</stp>
        <stp>HTB</stp>
        <tr r="D78" s="4"/>
      </tp>
      <tp>
        <v>30.86</v>
        <stp/>
        <stp>LAST</stp>
        <stp>HTH</stp>
        <tr r="D80" s="4"/>
      </tp>
      <tp>
        <v>127.93</v>
        <stp/>
        <stp>LAST</stp>
        <stp>HIG</stp>
        <tr r="D133" s="2"/>
      </tp>
      <tp>
        <v>178.49</v>
        <stp/>
        <stp>LAST</stp>
        <stp>HLI</stp>
        <tr r="D64" s="2"/>
      </tp>
      <tp>
        <v>41.6</v>
        <stp/>
        <stp>LAST</stp>
        <stp>HMN</stp>
        <tr r="D241" s="4"/>
      </tp>
      <tp>
        <v>24.1</v>
        <stp/>
        <stp>LAST</stp>
        <stp>HBT</stp>
        <tr r="D73" s="4"/>
      </tp>
      <tp>
        <v>161.97</v>
        <stp/>
        <stp>LAST</stp>
        <stp>HCI</stp>
        <tr r="D251" s="4"/>
      </tp>
      <tp>
        <v>72.39</v>
        <stp/>
        <stp>LAST</stp>
        <stp>HDB</stp>
        <tr r="D17" s="2"/>
      </tp>
      <tp>
        <v>17.75</v>
        <stp/>
        <stp>LAST</stp>
        <stp>DGICB</stp>
        <tr r="D247" s="4"/>
      </tp>
      <tp>
        <v>19.78</v>
        <stp/>
        <stp>LAST</stp>
        <stp>DGICA</stp>
        <tr r="D246" s="4"/>
      </tp>
      <tp>
        <v>90.49</v>
        <stp/>
        <stp>LAST</stp>
        <stp>NTIOF</stp>
        <tr r="D28" s="2"/>
      </tp>
      <tp>
        <v>7.63</v>
        <stp/>
        <stp>LAST</stp>
        <stp>IVR</stp>
        <tr r="D274" s="4"/>
      </tp>
      <tp>
        <v>15.65</v>
        <stp/>
        <stp>LAST</stp>
        <stp>IVZ</stp>
        <tr r="D86" s="3"/>
      </tp>
      <tp>
        <v>20.79</v>
        <stp/>
        <stp>LAST</stp>
        <stp>ING</stp>
        <tr r="D20" s="2"/>
      </tp>
      <tp>
        <v>33.520000000000003</v>
        <stp/>
        <stp>LAST</stp>
        <stp>IBN</stp>
        <tr r="D19" s="2"/>
      </tp>
      <tp>
        <v>172.84</v>
        <stp/>
        <stp>LAST</stp>
        <stp>ICE</stp>
        <tr r="D79" s="2"/>
      </tp>
      <tp>
        <v>34.9</v>
        <stp/>
        <stp>LAST</stp>
        <stp>IFS</stp>
        <tr r="D8" s="3"/>
      </tp>
      <tp>
        <v>14.17</v>
        <stp/>
        <stp>LAST</stp>
        <stp>EZPW</stp>
        <tr r="D194" s="4"/>
      </tp>
      <tp>
        <v>59.49</v>
        <stp/>
        <stp>LAST</stp>
        <stp>CZFS</stp>
        <tr r="D42" s="4"/>
      </tp>
      <tp>
        <v>19.47</v>
        <stp/>
        <stp>LAST</stp>
        <stp>CZNC</stp>
        <tr r="D43" s="4"/>
      </tp>
      <tp>
        <v>31.12</v>
        <stp/>
        <stp>LAST</stp>
        <stp>BXSL</stp>
        <tr r="D79" s="3"/>
      </tp>
      <tp>
        <v>19.75</v>
        <stp/>
        <stp>LAST</stp>
        <stp>BXMT</stp>
        <tr r="D173" s="3"/>
      </tp>
      <tp>
        <v>72.290000000000006</v>
        <stp/>
        <stp>LAST</stp>
        <stp>PYPL</stp>
        <tr r="D104" s="2"/>
      </tp>
      <tp>
        <v>77.11</v>
        <stp/>
        <stp>LAST</stp>
        <stp>SYBT</stp>
        <tr r="D59" s="3"/>
      </tp>
      <tp>
        <v>68.16</v>
        <stp/>
        <stp>LAST</stp>
        <stp>RYAN</stp>
        <tr r="D146" s="3"/>
      </tp>
      <tp>
        <v>6.84</v>
        <stp/>
        <stp>LAST</stp>
        <stp>NYMT</stp>
        <tr r="D279" s="4"/>
      </tp>
      <tp>
        <v>176.92</v>
        <stp/>
        <stp>LAST</stp>
        <stp>VRTS</stp>
        <tr r="D183" s="4"/>
      </tp>
      <tp>
        <v>7.99</v>
        <stp/>
        <stp>LAST</stp>
        <stp>TRTX</stp>
        <tr r="D285" s="4"/>
      </tp>
      <tp>
        <v>25.97</v>
        <stp/>
        <stp>LAST</stp>
        <stp>HRTG</stp>
        <tr r="D253" s="4"/>
      </tp>
      <tp>
        <v>7.58</v>
        <stp/>
        <stp>LAST</stp>
        <stp>PRTH</stp>
        <tr r="D231" s="4"/>
      </tp>
      <tp>
        <v>45.59</v>
        <stp/>
        <stp>LAST</stp>
        <stp>TRUP</stp>
        <tr r="D261" s="4"/>
      </tp>
      <tp>
        <v>31.3</v>
        <stp/>
        <stp>LAST</stp>
        <stp>ORRF</stp>
        <tr r="D105" s="4"/>
      </tp>
      <tp>
        <v>5.38</v>
        <stp/>
        <stp>LAST</stp>
        <stp>BRSP</stp>
        <tr r="D268" s="4"/>
      </tp>
      <tp>
        <v>32.57</v>
        <stp/>
        <stp>LAST</stp>
        <stp>TRST</stp>
        <tr r="D135" s="4"/>
      </tp>
      <tp>
        <v>7.55</v>
        <stp/>
        <stp>LAST</stp>
        <stp>HRZN</stp>
        <tr r="D163" s="4"/>
      </tp>
      <tp>
        <v>11.61</v>
        <stp/>
        <stp>LAST</stp>
        <stp>NRDS</stp>
        <tr r="D200" s="4"/>
      </tp>
      <tp>
        <v>10.199999999999999</v>
        <stp/>
        <stp>LAST</stp>
        <stp>BRDG</stp>
        <tr r="D149" s="4"/>
      </tp>
      <tp>
        <v>172.5</v>
        <stp/>
        <stp>LAST</stp>
        <stp>ARES</stp>
        <tr r="D48" s="2"/>
      </tp>
      <tp>
        <v>14.58</v>
        <stp/>
        <stp>LAST</stp>
        <stp>NREF</stp>
        <tr r="D278" s="4"/>
      </tp>
      <tp>
        <v>9.6</v>
        <stp/>
        <stp>LAST</stp>
        <stp>KREF</stp>
        <tr r="D275" s="4"/>
      </tp>
      <tp>
        <v>40.32</v>
        <stp/>
        <stp>LAST</stp>
        <stp>TREE</stp>
        <tr r="D206" s="4"/>
      </tp>
      <tp>
        <v>3.51</v>
        <stp/>
        <stp>LAST</stp>
        <stp>BRBS</stp>
        <tr r="D16" s="4"/>
      </tp>
      <tp>
        <v>15.24</v>
        <stp/>
        <stp>LAST</stp>
        <stp>FRBA</stp>
        <tr r="D62" s="4"/>
      </tp>
      <tp>
        <v>32.79</v>
        <stp/>
        <stp>LAST</stp>
        <stp>CRBG</stp>
        <tr r="D94" s="2"/>
      </tp>
      <tp>
        <v>56.9</v>
        <stp/>
        <stp>LAST</stp>
        <stp>RRBI</stp>
        <tr r="D119" s="4"/>
      </tp>
      <tp>
        <v>21.78</v>
        <stp/>
        <stp>LAST</stp>
        <stp>ARCC</stp>
        <tr r="D47" s="2"/>
      </tp>
      <tp>
        <v>62.88</v>
        <stp/>
        <stp>LAST</stp>
        <stp>SRCE</stp>
        <tr r="D126" s="4"/>
      </tp>
      <tp>
        <v>15.22</v>
        <stp/>
        <stp>LAST</stp>
        <stp>PRAA</stp>
        <tr r="D202" s="4"/>
      </tp>
      <tp>
        <v>6.55</v>
        <stp/>
        <stp>LAST</stp>
        <stp>KRNY</stp>
        <tr r="D82" s="4"/>
      </tp>
      <tp>
        <v>97.19</v>
        <stp/>
        <stp>LAST</stp>
        <stp>TROW</stp>
        <tr r="D61" s="2"/>
      </tp>
      <tp>
        <v>26.59</v>
        <stp/>
        <stp>LAST</stp>
        <stp>AROW</stp>
        <tr r="D7" s="4"/>
      </tp>
      <tp>
        <v>149.52000000000001</v>
        <stp/>
        <stp>LAST</stp>
        <stp>WRLD</stp>
        <tr r="D207" s="4"/>
      </tp>
      <tp>
        <v>39.340000000000003</v>
        <stp/>
        <stp>LAST</stp>
        <stp>FRME</stp>
        <tr r="D38" s="3"/>
      </tp>
      <tp>
        <v>36.25</v>
        <stp/>
        <stp>LAST</stp>
        <stp>TRMK</stp>
        <tr r="D64" s="3"/>
      </tp>
      <tp>
        <v>11.09</v>
        <stp/>
        <stp>LAST</stp>
        <stp>BRKL</stp>
        <tr r="D17" s="4"/>
      </tp>
      <tp>
        <v>163.61000000000001</v>
        <stp/>
        <stp>LAST</stp>
        <stp>FRHC</stp>
        <tr r="D96" s="3"/>
      </tp>
      <tp>
        <v>359.38</v>
        <stp/>
        <stp>LAST</stp>
        <stp>ERIE</stp>
        <tr r="D131" s="2"/>
      </tp>
      <tp>
        <v>14.81</v>
        <stp/>
        <stp>LAST</stp>
        <stp>TRIN</stp>
        <tr r="D180" s="4"/>
      </tp>
      <tp>
        <v>86.24</v>
        <stp/>
        <stp>LAST</stp>
        <stp>NRIM</stp>
        <tr r="D99" s="4"/>
      </tp>
      <tp>
        <v>39.15</v>
        <stp/>
        <stp>LAST</stp>
        <stp>BSVN</stp>
        <tr r="D19" s="4"/>
      </tp>
      <tp>
        <v>21.12</v>
        <stp/>
        <stp>LAST</stp>
        <stp>CSWC</stp>
        <tr r="D153" s="4"/>
      </tp>
      <tp>
        <v>36.83</v>
        <stp/>
        <stp>LAST</stp>
        <stp>FSUN</stp>
        <tr r="D65" s="4"/>
      </tp>
      <tp>
        <v>28.42</v>
        <stp/>
        <stp>LAST</stp>
        <stp>BSRR</stp>
        <tr r="D18" s="4"/>
      </tp>
      <tp>
        <v>80.739999999999995</v>
        <stp/>
        <stp>LAST</stp>
        <stp>KSPI</stp>
        <tr r="D90" s="2"/>
      </tp>
      <tp>
        <v>55.09</v>
        <stp/>
        <stp>LAST</stp>
        <stp>WSFS</stp>
        <tr r="D73" s="3"/>
      </tp>
      <tp>
        <v>13.79</v>
        <stp/>
        <stp>LAST</stp>
        <stp>PSFE</stp>
        <tr r="D232" s="4"/>
      </tp>
      <tp>
        <v>334.72</v>
        <stp/>
        <stp>LAST</stp>
        <stp>ESGR</stp>
        <tr r="D169" s="3"/>
      </tp>
      <tp>
        <v>3.67</v>
        <stp/>
        <stp>LAST</stp>
        <stp>PSEC</stp>
        <tr r="D172" s="4"/>
      </tp>
      <tp>
        <v>5.42</v>
        <stp/>
        <stp>LAST</stp>
        <stp>BSBR</stp>
        <tr r="D12" s="2"/>
      </tp>
      <tp>
        <v>40.69</v>
        <stp/>
        <stp>LAST</stp>
        <stp>FSBW</stp>
        <tr r="D64" s="4"/>
      </tp>
      <tp>
        <v>32.33</v>
        <stp/>
        <stp>LAST</stp>
        <stp>WSBC</stp>
        <tr r="D72" s="3"/>
      </tp>
      <tp>
        <v>29.39</v>
        <stp/>
        <stp>LAST</stp>
        <stp>FSBC</stp>
        <tr r="D63" s="4"/>
      </tp>
      <tp>
        <v>58.86</v>
        <stp/>
        <stp>LAST</stp>
        <stp>GSBC</stp>
        <tr r="D69" s="4"/>
      </tp>
      <tp>
        <v>17.190000000000001</v>
        <stp/>
        <stp>LAST</stp>
        <stp>OSBC</stp>
        <tr r="D106" s="4"/>
      </tp>
      <tp>
        <v>58.34</v>
        <stp/>
        <stp>LAST</stp>
        <stp>HSBC</stp>
        <tr r="D18" s="2"/>
      </tp>
      <tp>
        <v>11.28</v>
        <stp/>
        <stp>LAST</stp>
        <stp>GSBD</stp>
        <tr r="D162" s="4"/>
      </tp>
      <tp>
        <v>36.6</v>
        <stp/>
        <stp>LAST</stp>
        <stp>SSBK</stp>
        <tr r="D127" s="4"/>
      </tp>
      <tp>
        <v>18.77</v>
        <stp/>
        <stp>LAST</stp>
        <stp>MSBI</stp>
        <tr r="D91" s="4"/>
      </tp>
      <tp>
        <v>16.920000000000002</v>
        <stp/>
        <stp>LAST</stp>
        <stp>OSCR</stp>
        <tr r="D152" s="3"/>
      </tp>
      <tp>
        <v>17.239999999999998</v>
        <stp/>
        <stp>LAST</stp>
        <stp>USCB</stp>
        <tr r="D137" s="4"/>
      </tp>
      <tp>
        <v>563.87</v>
        <stp/>
        <stp>LAST</stp>
        <stp>MSCI</stp>
        <tr r="D82" s="2"/>
      </tp>
      <tp>
        <v>24.65</v>
        <stp/>
        <stp>LAST</stp>
        <stp>BSAC</stp>
        <tr r="D11" s="2"/>
      </tp>
      <tp>
        <v>4.24</v>
        <stp/>
        <stp>LAST</stp>
        <stp>LSAK</stp>
        <tr r="D229" s="4"/>
      </tp>
      <tp>
        <v>59.47</v>
        <stp/>
        <stp>LAST</stp>
        <stp>ESNT</stp>
        <tr r="D125" s="3"/>
      </tp>
      <tp>
        <v>22.26</v>
        <stp/>
        <stp>LAST</stp>
        <stp>TSLX</stp>
        <tr r="D181" s="4"/>
      </tp>
      <tp>
        <v>105.6</v>
        <stp/>
        <stp>LAST</stp>
        <stp>GSHD</stp>
        <tr r="D145" s="3"/>
      </tp>
      <tp>
        <v>15.64</v>
        <stp/>
        <stp>LAST</stp>
        <stp>MSIF</stp>
        <tr r="D165" s="4"/>
      </tp>
      <tp>
        <v>53.68</v>
        <stp/>
        <stp>LAST</stp>
        <stp>UPST</stp>
        <tr r="D118" s="3"/>
      </tp>
      <tp>
        <v>35.69</v>
        <stp/>
        <stp>LAST</stp>
        <stp>SPFI</stp>
        <tr r="D125" s="4"/>
      </tp>
      <tp>
        <v>12.43</v>
        <stp/>
        <stp>LAST</stp>
        <stp>OPFI</stp>
        <tr r="D201" s="4"/>
      </tp>
      <tp>
        <v>515.57000000000005</v>
        <stp/>
        <stp>LAST</stp>
        <stp>SPGI</stp>
        <tr r="D84" s="2"/>
      </tp>
      <tp>
        <v>22.87</v>
        <stp/>
        <stp>LAST</stp>
        <stp>PPBI</stp>
        <tr r="D51" s="3"/>
      </tp>
      <tp>
        <v>3.95</v>
        <stp/>
        <stp>LAST</stp>
        <stp>RPAY</stp>
        <tr r="D233" s="4"/>
      </tp>
      <tp>
        <v>354.82</v>
        <stp/>
        <stp>LAST</stp>
        <stp>CPAY</stp>
        <tr r="D98" s="2"/>
      </tp>
      <tp>
        <v>43.3</v>
        <stp/>
        <stp>LAST</stp>
        <stp>APAM</stp>
        <tr r="D78" s="3"/>
      </tp>
      <tp>
        <v>19.54</v>
        <stp/>
        <stp>LAST</stp>
        <stp>SPNT</stp>
        <tr r="D170" s="3"/>
      </tp>
      <tp>
        <v>104.07</v>
        <stp/>
        <stp>LAST</stp>
        <stp>BPOP</stp>
        <tr r="D20" s="3"/>
      </tp>
      <tp>
        <v>382.99</v>
        <stp/>
        <stp>LAST</stp>
        <stp>LPLA</stp>
        <tr r="D68" s="2"/>
      </tp>
      <tp>
        <v>41.13</v>
        <stp/>
        <stp>LAST</stp>
        <stp>EQBK</stp>
        <tr r="D48" s="4"/>
      </tp>
      <tp>
        <v>36.51</v>
        <stp/>
        <stp>LAST</stp>
        <stp>EVTC</stp>
        <tr r="D134" s="3"/>
      </tp>
      <tp>
        <v>31.35</v>
        <stp/>
        <stp>LAST</stp>
        <stp>UVSP</stp>
        <tr r="D138" s="4"/>
      </tp>
      <tp>
        <v>9.7200000000000006</v>
        <stp/>
        <stp>LAST</stp>
        <stp>AVDX</stp>
        <tr r="D131" s="3"/>
      </tp>
      <tp>
        <v>20</v>
        <stp/>
        <stp>LAST</stp>
        <stp>CVBF</stp>
        <tr r="D27" s="3"/>
      </tp>
      <tp>
        <v>2.8</v>
        <stp/>
        <stp>LAST</stp>
        <stp>AVAL</stp>
        <tr r="D2" s="3"/>
      </tp>
      <tp>
        <v>32.46</v>
        <stp/>
        <stp>LAST</stp>
        <stp>TWFG</stp>
        <tr r="D239" s="4"/>
      </tp>
      <tp>
        <v>34.869999999999997</v>
        <stp/>
        <stp>LAST</stp>
        <stp>BWFG</stp>
        <tr r="D22" s="4"/>
      </tp>
      <tp>
        <v>96</v>
        <stp/>
        <stp>LAST</stp>
        <stp>EWBC</stp>
        <tr r="D41" s="2"/>
      </tp>
      <tp>
        <v>18.5</v>
        <stp/>
        <stp>LAST</stp>
        <stp>CWBC</stp>
        <tr r="D41" s="4"/>
      </tp>
      <tp>
        <v>12.68</v>
        <stp/>
        <stp>LAST</stp>
        <stp>NWBI</stp>
        <tr r="D100" s="4"/>
      </tp>
      <tp>
        <v>10.039999999999999</v>
        <stp/>
        <stp>LAST</stp>
        <stp>RWAY</stp>
        <tr r="D174" s="4"/>
      </tp>
      <tp>
        <v>4.24</v>
        <stp/>
        <stp>LAST</stp>
        <stp>UWMC</stp>
        <tr r="D222" s="4"/>
      </tp>
      <tp>
        <v>38.5</v>
        <stp/>
        <stp>LAST</stp>
        <stp>BWIN</stp>
        <tr r="D144" s="3"/>
      </tp>
      <tp>
        <v>20.02</v>
        <stp/>
        <stp>LAST</stp>
        <stp>STWD</stp>
        <tr r="D175" s="3"/>
      </tp>
      <tp>
        <v>6.62</v>
        <stp/>
        <stp>LAST</stp>
        <stp>ITUB</stp>
        <tr r="D21" s="2"/>
      </tp>
      <tp>
        <v>107.14</v>
        <stp/>
        <stp>LAST</stp>
        <stp>NTRS</stp>
        <tr r="D57" s="2"/>
      </tp>
      <tp>
        <v>122.16</v>
        <stp/>
        <stp>LAST</stp>
        <stp>WTFC</stp>
        <tr r="D74" s="3"/>
      </tp>
      <tp>
        <v>17.71</v>
        <stp/>
        <stp>LAST</stp>
        <stp>HTGC</stp>
        <tr r="D85" s="3"/>
      </tp>
      <tp>
        <v>59.25</v>
        <stp/>
        <stp>LAST</stp>
        <stp>STEP</stp>
        <tr r="D91" s="3"/>
      </tp>
      <tp>
        <v>27.17</v>
        <stp/>
        <stp>LAST</stp>
        <stp>STEL</stp>
        <tr r="D129" s="4"/>
      </tp>
      <tp>
        <v>19.97</v>
        <stp/>
        <stp>LAST</stp>
        <stp>WTBA</stp>
        <tr r="D143" s="4"/>
      </tp>
      <tp>
        <v>38.76</v>
        <stp/>
        <stp>LAST</stp>
        <stp>STBA</stp>
        <tr r="D128" s="4"/>
      </tp>
      <tp>
        <v>9.51</v>
        <stp/>
        <stp>LAST</stp>
        <stp>HTBK</stp>
        <tr r="D79" s="4"/>
      </tp>
      <tp>
        <v>52.71</v>
        <stp/>
        <stp>LAST</stp>
        <stp>CTBI</stp>
        <tr r="D39" s="4"/>
      </tp>
      <tp>
        <v>13.89</v>
        <stp/>
        <stp>LAST</stp>
        <stp>STNE</stp>
        <tr r="D141" s="3"/>
      </tp>
      <tp>
        <v>7.74</v>
        <stp/>
        <stp>LAST</stp>
        <stp>CTLP</stp>
        <tr r="D225" s="4"/>
      </tp>
      <tp>
        <v>57.72</v>
        <stp/>
        <stp>LAST</stp>
        <stp>ATLC</stp>
        <tr r="D191" s="4"/>
      </tp>
      <tp>
        <v>242.36</v>
        <stp/>
        <stp>LAST</stp>
        <stp>ITIC</stp>
        <tr r="D255" s="4"/>
      </tp>
      <tp>
        <v>112.34</v>
        <stp/>
        <stp>LAST</stp>
        <stp>FUTU</stp>
        <tr r="D62" s="2"/>
      </tp>
      <tp>
        <v>22.52</v>
        <stp/>
        <stp>LAST</stp>
        <stp>BUSE</stp>
        <tr r="D20" s="4"/>
      </tp>
      <tp>
        <v>15.95</v>
        <stp/>
        <stp>LAST</stp>
        <stp>SUPV</stp>
        <tr r="D3" s="4"/>
      </tp>
      <tp>
        <v>13.02</v>
        <stp/>
        <stp>LAST</stp>
        <stp>MUFG</stp>
        <tr r="D27" s="2"/>
      </tp>
      <tp>
        <v>54.5</v>
        <stp/>
        <stp>LAST</stp>
        <stp>CUBI</stp>
        <tr r="D40" s="4"/>
      </tp>
      <tp>
        <v>18.399999999999999</v>
        <stp/>
        <stp>LAST</stp>
        <stp>FULT</stp>
        <tr r="D39" s="3"/>
      </tp>
      <tp>
        <v>59.75</v>
        <stp/>
        <stp>LAST</stp>
        <stp>SKWD</stp>
        <tr r="D166" s="3"/>
      </tp>
      <tp>
        <v>213.13</v>
        <stp/>
        <stp>LAST</stp>
        <stp>MKTX</stp>
        <tr r="D106" s="3"/>
      </tp>
      <tp>
        <v>61.47</v>
        <stp/>
        <stp>LAST</stp>
        <stp>LKFN</stp>
        <tr r="D83" s="4"/>
      </tp>
      <tp>
        <v>178.34</v>
        <stp/>
        <stp>LAST</stp>
        <stp>JKHY</stp>
        <tr r="D102" s="2"/>
      </tp>
      <tp>
        <v>59.03</v>
        <stp/>
        <stp>LAST</stp>
        <stp>BHRB</stp>
        <tr r="D14" s="4"/>
      </tp>
      <tp>
        <v>53.19</v>
        <stp/>
        <stp>LAST</stp>
        <stp>THFF</stp>
        <tr r="D133" s="4"/>
      </tp>
      <tp>
        <v>15.06</v>
        <stp/>
        <stp>LAST</stp>
        <stp>SHBI</stp>
        <tr r="D122" s="4"/>
      </tp>
      <tp>
        <v>121.605</v>
        <stp/>
        <stp>LAST</stp>
        <stp>CHCO</stp>
        <tr r="D33" s="4"/>
      </tp>
      <tp>
        <v>26.78</v>
        <stp/>
        <stp>LAST</stp>
        <stp>BHLB</stp>
        <tr r="D13" s="4"/>
      </tp>
      <tp>
        <v>12.8</v>
        <stp/>
        <stp>LAST</stp>
        <stp>GHLD</stp>
        <tr r="D218" s="4"/>
      </tp>
      <tp>
        <v>143.42500000000001</v>
        <stp/>
        <stp>LAST</stp>
        <stp>DHIL</stp>
        <tr r="D156" s="4"/>
      </tp>
      <tp>
        <v>23.37</v>
        <stp/>
        <stp>LAST</stp>
        <stp>CIVB</stp>
        <tr r="D34" s="4"/>
      </tp>
      <tp>
        <v>39.43</v>
        <stp/>
        <stp>LAST</stp>
        <stp>FITB</stp>
        <tr r="D16" s="2"/>
      </tp>
      <tp>
        <v>11.54</v>
        <stp/>
        <stp>LAST</stp>
        <stp>RITM</stp>
        <tr r="D174" s="3"/>
      </tp>
      <tp>
        <v>42.36</v>
        <stp/>
        <stp>LAST</stp>
        <stp>VIRT</stp>
        <tr r="D104" s="3"/>
      </tp>
      <tp>
        <v>27.23</v>
        <stp/>
        <stp>LAST</stp>
        <stp>FISI</stp>
        <tr r="D56" s="4"/>
      </tp>
      <tp>
        <v>267.49</v>
        <stp/>
        <stp>LAST</stp>
        <stp>PIPR</stp>
        <tr r="D100" s="3"/>
      </tp>
      <tp>
        <v>21.73</v>
        <stp/>
        <stp>LAST</stp>
        <stp>TIPT</stp>
        <tr r="D260" s="4"/>
      </tp>
      <tp>
        <v>22.71</v>
        <stp/>
        <stp>LAST</stp>
        <stp>HIPO</stp>
        <tr r="D237" s="4"/>
      </tp>
      <tp>
        <v>262.5</v>
        <stp/>
        <stp>LAST</stp>
        <stp>HIFS</stp>
        <tr r="D75" s="4"/>
      </tp>
      <tp>
        <v>9.9700000000000006</v>
        <stp/>
        <stp>LAST</stp>
        <stp>TIGR</stp>
        <tr r="D186" s="4"/>
      </tp>
      <tp>
        <v>88.97</v>
        <stp/>
        <stp>LAST</stp>
        <stp>SIGI</stp>
        <tr r="D165" s="3"/>
      </tp>
      <tp>
        <v>28.21</v>
        <stp/>
        <stp>LAST</stp>
        <stp>FIBK</stp>
        <tr r="D35" s="3"/>
      </tp>
      <tp>
        <v>10.15</v>
        <stp/>
        <stp>LAST</stp>
        <stp>VINP</stp>
        <tr r="D182" s="4"/>
      </tp>
      <tp>
        <v>8.84</v>
        <stp/>
        <stp>LAST</stp>
        <stp>FINV</stp>
        <tr r="D112" s="3"/>
      </tp>
      <tp>
        <v>148.56</v>
        <stp/>
        <stp>LAST</stp>
        <stp>CINF</stp>
        <tr r="D129" s="2"/>
      </tp>
      <tp>
        <v>49.92</v>
        <stp/>
        <stp>LAST</stp>
        <stp>ZION</stp>
        <tr r="D75" s="3"/>
      </tp>
      <tp>
        <v>9.7799999999999994</v>
        <stp/>
        <stp>LAST</stp>
        <stp>CION</stp>
        <tr r="D152" s="4"/>
      </tp>
      <tp>
        <v>17.28</v>
        <stp/>
        <stp>LAST</stp>
        <stp>FIHL</stp>
        <tr r="D249" s="4"/>
      </tp>
      <tp>
        <v>99.22</v>
        <stp/>
        <stp>LAST</stp>
        <stp>ENVA</stp>
        <tr r="D110" s="3"/>
      </tp>
      <tp>
        <v>7.08</v>
        <stp/>
        <stp>LAST</stp>
        <stp>INTR</stp>
        <tr r="D9" s="3"/>
      </tp>
      <tp>
        <v>45.39</v>
        <stp/>
        <stp>LAST</stp>
        <stp>UNTY</stp>
        <tr r="D136" s="4"/>
      </tp>
      <tp>
        <v>41.82</v>
        <stp/>
        <stp>LAST</stp>
        <stp>GNTY</stp>
        <tr r="D68" s="4"/>
      </tp>
      <tp>
        <v>35.89</v>
        <stp/>
        <stp>LAST</stp>
        <stp>RNST</stp>
        <tr r="D53" s="3"/>
      </tp>
      <tp>
        <v>446.34</v>
        <stp/>
        <stp>LAST</stp>
        <stp>KNSL</stp>
        <tr r="D134" s="2"/>
      </tp>
      <tp>
        <v>111.51</v>
        <stp/>
        <stp>LAST</stp>
        <stp>PNFP</stp>
        <tr r="D50" s="3"/>
      </tp>
      <tp>
        <v>65.209999999999994</v>
        <stp/>
        <stp>LAST</stp>
        <stp>INDB</stp>
        <tr r="D44" s="3"/>
      </tp>
      <tp>
        <v>89.16</v>
        <stp/>
        <stp>LAST</stp>
        <stp>SNEX</stp>
        <tr r="D103" s="3"/>
      </tp>
      <tp>
        <v>6.71</v>
        <stp/>
        <stp>LAST</stp>
        <stp>PNBK</stp>
        <tr r="D115" s="4"/>
      </tp>
      <tp>
        <v>7.67</v>
        <stp/>
        <stp>LAST</stp>
        <stp>CNCK</stp>
        <tr r="D188" s="4"/>
      </tp>
      <tp>
        <v>6.86</v>
        <stp/>
        <stp>LAST</stp>
        <stp>PNNT</stp>
        <tr r="D171" s="4"/>
      </tp>
      <tp>
        <v>17.8</v>
        <stp/>
        <stp>LAST</stp>
        <stp>CNNE</stp>
        <tr r="D212" s="4"/>
      </tp>
      <tp>
        <v>24.78</v>
        <stp/>
        <stp>LAST</stp>
        <stp>CNOB</stp>
        <tr r="D36" s="4"/>
      </tp>
      <tp>
        <v>24.7</v>
        <stp/>
        <stp>LAST</stp>
        <stp>FNLC</stp>
        <tr r="D61" s="4"/>
      </tp>
      <tp>
        <v>7.39</v>
        <stp/>
        <stp>LAST</stp>
        <stp>LNKB</stp>
        <tr r="D84" s="4"/>
      </tp>
      <tp>
        <v>38.5</v>
        <stp/>
        <stp>LAST</stp>
        <stp>ONIT</stp>
        <tr r="D220" s="4"/>
      </tp>
      <tp>
        <v>34.880000000000003</v>
        <stp/>
        <stp>LAST</stp>
        <stp>TOWN</stp>
        <tr r="D63" s="3"/>
      </tp>
      <tp>
        <v>92.1</v>
        <stp/>
        <stp>LAST</stp>
        <stp>FOUR</stp>
        <tr r="D135" s="3"/>
      </tp>
      <tp>
        <v>307.48500000000001</v>
        <stp/>
        <stp>LAST</stp>
        <stp>MORN</stp>
        <tr r="D81" s="2"/>
      </tp>
      <tp>
        <v>43.96</v>
        <stp/>
        <stp>LAST</stp>
        <stp>TOST</stp>
        <tr r="D105" s="2"/>
      </tp>
      <tp>
        <v>10.64</v>
        <stp/>
        <stp>LAST</stp>
        <stp>HOPE</stp>
        <tr r="D77" s="4"/>
      </tp>
      <tp>
        <v>69.7</v>
        <stp/>
        <stp>LAST</stp>
        <stp>VOYA</stp>
        <tr r="D120" s="3"/>
      </tp>
      <tp>
        <v>30.25</v>
        <stp/>
        <stp>LAST</stp>
        <stp>COFS</stp>
        <tr r="D37" s="4"/>
      </tp>
      <tp>
        <v>29.59</v>
        <stp/>
        <stp>LAST</stp>
        <stp>MOFG</stp>
        <tr r="D89" s="4"/>
      </tp>
      <tp>
        <v>14.29</v>
        <stp/>
        <stp>LAST</stp>
        <stp>SOFI</stp>
        <tr r="D91" s="2"/>
      </tp>
      <tp>
        <v>12.8</v>
        <stp/>
        <stp>LAST</stp>
        <stp>NODK</stp>
        <tr r="D256" s="4"/>
      </tp>
      <tp>
        <v>7.66</v>
        <stp/>
        <stp>LAST</stp>
        <stp>CODI</stp>
        <tr r="D213" s="4"/>
      </tp>
      <tp>
        <v>9.83</v>
        <stp/>
        <stp>LAST</stp>
        <stp>NOAH</stp>
        <tr r="D167" s="4"/>
      </tp>
      <tp>
        <v>11.79</v>
        <stp/>
        <stp>LAST</stp>
        <stp>HONE</stp>
        <tr r="D76" s="4"/>
      </tp>
      <tp>
        <v>128.35</v>
        <stp/>
        <stp>LAST</stp>
        <stp>COOP</stp>
        <tr r="D124" s="3"/>
      </tp>
      <tp>
        <v>150.24</v>
        <stp/>
        <stp>LAST</stp>
        <stp>ROOT</stp>
        <tr r="D164" s="3"/>
      </tp>
      <tp>
        <v>62.57</v>
        <stp/>
        <stp>LAST</stp>
        <stp>HOOD</stp>
        <tr r="D65" s="2"/>
      </tp>
      <tp>
        <v>25.61</v>
        <stp/>
        <stp>LAST</stp>
        <stp>COLB</stp>
        <tr r="D26" s="3"/>
      </tp>
      <tp>
        <v>29.62</v>
        <stp/>
        <stp>LAST</stp>
        <stp>HOMB</stp>
        <tr r="D41" s="3"/>
      </tp>
      <tp>
        <v>98.56</v>
        <stp/>
        <stp>LAST</stp>
        <stp>BOKF</stp>
        <tr r="D19" s="3"/>
      </tp>
      <tp>
        <v>256.89999999999998</v>
        <stp/>
        <stp>LAST</stp>
        <stp>COIN</stp>
        <tr r="D77" s="2"/>
      </tp>
      <tp>
        <v>3.56</v>
        <stp/>
        <stp>LAST</stp>
        <stp>ALTI</stp>
        <tr r="D146" s="4"/>
      </tp>
      <tp>
        <v>22.32</v>
        <stp/>
        <stp>LAST</stp>
        <stp>ALRS</stp>
        <tr r="D210" s="4"/>
      </tp>
      <tp>
        <v>16.36</v>
        <stp/>
        <stp>LAST</stp>
        <stp>SLRC</stp>
        <tr r="D178" s="4"/>
      </tp>
      <tp>
        <v>13.3</v>
        <stp/>
        <stp>LAST</stp>
        <stp>GLRE</stp>
        <tr r="D264" s="4"/>
      </tp>
      <tp>
        <v>2.4</v>
        <stp/>
        <stp>LAST</stp>
        <stp>SLQT</stp>
        <tr r="D238" s="4"/>
      </tp>
      <tp>
        <v>11.1</v>
        <stp/>
        <stp>LAST</stp>
        <stp>FLYW</stp>
        <tr r="D226" s="4"/>
      </tp>
      <tp>
        <v>45.14</v>
        <stp/>
        <stp>LAST</stp>
        <stp>PLBC</stp>
        <tr r="D114" s="4"/>
      </tp>
      <tp>
        <v>15.154999999999999</v>
        <stp/>
        <stp>LAST</stp>
        <stp>CLBK</stp>
        <tr r="D35" s="4"/>
      </tp>
      <tp>
        <v>26.48</v>
        <stp/>
        <stp>LAST</stp>
        <stp>GLAD</stp>
        <tr r="D161" s="4"/>
      </tp>
      <tp>
        <v>174.04</v>
        <stp/>
        <stp>LAST</stp>
        <stp>HLNE</stp>
        <tr r="D84" s="3"/>
      </tp>
      <tp>
        <v>36.65</v>
        <stp/>
        <stp>LAST</stp>
        <stp>ALLY</stp>
        <tr r="D107" s="3"/>
      </tp>
      <tp>
        <v>155.68</v>
        <stp/>
        <stp>LAST</stp>
        <stp>PLMR</stp>
        <tr r="D162" s="3"/>
      </tp>
      <tp>
        <v>12.73</v>
        <stp/>
        <stp>LAST</stp>
        <stp>FLIC</stp>
        <tr r="D57" s="4"/>
      </tp>
      <tp>
        <v>18.309999999999999</v>
        <stp/>
        <stp>LAST</stp>
        <stp>AMTB</stp>
        <tr r="D6" s="4"/>
      </tp>
      <tp>
        <v>2.59</v>
        <stp/>
        <stp>LAST</stp>
        <stp>CMTG</stp>
        <tr r="D270" s="4"/>
      </tp>
      <tp>
        <v>21.58</v>
        <stp/>
        <stp>LAST</stp>
        <stp>BMRC</stp>
        <tr r="D15" s="4"/>
      </tp>
      <tp>
        <v>46.74</v>
        <stp/>
        <stp>LAST</stp>
        <stp>AMSF</stp>
        <tr r="D244" s="4"/>
      </tp>
      <tp>
        <v>64.959999999999994</v>
        <stp/>
        <stp>LAST</stp>
        <stp>KMPR</stp>
        <tr r="D158" s="3"/>
      </tp>
      <tp>
        <v>11.49</v>
        <stp/>
        <stp>LAST</stp>
        <stp>IMXI</stp>
        <tr r="D228" s="4"/>
      </tp>
      <tp>
        <v>10.76</v>
        <stp/>
        <stp>LAST</stp>
        <stp>NMFC</stp>
        <tr r="D166" s="4"/>
      </tp>
      <tp>
        <v>14.62</v>
        <stp/>
        <stp>LAST</stp>
        <stp>SMFG</stp>
        <tr r="D36" s="2"/>
      </tp>
      <tp>
        <v>55.16</v>
        <stp/>
        <stp>LAST</stp>
        <stp>SMBC</stp>
        <tr r="D123" s="4"/>
      </tp>
      <tp>
        <v>6.7</v>
        <stp/>
        <stp>LAST</stp>
        <stp>AMBC</stp>
        <tr r="D243" s="4"/>
      </tp>
      <tp>
        <v>107.99</v>
        <stp/>
        <stp>LAST</stp>
        <stp>UMBF</stp>
        <tr r="D67" s="3"/>
      </tp>
      <tp>
        <v>31.82</v>
        <stp/>
        <stp>LAST</stp>
        <stp>SMBK</stp>
        <tr r="D124" s="4"/>
      </tp>
      <tp>
        <v>37.32</v>
        <stp/>
        <stp>LAST</stp>
        <stp>FMBH</stp>
        <tr r="D59" s="4"/>
      </tp>
      <tp>
        <v>25.49</v>
        <stp/>
        <stp>LAST</stp>
        <stp>FMAO</stp>
        <tr r="D58" s="4"/>
      </tp>
      <tp>
        <v>31.62</v>
        <stp/>
        <stp>LAST</stp>
        <stp>AMAL</stp>
        <tr r="D5" s="4"/>
      </tp>
      <tp>
        <v>13.68</v>
        <stp/>
        <stp>LAST</stp>
        <stp>FMNB</stp>
        <tr r="D60" s="4"/>
      </tp>
      <tp>
        <v>32.6</v>
        <stp/>
        <stp>LAST</stp>
        <stp>LMND</stp>
        <tr r="D159" s="3"/>
      </tp>
      <tp>
        <v>38</v>
        <stp/>
        <stp>LAST</stp>
        <stp>NMIH</stp>
        <tr r="D127" s="3"/>
      </tp>
      <tp>
        <v>14.76</v>
        <stp/>
        <stp>LAST</stp>
        <stp>BBVA</stp>
        <tr r="D6" s="2"/>
      </tp>
      <tp>
        <v>45.94</v>
        <stp/>
        <stp>LAST</stp>
        <stp>MBWM</stp>
        <tr r="D86" s="4"/>
      </tp>
      <tp>
        <v>24.94</v>
        <stp/>
        <stp>LAST</stp>
        <stp>VBTX</stp>
        <tr r="D140" s="4"/>
      </tp>
      <tp>
        <v>40.67</v>
        <stp/>
        <stp>LAST</stp>
        <stp>EBTC</stp>
        <tr r="D45" s="4"/>
      </tp>
      <tp>
        <v>44.8</v>
        <stp/>
        <stp>LAST</stp>
        <stp>NBTB</stp>
        <tr r="D45" s="3"/>
      </tp>
      <tp>
        <v>11.56</v>
        <stp/>
        <stp>LAST</stp>
        <stp>FBRT</stp>
        <tr r="D273" s="4"/>
      </tp>
      <tp>
        <v>9.11</v>
        <stp/>
        <stp>LAST</stp>
        <stp>DBRG</stp>
        <tr r="D155" s="4"/>
      </tp>
      <tp>
        <v>37.24</v>
        <stp/>
        <stp>LAST</stp>
        <stp>UBSI</stp>
        <tr r="D65" s="3"/>
      </tp>
      <tp>
        <v>29.82</v>
        <stp/>
        <stp>LAST</stp>
        <stp>SBSI</stp>
        <tr r="D120" s="4"/>
      </tp>
      <tp>
        <v>65.45</v>
        <stp/>
        <stp>LAST</stp>
        <stp>CBSH</stp>
        <tr r="D23" s="3"/>
      </tp>
      <tp>
        <v>11.79</v>
        <stp/>
        <stp>LAST</stp>
        <stp>PBFS</stp>
        <tr r="D107" s="4"/>
      </tp>
      <tp>
        <v>14.87</v>
        <stp/>
        <stp>LAST</stp>
        <stp>GBDC</stp>
        <tr r="D83" s="3"/>
      </tp>
      <tp>
        <v>8.8800000000000008</v>
        <stp/>
        <stp>LAST</stp>
        <stp>BBDC</stp>
        <tr r="D147" s="4"/>
      </tp>
      <tp>
        <v>14.58</v>
        <stp/>
        <stp>LAST</stp>
        <stp>OBDC</stp>
        <tr r="D89" s="3"/>
      </tp>
      <tp>
        <v>2.4300000000000002</v>
        <stp/>
        <stp>LAST</stp>
        <stp>BBDO</stp>
        <tr r="D5" s="2"/>
      </tp>
      <tp>
        <v>54.66</v>
        <stp/>
        <stp>LAST</stp>
        <stp>TBBK</stp>
        <tr r="D60" s="3"/>
      </tp>
      <tp>
        <v>17.79</v>
        <stp/>
        <stp>LAST</stp>
        <stp>NBBK</stp>
        <tr r="D92" s="4"/>
      </tp>
      <tp>
        <v>51.47</v>
        <stp/>
        <stp>LAST</stp>
        <stp>HBCP</stp>
        <tr r="D71" s="4"/>
      </tp>
      <tp>
        <v>32.479999999999997</v>
        <stp/>
        <stp>LAST</stp>
        <stp>IBCP</stp>
        <tr r="D81" s="4"/>
      </tp>
      <tp>
        <v>63.58</v>
        <stp/>
        <stp>LAST</stp>
        <stp>ABCB</stp>
        <tr r="D11" s="3"/>
      </tp>
      <tp>
        <v>25.87</v>
        <stp/>
        <stp>LAST</stp>
        <stp>SBCF</stp>
        <tr r="D54" s="3"/>
      </tp>
      <tp>
        <v>44.03</v>
        <stp/>
        <stp>LAST</stp>
        <stp>GBCI</stp>
        <tr r="D40" s="3"/>
      </tp>
      <tp>
        <v>21.94</v>
        <stp/>
        <stp>LAST</stp>
        <stp>BBAR</stp>
        <tr r="D3" s="3"/>
      </tp>
      <tp>
        <v>16.21</v>
        <stp/>
        <stp>LAST</stp>
        <stp>CBAN</stp>
        <tr r="D27" s="4"/>
      </tp>
      <tp>
        <v>16.09</v>
        <stp/>
        <stp>LAST</stp>
        <stp>HBAN</stp>
        <tr r="D42" s="2"/>
      </tp>
      <tp>
        <v>42.53</v>
        <stp/>
        <stp>LAST</stp>
        <stp>FBNC</stp>
        <tr r="D51" s="4"/>
      </tp>
      <tp>
        <v>15.8</v>
        <stp/>
        <stp>LAST</stp>
        <stp>HBNC</stp>
        <tr r="D72" s="4"/>
      </tp>
      <tp>
        <v>11.45</v>
        <stp/>
        <stp>LAST</stp>
        <stp>VBNK</stp>
        <tr r="D139" s="4"/>
      </tp>
      <tp>
        <v>33.325000000000003</v>
        <stp/>
        <stp>LAST</stp>
        <stp>CBNK</stp>
        <tr r="D28" s="4"/>
      </tp>
      <tp>
        <v>65.260000000000005</v>
        <stp/>
        <stp>LAST</stp>
        <stp>IBOC</stp>
        <tr r="D43" s="3"/>
      </tp>
      <tp>
        <v>220.38</v>
        <stp/>
        <stp>LAST</stp>
        <stp>CBOE</stp>
        <tr r="D75" s="2"/>
      </tp>
      <tp>
        <v>29.88</v>
        <stp/>
        <stp>LAST</stp>
        <stp>GBLI</stp>
        <tr r="D250" s="4"/>
      </tp>
      <tp>
        <v>202.78</v>
        <stp/>
        <stp>LAST</stp>
        <stp>IBKR</stp>
        <tr r="D66" s="2"/>
      </tp>
      <tp>
        <v>38.19</v>
        <stp/>
        <stp>LAST</stp>
        <stp>NBHC</stp>
        <tr r="D93" s="4"/>
      </tp>
      <tp>
        <v>49.29</v>
        <stp/>
        <stp>LAST</stp>
        <stp>FBIZ</stp>
        <tr r="D50" s="4"/>
      </tp>
      <tp>
        <v>32.92</v>
        <stp/>
        <stp>LAST</stp>
        <stp>MBIN</stp>
        <tr r="D219" s="4"/>
      </tp>
      <tp>
        <v>64.760000000000005</v>
        <stp/>
        <stp>LAST</stp>
        <stp>VCTR</stp>
        <tr r="D93" s="3"/>
      </tp>
      <tp>
        <v>3.88</v>
        <stp/>
        <stp>LAST</stp>
        <stp>ACTG</stp>
        <tr r="D214" s="4"/>
      </tp>
      <tp>
        <v>4.9400000000000004</v>
        <stp/>
        <stp>LAST</stp>
        <stp>ACRE</stp>
        <tr r="D265" s="4"/>
      </tp>
      <tp>
        <v>70.819999999999993</v>
        <stp/>
        <stp>LAST</stp>
        <stp>QCRH</stp>
        <tr r="D116" s="4"/>
      </tp>
      <tp>
        <v>15.48</v>
        <stp/>
        <stp>LAST</stp>
        <stp>BCSF</stp>
        <tr r="D148" s="4"/>
      </tp>
      <tp>
        <v>14.24</v>
        <stp/>
        <stp>LAST</stp>
        <stp>OCSL</stp>
        <tr r="D168" s="4"/>
      </tp>
      <tp>
        <v>7.62</v>
        <stp/>
        <stp>LAST</stp>
        <stp>TCPC</stp>
        <tr r="D179" s="4"/>
      </tp>
      <tp>
        <v>40.32</v>
        <stp/>
        <stp>LAST</stp>
        <stp>ECPG</stp>
        <tr r="D193" s="4"/>
      </tp>
      <tp>
        <v>129.91</v>
        <stp/>
        <stp>LAST</stp>
        <stp>FCFS</stp>
        <tr r="D111" s="3"/>
      </tp>
      <tp>
        <v>17.63</v>
        <stp/>
        <stp>LAST</stp>
        <stp>OCFC</stp>
        <tr r="D103" s="4"/>
      </tp>
      <tp>
        <v>93.42</v>
        <stp/>
        <stp>LAST</stp>
        <stp>ACGL</stp>
        <tr r="D123" s="2"/>
      </tp>
      <tp>
        <v>29.47</v>
        <stp/>
        <stp>LAST</stp>
        <stp>MCBS</stp>
        <tr r="D88" s="4"/>
      </tp>
      <tp>
        <v>32.200000000000003</v>
        <stp/>
        <stp>LAST</stp>
        <stp>TCBX</stp>
        <tr r="D131" s="4"/>
      </tp>
      <tp>
        <v>39.49</v>
        <stp/>
        <stp>LAST</stp>
        <stp>FCBC</stp>
        <tr r="D52" s="4"/>
      </tp>
      <tp>
        <v>23.12</v>
        <stp/>
        <stp>LAST</stp>
        <stp>GCBC</stp>
        <tr r="D67" s="4"/>
      </tp>
      <tp>
        <v>38.380000000000003</v>
        <stp/>
        <stp>LAST</stp>
        <stp>CCBG</stp>
        <tr r="D30" s="4"/>
      </tp>
      <tp>
        <v>41.26</v>
        <stp/>
        <stp>LAST</stp>
        <stp>TCBK</stp>
        <tr r="D130" s="4"/>
      </tp>
      <tp>
        <v>76.02</v>
        <stp/>
        <stp>LAST</stp>
        <stp>TCBI</stp>
        <tr r="D61" s="3"/>
      </tp>
      <tp>
        <v>16.77</v>
        <stp/>
        <stp>LAST</stp>
        <stp>CCAP</stp>
        <tr r="D150" s="4"/>
      </tp>
      <tp>
        <v>15.25</v>
        <stp/>
        <stp>LAST</stp>
        <stp>BCAL</stp>
        <tr r="D8" s="4"/>
      </tp>
      <tp>
        <v>43.99</v>
        <stp/>
        <stp>LAST</stp>
        <stp>ACNB</stp>
        <tr r="D4" s="4"/>
      </tp>
      <tp>
        <v>23.26</v>
        <stp/>
        <stp>LAST</stp>
        <stp>CCNE</stp>
        <tr r="D31" s="4"/>
      </tp>
      <tp>
        <v>27.51</v>
        <stp/>
        <stp>LAST</stp>
        <stp>DCOM</stp>
        <tr r="D44" s="4"/>
      </tp>
      <tp>
        <v>12.55</v>
        <stp/>
        <stp>LAST</stp>
        <stp>GCMG</stp>
        <tr r="D160" s="4"/>
      </tp>
      <tp>
        <v>27.36</v>
        <stp/>
        <stp>LAST</stp>
        <stp>BCML</stp>
        <tr r="D9" s="4"/>
      </tp>
      <tp>
        <v>86.22</v>
        <stp/>
        <stp>LAST</stp>
        <stp>SCHW</stp>
        <tr r="D72" s="2"/>
      </tp>
      <tp>
        <v>11.17</v>
        <stp/>
        <stp>LAST</stp>
        <stp>ACIC</stp>
        <tr r="D242" s="4"/>
      </tp>
      <tp>
        <v>181.76</v>
        <stp/>
        <stp>LAST</stp>
        <stp>DAVE</stp>
        <tr r="D192" s="4"/>
      </tp>
      <tp>
        <v>13.78</v>
        <stp/>
        <stp>LAST</stp>
        <stp>NAVI</stp>
        <tr r="D199" s="4"/>
      </tp>
      <tp>
        <v>45.18</v>
        <stp/>
        <stp>LAST</stp>
        <stp>CATY</stp>
        <tr r="D22" s="3"/>
      </tp>
      <tp>
        <v>27.79</v>
        <stp/>
        <stp>LAST</stp>
        <stp>NATL</stp>
        <tr r="D136" s="3"/>
      </tp>
      <tp>
        <v>15.73</v>
        <stp/>
        <stp>LAST</stp>
        <stp>CARE</stp>
        <tr r="D25" s="4"/>
      </tp>
      <tp>
        <v>43.48</v>
        <stp/>
        <stp>LAST</stp>
        <stp>CASS</stp>
        <tr r="D224" s="4"/>
      </tp>
      <tp>
        <v>27.39</v>
        <stp/>
        <stp>LAST</stp>
        <stp>HASI</stp>
        <tr r="D122" s="3"/>
      </tp>
      <tp>
        <v>29.8</v>
        <stp/>
        <stp>LAST</stp>
        <stp>WASH</stp>
        <tr r="D142" s="4"/>
      </tp>
      <tp>
        <v>82</v>
        <stp/>
        <stp>LAST</stp>
        <stp>CASH</stp>
        <tr r="D26" s="4"/>
      </tp>
      <tp>
        <v>7.46</v>
        <stp/>
        <stp>LAST</stp>
        <stp>PAYO</stp>
        <tr r="D139" s="3"/>
      </tp>
      <tp>
        <v>81.28</v>
        <stp/>
        <stp>LAST</stp>
        <stp>SAFT</stp>
        <tr r="D258" s="4"/>
      </tp>
      <tp>
        <v>24.22</v>
        <stp/>
        <stp>LAST</stp>
        <stp>HAFC</stp>
        <tr r="D70" s="4"/>
      </tp>
      <tp>
        <v>29.77</v>
        <stp/>
        <stp>LAST</stp>
        <stp>WAFD</stp>
        <tr r="D69" s="3"/>
      </tp>
      <tp>
        <v>9.8699999999999992</v>
        <stp/>
        <stp>LAST</stp>
        <stp>PAGS</stp>
        <tr r="D137" s="3"/>
      </tp>
      <tp>
        <v>10.77</v>
        <stp/>
        <stp>LAST</stp>
        <stp>LADR</stp>
        <tr r="D276" s="4"/>
      </tp>
      <tp>
        <v>32.18</v>
        <stp/>
        <stp>LAST</stp>
        <stp>CADE</stp>
        <tr r="D21" s="3"/>
      </tp>
      <tp>
        <v>49.89</v>
        <stp/>
        <stp>LAST</stp>
        <stp>WABC</stp>
        <tr r="D141" s="4"/>
      </tp>
      <tp>
        <v>39.71</v>
        <stp/>
        <stp>LAST</stp>
        <stp>GABC</stp>
        <tr r="D66" s="4"/>
      </tp>
      <tp>
        <v>498</v>
        <stp/>
        <stp>LAST</stp>
        <stp>CACC</stp>
        <tr r="D109" s="3"/>
      </tp>
      <tp>
        <v>65.09</v>
        <stp/>
        <stp>LAST</stp>
        <stp>BANR</stp>
        <tr r="D16" s="3"/>
      </tp>
      <tp>
        <v>14.62</v>
        <stp/>
        <stp>LAST</stp>
        <stp>BANC</stp>
        <tr r="D14" s="3"/>
      </tp>
      <tp>
        <v>128.43</v>
        <stp/>
        <stp>LAST</stp>
        <stp>BANF</stp>
        <tr r="D15" s="3"/>
      </tp>
      <tp>
        <v>39.75</v>
        <stp/>
        <stp>LAST</stp>
        <stp>VALU</stp>
        <tr r="D190" s="4"/>
      </tp>
      <tp>
        <v>30.44</v>
        <stp/>
        <stp>LAST</stp>
        <stp>AAMI</stp>
        <tr r="D144" s="4"/>
      </tp>
      <tp>
        <v>14.05</v>
        <stp/>
        <stp>LAST</stp>
        <stp>GAIN</stp>
        <tr r="D159" s="4"/>
      </tp>
      <tp>
        <v>53.97</v>
        <stp/>
        <stp>LAST</stp>
        <stp>MAIN</stp>
        <tr r="D88" s="3"/>
      </tp>
      <tp>
        <v>24.21</v>
        <stp/>
        <stp>LAST</stp>
        <stp>HFWA</stp>
        <tr r="D74" s="4"/>
      </tp>
      <tp>
        <v>5.41</v>
        <stp/>
        <stp>LAST</stp>
        <stp>FFWM</stp>
        <tr r="D55" s="4"/>
      </tp>
      <tp>
        <v>53.94</v>
        <stp/>
        <stp>LAST</stp>
        <stp>AFRM</stp>
        <tr r="D97" s="2"/>
      </tp>
      <tp>
        <v>36.450000000000003</v>
        <stp/>
        <stp>LAST</stp>
        <stp>SFST</stp>
        <tr r="D121" s="4"/>
      </tp>
      <tp>
        <v>24.92</v>
        <stp/>
        <stp>LAST</stp>
        <stp>BFST</stp>
        <tr r="D11" s="4"/>
      </tp>
      <tp>
        <v>54.89</v>
        <stp/>
        <stp>LAST</stp>
        <stp>EFSC</stp>
        <tr r="D46" s="4"/>
      </tp>
      <tp>
        <v>99.59</v>
        <stp/>
        <stp>LAST</stp>
        <stp>PFSI</stp>
        <tr r="D128" s="3"/>
      </tp>
      <tp>
        <v>13.31</v>
        <stp/>
        <stp>LAST</stp>
        <stp>TFSL</stp>
        <tr r="D62" s="3"/>
      </tp>
      <tp>
        <v>5.82</v>
        <stp/>
        <stp>LAST</stp>
        <stp>CFFN</stp>
        <tr r="D32" s="4"/>
      </tp>
      <tp>
        <v>78.349999999999994</v>
        <stp/>
        <stp>LAST</stp>
        <stp>SFBS</stp>
        <tr r="D55" s="3"/>
      </tp>
      <tp>
        <v>85.86</v>
        <stp/>
        <stp>LAST</stp>
        <stp>PFBC</stp>
        <tr r="D111" s="4"/>
      </tp>
      <tp>
        <v>25.19</v>
        <stp/>
        <stp>LAST</stp>
        <stp>FFBC</stp>
        <tr r="D31" s="3"/>
      </tp>
      <tp>
        <v>11.72</v>
        <stp/>
        <stp>LAST</stp>
        <stp>NFBK</stp>
        <tr r="D96" s="4"/>
      </tp>
      <tp>
        <v>28.16</v>
        <stp/>
        <stp>LAST</stp>
        <stp>UFCS</stp>
        <tr r="D262" s="4"/>
      </tp>
      <tp>
        <v>20.260000000000002</v>
        <stp/>
        <stp>LAST</stp>
        <stp>SFNC</stp>
        <tr r="D56" s="3"/>
      </tp>
      <tp>
        <v>10.130000000000001</v>
        <stp/>
        <stp>LAST</stp>
        <stp>PFLT</stp>
        <tr r="D170" s="4"/>
      </tp>
      <tp>
        <v>49.67</v>
        <stp/>
        <stp>LAST</stp>
        <stp>PFIS</stp>
        <tr r="D112" s="4"/>
      </tp>
      <tp>
        <v>13.17</v>
        <stp/>
        <stp>LAST</stp>
        <stp>FFIC</stp>
        <tr r="D54" s="4"/>
      </tp>
      <tp>
        <v>12.78</v>
        <stp/>
        <stp>LAST</stp>
        <stp>MFIC</stp>
        <tr r="D164" s="4"/>
      </tp>
      <tp>
        <v>62.44</v>
        <stp/>
        <stp>LAST</stp>
        <stp>TFIN</stp>
        <tr r="D132" s="4"/>
      </tp>
      <tp>
        <v>46.05</v>
        <stp/>
        <stp>LAST</stp>
        <stp>QFIN</stp>
        <tr r="D116" s="3"/>
      </tp>
      <tp>
        <v>35.93</v>
        <stp/>
        <stp>LAST</stp>
        <stp>FFIN</stp>
        <tr r="D32" s="3"/>
      </tp>
      <tp>
        <v>55.38</v>
        <stp/>
        <stp>LAST</stp>
        <stp>DFIN</stp>
        <tr r="D189" s="4"/>
      </tp>
      <tp>
        <v>13.35</v>
        <stp/>
        <stp>LAST</stp>
        <stp>JFIN</stp>
        <tr r="D196" s="4"/>
      </tp>
      <tp>
        <v>9.84</v>
        <stp/>
        <stp>LAST</stp>
        <stp>HGTY</stp>
        <tr r="D236" s="4"/>
      </tp>
      <tp>
        <v>14.18</v>
        <stp/>
        <stp>LAST</stp>
        <stp>CGBD</stp>
        <tr r="D151" s="4"/>
      </tp>
      <tp>
        <v>19.350000000000001</v>
        <stp/>
        <stp>LAST</stp>
        <stp>EGBN</stp>
        <tr r="D47" s="4"/>
      </tp>
      <tp>
        <v>62.47</v>
        <stp/>
        <stp>LAST</stp>
        <stp>GGAL</stp>
        <tr r="D7" s="3"/>
      </tp>
      <tp>
        <v>9.07</v>
        <stp/>
        <stp>LAST</stp>
        <stp>AGNC</stp>
        <tr r="D172" s="3"/>
      </tp>
      <tp>
        <v>23.58</v>
        <stp/>
        <stp>LAST</stp>
        <stp>IGIC</stp>
        <tr r="D254" s="4"/>
      </tp>
      <tp>
        <v>20.23</v>
        <stp/>
        <stp>LAST</stp>
        <stp>FDUS</stp>
        <tr r="D157" s="4"/>
      </tp>
      <tp>
        <v>81.569999999999993</v>
        <stp/>
        <stp>LAST</stp>
        <stp>NDAQ</stp>
        <tr r="D83" s="2"/>
      </tp>
      <tp>
        <v>10.45</v>
        <stp/>
        <stp>LAST</stp>
        <stp>GDOT</stp>
        <tr r="D195" s="4"/>
      </tp>
      <tp>
        <v>14</v>
        <stp/>
        <stp>LAST</stp>
        <stp>PDLB</stp>
        <tr r="D109" s="4"/>
      </tp>
      <tp>
        <v>11.57</v>
        <stp/>
        <stp>LAST</stp>
        <stp>NEWT</stp>
        <tr r="D211" s="4"/>
      </tp>
      <tp>
        <v>90.54</v>
        <stp/>
        <stp>LAST</stp>
        <stp>SEZL</stp>
        <tr r="D234" s="4"/>
      </tp>
      <tp>
        <v>110.28</v>
        <stp/>
        <stp>LAST</stp>
        <stp>EEFT</stp>
        <tr r="D133" s="3"/>
      </tp>
      <tp>
        <v>15.05</v>
        <stp/>
        <stp>LAST</stp>
        <stp>REFI</stp>
        <tr r="D283" s="4"/>
      </tp>
      <tp>
        <v>30.89</v>
        <stp/>
        <stp>LAST</stp>
        <stp>PEBO</stp>
        <tr r="D110" s="4"/>
      </tp>
      <tp>
        <v>24.08</v>
        <stp/>
        <stp>LAST</stp>
        <stp>NECB</stp>
        <tr r="D95" s="4"/>
      </tp>
      <tp>
        <v>24.22</v>
        <stp/>
        <stp>LAST</stp>
        <stp>RELY</stp>
        <tr r="D140" s="3"/>
      </tp>
      <tp>
        <v>83.98</v>
        <stp/>
        <stp>LAST</stp>
        <stp>SEIC</stp>
        <tr r="D59" s="2"/>
      </tp>
      <tp>
        <v>9.5299999999999994</v>
        <stp/>
        <stp>LAST</stp>
        <stp>WT</stp>
        <tr r="D184" s="4"/>
      </tp>
      <tp>
        <v>9.7100000000000009</v>
        <stp/>
        <stp>LAST</stp>
        <stp>WU</stp>
        <tr r="D143" s="3"/>
      </tp>
      <tp>
        <v>37.869999999999997</v>
        <stp/>
        <stp>LAST</stp>
        <stp>WF</stp>
        <tr r="D10" s="3"/>
      </tp>
      <tp>
        <v>75.88</v>
        <stp/>
        <stp>LAST</stp>
        <stp>WD</stp>
        <tr r="D130" s="3"/>
      </tp>
      <tp>
        <v>141.41</v>
        <stp/>
        <stp>LAST</stp>
        <stp>TW</stp>
        <tr r="D86" s="2"/>
      </tp>
      <tp>
        <v>63.94</v>
        <stp/>
        <stp>LAST</stp>
        <stp>TD</stp>
        <tr r="D37" s="2"/>
      </tp>
      <tp>
        <v>121.8</v>
        <stp/>
        <stp>LAST</stp>
        <stp>RY</stp>
        <tr r="D32" s="2"/>
      </tp>
      <tp>
        <v>29.98</v>
        <stp/>
        <stp>LAST</stp>
        <stp>RM</stp>
        <tr r="D205" s="4"/>
      </tp>
      <tp>
        <v>4.25</v>
        <stp/>
        <stp>LAST</stp>
        <stp>RC</stp>
        <tr r="D282" s="4"/>
      </tp>
      <tp>
        <v>22.44</v>
        <stp/>
        <stp>LAST</stp>
        <stp>RF</stp>
        <tr r="D44" s="2"/>
      </tp>
      <tp>
        <v>99.52</v>
        <stp/>
        <stp>LAST</stp>
        <stp>SF</stp>
        <tr r="D102" s="3"/>
      </tp>
      <tp>
        <v>11.96</v>
        <stp/>
        <stp>LAST</stp>
        <stp>PX</stp>
        <tr r="D173" s="4"/>
      </tp>
      <tp>
        <v>73.349999999999994</v>
        <stp/>
        <stp>LAST</stp>
        <stp>PB</stp>
        <tr r="D48" s="3"/>
      </tp>
      <tp>
        <v>2.99</v>
        <stp/>
        <stp>LAST</stp>
        <stp>QD</stp>
        <tr r="D204" s="4"/>
      </tp>
      <tp>
        <v>18.53</v>
        <stp/>
        <stp>LAST</stp>
        <stp>XP</stp>
        <tr r="D105" s="3"/>
      </tp>
      <tp>
        <v>191</v>
        <stp/>
        <stp>LAST</stp>
        <stp>FI</stp>
        <tr r="D99" s="2"/>
      </tp>
      <tp>
        <v>31.17</v>
        <stp/>
        <stp>LAST</stp>
        <stp>FG</stp>
        <tr r="D149" s="3"/>
      </tp>
      <tp>
        <v>603.80999999999995</v>
        <stp/>
        <stp>LAST</stp>
        <stp>GS</stp>
        <tr r="D63" s="2"/>
      </tp>
      <tp>
        <v>120.09</v>
        <stp/>
        <stp>LAST</stp>
        <stp>GL</stp>
        <tr r="D115" s="2"/>
      </tp>
      <tp>
        <v>7.43</v>
        <stp/>
        <stp>LAST</stp>
        <stp>GB</stp>
        <tr r="D227" s="4"/>
      </tp>
      <tp>
        <v>12.55</v>
        <stp/>
        <stp>LAST</stp>
        <stp>DX</stp>
        <tr r="D271" s="4"/>
      </tp>
      <tp>
        <v>27.51</v>
        <stp/>
        <stp>LAST</stp>
        <stp>DB</stp>
        <tr r="D73" s="2"/>
      </tp>
      <tp>
        <v>148.6</v>
        <stp/>
        <stp>LAST</stp>
        <stp>BX</stp>
        <tr r="D54" s="2"/>
      </tp>
      <tp>
        <v>27.18</v>
        <stp/>
        <stp>LAST</stp>
        <stp>BY</stp>
        <tr r="D23" s="4"/>
      </tp>
      <tp>
        <v>87.93</v>
        <stp/>
        <stp>LAST</stp>
        <stp>BK</stp>
        <tr r="D51" s="2"/>
      </tp>
      <tp>
        <v>59.37</v>
        <stp/>
        <stp>LAST</stp>
        <stp>BN</stp>
        <tr r="D53" s="2"/>
      </tp>
      <tp>
        <v>64.81</v>
        <stp/>
        <stp>LAST</stp>
        <stp>CM</stp>
        <tr r="D14" s="2"/>
      </tp>
      <tp>
        <v>285.33</v>
        <stp/>
        <stp>LAST</stp>
        <stp>CB</stp>
        <tr r="D128" s="2"/>
      </tp>
      <tp>
        <v>45.97</v>
        <stp/>
        <stp>LAST</stp>
        <stp>CG</stp>
        <tr r="D55" s="2"/>
      </tp>
      <tp>
        <v>73.59</v>
        <stp/>
        <stp>LAST</stp>
        <stp>AX</stp>
        <tr r="D13" s="3"/>
      </tp>
      <tp>
        <v>40.909999999999997</v>
        <stp/>
        <stp>LAST</stp>
        <stp>AB</stp>
        <tr r="D76" s="3"/>
      </tp>
      <tp>
        <v>37.5</v>
        <stp/>
        <stp>LAST</stp>
        <stp>AC</stp>
        <tr r="D145" s="4"/>
      </tp>
      <tp>
        <v>13.14</v>
        <stp/>
        <stp>LAST</stp>
        <stp>NU</stp>
        <tr r="D29" s="2"/>
      </tp>
      <tp>
        <v>8.7799999999999994</v>
        <stp/>
        <stp>LAST</stp>
        <stp>LX</stp>
        <tr r="D198" s="4"/>
      </tp>
      <tp>
        <v>2.89</v>
        <stp/>
        <stp>LAST</stp>
        <stp>LU</stp>
        <tr r="D113" s="3"/>
      </tp>
      <tp>
        <v>11.4</v>
        <stp/>
        <stp>LAST</stp>
        <stp>LC</stp>
        <tr r="D197" s="4"/>
      </tp>
      <tp>
        <v>129.35</v>
        <stp/>
        <stp>LAST</stp>
        <stp>MS</stp>
        <tr r="D69" s="2"/>
      </tp>
      <tp>
        <v>4.83</v>
        <stp/>
        <stp>LAST</stp>
        <stp>MQ</stp>
        <tr r="D230" s="4"/>
      </tp>
      <tp>
        <v>61.14</v>
        <stp/>
        <stp>LAST</stp>
        <stp>MC</stp>
        <tr r="D98" s="3"/>
      </tp>
      <tp>
        <v>576.59</v>
        <stp/>
        <stp>LAST</stp>
        <stp>MA</stp>
        <tr r="D103" s="2"/>
      </tp>
      <tp>
        <v>66.36</v>
        <stp/>
        <stp>LAST</stp>
        <stp>KB</stp>
        <tr r="D23" s="2"/>
      </tp>
      <tp>
        <v>20.67</v>
        <stp/>
        <stp>LAST</stp>
        <stp>HG</stp>
        <tr r="D252" s="4"/>
      </tp>
      <tp>
        <v>20.07</v>
        <stp/>
        <stp>LAST</stp>
        <stp>IX</stp>
        <tr r="D96" s="2"/>
      </tp>
      <tp>
        <v>356.14</v>
        <stp/>
        <stp>LAST</stp>
        <stp>V</stp>
        <tr r="D106" s="2"/>
      </tp>
      <tp>
        <v>75.569999999999993</v>
        <stp/>
        <stp>LAST</stp>
        <stp>C</stp>
        <tr r="D13" s="2"/>
      </tp>
      <tp>
        <v>88.59</v>
        <stp/>
        <stp>LAST</stp>
        <stp>L</stp>
        <tr r="D13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8671296299" createdVersion="8" refreshedVersion="8" minRefreshableVersion="3" recordCount="142" xr:uid="{3432845B-C090-4238-AA0B-FA56B072311B}">
  <cacheSource type="worksheet">
    <worksheetSource name="Main_L"/>
  </cacheSource>
  <cacheFields count="26">
    <cacheField name="Industry" numFmtId="0">
      <sharedItems count="58">
        <s v="Banks"/>
        <s v="Capital Markets"/>
        <s v="Consumer Finance"/>
        <s v="Financial Services"/>
        <s v="Insurance"/>
        <s v="Mortgage Real Estate Investment Trusts (REITs)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24" maxValue="693073"/>
    </cacheField>
    <cacheField name="Current Price" numFmtId="0">
      <sharedItems containsSemiMixedTypes="0" containsString="0" containsNumber="1" minValue="2.4300000000000002" maxValue="1955.12"/>
    </cacheField>
    <cacheField name="Free CF" numFmtId="0">
      <sharedItems containsString="0" containsBlank="1" containsNumber="1" minValue="-97.74" maxValue="160.80000000000001"/>
    </cacheField>
    <cacheField name="BVPS" numFmtId="0">
      <sharedItems containsString="0" containsBlank="1" containsNumber="1" minValue="-12.35" maxValue="1596.28"/>
    </cacheField>
    <cacheField name="EPS" numFmtId="0">
      <sharedItems containsString="0" containsBlank="1" containsNumber="1" minValue="-0.63" maxValue="175.01"/>
    </cacheField>
    <cacheField name="P/FCF" numFmtId="2">
      <sharedItems containsMixedTypes="1" containsNumber="1" minValue="-97.992424242424235" maxValue="3075"/>
    </cacheField>
    <cacheField name="P/B" numFmtId="2">
      <sharedItems containsMixedTypes="1" containsNumber="1" minValue="-45.657489878542513" maxValue="1232.5"/>
    </cacheField>
    <cacheField name="ROE" numFmtId="0">
      <sharedItems containsString="0" containsBlank="1" containsNumber="1" minValue="-141.91999999999999" maxValue="187.7"/>
    </cacheField>
    <cacheField name="ROA" numFmtId="0">
      <sharedItems containsString="0" containsBlank="1" containsNumber="1" minValue="-2.34" maxValue="23.36"/>
    </cacheField>
    <cacheField name="A/E" numFmtId="0">
      <sharedItems containsString="0" containsBlank="1" containsNumber="1" minValue="-5.58" maxValue="321.44"/>
    </cacheField>
    <cacheField name="P/E" numFmtId="2">
      <sharedItems containsMixedTypes="1" containsNumber="1" minValue="-585.01923076923072" maxValue="3075"/>
    </cacheField>
    <cacheField name="Preliminary Criteria" numFmtId="0">
      <sharedItems/>
    </cacheField>
    <cacheField name="P/FCF Z-Score" numFmtId="2">
      <sharedItems containsMixedTypes="1" containsNumber="1" minValue="-6.7585249015560871" maxValue="241.90760383840052"/>
    </cacheField>
    <cacheField name="P/B Z-Score" numFmtId="2">
      <sharedItems containsMixedTypes="1" containsNumber="1" minValue="-19.935299539417478" maxValue="2167.5203971328369"/>
    </cacheField>
    <cacheField name="ROE Z-Score" numFmtId="2">
      <sharedItems containsMixedTypes="1" containsNumber="1" minValue="-21.726984867223983" maxValue="11.573640401798677"/>
    </cacheField>
    <cacheField name="ROA Z-Score" numFmtId="2">
      <sharedItems containsMixedTypes="1" containsNumber="1" minValue="-2.125781963074088" maxValue="12.922025773237761"/>
    </cacheField>
    <cacheField name="A/E Z-Score" numFmtId="2">
      <sharedItems containsMixedTypes="1" containsNumber="1" minValue="-3.116728975774917" maxValue="184.81686636916132"/>
    </cacheField>
    <cacheField name="P/E Z-Score" numFmtId="2">
      <sharedItems containsMixedTypes="1" containsNumber="1" minValue="-162.60419221398166" maxValue="1053.1651894469719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8673032408" createdVersion="8" refreshedVersion="8" minRefreshableVersion="3" recordCount="174" xr:uid="{A2646FF5-8A5C-4026-A340-9C8CC354FDFF}">
  <cacheSource type="worksheet">
    <worksheetSource name="Main_M"/>
  </cacheSource>
  <cacheFields count="26">
    <cacheField name="Industry" numFmtId="0">
      <sharedItems count="59">
        <s v="Banks"/>
        <s v="Capital Markets"/>
        <s v="Consumer Finance"/>
        <s v="Financial Services"/>
        <s v="Insurance"/>
        <s v="Mortgage Real Estate Investment Trusts (REITs)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06" maxValue="9986"/>
    </cacheField>
    <cacheField name="Current Price" numFmtId="0">
      <sharedItems containsSemiMixedTypes="0" containsString="0" containsNumber="1" minValue="2.8" maxValue="1784.12"/>
    </cacheField>
    <cacheField name="Free CF" numFmtId="0">
      <sharedItems containsSemiMixedTypes="0" containsString="0" containsNumber="1" minValue="-50.64" maxValue="231.74"/>
    </cacheField>
    <cacheField name="BVPS" numFmtId="0">
      <sharedItems containsSemiMixedTypes="0" containsString="0" containsNumber="1" minValue="-3.53" maxValue="1770.28"/>
    </cacheField>
    <cacheField name="EPS" numFmtId="0">
      <sharedItems containsSemiMixedTypes="0" containsString="0" containsNumber="1" minValue="-2.85" maxValue="89.79"/>
    </cacheField>
    <cacheField name="P/FCF" numFmtId="2">
      <sharedItems containsSemiMixedTypes="0" containsString="0" containsNumber="1" minValue="-445.58064516129031" maxValue="547.79999999999995"/>
    </cacheField>
    <cacheField name="P/B" numFmtId="2">
      <sharedItems containsSemiMixedTypes="0" containsString="0" containsNumber="1" minValue="-29.915014164305948" maxValue="24.96838602329451"/>
    </cacheField>
    <cacheField name="ROE" numFmtId="0">
      <sharedItems containsSemiMixedTypes="0" containsString="0" containsNumber="1" minValue="-85.18" maxValue="136.84"/>
    </cacheField>
    <cacheField name="ROA" numFmtId="0">
      <sharedItems containsSemiMixedTypes="0" containsString="0" containsNumber="1" minValue="-7.1" maxValue="19.88"/>
    </cacheField>
    <cacheField name="A/E" numFmtId="0">
      <sharedItems containsSemiMixedTypes="0" containsString="0" containsNumber="1" minValue="-4.66" maxValue="53.66"/>
    </cacheField>
    <cacheField name="P/E" numFmtId="2">
      <sharedItems containsSemiMixedTypes="0" containsString="0" containsNumber="1" minValue="-127.47368421052632" maxValue="280"/>
    </cacheField>
    <cacheField name="Preliminary Criteria" numFmtId="0">
      <sharedItems/>
    </cacheField>
    <cacheField name="P/FCF Z-Score" numFmtId="2">
      <sharedItems containsSemiMixedTypes="0" containsString="0" containsNumber="1" minValue="-39.755935541385789" maxValue="46.979104964906483"/>
    </cacheField>
    <cacheField name="P/B Z-Score" numFmtId="2">
      <sharedItems containsSemiMixedTypes="0" containsString="0" containsNumber="1" minValue="-22.563779687023523" maxValue="44.217117838839144"/>
    </cacheField>
    <cacheField name="ROE Z-Score" numFmtId="2">
      <sharedItems containsSemiMixedTypes="0" containsString="0" containsNumber="1" minValue="-9.9465640460762366" maxValue="6.109453062815847"/>
    </cacheField>
    <cacheField name="ROA Z-Score" numFmtId="2">
      <sharedItems containsSemiMixedTypes="0" containsString="0" containsNumber="1" minValue="-7.0178865883471646" maxValue="10.222084788971348"/>
    </cacheField>
    <cacheField name="A/E Z-Score" numFmtId="2">
      <sharedItems containsSemiMixedTypes="0" containsString="0" containsNumber="1" minValue="-5.0250990278725336" maxValue="26.20568997758798"/>
    </cacheField>
    <cacheField name="P/E Z-Score" numFmtId="2">
      <sharedItems containsSemiMixedTypes="0" containsString="0" containsNumber="1" minValue="-18.860407827407045" maxValue="69.643966307985266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8674884256" createdVersion="8" refreshedVersion="8" minRefreshableVersion="3" recordCount="285" xr:uid="{FEEDC4AE-CB7E-4F82-B64E-6462C5DE2153}">
  <cacheSource type="worksheet">
    <worksheetSource name="Main_S"/>
  </cacheSource>
  <cacheFields count="26">
    <cacheField name="Industry" numFmtId="0">
      <sharedItems count="60">
        <s v="Banks"/>
        <s v="Capital Markets"/>
        <s v="Consumer Finance"/>
        <s v="Financial Services"/>
        <s v="Insurance"/>
        <s v="Mortgage Real Estate Investment Trusts (REITs)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4" maxValue="1960"/>
    </cacheField>
    <cacheField name="Current Price" numFmtId="0">
      <sharedItems containsSemiMixedTypes="0" containsString="0" containsNumber="1" minValue="1.31" maxValue="262.5"/>
    </cacheField>
    <cacheField name="Free CF" numFmtId="0">
      <sharedItems containsString="0" containsBlank="1" containsNumber="1" minValue="-65.099999999999994" maxValue="53.54"/>
    </cacheField>
    <cacheField name="BVPS" numFmtId="0">
      <sharedItems containsString="0" containsBlank="1" containsNumber="1" minValue="-2.15" maxValue="200.69"/>
    </cacheField>
    <cacheField name="EPS" numFmtId="0">
      <sharedItems containsString="0" containsBlank="1" containsNumber="1" minValue="-34.11" maxValue="16.84"/>
    </cacheField>
    <cacheField name="P/FCF" numFmtId="2">
      <sharedItems containsMixedTypes="1" containsNumber="1" minValue="-327.62962962962956" maxValue="774"/>
    </cacheField>
    <cacheField name="P/B" numFmtId="2">
      <sharedItems containsMixedTypes="1" containsNumber="1" minValue="-20.241935483870968" maxValue="52.482758620689658"/>
    </cacheField>
    <cacheField name="ROE" numFmtId="0">
      <sharedItems containsString="0" containsBlank="1" containsNumber="1" minValue="-163.96" maxValue="230.62"/>
    </cacheField>
    <cacheField name="ROA" numFmtId="0">
      <sharedItems containsString="0" containsBlank="1" containsNumber="1" minValue="-3.84" maxValue="33.590000000000003"/>
    </cacheField>
    <cacheField name="A/E" numFmtId="0">
      <sharedItems containsString="0" containsBlank="1" containsNumber="1" minValue="-22.18" maxValue="237.35"/>
    </cacheField>
    <cacheField name="P/E" numFmtId="2">
      <sharedItems containsMixedTypes="1" containsNumber="1" minValue="-757.75" maxValue="555"/>
    </cacheField>
    <cacheField name="Preliminary Criteria" numFmtId="0">
      <sharedItems/>
    </cacheField>
    <cacheField name="P/FCF Z-Score" numFmtId="2">
      <sharedItems containsMixedTypes="1" containsNumber="1" minValue="-31.763945010376137" maxValue="134.91242327892294"/>
    </cacheField>
    <cacheField name="P/B Z-Score" numFmtId="2">
      <sharedItems containsMixedTypes="1" containsNumber="1" minValue="-20.192141346634763" maxValue="47.436123491947512"/>
    </cacheField>
    <cacheField name="ROE Z-Score" numFmtId="2">
      <sharedItems containsSemiMixedTypes="0" containsString="0" containsNumber="1" minValue="-42.225612283054588" maxValue="34.218048666658078"/>
    </cacheField>
    <cacheField name="ROA Z-Score" numFmtId="2">
      <sharedItems containsSemiMixedTypes="0" containsString="0" containsNumber="1" minValue="-11.069831195928172" maxValue="13.080403288454335"/>
    </cacheField>
    <cacheField name="A/E Z-Score" numFmtId="2">
      <sharedItems containsSemiMixedTypes="0" containsString="0" containsNumber="1" minValue="-52.915870058380442" maxValue="278.54192258497841"/>
    </cacheField>
    <cacheField name="P/E Z-Score" numFmtId="2">
      <sharedItems containsMixedTypes="1" containsNumber="1" minValue="-293.67460350149292" maxValue="59.65695526069772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s v="BAC"/>
    <n v="308280"/>
    <n v="44.28"/>
    <n v="0.57999999999999996"/>
    <n v="36.39"/>
    <n v="3.35"/>
    <n v="76.344827586206904"/>
    <n v="1.2168178070898599"/>
    <n v="9.4600000000000009"/>
    <n v="0.84"/>
    <n v="12.18"/>
    <n v="13.217910447761193"/>
    <s v="NO"/>
    <n v="6.0059372901824846"/>
    <n v="-0.22917182956047136"/>
    <n v="-0.63741868409029656"/>
    <n v="-0.20787823161266789"/>
    <n v="-0.40210841804799052"/>
    <n v="0.4086704577889182"/>
    <x v="0"/>
    <x v="0"/>
    <x v="0"/>
    <x v="0"/>
    <x v="0"/>
    <x v="0"/>
  </r>
  <r>
    <x v="0"/>
    <s v="BAP"/>
    <n v="15909"/>
    <n v="206.47"/>
    <n v="0.41"/>
    <n v="114.64"/>
    <n v="18.32"/>
    <n v="503.58536585365857"/>
    <n v="1.8010293091416609"/>
    <n v="16.52"/>
    <n v="2.27"/>
    <n v="7.46"/>
    <n v="11.270196506550219"/>
    <s v="NO"/>
    <n v="39.616589132194854"/>
    <n v="0.79936835524102179"/>
    <n v="1.4054278643238076"/>
    <n v="2.4771038308941686"/>
    <n v="-1.4540796029799359"/>
    <n v="-0.26102728318775342"/>
    <x v="0"/>
    <x v="0"/>
    <x v="0"/>
    <x v="0"/>
    <x v="0"/>
    <x v="0"/>
  </r>
  <r>
    <x v="0"/>
    <s v="BBD"/>
    <n v="24010"/>
    <n v="2.75"/>
    <n v="-1.51"/>
    <n v="2.57"/>
    <n v="0.26"/>
    <n v="-1.8211920529801324"/>
    <n v="1.0700389105058365"/>
    <n v="10.44"/>
    <n v="0.88"/>
    <n v="12.29"/>
    <n v="10.576923076923077"/>
    <s v="NO"/>
    <n v="-0.14331737236076925"/>
    <n v="-0.48758508039048415"/>
    <n v="-0.35385074960788587"/>
    <n v="-0.13277383825583322"/>
    <n v="-0.37759214043305128"/>
    <n v="-0.49940091695236177"/>
    <x v="1"/>
    <x v="0"/>
    <x v="0"/>
    <x v="0"/>
    <x v="0"/>
    <x v="0"/>
  </r>
  <r>
    <x v="0"/>
    <s v="BBDO"/>
    <n v="22212"/>
    <n v="2.4300000000000002"/>
    <n v="-1.51"/>
    <n v="2.57"/>
    <n v="0.26"/>
    <n v="-1.6092715231788079"/>
    <n v="0.94552529182879386"/>
    <n v="10.44"/>
    <n v="0.88"/>
    <n v="12.29"/>
    <n v="9.3461538461538467"/>
    <s v="NO"/>
    <n v="-0.12664576349562856"/>
    <n v="-0.70679894371670227"/>
    <n v="-0.35385074960788587"/>
    <n v="-0.13277383825583322"/>
    <n v="-0.37759214043305128"/>
    <n v="-0.92258594226325674"/>
    <x v="1"/>
    <x v="0"/>
    <x v="0"/>
    <x v="0"/>
    <x v="0"/>
    <x v="0"/>
  </r>
  <r>
    <x v="0"/>
    <s v="BBVA"/>
    <n v="81859"/>
    <n v="14.76"/>
    <n v="-3.71"/>
    <n v="10.34"/>
    <n v="1.91"/>
    <n v="-3.9784366576819408"/>
    <n v="1.4274661508704063"/>
    <n v="19.38"/>
    <n v="1.42"/>
    <n v="14.03"/>
    <n v="7.7277486910994764"/>
    <s v="NO"/>
    <n v="-0.31302598110075547"/>
    <n v="0.14168750080060868"/>
    <n v="2.2329832649561503"/>
    <n v="0.88113547206143361"/>
    <n v="1.0210796385081173E-2"/>
    <n v="-1.4790548637985426"/>
    <x v="1"/>
    <x v="0"/>
    <x v="0"/>
    <x v="0"/>
    <x v="0"/>
    <x v="0"/>
  </r>
  <r>
    <x v="0"/>
    <s v="BCH"/>
    <n v="15430"/>
    <n v="30.75"/>
    <n v="0.01"/>
    <n v="0.06"/>
    <n v="0.01"/>
    <n v="3075"/>
    <n v="512.5"/>
    <n v="23.44"/>
    <n v="2.2400000000000002"/>
    <n v="9.9700000000000006"/>
    <n v="3075"/>
    <s v="NO"/>
    <n v="241.90760383840052"/>
    <n v="899.91623244897903"/>
    <n v="3.4077647078118543"/>
    <n v="2.420775535876543"/>
    <n v="-0.89466272285722748"/>
    <n v="1053.1651894469719"/>
    <x v="0"/>
    <x v="1"/>
    <x v="1"/>
    <x v="0"/>
    <x v="0"/>
    <x v="1"/>
  </r>
  <r>
    <x v="0"/>
    <s v="BCS"/>
    <n v="56852"/>
    <n v="17"/>
    <n v="-0.8"/>
    <n v="5.56"/>
    <n v="0.48"/>
    <n v="-21.25"/>
    <n v="3.0575539568345325"/>
    <n v="8.98"/>
    <n v="0.42"/>
    <n v="21.28"/>
    <n v="35.416666666666671"/>
    <s v="NO"/>
    <n v="-1.6717652632390965"/>
    <n v="3.011557072523523"/>
    <n v="-0.7763091009796409"/>
    <n v="-0.99647436185943117"/>
    <n v="1.6260563664606331"/>
    <n v="8.041442692837844"/>
    <x v="1"/>
    <x v="0"/>
    <x v="0"/>
    <x v="0"/>
    <x v="0"/>
    <x v="1"/>
  </r>
  <r>
    <x v="0"/>
    <s v="BMO"/>
    <n v="71332"/>
    <n v="101.87"/>
    <n v="-22.12"/>
    <n v="81"/>
    <n v="7.3"/>
    <n v="-4.6053345388788429"/>
    <n v="1.2576543209876543"/>
    <n v="9.91"/>
    <n v="0.59"/>
    <n v="17.11"/>
    <n v="13.954794520547946"/>
    <s v="NO"/>
    <n v="-0.36234350726727826"/>
    <n v="-0.15727664193822907"/>
    <n v="-0.50720891825653658"/>
    <n v="-0.67728069009288405"/>
    <n v="0.69666656960338447"/>
    <n v="0.66203908059610239"/>
    <x v="1"/>
    <x v="0"/>
    <x v="0"/>
    <x v="0"/>
    <x v="0"/>
    <x v="0"/>
  </r>
  <r>
    <x v="0"/>
    <s v="BNS"/>
    <n v="62389"/>
    <n v="50.67"/>
    <n v="7.06"/>
    <n v="46.83"/>
    <n v="3.34"/>
    <n v="7.1770538243626065"/>
    <n v="1.0819987187700193"/>
    <n v="8.01"/>
    <n v="0.47"/>
    <n v="16.97"/>
    <n v="15.170658682634732"/>
    <s v="NO"/>
    <n v="0.5645670212846321"/>
    <n v="-0.46652910432868072"/>
    <n v="-1.0569834851101909"/>
    <n v="-0.90259387016338788"/>
    <n v="0.6654640344570979"/>
    <n v="1.0800991793895396"/>
    <x v="1"/>
    <x v="0"/>
    <x v="0"/>
    <x v="0"/>
    <x v="0"/>
    <x v="0"/>
  </r>
  <r>
    <x v="0"/>
    <s v="BSAC"/>
    <n v="11373"/>
    <n v="24.65"/>
    <n v="0"/>
    <n v="0.02"/>
    <n v="0.01"/>
    <s v=""/>
    <n v="1232.5"/>
    <n v="23.1"/>
    <n v="1.44"/>
    <n v="15.03"/>
    <n v="2465"/>
    <s v="NO"/>
    <e v="#VALUE!"/>
    <n v="2167.5203971328369"/>
    <n v="3.3093839958485689"/>
    <n v="0.91868766873985097"/>
    <n v="0.23308604742998484"/>
    <n v="843.42411127725961"/>
    <x v="0"/>
    <x v="1"/>
    <x v="1"/>
    <x v="0"/>
    <x v="0"/>
    <x v="1"/>
  </r>
  <r>
    <x v="0"/>
    <s v="BSBR"/>
    <n v="37074"/>
    <n v="5.42"/>
    <n v="-0.51"/>
    <n v="2.13"/>
    <n v="0.33"/>
    <n v="-10.627450980392156"/>
    <n v="2.5446009389671365"/>
    <n v="13.71"/>
    <n v="1.21"/>
    <n v="13.64"/>
    <n v="16.424242424242422"/>
    <s v="NO"/>
    <n v="-0.83609831501226783"/>
    <n v="2.1084718201126003"/>
    <n v="0.59234021545077209"/>
    <n v="0.48683740693805205"/>
    <n v="-7.6710551522430989E-2"/>
    <n v="1.5111286966695707"/>
    <x v="1"/>
    <x v="0"/>
    <x v="0"/>
    <x v="0"/>
    <x v="0"/>
    <x v="0"/>
  </r>
  <r>
    <x v="0"/>
    <s v="C"/>
    <n v="131206"/>
    <n v="75.569999999999993"/>
    <n v="-13.76"/>
    <n v="103.9"/>
    <n v="6.33"/>
    <n v="-5.4920058139534875"/>
    <n v="0.72733397497593832"/>
    <n v="6.44"/>
    <n v="0.54"/>
    <n v="13.25"/>
    <n v="11.938388625592415"/>
    <s v="NO"/>
    <n v="-0.43209718664821595"/>
    <n v="-1.0909381408563341"/>
    <n v="-1.5112708903524208"/>
    <n v="-0.77116118178892723"/>
    <n v="-0.16363189942994355"/>
    <n v="-3.1277552905105803E-2"/>
    <x v="1"/>
    <x v="0"/>
    <x v="0"/>
    <x v="0"/>
    <x v="0"/>
    <x v="0"/>
  </r>
  <r>
    <x v="0"/>
    <s v="CM"/>
    <n v="60058"/>
    <n v="64.81"/>
    <n v="-21.71"/>
    <n v="43.54"/>
    <n v="5.3"/>
    <n v="-2.9852602487333026"/>
    <n v="1.4885163068442813"/>
    <n v="13.1"/>
    <n v="0.74"/>
    <n v="18.2"/>
    <n v="12.228301886792453"/>
    <s v="NO"/>
    <n v="-0.23489363290589355"/>
    <n v="0.24917004519933511"/>
    <n v="0.41583364398723011"/>
    <n v="-0.39563921500475435"/>
    <n v="0.93960059324232947"/>
    <n v="6.8405594602752251E-2"/>
    <x v="1"/>
    <x v="0"/>
    <x v="0"/>
    <x v="0"/>
    <x v="0"/>
    <x v="0"/>
  </r>
  <r>
    <x v="0"/>
    <s v="FCNCA"/>
    <n v="24076"/>
    <n v="1955.12"/>
    <n v="97.06"/>
    <n v="1596.28"/>
    <n v="175.01"/>
    <n v="20.143416443437047"/>
    <n v="1.2247976545468213"/>
    <n v="11.46"/>
    <n v="1.1299999999999999"/>
    <n v="10.69"/>
    <n v="11.171475915661961"/>
    <s v="NO"/>
    <n v="1.584619803294236"/>
    <n v="-0.21512281862993493"/>
    <n v="-5.8708613718028976E-2"/>
    <n v="0.33662862022438272"/>
    <n v="-0.73419254210489704"/>
    <n v="-0.29497115723767842"/>
    <x v="1"/>
    <x v="0"/>
    <x v="0"/>
    <x v="0"/>
    <x v="0"/>
    <x v="0"/>
  </r>
  <r>
    <x v="0"/>
    <s v="FITB"/>
    <n v="24496"/>
    <n v="39.43"/>
    <n v="3.54"/>
    <n v="27.41"/>
    <n v="3.15"/>
    <n v="11.138418079096045"/>
    <n v="1.4385260853703028"/>
    <n v="11.72"/>
    <n v="1.08"/>
    <n v="11.63"/>
    <n v="12.517460317460317"/>
    <s v="NO"/>
    <n v="0.87620419720704068"/>
    <n v="0.16115919390227465"/>
    <n v="1.6523695430365751E-2"/>
    <n v="0.24274812852833985"/>
    <n v="-0.52468980612268734"/>
    <n v="0.16782920281609645"/>
    <x v="1"/>
    <x v="0"/>
    <x v="0"/>
    <x v="0"/>
    <x v="0"/>
    <x v="0"/>
  </r>
  <r>
    <x v="0"/>
    <s v="HDB"/>
    <n v="185852"/>
    <n v="72.39"/>
    <n v="-3.24"/>
    <n v="7.99"/>
    <n v="1.08"/>
    <n v="-22.342592592592592"/>
    <n v="9.0600750938673347"/>
    <n v="14.57"/>
    <n v="1.74"/>
    <n v="8.42"/>
    <n v="67.027777777777771"/>
    <s v="NO"/>
    <n v="-1.7577185985281811"/>
    <n v="13.579363727948056"/>
    <n v="0.84118554571084703"/>
    <n v="1.4819706189161104"/>
    <n v="-1.2401193619768283"/>
    <n v="18.910538638062466"/>
    <x v="1"/>
    <x v="1"/>
    <x v="0"/>
    <x v="0"/>
    <x v="0"/>
    <x v="1"/>
  </r>
  <r>
    <x v="0"/>
    <s v="HSBC"/>
    <n v="198824"/>
    <n v="58.34"/>
    <n v="0.88"/>
    <n v="9.74"/>
    <n v="1.08"/>
    <n v="66.295454545454547"/>
    <n v="5.9897330595482545"/>
    <n v="10.96"/>
    <n v="0.72"/>
    <n v="16.010000000000002"/>
    <n v="54.018518518518519"/>
    <s v="NO"/>
    <n v="5.2153616114958528"/>
    <n v="8.1738382422442051"/>
    <n v="-0.20338613131109587"/>
    <n v="-0.43319141168317166"/>
    <n v="0.45150379345399094"/>
    <n v="14.437463124576645"/>
    <x v="0"/>
    <x v="1"/>
    <x v="0"/>
    <x v="0"/>
    <x v="0"/>
    <x v="1"/>
  </r>
  <r>
    <x v="0"/>
    <s v="IBN"/>
    <n v="120455"/>
    <n v="33.520000000000003"/>
    <n v="-1.33"/>
    <n v="5.16"/>
    <n v="0.83"/>
    <n v="-25.203007518796994"/>
    <n v="6.4961240310077519"/>
    <n v="18.23"/>
    <n v="2.1800000000000002"/>
    <n v="8.42"/>
    <n v="40.385542168674704"/>
    <s v="NO"/>
    <n v="-1.9827450218124061"/>
    <n v="9.0653706094391548"/>
    <n v="1.9002249744920967"/>
    <n v="2.3081189458412914"/>
    <n v="-1.2401193619768283"/>
    <n v="9.7499300782185578"/>
    <x v="1"/>
    <x v="1"/>
    <x v="0"/>
    <x v="0"/>
    <x v="0"/>
    <x v="1"/>
  </r>
  <r>
    <x v="0"/>
    <s v="ING"/>
    <n v="60514"/>
    <n v="20.79"/>
    <n v="-18.02"/>
    <n v="18.329999999999998"/>
    <n v="1.78"/>
    <n v="-1.1537180910099889"/>
    <n v="1.1342062193126023"/>
    <n v="10.24"/>
    <n v="0.52"/>
    <n v="20.88"/>
    <n v="11.679775280898875"/>
    <s v="NO"/>
    <n v="-9.0807760233693149E-2"/>
    <n v="-0.37461459722380153"/>
    <n v="-0.4117217566451124"/>
    <n v="-0.80871337846734448"/>
    <n v="1.5369062660426713"/>
    <n v="-0.12019860494625097"/>
    <x v="1"/>
    <x v="0"/>
    <x v="0"/>
    <x v="0"/>
    <x v="0"/>
    <x v="0"/>
  </r>
  <r>
    <x v="0"/>
    <s v="ITUB"/>
    <n v="65780"/>
    <n v="6.62"/>
    <n v="-1.55"/>
    <n v="3.17"/>
    <n v="0.61"/>
    <n v="-4.2709677419354835"/>
    <n v="2.0883280757097791"/>
    <n v="20.04"/>
    <n v="1.56"/>
    <n v="13.52"/>
    <n v="10.852459016393443"/>
    <s v="NO"/>
    <n v="-0.33603915411491669"/>
    <n v="1.3051754566441913"/>
    <n v="2.4239575881789985"/>
    <n v="1.1440008488103548"/>
    <n v="-0.10345558164781965"/>
    <n v="-0.40466123659331393"/>
    <x v="1"/>
    <x v="0"/>
    <x v="0"/>
    <x v="0"/>
    <x v="0"/>
    <x v="0"/>
  </r>
  <r>
    <x v="0"/>
    <s v="JPM"/>
    <n v="693073"/>
    <n v="263.01"/>
    <n v="-48.99"/>
    <n v="119.24"/>
    <n v="20.39"/>
    <n v="-5.3686466625842009"/>
    <n v="2.2057195571955721"/>
    <n v="17.350000000000001"/>
    <n v="1.41"/>
    <n v="13.15"/>
    <n v="12.898970083374202"/>
    <s v="NO"/>
    <n v="-0.42239262653083381"/>
    <n v="1.511850360574468"/>
    <n v="1.6455925435282994"/>
    <n v="0.86235937372222493"/>
    <n v="-0.18591942453443383"/>
    <n v="0.29900669402110097"/>
    <x v="1"/>
    <x v="0"/>
    <x v="0"/>
    <x v="0"/>
    <x v="0"/>
    <x v="0"/>
  </r>
  <r>
    <x v="0"/>
    <s v="KB"/>
    <n v="24262"/>
    <n v="66.36"/>
    <n v="-36.49"/>
    <n v="95.94"/>
    <n v="10.050000000000001"/>
    <n v="-1.818580432995341"/>
    <n v="0.69168230143839904"/>
    <n v="8.49"/>
    <n v="0.68"/>
    <n v="13.09"/>
    <n v="6.602985074626865"/>
    <s v="NO"/>
    <n v="-0.14311191842512816"/>
    <n v="-1.1537050989870758"/>
    <n v="-0.91809306822084658"/>
    <n v="-0.50829580504000615"/>
    <n v="-0.19929193959712818"/>
    <n v="-1.8657911483969531"/>
    <x v="1"/>
    <x v="0"/>
    <x v="0"/>
    <x v="0"/>
    <x v="0"/>
    <x v="0"/>
  </r>
  <r>
    <x v="0"/>
    <s v="KEY"/>
    <n v="16936"/>
    <n v="16.62"/>
    <n v="0.48"/>
    <n v="14.84"/>
    <n v="-0.13"/>
    <n v="34.625"/>
    <n v="1.119946091644205"/>
    <n v="0.14000000000000001"/>
    <n v="0.01"/>
    <n v="11.43"/>
    <n v="-127.84615384615385"/>
    <s v="NO"/>
    <n v="2.7238737350827811"/>
    <n v="-0.39972042669794594"/>
    <n v="-3.3342076120250637"/>
    <n v="-1.7662943937669855"/>
    <n v="-0.56926485633166835"/>
    <n v="-48.094491732387112"/>
    <x v="1"/>
    <x v="0"/>
    <x v="1"/>
    <x v="0"/>
    <x v="0"/>
    <x v="1"/>
  </r>
  <r>
    <x v="0"/>
    <s v="LYG"/>
    <n v="58184"/>
    <n v="3.91"/>
    <n v="-0.43"/>
    <n v="1.02"/>
    <n v="0.08"/>
    <n v="-9.0930232558139537"/>
    <n v="3.8333333333333335"/>
    <n v="9.24"/>
    <n v="0.5"/>
    <n v="19.04"/>
    <n v="48.875"/>
    <s v="NO"/>
    <n v="-0.71538618353553851"/>
    <n v="4.3773642510314765"/>
    <n v="-0.70107679183124627"/>
    <n v="-0.84626557514576184"/>
    <n v="1.1268158041200484"/>
    <n v="12.668926862839012"/>
    <x v="1"/>
    <x v="1"/>
    <x v="0"/>
    <x v="0"/>
    <x v="0"/>
    <x v="1"/>
  </r>
  <r>
    <x v="0"/>
    <s v="MFG"/>
    <n v="61607"/>
    <n v="5.17"/>
    <n v="-4.1399999999999997"/>
    <n v="26.49"/>
    <n v="2.2400000000000002"/>
    <n v="-1.248792270531401"/>
    <n v="0.19516798791996981"/>
    <n v="8.73"/>
    <n v="0.32"/>
    <n v="27.18"/>
    <n v="2.308035714285714"/>
    <s v="NO"/>
    <n v="-9.8287165535487761E-2"/>
    <n v="-2.0278490040441692"/>
    <n v="-0.84864785977617441"/>
    <n v="-1.1842353452515173"/>
    <n v="2.9410203476255647"/>
    <n v="-3.3425572295810024"/>
    <x v="1"/>
    <x v="0"/>
    <x v="0"/>
    <x v="0"/>
    <x v="0"/>
    <x v="1"/>
  </r>
  <r>
    <x v="0"/>
    <s v="MUFG"/>
    <n v="141070"/>
    <n v="13.02"/>
    <n v="7.42"/>
    <n v="11.17"/>
    <n v="0.96"/>
    <n v="1.7547169811320755"/>
    <n v="1.1656222023276634"/>
    <n v="8.91"/>
    <n v="0.46"/>
    <n v="20.27"/>
    <n v="13.5625"/>
    <s v="NO"/>
    <n v="0.13799636732236523"/>
    <n v="-0.31930483207445598"/>
    <n v="-0.79656395344267039"/>
    <n v="-0.92136996850259645"/>
    <n v="1.4009523629052802"/>
    <n v="0.52715338272758339"/>
    <x v="1"/>
    <x v="0"/>
    <x v="0"/>
    <x v="0"/>
    <x v="0"/>
    <x v="0"/>
  </r>
  <r>
    <x v="0"/>
    <s v="NTIOF"/>
    <n v="34963"/>
    <n v="90.49"/>
    <n v="-97.74"/>
    <n v="49.91"/>
    <n v="7.48"/>
    <n v="-0.92582361366891752"/>
    <n v="1.8130635143257865"/>
    <n v="15.47"/>
    <n v="0.85"/>
    <n v="19.55"/>
    <n v="12.097593582887699"/>
    <s v="NO"/>
    <n v="-7.2879494424250749E-2"/>
    <n v="0.82055531164387963"/>
    <n v="1.1016050773783674"/>
    <n v="-0.18910213327345923"/>
    <n v="1.2404821821529497"/>
    <n v="2.3463134624526753E-2"/>
    <x v="1"/>
    <x v="0"/>
    <x v="0"/>
    <x v="0"/>
    <x v="0"/>
    <x v="0"/>
  </r>
  <r>
    <x v="0"/>
    <s v="NU"/>
    <n v="59607"/>
    <n v="13.14"/>
    <n v="-0.77"/>
    <n v="1.59"/>
    <n v="0.4"/>
    <n v="-17.064935064935064"/>
    <n v="8.2641509433962259"/>
    <n v="28.07"/>
    <n v="4.2300000000000004"/>
    <n v="6.53"/>
    <n v="32.85"/>
    <s v="NO"/>
    <n v="-1.3425297439714303"/>
    <n v="12.17809043918467"/>
    <n v="4.7474785207236536"/>
    <n v="6.1572191053790641"/>
    <n v="-1.6613535864516962"/>
    <n v="7.1589255879707467"/>
    <x v="1"/>
    <x v="1"/>
    <x v="1"/>
    <x v="1"/>
    <x v="0"/>
    <x v="1"/>
  </r>
  <r>
    <x v="0"/>
    <s v="NWG"/>
    <n v="51594"/>
    <n v="13.12"/>
    <n v="-1.58"/>
    <n v="6.66"/>
    <n v="0.74"/>
    <n v="-8.3037974683544302"/>
    <n v="1.9699699699699698"/>
    <n v="12.78"/>
    <n v="0.72"/>
    <n v="17.07"/>
    <n v="17.72972972972973"/>
    <s v="NO"/>
    <n v="-0.65329845825878907"/>
    <n v="1.0967987514221431"/>
    <n v="0.32324003272766721"/>
    <n v="-0.43319141168317166"/>
    <n v="0.68775155956158851"/>
    <n v="1.960004622882326"/>
    <x v="1"/>
    <x v="0"/>
    <x v="0"/>
    <x v="0"/>
    <x v="0"/>
    <x v="0"/>
  </r>
  <r>
    <x v="0"/>
    <s v="PNC"/>
    <n v="64865"/>
    <n v="177.53"/>
    <n v="13.23"/>
    <n v="127.98"/>
    <n v="14.15"/>
    <n v="13.418745275888133"/>
    <n v="1.387169870292233"/>
    <n v="11.33"/>
    <n v="1.0900000000000001"/>
    <n v="10.95"/>
    <n v="12.546289752650177"/>
    <s v="NO"/>
    <n v="1.0555956093798069"/>
    <n v="7.0743427075384169E-2"/>
    <n v="-9.6324768292226595E-2"/>
    <n v="0.2615242268675485"/>
    <n v="-0.67624497683322216"/>
    <n v="0.17774185334026846"/>
    <x v="1"/>
    <x v="0"/>
    <x v="0"/>
    <x v="0"/>
    <x v="0"/>
    <x v="0"/>
  </r>
  <r>
    <x v="0"/>
    <s v="RY"/>
    <n v="169772"/>
    <n v="121.8"/>
    <n v="-29.9"/>
    <n v="59.77"/>
    <n v="8.4499999999999993"/>
    <n v="-4.0735785953177261"/>
    <n v="2.037811611176175"/>
    <n v="14.24"/>
    <n v="0.85"/>
    <n v="17.850000000000001"/>
    <n v="14.414201183431954"/>
    <s v="NO"/>
    <n v="-0.32051071687610705"/>
    <n v="1.2162381221609957"/>
    <n v="0.7456983840994228"/>
    <n v="-0.18910213327345923"/>
    <n v="0.86159425537661372"/>
    <n v="0.8200004720578099"/>
    <x v="1"/>
    <x v="0"/>
    <x v="0"/>
    <x v="0"/>
    <x v="0"/>
    <x v="0"/>
  </r>
  <r>
    <x v="0"/>
    <s v="SAN"/>
    <n v="106925"/>
    <n v="7.57"/>
    <n v="-0.37"/>
    <n v="7.27"/>
    <n v="0.87"/>
    <n v="-20.45945945945946"/>
    <n v="1.0412654745529575"/>
    <n v="13.33"/>
    <n v="0.79"/>
    <n v="18.2"/>
    <n v="8.7011494252873565"/>
    <s v="NO"/>
    <n v="-1.6095741074493075"/>
    <n v="-0.53824247934344771"/>
    <n v="0.48238530208004105"/>
    <n v="-0.30175872330871101"/>
    <n v="0.93960059324232947"/>
    <n v="-1.1443628646514021"/>
    <x v="1"/>
    <x v="0"/>
    <x v="0"/>
    <x v="0"/>
    <x v="0"/>
    <x v="0"/>
  </r>
  <r>
    <x v="0"/>
    <s v="SCBFY"/>
    <n v="33070"/>
    <n v="31.14"/>
    <m/>
    <m/>
    <m/>
    <s v=""/>
    <s v=""/>
    <m/>
    <m/>
    <m/>
    <s v=""/>
    <s v="NO"/>
    <e v="#VALUE!"/>
    <e v="#VALUE!"/>
    <n v="-3.3747173169511226"/>
    <n v="-1.7850704921061942"/>
    <n v="-3.116728975774917"/>
    <e v="#VALUE!"/>
    <x v="0"/>
    <x v="1"/>
    <x v="1"/>
    <x v="0"/>
    <x v="1"/>
    <x v="1"/>
  </r>
  <r>
    <x v="0"/>
    <s v="SHG"/>
    <n v="17749"/>
    <n v="36.72"/>
    <n v="-46.85"/>
    <n v="70.010000000000005"/>
    <n v="6.04"/>
    <n v="-0.78377801494130195"/>
    <n v="0.52449650049992858"/>
    <n v="7.92"/>
    <n v="0.64"/>
    <n v="13.2"/>
    <n v="6.0794701986754962"/>
    <s v="NO"/>
    <n v="-6.1704887295712274E-2"/>
    <n v="-1.448045956689314"/>
    <n v="-1.0830254382769429"/>
    <n v="-0.58340019839684076"/>
    <n v="-0.17477566198218888"/>
    <n v="-2.0457953689214174"/>
    <x v="1"/>
    <x v="0"/>
    <x v="0"/>
    <x v="0"/>
    <x v="0"/>
    <x v="0"/>
  </r>
  <r>
    <x v="0"/>
    <s v="SMFG"/>
    <n v="90543"/>
    <n v="14.62"/>
    <n v="-6.47"/>
    <n v="24.65"/>
    <n v="1.97"/>
    <n v="-2.2596599690880987"/>
    <n v="0.59310344827586203"/>
    <n v="8.51"/>
    <n v="0.42"/>
    <n v="20.54"/>
    <n v="7.4213197969543145"/>
    <s v="NO"/>
    <n v="-0.17781127252286502"/>
    <n v="-1.3272592167906736"/>
    <n v="-0.91230596751712401"/>
    <n v="-0.99647436185943117"/>
    <n v="1.461128680687404"/>
    <n v="-1.5844167107499505"/>
    <x v="1"/>
    <x v="0"/>
    <x v="0"/>
    <x v="0"/>
    <x v="0"/>
    <x v="0"/>
  </r>
  <r>
    <x v="0"/>
    <s v="TD"/>
    <n v="110592"/>
    <n v="63.94"/>
    <n v="-32.68"/>
    <n v="45.3"/>
    <n v="3.24"/>
    <n v="-1.9565483476132191"/>
    <n v="1.4114790286975718"/>
    <n v="7.61"/>
    <n v="0.44"/>
    <n v="18.100000000000001"/>
    <n v="19.734567901234566"/>
    <s v="NO"/>
    <n v="-0.15396573759311899"/>
    <n v="0.11354119156783836"/>
    <n v="-1.1727254991846443"/>
    <n v="-0.95892216518101381"/>
    <n v="0.91731306813783964"/>
    <n v="2.6493438354187511"/>
    <x v="1"/>
    <x v="0"/>
    <x v="0"/>
    <x v="0"/>
    <x v="0"/>
    <x v="0"/>
  </r>
  <r>
    <x v="0"/>
    <s v="USB"/>
    <n v="64428"/>
    <n v="44.37"/>
    <n v="7"/>
    <n v="34.159999999999997"/>
    <n v="4.04"/>
    <n v="6.3385714285714281"/>
    <n v="1.2988875878220141"/>
    <n v="11.53"/>
    <n v="0.99"/>
    <n v="12.7"/>
    <n v="10.982673267326732"/>
    <s v="NO"/>
    <n v="0.49860432028514995"/>
    <n v="-8.4682946434402329E-2"/>
    <n v="-3.8453761255000045E-2"/>
    <n v="7.376324347546187E-2"/>
    <n v="-0.2862132875046407"/>
    <n v="-0.35988865071821641"/>
    <x v="1"/>
    <x v="0"/>
    <x v="0"/>
    <x v="0"/>
    <x v="0"/>
    <x v="0"/>
  </r>
  <r>
    <x v="0"/>
    <s v="WFC"/>
    <n v="238141"/>
    <n v="75.989999999999995"/>
    <n v="0.89"/>
    <n v="49.82"/>
    <n v="5.57"/>
    <n v="85.382022471910105"/>
    <n v="1.525291047771979"/>
    <n v="11.02"/>
    <n v="1.03"/>
    <n v="12"/>
    <n v="13.642728904847395"/>
    <s v="NO"/>
    <n v="6.7168857693776882"/>
    <n v="0.31391423235922333"/>
    <n v="-0.18602482919992822"/>
    <n v="0.14886763683229653"/>
    <n v="-0.44222596323607316"/>
    <n v="0.55473911551949806"/>
    <x v="0"/>
    <x v="0"/>
    <x v="0"/>
    <x v="0"/>
    <x v="0"/>
    <x v="0"/>
  </r>
  <r>
    <x v="0"/>
    <s v="CFG"/>
    <n v="16513"/>
    <n v="41.87"/>
    <n v="2.1800000000000002"/>
    <n v="51.99"/>
    <n v="3.15"/>
    <n v="19.206422018348622"/>
    <n v="0.80534718215041345"/>
    <n v="6.37"/>
    <n v="0.7"/>
    <n v="9.68"/>
    <n v="13.292063492063491"/>
    <s v="NO"/>
    <n v="1.5109072442583726"/>
    <n v="-0.95359110430812677"/>
    <n v="-1.5315257428154503"/>
    <n v="-0.47074360836158896"/>
    <n v="-0.95929654566024969"/>
    <n v="0.43416707985700081"/>
    <x v="1"/>
    <x v="0"/>
    <x v="0"/>
    <x v="0"/>
    <x v="0"/>
    <x v="0"/>
  </r>
  <r>
    <x v="0"/>
    <s v="EWBC"/>
    <n v="12044"/>
    <n v="96"/>
    <n v="10.16"/>
    <n v="57.54"/>
    <n v="8.3800000000000008"/>
    <n v="9.4488188976377945"/>
    <n v="1.6684045881126173"/>
    <n v="15.66"/>
    <n v="1.59"/>
    <n v="9.61"/>
    <n v="11.455847255369928"/>
    <s v="NO"/>
    <n v="0.74328485844103431"/>
    <n v="0.56587439869039602"/>
    <n v="1.1565825340637328"/>
    <n v="1.2003291438279808"/>
    <n v="-0.97489781323339308"/>
    <n v="-0.19719353200667097"/>
    <x v="1"/>
    <x v="0"/>
    <x v="0"/>
    <x v="0"/>
    <x v="0"/>
    <x v="0"/>
  </r>
  <r>
    <x v="0"/>
    <s v="HBAN"/>
    <n v="21794"/>
    <n v="16.09"/>
    <n v="1.06"/>
    <n v="12.66"/>
    <n v="1.3"/>
    <n v="15.179245283018867"/>
    <n v="1.2709320695102686"/>
    <n v="10.37"/>
    <n v="1.03"/>
    <n v="11.36"/>
    <n v="12.376923076923076"/>
    <s v="NO"/>
    <n v="1.1940926561429352"/>
    <n v="-0.13390035120921401"/>
    <n v="-0.37410560207091531"/>
    <n v="0.14886763683229653"/>
    <n v="-0.58486612390481163"/>
    <n v="0.11950718256482215"/>
    <x v="1"/>
    <x v="0"/>
    <x v="0"/>
    <x v="0"/>
    <x v="0"/>
    <x v="0"/>
  </r>
  <r>
    <x v="0"/>
    <s v="MTB"/>
    <n v="28248"/>
    <n v="186.5"/>
    <n v="19.559999999999999"/>
    <n v="163.62"/>
    <n v="14.94"/>
    <n v="9.53476482617587"/>
    <n v="1.1398362058428064"/>
    <n v="9.41"/>
    <n v="1.24"/>
    <n v="7.91"/>
    <n v="12.48326639892905"/>
    <s v="NO"/>
    <n v="0.75004615195743607"/>
    <n v="-0.36470266059491163"/>
    <n v="-0.65188643584960348"/>
    <n v="0.54316570195567804"/>
    <n v="-1.3537857400097291"/>
    <n v="0.15607203996430088"/>
    <x v="1"/>
    <x v="0"/>
    <x v="0"/>
    <x v="0"/>
    <x v="0"/>
    <x v="0"/>
  </r>
  <r>
    <x v="0"/>
    <s v="RF"/>
    <n v="18681"/>
    <n v="22.44"/>
    <n v="1.47"/>
    <n v="18.7"/>
    <n v="2.0699999999999998"/>
    <n v="15.265306122448981"/>
    <n v="1.2000000000000002"/>
    <n v="11.31"/>
    <n v="1.28"/>
    <n v="9.51"/>
    <n v="10.840579710144929"/>
    <s v="NO"/>
    <n v="1.2008629896020373"/>
    <n v="-0.25878061054374335"/>
    <n v="-0.10211186899594915"/>
    <n v="0.61827009531251276"/>
    <n v="-0.99718533833788336"/>
    <n v="-0.40874579151211943"/>
    <x v="1"/>
    <x v="0"/>
    <x v="0"/>
    <x v="0"/>
    <x v="0"/>
    <x v="0"/>
  </r>
  <r>
    <x v="0"/>
    <s v="TFC"/>
    <n v="50692"/>
    <n v="41.35"/>
    <n v="2.67"/>
    <n v="44.85"/>
    <n v="-0.2"/>
    <n v="15.486891385767791"/>
    <n v="0.92196209587513933"/>
    <n v="0.13"/>
    <n v="0.02"/>
    <n v="9.1300000000000008"/>
    <n v="-206.75"/>
    <s v="NO"/>
    <n v="1.2182949148798463"/>
    <n v="-0.74828339555574996"/>
    <n v="-3.3371011623769249"/>
    <n v="-1.7475182954277768"/>
    <n v="-1.0818779337349465"/>
    <n v="-75.22461921442779"/>
    <x v="1"/>
    <x v="0"/>
    <x v="1"/>
    <x v="0"/>
    <x v="0"/>
    <x v="1"/>
  </r>
  <r>
    <x v="1"/>
    <s v="AMP"/>
    <n v="45783"/>
    <n v="519.69000000000005"/>
    <n v="66.819999999999993"/>
    <n v="56.79"/>
    <n v="29.43"/>
    <n v="7.7774618377731235"/>
    <n v="9.1510829371368203"/>
    <n v="58.11"/>
    <n v="2.2200000000000002"/>
    <n v="33"/>
    <n v="17.658511722731909"/>
    <s v="NO"/>
    <n v="-0.48477889715982975"/>
    <n v="2.0774548058030868"/>
    <n v="5.982998584837862"/>
    <n v="-0.59246254757902894"/>
    <n v="4.5653556336856207"/>
    <n v="-0.75086765269972067"/>
    <x v="1"/>
    <x v="0"/>
    <x v="1"/>
    <x v="0"/>
    <x v="1"/>
    <x v="0"/>
  </r>
  <r>
    <x v="1"/>
    <s v="ARCC"/>
    <n v="14334"/>
    <n v="21.78"/>
    <n v="-3.41"/>
    <n v="19.809999999999999"/>
    <n v="2.04"/>
    <n v="-6.387096774193548"/>
    <n v="1.0994447248864212"/>
    <n v="10.29"/>
    <n v="5.37"/>
    <n v="2.0699999999999998"/>
    <n v="10.676470588235295"/>
    <s v="NO"/>
    <n v="-1.3249503891522005"/>
    <n v="-1.1563227756513865"/>
    <n v="-0.6414647890440428"/>
    <n v="0.20971111452023661"/>
    <n v="-0.80376324262783994"/>
    <n v="-1.340409723471969"/>
    <x v="1"/>
    <x v="0"/>
    <x v="0"/>
    <x v="0"/>
    <x v="0"/>
    <x v="0"/>
  </r>
  <r>
    <x v="1"/>
    <s v="ARES"/>
    <n v="35410"/>
    <n v="172.5"/>
    <n v="13.63"/>
    <n v="10.25"/>
    <n v="2.0699999999999998"/>
    <n v="12.655906089508436"/>
    <n v="16.829268292682926"/>
    <n v="17.89"/>
    <n v="2.5"/>
    <n v="11.94"/>
    <n v="83.333333333333343"/>
    <s v="NO"/>
    <n v="-0.19541373599488349"/>
    <n v="5.1612426033272492"/>
    <n v="0.41135665891711332"/>
    <n v="-0.52115822205909434"/>
    <n v="0.90956373148188696"/>
    <n v="4.7945122131700391"/>
    <x v="1"/>
    <x v="1"/>
    <x v="0"/>
    <x v="0"/>
    <x v="0"/>
    <x v="1"/>
  </r>
  <r>
    <x v="1"/>
    <s v="BAM"/>
    <n v="91379"/>
    <n v="58.32"/>
    <n v="1.43"/>
    <n v="7.73"/>
    <n v="1.28"/>
    <n v="40.783216783216787"/>
    <n v="7.5446313065976707"/>
    <n v="20.18"/>
    <n v="1.76"/>
    <n v="1.35"/>
    <n v="45.5625"/>
    <s v="NO"/>
    <n v="1.4729590837060453"/>
    <n v="1.4322560112739755"/>
    <n v="0.72858838468435627"/>
    <n v="-0.70960536807606467"/>
    <n v="-0.92874758116471945"/>
    <n v="1.6052592613207042"/>
    <x v="1"/>
    <x v="0"/>
    <x v="0"/>
    <x v="0"/>
    <x v="0"/>
    <x v="0"/>
  </r>
  <r>
    <x v="1"/>
    <s v="BEN"/>
    <n v="10752"/>
    <n v="21.58"/>
    <n v="1.29"/>
    <n v="23.5"/>
    <n v="0.69"/>
    <n v="16.728682170542633"/>
    <n v="0.91829787234042548"/>
    <n v="2.8"/>
    <n v="2.2200000000000002"/>
    <n v="2.59"/>
    <n v="31.275362318840578"/>
    <s v="NO"/>
    <n v="4.6163177927621042E-2"/>
    <n v="-1.2290767438839649"/>
    <n v="-1.6790480318373397"/>
    <n v="-0.59246254757902894"/>
    <n v="-0.71349677590675997"/>
    <n v="0.39889731476276408"/>
    <x v="1"/>
    <x v="0"/>
    <x v="0"/>
    <x v="0"/>
    <x v="0"/>
    <x v="0"/>
  </r>
  <r>
    <x v="1"/>
    <s v="BK"/>
    <n v="60061"/>
    <n v="87.93"/>
    <n v="2.86"/>
    <n v="52.82"/>
    <n v="6.13"/>
    <n v="30.744755244755247"/>
    <n v="1.6647103369935632"/>
    <n v="11.23"/>
    <n v="1.08"/>
    <n v="11.66"/>
    <n v="14.344208809135401"/>
    <s v="NO"/>
    <n v="0.87752724293185258"/>
    <n v="-0.92929527940620771"/>
    <n v="-0.5112473994277944"/>
    <n v="-0.88277301576733469"/>
    <n v="0.86095871093976717"/>
    <n v="-1.0307171931434629"/>
    <x v="1"/>
    <x v="0"/>
    <x v="0"/>
    <x v="0"/>
    <x v="0"/>
    <x v="0"/>
  </r>
  <r>
    <x v="1"/>
    <s v="BLK"/>
    <n v="142676"/>
    <n v="959.18"/>
    <n v="31.33"/>
    <n v="306.52"/>
    <n v="41.15"/>
    <n v="30.615384615384617"/>
    <n v="3.1292574709643741"/>
    <n v="14.38"/>
    <n v="3.67"/>
    <n v="2.92"/>
    <n v="23.3093560145808"/>
    <s v="NO"/>
    <n v="0.86985361767631608"/>
    <n v="-0.3410895548106273"/>
    <n v="-7.4880615075473125E-2"/>
    <n v="-0.22320800470793853"/>
    <n v="-0.65621228741069004"/>
    <n v="-0.27372774744072365"/>
    <x v="1"/>
    <x v="0"/>
    <x v="0"/>
    <x v="0"/>
    <x v="0"/>
    <x v="0"/>
  </r>
  <r>
    <x v="1"/>
    <s v="BN"/>
    <n v="86225"/>
    <n v="59.37"/>
    <n v="-2.4900000000000002"/>
    <n v="27.79"/>
    <n v="0.31"/>
    <n v="-23.8433734939759"/>
    <n v="2.1363799928031666"/>
    <n v="1.1100000000000001"/>
    <n v="2.64"/>
    <n v="11.71"/>
    <n v="191.51612903225805"/>
    <s v="NO"/>
    <n v="-2.3603703029009209"/>
    <n v="-0.73985870530768827"/>
    <n v="-1.9131622748708075"/>
    <n v="-0.48550605929912688"/>
    <n v="0.86963817889371731"/>
    <n v="13.929134620815507"/>
    <x v="1"/>
    <x v="0"/>
    <x v="0"/>
    <x v="0"/>
    <x v="0"/>
    <x v="1"/>
  </r>
  <r>
    <x v="1"/>
    <s v="BX"/>
    <n v="104114"/>
    <n v="148.6"/>
    <n v="4.46"/>
    <n v="10.68"/>
    <n v="3.31"/>
    <n v="33.318385650224215"/>
    <n v="13.913857677902621"/>
    <n v="26.6"/>
    <n v="11.89"/>
    <n v="5.67"/>
    <n v="44.894259818731115"/>
    <s v="NO"/>
    <n v="1.0301822572415127"/>
    <n v="3.9903269165708859"/>
    <n v="1.617945449935754"/>
    <n v="1.8700832659130022"/>
    <n v="-0.17884154994344098"/>
    <n v="1.548835116482594"/>
    <x v="1"/>
    <x v="1"/>
    <x v="0"/>
    <x v="0"/>
    <x v="0"/>
    <x v="0"/>
  </r>
  <r>
    <x v="1"/>
    <s v="CG"/>
    <n v="14417"/>
    <n v="45.97"/>
    <n v="-2.33"/>
    <n v="15.7"/>
    <n v="2.77"/>
    <n v="-19.729613733905577"/>
    <n v="2.9280254777070063"/>
    <n v="17.989999999999998"/>
    <n v="4.93"/>
    <n v="4.12"/>
    <n v="16.595667870036099"/>
    <s v="NO"/>
    <n v="-2.1163624400370193"/>
    <n v="-0.42191031343301388"/>
    <n v="0.42520957270607562"/>
    <n v="9.7661460131767658E-2"/>
    <n v="-0.44790505651589047"/>
    <n v="-0.84061091742069227"/>
    <x v="1"/>
    <x v="0"/>
    <x v="0"/>
    <x v="0"/>
    <x v="0"/>
    <x v="0"/>
  </r>
  <r>
    <x v="1"/>
    <s v="KKR"/>
    <n v="103224"/>
    <n v="126.9"/>
    <n v="7.34"/>
    <n v="26.63"/>
    <n v="3.28"/>
    <n v="17.288828337874662"/>
    <n v="4.7653022906496441"/>
    <n v="8.15"/>
    <n v="1.45"/>
    <n v="15.22"/>
    <n v="38.689024390243908"/>
    <s v="NO"/>
    <n v="7.9388275442736342E-2"/>
    <n v="0.31599474538848094"/>
    <n v="-0.93791714412784177"/>
    <n v="-0.78854944275884942"/>
    <n v="1.4789368292610059"/>
    <n v="1.0248841294187778"/>
    <x v="1"/>
    <x v="0"/>
    <x v="0"/>
    <x v="0"/>
    <x v="0"/>
    <x v="0"/>
  </r>
  <r>
    <x v="1"/>
    <s v="NTRS"/>
    <n v="19053"/>
    <n v="107.14"/>
    <n v="14.45"/>
    <n v="61.65"/>
    <n v="10.76"/>
    <n v="7.4145328719723187"/>
    <n v="1.737875101378751"/>
    <n v="17.68"/>
    <n v="1.38"/>
    <n v="13.76"/>
    <n v="9.9572490706319705"/>
    <s v="NO"/>
    <n v="-0.50630604664873102"/>
    <n v="-0.89991013211267445"/>
    <n v="0.38226553996029183"/>
    <n v="-0.80637552413883318"/>
    <n v="1.2254963650056665"/>
    <n v="-1.4011385754887358"/>
    <x v="1"/>
    <x v="0"/>
    <x v="0"/>
    <x v="0"/>
    <x v="0"/>
    <x v="0"/>
  </r>
  <r>
    <x v="1"/>
    <s v="OWL"/>
    <n v="11318"/>
    <n v="19.97"/>
    <n v="1.7"/>
    <n v="3.5"/>
    <n v="0.16"/>
    <n v="11.747058823529411"/>
    <n v="5.7057142857142855"/>
    <n v="7.59"/>
    <n v="4.91"/>
    <n v="5.17"/>
    <n v="124.81249999999999"/>
    <s v="NO"/>
    <n v="-0.24932205635762894"/>
    <n v="0.69369219611893829"/>
    <n v="-1.0154934613460322"/>
    <n v="9.2568294023201006E-2"/>
    <n v="-0.2656362294829408"/>
    <n v="8.2968854217370662"/>
    <x v="1"/>
    <x v="0"/>
    <x v="0"/>
    <x v="0"/>
    <x v="0"/>
    <x v="1"/>
  </r>
  <r>
    <x v="1"/>
    <s v="SEIC"/>
    <n v="10029"/>
    <n v="83.98"/>
    <n v="4.68"/>
    <n v="18.09"/>
    <n v="4.59"/>
    <n v="17.944444444444446"/>
    <n v="4.6423438363736871"/>
    <n v="26.62"/>
    <n v="13.97"/>
    <n v="1.1399999999999999"/>
    <n v="18.296296296296298"/>
    <s v="NO"/>
    <n v="0.11827617710778407"/>
    <n v="0.2666109700118236"/>
    <n v="1.6207160326935464"/>
    <n v="2.3997725412039461"/>
    <n v="-0.96520134657130963"/>
    <n v="-0.69701508566914072"/>
    <x v="1"/>
    <x v="0"/>
    <x v="0"/>
    <x v="0"/>
    <x v="0"/>
    <x v="0"/>
  </r>
  <r>
    <x v="1"/>
    <s v="STT"/>
    <n v="26094"/>
    <n v="97.78"/>
    <n v="-36.979999999999997"/>
    <n v="80.13"/>
    <n v="8.9"/>
    <n v="-2.6441319632233644"/>
    <n v="1.2202670660177213"/>
    <n v="11.22"/>
    <n v="0.81"/>
    <n v="16.11"/>
    <n v="10.986516853932583"/>
    <s v="NO"/>
    <n v="-1.102936246964177"/>
    <n v="-1.1077969268999137"/>
    <n v="-0.51263269080669061"/>
    <n v="-0.95153075823298594"/>
    <n v="1.6334313588413159"/>
    <n v="-1.3142303707592955"/>
    <x v="1"/>
    <x v="0"/>
    <x v="0"/>
    <x v="0"/>
    <x v="0"/>
    <x v="0"/>
  </r>
  <r>
    <x v="1"/>
    <s v="TROW"/>
    <n v="20141"/>
    <n v="97.19"/>
    <n v="5.75"/>
    <n v="47.02"/>
    <n v="8.81"/>
    <n v="16.902608695652173"/>
    <n v="2.0669927690344534"/>
    <n v="18.45"/>
    <n v="10.99"/>
    <n v="1.35"/>
    <n v="11.031782065834278"/>
    <s v="NO"/>
    <n v="5.647963833429244E-2"/>
    <n v="-0.76772667984251475"/>
    <n v="0.48893297613530362"/>
    <n v="1.6408907910274977"/>
    <n v="-0.92874758116471945"/>
    <n v="-1.3104083155401387"/>
    <x v="1"/>
    <x v="0"/>
    <x v="0"/>
    <x v="0"/>
    <x v="0"/>
    <x v="0"/>
  </r>
  <r>
    <x v="1"/>
    <s v="FUTU"/>
    <n v="14157"/>
    <n v="112.34"/>
    <n v="28.76"/>
    <n v="25.92"/>
    <n v="5.01"/>
    <n v="3.9061196105702365"/>
    <n v="4.3341049382716044"/>
    <n v="20.67"/>
    <n v="4.25"/>
    <n v="5.67"/>
    <n v="22.423153692614772"/>
    <s v="NO"/>
    <n v="-0.71440775211717544"/>
    <n v="0.14281305309869516"/>
    <n v="0.79646766225027321"/>
    <n v="-7.5506187559502294E-2"/>
    <n v="-0.17884154994344098"/>
    <n v="-0.3485559448046302"/>
    <x v="1"/>
    <x v="0"/>
    <x v="0"/>
    <x v="0"/>
    <x v="0"/>
    <x v="0"/>
  </r>
  <r>
    <x v="1"/>
    <s v="GS"/>
    <n v="169352"/>
    <n v="603.80999999999995"/>
    <n v="-75.510000000000005"/>
    <n v="371.45"/>
    <n v="42.98"/>
    <n v="-7.9964243146603087"/>
    <n v="1.6255485260465741"/>
    <n v="12.22"/>
    <n v="0.86"/>
    <n v="16.18"/>
    <n v="14.048627268496976"/>
    <s v="NO"/>
    <n v="-1.4204077315106178"/>
    <n v="-0.9450238284233321"/>
    <n v="-0.37410355291706482"/>
    <n v="-0.9387978429615691"/>
    <n v="1.6455826139768457"/>
    <n v="-1.0556751889778131"/>
    <x v="1"/>
    <x v="0"/>
    <x v="0"/>
    <x v="0"/>
    <x v="0"/>
    <x v="0"/>
  </r>
  <r>
    <x v="1"/>
    <s v="HLI"/>
    <n v="11518"/>
    <n v="178.49"/>
    <n v="10.38"/>
    <n v="29.66"/>
    <n v="5.23"/>
    <n v="17.195568400770714"/>
    <n v="6.0178691840863117"/>
    <n v="18.64"/>
    <n v="11.15"/>
    <n v="1.67"/>
    <n v="34.12810707456979"/>
    <s v="NO"/>
    <n v="7.3856557678263088E-2"/>
    <n v="0.81906289530917464"/>
    <n v="0.5152535123343327"/>
    <n v="1.6816361198960319"/>
    <n v="-0.8731989862594397"/>
    <n v="0.63977430449687356"/>
    <x v="1"/>
    <x v="0"/>
    <x v="0"/>
    <x v="0"/>
    <x v="0"/>
    <x v="0"/>
  </r>
  <r>
    <x v="1"/>
    <s v="HOOD"/>
    <n v="44115"/>
    <n v="62.57"/>
    <n v="1.2"/>
    <n v="8.99"/>
    <n v="1.75"/>
    <n v="52.141666666666666"/>
    <n v="6.9599555061179084"/>
    <n v="21.43"/>
    <n v="4.32"/>
    <n v="3.46"/>
    <n v="35.754285714285714"/>
    <s v="NO"/>
    <n v="2.1466860982023803"/>
    <n v="1.1974328055897303"/>
    <n v="0.90174980704638852"/>
    <n v="-5.7680106179518548E-2"/>
    <n v="-0.56247403350803027"/>
    <n v="0.77708382534272058"/>
    <x v="1"/>
    <x v="0"/>
    <x v="0"/>
    <x v="0"/>
    <x v="0"/>
    <x v="0"/>
  </r>
  <r>
    <x v="1"/>
    <s v="IBKR"/>
    <n v="19594"/>
    <n v="202.78"/>
    <n v="80.239999999999995"/>
    <n v="41.33"/>
    <n v="7.26"/>
    <n v="2.527168494516451"/>
    <n v="4.9063634164045489"/>
    <n v="22.25"/>
    <n v="2.4700000000000002"/>
    <n v="35.020000000000003"/>
    <n v="27.931129476584022"/>
    <s v="NO"/>
    <n v="-0.79620030551030907"/>
    <n v="0.37264909249847689"/>
    <n v="1.0153437001158816"/>
    <n v="-0.52879797122194439"/>
    <n v="4.9160061390252006"/>
    <n v="0.11652058323257432"/>
    <x v="1"/>
    <x v="0"/>
    <x v="0"/>
    <x v="0"/>
    <x v="1"/>
    <x v="0"/>
  </r>
  <r>
    <x v="1"/>
    <s v="JEF"/>
    <n v="10051"/>
    <n v="54.37"/>
    <n v="-8.23"/>
    <n v="49.47"/>
    <n v="2.85"/>
    <n v="-6.6063183475091121"/>
    <n v="1.0990499292500504"/>
    <n v="6.8"/>
    <n v="1.04"/>
    <n v="6.88"/>
    <n v="19.07719298245614"/>
    <s v="NO"/>
    <n v="-1.3379535275750136"/>
    <n v="-1.1564813373309477"/>
    <n v="-1.1249314802788366"/>
    <n v="-0.89295934798446819"/>
    <n v="3.1201574542148631E-2"/>
    <n v="-0.63107857218409791"/>
    <x v="1"/>
    <x v="0"/>
    <x v="0"/>
    <x v="0"/>
    <x v="0"/>
    <x v="0"/>
  </r>
  <r>
    <x v="1"/>
    <s v="LPLA"/>
    <n v="26756"/>
    <n v="382.99"/>
    <n v="-3.94"/>
    <n v="39.26"/>
    <n v="14.03"/>
    <n v="-97.205583756345177"/>
    <n v="9.7552215995924616"/>
    <n v="42.26"/>
    <n v="8.93"/>
    <n v="4.54"/>
    <n v="27.29793300071276"/>
    <s v="NO"/>
    <n v="-6.711853419354691"/>
    <n v="2.3200948762134175"/>
    <n v="3.7873117492872934"/>
    <n v="1.1162946818451207"/>
    <n v="-0.37499752570271061"/>
    <n v="6.3055421054358712E-2"/>
    <x v="0"/>
    <x v="0"/>
    <x v="1"/>
    <x v="0"/>
    <x v="0"/>
    <x v="0"/>
  </r>
  <r>
    <x v="1"/>
    <s v="MS"/>
    <n v="191074"/>
    <n v="129.35"/>
    <n v="-1.32"/>
    <n v="58.98"/>
    <n v="8.5299999999999994"/>
    <n v="-97.992424242424235"/>
    <n v="2.1931163106137674"/>
    <n v="13.17"/>
    <n v="1.1200000000000001"/>
    <n v="12.82"/>
    <n v="15.164126611957796"/>
    <s v="NO"/>
    <n v="-6.7585249015560871"/>
    <n v="-0.71707171118877133"/>
    <n v="-0.24250087192192044"/>
    <n v="-0.87258668355020108"/>
    <n v="1.0623223674714068"/>
    <n v="-0.9614858566291733"/>
    <x v="0"/>
    <x v="0"/>
    <x v="0"/>
    <x v="0"/>
    <x v="0"/>
    <x v="0"/>
  </r>
  <r>
    <x v="1"/>
    <s v="NMR"/>
    <n v="16259"/>
    <n v="5.92"/>
    <n v="-1.96"/>
    <n v="7.83"/>
    <n v="0.74"/>
    <n v="-3.0204081632653059"/>
    <n v="0.75606641123882501"/>
    <n v="9.8800000000000008"/>
    <n v="0.62"/>
    <n v="16.36"/>
    <n v="8"/>
    <s v="NO"/>
    <n v="-1.1252550883097434"/>
    <n v="-1.2942337278526139"/>
    <n v="-0.69826173557878912"/>
    <n v="-0.99991583626437019"/>
    <n v="1.6768286986110656"/>
    <n v="-1.566402664870332"/>
    <x v="1"/>
    <x v="0"/>
    <x v="0"/>
    <x v="0"/>
    <x v="0"/>
    <x v="0"/>
  </r>
  <r>
    <x v="1"/>
    <s v="RJF"/>
    <n v="29084"/>
    <n v="153.04"/>
    <n v="10.91"/>
    <n v="57.89"/>
    <n v="10.38"/>
    <n v="14.027497708524288"/>
    <n v="2.6436344791846604"/>
    <n v="19.11"/>
    <n v="2.67"/>
    <n v="6.95"/>
    <n v="14.743737957610788"/>
    <s v="NO"/>
    <n v="-0.11405771153117591"/>
    <n v="-0.53613020398768074"/>
    <n v="0.58036220714245668"/>
    <n v="-0.47786631013627678"/>
    <n v="4.3352829677678659E-2"/>
    <n v="-0.99698218113353498"/>
    <x v="1"/>
    <x v="0"/>
    <x v="0"/>
    <x v="0"/>
    <x v="0"/>
    <x v="0"/>
  </r>
  <r>
    <x v="1"/>
    <s v="SCHW"/>
    <n v="152555"/>
    <n v="86.22"/>
    <n v="0.88"/>
    <n v="21.4"/>
    <n v="3.3"/>
    <n v="97.97727272727272"/>
    <n v="4.028971962616823"/>
    <n v="13.3"/>
    <n v="1.22"/>
    <n v="12.25"/>
    <n v="26.127272727272729"/>
    <s v="NO"/>
    <n v="4.8654273301232722"/>
    <n v="2.0262567095283658E-2"/>
    <n v="-0.22449208399626897"/>
    <n v="-0.84712085300736739"/>
    <n v="0.96337643279637697"/>
    <n v="-3.5791530500360345E-2"/>
    <x v="0"/>
    <x v="0"/>
    <x v="0"/>
    <x v="0"/>
    <x v="0"/>
    <x v="0"/>
  </r>
  <r>
    <x v="1"/>
    <s v="DB"/>
    <n v="51760"/>
    <n v="27.51"/>
    <n v="-34.67"/>
    <n v="44.35"/>
    <n v="1.79"/>
    <n v="-0.79348139601961354"/>
    <n v="0.62029312288613303"/>
    <n v="5.16"/>
    <n v="0.3"/>
    <n v="17.71"/>
    <n v="15.368715083798882"/>
    <s v="NO"/>
    <n v="-0.99316481738426032"/>
    <n v="-1.3487643220573147"/>
    <n v="-1.352119266417823"/>
    <n v="-1.0814064940014385"/>
    <n v="1.9111743333677156"/>
    <n v="-0.94421103555294084"/>
    <x v="1"/>
    <x v="0"/>
    <x v="0"/>
    <x v="0"/>
    <x v="0"/>
    <x v="0"/>
  </r>
  <r>
    <x v="1"/>
    <s v="UBS"/>
    <n v="98439"/>
    <n v="32.49"/>
    <n v="9.6999999999999993"/>
    <n v="27.35"/>
    <n v="1.51"/>
    <n v="3.3494845360824748"/>
    <n v="1.1879341864716637"/>
    <n v="5.86"/>
    <n v="0.32"/>
    <n v="17.7"/>
    <n v="21.516556291390728"/>
    <s v="NO"/>
    <n v="-0.74742458898723263"/>
    <n v="-1.1207827737876721"/>
    <n v="-1.255148869895085"/>
    <n v="-1.0763133278928716"/>
    <n v="1.9094384397769253"/>
    <n v="-0.42510623990868451"/>
    <x v="1"/>
    <x v="0"/>
    <x v="0"/>
    <x v="0"/>
    <x v="0"/>
    <x v="0"/>
  </r>
  <r>
    <x v="1"/>
    <s v="CBOE"/>
    <n v="24527"/>
    <n v="220.38"/>
    <n v="10.01"/>
    <n v="42.51"/>
    <n v="7.62"/>
    <n v="22.015984015984017"/>
    <n v="5.1841919548341568"/>
    <n v="19.02"/>
    <n v="9.32"/>
    <n v="1.95"/>
    <n v="28.921259842519685"/>
    <s v="NO"/>
    <n v="0.35977974740868884"/>
    <n v="0.484233303733276"/>
    <n v="0.5678945847323903"/>
    <n v="1.2156114209621729"/>
    <n v="-0.8245939657173198"/>
    <n v="0.20012414485929619"/>
    <x v="1"/>
    <x v="0"/>
    <x v="0"/>
    <x v="0"/>
    <x v="0"/>
    <x v="0"/>
  </r>
  <r>
    <x v="1"/>
    <s v="CME"/>
    <n v="102638"/>
    <n v="268.33999999999997"/>
    <n v="10.64"/>
    <n v="75.16"/>
    <n v="9.94"/>
    <n v="25.219924812030072"/>
    <n v="3.5702501330494942"/>
    <n v="13.39"/>
    <n v="1.76"/>
    <n v="5.84"/>
    <n v="26.995975855130784"/>
    <s v="NO"/>
    <n v="0.54982165359241342"/>
    <n v="-0.16397377456269582"/>
    <n v="-0.21202446158620267"/>
    <n v="-0.70960536807606467"/>
    <n v="-0.14933135890001104"/>
    <n v="3.7559088755292395E-2"/>
    <x v="1"/>
    <x v="0"/>
    <x v="0"/>
    <x v="0"/>
    <x v="0"/>
    <x v="0"/>
  </r>
  <r>
    <x v="1"/>
    <s v="COIN"/>
    <n v="49903"/>
    <n v="256.89999999999998"/>
    <n v="10.34"/>
    <n v="40.520000000000003"/>
    <n v="9.48"/>
    <n v="24.845261121856865"/>
    <n v="6.3400789733464942"/>
    <n v="31.15"/>
    <n v="6.82"/>
    <n v="2.19"/>
    <n v="27.099156118143455"/>
    <s v="NO"/>
    <n v="0.52759845834916363"/>
    <n v="0.94847193798690399"/>
    <n v="2.248253027333551"/>
    <n v="0.57896565739132722"/>
    <n v="-0.78293251953835974"/>
    <n v="4.627131269490415E-2"/>
    <x v="1"/>
    <x v="0"/>
    <x v="0"/>
    <x v="0"/>
    <x v="0"/>
    <x v="0"/>
  </r>
  <r>
    <x v="1"/>
    <s v="FDS"/>
    <n v="16704"/>
    <n v="451.43"/>
    <n v="14.85"/>
    <n v="54.14"/>
    <n v="14.08"/>
    <n v="30.399326599326599"/>
    <n v="8.3381972663465085"/>
    <n v="28.12"/>
    <n v="10.81"/>
    <n v="2.06"/>
    <n v="32.061789772727273"/>
    <s v="NO"/>
    <n v="0.85703812580811078"/>
    <n v="1.7509757230137244"/>
    <n v="1.8285097395279852"/>
    <n v="1.595052296050397"/>
    <n v="-0.8054991362186299"/>
    <n v="0.46530082925737404"/>
    <x v="1"/>
    <x v="0"/>
    <x v="0"/>
    <x v="0"/>
    <x v="0"/>
    <x v="0"/>
  </r>
  <r>
    <x v="1"/>
    <s v="ICE"/>
    <n v="101262"/>
    <n v="172.84"/>
    <n v="6.58"/>
    <n v="48.74"/>
    <n v="4.83"/>
    <n v="26.267477203647417"/>
    <n v="3.5461633155519081"/>
    <n v="10.42"/>
    <n v="2.09"/>
    <n v="5.1100000000000003"/>
    <n v="35.784679089026916"/>
    <s v="NO"/>
    <n v="0.6119572753167476"/>
    <n v="-0.17364775746890354"/>
    <n v="-0.62345600111839128"/>
    <n v="-0.625568127284713"/>
    <n v="-0.27605159102768073"/>
    <n v="0.77965014839031133"/>
    <x v="1"/>
    <x v="0"/>
    <x v="0"/>
    <x v="0"/>
    <x v="0"/>
    <x v="0"/>
  </r>
  <r>
    <x v="1"/>
    <s v="MCO"/>
    <n v="84188"/>
    <n v="484.7"/>
    <n v="13.78"/>
    <n v="20.56"/>
    <n v="11.56"/>
    <n v="35.174165457184323"/>
    <n v="23.574902723735409"/>
    <n v="55.5"/>
    <n v="12.69"/>
    <n v="4.08"/>
    <n v="41.929065743944633"/>
    <s v="NO"/>
    <n v="1.1402579279303084"/>
    <n v="7.8704901900650084"/>
    <n v="5.6214375349459385"/>
    <n v="2.0738099102556729"/>
    <n v="-0.45484863087905042"/>
    <n v="1.2984632522358708"/>
    <x v="1"/>
    <x v="1"/>
    <x v="1"/>
    <x v="0"/>
    <x v="0"/>
    <x v="0"/>
  </r>
  <r>
    <x v="1"/>
    <s v="MORN"/>
    <n v="12587"/>
    <n v="307.48500000000001"/>
    <n v="11.98"/>
    <n v="37.86"/>
    <n v="8.91"/>
    <n v="25.666527545909851"/>
    <n v="8.1216323296354993"/>
    <n v="25.68"/>
    <n v="7.93"/>
    <n v="2.23"/>
    <n v="34.51010101010101"/>
    <s v="NO"/>
    <n v="0.57631191675773685"/>
    <n v="1.6639967978802477"/>
    <n v="1.490498643077298"/>
    <n v="0.86163637641678248"/>
    <n v="-0.7759889451751999"/>
    <n v="0.6720286970788435"/>
    <x v="1"/>
    <x v="0"/>
    <x v="0"/>
    <x v="0"/>
    <x v="0"/>
    <x v="0"/>
  </r>
  <r>
    <x v="1"/>
    <s v="MSCI"/>
    <n v="42761"/>
    <n v="563.87"/>
    <n v="17.61"/>
    <n v="-12.35"/>
    <n v="14.54"/>
    <n v="32.019875070982401"/>
    <n v="-45.657489878542513"/>
    <n v="-141.91999999999999"/>
    <n v="18.14"/>
    <n v="-5.58"/>
    <n v="38.780605226960112"/>
    <s v="NO"/>
    <n v="0.95316103825288956"/>
    <n v="-19.935299539417478"/>
    <n v="-21.726984867223983"/>
    <n v="3.4616976748401167"/>
    <n v="-2.1317218395821875"/>
    <n v="1.0326169334914965"/>
    <x v="1"/>
    <x v="1"/>
    <x v="1"/>
    <x v="1"/>
    <x v="0"/>
    <x v="0"/>
  </r>
  <r>
    <x v="1"/>
    <s v="NDAQ"/>
    <n v="45109"/>
    <n v="81.569999999999993"/>
    <n v="3.22"/>
    <n v="20.12"/>
    <n v="2.21"/>
    <n v="25.33229813664596"/>
    <n v="4.0541749502982105"/>
    <n v="11.42"/>
    <n v="4.3499999999999996"/>
    <n v="2.65"/>
    <n v="36.909502262443439"/>
    <s v="NO"/>
    <n v="0.55648708287892235"/>
    <n v="3.0384837172662736E-2"/>
    <n v="-0.48492686322876555"/>
    <n v="-5.0040357016668556E-2"/>
    <n v="-0.7030814143620201"/>
    <n v="0.8746267562524761"/>
    <x v="1"/>
    <x v="0"/>
    <x v="0"/>
    <x v="0"/>
    <x v="0"/>
    <x v="0"/>
  </r>
  <r>
    <x v="1"/>
    <s v="SPGI"/>
    <n v="155093"/>
    <n v="515.57000000000005"/>
    <n v="17.91"/>
    <n v="108.81"/>
    <n v="12.73"/>
    <n v="28.786711334450029"/>
    <n v="4.7382593511625775"/>
    <n v="11.24"/>
    <n v="6.19"/>
    <n v="1.79"/>
    <n v="40.500392772977222"/>
    <s v="NO"/>
    <n v="0.7613857719143311"/>
    <n v="0.30513349589557015"/>
    <n v="-0.5098621080488982"/>
    <n v="0.41853092497147409"/>
    <n v="-0.85236826316995973"/>
    <n v="1.1778305023657722"/>
    <x v="1"/>
    <x v="0"/>
    <x v="0"/>
    <x v="0"/>
    <x v="0"/>
    <x v="0"/>
  </r>
  <r>
    <x v="1"/>
    <s v="TMXXF"/>
    <n v="10979"/>
    <n v="38.880000000000003"/>
    <n v="1.38"/>
    <n v="11.46"/>
    <n v="1.2"/>
    <n v="28.173913043478265"/>
    <n v="3.3926701570680629"/>
    <n v="11.52"/>
    <n v="0.78"/>
    <n v="8.7799999999999994"/>
    <n v="32.400000000000006"/>
    <s v="NO"/>
    <n v="0.72503761109122189"/>
    <n v="-0.23529517899071159"/>
    <n v="-0.47107394943980302"/>
    <n v="-0.95917050739583609"/>
    <n v="0.36102135679224795"/>
    <n v="0.49385826022946971"/>
    <x v="1"/>
    <x v="0"/>
    <x v="0"/>
    <x v="0"/>
    <x v="0"/>
    <x v="0"/>
  </r>
  <r>
    <x v="1"/>
    <s v="TW"/>
    <n v="30671"/>
    <n v="141.41"/>
    <n v="3.91"/>
    <n v="27.83"/>
    <n v="2.4300000000000002"/>
    <n v="36.166240409207155"/>
    <n v="5.081207330219188"/>
    <n v="9.43"/>
    <n v="8.06"/>
    <n v="1.24"/>
    <n v="58.193415637860078"/>
    <s v="NO"/>
    <n v="1.1991029025915805"/>
    <n v="0.4428716129151648"/>
    <n v="-0.76059984762912092"/>
    <n v="0.89474195612246665"/>
    <n v="-0.94784241066340946"/>
    <n v="2.6717749144729646"/>
    <x v="1"/>
    <x v="0"/>
    <x v="0"/>
    <x v="0"/>
    <x v="0"/>
    <x v="0"/>
  </r>
  <r>
    <x v="2"/>
    <s v="AXP"/>
    <n v="193531"/>
    <n v="302.3"/>
    <n v="16"/>
    <n v="44.51"/>
    <n v="14.32"/>
    <n v="18.893750000000001"/>
    <n v="6.791732195012357"/>
    <n v="34.270000000000003"/>
    <n v="3.73"/>
    <n v="9.0500000000000007"/>
    <n v="21.110335195530727"/>
    <s v="NO"/>
    <n v="1.3220024929979144"/>
    <n v="1.702665364112127"/>
    <n v="1.3892738933102196"/>
    <n v="1.3330252669203202"/>
    <n v="1.1480744727118739"/>
    <n v="0.53058371965902895"/>
    <x v="1"/>
    <x v="0"/>
    <x v="0"/>
    <x v="0"/>
    <x v="0"/>
    <x v="0"/>
  </r>
  <r>
    <x v="2"/>
    <s v="COF"/>
    <n v="71441"/>
    <n v="201.04"/>
    <n v="43.71"/>
    <n v="153.26"/>
    <n v="11.9"/>
    <n v="4.5994051704415462"/>
    <n v="1.31175779720736"/>
    <n v="8.0299999999999994"/>
    <n v="1"/>
    <n v="8.41"/>
    <n v="16.894117647058824"/>
    <s v="NO"/>
    <n v="-0.2111689416120836"/>
    <n v="-1.016032970822522"/>
    <n v="-1.0583256071906646"/>
    <n v="-1.3078738467897477"/>
    <n v="0.68254057881392272"/>
    <n v="5.5810211330560709E-2"/>
    <x v="1"/>
    <x v="0"/>
    <x v="0"/>
    <x v="0"/>
    <x v="0"/>
    <x v="0"/>
  </r>
  <r>
    <x v="2"/>
    <s v="DFS"/>
    <n v="47603"/>
    <n v="204.07"/>
    <n v="33.36"/>
    <n v="71.16"/>
    <n v="18.7"/>
    <n v="6.1172062350119907"/>
    <n v="2.8677627880831928"/>
    <n v="28.47"/>
    <n v="3.19"/>
    <n v="8.26"/>
    <n v="10.91283422459893"/>
    <s v="NO"/>
    <n v="-4.8373845833501357E-2"/>
    <n v="-0.24407531723593232"/>
    <n v="0.84826485737633472"/>
    <n v="0.81064961805459235"/>
    <n v="0.57343107243159019"/>
    <n v="-0.61772119024937278"/>
    <x v="1"/>
    <x v="0"/>
    <x v="0"/>
    <x v="0"/>
    <x v="0"/>
    <x v="0"/>
  </r>
  <r>
    <x v="2"/>
    <s v="KSPI"/>
    <n v="17265"/>
    <n v="80.739999999999995"/>
    <n v="4.88"/>
    <n v="15.22"/>
    <n v="10.35"/>
    <n v="16.545081967213115"/>
    <n v="5.3048620236530875"/>
    <n v="78.98"/>
    <n v="15.71"/>
    <n v="5.52"/>
    <n v="7.8009661835748787"/>
    <s v="NO"/>
    <n v="1.0700909307551738"/>
    <n v="0.96500654206405212"/>
    <n v="5.5597073410005597"/>
    <n v="12.922025773237761"/>
    <n v="-1.4196359108190115"/>
    <n v="-0.96813776394531426"/>
    <x v="1"/>
    <x v="0"/>
    <x v="1"/>
    <x v="1"/>
    <x v="0"/>
    <x v="0"/>
  </r>
  <r>
    <x v="2"/>
    <s v="SOFI"/>
    <n v="14364"/>
    <n v="14.29"/>
    <n v="-1.55"/>
    <n v="6.05"/>
    <n v="0.43"/>
    <n v="-9.2193548387096769"/>
    <n v="2.3619834710743799"/>
    <n v="7.51"/>
    <n v="1.4"/>
    <n v="5.65"/>
    <n v="33.232558139534881"/>
    <s v="NO"/>
    <n v="-1.6933304789461516"/>
    <n v="-0.49500010030554381"/>
    <n v="-1.1068298655847371"/>
    <n v="-0.92092892170402363"/>
    <n v="-1.3250743386209898"/>
    <n v="1.8956248376038609"/>
    <x v="1"/>
    <x v="0"/>
    <x v="0"/>
    <x v="0"/>
    <x v="0"/>
    <x v="0"/>
  </r>
  <r>
    <x v="2"/>
    <s v="SYF"/>
    <n v="20468"/>
    <n v="61.36"/>
    <n v="24.81"/>
    <n v="40.36"/>
    <n v="7.27"/>
    <n v="2.4731962918178154"/>
    <n v="1.5203171456888007"/>
    <n v="18.600000000000001"/>
    <n v="2.44"/>
    <n v="7.94"/>
    <n v="8.4401650618982114"/>
    <s v="NO"/>
    <n v="-0.43922015736135106"/>
    <n v="-0.91256351781218248"/>
    <n v="-7.2383277911154495E-2"/>
    <n v="8.5127883518859401E-2"/>
    <n v="0.34066412548261527"/>
    <n v="-0.89615981439876402"/>
    <x v="1"/>
    <x v="0"/>
    <x v="0"/>
    <x v="0"/>
    <x v="0"/>
    <x v="0"/>
  </r>
  <r>
    <x v="3"/>
    <s v="APO"/>
    <n v="73780"/>
    <n v="145.07"/>
    <n v="5.39"/>
    <n v="29.06"/>
    <n v="5.71"/>
    <n v="26.914656771799628"/>
    <n v="4.9920853406744667"/>
    <n v="18.690000000000001"/>
    <n v="1.52"/>
    <n v="23.83"/>
    <n v="25.406304728546409"/>
    <s v="NO"/>
    <n v="0.28413423909669511"/>
    <n v="-0.28115332381041824"/>
    <n v="0.1013823844501001"/>
    <n v="-0.35576182053244204"/>
    <n v="11.930102612007072"/>
    <n v="3.7521023764854521E-2"/>
    <x v="1"/>
    <x v="0"/>
    <x v="0"/>
    <x v="0"/>
    <x v="1"/>
    <x v="0"/>
  </r>
  <r>
    <x v="3"/>
    <s v="CRBG"/>
    <n v="17323"/>
    <n v="32.79"/>
    <n v="3.6"/>
    <n v="20.41"/>
    <n v="3.72"/>
    <n v="9.1083333333333325"/>
    <n v="1.6065654091131798"/>
    <n v="17.649999999999999"/>
    <n v="0.45"/>
    <n v="33.97"/>
    <n v="8.814516129032258"/>
    <s v="NO"/>
    <n v="-1.2361348058476345"/>
    <n v="-0.83806637516768567"/>
    <n v="3.078805075361734E-2"/>
    <n v="-0.84641507248051495"/>
    <n v="17.820602879126941"/>
    <n v="-1.204272612248215"/>
    <x v="1"/>
    <x v="0"/>
    <x v="0"/>
    <x v="0"/>
    <x v="1"/>
    <x v="0"/>
  </r>
  <r>
    <x v="3"/>
    <s v="EQH"/>
    <n v="15471"/>
    <n v="54.26"/>
    <n v="6.19"/>
    <n v="2.92"/>
    <n v="3.76"/>
    <n v="8.7657512116316632"/>
    <n v="18.582191780821919"/>
    <n v="38.479999999999997"/>
    <n v="0.56999999999999995"/>
    <n v="321.44"/>
    <n v="14.430851063829788"/>
    <s v="NO"/>
    <n v="-1.2653837969026491"/>
    <n v="1.9543992054468025"/>
    <n v="1.4447110996937442"/>
    <n v="-0.79138853955175914"/>
    <n v="184.81686636916132"/>
    <n v="-0.78392438168109724"/>
    <x v="1"/>
    <x v="0"/>
    <x v="0"/>
    <x v="0"/>
    <x v="1"/>
    <x v="0"/>
  </r>
  <r>
    <x v="3"/>
    <s v="IX"/>
    <n v="22723"/>
    <n v="20.07"/>
    <n v="0.08"/>
    <n v="22.86"/>
    <n v="2.21"/>
    <n v="250.875"/>
    <n v="0.87795275590551181"/>
    <n v="9.84"/>
    <n v="2.15"/>
    <n v="4.1399999999999997"/>
    <n v="9.0814479638009047"/>
    <s v="NO"/>
    <n v="19.405430012564171"/>
    <n v="-0.95792208541549606"/>
    <n v="-0.49934824364016039"/>
    <n v="-6.6872522656473962E-2"/>
    <n v="0.49184321757016636"/>
    <n v="-1.1842944012387822"/>
    <x v="0"/>
    <x v="0"/>
    <x v="0"/>
    <x v="0"/>
    <x v="0"/>
    <x v="0"/>
  </r>
  <r>
    <x v="3"/>
    <s v="AFRM"/>
    <n v="16498"/>
    <n v="53.94"/>
    <n v="1.93"/>
    <n v="8.82"/>
    <n v="-0.63"/>
    <n v="27.948186528497409"/>
    <n v="6.1156462585034008"/>
    <n v="-7.34"/>
    <n v="-2.34"/>
    <n v="3.76"/>
    <n v="-85.61904761904762"/>
    <s v="NO"/>
    <n v="0.37237498691677501"/>
    <n v="-9.6329204684550321E-2"/>
    <n v="-1.6655123329724399"/>
    <n v="-2.125781963074088"/>
    <n v="0.27109468684969795"/>
    <n v="-8.2720457932441445"/>
    <x v="1"/>
    <x v="0"/>
    <x v="0"/>
    <x v="0"/>
    <x v="0"/>
    <x v="1"/>
  </r>
  <r>
    <x v="3"/>
    <s v="CPAY"/>
    <n v="22964"/>
    <n v="354.82"/>
    <n v="25.1"/>
    <n v="44.5"/>
    <n v="13.97"/>
    <n v="14.136254980079681"/>
    <n v="7.9734831460674158"/>
    <n v="31.23"/>
    <n v="6.56"/>
    <n v="5.75"/>
    <n v="25.398711524695774"/>
    <s v="NO"/>
    <n v="-0.80686069621075074"/>
    <n v="0.20928223193169104"/>
    <n v="0.95258713882884194"/>
    <n v="1.9553525624753025"/>
    <n v="1.4271198872016251"/>
    <n v="3.6952719018074794E-2"/>
    <x v="1"/>
    <x v="0"/>
    <x v="0"/>
    <x v="0"/>
    <x v="0"/>
    <x v="0"/>
  </r>
  <r>
    <x v="3"/>
    <s v="FI"/>
    <n v="101012"/>
    <n v="191"/>
    <n v="8.69"/>
    <n v="46.55"/>
    <n v="5.65"/>
    <n v="21.979286536248562"/>
    <n v="4.1031149301826"/>
    <n v="11.68"/>
    <n v="4.3899999999999997"/>
    <n v="3.11"/>
    <n v="33.805309734513273"/>
    <s v="NO"/>
    <n v="-0.13723801219237555"/>
    <n v="-0.42738764937382862"/>
    <n v="-0.37445057633099893"/>
    <n v="0.96028942534696815"/>
    <n v="-0.1065014841195244"/>
    <n v="0.66613504585750438"/>
    <x v="1"/>
    <x v="0"/>
    <x v="0"/>
    <x v="0"/>
    <x v="0"/>
    <x v="0"/>
  </r>
  <r>
    <x v="3"/>
    <s v="FIS"/>
    <n v="39705"/>
    <n v="77.680000000000007"/>
    <n v="2.27"/>
    <n v="29.56"/>
    <n v="1.42"/>
    <n v="34.220264317180622"/>
    <n v="2.6278755074424902"/>
    <n v="4.55"/>
    <n v="2.69"/>
    <n v="2.15"/>
    <n v="54.704225352112687"/>
    <s v="NO"/>
    <n v="0.90787271291108973"/>
    <n v="-0.67006236552055753"/>
    <n v="-0.85842903715399965"/>
    <n v="0.18074687552292731"/>
    <n v="-0.66418198278176055"/>
    <n v="2.2302907279199582"/>
    <x v="1"/>
    <x v="0"/>
    <x v="0"/>
    <x v="0"/>
    <x v="0"/>
    <x v="0"/>
  </r>
  <r>
    <x v="3"/>
    <s v="GPN"/>
    <n v="19357"/>
    <n v="82.76"/>
    <n v="11.24"/>
    <n v="89.59"/>
    <n v="6.16"/>
    <n v="7.3629893238434168"/>
    <n v="0.92376381292554977"/>
    <n v="7.03"/>
    <n v="3.26"/>
    <n v="2.1"/>
    <n v="13.435064935064936"/>
    <s v="NO"/>
    <n v="-1.3851488614204162"/>
    <n v="-0.95038623388702326"/>
    <n v="-0.69008870295469493"/>
    <n v="0.44212290693451745"/>
    <n v="-0.69322784208708521"/>
    <n v="-0.85845286726983572"/>
    <x v="1"/>
    <x v="0"/>
    <x v="0"/>
    <x v="0"/>
    <x v="0"/>
    <x v="0"/>
  </r>
  <r>
    <x v="3"/>
    <s v="JKHY"/>
    <n v="12513"/>
    <n v="178.34"/>
    <n v="4.05"/>
    <n v="27.1"/>
    <n v="5.55"/>
    <n v="44.034567901234574"/>
    <n v="6.5808118081180806"/>
    <n v="21.9"/>
    <n v="11.3"/>
    <n v="1.47"/>
    <n v="32.133333333333333"/>
    <s v="NO"/>
    <n v="1.7457987445303684"/>
    <n v="-1.9810155658386862E-2"/>
    <n v="0.319274510570974"/>
    <n v="4.128900613161159"/>
    <n v="-1.0592056693341778"/>
    <n v="0.54099786476962086"/>
    <x v="1"/>
    <x v="0"/>
    <x v="0"/>
    <x v="1"/>
    <x v="0"/>
    <x v="0"/>
  </r>
  <r>
    <x v="3"/>
    <s v="MA"/>
    <n v="514274"/>
    <n v="576.59"/>
    <n v="15.56"/>
    <n v="7.33"/>
    <n v="14.26"/>
    <n v="37.055912596401029"/>
    <n v="78.661664392905877"/>
    <n v="187.7"/>
    <n v="23.36"/>
    <n v="7.27"/>
    <n v="40.434081346423568"/>
    <s v="NO"/>
    <n v="1.1499748131085774"/>
    <n v="11.837384121415345"/>
    <n v="11.573640401798677"/>
    <n v="9.6590671725011195"/>
    <n v="2.3101140100834985"/>
    <n v="1.1622579534562272"/>
    <x v="1"/>
    <x v="1"/>
    <x v="1"/>
    <x v="1"/>
    <x v="0"/>
    <x v="0"/>
  </r>
  <r>
    <x v="3"/>
    <s v="PYPL"/>
    <n v="66803"/>
    <n v="72.290000000000006"/>
    <n v="5.91"/>
    <n v="20.69"/>
    <n v="4.45"/>
    <n v="12.231810490693741"/>
    <n v="3.4939584340260996"/>
    <n v="22.2"/>
    <n v="4.45"/>
    <n v="4.01"/>
    <n v="16.244943820224719"/>
    <s v="NO"/>
    <n v="-0.96945843936831466"/>
    <n v="-0.5275929974109228"/>
    <n v="0.33963826067572866"/>
    <n v="0.98780269181134628"/>
    <n v="0.41632398337632193"/>
    <n v="-0.648150662861259"/>
    <x v="1"/>
    <x v="0"/>
    <x v="0"/>
    <x v="0"/>
    <x v="0"/>
    <x v="0"/>
  </r>
  <r>
    <x v="3"/>
    <s v="TOST"/>
    <n v="20550"/>
    <n v="43.96"/>
    <n v="0.55000000000000004"/>
    <n v="2.7"/>
    <n v="0.03"/>
    <n v="79.927272727272722"/>
    <n v="16.281481481481482"/>
    <n v="1.39"/>
    <n v="1.92"/>
    <n v="1.56"/>
    <n v="1465.3333333333335"/>
    <s v="NO"/>
    <n v="4.8102476339890279"/>
    <n v="1.5759357437049351"/>
    <n v="-1.0729272049240812"/>
    <n v="-0.17234004410325598"/>
    <n v="-1.0069231225845932"/>
    <n v="107.80722949853373"/>
    <x v="0"/>
    <x v="0"/>
    <x v="0"/>
    <x v="0"/>
    <x v="0"/>
    <x v="1"/>
  </r>
  <r>
    <x v="3"/>
    <s v="V"/>
    <n v="670198"/>
    <n v="356.14"/>
    <n v="10.83"/>
    <n v="19.8"/>
    <n v="9.9600000000000009"/>
    <n v="32.884579870729453"/>
    <n v="17.986868686868686"/>
    <n v="50.66"/>
    <n v="16.940000000000001"/>
    <n v="2.5"/>
    <n v="35.757028112449795"/>
    <s v="NO"/>
    <n v="0.79383458905186077"/>
    <n v="1.8564694317343058"/>
    <n v="2.2714793539467801"/>
    <n v="6.7151476608126837"/>
    <n v="-0.46086096764448686"/>
    <n v="0.81220919853097173"/>
    <x v="1"/>
    <x v="0"/>
    <x v="0"/>
    <x v="1"/>
    <x v="0"/>
    <x v="0"/>
  </r>
  <r>
    <x v="3"/>
    <s v="XYZ"/>
    <n v="29490"/>
    <n v="58.17"/>
    <n v="1.94"/>
    <n v="34.799999999999997"/>
    <n v="4.12"/>
    <n v="29.984536082474229"/>
    <n v="1.6715517241379312"/>
    <n v="12.79"/>
    <n v="1.93"/>
    <n v="1.7"/>
    <n v="14.118932038834952"/>
    <s v="NO"/>
    <n v="0.54623452632677005"/>
    <n v="-0.82737622188886317"/>
    <n v="-0.29910470094340696"/>
    <n v="-0.16775449969252632"/>
    <n v="-0.92559471652968373"/>
    <n v="-0.80726960801801739"/>
    <x v="1"/>
    <x v="0"/>
    <x v="0"/>
    <x v="0"/>
    <x v="0"/>
    <x v="0"/>
  </r>
  <r>
    <x v="4"/>
    <s v="AJG"/>
    <n v="86943"/>
    <n v="332.7"/>
    <n v="10.99"/>
    <n v="87.15"/>
    <n v="6.66"/>
    <n v="30.272975432211098"/>
    <n v="3.8175559380378652"/>
    <n v="9.3000000000000007"/>
    <n v="2.68"/>
    <n v="3.32"/>
    <n v="49.95495495495495"/>
    <s v="NO"/>
    <n v="1.9362387182025667"/>
    <n v="1.5358188616065971"/>
    <n v="-0.76418366006436311"/>
    <n v="0.16620744330988899"/>
    <n v="-0.73184130985683471"/>
    <n v="9.524969072986142"/>
    <x v="1"/>
    <x v="0"/>
    <x v="0"/>
    <x v="0"/>
    <x v="0"/>
    <x v="1"/>
  </r>
  <r>
    <x v="4"/>
    <s v="AON"/>
    <n v="77678"/>
    <n v="355.07"/>
    <n v="12.24"/>
    <n v="32.409999999999997"/>
    <n v="11.75"/>
    <n v="29.008986928104573"/>
    <n v="10.955569268744215"/>
    <n v="72.010000000000005"/>
    <n v="6.01"/>
    <n v="7.18"/>
    <n v="30.218723404255318"/>
    <s v="NO"/>
    <n v="1.7988162189903016"/>
    <n v="8.1498275611306035"/>
    <n v="9.1242780005260329"/>
    <n v="2.1539813107736125"/>
    <n v="0.22481295207749744"/>
    <n v="4.17486026515666"/>
    <x v="1"/>
    <x v="1"/>
    <x v="1"/>
    <x v="0"/>
    <x v="0"/>
    <x v="1"/>
  </r>
  <r>
    <x v="4"/>
    <s v="BRO"/>
    <n v="31874"/>
    <n v="109.02"/>
    <n v="4.5599999999999996"/>
    <n v="23.77"/>
    <n v="3.59"/>
    <n v="23.907894736842106"/>
    <n v="4.5864535128312998"/>
    <n v="16.52"/>
    <n v="5.68"/>
    <n v="2.46"/>
    <n v="30.367688022284124"/>
    <s v="NO"/>
    <n v="1.2442187401698954"/>
    <n v="2.2482713344606156"/>
    <n v="0.37430610535522923"/>
    <n v="1.9569947112952255"/>
    <n v="-0.9449818967126703"/>
    <n v="4.2152416780380175"/>
    <x v="1"/>
    <x v="0"/>
    <x v="0"/>
    <x v="0"/>
    <x v="0"/>
    <x v="1"/>
  </r>
  <r>
    <x v="4"/>
    <s v="MMC"/>
    <n v="112298"/>
    <n v="223.77"/>
    <n v="8.49"/>
    <n v="28.55"/>
    <n v="8.15"/>
    <n v="26.356890459363957"/>
    <n v="7.8378283712784587"/>
    <n v="30.53"/>
    <n v="7.93"/>
    <n v="4.05"/>
    <n v="27.45644171779141"/>
    <s v="NO"/>
    <n v="1.5104767889224775"/>
    <n v="5.2609613649869571"/>
    <n v="2.583480844071087"/>
    <n v="3.3000851622842275"/>
    <n v="-0.55091964892106715"/>
    <n v="3.4260593837678956"/>
    <x v="1"/>
    <x v="1"/>
    <x v="0"/>
    <x v="1"/>
    <x v="0"/>
    <x v="1"/>
  </r>
  <r>
    <x v="4"/>
    <s v="WTW"/>
    <n v="30342"/>
    <n v="304.20999999999998"/>
    <n v="12.02"/>
    <n v="81.98"/>
    <n v="-0.52"/>
    <n v="25.308652246256237"/>
    <n v="3.7107831178336177"/>
    <n v="-0.48"/>
    <n v="4.53"/>
    <n v="3.45"/>
    <n v="-585.01923076923072"/>
    <s v="NO"/>
    <n v="1.3965109462371543"/>
    <n v="1.4368842800941632"/>
    <n v="-2.3063484669623708"/>
    <n v="1.2705262585675134"/>
    <n v="-0.69962238393676646"/>
    <n v="-162.60419221398166"/>
    <x v="1"/>
    <x v="0"/>
    <x v="0"/>
    <x v="0"/>
    <x v="0"/>
    <x v="1"/>
  </r>
  <r>
    <x v="4"/>
    <s v="AEG"/>
    <n v="10670"/>
    <n v="6.73"/>
    <n v="0.44"/>
    <n v="4.76"/>
    <n v="0.39"/>
    <n v="15.295454545454547"/>
    <n v="1.4138655462184875"/>
    <n v="7.17"/>
    <n v="7.0000000000000007E-2"/>
    <n v="35.64"/>
    <n v="17.256410256410255"/>
    <s v="NO"/>
    <n v="0.30786287018257791"/>
    <n v="-0.69141558387494806"/>
    <n v="-1.1000539094194508"/>
    <n v="-1.3917774798373541"/>
    <n v="7.2782793496555014"/>
    <n v="0.66102908801527782"/>
    <x v="1"/>
    <x v="0"/>
    <x v="0"/>
    <x v="0"/>
    <x v="1"/>
    <x v="0"/>
  </r>
  <r>
    <x v="4"/>
    <s v="AFL"/>
    <n v="58025"/>
    <n v="105.03"/>
    <n v="4.8099999999999996"/>
    <n v="48.55"/>
    <n v="6.44"/>
    <n v="21.835758835758838"/>
    <n v="2.1633367662203913"/>
    <n v="14.41"/>
    <n v="2.34"/>
    <n v="4.57"/>
    <n v="16.309006211180122"/>
    <s v="NO"/>
    <n v="1.0189333888322996"/>
    <n v="3.0366312549075076E-3"/>
    <n v="4.1589567261691891E-2"/>
    <n v="-3.6748447061782673E-2"/>
    <n v="-0.42204394524079436"/>
    <n v="0.40420626376242114"/>
    <x v="1"/>
    <x v="0"/>
    <x v="0"/>
    <x v="0"/>
    <x v="0"/>
    <x v="0"/>
  </r>
  <r>
    <x v="4"/>
    <s v="GL"/>
    <n v="10069"/>
    <n v="120.09"/>
    <n v="14.91"/>
    <n v="63.18"/>
    <n v="12.31"/>
    <n v="8.0543259557344058"/>
    <n v="1.9007597340930675"/>
    <n v="21.87"/>
    <n v="3.23"/>
    <n v="5.48"/>
    <n v="9.7554833468724613"/>
    <s v="NO"/>
    <n v="-0.47940219170983606"/>
    <n v="-0.24026450791702764"/>
    <n v="1.217923867819886"/>
    <n v="0.49451844244053395"/>
    <n v="-0.19651146380031706"/>
    <n v="-1.3723264197225069"/>
    <x v="1"/>
    <x v="0"/>
    <x v="0"/>
    <x v="0"/>
    <x v="0"/>
    <x v="0"/>
  </r>
  <r>
    <x v="4"/>
    <s v="MET"/>
    <n v="51515"/>
    <n v="81.16"/>
    <n v="23.46"/>
    <n v="40.83"/>
    <n v="6.14"/>
    <n v="3.4595055413469735"/>
    <n v="1.9877541023757042"/>
    <n v="15.98"/>
    <n v="0.63"/>
    <n v="25.04"/>
    <n v="13.218241042345277"/>
    <s v="NO"/>
    <n v="-0.97895713443694132"/>
    <n v="-0.15965643365695667"/>
    <n v="0.28915590129337621"/>
    <n v="-1.0574971898134247"/>
    <n v="4.6511976977114804"/>
    <n v="-0.43364010575535561"/>
    <x v="1"/>
    <x v="0"/>
    <x v="0"/>
    <x v="0"/>
    <x v="1"/>
    <x v="0"/>
  </r>
  <r>
    <x v="4"/>
    <s v="MFC"/>
    <n v="53904"/>
    <n v="31.75"/>
    <n v="10.24"/>
    <n v="19.73"/>
    <n v="1.98"/>
    <n v="3.1005859375"/>
    <n v="1.6092245311708058"/>
    <n v="11.56"/>
    <n v="0.6"/>
    <n v="19.96"/>
    <n v="16.035353535353536"/>
    <s v="NO"/>
    <n v="-1.0179793477060346"/>
    <n v="-0.51039798610072939"/>
    <n v="-0.40781428750919985"/>
    <n v="-1.0754050624932778"/>
    <n v="3.3921812079118929"/>
    <n v="0.3300243416733471"/>
    <x v="1"/>
    <x v="0"/>
    <x v="0"/>
    <x v="0"/>
    <x v="0"/>
    <x v="0"/>
  </r>
  <r>
    <x v="4"/>
    <s v="PFG"/>
    <n v="17386"/>
    <n v="81.7"/>
    <n v="21.48"/>
    <n v="49.86"/>
    <n v="4.68"/>
    <n v="3.8035381750465551"/>
    <n v="1.6385880465302849"/>
    <n v="9.73"/>
    <n v="0.28000000000000003"/>
    <n v="27.9"/>
    <n v="17.457264957264957"/>
    <s v="NO"/>
    <n v="-0.9415534522199156"/>
    <n v="-0.48319005904338619"/>
    <n v="-0.69637886794103565"/>
    <n v="-1.2664223710783806"/>
    <n v="5.3600140679529797"/>
    <n v="0.71547689388825886"/>
    <x v="1"/>
    <x v="0"/>
    <x v="0"/>
    <x v="0"/>
    <x v="1"/>
    <x v="0"/>
  </r>
  <r>
    <x v="4"/>
    <s v="PRU"/>
    <n v="35836"/>
    <n v="107.4"/>
    <n v="2.17"/>
    <n v="84.41"/>
    <n v="6.33"/>
    <n v="49.493087557603694"/>
    <n v="1.2723610946570312"/>
    <n v="7.91"/>
    <n v="0.23"/>
    <n v="24.74"/>
    <n v="16.966824644549764"/>
    <s v="NO"/>
    <n v="4.0258746878575593"/>
    <n v="-0.82253213273634262"/>
    <n v="-0.98336659274209648"/>
    <n v="-1.2962688255448027"/>
    <n v="4.5768463302036295"/>
    <n v="0.58252805661748874"/>
    <x v="0"/>
    <x v="0"/>
    <x v="0"/>
    <x v="0"/>
    <x v="1"/>
    <x v="0"/>
  </r>
  <r>
    <x v="4"/>
    <s v="PUK"/>
    <n v="28555"/>
    <n v="23.09"/>
    <n v="1.29"/>
    <n v="6.62"/>
    <n v="0.84"/>
    <n v="17.899224806201548"/>
    <n v="3.487915407854985"/>
    <n v="13.18"/>
    <n v="1.47"/>
    <n v="10.4"/>
    <n v="27.488095238095237"/>
    <s v="NO"/>
    <n v="0.59094821110452922"/>
    <n v="1.2303773846390096"/>
    <n v="-0.15236367532364042"/>
    <n v="-0.55607675477753027"/>
    <n v="1.0228509633284171"/>
    <n v="3.4346400379490789"/>
    <x v="1"/>
    <x v="0"/>
    <x v="0"/>
    <x v="0"/>
    <x v="0"/>
    <x v="1"/>
  </r>
  <r>
    <x v="4"/>
    <s v="SLF"/>
    <n v="34319"/>
    <n v="62.42"/>
    <n v="2.87"/>
    <n v="28.86"/>
    <n v="3.66"/>
    <n v="21.749128919860627"/>
    <n v="2.1628551628551631"/>
    <n v="12.94"/>
    <n v="0.88"/>
    <n v="15.57"/>
    <n v="17.05464480874317"/>
    <s v="NO"/>
    <n v="1.0095148699845387"/>
    <n v="2.5903826000280689E-3"/>
    <n v="-0.19020821046224187"/>
    <n v="-0.90826491748131322"/>
    <n v="2.3041728633803595"/>
    <n v="0.60633439638145037"/>
    <x v="1"/>
    <x v="0"/>
    <x v="0"/>
    <x v="0"/>
    <x v="0"/>
    <x v="0"/>
  </r>
  <r>
    <x v="4"/>
    <s v="UNM"/>
    <n v="14156"/>
    <n v="80.92"/>
    <n v="7.8"/>
    <n v="63.78"/>
    <n v="8.5399999999999991"/>
    <n v="10.374358974358975"/>
    <n v="1.26873628096582"/>
    <n v="14.68"/>
    <n v="2.2200000000000002"/>
    <n v="5.57"/>
    <n v="9.475409836065575"/>
    <s v="NO"/>
    <n v="-0.22716513841501174"/>
    <n v="-0.82589084729417217"/>
    <n v="8.4164669292618413E-2"/>
    <n v="-0.10837993778119594"/>
    <n v="-0.1742060535479622"/>
    <n v="-1.448248905388446"/>
    <x v="1"/>
    <x v="0"/>
    <x v="0"/>
    <x v="0"/>
    <x v="0"/>
    <x v="0"/>
  </r>
  <r>
    <x v="4"/>
    <s v="ACGL"/>
    <n v="34814"/>
    <n v="93.42"/>
    <n v="17.38"/>
    <n v="55.38"/>
    <n v="9.75"/>
    <n v="5.3751438434982743"/>
    <n v="1.6868905742145179"/>
    <n v="18.420000000000002"/>
    <n v="3.8"/>
    <n v="3.63"/>
    <n v="9.5815384615384609"/>
    <s v="NO"/>
    <n v="-0.77068640870399174"/>
    <n v="-0.43843344070839313"/>
    <n v="0.67390867520249076"/>
    <n v="0.8347680233577478"/>
    <n v="-0.65501156343205669"/>
    <n v="-1.419479497589053"/>
    <x v="1"/>
    <x v="0"/>
    <x v="0"/>
    <x v="0"/>
    <x v="0"/>
    <x v="0"/>
  </r>
  <r>
    <x v="4"/>
    <s v="AFG"/>
    <n v="10207"/>
    <n v="124.25"/>
    <n v="13.73"/>
    <n v="53.18"/>
    <n v="10.57"/>
    <n v="9.0495265841223596"/>
    <n v="2.3364046634072961"/>
    <n v="20.34"/>
    <n v="2.5499999999999998"/>
    <n v="6.9"/>
    <n v="11.754966887417218"/>
    <s v="NO"/>
    <n v="-0.37120266526923568"/>
    <n v="0.16339953961182463"/>
    <n v="0.97666495631130179"/>
    <n v="8.8606661697190878E-2"/>
    <n v="0.15541834240350461"/>
    <n v="-0.83030529102332673"/>
    <x v="1"/>
    <x v="0"/>
    <x v="0"/>
    <x v="0"/>
    <x v="0"/>
    <x v="0"/>
  </r>
  <r>
    <x v="4"/>
    <s v="AIG"/>
    <n v="47080"/>
    <n v="83.64"/>
    <n v="4.28"/>
    <n v="71.39"/>
    <n v="3.97"/>
    <n v="19.542056074766354"/>
    <n v="1.1715926600364197"/>
    <n v="5.74"/>
    <n v="0.73"/>
    <n v="3.91"/>
    <n v="21.06801007556675"/>
    <s v="NO"/>
    <n v="0.76955899591527799"/>
    <n v="-0.91590311319543738"/>
    <n v="-1.3255442646202842"/>
    <n v="-0.99780428088057993"/>
    <n v="-0.58561695375806366"/>
    <n v="1.6942797221094816"/>
    <x v="1"/>
    <x v="0"/>
    <x v="0"/>
    <x v="0"/>
    <x v="0"/>
    <x v="0"/>
  </r>
  <r>
    <x v="4"/>
    <s v="AIZ"/>
    <n v="10024"/>
    <n v="202.45"/>
    <n v="21.28"/>
    <n v="100.46"/>
    <n v="14.46"/>
    <n v="9.513627819548871"/>
    <n v="2.0152299422655782"/>
    <n v="15.33"/>
    <n v="1.89"/>
    <n v="6.86"/>
    <n v="14.000691562932225"/>
    <s v="NO"/>
    <n v="-0.32074496612671577"/>
    <n v="-0.13419760700044037"/>
    <n v="0.1866602852929973"/>
    <n v="-0.30536653725958313"/>
    <n v="0.14550482673579129"/>
    <n v="-0.22153297622917206"/>
    <x v="1"/>
    <x v="0"/>
    <x v="0"/>
    <x v="0"/>
    <x v="0"/>
    <x v="0"/>
  </r>
  <r>
    <x v="4"/>
    <s v="ALL"/>
    <n v="54041"/>
    <n v="202.56"/>
    <n v="33.43"/>
    <n v="75.680000000000007"/>
    <n v="14.64"/>
    <n v="6.0592282381094824"/>
    <n v="2.676532769556025"/>
    <n v="19.72"/>
    <n v="3.11"/>
    <n v="5.74"/>
    <n v="13.836065573770492"/>
    <s v="NO"/>
    <n v="-0.6963118500160288"/>
    <n v="0.47855869507920523"/>
    <n v="0.87889990720324795"/>
    <n v="0.4228869517211204"/>
    <n v="-0.13207361196018075"/>
    <n v="-0.2661598824523414"/>
    <x v="1"/>
    <x v="0"/>
    <x v="0"/>
    <x v="0"/>
    <x v="0"/>
    <x v="0"/>
  </r>
  <r>
    <x v="4"/>
    <s v="CB"/>
    <n v="116383"/>
    <n v="285.33"/>
    <n v="36.049999999999997"/>
    <n v="164.01"/>
    <n v="20.78"/>
    <n v="7.9148404993065187"/>
    <n v="1.73971099323212"/>
    <n v="12.86"/>
    <n v="2.71"/>
    <n v="3.83"/>
    <n v="13.730991337824831"/>
    <s v="NO"/>
    <n v="-0.49456723471759134"/>
    <n v="-0.38949059138755104"/>
    <n v="-0.20282305550844237"/>
    <n v="0.18411531598974226"/>
    <n v="-0.60544398509349018"/>
    <n v="-0.29464346574253175"/>
    <x v="1"/>
    <x v="0"/>
    <x v="0"/>
    <x v="0"/>
    <x v="0"/>
    <x v="0"/>
  </r>
  <r>
    <x v="4"/>
    <s v="CINF"/>
    <n v="22695"/>
    <n v="148.56"/>
    <n v="16.559999999999999"/>
    <n v="87.77"/>
    <n v="9.1999999999999993"/>
    <n v="8.9710144927536248"/>
    <n v="1.692605673920474"/>
    <n v="10.97"/>
    <n v="3.22"/>
    <n v="2.72"/>
    <n v="16.147826086956524"/>
    <s v="NO"/>
    <n v="-0.3797386035148923"/>
    <n v="-0.43313788893192989"/>
    <n v="-0.50084876972492831"/>
    <n v="0.48854915154724965"/>
    <n v="-0.8805440448725339"/>
    <n v="0.36051346455500832"/>
    <x v="1"/>
    <x v="0"/>
    <x v="0"/>
    <x v="0"/>
    <x v="0"/>
    <x v="0"/>
  </r>
  <r>
    <x v="4"/>
    <s v="CNA"/>
    <n v="13071"/>
    <n v="48.5"/>
    <n v="9.1199999999999992"/>
    <n v="37.89"/>
    <n v="3.28"/>
    <n v="5.317982456140351"/>
    <n v="1.2800211137503299"/>
    <n v="8.98"/>
    <n v="1.19"/>
    <n v="6.55"/>
    <n v="14.786585365853659"/>
    <s v="NO"/>
    <n v="-0.77690107021685006"/>
    <n v="-0.81543443894195689"/>
    <n v="-0.81464304024916512"/>
    <n v="-0.72321689978949499"/>
    <n v="6.8675080311013215E-2"/>
    <n v="-8.4924397808893801E-3"/>
    <x v="1"/>
    <x v="0"/>
    <x v="0"/>
    <x v="0"/>
    <x v="0"/>
    <x v="0"/>
  </r>
  <r>
    <x v="4"/>
    <s v="ERIE"/>
    <n v="18980"/>
    <n v="359.38"/>
    <n v="9.76"/>
    <n v="39.54"/>
    <n v="11.75"/>
    <n v="36.821721311475407"/>
    <n v="9.0890237733940307"/>
    <n v="32.380000000000003"/>
    <n v="16.29"/>
    <n v="1.44"/>
    <n v="30.585531914893618"/>
    <s v="NO"/>
    <n v="2.6482270175507989"/>
    <n v="6.4203059740531225"/>
    <n v="2.8751991357644733"/>
    <n v="8.2904123490700314"/>
    <n v="-1.1977765462393593"/>
    <n v="4.2742949236177488"/>
    <x v="1"/>
    <x v="1"/>
    <x v="1"/>
    <x v="1"/>
    <x v="0"/>
    <x v="1"/>
  </r>
  <r>
    <x v="4"/>
    <s v="FNF"/>
    <n v="17668"/>
    <n v="57.32"/>
    <n v="24.61"/>
    <n v="28.2"/>
    <n v="4.6500000000000004"/>
    <n v="2.329134498171475"/>
    <n v="2.0326241134751775"/>
    <n v="17.399999999999999"/>
    <n v="1.37"/>
    <n v="12.3"/>
    <n v="12.326881720430107"/>
    <s v="NO"/>
    <n v="-1.1018525668603205"/>
    <n v="-0.11808034938670105"/>
    <n v="0.51306940086343433"/>
    <n v="-0.61576966371037467"/>
    <n v="1.4937429575447985"/>
    <n v="-0.67527029472373612"/>
    <x v="1"/>
    <x v="0"/>
    <x v="0"/>
    <x v="0"/>
    <x v="0"/>
    <x v="0"/>
  </r>
  <r>
    <x v="4"/>
    <s v="HIG"/>
    <n v="36303"/>
    <n v="127.93"/>
    <n v="19.39"/>
    <n v="57.91"/>
    <n v="10.039999999999999"/>
    <n v="6.5977307890665289"/>
    <n v="2.2091175962700746"/>
    <n v="18.5"/>
    <n v="3.08"/>
    <n v="4.99"/>
    <n v="12.742031872509962"/>
    <s v="NO"/>
    <n v="-0.6377651416050949"/>
    <n v="4.5456670864174036E-2"/>
    <n v="0.68652352024869101"/>
    <n v="0.40497907904126718"/>
    <n v="-0.31795203072980488"/>
    <n v="-0.56273115676781527"/>
    <x v="1"/>
    <x v="0"/>
    <x v="0"/>
    <x v="0"/>
    <x v="0"/>
    <x v="0"/>
  </r>
  <r>
    <x v="4"/>
    <s v="KNSL"/>
    <n v="10725"/>
    <n v="446.34"/>
    <n v="41.57"/>
    <n v="67.92"/>
    <n v="17.37"/>
    <n v="10.737070002405581"/>
    <n v="6.5715547703180208"/>
    <n v="29.42"/>
    <n v="7.05"/>
    <n v="3.29"/>
    <n v="25.696027633851465"/>
    <s v="NO"/>
    <n v="-0.18773071650051174"/>
    <n v="4.0876454541435736"/>
    <n v="2.4084498690550555"/>
    <n v="2.7747875636751962"/>
    <n v="-0.7392764466076196"/>
    <n v="2.9488453385374473"/>
    <x v="1"/>
    <x v="1"/>
    <x v="0"/>
    <x v="1"/>
    <x v="0"/>
    <x v="0"/>
  </r>
  <r>
    <x v="4"/>
    <s v="L"/>
    <n v="18418"/>
    <n v="88.59"/>
    <n v="10.86"/>
    <n v="79.489999999999995"/>
    <n v="6.09"/>
    <n v="8.1574585635359131"/>
    <n v="1.1144798087809789"/>
    <n v="8.67"/>
    <n v="1.75"/>
    <n v="4.8"/>
    <n v="14.546798029556651"/>
    <s v="NO"/>
    <n v="-0.46818947840721015"/>
    <n v="-0.96882328545585072"/>
    <n v="-0.86352556480319198"/>
    <n v="-0.38893660976556549"/>
    <n v="-0.36504123015144307"/>
    <n v="-7.3494126482478273E-2"/>
    <x v="1"/>
    <x v="0"/>
    <x v="0"/>
    <x v="0"/>
    <x v="0"/>
    <x v="0"/>
  </r>
  <r>
    <x v="4"/>
    <s v="MKL"/>
    <n v="23815"/>
    <n v="1913.55"/>
    <n v="160.80000000000001"/>
    <n v="1303.4000000000001"/>
    <n v="135.94"/>
    <n v="11.900186567164178"/>
    <n v="1.4681218352002454"/>
    <n v="11.32"/>
    <n v="2.73"/>
    <n v="3.9"/>
    <n v="14.076430778284537"/>
    <s v="NO"/>
    <n v="-6.1275147731478317E-2"/>
    <n v="-0.64114227242209243"/>
    <n v="-0.44565882264780132"/>
    <n v="0.19605389777631116"/>
    <n v="-0.58809533267499203"/>
    <n v="-0.20100154690774538"/>
    <x v="1"/>
    <x v="0"/>
    <x v="0"/>
    <x v="0"/>
    <x v="0"/>
    <x v="0"/>
  </r>
  <r>
    <x v="4"/>
    <s v="PGR"/>
    <n v="167883"/>
    <n v="282.58999999999997"/>
    <n v="25.32"/>
    <n v="49.39"/>
    <n v="14.83"/>
    <n v="11.160742496050553"/>
    <n v="5.7216035634743871"/>
    <n v="34.340000000000003"/>
    <n v="6.86"/>
    <n v="3.85"/>
    <n v="19.055293324342546"/>
    <s v="NO"/>
    <n v="-0.14166848354900258"/>
    <n v="3.3000895312578948"/>
    <n v="3.1842628393963848"/>
    <n v="2.6613710367027918"/>
    <n v="-0.60048722725963355"/>
    <n v="1.1486713271771254"/>
    <x v="1"/>
    <x v="0"/>
    <x v="1"/>
    <x v="0"/>
    <x v="0"/>
    <x v="0"/>
  </r>
  <r>
    <x v="4"/>
    <s v="TRV"/>
    <n v="60915"/>
    <n v="264.92"/>
    <n v="39.46"/>
    <n v="124.41"/>
    <n v="18.38"/>
    <n v="6.7136340598073998"/>
    <n v="2.1294108190659915"/>
    <n v="16.05"/>
    <n v="2.69"/>
    <n v="4.82"/>
    <n v="14.413492927094669"/>
    <s v="NO"/>
    <n v="-0.62516398496455639"/>
    <n v="-2.8398797515381366E-2"/>
    <n v="0.30019389070880165"/>
    <n v="0.17217673420317334"/>
    <n v="-0.36008447231758633"/>
    <n v="-0.10963054902993159"/>
    <x v="1"/>
    <x v="0"/>
    <x v="0"/>
    <x v="0"/>
    <x v="0"/>
    <x v="0"/>
  </r>
  <r>
    <x v="4"/>
    <s v="WRB"/>
    <n v="27723"/>
    <n v="71.680000000000007"/>
    <n v="9.06"/>
    <n v="23.5"/>
    <n v="4.3099999999999996"/>
    <n v="7.9116997792494486"/>
    <n v="3.0502127659574469"/>
    <n v="20.69"/>
    <n v="3.69"/>
    <n v="4.6399999999999997"/>
    <n v="16.631090487238982"/>
    <s v="NO"/>
    <n v="-0.49490869794939008"/>
    <n v="0.82480668209333596"/>
    <n v="1.031854903388429"/>
    <n v="0.76910582353161894"/>
    <n v="-0.40469529282229627"/>
    <n v="0.49151705142617863"/>
    <x v="1"/>
    <x v="0"/>
    <x v="0"/>
    <x v="0"/>
    <x v="0"/>
    <x v="0"/>
  </r>
  <r>
    <x v="4"/>
    <s v="BNT"/>
    <n v="13524"/>
    <n v="59.46"/>
    <n v="18.670000000000002"/>
    <n v="50.4"/>
    <n v="5"/>
    <n v="3.1847884306373859"/>
    <n v="1.1797619047619048"/>
    <n v="11.38"/>
    <n v="0.98"/>
    <n v="11.45"/>
    <n v="11.891999999999999"/>
    <s v="NO"/>
    <n v="-1.0088247414661442"/>
    <n v="-0.9083335762417214"/>
    <n v="-0.43619768886315086"/>
    <n v="-0.84857200854846859"/>
    <n v="1.2830807496058907"/>
    <n v="-0.79315827738447242"/>
    <x v="1"/>
    <x v="0"/>
    <x v="0"/>
    <x v="0"/>
    <x v="0"/>
    <x v="0"/>
  </r>
  <r>
    <x v="4"/>
    <s v="RGA"/>
    <n v="13170"/>
    <n v="206.41"/>
    <n v="76.95"/>
    <n v="172.53"/>
    <n v="11.84"/>
    <n v="2.6823911630929174"/>
    <n v="1.1963716455109257"/>
    <n v="7.6"/>
    <n v="0.74"/>
    <n v="11.24"/>
    <n v="17.433277027027028"/>
    <s v="NO"/>
    <n v="-1.0634460357888933"/>
    <n v="-0.89294316371078952"/>
    <n v="-1.0322491172961235"/>
    <n v="-0.99183498998729547"/>
    <n v="1.2310347923503961"/>
    <n v="0.70897423219634148"/>
    <x v="1"/>
    <x v="0"/>
    <x v="0"/>
    <x v="0"/>
    <x v="0"/>
    <x v="0"/>
  </r>
  <r>
    <x v="4"/>
    <s v="RNR"/>
    <n v="12072"/>
    <n v="243.44"/>
    <n v="71.569999999999993"/>
    <n v="196.17"/>
    <n v="31.81"/>
    <n v="3.4014251781472686"/>
    <n v="1.2409644695927002"/>
    <n v="13.99"/>
    <n v="2.91"/>
    <n v="5.59"/>
    <n v="7.6529393272555799"/>
    <s v="NO"/>
    <n v="-0.98527170821678856"/>
    <n v="-0.85162391803994753"/>
    <n v="-2.4638369230860577E-2"/>
    <n v="0.30350113385543148"/>
    <n v="-0.16924929571410566"/>
    <n v="-1.9422852413600002"/>
    <x v="1"/>
    <x v="0"/>
    <x v="0"/>
    <x v="0"/>
    <x v="0"/>
    <x v="0"/>
  </r>
  <r>
    <x v="5"/>
    <s v="NLY"/>
    <n v="11523"/>
    <n v="19.559999999999999"/>
    <n v="4.82"/>
    <n v="19.809999999999999"/>
    <n v="0.93"/>
    <n v="4.0580912863070537"/>
    <n v="0.98738011105502277"/>
    <n v="5.51"/>
    <n v="0.69"/>
    <n v="9.17"/>
    <n v="21.032258064516128"/>
    <s v="NO"/>
    <e v="#DIV/0!"/>
    <e v="#DIV/0!"/>
    <e v="#DIV/0!"/>
    <e v="#DIV/0!"/>
    <e v="#DIV/0!"/>
    <e v="#DIV/0!"/>
    <x v="1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x v="0"/>
    <s v="AVAL"/>
    <n v="3324"/>
    <n v="2.8"/>
    <n v="-0.14000000000000001"/>
    <n v="0.17"/>
    <n v="0.01"/>
    <n v="-19.999999999999996"/>
    <n v="16.470588235294116"/>
    <n v="6.78"/>
    <n v="0.7"/>
    <n v="18.79"/>
    <n v="280"/>
    <s v="NO"/>
    <n v="-5.8214252306940368"/>
    <n v="43.052369393892469"/>
    <n v="-0.77284847916513155"/>
    <n v="-0.88894291579516871"/>
    <n v="5.3120026253010746"/>
    <n v="69.643966307985266"/>
    <x v="0"/>
    <x v="0"/>
    <x v="0"/>
    <x v="0"/>
    <x v="0"/>
    <x v="0"/>
  </r>
  <r>
    <x v="0"/>
    <s v="BBAR"/>
    <n v="4062"/>
    <n v="21.94"/>
    <n v="-8.4499999999999993"/>
    <n v="4.08"/>
    <n v="0.56000000000000005"/>
    <n v="-2.596449704142012"/>
    <n v="5.3774509803921573"/>
    <n v="12.5"/>
    <n v="2.5499999999999998"/>
    <n v="5.71"/>
    <n v="39.178571428571431"/>
    <s v="NO"/>
    <n v="-2.5568734674526605"/>
    <n v="11.782152629807143"/>
    <n v="0.84784994900000632"/>
    <n v="3.0413441308239624"/>
    <n v="-1.6330772086649206"/>
    <n v="6.5108009930722002"/>
    <x v="1"/>
    <x v="0"/>
    <x v="1"/>
    <x v="0"/>
    <x v="1"/>
    <x v="0"/>
  </r>
  <r>
    <x v="0"/>
    <s v="BMA"/>
    <n v="5427"/>
    <n v="93"/>
    <n v="1.21"/>
    <n v="6.15"/>
    <n v="0.49"/>
    <n v="76.859504132231407"/>
    <n v="15.121951219512194"/>
    <n v="7.66"/>
    <n v="2.23"/>
    <n v="3.58"/>
    <n v="189.79591836734693"/>
    <s v="NO"/>
    <n v="12.347446041325512"/>
    <n v="39.250724209980739"/>
    <n v="-0.52351025944741802"/>
    <n v="2.3615106957330863"/>
    <n v="-2.7640420440125939"/>
    <n v="45.996281666395831"/>
    <x v="0"/>
    <x v="0"/>
    <x v="0"/>
    <x v="0"/>
    <x v="0"/>
    <x v="0"/>
  </r>
  <r>
    <x v="0"/>
    <s v="CIB"/>
    <n v="9791"/>
    <n v="41.77"/>
    <n v="-4.71"/>
    <n v="10.119999999999999"/>
    <n v="1.58"/>
    <n v="-8.8683651804670927"/>
    <n v="4.1274703557312256"/>
    <n v="16.29"/>
    <n v="1.84"/>
    <n v="8.9600000000000009"/>
    <n v="26.436708860759495"/>
    <s v="NO"/>
    <n v="-3.7333571376846439"/>
    <n v="8.2586079205066394"/>
    <n v="1.9217043271024312"/>
    <n v="1.5329636967160802"/>
    <n v="9.2573361701248469E-2"/>
    <n v="3.170425011227314"/>
    <x v="0"/>
    <x v="0"/>
    <x v="0"/>
    <x v="0"/>
    <x v="1"/>
    <x v="1"/>
  </r>
  <r>
    <x v="0"/>
    <s v="CMA"/>
    <n v="7187"/>
    <n v="58.57"/>
    <n v="7.04"/>
    <n v="50.74"/>
    <n v="5.29"/>
    <n v="8.3196022727272734"/>
    <n v="1.154316121403232"/>
    <n v="11.17"/>
    <n v="0.93"/>
    <n v="11.66"/>
    <n v="11.071833648393195"/>
    <s v="NO"/>
    <n v="-0.50924432725335"/>
    <n v="-0.12235548454014726"/>
    <n v="0.47100923056300742"/>
    <n v="-0.40031263432360081"/>
    <n v="1.5261907586208343"/>
    <n v="-0.85759364383857484"/>
    <x v="1"/>
    <x v="1"/>
    <x v="0"/>
    <x v="0"/>
    <x v="1"/>
    <x v="1"/>
  </r>
  <r>
    <x v="0"/>
    <s v="GGAL"/>
    <n v="9372"/>
    <n v="62.47"/>
    <n v="-1.91"/>
    <n v="3.7"/>
    <n v="1.06"/>
    <n v="-32.706806282722511"/>
    <n v="16.883783783783784"/>
    <n v="31.07"/>
    <n v="5.93"/>
    <n v="5.36"/>
    <n v="58.933962264150942"/>
    <s v="NO"/>
    <n v="-8.2049634255013952"/>
    <n v="44.217117838839144"/>
    <n v="6.109453062815847"/>
    <n v="10.222084788971348"/>
    <n v="-1.8189165008582"/>
    <n v="11.689826642417311"/>
    <x v="0"/>
    <x v="0"/>
    <x v="1"/>
    <x v="1"/>
    <x v="1"/>
    <x v="0"/>
  </r>
  <r>
    <x v="0"/>
    <s v="IFS"/>
    <n v="3925"/>
    <n v="34.9"/>
    <n v="-4.9400000000000004"/>
    <n v="25.55"/>
    <n v="3.02"/>
    <n v="-7.0647773279352215"/>
    <n v="1.3659491193737767"/>
    <n v="12.46"/>
    <n v="1.41"/>
    <n v="8.75"/>
    <n v="11.556291390728477"/>
    <s v="NO"/>
    <n v="-3.3950407709634831"/>
    <n v="0.47421242667431202"/>
    <n v="0.83651639355829222"/>
    <n v="0.6194375183127141"/>
    <n v="-1.8930213614719794E-2"/>
    <n v="-0.73058936969080646"/>
    <x v="0"/>
    <x v="1"/>
    <x v="0"/>
    <x v="0"/>
    <x v="1"/>
    <x v="1"/>
  </r>
  <r>
    <x v="0"/>
    <s v="INTR"/>
    <n v="2968"/>
    <n v="7.08"/>
    <n v="-2.56"/>
    <n v="3.27"/>
    <n v="0.33"/>
    <n v="-2.765625"/>
    <n v="2.165137614678899"/>
    <n v="11.67"/>
    <n v="1.42"/>
    <n v="8.6"/>
    <n v="21.454545454545453"/>
    <s v="NO"/>
    <n v="-2.5886073091689408"/>
    <n v="2.7270284614268929"/>
    <n v="0.61267867358443551"/>
    <n v="0.64068231315930402"/>
    <n v="-9.8575624554696997E-2"/>
    <n v="1.8643130600762239"/>
    <x v="1"/>
    <x v="1"/>
    <x v="0"/>
    <x v="0"/>
    <x v="1"/>
    <x v="1"/>
  </r>
  <r>
    <x v="0"/>
    <s v="WF"/>
    <n v="9385"/>
    <n v="37.869999999999997"/>
    <n v="-9.09"/>
    <n v="26.07"/>
    <n v="2.48"/>
    <n v="-4.1661166116611659"/>
    <n v="1.4526275412351362"/>
    <n v="8.6"/>
    <n v="0.57999999999999996"/>
    <n v="15.8"/>
    <n v="15.27016129032258"/>
    <s v="NO"/>
    <n v="-2.8513110266593507"/>
    <n v="0.71854844975703525"/>
    <n v="-0.25717170656713328"/>
    <n v="-1.1438804539542475"/>
    <n v="3.7244041005641999"/>
    <n v="0.24302981245605929"/>
    <x v="0"/>
    <x v="1"/>
    <x v="0"/>
    <x v="0"/>
    <x v="0"/>
    <x v="1"/>
  </r>
  <r>
    <x v="0"/>
    <s v="ABCB"/>
    <n v="4095"/>
    <n v="63.58"/>
    <n v="3.24"/>
    <n v="54.53"/>
    <n v="5.38"/>
    <n v="19.623456790123456"/>
    <n v="1.1659636897120851"/>
    <n v="10.19"/>
    <n v="1.43"/>
    <n v="6.93"/>
    <n v="11.817843866171003"/>
    <s v="NO"/>
    <n v="1.6111286753156906"/>
    <n v="-8.9522393465629166E-2"/>
    <n v="0.19333712224100813"/>
    <n v="0.66192710800589394"/>
    <n v="-0.98529453301977432"/>
    <n v="-0.66202140309168778"/>
    <x v="1"/>
    <x v="1"/>
    <x v="0"/>
    <x v="0"/>
    <x v="1"/>
    <x v="1"/>
  </r>
  <r>
    <x v="0"/>
    <s v="ASB"/>
    <n v="3726"/>
    <n v="24.56"/>
    <n v="3.01"/>
    <n v="27.5"/>
    <n v="0.83"/>
    <n v="8.1594684385382052"/>
    <n v="0.89309090909090905"/>
    <n v="3.24"/>
    <n v="0.34"/>
    <n v="9.64"/>
    <n v="29.590361445783131"/>
    <s v="NO"/>
    <n v="-0.53928217481143936"/>
    <n v="-0.85871787018005563"/>
    <n v="-1.7758681357568429"/>
    <n v="-1.653755530272405"/>
    <n v="0.45363255796247742"/>
    <n v="3.9971789723560112"/>
    <x v="1"/>
    <x v="1"/>
    <x v="0"/>
    <x v="0"/>
    <x v="1"/>
    <x v="0"/>
  </r>
  <r>
    <x v="0"/>
    <s v="AX"/>
    <n v="3783"/>
    <n v="73.59"/>
    <n v="6.56"/>
    <n v="45.79"/>
    <n v="7.33"/>
    <n v="11.217987804878049"/>
    <n v="1.6071194583970301"/>
    <n v="17.8"/>
    <n v="1.83"/>
    <n v="9.2100000000000009"/>
    <n v="10.039563437926331"/>
    <s v="NO"/>
    <n v="3.4433798110992245E-2"/>
    <n v="1.1540425419099798"/>
    <n v="2.3495460450271448"/>
    <n v="1.5117189018694903"/>
    <n v="0.22531571326787683"/>
    <n v="-1.1282111143587898"/>
    <x v="1"/>
    <x v="1"/>
    <x v="0"/>
    <x v="0"/>
    <x v="1"/>
    <x v="1"/>
  </r>
  <r>
    <x v="0"/>
    <s v="BANC"/>
    <n v="2150"/>
    <n v="14.62"/>
    <n v="0.15"/>
    <n v="18.190000000000001"/>
    <n v="0.65"/>
    <n v="97.466666666666669"/>
    <n v="0.80373831775700921"/>
    <n v="4.33"/>
    <n v="0.43"/>
    <n v="11.17"/>
    <n v="22.492307692307691"/>
    <s v="NO"/>
    <n v="16.212930246763936"/>
    <n v="-1.1105920546637194"/>
    <n v="-1.4670287499701296"/>
    <n v="-1.4625523766530961"/>
    <n v="1.2660157495502427"/>
    <n v="2.1363703072359583"/>
    <x v="0"/>
    <x v="1"/>
    <x v="0"/>
    <x v="0"/>
    <x v="1"/>
    <x v="1"/>
  </r>
  <r>
    <x v="0"/>
    <s v="BANF"/>
    <n v="4024"/>
    <n v="128.43"/>
    <n v="6.79"/>
    <n v="48.81"/>
    <n v="6.61"/>
    <n v="18.914580265095729"/>
    <n v="2.6312231100184387"/>
    <n v="14.16"/>
    <n v="1.67"/>
    <n v="8.36"/>
    <n v="19.429652042360061"/>
    <s v="NO"/>
    <n v="1.4781578693387947"/>
    <n v="4.0408672912334112"/>
    <n v="1.3181924998311476"/>
    <n v="1.1718021843240516"/>
    <n v="-0.22600828205866033"/>
    <n v="1.3334718832967183"/>
    <x v="1"/>
    <x v="0"/>
    <x v="0"/>
    <x v="0"/>
    <x v="1"/>
    <x v="1"/>
  </r>
  <r>
    <x v="0"/>
    <s v="BANR"/>
    <n v="2137"/>
    <n v="65.09"/>
    <n v="8.11"/>
    <n v="53.16"/>
    <n v="5.09"/>
    <n v="8.0258939580764501"/>
    <n v="1.2244168547780288"/>
    <n v="10.09"/>
    <n v="1.1100000000000001"/>
    <n v="8.82"/>
    <n v="12.787819253438116"/>
    <s v="NO"/>
    <n v="-0.56433802826102297"/>
    <n v="7.5250032959655599E-2"/>
    <n v="0.16500323363672259"/>
    <n v="-1.7906327084982493E-2"/>
    <n v="1.8237644823936295E-2"/>
    <n v="-0.40773499328589213"/>
    <x v="1"/>
    <x v="1"/>
    <x v="0"/>
    <x v="0"/>
    <x v="1"/>
    <x v="1"/>
  </r>
  <r>
    <x v="0"/>
    <s v="BKU"/>
    <n v="2492"/>
    <n v="35.799999999999997"/>
    <n v="5.89"/>
    <n v="38.51"/>
    <n v="3.21"/>
    <n v="6.0780984719864177"/>
    <n v="0.92962866787847309"/>
    <n v="8.77"/>
    <n v="0.69"/>
    <n v="12.02"/>
    <n v="11.152647975077882"/>
    <s v="NO"/>
    <n v="-0.92970481150077167"/>
    <n v="-0.75572233238878639"/>
    <n v="-0.20900409593984776"/>
    <n v="-0.91018771064175863"/>
    <n v="1.7173397448767789"/>
    <n v="-0.83640755472406558"/>
    <x v="1"/>
    <x v="1"/>
    <x v="0"/>
    <x v="0"/>
    <x v="1"/>
    <x v="1"/>
  </r>
  <r>
    <x v="0"/>
    <s v="BOH"/>
    <n v="2659"/>
    <n v="70.44"/>
    <n v="2.8"/>
    <n v="34.229999999999997"/>
    <n v="3.56"/>
    <n v="25.157142857142858"/>
    <n v="2.0578439964943032"/>
    <n v="10.039999999999999"/>
    <n v="0.67"/>
    <n v="17.559999999999999"/>
    <n v="19.786516853932582"/>
    <s v="NO"/>
    <n v="2.6491355359969777"/>
    <n v="2.4245806848474829"/>
    <n v="0.1508362893345796"/>
    <n v="-0.95267730033493825"/>
    <n v="4.6589102555932627"/>
    <n v="1.4270267022251375"/>
    <x v="1"/>
    <x v="1"/>
    <x v="0"/>
    <x v="0"/>
    <x v="0"/>
    <x v="1"/>
  </r>
  <r>
    <x v="0"/>
    <s v="BOKF"/>
    <n v="6031"/>
    <n v="98.56"/>
    <n v="17.190000000000001"/>
    <n v="89.82"/>
    <n v="8.7200000000000006"/>
    <n v="5.7335660267597435"/>
    <n v="1.0973057225562237"/>
    <n v="10.26"/>
    <n v="1.1100000000000001"/>
    <n v="8.74"/>
    <n v="11.302752293577981"/>
    <s v="NO"/>
    <n v="-0.99433208481214252"/>
    <n v="-0.28306092690408613"/>
    <n v="0.21317084426400815"/>
    <n v="-1.7906327084982493E-2"/>
    <n v="-2.4239907677384816E-2"/>
    <n v="-0.79705656834978456"/>
    <x v="1"/>
    <x v="1"/>
    <x v="0"/>
    <x v="0"/>
    <x v="1"/>
    <x v="1"/>
  </r>
  <r>
    <x v="0"/>
    <s v="BPOP"/>
    <n v="6832"/>
    <n v="104.07"/>
    <n v="6.44"/>
    <n v="83.75"/>
    <n v="9.68"/>
    <n v="16.159937888198755"/>
    <n v="1.2426268656716417"/>
    <n v="12.54"/>
    <n v="0.95"/>
    <n v="12.82"/>
    <n v="10.75103305785124"/>
    <s v="NO"/>
    <n v="0.9614430338182125"/>
    <n v="0.12658185864927338"/>
    <n v="0.85918350444172031"/>
    <n v="-0.35782304463042119"/>
    <n v="2.1421152698899899"/>
    <n v="-0.94169395349934826"/>
    <x v="1"/>
    <x v="1"/>
    <x v="0"/>
    <x v="0"/>
    <x v="1"/>
    <x v="1"/>
  </r>
  <r>
    <x v="0"/>
    <s v="CADE"/>
    <n v="5511"/>
    <n v="32.18"/>
    <n v="4.2"/>
    <n v="30.16"/>
    <n v="2.85"/>
    <n v="7.6619047619047613"/>
    <n v="1.0669761273209548"/>
    <n v="9.9"/>
    <n v="1.1200000000000001"/>
    <n v="8.6"/>
    <n v="11.291228070175437"/>
    <s v="NO"/>
    <n v="-0.63261499198180482"/>
    <n v="-0.36855639996827572"/>
    <n v="0.11116884528858005"/>
    <n v="3.3384677616074255E-3"/>
    <n v="-9.8575624554696997E-2"/>
    <n v="-0.80007773098267299"/>
    <x v="1"/>
    <x v="1"/>
    <x v="0"/>
    <x v="0"/>
    <x v="1"/>
    <x v="1"/>
  </r>
  <r>
    <x v="0"/>
    <s v="CATY"/>
    <n v="2932"/>
    <n v="45.18"/>
    <n v="4.5199999999999996"/>
    <n v="40.909999999999997"/>
    <n v="3.95"/>
    <n v="9.9955752212389388"/>
    <n v="1.1043754583231484"/>
    <n v="10.07"/>
    <n v="1.22"/>
    <n v="8.1"/>
    <n v="11.437974683544303"/>
    <s v="NO"/>
    <n v="-0.19486591875639134"/>
    <n v="-0.26313219395715964"/>
    <n v="0.15933645591586559"/>
    <n v="0.21578641622750613"/>
    <n v="-0.36406032768795371"/>
    <n v="-0.76160699249325192"/>
    <x v="1"/>
    <x v="1"/>
    <x v="0"/>
    <x v="0"/>
    <x v="1"/>
    <x v="1"/>
  </r>
  <r>
    <x v="0"/>
    <s v="CBSH"/>
    <n v="8307"/>
    <n v="65.45"/>
    <n v="3.95"/>
    <n v="26.03"/>
    <n v="4.04"/>
    <n v="16.569620253164558"/>
    <n v="2.514406454091433"/>
    <n v="17.010000000000002"/>
    <n v="1.75"/>
    <n v="9.31"/>
    <n v="16.200495049504951"/>
    <s v="NO"/>
    <n v="1.0382911058599451"/>
    <n v="3.7115752191571501"/>
    <n v="2.1257083250532887"/>
    <n v="1.341760543096771"/>
    <n v="0.27841265389452796"/>
    <n v="0.48692386858273062"/>
    <x v="1"/>
    <x v="0"/>
    <x v="0"/>
    <x v="0"/>
    <x v="1"/>
    <x v="1"/>
  </r>
  <r>
    <x v="0"/>
    <s v="CBU"/>
    <n v="2952"/>
    <n v="57.78"/>
    <n v="4.2"/>
    <n v="34.71"/>
    <n v="3.61"/>
    <n v="13.757142857142856"/>
    <n v="1.6646499567847883"/>
    <n v="10.96"/>
    <n v="1.17"/>
    <n v="9.14"/>
    <n v="16.005540166204987"/>
    <s v="NO"/>
    <n v="0.51072759805979584"/>
    <n v="1.3162140821869293"/>
    <n v="0.41150806449400784"/>
    <n v="0.10956244199455654"/>
    <n v="0.18814785482922072"/>
    <n v="0.43581496623405291"/>
    <x v="1"/>
    <x v="1"/>
    <x v="0"/>
    <x v="0"/>
    <x v="1"/>
    <x v="1"/>
  </r>
  <r>
    <x v="0"/>
    <s v="CFR"/>
    <n v="7881"/>
    <n v="130.49"/>
    <n v="1.06"/>
    <n v="61.74"/>
    <n v="9.11"/>
    <n v="123.10377358490567"/>
    <n v="2.113540654356981"/>
    <n v="15.42"/>
    <n v="1.18"/>
    <n v="13.1"/>
    <n v="14.323819978046105"/>
    <s v="NO"/>
    <n v="21.021929627439945"/>
    <n v="2.5815828497338331"/>
    <n v="1.6751994962451466"/>
    <n v="0.13080723684114648"/>
    <n v="2.2907867036446135"/>
    <n v="-5.0607452102479434E-3"/>
    <x v="0"/>
    <x v="1"/>
    <x v="0"/>
    <x v="0"/>
    <x v="1"/>
    <x v="1"/>
  </r>
  <r>
    <x v="0"/>
    <s v="COLB"/>
    <n v="4917"/>
    <n v="25.61"/>
    <n v="2.99"/>
    <n v="24.93"/>
    <n v="2.37"/>
    <n v="8.5652173913043477"/>
    <n v="1.027276373846771"/>
    <n v="9.73"/>
    <n v="0.96"/>
    <n v="9.84"/>
    <n v="10.805907172995781"/>
    <s v="NO"/>
    <n v="-0.46317193082856067"/>
    <n v="-0.48046521963693223"/>
    <n v="6.3001234661294508E-2"/>
    <n v="-0.33657824978383127"/>
    <n v="0.55982643921577968"/>
    <n v="-0.92730828772416862"/>
    <x v="1"/>
    <x v="1"/>
    <x v="0"/>
    <x v="0"/>
    <x v="1"/>
    <x v="1"/>
  </r>
  <r>
    <x v="0"/>
    <s v="CVBF"/>
    <n v="2620"/>
    <n v="20"/>
    <n v="1.77"/>
    <n v="16.02"/>
    <n v="1.45"/>
    <n v="11.299435028248588"/>
    <n v="1.2484394506866416"/>
    <n v="9.42"/>
    <n v="1.28"/>
    <n v="6.85"/>
    <n v="13.793103448275863"/>
    <s v="NO"/>
    <n v="4.9711639249457408E-2"/>
    <n v="0.14296683516242373"/>
    <n v="-2.4833820011991081E-2"/>
    <n v="0.34325518530704568"/>
    <n v="-1.0277720855210954"/>
    <n v="-0.14419211158449777"/>
    <x v="1"/>
    <x v="1"/>
    <x v="0"/>
    <x v="0"/>
    <x v="1"/>
    <x v="1"/>
  </r>
  <r>
    <x v="0"/>
    <s v="EBC"/>
    <n v="2917"/>
    <n v="15.7"/>
    <n v="1.49"/>
    <n v="17.91"/>
    <n v="-0.72"/>
    <n v="10.536912751677852"/>
    <n v="0.87660524846454491"/>
    <n v="-4.18"/>
    <n v="-0.59"/>
    <n v="6.97"/>
    <n v="-21.805555555555557"/>
    <s v="NO"/>
    <n v="-9.3322017686752606E-2"/>
    <n v="-0.90518896031803742"/>
    <n v="-3.8782426701948363"/>
    <n v="-3.6295214510052656"/>
    <n v="-0.96405575676911381"/>
    <n v="-9.4766507603442509"/>
    <x v="1"/>
    <x v="1"/>
    <x v="1"/>
    <x v="1"/>
    <x v="1"/>
    <x v="0"/>
  </r>
  <r>
    <x v="0"/>
    <s v="FBK"/>
    <n v="2018"/>
    <n v="46.41"/>
    <n v="2.83"/>
    <n v="34.44"/>
    <n v="2.73"/>
    <n v="16.399293286219081"/>
    <n v="1.3475609756097562"/>
    <n v="8.27"/>
    <n v="0.99"/>
    <n v="8.1999999999999993"/>
    <n v="17"/>
    <s v="NO"/>
    <n v="1.0063412340914386"/>
    <n v="0.42237846589500244"/>
    <n v="-0.3506735389612759"/>
    <n v="-0.27284386524406151"/>
    <n v="-0.31096338706130255"/>
    <n v="0.6965201595320808"/>
    <x v="1"/>
    <x v="1"/>
    <x v="0"/>
    <x v="0"/>
    <x v="1"/>
    <x v="1"/>
  </r>
  <r>
    <x v="0"/>
    <s v="FBP"/>
    <n v="3282"/>
    <n v="20.93"/>
    <n v="2.4"/>
    <n v="10.98"/>
    <n v="1.84"/>
    <n v="8.7208333333333332"/>
    <n v="1.9061930783242258"/>
    <n v="18.55"/>
    <n v="1.59"/>
    <n v="10.74"/>
    <n v="11.375"/>
    <s v="NO"/>
    <n v="-0.43398154787203835"/>
    <n v="1.9970950264008276"/>
    <n v="2.562050209559287"/>
    <n v="1.0018438255513327"/>
    <n v="1.037698904855642"/>
    <n v="-0.77811628375707964"/>
    <x v="1"/>
    <x v="1"/>
    <x v="0"/>
    <x v="0"/>
    <x v="1"/>
    <x v="1"/>
  </r>
  <r>
    <x v="0"/>
    <s v="FFBC"/>
    <n v="2276"/>
    <n v="25.19"/>
    <n v="2.5499999999999998"/>
    <n v="26.13"/>
    <n v="2.41"/>
    <n v="9.87843137254902"/>
    <n v="0.96402602372751633"/>
    <n v="9.58"/>
    <n v="1.27"/>
    <n v="7.38"/>
    <n v="10.452282157676349"/>
    <s v="NO"/>
    <n v="-0.21683972015279787"/>
    <n v="-0.65876033247882793"/>
    <n v="2.0500401754865963E-2"/>
    <n v="0.32201039046045576"/>
    <n v="-0.74635830019984317"/>
    <n v="-1.0200137694750526"/>
    <x v="1"/>
    <x v="1"/>
    <x v="0"/>
    <x v="0"/>
    <x v="1"/>
    <x v="1"/>
  </r>
  <r>
    <x v="0"/>
    <s v="FFIN"/>
    <n v="4864"/>
    <n v="35.93"/>
    <n v="2.0499999999999998"/>
    <n v="11.75"/>
    <n v="1.62"/>
    <n v="17.526829268292683"/>
    <n v="3.0578723404255319"/>
    <n v="14.6"/>
    <n v="1.68"/>
    <n v="8.52"/>
    <n v="22.179012345679009"/>
    <s v="NO"/>
    <n v="1.2178440318437183"/>
    <n v="5.2435400438097428"/>
    <n v="1.4428616096900044"/>
    <n v="1.1930469791706415"/>
    <n v="-0.14105317705601811"/>
    <n v="2.0542375542312357"/>
    <x v="1"/>
    <x v="0"/>
    <x v="0"/>
    <x v="0"/>
    <x v="1"/>
    <x v="1"/>
  </r>
  <r>
    <x v="0"/>
    <s v="FHB"/>
    <n v="2892"/>
    <n v="24.54"/>
    <n v="2.2599999999999998"/>
    <n v="21.07"/>
    <n v="1.84"/>
    <n v="10.858407079646017"/>
    <n v="1.16468913146654"/>
    <n v="9.11"/>
    <n v="0.98"/>
    <n v="8.9600000000000009"/>
    <n v="13.336956521739129"/>
    <s v="NO"/>
    <n v="-3.3016226201760888E-2"/>
    <n v="-9.3115219525636339E-2"/>
    <n v="-0.11266887468527667"/>
    <n v="-0.29408866009065143"/>
    <n v="9.2573361701248469E-2"/>
    <n v="-0.26377449049390422"/>
    <x v="1"/>
    <x v="1"/>
    <x v="0"/>
    <x v="0"/>
    <x v="1"/>
    <x v="1"/>
  </r>
  <r>
    <x v="0"/>
    <s v="FHN"/>
    <n v="9430"/>
    <n v="20.2"/>
    <n v="2.21"/>
    <n v="16.41"/>
    <n v="1.44"/>
    <n v="9.1402714932126692"/>
    <n v="1.230956733698964"/>
    <n v="8.99"/>
    <n v="1"/>
    <n v="9.7899999999999991"/>
    <n v="14.027777777777779"/>
    <s v="NO"/>
    <n v="-0.35530348729662281"/>
    <n v="9.3685163326238635E-2"/>
    <n v="-0.14666954101041921"/>
    <n v="-0.25159907039747159"/>
    <n v="0.53327796890245371"/>
    <n v="-8.2670454946635857E-2"/>
    <x v="1"/>
    <x v="1"/>
    <x v="0"/>
    <x v="0"/>
    <x v="1"/>
    <x v="1"/>
  </r>
  <r>
    <x v="0"/>
    <s v="FIBK"/>
    <n v="2764"/>
    <n v="28.21"/>
    <n v="3.22"/>
    <n v="32.04"/>
    <n v="2.11"/>
    <n v="8.7608695652173907"/>
    <n v="0.88046192259675415"/>
    <n v="6.63"/>
    <n v="0.75"/>
    <n v="8.41"/>
    <n v="13.369668246445499"/>
    <s v="NO"/>
    <n v="-0.42647156576098899"/>
    <n v="-0.89431746081961272"/>
    <n v="-0.81534931207156014"/>
    <n v="-0.78271894156221911"/>
    <n v="-0.19945981174533428"/>
    <n v="-0.25519886358281868"/>
    <x v="1"/>
    <x v="1"/>
    <x v="0"/>
    <x v="0"/>
    <x v="1"/>
    <x v="1"/>
  </r>
  <r>
    <x v="0"/>
    <s v="FLG"/>
    <n v="5006"/>
    <n v="12.44"/>
    <n v="4.33"/>
    <n v="18.43"/>
    <n v="-2.4900000000000002"/>
    <n v="2.8729792147806004"/>
    <n v="0.67498643516006507"/>
    <n v="-10.4"/>
    <n v="-0.85"/>
    <n v="12.76"/>
    <n v="-4.9959839357429709"/>
    <s v="NO"/>
    <n v="-1.5309199397151787"/>
    <n v="-1.4735280920603009"/>
    <n v="-5.6406105413814025"/>
    <n v="-4.1818861170166031"/>
    <n v="2.1102571055139987"/>
    <n v="-5.0698939769389462"/>
    <x v="1"/>
    <x v="1"/>
    <x v="1"/>
    <x v="1"/>
    <x v="1"/>
    <x v="0"/>
  </r>
  <r>
    <x v="0"/>
    <s v="FNB"/>
    <n v="4851"/>
    <n v="14.49"/>
    <n v="1.39"/>
    <n v="17.86"/>
    <n v="1.27"/>
    <n v="10.424460431654676"/>
    <n v="0.81131019036954088"/>
    <n v="7.39"/>
    <n v="0.97"/>
    <n v="7.64"/>
    <n v="11.409448818897637"/>
    <s v="NO"/>
    <n v="-0.11441578380754298"/>
    <n v="-1.089247858476182"/>
    <n v="-0.60001175867898937"/>
    <n v="-0.31533345493724135"/>
    <n v="-0.60830625457054988"/>
    <n v="-0.76908526441935099"/>
    <x v="1"/>
    <x v="1"/>
    <x v="0"/>
    <x v="0"/>
    <x v="1"/>
    <x v="1"/>
  </r>
  <r>
    <x v="0"/>
    <s v="FRME"/>
    <n v="2167"/>
    <n v="39.340000000000003"/>
    <n v="4.5999999999999996"/>
    <n v="39.909999999999997"/>
    <n v="3.55"/>
    <n v="8.5521739130434788"/>
    <n v="0.98571786519669269"/>
    <n v="9.16"/>
    <n v="1.1399999999999999"/>
    <n v="7.99"/>
    <n v="11.081690140845073"/>
    <s v="NO"/>
    <n v="-0.46561862183306535"/>
    <n v="-0.59761364609364132"/>
    <n v="-9.8501930383133651E-2"/>
    <n v="4.582805745478679E-2"/>
    <n v="-0.42246696237726988"/>
    <n v="-0.85500968953234491"/>
    <x v="1"/>
    <x v="1"/>
    <x v="0"/>
    <x v="0"/>
    <x v="1"/>
    <x v="1"/>
  </r>
  <r>
    <x v="0"/>
    <s v="FULT"/>
    <n v="3119"/>
    <n v="18.399999999999999"/>
    <n v="2.13"/>
    <n v="16.5"/>
    <n v="1.57"/>
    <n v="8.63849765258216"/>
    <n v="1.115151515151515"/>
    <n v="9.69"/>
    <n v="0.97"/>
    <n v="10.68"/>
    <n v="11.719745222929935"/>
    <s v="NO"/>
    <n v="-0.44942604552938664"/>
    <n v="-0.23275578869486824"/>
    <n v="5.1667679219579994E-2"/>
    <n v="-0.31533345493724135"/>
    <n v="1.005840740479651"/>
    <n v="-0.68773870697799899"/>
    <x v="1"/>
    <x v="1"/>
    <x v="0"/>
    <x v="0"/>
    <x v="1"/>
    <x v="1"/>
  </r>
  <r>
    <x v="0"/>
    <s v="GBCI"/>
    <n v="4671"/>
    <n v="44.03"/>
    <n v="2.82"/>
    <n v="28.96"/>
    <n v="1.87"/>
    <n v="15.613475177304966"/>
    <n v="1.5203729281767955"/>
    <n v="6.63"/>
    <n v="0.76"/>
    <n v="8.4700000000000006"/>
    <n v="23.545454545454543"/>
    <s v="NO"/>
    <n v="0.85893775322505916"/>
    <n v="0.90951452957331214"/>
    <n v="-0.81534931207156014"/>
    <n v="-0.76147414671562919"/>
    <n v="-0.16760164736934322"/>
    <n v="2.4124607480867399"/>
    <x v="1"/>
    <x v="1"/>
    <x v="0"/>
    <x v="0"/>
    <x v="1"/>
    <x v="1"/>
  </r>
  <r>
    <x v="0"/>
    <s v="HOMB"/>
    <n v="5572"/>
    <n v="29.62"/>
    <n v="2.11"/>
    <n v="20.399999999999999"/>
    <n v="2.09"/>
    <n v="14.037914691943129"/>
    <n v="1.4519607843137257"/>
    <n v="10.63"/>
    <n v="1.82"/>
    <n v="5.69"/>
    <n v="14.172248803827753"/>
    <s v="NO"/>
    <n v="0.56339467878664595"/>
    <n v="0.71666894236590051"/>
    <n v="0.31800623209986523"/>
    <n v="1.4904741070229004"/>
    <n v="-1.6436965967902506"/>
    <n v="-4.4796278944383545E-2"/>
    <x v="1"/>
    <x v="1"/>
    <x v="0"/>
    <x v="0"/>
    <x v="1"/>
    <x v="1"/>
  </r>
  <r>
    <x v="0"/>
    <s v="HWC"/>
    <n v="4628"/>
    <n v="58.03"/>
    <n v="7.13"/>
    <n v="48.62"/>
    <n v="5.42"/>
    <n v="8.1388499298737731"/>
    <n v="1.1935417523652818"/>
    <n v="11.74"/>
    <n v="1.36"/>
    <n v="8.2100000000000009"/>
    <n v="10.706642066420665"/>
    <s v="NO"/>
    <n v="-0.54314978731989982"/>
    <n v="-1.1783159082865769E-2"/>
    <n v="0.63251239560743555"/>
    <n v="0.51321354407976505"/>
    <n v="-0.30565369299863659"/>
    <n v="-0.95333138882686164"/>
    <x v="1"/>
    <x v="1"/>
    <x v="0"/>
    <x v="0"/>
    <x v="1"/>
    <x v="1"/>
  </r>
  <r>
    <x v="0"/>
    <s v="IBOC"/>
    <n v="3865"/>
    <n v="65.260000000000005"/>
    <n v="7.46"/>
    <n v="46.53"/>
    <n v="6.57"/>
    <n v="8.7479892761394105"/>
    <n v="1.4025359982806791"/>
    <n v="15.2"/>
    <n v="2.58"/>
    <n v="5.62"/>
    <n v="9.9330289193302903"/>
    <s v="NO"/>
    <n v="-0.42888764579671518"/>
    <n v="0.57734642816109794"/>
    <n v="1.6128649413157181"/>
    <n v="3.1050785153637328"/>
    <n v="-1.6808644552289067"/>
    <n v="-1.1561399469970099"/>
    <x v="1"/>
    <x v="1"/>
    <x v="1"/>
    <x v="0"/>
    <x v="1"/>
    <x v="1"/>
  </r>
  <r>
    <x v="0"/>
    <s v="INDB"/>
    <n v="2589"/>
    <n v="65.209999999999994"/>
    <n v="4.93"/>
    <n v="71.19"/>
    <n v="4.4400000000000004"/>
    <n v="13.227180527383366"/>
    <n v="0.91599943812333184"/>
    <n v="6.38"/>
    <n v="0.96"/>
    <n v="6.56"/>
    <n v="14.686936936936934"/>
    <s v="NO"/>
    <n v="0.41131745308037693"/>
    <n v="-0.79414148821257824"/>
    <n v="-0.88618403358227416"/>
    <n v="-0.33657824978383127"/>
    <n v="-1.1817532133383843"/>
    <n v="9.0133121590951937E-2"/>
    <x v="1"/>
    <x v="1"/>
    <x v="0"/>
    <x v="0"/>
    <x v="1"/>
    <x v="1"/>
  </r>
  <r>
    <x v="0"/>
    <s v="NBTB"/>
    <n v="2016"/>
    <n v="44.8"/>
    <n v="3.75"/>
    <n v="33.24"/>
    <n v="3.03"/>
    <n v="11.946666666666665"/>
    <n v="1.3477737665463296"/>
    <n v="9.5500000000000007"/>
    <n v="1.05"/>
    <n v="8.85"/>
    <n v="14.785478547854785"/>
    <s v="NO"/>
    <n v="0.17111911936150159"/>
    <n v="0.42297829789556152"/>
    <n v="1.2000235173580457E-2"/>
    <n v="-0.14537509616452202"/>
    <n v="3.416672701193136E-2"/>
    <n v="0.11596655281582009"/>
    <x v="1"/>
    <x v="1"/>
    <x v="0"/>
    <x v="0"/>
    <x v="1"/>
    <x v="1"/>
  </r>
  <r>
    <x v="0"/>
    <s v="ONB"/>
    <n v="7857"/>
    <n v="22.45"/>
    <n v="1.85"/>
    <n v="19.75"/>
    <n v="1.72"/>
    <n v="12.135135135135133"/>
    <n v="1.1367088607594937"/>
    <n v="9.2899999999999991"/>
    <n v="1.0900000000000001"/>
    <n v="8.5500000000000007"/>
    <n v="13.052325581395349"/>
    <s v="NO"/>
    <n v="0.20647196752148714"/>
    <n v="-0.17198822993037918"/>
    <n v="-6.1667875197562616E-2"/>
    <n v="-6.0395916778162334E-2"/>
    <n v="-0.12512409486802209"/>
    <n v="-0.33839265183054434"/>
    <x v="1"/>
    <x v="1"/>
    <x v="0"/>
    <x v="0"/>
    <x v="1"/>
    <x v="1"/>
  </r>
  <r>
    <x v="0"/>
    <s v="OZK"/>
    <n v="4938"/>
    <n v="46.87"/>
    <n v="6.36"/>
    <n v="48.29"/>
    <n v="6.1"/>
    <n v="7.3694968553459113"/>
    <n v="0.97059432594740114"/>
    <n v="12.85"/>
    <n v="1.9"/>
    <n v="7.13"/>
    <n v="7.6836065573770496"/>
    <s v="NO"/>
    <n v="-0.68746476290294856"/>
    <n v="-0.6402450802586267"/>
    <n v="0.94701855911500588"/>
    <n v="1.6604324657956193"/>
    <n v="-0.87910065176647156"/>
    <n v="-1.7458430921144907"/>
    <x v="1"/>
    <x v="1"/>
    <x v="0"/>
    <x v="0"/>
    <x v="1"/>
    <x v="1"/>
  </r>
  <r>
    <x v="0"/>
    <s v="PB"/>
    <n v="6602"/>
    <n v="73.349999999999994"/>
    <n v="4.75"/>
    <n v="78.91"/>
    <n v="5.23"/>
    <n v="15.442105263157893"/>
    <n v="0.92953998225826884"/>
    <n v="6.83"/>
    <n v="1.29"/>
    <n v="5.16"/>
    <n v="14.024856596558315"/>
    <s v="NO"/>
    <n v="0.82679224579210175"/>
    <n v="-0.7559723264620517"/>
    <n v="-0.75868153486298884"/>
    <n v="0.36449998015363561"/>
    <n v="-1.9251103821115028"/>
    <n v="-8.3436264774844254E-2"/>
    <x v="1"/>
    <x v="1"/>
    <x v="0"/>
    <x v="0"/>
    <x v="1"/>
    <x v="1"/>
  </r>
  <r>
    <x v="0"/>
    <s v="PFS"/>
    <n v="2195"/>
    <n v="17.98"/>
    <n v="3.88"/>
    <n v="20.350000000000001"/>
    <n v="1.19"/>
    <n v="4.6340206185567014"/>
    <n v="0.8835380835380835"/>
    <n v="6.77"/>
    <n v="0.77"/>
    <n v="9.11"/>
    <n v="15.109243697478993"/>
    <s v="NO"/>
    <n v="-1.20058442069142"/>
    <n v="-0.88564613392387137"/>
    <n v="-0.77568186802556027"/>
    <n v="-0.74022935186903926"/>
    <n v="0.17221877264122473"/>
    <n v="0.20084404414076676"/>
    <x v="1"/>
    <x v="1"/>
    <x v="0"/>
    <x v="0"/>
    <x v="1"/>
    <x v="1"/>
  </r>
  <r>
    <x v="0"/>
    <s v="PNFP"/>
    <n v="8118"/>
    <n v="111.51"/>
    <n v="10.36"/>
    <n v="82.27"/>
    <n v="6.16"/>
    <n v="10.763513513513514"/>
    <n v="1.3554150966330376"/>
    <n v="7.77"/>
    <n v="0.95"/>
    <n v="8.58"/>
    <n v="18.102272727272727"/>
    <s v="NO"/>
    <n v="-5.0816327524297052E-2"/>
    <n v="0.44451828633045604"/>
    <n v="-0.49234298198270404"/>
    <n v="-0.35782304463042119"/>
    <n v="-0.10919501268002703"/>
    <n v="0.98548932114632026"/>
    <x v="1"/>
    <x v="1"/>
    <x v="0"/>
    <x v="0"/>
    <x v="1"/>
    <x v="1"/>
  </r>
  <r>
    <x v="0"/>
    <s v="PPBI"/>
    <n v="2014"/>
    <n v="22.87"/>
    <n v="1.98"/>
    <n v="30.57"/>
    <n v="1.53"/>
    <n v="11.550505050505052"/>
    <n v="0.74811907098462549"/>
    <n v="5.04"/>
    <n v="0.8"/>
    <n v="6.1"/>
    <n v="14.947712418300654"/>
    <s v="NO"/>
    <n v="9.6807264562728174E-2"/>
    <n v="-1.2673760070175988"/>
    <n v="-1.2658581408797016"/>
    <n v="-0.6764949673292695"/>
    <n v="-1.4259991402209804"/>
    <n v="0.15849739329498994"/>
    <x v="1"/>
    <x v="1"/>
    <x v="0"/>
    <x v="0"/>
    <x v="1"/>
    <x v="1"/>
  </r>
  <r>
    <x v="0"/>
    <s v="PRK"/>
    <n v="2552"/>
    <n v="168.68"/>
    <n v="10.81"/>
    <n v="79"/>
    <n v="9.75"/>
    <n v="15.604070305272895"/>
    <n v="2.1351898734177217"/>
    <n v="12.98"/>
    <n v="1.6"/>
    <n v="7.73"/>
    <n v="17.300512820512822"/>
    <s v="NO"/>
    <n v="0.85717359068043952"/>
    <n v="2.6426093886873092"/>
    <n v="0.98385261430057735"/>
    <n v="1.0230886203979226"/>
    <n v="-0.56051900800656318"/>
    <n v="0.7753018762972046"/>
    <x v="1"/>
    <x v="1"/>
    <x v="0"/>
    <x v="0"/>
    <x v="1"/>
    <x v="1"/>
  </r>
  <r>
    <x v="0"/>
    <s v="RNST"/>
    <n v="3128"/>
    <n v="35.89"/>
    <n v="1.95"/>
    <n v="42.79"/>
    <n v="3.2"/>
    <n v="18.405128205128207"/>
    <n v="0.83874737088104701"/>
    <n v="7.83"/>
    <n v="1.1100000000000001"/>
    <n v="6.7"/>
    <n v="11.215624999999999"/>
    <s v="NO"/>
    <n v="1.3825950334587069"/>
    <n v="-1.011905753869029"/>
    <n v="-0.4753426488201325"/>
    <n v="-1.7906327084982493E-2"/>
    <n v="-1.1074174964610721"/>
    <n v="-0.81989764965027279"/>
    <x v="1"/>
    <x v="1"/>
    <x v="0"/>
    <x v="0"/>
    <x v="1"/>
    <x v="1"/>
  </r>
  <r>
    <x v="0"/>
    <s v="SBCF"/>
    <n v="2069"/>
    <n v="25.87"/>
    <n v="2.08"/>
    <n v="26.34"/>
    <n v="1.48"/>
    <n v="12.4375"/>
    <n v="0.98215641609719062"/>
    <n v="5.82"/>
    <n v="0.83"/>
    <n v="7.06"/>
    <n v="17.47972972972973"/>
    <s v="NO"/>
    <n v="0.26318946113379715"/>
    <n v="-0.60765294181104301"/>
    <n v="-1.0448538097662736"/>
    <n v="-0.61276058278949996"/>
    <n v="-0.91626851020512767"/>
    <n v="0.82228494929007534"/>
    <x v="1"/>
    <x v="1"/>
    <x v="0"/>
    <x v="0"/>
    <x v="1"/>
    <x v="1"/>
  </r>
  <r>
    <x v="0"/>
    <s v="SFBS"/>
    <n v="3976"/>
    <n v="78.349999999999994"/>
    <n v="4.55"/>
    <n v="30.56"/>
    <n v="4.4000000000000004"/>
    <n v="17.219780219780219"/>
    <n v="2.56380890052356"/>
    <n v="15.29"/>
    <n v="1.4"/>
    <n v="11.17"/>
    <n v="17.80681818181818"/>
    <s v="NO"/>
    <n v="1.1602478807318664"/>
    <n v="3.8508347607197568"/>
    <n v="1.6383654410595749"/>
    <n v="0.59819272346612418"/>
    <n v="1.2660157495502427"/>
    <n v="0.90803366957961651"/>
    <x v="1"/>
    <x v="0"/>
    <x v="0"/>
    <x v="0"/>
    <x v="1"/>
    <x v="1"/>
  </r>
  <r>
    <x v="0"/>
    <s v="SFNC"/>
    <n v="2396"/>
    <n v="20.260000000000002"/>
    <n v="3.03"/>
    <n v="28.04"/>
    <n v="1.1599999999999999"/>
    <n v="6.6864686468646877"/>
    <n v="0.72253922967189732"/>
    <n v="4.2"/>
    <n v="0.54"/>
    <n v="7.59"/>
    <n v="17.465517241379313"/>
    <s v="NO"/>
    <n v="-0.81558695087235733"/>
    <n v="-1.3394824963055096"/>
    <n v="-1.5038628051557008"/>
    <n v="-1.228859633340607"/>
    <n v="-0.6348547248838754"/>
    <n v="0.81855903759739146"/>
    <x v="1"/>
    <x v="1"/>
    <x v="0"/>
    <x v="0"/>
    <x v="1"/>
    <x v="1"/>
  </r>
  <r>
    <x v="0"/>
    <s v="SNV"/>
    <n v="6244"/>
    <n v="49.55"/>
    <n v="5.33"/>
    <n v="34.86"/>
    <n v="3.54"/>
    <n v="9.2964352720450272"/>
    <n v="1.4213998852553069"/>
    <n v="10.53"/>
    <n v="0.92"/>
    <n v="12.43"/>
    <n v="13.997175141242938"/>
    <s v="NO"/>
    <n v="-0.32601034130772977"/>
    <n v="0.63052145170542084"/>
    <n v="0.28967234349557924"/>
    <n v="-0.42155742917019073"/>
    <n v="1.9350372014460493"/>
    <n v="-9.0693168385748507E-2"/>
    <x v="1"/>
    <x v="1"/>
    <x v="0"/>
    <x v="0"/>
    <x v="1"/>
    <x v="1"/>
  </r>
  <r>
    <x v="0"/>
    <s v="SSB"/>
    <n v="8856"/>
    <n v="91.64"/>
    <n v="0.78"/>
    <n v="84.99"/>
    <n v="6.12"/>
    <n v="117.48717948717949"/>
    <n v="1.078244499352865"/>
    <n v="7.18"/>
    <n v="0.92"/>
    <n v="7.55"/>
    <n v="14.973856209150327"/>
    <s v="NO"/>
    <n v="19.968370907900578"/>
    <n v="-0.33679221749045751"/>
    <n v="-0.65951292474798917"/>
    <n v="-0.42155742917019073"/>
    <n v="-0.65609350113453602"/>
    <n v="0.1653511864954624"/>
    <x v="0"/>
    <x v="1"/>
    <x v="0"/>
    <x v="0"/>
    <x v="1"/>
    <x v="1"/>
  </r>
  <r>
    <x v="0"/>
    <s v="SYBT"/>
    <n v="2164"/>
    <n v="77.11"/>
    <n v="4.54"/>
    <n v="30.39"/>
    <n v="4.1399999999999997"/>
    <n v="16.984581497797357"/>
    <n v="2.5373478117801906"/>
    <n v="13.77"/>
    <n v="1.42"/>
    <n v="10.050000000000001"/>
    <n v="18.625603864734302"/>
    <s v="NO"/>
    <n v="1.1161293882686356"/>
    <n v="3.7762441411496965"/>
    <n v="1.2076903342744336"/>
    <n v="0.64068231315930402"/>
    <n v="0.67133001453174801"/>
    <n v="1.1226845508723304"/>
    <x v="1"/>
    <x v="0"/>
    <x v="0"/>
    <x v="0"/>
    <x v="1"/>
    <x v="1"/>
  </r>
  <r>
    <x v="0"/>
    <s v="TBBK"/>
    <n v="2459"/>
    <n v="54.66"/>
    <n v="4.45"/>
    <n v="17.66"/>
    <n v="4.42"/>
    <n v="12.283146067415728"/>
    <n v="3.0951302378255945"/>
    <n v="26.52"/>
    <n v="2.52"/>
    <n v="11.31"/>
    <n v="12.366515837104071"/>
    <s v="NO"/>
    <n v="0.23423580545923339"/>
    <n v="5.3485655655447397"/>
    <n v="4.8202611313208514"/>
    <n v="2.9776097462841933"/>
    <n v="1.3403514664275549"/>
    <n v="-0.51818288153627579"/>
    <x v="1"/>
    <x v="0"/>
    <x v="1"/>
    <x v="1"/>
    <x v="1"/>
    <x v="1"/>
  </r>
  <r>
    <x v="0"/>
    <s v="TCBI"/>
    <n v="3216"/>
    <n v="76.02"/>
    <n v="6.94"/>
    <n v="68"/>
    <n v="1.74"/>
    <n v="10.953890489913544"/>
    <n v="1.1179411764705882"/>
    <n v="2.98"/>
    <n v="0.32"/>
    <n v="10.02"/>
    <n v="43.689655172413794"/>
    <s v="NO"/>
    <n v="-1.5105482126551153E-2"/>
    <n v="-0.22489206969984218"/>
    <n v="-1.8495362461279854"/>
    <n v="-1.6962451199655846"/>
    <n v="0.65540093234375196"/>
    <n v="7.6934158352765118"/>
    <x v="1"/>
    <x v="1"/>
    <x v="0"/>
    <x v="0"/>
    <x v="1"/>
    <x v="0"/>
  </r>
  <r>
    <x v="0"/>
    <s v="TFSL"/>
    <n v="3760"/>
    <n v="13.31"/>
    <n v="0.34"/>
    <n v="6.8"/>
    <n v="0.28000000000000003"/>
    <n v="39.147058823529413"/>
    <n v="1.9573529411764707"/>
    <n v="4.29"/>
    <n v="0.48"/>
    <n v="9.02"/>
    <n v="47.535714285714285"/>
    <s v="NO"/>
    <n v="5.2733589880667253"/>
    <n v="2.1413085130142422"/>
    <n v="-1.4783623054118438"/>
    <n v="-1.3563284024201465"/>
    <n v="0.12443152607723859"/>
    <n v="8.7016894231018096"/>
    <x v="0"/>
    <x v="1"/>
    <x v="0"/>
    <x v="0"/>
    <x v="1"/>
    <x v="0"/>
  </r>
  <r>
    <x v="0"/>
    <s v="TOWN"/>
    <n v="2488"/>
    <n v="34.880000000000003"/>
    <n v="1.08"/>
    <n v="29.6"/>
    <n v="2.36"/>
    <n v="32.296296296296298"/>
    <n v="1.1783783783783783"/>
    <n v="8.34"/>
    <n v="1.04"/>
    <n v="7.96"/>
    <n v="14.779661016949154"/>
    <s v="NO"/>
    <n v="3.988295394280946"/>
    <n v="-5.4526882571533201E-2"/>
    <n v="-0.33083981693827585"/>
    <n v="-0.16661989101111194"/>
    <n v="-0.43839604456526537"/>
    <n v="0.11444144293432597"/>
    <x v="0"/>
    <x v="1"/>
    <x v="0"/>
    <x v="0"/>
    <x v="1"/>
    <x v="1"/>
  </r>
  <r>
    <x v="0"/>
    <s v="TRMK"/>
    <n v="2101"/>
    <n v="36.25"/>
    <n v="1.44"/>
    <n v="33.29"/>
    <n v="0.99"/>
    <n v="25.173611111111111"/>
    <n v="1.0889155902673475"/>
    <n v="3.28"/>
    <n v="0.33"/>
    <n v="9.0500000000000007"/>
    <n v="36.616161616161619"/>
    <s v="NO"/>
    <n v="2.6522246452083529"/>
    <n v="-0.30671169848690188"/>
    <n v="-1.7645345803151287"/>
    <n v="-1.6750003251189949"/>
    <n v="0.14036060826523461"/>
    <n v="5.8390458122684228"/>
    <x v="1"/>
    <x v="1"/>
    <x v="0"/>
    <x v="0"/>
    <x v="1"/>
    <x v="0"/>
  </r>
  <r>
    <x v="0"/>
    <s v="UBSI"/>
    <n v="4976"/>
    <n v="37.24"/>
    <n v="3.3"/>
    <n v="36.979999999999997"/>
    <n v="2.7"/>
    <n v="11.284848484848487"/>
    <n v="1.0070308274743105"/>
    <n v="7.64"/>
    <n v="1.24"/>
    <n v="6.01"/>
    <n v="13.792592592592593"/>
    <s v="NO"/>
    <n v="4.6975500635962501E-2"/>
    <n v="-0.53753497447967757"/>
    <n v="-0.52917703716827535"/>
    <n v="0.258276005920686"/>
    <n v="-1.4737863867849665"/>
    <n v="-0.14432603627921986"/>
    <x v="1"/>
    <x v="1"/>
    <x v="0"/>
    <x v="0"/>
    <x v="1"/>
    <x v="1"/>
  </r>
  <r>
    <x v="0"/>
    <s v="UCB"/>
    <n v="3349"/>
    <n v="29.77"/>
    <n v="2.4700000000000002"/>
    <n v="28.55"/>
    <n v="2.11"/>
    <n v="12.052631578947368"/>
    <n v="1.0427320490367775"/>
    <n v="7.68"/>
    <n v="0.95"/>
    <n v="8.17"/>
    <n v="14.109004739336493"/>
    <s v="NO"/>
    <n v="0.19099597984956054"/>
    <n v="-0.43689753429045969"/>
    <n v="-0.51784348172656103"/>
    <n v="-0.35782304463042119"/>
    <n v="-0.3268924692492976"/>
    <n v="-6.1376190468035316E-2"/>
    <x v="1"/>
    <x v="1"/>
    <x v="0"/>
    <x v="0"/>
    <x v="1"/>
    <x v="1"/>
  </r>
  <r>
    <x v="0"/>
    <s v="UMBF"/>
    <n v="7694"/>
    <n v="107.99"/>
    <n v="9.49"/>
    <n v="87.43"/>
    <n v="7.71"/>
    <n v="11.379346680716543"/>
    <n v="1.2351595562164015"/>
    <n v="8.33"/>
    <n v="0.72"/>
    <n v="10.45"/>
    <n v="14.006485084306096"/>
    <s v="NO"/>
    <n v="6.4701438545172407E-2"/>
    <n v="0.1055324133981852"/>
    <n v="-0.33367320579870435"/>
    <n v="-0.84645332610198887"/>
    <n v="0.88371777703835264"/>
    <n v="-8.8252496150036455E-2"/>
    <x v="1"/>
    <x v="1"/>
    <x v="0"/>
    <x v="0"/>
    <x v="1"/>
    <x v="1"/>
  </r>
  <r>
    <x v="0"/>
    <s v="VLY"/>
    <n v="4861"/>
    <n v="9.1999999999999993"/>
    <n v="1.02"/>
    <n v="12.76"/>
    <n v="0.69"/>
    <n v="9.0196078431372548"/>
    <n v="0.72100313479623823"/>
    <n v="5.48"/>
    <n v="0.63"/>
    <n v="8.66"/>
    <n v="13.333333333333334"/>
    <s v="NO"/>
    <n v="-0.37793753178274042"/>
    <n v="-1.3438125626004016"/>
    <n v="-1.1411890310208446"/>
    <n v="-1.0376564797212979"/>
    <n v="-6.6717460178705931E-2"/>
    <n v="-0.26472433683418661"/>
    <x v="1"/>
    <x v="1"/>
    <x v="0"/>
    <x v="0"/>
    <x v="1"/>
    <x v="1"/>
  </r>
  <r>
    <x v="0"/>
    <s v="WAFD"/>
    <n v="2293"/>
    <n v="29.77"/>
    <n v="2.99"/>
    <n v="33.840000000000003"/>
    <n v="2.64"/>
    <n v="9.9565217391304337"/>
    <n v="0.87972813238770675"/>
    <n v="7.7"/>
    <n v="0.79"/>
    <n v="10.119999999999999"/>
    <n v="11.27651515151515"/>
    <s v="NO"/>
    <n v="-0.20219155701471722"/>
    <n v="-0.89638592696845942"/>
    <n v="-0.51217670400570381"/>
    <n v="-0.69773976217585942"/>
    <n v="0.70849787297040312"/>
    <n v="-0.80393483427931445"/>
    <x v="1"/>
    <x v="1"/>
    <x v="0"/>
    <x v="0"/>
    <x v="1"/>
    <x v="1"/>
  </r>
  <r>
    <x v="0"/>
    <s v="WAL"/>
    <n v="7884"/>
    <n v="79.67"/>
    <n v="-30.64"/>
    <n v="60.78"/>
    <n v="7.28"/>
    <n v="-2.600195822454308"/>
    <n v="1.3107930240210595"/>
    <n v="12.09"/>
    <n v="1.01"/>
    <n v="12.53"/>
    <n v="10.943681318681319"/>
    <s v="NO"/>
    <n v="-2.5575761629908595"/>
    <n v="0.31873404234458785"/>
    <n v="0.73168100572243511"/>
    <n v="-0.2303542755508817"/>
    <n v="1.9881341420727006"/>
    <n v="-0.8911897497382264"/>
    <x v="1"/>
    <x v="1"/>
    <x v="0"/>
    <x v="0"/>
    <x v="1"/>
    <x v="1"/>
  </r>
  <r>
    <x v="0"/>
    <s v="WBS"/>
    <n v="8198"/>
    <n v="52.88"/>
    <n v="8.07"/>
    <n v="52.73"/>
    <n v="4.4400000000000004"/>
    <n v="6.5526641883519208"/>
    <n v="1.0028446804475633"/>
    <n v="8.68"/>
    <n v="1"/>
    <n v="9"/>
    <n v="11.90990990990991"/>
    <s v="NO"/>
    <n v="-0.84068594352280357"/>
    <n v="-0.54933521835341792"/>
    <n v="-0.23450459568370477"/>
    <n v="-0.25159907039747159"/>
    <n v="0.11381213795190856"/>
    <n v="-0.63788559095180408"/>
    <x v="1"/>
    <x v="1"/>
    <x v="0"/>
    <x v="0"/>
    <x v="1"/>
    <x v="1"/>
  </r>
  <r>
    <x v="0"/>
    <s v="WSBC"/>
    <n v="2896"/>
    <n v="32.33"/>
    <n v="3.04"/>
    <n v="38.020000000000003"/>
    <n v="1.44"/>
    <n v="10.63486842105263"/>
    <n v="0.85034192530247232"/>
    <n v="3.38"/>
    <n v="0.47"/>
    <n v="7.54"/>
    <n v="22.451388888888889"/>
    <s v="NO"/>
    <n v="-7.4947528129123087E-2"/>
    <n v="-0.97922210255292008"/>
    <n v="-1.736200691710843"/>
    <n v="-1.3775731972667364"/>
    <n v="-0.66140319519720103"/>
    <n v="2.1256431323493539"/>
    <x v="1"/>
    <x v="1"/>
    <x v="0"/>
    <x v="0"/>
    <x v="1"/>
    <x v="1"/>
  </r>
  <r>
    <x v="0"/>
    <s v="WSFS"/>
    <n v="3047"/>
    <n v="55.09"/>
    <n v="3.45"/>
    <n v="46.31"/>
    <n v="4.4400000000000004"/>
    <n v="15.968115942028986"/>
    <n v="1.1895918808032822"/>
    <n v="10.28"/>
    <n v="1.28"/>
    <n v="7.69"/>
    <n v="12.407657657657657"/>
    <s v="NO"/>
    <n v="0.92546114150593239"/>
    <n v="-2.2917370901929517E-2"/>
    <n v="0.21883762198486514"/>
    <n v="0.34325518530704568"/>
    <n v="-0.5817577842572238"/>
    <n v="-0.50739724101510586"/>
    <x v="1"/>
    <x v="1"/>
    <x v="0"/>
    <x v="0"/>
    <x v="1"/>
    <x v="1"/>
  </r>
  <r>
    <x v="0"/>
    <s v="WTFC"/>
    <n v="7655"/>
    <n v="122.16"/>
    <n v="9.5399999999999991"/>
    <n v="92.47"/>
    <n v="10.130000000000001"/>
    <n v="12.805031446540882"/>
    <n v="1.3210771060884612"/>
    <n v="11.58"/>
    <n v="1.1299999999999999"/>
    <n v="10.64"/>
    <n v="12.059230009871667"/>
    <s v="NO"/>
    <n v="0.33213087891665305"/>
    <n v="0.34772363005794538"/>
    <n v="0.58717817384057847"/>
    <n v="2.4583262608196873E-2"/>
    <n v="0.98460196422899082"/>
    <n v="-0.59874019341950402"/>
    <x v="1"/>
    <x v="1"/>
    <x v="0"/>
    <x v="0"/>
    <x v="1"/>
    <x v="1"/>
  </r>
  <r>
    <x v="0"/>
    <s v="ZION"/>
    <n v="6698"/>
    <n v="49.92"/>
    <n v="6.86"/>
    <n v="42.43"/>
    <n v="5.12"/>
    <n v="7.2769679300291541"/>
    <n v="1.1765260428941786"/>
    <n v="13.18"/>
    <n v="0.92"/>
    <n v="14.05"/>
    <n v="9.75"/>
    <s v="NO"/>
    <n v="-0.70482130574383894"/>
    <n v="-5.9748393022522758E-2"/>
    <n v="1.0405203915091485"/>
    <n v="-0.42155742917019073"/>
    <n v="2.7952076395978014"/>
    <n v="-1.2041223673739483"/>
    <x v="1"/>
    <x v="1"/>
    <x v="0"/>
    <x v="0"/>
    <x v="0"/>
    <x v="1"/>
  </r>
  <r>
    <x v="1"/>
    <s v="AB"/>
    <n v="4546"/>
    <n v="40.909999999999997"/>
    <n v="3.25"/>
    <n v="18.04"/>
    <n v="3.72"/>
    <n v="12.587692307692306"/>
    <n v="2.2677383592017737"/>
    <n v="20.67"/>
    <n v="4.12"/>
    <n v="1"/>
    <n v="10.997311827956988"/>
    <s v="NO"/>
    <n v="0.11473331930480378"/>
    <n v="-0.55628753990715918"/>
    <n v="1.198820547590917E-2"/>
    <n v="-0.45572967009381188"/>
    <n v="-0.83820603507152647"/>
    <n v="-0.89255955680273646"/>
    <x v="1"/>
    <x v="1"/>
    <x v="0"/>
    <x v="0"/>
    <x v="1"/>
    <x v="1"/>
  </r>
  <r>
    <x v="1"/>
    <s v="AMG"/>
    <n v="5044"/>
    <n v="182.46"/>
    <n v="29.86"/>
    <n v="113.02"/>
    <n v="15.11"/>
    <n v="6.1105157401205634"/>
    <n v="1.6144045301716512"/>
    <n v="15.41"/>
    <n v="4.66"/>
    <n v="2.64"/>
    <n v="12.075446724023827"/>
    <s v="NO"/>
    <n v="-0.69412636896416979"/>
    <n v="-0.77533833429537691"/>
    <n v="-0.34603318370024339"/>
    <n v="-0.35165833297061266"/>
    <n v="-0.36132355745406286"/>
    <n v="-0.75450132600998276"/>
    <x v="1"/>
    <x v="1"/>
    <x v="0"/>
    <x v="0"/>
    <x v="1"/>
    <x v="1"/>
  </r>
  <r>
    <x v="1"/>
    <s v="APAM"/>
    <n v="2810"/>
    <n v="43.3"/>
    <n v="5.84"/>
    <n v="5.0599999999999996"/>
    <n v="3.64"/>
    <n v="7.4143835616438354"/>
    <n v="8.5573122529644277"/>
    <n v="60.8"/>
    <n v="16.3"/>
    <n v="3.84"/>
    <n v="11.895604395604394"/>
    <s v="NO"/>
    <n v="-0.53130139288718747"/>
    <n v="1.5524906934767775"/>
    <n v="2.7434327582589884"/>
    <n v="1.8916571561294588"/>
    <n v="-1.2385159197382227E-2"/>
    <n v="-0.77753064615703882"/>
    <x v="1"/>
    <x v="1"/>
    <x v="0"/>
    <x v="1"/>
    <x v="1"/>
    <x v="1"/>
  </r>
  <r>
    <x v="1"/>
    <s v="BXSL"/>
    <n v="6769"/>
    <n v="31.12"/>
    <n v="-12.55"/>
    <n v="27.39"/>
    <n v="3.45"/>
    <n v="-2.4796812749003982"/>
    <n v="1.136181087988317"/>
    <n v="12.59"/>
    <n v="5.55"/>
    <n v="2.2200000000000002"/>
    <n v="9.0202898550724644"/>
    <s v="NO"/>
    <n v="-1.766856748822224"/>
    <n v="-0.93567784259978681"/>
    <n v="-0.53797620983650762"/>
    <n v="-0.18013335141571038"/>
    <n v="-0.48345199684390106"/>
    <n v="-1.1457228268263382"/>
    <x v="1"/>
    <x v="1"/>
    <x v="0"/>
    <x v="0"/>
    <x v="1"/>
    <x v="1"/>
  </r>
  <r>
    <x v="1"/>
    <s v="CNS"/>
    <n v="3960"/>
    <n v="81.95"/>
    <n v="-0.5"/>
    <n v="9.9600000000000009"/>
    <n v="3.06"/>
    <n v="-163.9"/>
    <n v="8.2279116465863442"/>
    <n v="30.76"/>
    <n v="14.72"/>
    <n v="1.64"/>
    <n v="26.781045751633986"/>
    <s v="NO"/>
    <n v="-21.924773909510503"/>
    <n v="1.4420487397726582"/>
    <n v="0.698763075587578"/>
    <n v="1.587152132694913"/>
    <n v="-0.65210555600129683"/>
    <n v="1.1285923312920938"/>
    <x v="0"/>
    <x v="1"/>
    <x v="0"/>
    <x v="0"/>
    <x v="1"/>
    <x v="1"/>
  </r>
  <r>
    <x v="1"/>
    <s v="FHI"/>
    <n v="3429"/>
    <n v="42.82"/>
    <n v="4.3499999999999996"/>
    <n v="14.26"/>
    <n v="3.58"/>
    <n v="9.8436781609195414"/>
    <n v="3.0028050490883591"/>
    <n v="25.15"/>
    <n v="14.02"/>
    <n v="1.86"/>
    <n v="11.960893854748603"/>
    <s v="YES"/>
    <n v="-0.22793487944037241"/>
    <n v="-0.30983322330303559"/>
    <n v="0.31691897040160533"/>
    <n v="1.4522448438315063"/>
    <n v="-0.58813351632090527"/>
    <n v="-0.76917014576720044"/>
    <x v="1"/>
    <x v="1"/>
    <x v="0"/>
    <x v="0"/>
    <x v="1"/>
    <x v="1"/>
  </r>
  <r>
    <x v="1"/>
    <s v="FSK"/>
    <n v="5447"/>
    <n v="20.79"/>
    <n v="6.79"/>
    <n v="23.64"/>
    <n v="2.09"/>
    <n v="3.0618556701030926"/>
    <n v="0.87944162436548212"/>
    <n v="8.69"/>
    <n v="5.48"/>
    <n v="2.15"/>
    <n v="9.9473684210526319"/>
    <s v="NO"/>
    <n v="-1.0748382745525125"/>
    <n v="-1.0217578540096872"/>
    <n v="-0.803429331088788"/>
    <n v="-0.19362408030205089"/>
    <n v="-0.50380673674220755"/>
    <n v="-1.0270077874634249"/>
    <x v="1"/>
    <x v="1"/>
    <x v="0"/>
    <x v="0"/>
    <x v="1"/>
    <x v="1"/>
  </r>
  <r>
    <x v="1"/>
    <s v="GBDC"/>
    <n v="3765"/>
    <n v="14.87"/>
    <n v="-0.86"/>
    <n v="15.13"/>
    <n v="1.38"/>
    <n v="-17.290697674418603"/>
    <n v="0.98281559814937203"/>
    <n v="9.4"/>
    <n v="5.49"/>
    <n v="2.2400000000000002"/>
    <n v="10.77536231884058"/>
    <s v="NO"/>
    <n v="-3.6164333325206672"/>
    <n v="-0.98709846539354396"/>
    <n v="-0.75510325004029588"/>
    <n v="-0.19169683331828799"/>
    <n v="-0.47763635687295636"/>
    <n v="-0.92098082084466382"/>
    <x v="0"/>
    <x v="1"/>
    <x v="0"/>
    <x v="0"/>
    <x v="1"/>
    <x v="1"/>
  </r>
  <r>
    <x v="1"/>
    <s v="HLNE"/>
    <n v="6874"/>
    <n v="174.04"/>
    <n v="7"/>
    <n v="15.54"/>
    <n v="5.42"/>
    <n v="24.862857142857141"/>
    <n v="11.199485199485199"/>
    <n v="42.7"/>
    <n v="14.13"/>
    <n v="2.4500000000000002"/>
    <n v="32.110701107011067"/>
    <s v="NO"/>
    <n v="1.6476367222676136"/>
    <n v="2.4383625971337795"/>
    <n v="1.5114580160368671"/>
    <n v="1.473444560652899"/>
    <n v="-0.41657213717803726"/>
    <n v="1.8110698132684018"/>
    <x v="1"/>
    <x v="1"/>
    <x v="0"/>
    <x v="0"/>
    <x v="1"/>
    <x v="1"/>
  </r>
  <r>
    <x v="1"/>
    <s v="HTGC"/>
    <n v="3031"/>
    <n v="17.71"/>
    <n v="-0.61"/>
    <n v="11.71"/>
    <n v="1.33"/>
    <n v="-29.032786885245905"/>
    <n v="1.5123825789923142"/>
    <n v="11.44"/>
    <n v="6.67"/>
    <n v="2.02"/>
    <n v="13.315789473684211"/>
    <s v="NO"/>
    <n v="-5.0827670845210218"/>
    <n v="-0.80954441464490579"/>
    <n v="-0.61625084815448772"/>
    <n v="3.5718310765739801E-2"/>
    <n v="-0.54160839655334791"/>
    <n v="-0.59567191957908661"/>
    <x v="0"/>
    <x v="1"/>
    <x v="0"/>
    <x v="0"/>
    <x v="1"/>
    <x v="1"/>
  </r>
  <r>
    <x v="1"/>
    <s v="IVZ"/>
    <n v="6413"/>
    <n v="15.65"/>
    <n v="1.86"/>
    <n v="23.88"/>
    <n v="1.24"/>
    <n v="8.413978494623656"/>
    <n v="0.65536013400335014"/>
    <n v="5.09"/>
    <n v="2.44"/>
    <n v="2.63"/>
    <n v="12.620967741935484"/>
    <s v="NO"/>
    <n v="-0.40647353966279759"/>
    <n v="-1.0968882487489096"/>
    <n v="-1.0484629814755082"/>
    <n v="-0.77950716336598724"/>
    <n v="-0.36423137743953526"/>
    <n v="-0.68464581268980507"/>
    <x v="1"/>
    <x v="1"/>
    <x v="0"/>
    <x v="0"/>
    <x v="1"/>
    <x v="1"/>
  </r>
  <r>
    <x v="1"/>
    <s v="JHG"/>
    <n v="5606"/>
    <n v="38.24"/>
    <n v="4.4800000000000004"/>
    <n v="29.81"/>
    <n v="2.52"/>
    <n v="8.5357142857142847"/>
    <n v="1.2827910097282793"/>
    <n v="8.3699999999999992"/>
    <n v="6.31"/>
    <n v="1.52"/>
    <n v="15.174603174603176"/>
    <s v="NO"/>
    <n v="-0.39127136430050735"/>
    <n v="-0.88652223730990298"/>
    <n v="-0.82521010001205197"/>
    <n v="-3.3662580649726388E-2"/>
    <n v="-0.6869993958269649"/>
    <n v="-0.35764555399311104"/>
    <x v="1"/>
    <x v="1"/>
    <x v="0"/>
    <x v="0"/>
    <x v="1"/>
    <x v="1"/>
  </r>
  <r>
    <x v="1"/>
    <s v="MAIN"/>
    <n v="4728"/>
    <n v="53.97"/>
    <n v="-1"/>
    <n v="31.65"/>
    <n v="5.85"/>
    <n v="-53.97"/>
    <n v="1.70521327014218"/>
    <n v="19.260000000000002"/>
    <n v="6.25"/>
    <n v="1.83"/>
    <n v="9.2256410256410266"/>
    <s v="NO"/>
    <n v="-8.1968872904271635"/>
    <n v="-0.74489183704684647"/>
    <n v="-8.3983307592222958E-2"/>
    <n v="-4.5226062552303999E-2"/>
    <n v="-0.59685697627732237"/>
    <n v="-1.1194270271046685"/>
    <x v="0"/>
    <x v="1"/>
    <x v="0"/>
    <x v="0"/>
    <x v="1"/>
    <x v="1"/>
  </r>
  <r>
    <x v="1"/>
    <s v="OBDC"/>
    <n v="7006"/>
    <n v="14.58"/>
    <n v="0.41"/>
    <n v="15.26"/>
    <n v="1.53"/>
    <n v="35.560975609756099"/>
    <n v="0.95543905635648751"/>
    <n v="9.94"/>
    <n v="5.56"/>
    <n v="2.33"/>
    <n v="9.5294117647058822"/>
    <s v="NO"/>
    <n v="2.9836010391157037"/>
    <n v="-0.99627731540998343"/>
    <n v="-0.71834820248228792"/>
    <n v="-0.17820610443194748"/>
    <n v="-0.45146597700370539"/>
    <n v="-1.0805283225409854"/>
    <x v="0"/>
    <x v="1"/>
    <x v="0"/>
    <x v="0"/>
    <x v="1"/>
    <x v="1"/>
  </r>
  <r>
    <x v="1"/>
    <s v="ONEXF"/>
    <n v="5098"/>
    <n v="77.36"/>
    <n v="2.29"/>
    <n v="117.39"/>
    <n v="3.99"/>
    <n v="33.78165938864629"/>
    <n v="0.65899991481386833"/>
    <n v="3.57"/>
    <n v="1.7"/>
    <n v="1.66"/>
    <n v="19.388471177944862"/>
    <s v="NO"/>
    <n v="2.7614028098526155"/>
    <n v="-1.0956678973106158"/>
    <n v="-1.1519216338610123"/>
    <n v="-0.92212344016444525"/>
    <n v="-0.64628991603035202"/>
    <n v="0.18195219342965727"/>
    <x v="0"/>
    <x v="1"/>
    <x v="0"/>
    <x v="0"/>
    <x v="1"/>
    <x v="1"/>
  </r>
  <r>
    <x v="1"/>
    <s v="STEP"/>
    <n v="4063"/>
    <n v="59.25"/>
    <n v="1.99"/>
    <n v="2.77"/>
    <n v="-1.91"/>
    <n v="29.773869346733669"/>
    <n v="21.389891696750901"/>
    <n v="-6.07"/>
    <n v="-2.33"/>
    <n v="20.73"/>
    <n v="-31.020942408376964"/>
    <s v="NO"/>
    <n v="2.260916252148006"/>
    <n v="5.8550181247966346"/>
    <n v="-1.8080672976743413"/>
    <n v="-1.6988039746209134"/>
    <n v="4.8989227962653992"/>
    <n v="-6.2731161662131081"/>
    <x v="1"/>
    <x v="0"/>
    <x v="0"/>
    <x v="0"/>
    <x v="0"/>
    <x v="0"/>
  </r>
  <r>
    <x v="1"/>
    <s v="TPG"/>
    <n v="5410"/>
    <n v="52.85"/>
    <n v="5.03"/>
    <n v="7.18"/>
    <n v="-0.42"/>
    <n v="10.506958250497018"/>
    <n v="7.3607242339832872"/>
    <n v="-2.21"/>
    <n v="0.06"/>
    <n v="13.44"/>
    <n v="-125.83333333333334"/>
    <s v="NO"/>
    <n v="-0.14510549832134179"/>
    <n v="1.1512967793297764"/>
    <n v="-1.5453367725374689"/>
    <n v="-1.2381919455015689"/>
    <n v="2.7791220268560632"/>
    <n v="-18.414111691061535"/>
    <x v="1"/>
    <x v="1"/>
    <x v="0"/>
    <x v="0"/>
    <x v="1"/>
    <x v="0"/>
  </r>
  <r>
    <x v="1"/>
    <s v="VCTR"/>
    <n v="3940"/>
    <n v="64.760000000000005"/>
    <n v="5.24"/>
    <n v="17.62"/>
    <n v="4.38"/>
    <n v="12.3587786259542"/>
    <n v="3.6753688989784337"/>
    <n v="26.57"/>
    <n v="10.54"/>
    <n v="2.27"/>
    <n v="14.785388127853883"/>
    <s v="NO"/>
    <n v="8.6146936438819502E-2"/>
    <n v="-8.4334957257445234E-2"/>
    <n v="0.41357113249858957"/>
    <n v="0.78156289348200048"/>
    <n v="-0.46891289691653942"/>
    <n v="-0.40748564445688823"/>
    <x v="1"/>
    <x v="1"/>
    <x v="0"/>
    <x v="0"/>
    <x v="1"/>
    <x v="1"/>
  </r>
  <r>
    <x v="1"/>
    <s v="BGC"/>
    <n v="4543"/>
    <n v="9.34"/>
    <n v="0.51"/>
    <n v="1.86"/>
    <n v="0.25"/>
    <n v="18.313725490196077"/>
    <n v="5.021505376344086"/>
    <n v="12.46"/>
    <n v="3.64"/>
    <n v="4"/>
    <n v="37.36"/>
    <s v="NO"/>
    <n v="0.82979139541251512"/>
    <n v="0.36699979937017735"/>
    <n v="-0.54682464721158353"/>
    <n v="-0.54823752531443337"/>
    <n v="3.4139960570175237E-2"/>
    <n v="2.4832574223628061"/>
    <x v="1"/>
    <x v="1"/>
    <x v="0"/>
    <x v="0"/>
    <x v="1"/>
    <x v="1"/>
  </r>
  <r>
    <x v="1"/>
    <s v="EVR"/>
    <n v="8033"/>
    <n v="236.15"/>
    <n v="24.97"/>
    <n v="44.8"/>
    <n v="10.47"/>
    <n v="9.4573488185823003"/>
    <n v="5.2712053571428577"/>
    <n v="22.43"/>
    <n v="10.61"/>
    <n v="2.44"/>
    <n v="22.5549188156638"/>
    <s v="NO"/>
    <n v="-0.27617908401810987"/>
    <n v="0.45071960190036564"/>
    <n v="0.13178243455386118"/>
    <n v="0.79505362236834121"/>
    <n v="-0.41947995716350966"/>
    <n v="0.5874247927826326"/>
    <x v="1"/>
    <x v="1"/>
    <x v="0"/>
    <x v="0"/>
    <x v="1"/>
    <x v="1"/>
  </r>
  <r>
    <x v="1"/>
    <s v="FRHC"/>
    <n v="9160"/>
    <n v="163.61000000000001"/>
    <n v="9.93"/>
    <n v="20.78"/>
    <n v="5.36"/>
    <n v="16.476334340382682"/>
    <n v="7.8734359961501443"/>
    <n v="28.01"/>
    <n v="3.89"/>
    <n v="7.25"/>
    <n v="30.524253731343283"/>
    <s v="NO"/>
    <n v="0.60034085980307761"/>
    <n v="1.3231995858346188"/>
    <n v="0.51158459265327771"/>
    <n v="-0.5000563507203597"/>
    <n v="0.97918145584868543"/>
    <n v="1.6079207280013175"/>
    <x v="1"/>
    <x v="1"/>
    <x v="0"/>
    <x v="0"/>
    <x v="1"/>
    <x v="1"/>
  </r>
  <r>
    <x v="1"/>
    <s v="LAZ"/>
    <n v="3830"/>
    <n v="46.38"/>
    <n v="5.98"/>
    <n v="6.41"/>
    <n v="2.87"/>
    <n v="7.7558528428093645"/>
    <n v="7.2355694227769112"/>
    <n v="48.6"/>
    <n v="7"/>
    <n v="7.02"/>
    <n v="16.1602787456446"/>
    <s v="NO"/>
    <n v="-0.4886592426484877"/>
    <n v="1.1093346772647996"/>
    <n v="1.9130409430595474"/>
    <n v="9.9317461229917095E-2"/>
    <n v="0.91230159618282147"/>
    <n v="-0.23142700196399651"/>
    <x v="1"/>
    <x v="1"/>
    <x v="0"/>
    <x v="0"/>
    <x v="1"/>
    <x v="1"/>
  </r>
  <r>
    <x v="1"/>
    <s v="MC"/>
    <n v="3928"/>
    <n v="61.14"/>
    <n v="5.62"/>
    <n v="6.53"/>
    <n v="2.29"/>
    <n v="10.87900355871886"/>
    <n v="9.3629402756508426"/>
    <n v="39.17"/>
    <n v="16.93"/>
    <n v="2.4900000000000002"/>
    <n v="26.698689956331876"/>
    <s v="NO"/>
    <n v="-9.8645061603145012E-2"/>
    <n v="1.822602924788669"/>
    <n v="1.2711889088521107"/>
    <n v="2.0130737161065242"/>
    <n v="-0.40494085723614792"/>
    <n v="1.1180464381608926"/>
    <x v="1"/>
    <x v="1"/>
    <x v="0"/>
    <x v="0"/>
    <x v="1"/>
    <x v="1"/>
  </r>
  <r>
    <x v="1"/>
    <s v="MRX"/>
    <n v="3492"/>
    <n v="48.33"/>
    <n v="16.52"/>
    <n v="12.51"/>
    <n v="2.72"/>
    <n v="2.9255447941888622"/>
    <n v="3.8633093525179856"/>
    <n v="24.87"/>
    <n v="1.04"/>
    <n v="24.89"/>
    <n v="17.768382352941174"/>
    <s v="NO"/>
    <n v="-1.0918605637319767"/>
    <n v="-2.1321986221435017E-2"/>
    <n v="0.29786079759374945"/>
    <n v="-1.0493217410927997"/>
    <n v="6.1085759102218908"/>
    <n v="-2.5504774824576918E-2"/>
    <x v="1"/>
    <x v="1"/>
    <x v="0"/>
    <x v="0"/>
    <x v="0"/>
    <x v="1"/>
  </r>
  <r>
    <x v="1"/>
    <s v="PIPR"/>
    <n v="4121"/>
    <n v="267.49"/>
    <n v="18.8"/>
    <n v="76.209999999999994"/>
    <n v="11.46"/>
    <n v="14.228191489361702"/>
    <n v="3.5099068363731796"/>
    <n v="11.6"/>
    <n v="7.16"/>
    <n v="1.84"/>
    <n v="23.341186736474693"/>
    <s v="NO"/>
    <n v="0.31959629360350722"/>
    <n v="-0.13981133800539947"/>
    <n v="-0.60536046369285568"/>
    <n v="0.13015341297012428"/>
    <n v="-0.59394915629185008"/>
    <n v="0.68810862972386744"/>
    <x v="1"/>
    <x v="1"/>
    <x v="0"/>
    <x v="0"/>
    <x v="1"/>
    <x v="1"/>
  </r>
  <r>
    <x v="1"/>
    <s v="PJT"/>
    <n v="3477"/>
    <n v="150.06"/>
    <n v="19.239999999999998"/>
    <n v="6.01"/>
    <n v="5.63"/>
    <n v="7.7993762993763003"/>
    <n v="24.96838602329451"/>
    <n v="31.38"/>
    <n v="19.22"/>
    <n v="9.3800000000000008"/>
    <n v="26.653641207815276"/>
    <s v="NO"/>
    <n v="-0.4832241014038639"/>
    <n v="7.0548213342933321"/>
    <n v="0.74096331537640192"/>
    <n v="2.4544132753882391"/>
    <n v="1.5985471127542938"/>
    <n v="1.1122778181650848"/>
    <x v="1"/>
    <x v="0"/>
    <x v="0"/>
    <x v="0"/>
    <x v="1"/>
    <x v="1"/>
  </r>
  <r>
    <x v="1"/>
    <s v="SF"/>
    <n v="9169"/>
    <n v="99.52"/>
    <n v="3.65"/>
    <n v="48.95"/>
    <n v="5.24"/>
    <n v="27.265753424657532"/>
    <n v="2.0330949948927475"/>
    <n v="13.32"/>
    <n v="1.88"/>
    <n v="7.98"/>
    <n v="18.992366412213737"/>
    <s v="NO"/>
    <n v="1.9477066550791544"/>
    <n v="-0.63495913636515677"/>
    <n v="-0.48828883073031154"/>
    <n v="-0.8874329944567122"/>
    <n v="1.1914523147881664"/>
    <n v="0.13122985491254194"/>
    <x v="1"/>
    <x v="1"/>
    <x v="0"/>
    <x v="0"/>
    <x v="1"/>
    <x v="1"/>
  </r>
  <r>
    <x v="1"/>
    <s v="SNEX"/>
    <n v="4531"/>
    <n v="89.16"/>
    <n v="-4.1399999999999997"/>
    <n v="36.99"/>
    <n v="5.59"/>
    <n v="-21.536231884057973"/>
    <n v="2.4103811841038114"/>
    <n v="16.98"/>
    <n v="1.05"/>
    <n v="16.64"/>
    <n v="15.949910554561717"/>
    <s v="NO"/>
    <n v="-4.1466090103826598"/>
    <n v="-0.50846202908835514"/>
    <n v="-0.23917128617047922"/>
    <n v="-1.047394494109037"/>
    <n v="3.7096244222072121"/>
    <n v="-0.25836524538968225"/>
    <x v="0"/>
    <x v="1"/>
    <x v="0"/>
    <x v="0"/>
    <x v="0"/>
    <x v="1"/>
  </r>
  <r>
    <x v="1"/>
    <s v="VIRT"/>
    <n v="3576"/>
    <n v="42.36"/>
    <n v="10.98"/>
    <n v="15.27"/>
    <n v="3.46"/>
    <n v="3.8579234972677594"/>
    <n v="2.774066797642436"/>
    <n v="41.05"/>
    <n v="4.04"/>
    <n v="13.4"/>
    <n v="12.242774566473988"/>
    <s v="NO"/>
    <n v="-0.97542656826290486"/>
    <n v="-0.3865249442270583"/>
    <n v="1.3991509262762865"/>
    <n v="-0.47114764596391545"/>
    <n v="2.7674907469141741"/>
    <n v="-0.73307452127959793"/>
    <x v="1"/>
    <x v="1"/>
    <x v="0"/>
    <x v="0"/>
    <x v="1"/>
    <x v="1"/>
  </r>
  <r>
    <x v="1"/>
    <s v="XP"/>
    <n v="8513"/>
    <n v="18.53"/>
    <n v="3.24"/>
    <n v="6.03"/>
    <n v="1.33"/>
    <n v="5.7191358024691361"/>
    <n v="3.0729684908789388"/>
    <n v="22.86"/>
    <n v="1.51"/>
    <n v="17.34"/>
    <n v="13.93233082706767"/>
    <s v="NO"/>
    <n v="-0.74300128399248511"/>
    <n v="-0.28630871411903414"/>
    <n v="0.1610503427944972"/>
    <n v="-0.95874113285594131"/>
    <n v="3.9131718211902755"/>
    <n v="-0.51672205090382817"/>
    <x v="1"/>
    <x v="1"/>
    <x v="0"/>
    <x v="0"/>
    <x v="0"/>
    <x v="1"/>
  </r>
  <r>
    <x v="1"/>
    <s v="MKTX"/>
    <n v="8487"/>
    <n v="213.13"/>
    <n v="8.74"/>
    <n v="36.89"/>
    <n v="7.28"/>
    <n v="24.38558352402746"/>
    <n v="5.7774464624559503"/>
    <n v="20.45"/>
    <n v="11.2"/>
    <n v="1.29"/>
    <n v="29.276098901098898"/>
    <s v="NO"/>
    <n v="1.5880355385545828"/>
    <n v="0.6204529163920135"/>
    <n v="-2.9860731588350121E-3"/>
    <n v="0.90876119441035508"/>
    <n v="-0.75387925549282864"/>
    <n v="1.4480909624983125"/>
    <x v="1"/>
    <x v="1"/>
    <x v="0"/>
    <x v="0"/>
    <x v="1"/>
    <x v="1"/>
  </r>
  <r>
    <x v="2"/>
    <s v="ALLY"/>
    <n v="9986"/>
    <n v="36.65"/>
    <n v="3.12"/>
    <n v="38.770000000000003"/>
    <n v="0.61"/>
    <n v="11.74679487179487"/>
    <n v="0.94531854526695891"/>
    <n v="2.16"/>
    <n v="0.16"/>
    <n v="16.239999999999998"/>
    <n v="60.081967213114751"/>
    <s v="NO"/>
    <n v="1.7143901836189259"/>
    <n v="-0.85585316003432454"/>
    <n v="-0.62369120191895921"/>
    <n v="-0.8920257698776205"/>
    <n v="3.3640745449110692"/>
    <n v="6.2945919032678974"/>
    <x v="1"/>
    <x v="1"/>
    <x v="0"/>
    <x v="0"/>
    <x v="0"/>
    <x v="0"/>
  </r>
  <r>
    <x v="2"/>
    <s v="BFH"/>
    <n v="2262"/>
    <n v="55.13"/>
    <n v="36.479999999999997"/>
    <n v="64.45"/>
    <n v="5.67"/>
    <n v="1.5112390350877194"/>
    <n v="0.85539177657098531"/>
    <n v="9.3800000000000008"/>
    <n v="1.28"/>
    <n v="7.3"/>
    <n v="9.723104056437391"/>
    <s v="NO"/>
    <n v="-1.034832929465259"/>
    <n v="-0.94550210158336123"/>
    <n v="-8.7787758703512533E-2"/>
    <n v="-0.68786902670666961"/>
    <n v="0.69636153187539018"/>
    <n v="-0.31643881437367838"/>
    <x v="1"/>
    <x v="1"/>
    <x v="0"/>
    <x v="0"/>
    <x v="1"/>
    <x v="1"/>
  </r>
  <r>
    <x v="2"/>
    <s v="CACC"/>
    <n v="5624"/>
    <n v="498"/>
    <n v="95.89"/>
    <n v="145.63999999999999"/>
    <n v="23.43"/>
    <n v="5.1934508290749815"/>
    <n v="3.4193902773963201"/>
    <n v="17.239999999999998"/>
    <n v="3.34"/>
    <n v="5.41"/>
    <n v="21.254801536491676"/>
    <s v="NO"/>
    <n v="-4.580781614442999E-2"/>
    <n v="1.6105749716341047"/>
    <n v="0.49561959083574086"/>
    <n v="-0.31236644551724219"/>
    <n v="0.13238193515979366"/>
    <n v="1.1974239197790131"/>
    <x v="1"/>
    <x v="1"/>
    <x v="0"/>
    <x v="0"/>
    <x v="1"/>
    <x v="1"/>
  </r>
  <r>
    <x v="2"/>
    <s v="ENVA"/>
    <n v="2330"/>
    <n v="99.22"/>
    <n v="58.43"/>
    <n v="46.82"/>
    <n v="8.48"/>
    <n v="1.6981002909464316"/>
    <n v="2.1191798376762065"/>
    <n v="19.940000000000001"/>
    <n v="4.6399999999999997"/>
    <n v="4.5599999999999996"/>
    <n v="11.700471698113207"/>
    <s v="NO"/>
    <n v="-0.98464285754904946"/>
    <n v="0.31438150886227056"/>
    <n v="0.69602669563930142"/>
    <n v="-7.5398797193817146E-2"/>
    <n v="-0.12125968241071293"/>
    <n v="-5.6853164504694978E-2"/>
    <x v="1"/>
    <x v="1"/>
    <x v="0"/>
    <x v="0"/>
    <x v="1"/>
    <x v="1"/>
  </r>
  <r>
    <x v="2"/>
    <s v="FCFS"/>
    <n v="5920"/>
    <n v="129.91"/>
    <n v="10.92"/>
    <n v="46.4"/>
    <n v="6.25"/>
    <n v="11.896520146520146"/>
    <n v="2.7997844827586209"/>
    <n v="13.7"/>
    <n v="6.94"/>
    <n v="2.15"/>
    <n v="20.785599999999999"/>
    <s v="NO"/>
    <n v="1.7546057021950066"/>
    <n v="0.99288343804065293"/>
    <n v="0.23286360898218397"/>
    <n v="0.34385165753224278"/>
    <n v="-0.84040826869885465"/>
    <n v="1.1358278952448531"/>
    <x v="1"/>
    <x v="1"/>
    <x v="0"/>
    <x v="0"/>
    <x v="1"/>
    <x v="1"/>
  </r>
  <r>
    <x v="2"/>
    <s v="FINV"/>
    <n v="2119"/>
    <n v="8.84"/>
    <n v="1.52"/>
    <n v="8.23"/>
    <n v="1.24"/>
    <n v="5.8157894736842106"/>
    <n v="1.0741190765492101"/>
    <n v="16.23"/>
    <n v="19.88"/>
    <n v="1.55"/>
    <n v="7.129032258064516"/>
    <s v="NO"/>
    <n v="0.1213494748928881"/>
    <n v="-0.72745055569472905"/>
    <n v="0.4206524886684832"/>
    <n v="2.702591172382335"/>
    <n v="-1.0194494105133298"/>
    <n v="-0.65698439598172653"/>
    <x v="1"/>
    <x v="1"/>
    <x v="1"/>
    <x v="0"/>
    <x v="1"/>
    <x v="1"/>
  </r>
  <r>
    <x v="2"/>
    <s v="LU"/>
    <n v="2392"/>
    <n v="2.89"/>
    <n v="1.98"/>
    <n v="15.42"/>
    <n v="-0.77"/>
    <n v="1.4595959595959598"/>
    <n v="0.1874189364461738"/>
    <n v="-3.45"/>
    <n v="3.1"/>
    <n v="2.44"/>
    <n v="-3.7532467532467533"/>
    <s v="NO"/>
    <n v="-1.0487040214741099"/>
    <n v="-1.6114112515401138"/>
    <n v="-1.0400926307885792"/>
    <n v="-0.35611431905387447"/>
    <n v="-0.75387171682185827"/>
    <n v="-2.085592516023961"/>
    <x v="1"/>
    <x v="1"/>
    <x v="0"/>
    <x v="0"/>
    <x v="1"/>
    <x v="1"/>
  </r>
  <r>
    <x v="2"/>
    <s v="NNI"/>
    <n v="3836"/>
    <n v="116.28"/>
    <n v="17.52"/>
    <n v="92.3"/>
    <n v="5.0199999999999996"/>
    <n v="6.6369863013698636"/>
    <n v="1.2598049837486458"/>
    <n v="5.41"/>
    <n v="1.1499999999999999"/>
    <n v="4.1100000000000003"/>
    <n v="23.163346613545819"/>
    <s v="NO"/>
    <n v="0.34191915719273186"/>
    <n v="-0.54233832179159536"/>
    <n v="-0.38246042761837729"/>
    <n v="-0.71156579153901223"/>
    <n v="-0.25554053877156907"/>
    <n v="1.4479746538405212"/>
    <x v="1"/>
    <x v="1"/>
    <x v="0"/>
    <x v="0"/>
    <x v="1"/>
    <x v="1"/>
  </r>
  <r>
    <x v="2"/>
    <s v="OMF"/>
    <n v="5794"/>
    <n v="52.38"/>
    <n v="23.47"/>
    <n v="27.5"/>
    <n v="4.7300000000000004"/>
    <n v="2.2317852577758845"/>
    <n v="1.9047272727272728"/>
    <n v="17.46"/>
    <n v="2.27"/>
    <n v="7.94"/>
    <n v="11.073995771670189"/>
    <s v="NO"/>
    <n v="-0.84129753568081245"/>
    <n v="0.10059149128534892"/>
    <n v="0.51194905863454965"/>
    <n v="-0.50740904836806133"/>
    <n v="0.8873387498108305"/>
    <n v="-0.13909591849006941"/>
    <x v="1"/>
    <x v="1"/>
    <x v="0"/>
    <x v="0"/>
    <x v="1"/>
    <x v="1"/>
  </r>
  <r>
    <x v="2"/>
    <s v="QFIN"/>
    <n v="5983"/>
    <n v="46.05"/>
    <n v="8.4499999999999993"/>
    <n v="23.34"/>
    <n v="5.66"/>
    <n v="5.4497041420118348"/>
    <n v="1.973007712082262"/>
    <n v="27.02"/>
    <n v="10.65"/>
    <n v="1.99"/>
    <n v="8.1360424028268543"/>
    <s v="NO"/>
    <n v="2.3020642414107222E-2"/>
    <n v="0.16866097944157182"/>
    <n v="1.221538659346415"/>
    <n v="1.0201208692860175"/>
    <n v="-0.88815257318271457"/>
    <n v="-0.52478572066040385"/>
    <x v="1"/>
    <x v="1"/>
    <x v="0"/>
    <x v="0"/>
    <x v="1"/>
    <x v="1"/>
  </r>
  <r>
    <x v="2"/>
    <s v="SLM"/>
    <n v="6615"/>
    <n v="33.700000000000003"/>
    <n v="-1.95"/>
    <n v="10.199999999999999"/>
    <n v="2.78"/>
    <n v="-17.282051282051285"/>
    <n v="3.3039215686274517"/>
    <n v="27.6"/>
    <n v="2.1800000000000002"/>
    <n v="13.44"/>
    <n v="12.122302158273383"/>
    <s v="NO"/>
    <n v="-6.0826240738884785"/>
    <n v="1.495463001380174"/>
    <n v="1.2645890744523656"/>
    <n v="-0.52381450094429838"/>
    <n v="2.528549216443519"/>
    <n v="-1.4759388298529836E-3"/>
    <x v="0"/>
    <x v="1"/>
    <x v="0"/>
    <x v="0"/>
    <x v="1"/>
    <x v="1"/>
  </r>
  <r>
    <x v="2"/>
    <s v="UPST"/>
    <n v="4415"/>
    <n v="53.68"/>
    <n v="1.97"/>
    <n v="6.77"/>
    <n v="-1.44"/>
    <n v="27.248730964467004"/>
    <n v="7.9290989660265883"/>
    <n v="-20.27"/>
    <n v="-3.78"/>
    <n v="3.74"/>
    <n v="-37.277777777777779"/>
    <s v="NO"/>
    <n v="5.8781387560891005"/>
    <n v="6.1063509957569391"/>
    <n v="-2.2885546688611296"/>
    <n v="-1.6102200271040013"/>
    <n v="-0.36594924289049541"/>
    <n v="-6.486639134335384"/>
    <x v="0"/>
    <x v="0"/>
    <x v="0"/>
    <x v="1"/>
    <x v="1"/>
    <x v="0"/>
  </r>
  <r>
    <x v="3"/>
    <s v="JXN"/>
    <n v="5989"/>
    <n v="89.23"/>
    <n v="75.599999999999994"/>
    <n v="125.8"/>
    <n v="11.74"/>
    <n v="1.1802910052910054"/>
    <n v="0.70930047694753584"/>
    <n v="9.61"/>
    <n v="-0.49"/>
    <n v="36.659999999999997"/>
    <n v="7.6005110732538332"/>
    <s v="NO"/>
    <n v="-0.74789961499035307"/>
    <n v="-0.98194083061337467"/>
    <n v="-0.33808422742183059"/>
    <n v="-1.4090867891805576"/>
    <n v="12.92363567045436"/>
    <n v="-1.0600038139729673"/>
    <x v="1"/>
    <x v="1"/>
    <x v="0"/>
    <x v="0"/>
    <x v="0"/>
    <x v="1"/>
  </r>
  <r>
    <x v="3"/>
    <s v="VOYA"/>
    <n v="6322"/>
    <n v="69.7"/>
    <n v="13.15"/>
    <n v="41.94"/>
    <n v="6.17"/>
    <n v="5.3003802281368824"/>
    <n v="1.6618979494515977"/>
    <n v="12.3"/>
    <n v="0.43"/>
    <n v="40.92"/>
    <n v="11.296596434359806"/>
    <s v="NO"/>
    <n v="-0.38816228029016542"/>
    <n v="-0.61736285900806098"/>
    <n v="-0.23544252143059713"/>
    <n v="-1.1359075112781198"/>
    <n v="14.59415315673338"/>
    <n v="-0.57292474933295723"/>
    <x v="1"/>
    <x v="1"/>
    <x v="0"/>
    <x v="0"/>
    <x v="0"/>
    <x v="1"/>
  </r>
  <r>
    <x v="3"/>
    <s v="BUR"/>
    <n v="3076"/>
    <n v="14.35"/>
    <n v="0.99"/>
    <n v="11.03"/>
    <n v="0.66"/>
    <n v="14.494949494949495"/>
    <n v="1.3009972801450589"/>
    <n v="7.1"/>
    <n v="4.2300000000000004"/>
    <n v="2.5499999999999998"/>
    <n v="21.742424242424242"/>
    <s v="NO"/>
    <n v="0.41464311125782211"/>
    <n v="-0.75548671274967061"/>
    <n v="-0.43385771516829741"/>
    <n v="-7.5583199419641343E-3"/>
    <n v="-0.45226842742765333"/>
    <n v="0.80365169332262498"/>
    <x v="1"/>
    <x v="1"/>
    <x v="0"/>
    <x v="0"/>
    <x v="1"/>
    <x v="1"/>
  </r>
  <r>
    <x v="3"/>
    <s v="HASI"/>
    <n v="3116"/>
    <n v="27.39"/>
    <n v="0.05"/>
    <n v="19.7"/>
    <n v="1.62"/>
    <n v="547.79999999999995"/>
    <n v="1.3903553299492386"/>
    <n v="8.9600000000000009"/>
    <n v="2.99"/>
    <n v="3.03"/>
    <n v="16.907407407407408"/>
    <s v="NO"/>
    <n v="46.979104964906483"/>
    <n v="-0.72128761241133166"/>
    <n v="-0.36288612663904307"/>
    <n v="-0.37575647711481497"/>
    <n v="-0.26404110503001726"/>
    <n v="0.1664814855398673"/>
    <x v="0"/>
    <x v="1"/>
    <x v="0"/>
    <x v="0"/>
    <x v="1"/>
    <x v="1"/>
  </r>
  <r>
    <x v="3"/>
    <s v="ACT"/>
    <n v="5483"/>
    <n v="36.119999999999997"/>
    <n v="4.7"/>
    <n v="33.96"/>
    <n v="4.4400000000000004"/>
    <n v="7.6851063829787227"/>
    <n v="1.0636042402826855"/>
    <n v="14.09"/>
    <n v="9.11"/>
    <n v="1.31"/>
    <n v="8.1351351351351333"/>
    <s v="YES"/>
    <n v="-0.17994469457000253"/>
    <n v="-0.84634174380359184"/>
    <n v="-0.1671419066631965"/>
    <n v="1.4414795889318355"/>
    <n v="-0.93852234362154641"/>
    <n v="-0.98954976257701521"/>
    <x v="1"/>
    <x v="1"/>
    <x v="0"/>
    <x v="0"/>
    <x v="1"/>
    <x v="1"/>
  </r>
  <r>
    <x v="3"/>
    <s v="COOP"/>
    <n v="7559"/>
    <n v="128.35"/>
    <n v="-38.770000000000003"/>
    <n v="76.430000000000007"/>
    <n v="8.81"/>
    <n v="-3.3105493938612325"/>
    <n v="1.6793144053382179"/>
    <n v="12.39"/>
    <n v="3.11"/>
    <n v="3.77"/>
    <n v="14.568671963677637"/>
    <s v="NO"/>
    <n v="-1.1400083457423196"/>
    <n v="-0.61069723544409515"/>
    <n v="-0.23200841230821387"/>
    <n v="-0.34012439738841016"/>
    <n v="2.6142683666338425E-2"/>
    <n v="-0.14172272542334227"/>
    <x v="1"/>
    <x v="1"/>
    <x v="0"/>
    <x v="0"/>
    <x v="1"/>
    <x v="1"/>
  </r>
  <r>
    <x v="3"/>
    <s v="ESNT"/>
    <n v="6035"/>
    <n v="59.47"/>
    <n v="8.02"/>
    <n v="53.36"/>
    <n v="6.85"/>
    <n v="7.4152119700748136"/>
    <n v="1.1145052473763117"/>
    <n v="13.63"/>
    <n v="8.2200000000000006"/>
    <n v="1.27"/>
    <n v="8.6817518248175194"/>
    <s v="YES"/>
    <n v="-0.20350998442104618"/>
    <n v="-0.82686091747924662"/>
    <n v="-0.18469401995537765"/>
    <n v="1.1772083309609993"/>
    <n v="-0.95420795382134949"/>
    <n v="-0.91751529369574258"/>
    <x v="1"/>
    <x v="1"/>
    <x v="0"/>
    <x v="0"/>
    <x v="1"/>
    <x v="1"/>
  </r>
  <r>
    <x v="3"/>
    <s v="MTG"/>
    <n v="6221"/>
    <n v="26.59"/>
    <n v="2.97"/>
    <n v="21.4"/>
    <n v="3"/>
    <n v="8.9528619528619515"/>
    <n v="1.2425233644859814"/>
    <n v="15.12"/>
    <n v="9.75"/>
    <n v="1.27"/>
    <n v="8.8633333333333333"/>
    <s v="YES"/>
    <n v="-6.9253157301279081E-2"/>
    <n v="-0.7778658415823011"/>
    <n v="-0.12784043559592129"/>
    <n v="1.6315173474726619"/>
    <n v="-0.95420795382134949"/>
    <n v="-0.89358604350728388"/>
    <x v="1"/>
    <x v="1"/>
    <x v="0"/>
    <x v="0"/>
    <x v="1"/>
    <x v="1"/>
  </r>
  <r>
    <x v="3"/>
    <s v="NMIH"/>
    <n v="2987"/>
    <n v="38"/>
    <n v="4.75"/>
    <n v="29.65"/>
    <n v="4.63"/>
    <n v="8"/>
    <n v="1.2816188870151772"/>
    <n v="17.38"/>
    <n v="9.98"/>
    <n v="1.49"/>
    <n v="8.2073434125269973"/>
    <s v="YES"/>
    <n v="-0.15245038938039537"/>
    <n v="-0.76290320866130812"/>
    <n v="-4.1606139856074642E-2"/>
    <n v="1.6998121669482713"/>
    <n v="-0.86793709772243288"/>
    <n v="-0.98003398120967922"/>
    <x v="1"/>
    <x v="1"/>
    <x v="0"/>
    <x v="0"/>
    <x v="1"/>
    <x v="1"/>
  </r>
  <r>
    <x v="3"/>
    <s v="PFSI"/>
    <n v="5046"/>
    <n v="99.59"/>
    <n v="-50.64"/>
    <n v="75.569999999999993"/>
    <n v="6.51"/>
    <n v="-1.9666271721958926"/>
    <n v="1.3178509990737066"/>
    <n v="9.32"/>
    <n v="1.6"/>
    <n v="6.12"/>
    <n v="15.298003072196622"/>
    <s v="NO"/>
    <n v="-1.0226664698951982"/>
    <n v="-0.74903645979564937"/>
    <n v="-0.34914969014950997"/>
    <n v="-0.78849473394567193"/>
    <n v="0.94767228290476513"/>
    <n v="-4.5609708692584135E-2"/>
    <x v="1"/>
    <x v="1"/>
    <x v="0"/>
    <x v="0"/>
    <x v="1"/>
    <x v="1"/>
  </r>
  <r>
    <x v="3"/>
    <s v="RDN"/>
    <n v="4543"/>
    <n v="34.020000000000003"/>
    <n v="-4.32"/>
    <n v="32.479999999999997"/>
    <n v="3.92"/>
    <n v="-7.875"/>
    <n v="1.0474137931034484"/>
    <n v="13.22"/>
    <n v="6.73"/>
    <n v="1.91"/>
    <n v="8.6785714285714288"/>
    <s v="NO"/>
    <n v="-1.5385442042179358"/>
    <n v="-0.85253814948633322"/>
    <n v="-0.20033829484623478"/>
    <n v="0.7347766743581382"/>
    <n v="-0.70323819062450144"/>
    <n v="-0.91793441400206233"/>
    <x v="1"/>
    <x v="1"/>
    <x v="0"/>
    <x v="0"/>
    <x v="1"/>
    <x v="1"/>
  </r>
  <r>
    <x v="3"/>
    <s v="WD"/>
    <n v="2425"/>
    <n v="75.88"/>
    <n v="3.51"/>
    <n v="52.07"/>
    <n v="2.91"/>
    <n v="21.618233618233617"/>
    <n v="1.4572690608795851"/>
    <n v="5.34"/>
    <n v="2.23"/>
    <n v="2.6"/>
    <n v="26.075601374570443"/>
    <s v="NO"/>
    <n v="1.0365983909185827"/>
    <n v="-0.69567839865706627"/>
    <n v="-0.5010136268949037"/>
    <n v="-0.60142631538204616"/>
    <n v="-0.43266141467789948"/>
    <n v="1.3746882518001873"/>
    <x v="1"/>
    <x v="1"/>
    <x v="0"/>
    <x v="0"/>
    <x v="1"/>
    <x v="1"/>
  </r>
  <r>
    <x v="3"/>
    <s v="AVDX"/>
    <n v="2009"/>
    <n v="9.7200000000000006"/>
    <n v="0.25"/>
    <n v="3.29"/>
    <n v="0.04"/>
    <n v="38.880000000000003"/>
    <n v="2.9544072948328268"/>
    <n v="1.23"/>
    <n v="-0.06"/>
    <n v="3.11"/>
    <n v="243"/>
    <s v="NO"/>
    <n v="2.5437749335917781"/>
    <n v="-0.12269386289859348"/>
    <n v="-0.65783794348373981"/>
    <n v="-1.2814051701609399"/>
    <n v="-0.23266988463041124"/>
    <n v="29.961509944807482"/>
    <x v="1"/>
    <x v="1"/>
    <x v="0"/>
    <x v="0"/>
    <x v="1"/>
    <x v="0"/>
  </r>
  <r>
    <x v="3"/>
    <s v="DLO"/>
    <n v="2535"/>
    <n v="9.85"/>
    <n v="-0.19"/>
    <n v="1.71"/>
    <n v="0.39"/>
    <n v="-51.84210526315789"/>
    <n v="5.7602339181286553"/>
    <n v="25.52"/>
    <n v="7.79"/>
    <n v="2.4"/>
    <n v="25.256410256410255"/>
    <s v="NO"/>
    <n v="-5.3774438994352103"/>
    <n v="0.95115171041413438"/>
    <n v="0.26898995187947922"/>
    <n v="1.0495267119413816"/>
    <n v="-0.5110894656769146"/>
    <n v="1.2667332657509818"/>
    <x v="0"/>
    <x v="1"/>
    <x v="0"/>
    <x v="0"/>
    <x v="1"/>
    <x v="1"/>
  </r>
  <r>
    <x v="3"/>
    <s v="EEFT"/>
    <n v="4568"/>
    <n v="110.28"/>
    <n v="13.71"/>
    <n v="28.15"/>
    <n v="6.8"/>
    <n v="8.0437636761487958"/>
    <n v="3.9175843694493784"/>
    <n v="25.03"/>
    <n v="5.47"/>
    <n v="4.6500000000000004"/>
    <n v="16.21764705882353"/>
    <s v="NO"/>
    <n v="-0.14862925169066943"/>
    <n v="0.24593313254931323"/>
    <n v="0.25029313554650368"/>
    <n v="0.36063983723088644"/>
    <n v="0.37122610806200468"/>
    <n v="7.5583199220670513E-2"/>
    <x v="1"/>
    <x v="1"/>
    <x v="0"/>
    <x v="0"/>
    <x v="1"/>
    <x v="1"/>
  </r>
  <r>
    <x v="3"/>
    <s v="EVTC"/>
    <n v="2216"/>
    <n v="36.51"/>
    <n v="2.67"/>
    <n v="7.43"/>
    <n v="1.73"/>
    <n v="13.674157303370785"/>
    <n v="4.9138627187079411"/>
    <n v="19.88"/>
    <n v="5.29"/>
    <n v="3.93"/>
    <n v="21.104046242774565"/>
    <s v="NO"/>
    <n v="0.34297728574511666"/>
    <n v="0.6272286432041857"/>
    <n v="5.37857802101274E-2"/>
    <n v="0.30719171764127917"/>
    <n v="8.8885124465550511E-2"/>
    <n v="0.71952469716929934"/>
    <x v="1"/>
    <x v="1"/>
    <x v="0"/>
    <x v="0"/>
    <x v="1"/>
    <x v="1"/>
  </r>
  <r>
    <x v="3"/>
    <s v="FOUR"/>
    <n v="5730"/>
    <n v="92.1"/>
    <n v="4.12"/>
    <n v="11.7"/>
    <n v="2.82"/>
    <n v="22.354368932038835"/>
    <n v="7.8717948717948714"/>
    <n v="29.87"/>
    <n v="4.16"/>
    <n v="6.21"/>
    <n v="32.659574468085104"/>
    <s v="NO"/>
    <n v="1.1008725707830807"/>
    <n v="1.7592880236304478"/>
    <n v="0.43497189279467086"/>
    <n v="-2.8343699782367084E-2"/>
    <n v="0.98296490585432184"/>
    <n v="2.2423401436505737"/>
    <x v="1"/>
    <x v="1"/>
    <x v="0"/>
    <x v="0"/>
    <x v="1"/>
    <x v="1"/>
  </r>
  <r>
    <x v="3"/>
    <s v="NATL"/>
    <n v="2161"/>
    <n v="27.79"/>
    <n v="2.84"/>
    <n v="3.58"/>
    <n v="1.23"/>
    <n v="9.785211267605634"/>
    <n v="7.7625698324022343"/>
    <n v="35.869999999999997"/>
    <n v="6.05"/>
    <n v="21.35"/>
    <n v="22.59349593495935"/>
    <s v="NO"/>
    <n v="3.4217552625309057E-3"/>
    <n v="1.7174854318120989"/>
    <n v="0.66391250095355558"/>
    <n v="0.53286155590851025"/>
    <n v="6.9199683664797602"/>
    <n v="0.91580797853827511"/>
    <x v="1"/>
    <x v="1"/>
    <x v="0"/>
    <x v="1"/>
    <x v="0"/>
    <x v="1"/>
  </r>
  <r>
    <x v="3"/>
    <s v="PAGS"/>
    <n v="2902"/>
    <n v="9.8699999999999992"/>
    <n v="-2.93"/>
    <n v="7.81"/>
    <n v="1.07"/>
    <n v="-3.3686006825938564"/>
    <n v="1.2637644046094749"/>
    <n v="15.17"/>
    <n v="5.82"/>
    <n v="4.97"/>
    <n v="9.2242990654205599"/>
    <s v="NO"/>
    <n v="-1.1450769776954306"/>
    <n v="-0.76973647367346776"/>
    <n v="-0.12593259719459721"/>
    <n v="0.46456673643290092"/>
    <n v="0.49671098966042854"/>
    <n v="-0.84601710665255359"/>
    <x v="1"/>
    <x v="1"/>
    <x v="0"/>
    <x v="0"/>
    <x v="1"/>
    <x v="1"/>
  </r>
  <r>
    <x v="3"/>
    <s v="PAY"/>
    <n v="4419"/>
    <n v="38.17"/>
    <n v="0.22"/>
    <n v="3.89"/>
    <n v="0.35"/>
    <n v="173.5"/>
    <n v="9.8123393316195369"/>
    <n v="9.65"/>
    <n v="5.19"/>
    <n v="1.19"/>
    <n v="109.05714285714286"/>
    <s v="NO"/>
    <n v="14.297850483414123"/>
    <n v="2.501972928213573"/>
    <n v="-0.33655795670077132"/>
    <n v="0.27749831786927515"/>
    <n v="-0.98557917422095553"/>
    <n v="12.310196406737171"/>
    <x v="0"/>
    <x v="1"/>
    <x v="0"/>
    <x v="0"/>
    <x v="1"/>
    <x v="0"/>
  </r>
  <r>
    <x v="3"/>
    <s v="PAYO"/>
    <n v="2232"/>
    <n v="7.46"/>
    <n v="0.33"/>
    <n v="2.0099999999999998"/>
    <n v="0.31"/>
    <n v="22.606060606060606"/>
    <n v="3.7114427860696519"/>
    <n v="17.440000000000001"/>
    <n v="1.32"/>
    <n v="10.94"/>
    <n v="24.06451612903226"/>
    <s v="NO"/>
    <n v="1.1228485249630922"/>
    <n v="0.16703865455481293"/>
    <n v="-3.9316733774485704E-2"/>
    <n v="-0.87163625330728334"/>
    <n v="2.837788311981027"/>
    <n v="1.1096625760904273"/>
    <x v="1"/>
    <x v="1"/>
    <x v="0"/>
    <x v="0"/>
    <x v="1"/>
    <x v="1"/>
  </r>
  <r>
    <x v="3"/>
    <s v="RELY"/>
    <n v="4299"/>
    <n v="24.22"/>
    <n v="0.91"/>
    <n v="3.32"/>
    <n v="-0.19"/>
    <n v="26.615384615384613"/>
    <n v="7.2951807228915664"/>
    <n v="-6.19"/>
    <n v="-2.29"/>
    <n v="1.52"/>
    <n v="-127.47368421052632"/>
    <s v="NO"/>
    <n v="1.4729146169948184"/>
    <n v="1.5386063371112817"/>
    <n v="-0.94096116224022752"/>
    <n v="-1.9435679850766312"/>
    <n v="-0.85617289007258068"/>
    <n v="-18.860407827407045"/>
    <x v="1"/>
    <x v="1"/>
    <x v="0"/>
    <x v="0"/>
    <x v="1"/>
    <x v="0"/>
  </r>
  <r>
    <x v="3"/>
    <s v="STNE"/>
    <n v="3593"/>
    <n v="13.89"/>
    <n v="-2.76"/>
    <n v="6.66"/>
    <n v="-0.81"/>
    <n v="-5.0326086956521747"/>
    <n v="2.0855855855855858"/>
    <n v="-11.37"/>
    <n v="6.9"/>
    <n v="4.6500000000000004"/>
    <n v="-17.148148148148149"/>
    <s v="NO"/>
    <n v="-1.2903665030333986"/>
    <n v="-0.45520918609316569"/>
    <n v="-1.138613220617398"/>
    <n v="0.78525545397054519"/>
    <n v="0.37122610806200468"/>
    <n v="-4.321441959180679"/>
    <x v="1"/>
    <x v="1"/>
    <x v="0"/>
    <x v="1"/>
    <x v="1"/>
    <x v="0"/>
  </r>
  <r>
    <x v="3"/>
    <s v="WEX"/>
    <n v="4151"/>
    <n v="138.13"/>
    <n v="-0.31"/>
    <n v="23.7"/>
    <n v="7.78"/>
    <n v="-445.58064516129031"/>
    <n v="5.8282700421940925"/>
    <n v="24.36"/>
    <n v="3.04"/>
    <n v="17.23"/>
    <n v="17.754498714652954"/>
    <s v="NO"/>
    <n v="-39.755935541385789"/>
    <n v="0.9771904863122709"/>
    <n v="0.22472810096876147"/>
    <n v="-0.36090977722881296"/>
    <n v="5.3043505159000501"/>
    <n v="0.27811322595897442"/>
    <x v="0"/>
    <x v="1"/>
    <x v="0"/>
    <x v="0"/>
    <x v="0"/>
    <x v="1"/>
  </r>
  <r>
    <x v="3"/>
    <s v="WU"/>
    <n v="3153"/>
    <n v="9.7100000000000009"/>
    <n v="1.01"/>
    <n v="2.83"/>
    <n v="2.7"/>
    <n v="9.6138613861386144"/>
    <n v="3.4310954063604244"/>
    <n v="136.84"/>
    <n v="5.66"/>
    <n v="8.8800000000000008"/>
    <n v="3.5962962962962965"/>
    <s v="NO"/>
    <n v="-1.1539316288623837E-2"/>
    <n v="5.9744144555135152E-2"/>
    <n v="4.5166013685873239"/>
    <n v="0.41705729679769432"/>
    <n v="2.0299793866911728"/>
    <n v="-1.5876889179757001"/>
    <x v="1"/>
    <x v="1"/>
    <x v="0"/>
    <x v="1"/>
    <x v="1"/>
    <x v="1"/>
  </r>
  <r>
    <x v="4"/>
    <s v="BWIN"/>
    <n v="2753"/>
    <n v="38.5"/>
    <n v="0.96"/>
    <n v="8.58"/>
    <n v="-0.39"/>
    <n v="40.104166666666671"/>
    <n v="4.4871794871794872"/>
    <n v="-4.05"/>
    <n v="1.0900000000000001"/>
    <n v="6.06"/>
    <n v="-98.717948717948715"/>
    <s v="NO"/>
    <n v="6.2532173216133362"/>
    <n v="1.6526584514347704"/>
    <n v="-1.7944498482695732"/>
    <n v="-1.0369822013998935"/>
    <n v="0.71553982909826053"/>
    <n v="-13.705320391915647"/>
    <x v="0"/>
    <x v="1"/>
    <x v="0"/>
    <x v="0"/>
    <x v="1"/>
    <x v="0"/>
  </r>
  <r>
    <x v="4"/>
    <s v="GSHD"/>
    <n v="2564"/>
    <n v="105.6"/>
    <n v="2.5299999999999998"/>
    <n v="-3.53"/>
    <n v="1.26"/>
    <n v="41.739130434782609"/>
    <n v="-29.915014164305948"/>
    <n v="-85.18"/>
    <n v="10.5"/>
    <n v="-4.66"/>
    <n v="83.80952380952381"/>
    <s v="NO"/>
    <n v="6.5741939737060644"/>
    <n v="-22.563779687023523"/>
    <n v="-9.9465640460762366"/>
    <n v="5.8348505557641888"/>
    <n v="-5.0250990278725336"/>
    <n v="8.0805499942580639"/>
    <x v="0"/>
    <x v="0"/>
    <x v="1"/>
    <x v="1"/>
    <x v="0"/>
    <x v="0"/>
  </r>
  <r>
    <x v="4"/>
    <s v="RYAN"/>
    <n v="8983"/>
    <n v="68.16"/>
    <n v="3.52"/>
    <n v="4.3"/>
    <n v="0.27"/>
    <n v="19.363636363636363"/>
    <n v="15.851162790697675"/>
    <n v="18.190000000000001"/>
    <n v="3.68"/>
    <n v="18.23"/>
    <n v="252.44444444444443"/>
    <s v="NO"/>
    <n v="2.1814292434188416"/>
    <n v="9.6520087679875815"/>
    <n v="0.44027244630974594"/>
    <n v="0.85441491242103884"/>
    <n v="7.2326643523570819"/>
    <n v="28.208251718622389"/>
    <x v="1"/>
    <x v="0"/>
    <x v="0"/>
    <x v="0"/>
    <x v="0"/>
    <x v="0"/>
  </r>
  <r>
    <x v="4"/>
    <s v="BHF"/>
    <n v="3370"/>
    <n v="59.78"/>
    <n v="-6.41"/>
    <n v="84.58"/>
    <n v="4.6399999999999997"/>
    <n v="-9.3260530421216856"/>
    <n v="0.70678647434381658"/>
    <n v="7.83"/>
    <n v="0.56000000000000005"/>
    <n v="48.1"/>
    <n v="12.883620689655174"/>
    <s v="NO"/>
    <n v="-3.450940497503391"/>
    <n v="-1.0084408511802565"/>
    <n v="-0.60072229163277868"/>
    <n v="-1.4240248540350648"/>
    <n v="23.228269077890445"/>
    <n v="-0.38492926207253353"/>
    <x v="0"/>
    <x v="1"/>
    <x v="0"/>
    <x v="0"/>
    <x v="0"/>
    <x v="1"/>
  </r>
  <r>
    <x v="4"/>
    <s v="CNO"/>
    <n v="3769"/>
    <n v="38.659999999999997"/>
    <n v="5.91"/>
    <n v="24.59"/>
    <n v="2.88"/>
    <n v="6.5414551607445004"/>
    <n v="1.5721838145587637"/>
    <n v="17.14"/>
    <n v="1.33"/>
    <n v="15.15"/>
    <n v="13.423611111111111"/>
    <s v="NO"/>
    <n v="-0.33582580240593091"/>
    <n v="-0.39926919873254313"/>
    <n v="0.33476622286962515"/>
    <n v="-0.86171760398019315"/>
    <n v="5.5833016956901007"/>
    <n v="-0.32047780625212985"/>
    <x v="1"/>
    <x v="1"/>
    <x v="0"/>
    <x v="0"/>
    <x v="0"/>
    <x v="1"/>
  </r>
  <r>
    <x v="4"/>
    <s v="FG"/>
    <n v="4843"/>
    <n v="31.17"/>
    <n v="47.8"/>
    <n v="31.16"/>
    <n v="4.88"/>
    <n v="0.65209205020920513"/>
    <n v="1.0003209242618742"/>
    <n v="17.88"/>
    <n v="0.73"/>
    <n v="21.52"/>
    <n v="6.3872950819672134"/>
    <s v="NO"/>
    <n v="-1.49202760396413"/>
    <n v="-0.80181568884442089"/>
    <n v="0.40912298986551959"/>
    <n v="-1.2998790975294439"/>
    <n v="8.9944835537968117"/>
    <n v="-1.1603090211615081"/>
    <x v="1"/>
    <x v="1"/>
    <x v="0"/>
    <x v="0"/>
    <x v="0"/>
    <x v="1"/>
  </r>
  <r>
    <x v="4"/>
    <s v="GNW"/>
    <n v="2864"/>
    <n v="7.06"/>
    <n v="0.54"/>
    <n v="20.94"/>
    <n v="0.53"/>
    <n v="13.074074074074073"/>
    <n v="0.3371537726838586"/>
    <n v="3.85"/>
    <n v="0.43"/>
    <n v="10.02"/>
    <n v="13.320754716981131"/>
    <s v="NO"/>
    <n v="0.94666020070252876"/>
    <n v="-1.2686331965981217"/>
    <n v="-1.0006411195296172"/>
    <n v="-1.5189598443040691"/>
    <n v="2.8361489590986659"/>
    <n v="-0.33275440242626281"/>
    <x v="1"/>
    <x v="1"/>
    <x v="0"/>
    <x v="0"/>
    <x v="1"/>
    <x v="1"/>
  </r>
  <r>
    <x v="4"/>
    <s v="LNC"/>
    <n v="5802"/>
    <n v="35.49"/>
    <n v="-12.3"/>
    <n v="42.75"/>
    <n v="18.41"/>
    <n v="-2.8853658536585365"/>
    <n v="0.83017543859649123"/>
    <n v="43.2"/>
    <n v="0.16"/>
    <n v="53.66"/>
    <n v="1.9277566539923956"/>
    <s v="NO"/>
    <n v="-2.1865025623975258"/>
    <n v="-0.92158472653704437"/>
    <n v="2.9533302065358598"/>
    <n v="-1.716132516401232"/>
    <n v="26.20568997758798"/>
    <n v="-1.6925846552274832"/>
    <x v="1"/>
    <x v="1"/>
    <x v="0"/>
    <x v="1"/>
    <x v="0"/>
    <x v="1"/>
  </r>
  <r>
    <x v="4"/>
    <s v="OSCR"/>
    <n v="4332"/>
    <n v="16.920000000000002"/>
    <n v="3.95"/>
    <n v="4.05"/>
    <n v="0.1"/>
    <n v="4.283544303797469"/>
    <n v="4.177777777777778"/>
    <n v="2.87"/>
    <n v="0.85"/>
    <n v="4.78"/>
    <n v="169.20000000000002"/>
    <s v="NO"/>
    <n v="-0.77909964230382311"/>
    <n v="1.4348639865944093"/>
    <n v="-1.0991135947403965"/>
    <n v="-1.2122467988195937"/>
    <n v="3.0090413340554175E-2"/>
    <n v="18.272472452502637"/>
    <x v="1"/>
    <x v="1"/>
    <x v="0"/>
    <x v="0"/>
    <x v="1"/>
    <x v="0"/>
  </r>
  <r>
    <x v="4"/>
    <s v="PRI"/>
    <n v="8826"/>
    <n v="271.3"/>
    <n v="24.39"/>
    <n v="67.7"/>
    <n v="21.01"/>
    <n v="11.123411234112341"/>
    <n v="4.0073855243722303"/>
    <n v="33.299999999999997"/>
    <n v="4.34"/>
    <n v="6.46"/>
    <n v="12.912898619704903"/>
    <s v="NO"/>
    <n v="0.56370539770153105"/>
    <n v="1.3149212438242897"/>
    <n v="1.9585572426718638"/>
    <n v="1.3363925553252143"/>
    <n v="0.92974277152254414"/>
    <n v="-0.38143474598459048"/>
    <x v="1"/>
    <x v="1"/>
    <x v="0"/>
    <x v="0"/>
    <x v="1"/>
    <x v="1"/>
  </r>
  <r>
    <x v="4"/>
    <s v="AGO"/>
    <n v="4377"/>
    <n v="87.69"/>
    <n v="0.88"/>
    <n v="108.85"/>
    <n v="6.87"/>
    <n v="99.647727272727266"/>
    <n v="0.80560404225999083"/>
    <n v="6.93"/>
    <n v="2.81"/>
    <n v="2.17"/>
    <n v="12.764192139737991"/>
    <s v="NO"/>
    <n v="17.942829721426751"/>
    <n v="-0.93888105668931388"/>
    <n v="-0.69115619743859646"/>
    <n v="0.21908074677462522"/>
    <n v="-1.367583785977895"/>
    <n v="-0.39918385549278057"/>
    <x v="0"/>
    <x v="1"/>
    <x v="0"/>
    <x v="0"/>
    <x v="1"/>
    <x v="1"/>
  </r>
  <r>
    <x v="4"/>
    <s v="AXS"/>
    <n v="7868"/>
    <n v="99.94"/>
    <n v="20.9"/>
    <n v="68.06"/>
    <n v="10.08"/>
    <n v="4.7818181818181822"/>
    <n v="1.4684102262709373"/>
    <n v="15.44"/>
    <n v="2.09"/>
    <n v="6.21"/>
    <n v="9.9146825396825395"/>
    <s v="NO"/>
    <n v="-0.68127834233908457"/>
    <n v="-0.47231764170790785"/>
    <n v="0.16394662301419147"/>
    <n v="-0.30671304548447575"/>
    <n v="0.79586593250736704"/>
    <n v="-0.73929181815370071"/>
    <x v="1"/>
    <x v="1"/>
    <x v="0"/>
    <x v="0"/>
    <x v="1"/>
    <x v="1"/>
  </r>
  <r>
    <x v="4"/>
    <s v="FAF"/>
    <n v="6288"/>
    <n v="60.05"/>
    <n v="5.46"/>
    <n v="48.64"/>
    <n v="1.52"/>
    <n v="10.998168498168498"/>
    <n v="1.2345805921052631"/>
    <n v="3.26"/>
    <n v="1.47"/>
    <n v="3.09"/>
    <n v="39.506578947368418"/>
    <s v="NO"/>
    <n v="0.53911770049004304"/>
    <n v="-0.63691531033555615"/>
    <n v="-1.059925568891209"/>
    <n v="-0.75947992215203475"/>
    <n v="-0.87491701840204317"/>
    <n v="2.7926982471877855"/>
    <x v="1"/>
    <x v="1"/>
    <x v="0"/>
    <x v="0"/>
    <x v="1"/>
    <x v="1"/>
  </r>
  <r>
    <x v="4"/>
    <s v="HCXLY"/>
    <n v="5235"/>
    <n v="30.315000000000001"/>
    <n v="0.22"/>
    <n v="10.85"/>
    <n v="1.78"/>
    <n v="137.79545454545456"/>
    <n v="2.794009216589862"/>
    <n v="17.95"/>
    <n v="4.2"/>
    <n v="3.05"/>
    <n v="17.030898876404496"/>
    <s v="NO"/>
    <n v="25.432004725626687"/>
    <n v="0.46079977140434969"/>
    <n v="0.41615673809486098"/>
    <n v="1.234154873497056"/>
    <n v="-0.89633731264447158"/>
    <n v="0.1100760309982244"/>
    <x v="0"/>
    <x v="1"/>
    <x v="0"/>
    <x v="0"/>
    <x v="1"/>
    <x v="1"/>
  </r>
  <r>
    <x v="4"/>
    <s v="KMPR"/>
    <n v="3944"/>
    <n v="64.959999999999994"/>
    <n v="5.14"/>
    <n v="43.68"/>
    <n v="4.91"/>
    <n v="12.638132295719844"/>
    <n v="1.487179487179487"/>
    <n v="11.82"/>
    <n v="2.4"/>
    <n v="4.53"/>
    <n v="13.230142566191445"/>
    <s v="NO"/>
    <n v="0.86107596008982323"/>
    <n v="-0.45910555848144036"/>
    <n v="-0.1997986425603199"/>
    <n v="-8.0329607150696189E-2"/>
    <n v="-0.10378642567462293"/>
    <n v="-0.34356956655022458"/>
    <x v="1"/>
    <x v="1"/>
    <x v="0"/>
    <x v="0"/>
    <x v="1"/>
    <x v="1"/>
  </r>
  <r>
    <x v="4"/>
    <s v="LMND"/>
    <n v="2238"/>
    <n v="32.6"/>
    <n v="-0.28999999999999998"/>
    <n v="8.16"/>
    <n v="-2.85"/>
    <n v="-112.41379310344828"/>
    <n v="3.9950980392156863"/>
    <n v="-31.05"/>
    <n v="-7.1"/>
    <n v="3.12"/>
    <n v="-11.43859649122807"/>
    <s v="NO"/>
    <n v="-23.68916125931268"/>
    <n v="1.3062718208489668"/>
    <n v="-4.5074670224441062"/>
    <n v="-7.0178865883471646"/>
    <n v="-0.8588517977202218"/>
    <n v="-3.2879479894443078"/>
    <x v="0"/>
    <x v="1"/>
    <x v="1"/>
    <x v="1"/>
    <x v="1"/>
    <x v="0"/>
  </r>
  <r>
    <x v="4"/>
    <s v="MCY"/>
    <n v="3156"/>
    <n v="62"/>
    <n v="17.899999999999999"/>
    <n v="35.14"/>
    <n v="8.4499999999999993"/>
    <n v="3.4636871508379889"/>
    <n v="1.7643710870802505"/>
    <n v="26.78"/>
    <n v="4.91"/>
    <n v="4.2699999999999996"/>
    <n v="7.3372781065088768"/>
    <s v="NO"/>
    <n v="-0.94005428196195895"/>
    <n v="-0.26398447697426497"/>
    <n v="1.3034138361674954"/>
    <n v="1.7526459741970026"/>
    <n v="-0.24301833825040747"/>
    <n v="-1.0469222155746674"/>
    <x v="1"/>
    <x v="1"/>
    <x v="0"/>
    <x v="0"/>
    <x v="1"/>
    <x v="1"/>
  </r>
  <r>
    <x v="4"/>
    <s v="ORI"/>
    <n v="9414"/>
    <n v="37.700000000000003"/>
    <n v="5.2"/>
    <n v="24.27"/>
    <n v="3.04"/>
    <n v="7.25"/>
    <n v="1.5533580552121962"/>
    <n v="12.67"/>
    <n v="2.4"/>
    <n v="4.74"/>
    <n v="12.401315789473685"/>
    <s v="NO"/>
    <n v="-0.19672403465000923"/>
    <n v="-0.41252105241501813"/>
    <n v="-0.11438884263260317"/>
    <n v="-8.0329607150696189E-2"/>
    <n v="8.6701190981258187E-3"/>
    <n v="-0.4424955664565976"/>
    <x v="1"/>
    <x v="1"/>
    <x v="0"/>
    <x v="0"/>
    <x v="1"/>
    <x v="1"/>
  </r>
  <r>
    <x v="4"/>
    <s v="PLMR"/>
    <n v="4192"/>
    <n v="155.68"/>
    <n v="9.9"/>
    <n v="29.57"/>
    <n v="5.0199999999999996"/>
    <n v="15.725252525252525"/>
    <n v="5.2647954007439974"/>
    <n v="20.76"/>
    <n v="4.96"/>
    <n v="3.07"/>
    <n v="31.011952191235064"/>
    <s v="NO"/>
    <n v="1.4671404706355187"/>
    <n v="2.2000388847026531"/>
    <n v="0.69851148844413669"/>
    <n v="1.7891594319927735"/>
    <n v="-0.88562716552325738"/>
    <n v="1.7788079274158379"/>
    <x v="1"/>
    <x v="1"/>
    <x v="0"/>
    <x v="0"/>
    <x v="1"/>
    <x v="1"/>
  </r>
  <r>
    <x v="4"/>
    <s v="RLI"/>
    <n v="6788"/>
    <n v="74.36"/>
    <n v="6.42"/>
    <n v="17.48"/>
    <n v="3.03"/>
    <n v="11.582554517133957"/>
    <n v="4.2540045766590389"/>
    <n v="17.989999999999998"/>
    <n v="4.05"/>
    <n v="3.57"/>
    <n v="24.541254125412543"/>
    <s v="NO"/>
    <n v="0.65384456573029393"/>
    <n v="1.4885216567505986"/>
    <n v="0.42017602279734168"/>
    <n v="1.1246145001097432"/>
    <n v="-0.61787348749290316"/>
    <n v="1.0064869862552859"/>
    <x v="1"/>
    <x v="1"/>
    <x v="0"/>
    <x v="0"/>
    <x v="1"/>
    <x v="1"/>
  </r>
  <r>
    <x v="4"/>
    <s v="ROOT"/>
    <n v="2150"/>
    <n v="150.24"/>
    <n v="12.34"/>
    <n v="13.49"/>
    <n v="1.83"/>
    <n v="12.175040518638575"/>
    <n v="11.13713862120089"/>
    <n v="10.42"/>
    <n v="3.46"/>
    <n v="7.34"/>
    <n v="82.098360655737707"/>
    <s v="NO"/>
    <n v="0.77016162234244578"/>
    <n v="6.3337065736480938"/>
    <n v="-0.34047360714714758"/>
    <n v="0.69375569811964677"/>
    <n v="1.4009892448559675"/>
    <n v="7.8763112670036275"/>
    <x v="1"/>
    <x v="0"/>
    <x v="0"/>
    <x v="0"/>
    <x v="1"/>
    <x v="0"/>
  </r>
  <r>
    <x v="4"/>
    <s v="SIGI"/>
    <n v="5451"/>
    <n v="88.97"/>
    <n v="20.09"/>
    <n v="50.33"/>
    <n v="3.68"/>
    <n v="4.4285714285714288"/>
    <n v="1.7677329624478442"/>
    <n v="7.48"/>
    <n v="1.71"/>
    <n v="4.6399999999999997"/>
    <n v="24.176630434782606"/>
    <s v="NO"/>
    <n v="-0.75062786703859974"/>
    <n v="-0.26161798117189555"/>
    <n v="-0.63589103277948555"/>
    <n v="-0.5842153247323344"/>
    <n v="-4.4880616507945309E-2"/>
    <n v="0.96296671857286065"/>
    <x v="1"/>
    <x v="1"/>
    <x v="0"/>
    <x v="0"/>
    <x v="1"/>
    <x v="1"/>
  </r>
  <r>
    <x v="4"/>
    <s v="SKWD"/>
    <n v="2378"/>
    <n v="59.75"/>
    <n v="7.51"/>
    <n v="21.06"/>
    <n v="2.98"/>
    <n v="7.9560585885486024"/>
    <n v="2.8371320037986707"/>
    <n v="16.09"/>
    <n v="2.87"/>
    <n v="4.74"/>
    <n v="20.050335570469798"/>
    <s v="NO"/>
    <n v="-5.8110368492254851E-2"/>
    <n v="0.49115482141596212"/>
    <n v="0.22925999942950434"/>
    <n v="0.26289689612955031"/>
    <n v="8.6701190981258187E-3"/>
    <n v="0.47046592488810274"/>
    <x v="1"/>
    <x v="1"/>
    <x v="0"/>
    <x v="0"/>
    <x v="1"/>
    <x v="1"/>
  </r>
  <r>
    <x v="4"/>
    <s v="THG"/>
    <n v="5998"/>
    <n v="166.22"/>
    <n v="21.62"/>
    <n v="84.57"/>
    <n v="12"/>
    <n v="7.6882516188714147"/>
    <n v="1.9654723897363133"/>
    <n v="15.74"/>
    <n v="2.44"/>
    <n v="5.08"/>
    <n v="13.851666666666667"/>
    <s v="NO"/>
    <n v="-0.11068632534855789"/>
    <n v="-0.12242497920881802"/>
    <n v="0.19409125828279747"/>
    <n v="-5.1118840914079457E-2"/>
    <n v="0.19074262015876658"/>
    <n v="-0.26938652271939306"/>
    <x v="1"/>
    <x v="1"/>
    <x v="0"/>
    <x v="0"/>
    <x v="1"/>
    <x v="1"/>
  </r>
  <r>
    <x v="4"/>
    <s v="WTM"/>
    <n v="4597"/>
    <n v="1784.12"/>
    <n v="231.74"/>
    <n v="1770.28"/>
    <n v="89.79"/>
    <n v="7.6988003797359106"/>
    <n v="1.0078179722981675"/>
    <n v="5.86"/>
    <n v="3.78"/>
    <n v="2.21"/>
    <n v="19.869918699186989"/>
    <s v="NO"/>
    <n v="-0.10861538896939003"/>
    <n v="-0.79653835676986851"/>
    <n v="-0.79867206322995754"/>
    <n v="0.92744182801258035"/>
    <n v="-1.3461634917354666"/>
    <n v="0.44893196882757241"/>
    <x v="1"/>
    <x v="1"/>
    <x v="0"/>
    <x v="0"/>
    <x v="1"/>
    <x v="1"/>
  </r>
  <r>
    <x v="4"/>
    <s v="ESGR"/>
    <n v="4982"/>
    <n v="334.72"/>
    <n v="51.48"/>
    <n v="426.59"/>
    <n v="31.2"/>
    <n v="6.5019425019425032"/>
    <n v="0.78464099017792266"/>
    <n v="8.56"/>
    <n v="2.21"/>
    <n v="3.32"/>
    <n v="10.728205128205129"/>
    <s v="NO"/>
    <n v="-0.34358294123975486"/>
    <n v="-0.95363739633095068"/>
    <n v="-0.52737034581250419"/>
    <n v="-0.21908074677462555"/>
    <n v="-0.75175032650808027"/>
    <n v="-0.64219247511036737"/>
    <x v="1"/>
    <x v="1"/>
    <x v="0"/>
    <x v="0"/>
    <x v="1"/>
    <x v="1"/>
  </r>
  <r>
    <x v="4"/>
    <s v="SPNT"/>
    <n v="2248"/>
    <n v="19.54"/>
    <n v="-0.57999999999999996"/>
    <n v="15.73"/>
    <n v="0.93"/>
    <n v="-33.689655172413794"/>
    <n v="1.2422123331214239"/>
    <n v="7.25"/>
    <n v="1.47"/>
    <n v="6.73"/>
    <n v="21.01075268817204"/>
    <s v="NO"/>
    <n v="-8.2340112891650303"/>
    <n v="-0.63154316499857954"/>
    <n v="-0.65900191981875011"/>
    <n v="-0.75947992215203475"/>
    <n v="1.0743297576589357"/>
    <n v="0.58509810903657034"/>
    <x v="0"/>
    <x v="1"/>
    <x v="0"/>
    <x v="0"/>
    <x v="1"/>
    <x v="1"/>
  </r>
  <r>
    <x v="5"/>
    <s v="ABR"/>
    <n v="2006"/>
    <n v="11.09"/>
    <n v="1.64"/>
    <n v="12.35"/>
    <n v="1.03"/>
    <n v="6.76219512195122"/>
    <n v="0.89797570850202435"/>
    <n v="7.99"/>
    <n v="1.78"/>
    <n v="5.63"/>
    <n v="10.766990291262136"/>
    <s v="NO"/>
    <n v="-1.4000174312757374"/>
    <n v="-1.0273651220610984"/>
    <n v="0.7066101439375696"/>
    <n v="1.0841141654999835"/>
    <n v="-0.92574424445810977"/>
    <n v="-0.85290718960683409"/>
    <x v="1"/>
    <x v="1"/>
    <x v="0"/>
    <x v="0"/>
    <x v="1"/>
    <x v="1"/>
  </r>
  <r>
    <x v="5"/>
    <s v="AGNC"/>
    <n v="8898"/>
    <n v="9.07"/>
    <n v="0.3"/>
    <n v="8.86"/>
    <n v="0.4"/>
    <n v="30.233333333333334"/>
    <n v="1.023702031602709"/>
    <n v="5.05"/>
    <n v="0.56000000000000005"/>
    <n v="11.4"/>
    <n v="22.675000000000001"/>
    <s v="NO"/>
    <n v="9.5956162275622532"/>
    <n v="0.99029669688723776"/>
    <n v="-3.427210398555975E-2"/>
    <n v="-1.0152815200714127"/>
    <n v="1.5200177933272809"/>
    <n v="1.3705386319431643"/>
    <x v="0"/>
    <x v="1"/>
    <x v="0"/>
    <x v="0"/>
    <x v="1"/>
    <x v="1"/>
  </r>
  <r>
    <x v="5"/>
    <s v="BXMT"/>
    <n v="3219"/>
    <n v="19.75"/>
    <n v="2.15"/>
    <n v="21.76"/>
    <n v="-0.47"/>
    <n v="9.1860465116279073"/>
    <n v="0.9076286764705882"/>
    <n v="-2.0099999999999998"/>
    <n v="-0.37"/>
    <n v="5.42"/>
    <n v="-42.021276595744681"/>
    <s v="NO"/>
    <n v="-0.2645044585207269"/>
    <n v="-0.87245384787943492"/>
    <n v="-1.8133975020594686"/>
    <n v="-2.6156405262856741"/>
    <n v="-1.0147581141175435"/>
    <n v="-10.70945369129941"/>
    <x v="1"/>
    <x v="1"/>
    <x v="0"/>
    <x v="1"/>
    <x v="1"/>
    <x v="0"/>
  </r>
  <r>
    <x v="5"/>
    <s v="RITM"/>
    <n v="5974"/>
    <n v="11.54"/>
    <n v="0.91"/>
    <n v="12.39"/>
    <n v="1.19"/>
    <n v="12.681318681318681"/>
    <n v="0.93139628732849056"/>
    <n v="9.5500000000000007"/>
    <n v="1.68"/>
    <n v="6.9"/>
    <n v="9.697478991596638"/>
    <s v="NO"/>
    <n v="1.3729420074207486"/>
    <n v="-0.49103013506467325"/>
    <n v="1.0997313367131076"/>
    <n v="0.91203255192855748"/>
    <n v="-0.38742227080343955"/>
    <n v="-1.0526047451602889"/>
    <x v="1"/>
    <x v="1"/>
    <x v="0"/>
    <x v="0"/>
    <x v="1"/>
    <x v="1"/>
  </r>
  <r>
    <x v="5"/>
    <s v="STWD"/>
    <n v="6393"/>
    <n v="20.02"/>
    <n v="1.93"/>
    <n v="19.079999999999998"/>
    <n v="1.1000000000000001"/>
    <n v="10.373056994818652"/>
    <n v="1.049266247379455"/>
    <n v="5.35"/>
    <n v="0.57999999999999996"/>
    <n v="9.7200000000000006"/>
    <n v="18.2"/>
    <s v="NO"/>
    <n v="0.29157988237571458"/>
    <n v="1.4005524081179761"/>
    <n v="4.132812539435135E-2"/>
    <n v="-0.98086519735712774"/>
    <n v="0.80790683605181213"/>
    <n v="0.53497330282395905"/>
    <x v="1"/>
    <x v="1"/>
    <x v="0"/>
    <x v="0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5">
  <r>
    <x v="0"/>
    <s v="NTB"/>
    <n v="1746"/>
    <n v="42.82"/>
    <n v="6.2"/>
    <n v="25.07"/>
    <n v="4.8099999999999996"/>
    <n v="6.9064516129032256"/>
    <n v="1.7080175508575988"/>
    <n v="21.11"/>
    <n v="1.57"/>
    <n v="13.25"/>
    <n v="8.9022869022869031"/>
    <s v="NO"/>
    <n v="-1.0430943516764148"/>
    <n v="2.1740889219141422"/>
    <n v="2.8471462129456775"/>
    <n v="1.3908575438624771"/>
    <n v="2.1303635794117977"/>
    <n v="-1.3049628223368532"/>
    <x v="0"/>
    <x v="0"/>
    <x v="0"/>
    <x v="0"/>
    <x v="0"/>
    <x v="0"/>
  </r>
  <r>
    <x v="0"/>
    <s v="SUPV"/>
    <n v="1278"/>
    <n v="15.95"/>
    <n v="3.42"/>
    <n v="1.82"/>
    <n v="0.28000000000000003"/>
    <n v="4.6637426900584797"/>
    <n v="8.7637362637362628"/>
    <n v="15.95"/>
    <n v="2.78"/>
    <n v="5.51"/>
    <n v="56.964285714285708"/>
    <s v="NO"/>
    <n v="-1.6297276561677596"/>
    <n v="27.344416380814124"/>
    <n v="1.590457209653078"/>
    <n v="4.2038115317629767"/>
    <n v="-2.3459156756940276"/>
    <n v="17.02390616175461"/>
    <x v="0"/>
    <x v="1"/>
    <x v="1"/>
    <x v="1"/>
    <x v="0"/>
    <x v="1"/>
  </r>
  <r>
    <x v="0"/>
    <s v="ACNB"/>
    <n v="446"/>
    <n v="43.99"/>
    <n v="4.57"/>
    <n v="36.69"/>
    <n v="2.79"/>
    <n v="9.6258205689277894"/>
    <n v="1.1989642954483513"/>
    <n v="7.44"/>
    <n v="0.87"/>
    <n v="8.4499999999999993"/>
    <n v="15.767025089605735"/>
    <s v="NO"/>
    <n v="-0.33177939655492816"/>
    <n v="0.35810990488184108"/>
    <n v="-0.4821054682577785"/>
    <n v="-0.23647120946839148"/>
    <n v="-0.64562355553755169"/>
    <n v="1.3129658938122633"/>
    <x v="0"/>
    <x v="0"/>
    <x v="1"/>
    <x v="0"/>
    <x v="0"/>
    <x v="0"/>
  </r>
  <r>
    <x v="0"/>
    <s v="AMAL"/>
    <n v="900"/>
    <n v="31.62"/>
    <n v="4"/>
    <n v="23.98"/>
    <n v="3.36"/>
    <n v="7.9050000000000002"/>
    <n v="1.3185988323603002"/>
    <n v="15.4"/>
    <n v="1.27"/>
    <n v="11.26"/>
    <n v="9.4107142857142865"/>
    <s v="NO"/>
    <n v="-0.7819005186068726"/>
    <n v="0.78489002353527515"/>
    <n v="1.4565078003873944"/>
    <n v="0.69343093529210476"/>
    <n v="0.97948557971404659"/>
    <n v="-1.1110695359752703"/>
    <x v="0"/>
    <x v="0"/>
    <x v="1"/>
    <x v="0"/>
    <x v="0"/>
    <x v="0"/>
  </r>
  <r>
    <x v="0"/>
    <s v="AMTB"/>
    <n v="723"/>
    <n v="18.309999999999999"/>
    <n v="2.4700000000000002"/>
    <n v="21.68"/>
    <n v="-0.38"/>
    <n v="7.4129554655870438"/>
    <n v="0.84455719557195563"/>
    <n v="-1.75"/>
    <n v="-0.14000000000000001"/>
    <n v="11.22"/>
    <n v="-48.184210526315788"/>
    <s v="NO"/>
    <n v="-0.91060634763324599"/>
    <n v="-0.90618975340321195"/>
    <n v="-2.7202783248971176"/>
    <n v="-2.5844741249886445"/>
    <n v="0.95635235358946913"/>
    <n v="-23.075404293620682"/>
    <x v="0"/>
    <x v="0"/>
    <x v="1"/>
    <x v="0"/>
    <x v="0"/>
    <x v="1"/>
  </r>
  <r>
    <x v="0"/>
    <s v="AROW"/>
    <n v="425"/>
    <n v="26.59"/>
    <n v="1.72"/>
    <n v="24.26"/>
    <n v="1.7"/>
    <n v="15.459302325581396"/>
    <n v="1.096042868920033"/>
    <n v="7.25"/>
    <n v="0.65"/>
    <n v="11"/>
    <n v="15.641176470588235"/>
    <s v="NO"/>
    <n v="1.1941050571685299"/>
    <n v="-9.0484405219201404E-3"/>
    <n v="-0.52837890054956038"/>
    <n v="-0.74791738908666427"/>
    <n v="0.82911960990429023"/>
    <n v="1.2649724081725289"/>
    <x v="0"/>
    <x v="0"/>
    <x v="1"/>
    <x v="0"/>
    <x v="0"/>
    <x v="0"/>
  </r>
  <r>
    <x v="0"/>
    <s v="BCAL"/>
    <n v="470"/>
    <n v="15.25"/>
    <n v="2.0499999999999998"/>
    <n v="16.399999999999999"/>
    <n v="0.62"/>
    <n v="7.4390243902439028"/>
    <n v="0.92987804878048785"/>
    <n v="4.21"/>
    <n v="0.55000000000000004"/>
    <n v="7.5"/>
    <n v="24.596774193548388"/>
    <s v="NO"/>
    <n v="-0.90378740681564274"/>
    <n v="-0.60181908590315902"/>
    <n v="-1.2687538172180686"/>
    <n v="-0.98039292527678834"/>
    <n v="-1.1950376759962766"/>
    <n v="4.6802689292440789"/>
    <x v="0"/>
    <x v="0"/>
    <x v="1"/>
    <x v="0"/>
    <x v="0"/>
    <x v="1"/>
  </r>
  <r>
    <x v="0"/>
    <s v="BCML"/>
    <n v="290"/>
    <n v="27.36"/>
    <n v="2.54"/>
    <n v="29.57"/>
    <n v="2.1"/>
    <n v="10.771653543307087"/>
    <n v="0.92526208995603654"/>
    <n v="7.28"/>
    <n v="0.91"/>
    <n v="7.78"/>
    <n v="13.028571428571428"/>
    <s v="NO"/>
    <n v="-3.2059813104639054E-2"/>
    <n v="-0.61828589812686174"/>
    <n v="-0.5210725691350685"/>
    <n v="-0.14348099499234176"/>
    <n v="-1.0331050931242312"/>
    <n v="0.26863233272922604"/>
    <x v="0"/>
    <x v="0"/>
    <x v="1"/>
    <x v="0"/>
    <x v="0"/>
    <x v="0"/>
  </r>
  <r>
    <x v="0"/>
    <s v="BFC"/>
    <n v="1158"/>
    <n v="116.01"/>
    <n v="5.84"/>
    <n v="64.010000000000005"/>
    <n v="6.82"/>
    <n v="19.864726027397261"/>
    <n v="1.8123730667083267"/>
    <n v="10.88"/>
    <n v="1.59"/>
    <n v="6.95"/>
    <n v="17.01026392961877"/>
    <s v="NO"/>
    <n v="2.3464473150316736"/>
    <n v="2.5463631880793809"/>
    <n v="0.35568720060395453"/>
    <n v="1.4373526511005019"/>
    <n v="-1.5131195352092228"/>
    <n v="1.7870860381630616"/>
    <x v="0"/>
    <x v="0"/>
    <x v="1"/>
    <x v="0"/>
    <x v="0"/>
    <x v="0"/>
  </r>
  <r>
    <x v="0"/>
    <s v="BFST"/>
    <n v="698"/>
    <n v="24.92"/>
    <n v="2.74"/>
    <n v="25.51"/>
    <n v="2.4300000000000002"/>
    <n v="9.0948905109489058"/>
    <n v="0.9768718149745198"/>
    <n v="9.77"/>
    <n v="1"/>
    <n v="10.32"/>
    <n v="10.255144032921811"/>
    <s v="NO"/>
    <n v="-0.47065664950261038"/>
    <n v="-0.43417514603467505"/>
    <n v="8.5352938267755543E-2"/>
    <n v="6.5746987578769803E-2"/>
    <n v="0.43585476578646604"/>
    <n v="-0.78903877184957594"/>
    <x v="0"/>
    <x v="0"/>
    <x v="1"/>
    <x v="0"/>
    <x v="0"/>
    <x v="0"/>
  </r>
  <r>
    <x v="0"/>
    <s v="BHB"/>
    <n v="452"/>
    <n v="31.04"/>
    <n v="2.95"/>
    <n v="30.51"/>
    <n v="2.84"/>
    <n v="10.522033898305084"/>
    <n v="1.0173713536545395"/>
    <n v="9.67"/>
    <n v="1.0900000000000001"/>
    <n v="8.69"/>
    <n v="10.929577464788732"/>
    <s v="NO"/>
    <n v="-9.7353706450252916E-2"/>
    <n v="-0.28969848929808856"/>
    <n v="6.0998500219449442E-2"/>
    <n v="0.27497497014988165"/>
    <n v="-0.50682419879008411"/>
    <n v="-0.53183760842035388"/>
    <x v="0"/>
    <x v="0"/>
    <x v="1"/>
    <x v="0"/>
    <x v="0"/>
    <x v="0"/>
  </r>
  <r>
    <x v="0"/>
    <s v="BHLB"/>
    <n v="1173"/>
    <n v="26.78"/>
    <n v="2.84"/>
    <n v="26.26"/>
    <n v="2.46"/>
    <n v="9.4295774647887338"/>
    <n v="1.0198019801980198"/>
    <n v="9.69"/>
    <n v="0.88"/>
    <n v="10.039999999999999"/>
    <n v="10.886178861788618"/>
    <s v="NO"/>
    <n v="-0.38311139933605892"/>
    <n v="-0.28102755604248342"/>
    <n v="6.5869387829110573E-2"/>
    <n v="-0.21322365584937905"/>
    <n v="0.27392218291442"/>
    <n v="-0.54838805010283953"/>
    <x v="0"/>
    <x v="0"/>
    <x v="1"/>
    <x v="0"/>
    <x v="0"/>
    <x v="0"/>
  </r>
  <r>
    <x v="0"/>
    <s v="BHRB"/>
    <n v="842"/>
    <n v="59.03"/>
    <n v="6.55"/>
    <n v="49.9"/>
    <n v="3.98"/>
    <n v="9.0122137404580158"/>
    <n v="1.1829659318637276"/>
    <n v="10.71"/>
    <n v="1"/>
    <n v="10.48"/>
    <n v="14.831658291457288"/>
    <s v="NO"/>
    <n v="-0.49228270475378522"/>
    <n v="0.30103789469859665"/>
    <n v="0.31428465592183402"/>
    <n v="6.5746987578769803E-2"/>
    <n v="0.52838767028477773"/>
    <n v="0.95625547978237657"/>
    <x v="0"/>
    <x v="0"/>
    <x v="1"/>
    <x v="0"/>
    <x v="0"/>
    <x v="0"/>
  </r>
  <r>
    <x v="0"/>
    <s v="BMRC"/>
    <n v="341"/>
    <n v="21.58"/>
    <n v="1.74"/>
    <n v="27.38"/>
    <n v="-0.4"/>
    <n v="12.402298850574711"/>
    <n v="0.78816654492330163"/>
    <n v="-1.47"/>
    <n v="-0.17"/>
    <n v="8.61"/>
    <n v="-53.949999999999996"/>
    <s v="NO"/>
    <n v="0.39447384684189146"/>
    <n v="-1.1073558146091813"/>
    <n v="-2.6520858983618605"/>
    <n v="-2.6542167858456818"/>
    <n v="-0.55309065103924004"/>
    <n v="-25.274239183247204"/>
    <x v="0"/>
    <x v="0"/>
    <x v="1"/>
    <x v="0"/>
    <x v="0"/>
    <x v="1"/>
  </r>
  <r>
    <x v="0"/>
    <s v="BRBS"/>
    <n v="306"/>
    <n v="3.51"/>
    <n v="-0.14000000000000001"/>
    <n v="3.85"/>
    <n v="-0.2"/>
    <n v="-25.071428571428566"/>
    <n v="0.91168831168831166"/>
    <n v="-4.9800000000000004"/>
    <n v="-0.45"/>
    <n v="7.94"/>
    <n v="-17.549999999999997"/>
    <s v="NO"/>
    <n v="-9.4076615641561272"/>
    <n v="-0.66670852631773858"/>
    <n v="-3.5069266738574076"/>
    <n v="-3.3051482871780289"/>
    <n v="-0.9405721886259194"/>
    <n v="-11.392776749055471"/>
    <x v="1"/>
    <x v="0"/>
    <x v="0"/>
    <x v="1"/>
    <x v="0"/>
    <x v="1"/>
  </r>
  <r>
    <x v="0"/>
    <s v="BRKL"/>
    <n v="945"/>
    <n v="11.09"/>
    <n v="1.1200000000000001"/>
    <n v="13.92"/>
    <n v="0.82"/>
    <n v="9.9017857142857135"/>
    <n v="0.79669540229885061"/>
    <n v="6.01"/>
    <n v="0.63"/>
    <n v="9.2899999999999991"/>
    <n v="13.52439024390244"/>
    <s v="NO"/>
    <n v="-0.25959421750797235"/>
    <n v="-1.076930263119865"/>
    <n v="-0.83037393234855716"/>
    <n v="-0.79441249632468913"/>
    <n v="-0.15982580692141576"/>
    <n v="0.45771722995952513"/>
    <x v="0"/>
    <x v="0"/>
    <x v="1"/>
    <x v="0"/>
    <x v="0"/>
    <x v="0"/>
  </r>
  <r>
    <x v="0"/>
    <s v="BSRR"/>
    <n v="364"/>
    <n v="28.42"/>
    <n v="6.35"/>
    <n v="25.85"/>
    <n v="2.83"/>
    <n v="4.4755905511811029"/>
    <n v="1.0994197292069632"/>
    <n v="11.58"/>
    <n v="1.1299999999999999"/>
    <n v="10.25"/>
    <n v="10.042402826855124"/>
    <s v="NO"/>
    <n v="-1.6789432765509631"/>
    <n v="2.9980543376105975E-3"/>
    <n v="0.52616826694209773"/>
    <n v="0.36796518462593081"/>
    <n v="0.3953716200684545"/>
    <n v="-0.87016951526219555"/>
    <x v="0"/>
    <x v="0"/>
    <x v="1"/>
    <x v="0"/>
    <x v="0"/>
    <x v="0"/>
  </r>
  <r>
    <x v="0"/>
    <s v="BSVN"/>
    <n v="349"/>
    <n v="39.15"/>
    <n v="5.47"/>
    <n v="23.46"/>
    <n v="4.71"/>
    <n v="7.1572212065813527"/>
    <n v="1.6687979539641942"/>
    <n v="22.26"/>
    <n v="2.5099999999999998"/>
    <n v="8.06"/>
    <n v="8.3121019108280247"/>
    <s v="NO"/>
    <n v="-0.97749966218868978"/>
    <n v="2.0341782853391339"/>
    <n v="3.1272222505011991"/>
    <n v="3.576127584049642"/>
    <n v="-0.87117251025218567"/>
    <n v="-1.5300350967368583"/>
    <x v="0"/>
    <x v="0"/>
    <x v="0"/>
    <x v="1"/>
    <x v="0"/>
    <x v="0"/>
  </r>
  <r>
    <x v="0"/>
    <s v="BUSE"/>
    <n v="1947"/>
    <n v="22.52"/>
    <n v="3.04"/>
    <n v="24.22"/>
    <n v="0.95"/>
    <n v="7.4078947368421053"/>
    <n v="0.92981007431874485"/>
    <n v="3.32"/>
    <n v="0.37"/>
    <n v="8.93"/>
    <n v="23.705263157894738"/>
    <s v="NO"/>
    <n v="-0.9119301003487843"/>
    <n v="-0.60206157565233098"/>
    <n v="-1.4855083158479936"/>
    <n v="-1.3988488904190117"/>
    <n v="-0.3680248420426166"/>
    <n v="4.3402832987195321"/>
    <x v="0"/>
    <x v="0"/>
    <x v="1"/>
    <x v="0"/>
    <x v="0"/>
    <x v="1"/>
  </r>
  <r>
    <x v="0"/>
    <s v="BWB"/>
    <n v="428"/>
    <n v="15.85"/>
    <n v="1.38"/>
    <n v="14.6"/>
    <n v="1.1000000000000001"/>
    <n v="11.485507246376812"/>
    <n v="1.0856164383561644"/>
    <n v="7.67"/>
    <n v="0.7"/>
    <n v="12.76"/>
    <n v="14.409090909090908"/>
    <s v="NO"/>
    <n v="0.15466542461546168"/>
    <n v="-4.6243329122146723E-2"/>
    <n v="-0.42609026074667439"/>
    <n v="-0.63167962099160246"/>
    <n v="1.8469815593857182"/>
    <n v="0.79510566538035377"/>
    <x v="0"/>
    <x v="0"/>
    <x v="1"/>
    <x v="0"/>
    <x v="0"/>
    <x v="0"/>
  </r>
  <r>
    <x v="0"/>
    <s v="BWFG"/>
    <n v="268"/>
    <n v="34.869999999999997"/>
    <n v="3.8"/>
    <n v="35.909999999999997"/>
    <n v="1.62"/>
    <n v="9.1763157894736835"/>
    <n v="0.97103870788081315"/>
    <n v="4.75"/>
    <n v="0.41"/>
    <n v="11.57"/>
    <n v="21.52469135802469"/>
    <s v="NO"/>
    <n v="-0.44935795143102597"/>
    <n v="-0.45498397099299415"/>
    <n v="-1.1372398517572151"/>
    <n v="-1.305858675942962"/>
    <n v="1.1587680821795256"/>
    <n v="3.5087029271548631"/>
    <x v="0"/>
    <x v="0"/>
    <x v="1"/>
    <x v="0"/>
    <x v="0"/>
    <x v="1"/>
  </r>
  <r>
    <x v="0"/>
    <s v="BY"/>
    <n v="1198"/>
    <n v="27.18"/>
    <n v="3.08"/>
    <n v="25.32"/>
    <n v="2.69"/>
    <n v="8.824675324675324"/>
    <n v="1.0734597156398105"/>
    <n v="11.08"/>
    <n v="1.25"/>
    <n v="8.4700000000000006"/>
    <n v="10.104089219330856"/>
    <s v="NO"/>
    <n v="-0.54133779141662464"/>
    <n v="-8.9610802238551057E-2"/>
    <n v="0.40439607670056676"/>
    <n v="0.6469358280540799"/>
    <n v="-0.63405694247526201"/>
    <n v="-0.84664486306844067"/>
    <x v="0"/>
    <x v="0"/>
    <x v="1"/>
    <x v="0"/>
    <x v="0"/>
    <x v="0"/>
  </r>
  <r>
    <x v="0"/>
    <s v="CAC"/>
    <n v="663"/>
    <n v="41.31"/>
    <n v="3.8"/>
    <n v="36.44"/>
    <n v="3.62"/>
    <n v="10.871052631578948"/>
    <n v="1.1336443468715698"/>
    <n v="10.33"/>
    <n v="0.92"/>
    <n v="10.93"/>
    <n v="11.411602209944752"/>
    <s v="NO"/>
    <n v="-6.0596420515071203E-3"/>
    <n v="0.12508977437761484"/>
    <n v="0.22173779133827035"/>
    <n v="-0.12023344137332935"/>
    <n v="0.78863646418627875"/>
    <n v="-0.34801320204029534"/>
    <x v="0"/>
    <x v="0"/>
    <x v="1"/>
    <x v="0"/>
    <x v="0"/>
    <x v="0"/>
  </r>
  <r>
    <x v="0"/>
    <s v="CARE"/>
    <n v="359"/>
    <n v="15.73"/>
    <n v="1.26"/>
    <n v="17.350000000000001"/>
    <n v="1.2"/>
    <n v="12.484126984126984"/>
    <n v="0.90662824207492787"/>
    <n v="7.27"/>
    <n v="0.6"/>
    <n v="11.7"/>
    <n v="13.108333333333334"/>
    <s v="NO"/>
    <n v="0.41587792112775102"/>
    <n v="-0.68475964404458689"/>
    <n v="-0.52350801293989924"/>
    <n v="-0.86415515718172642"/>
    <n v="1.2339510670844032"/>
    <n v="0.2990502416476869"/>
    <x v="0"/>
    <x v="0"/>
    <x v="1"/>
    <x v="0"/>
    <x v="0"/>
    <x v="0"/>
  </r>
  <r>
    <x v="0"/>
    <s v="CASH"/>
    <n v="1932"/>
    <n v="82"/>
    <n v="5.29"/>
    <n v="35.35"/>
    <n v="7.36"/>
    <n v="15.500945179584122"/>
    <n v="2.3196605374823194"/>
    <n v="23.2"/>
    <n v="2.52"/>
    <n v="8.42"/>
    <n v="11.141304347826086"/>
    <s v="NO"/>
    <n v="1.2049977257637405"/>
    <n v="4.3560430059372406"/>
    <n v="3.3561539681552768"/>
    <n v="3.5993751376686549"/>
    <n v="-0.66297347513098481"/>
    <n v="-0.45109368607992706"/>
    <x v="0"/>
    <x v="1"/>
    <x v="0"/>
    <x v="1"/>
    <x v="0"/>
    <x v="0"/>
  </r>
  <r>
    <x v="0"/>
    <s v="CBAN"/>
    <n v="270"/>
    <n v="16.21"/>
    <n v="1.27"/>
    <n v="16.41"/>
    <n v="1.43"/>
    <n v="12.763779527559056"/>
    <n v="0.98781230956733701"/>
    <n v="9.1999999999999993"/>
    <n v="0.81"/>
    <n v="11.06"/>
    <n v="11.335664335664337"/>
    <s v="NO"/>
    <n v="0.48902762592977811"/>
    <n v="-0.39514640315680272"/>
    <n v="-5.3467358607589811E-2"/>
    <n v="-0.37595653118246575"/>
    <n v="0.86381944909115749"/>
    <n v="-0.37697278306106335"/>
    <x v="0"/>
    <x v="0"/>
    <x v="1"/>
    <x v="0"/>
    <x v="0"/>
    <x v="0"/>
  </r>
  <r>
    <x v="0"/>
    <s v="CBNK"/>
    <n v="528"/>
    <n v="33.325000000000003"/>
    <n v="2.25"/>
    <n v="22.19"/>
    <n v="2.4900000000000002"/>
    <n v="14.811111111111112"/>
    <n v="1.5018026137899956"/>
    <n v="12.19"/>
    <n v="1.35"/>
    <n v="9.06"/>
    <n v="13.383534136546185"/>
    <s v="NO"/>
    <n v="1.0245553888127117"/>
    <n v="1.4384448714457028"/>
    <n v="0.67473033903676538"/>
    <n v="0.87941136424420419"/>
    <n v="-0.29284185713773797"/>
    <n v="0.40400050570424129"/>
    <x v="0"/>
    <x v="0"/>
    <x v="1"/>
    <x v="0"/>
    <x v="0"/>
    <x v="0"/>
  </r>
  <r>
    <x v="0"/>
    <s v="CCB"/>
    <n v="1186"/>
    <n v="86.6"/>
    <n v="18.5"/>
    <n v="29.98"/>
    <n v="3.36"/>
    <n v="4.6810810810810803"/>
    <n v="2.8885923949299532"/>
    <n v="12.78"/>
    <n v="1.17"/>
    <n v="9.64"/>
    <n v="25.773809523809522"/>
    <s v="NO"/>
    <n v="-1.6251923919091908"/>
    <n v="6.3856308816016671"/>
    <n v="0.81842152352177189"/>
    <n v="0.46095539910198052"/>
    <n v="4.2589921668641756E-2"/>
    <n v="5.1291417787148585"/>
    <x v="0"/>
    <x v="1"/>
    <x v="1"/>
    <x v="0"/>
    <x v="0"/>
    <x v="1"/>
  </r>
  <r>
    <x v="0"/>
    <s v="CCBG"/>
    <n v="626"/>
    <n v="38.380000000000003"/>
    <n v="3.65"/>
    <n v="30.05"/>
    <n v="3.37"/>
    <n v="10.515068493150686"/>
    <n v="1.2772046589018304"/>
    <n v="11.8"/>
    <n v="1.3"/>
    <n v="8.6999999999999993"/>
    <n v="11.388724035608309"/>
    <s v="NO"/>
    <n v="-9.9175672110273838E-2"/>
    <n v="0.6372218775619356"/>
    <n v="0.57974803064837155"/>
    <n v="0.76317359614914204"/>
    <n v="-0.50104089225893977"/>
    <n v="-0.3567379964802464"/>
    <x v="0"/>
    <x v="0"/>
    <x v="1"/>
    <x v="0"/>
    <x v="0"/>
    <x v="0"/>
  </r>
  <r>
    <x v="0"/>
    <s v="CCNE"/>
    <n v="468"/>
    <n v="23.26"/>
    <n v="2.44"/>
    <n v="27.24"/>
    <n v="2.34"/>
    <n v="9.532786885245903"/>
    <n v="0.85389133627019098"/>
    <n v="8.89"/>
    <n v="0.88"/>
    <n v="11.11"/>
    <n v="9.9401709401709422"/>
    <s v="NO"/>
    <n v="-0.35611454621763167"/>
    <n v="-0.87289146197711076"/>
    <n v="-0.12896611655733869"/>
    <n v="-0.21322365584937905"/>
    <n v="0.89273598174687918"/>
    <n v="-0.909156550827663"/>
    <x v="0"/>
    <x v="0"/>
    <x v="1"/>
    <x v="0"/>
    <x v="0"/>
    <x v="0"/>
  </r>
  <r>
    <x v="0"/>
    <s v="CFFN"/>
    <n v="737"/>
    <n v="5.82"/>
    <n v="0.27"/>
    <n v="7.98"/>
    <n v="0.41"/>
    <n v="21.555555555555554"/>
    <n v="0.72932330827067671"/>
    <n v="5.0999999999999996"/>
    <n v="0.54"/>
    <n v="9.3699999999999992"/>
    <n v="14.195121951219514"/>
    <s v="NO"/>
    <n v="2.7887235744835142"/>
    <n v="-1.3172711464923366"/>
    <n v="-1.0519993185881436"/>
    <n v="-1.0036404788958007"/>
    <n v="-0.1135593546722599"/>
    <n v="0.71350670794148263"/>
    <x v="0"/>
    <x v="0"/>
    <x v="1"/>
    <x v="0"/>
    <x v="0"/>
    <x v="0"/>
  </r>
  <r>
    <x v="0"/>
    <s v="CHCO"/>
    <n v="1710"/>
    <n v="121.605"/>
    <n v="8.8000000000000007"/>
    <n v="51.63"/>
    <n v="7.98"/>
    <n v="13.81875"/>
    <n v="2.3553166763509585"/>
    <n v="16.39"/>
    <n v="1.82"/>
    <n v="8.76"/>
    <n v="15.238721804511277"/>
    <s v="NO"/>
    <n v="0.76497998340460005"/>
    <n v="4.4832414853218436"/>
    <n v="1.6976167370656257"/>
    <n v="1.9720463843377871"/>
    <n v="-0.46634105307207269"/>
    <n v="1.1114927562875709"/>
    <x v="0"/>
    <x v="1"/>
    <x v="1"/>
    <x v="0"/>
    <x v="0"/>
    <x v="0"/>
  </r>
  <r>
    <x v="0"/>
    <s v="CIVB"/>
    <n v="354"/>
    <n v="23.37"/>
    <n v="2.86"/>
    <n v="25.61"/>
    <n v="2.2599999999999998"/>
    <n v="8.1713286713286717"/>
    <n v="0.91253416634127305"/>
    <n v="9.25"/>
    <n v="0.88"/>
    <n v="10.43"/>
    <n v="10.340707964601771"/>
    <s v="NO"/>
    <n v="-0.71223598615201"/>
    <n v="-0.66369105361735847"/>
    <n v="-4.1290139583436546E-2"/>
    <n v="-0.21322365584937905"/>
    <n v="0.49947113762905493"/>
    <n v="-0.75640820857108371"/>
    <x v="0"/>
    <x v="0"/>
    <x v="1"/>
    <x v="0"/>
    <x v="0"/>
    <x v="0"/>
  </r>
  <r>
    <x v="0"/>
    <s v="CLBK"/>
    <n v="1604"/>
    <n v="15.154999999999999"/>
    <n v="0.25"/>
    <n v="10.49"/>
    <n v="-0.02"/>
    <n v="60.62"/>
    <n v="1.4447092469018112"/>
    <n v="-0.15"/>
    <n v="-0.02"/>
    <n v="9.64"/>
    <n v="-757.75"/>
    <s v="NO"/>
    <n v="13.006948462756018"/>
    <n v="1.2347719645760336"/>
    <n v="-2.3306073161242185"/>
    <n v="-2.3055034815604953"/>
    <n v="4.2589921668641756E-2"/>
    <n v="-293.67460350149292"/>
    <x v="1"/>
    <x v="0"/>
    <x v="1"/>
    <x v="0"/>
    <x v="0"/>
    <x v="1"/>
  </r>
  <r>
    <x v="0"/>
    <s v="CNOB"/>
    <n v="902"/>
    <n v="24.78"/>
    <n v="1.18"/>
    <n v="29.77"/>
    <n v="1.84"/>
    <n v="21.000000000000004"/>
    <n v="0.83238159220691976"/>
    <n v="6.22"/>
    <n v="0.78"/>
    <n v="8.5500000000000007"/>
    <n v="13.467391304347826"/>
    <s v="NO"/>
    <n v="2.6434049430444051"/>
    <n v="-0.94962458069419431"/>
    <n v="-0.77922961244711419"/>
    <n v="-0.44569919203950303"/>
    <n v="-0.58779049022610619"/>
    <n v="0.4359801794590818"/>
    <x v="0"/>
    <x v="0"/>
    <x v="1"/>
    <x v="0"/>
    <x v="0"/>
    <x v="0"/>
  </r>
  <r>
    <x v="0"/>
    <s v="COFS"/>
    <n v="425"/>
    <n v="30.25"/>
    <n v="5.75"/>
    <n v="28.5"/>
    <n v="0.8"/>
    <n v="5.2608695652173916"/>
    <n v="1.0614035087719298"/>
    <n v="2.27"/>
    <n v="0.21"/>
    <n v="10.09"/>
    <n v="37.8125"/>
    <s v="NO"/>
    <n v="-1.4735350676392693"/>
    <n v="-0.132619698585694"/>
    <n v="-1.7412299153552089"/>
    <n v="-1.7708097483232104"/>
    <n v="0.3028387155701428"/>
    <n v="9.7202030315198016"/>
    <x v="0"/>
    <x v="0"/>
    <x v="1"/>
    <x v="0"/>
    <x v="0"/>
    <x v="1"/>
  </r>
  <r>
    <x v="0"/>
    <s v="CPF"/>
    <n v="712"/>
    <n v="27.67"/>
    <n v="3"/>
    <n v="20.6"/>
    <n v="2.14"/>
    <n v="9.2233333333333345"/>
    <n v="1.3432038834951456"/>
    <n v="10.94"/>
    <n v="0.79"/>
    <n v="13.29"/>
    <n v="12.929906542056075"/>
    <s v="NO"/>
    <n v="-0.4370594062018629"/>
    <n v="0.8726652338872144"/>
    <n v="0.37029986343293797"/>
    <n v="-0.4224516384204906"/>
    <n v="2.153496805536375"/>
    <n v="0.23100560427492212"/>
    <x v="0"/>
    <x v="0"/>
    <x v="1"/>
    <x v="0"/>
    <x v="0"/>
    <x v="0"/>
  </r>
  <r>
    <x v="0"/>
    <s v="CTBI"/>
    <n v="907"/>
    <n v="52.71"/>
    <n v="5.41"/>
    <n v="43.32"/>
    <n v="4.79"/>
    <n v="9.7430683918669132"/>
    <n v="1.2167590027700832"/>
    <n v="11.54"/>
    <n v="1.42"/>
    <n v="8"/>
    <n v="11.004175365344468"/>
    <s v="NO"/>
    <n v="-0.30111046885121662"/>
    <n v="0.42159012972495136"/>
    <n v="0.51642649172277499"/>
    <n v="1.0421442395772906"/>
    <n v="-0.90587234943905282"/>
    <n v="-0.50338903824908976"/>
    <x v="0"/>
    <x v="0"/>
    <x v="1"/>
    <x v="0"/>
    <x v="0"/>
    <x v="0"/>
  </r>
  <r>
    <x v="0"/>
    <s v="CUBI"/>
    <n v="1586"/>
    <n v="54.5"/>
    <n v="2.0499999999999998"/>
    <n v="54.85"/>
    <n v="3.98"/>
    <n v="26.585365853658541"/>
    <n v="0.99361896080218781"/>
    <n v="8.14"/>
    <n v="0.66"/>
    <n v="12.99"/>
    <n v="13.693467336683417"/>
    <s v="NO"/>
    <n v="4.104388842537122"/>
    <n v="-0.37443195591643208"/>
    <n v="-0.31162440191963514"/>
    <n v="-0.72466983546765185"/>
    <n v="1.9799976096020413"/>
    <n v="0.52219627699033522"/>
    <x v="1"/>
    <x v="0"/>
    <x v="1"/>
    <x v="0"/>
    <x v="0"/>
    <x v="0"/>
  </r>
  <r>
    <x v="0"/>
    <s v="CWBC"/>
    <n v="335"/>
    <n v="18.5"/>
    <n v="1.01"/>
    <n v="19.510000000000002"/>
    <n v="0.65"/>
    <n v="18.316831683168317"/>
    <n v="0.94823167606355707"/>
    <n v="4.21"/>
    <n v="0.41"/>
    <n v="9.5500000000000007"/>
    <n v="28.46153846153846"/>
    <s v="NO"/>
    <n v="1.9415591171434321"/>
    <n v="-0.53634498927707985"/>
    <n v="-1.2687538172180686"/>
    <n v="-1.305858675942962"/>
    <n v="-9.459837111658452E-3"/>
    <n v="6.1541310172416255"/>
    <x v="0"/>
    <x v="0"/>
    <x v="1"/>
    <x v="0"/>
    <x v="0"/>
    <x v="1"/>
  </r>
  <r>
    <x v="0"/>
    <s v="CZFS"/>
    <n v="275"/>
    <n v="59.49"/>
    <n v="6.71"/>
    <n v="64.77"/>
    <n v="5.97"/>
    <n v="8.8658718330849489"/>
    <n v="0.91848077813802698"/>
    <n v="9.6199999999999992"/>
    <n v="0.96"/>
    <n v="9.7799999999999994"/>
    <n v="9.9648241206030157"/>
    <s v="NO"/>
    <n v="-0.5305618750167429"/>
    <n v="-0.64247731589818757"/>
    <n v="4.8821281195296169E-2"/>
    <n v="-2.7243226897279905E-2"/>
    <n v="0.12355621310466373"/>
    <n v="-0.89975484208999323"/>
    <x v="0"/>
    <x v="0"/>
    <x v="1"/>
    <x v="0"/>
    <x v="0"/>
    <x v="0"/>
  </r>
  <r>
    <x v="0"/>
    <s v="CZNC"/>
    <n v="296"/>
    <n v="19.47"/>
    <n v="2.04"/>
    <n v="18.2"/>
    <n v="1.75"/>
    <n v="9.5441176470588225"/>
    <n v="1.0697802197802198"/>
    <n v="9.92"/>
    <n v="1.05"/>
    <n v="9.26"/>
    <n v="11.125714285714285"/>
    <s v="NO"/>
    <n v="-0.35315071877796289"/>
    <n v="-0.10273690879669914"/>
    <n v="0.12188459534021491"/>
    <n v="0.18198475567383193"/>
    <n v="-0.17717572651484881"/>
    <n v="-0.45703909436431411"/>
    <x v="0"/>
    <x v="0"/>
    <x v="1"/>
    <x v="0"/>
    <x v="0"/>
    <x v="0"/>
  </r>
  <r>
    <x v="0"/>
    <s v="DCOM"/>
    <n v="1144"/>
    <n v="27.51"/>
    <n v="2.2000000000000002"/>
    <n v="29.58"/>
    <n v="0.62"/>
    <n v="12.504545454545454"/>
    <n v="0.93002028397565939"/>
    <n v="2.48"/>
    <n v="0.24"/>
    <n v="10.88"/>
    <n v="44.370967741935488"/>
    <s v="NO"/>
    <n v="0.42121885264687664"/>
    <n v="-0.60131168097612964"/>
    <n v="-1.6900855954537655"/>
    <n v="-1.7010670874661731"/>
    <n v="0.75971993153055706"/>
    <n v="12.221332800353203"/>
    <x v="0"/>
    <x v="0"/>
    <x v="1"/>
    <x v="0"/>
    <x v="0"/>
    <x v="1"/>
  </r>
  <r>
    <x v="0"/>
    <s v="EBTC"/>
    <n v="478"/>
    <n v="40.67"/>
    <n v="3.56"/>
    <n v="31.24"/>
    <n v="3.27"/>
    <n v="11.424157303370787"/>
    <n v="1.3018565941101155"/>
    <n v="11.31"/>
    <n v="0.85"/>
    <n v="12.72"/>
    <n v="12.43730886850153"/>
    <s v="NO"/>
    <n v="0.13861790305375626"/>
    <n v="0.72516434053959633"/>
    <n v="0.4604112842116711"/>
    <n v="-0.28296631670641631"/>
    <n v="1.8238483332611406"/>
    <n v="4.3149117994216994E-2"/>
    <x v="0"/>
    <x v="0"/>
    <x v="1"/>
    <x v="0"/>
    <x v="0"/>
    <x v="0"/>
  </r>
  <r>
    <x v="0"/>
    <s v="EFSC"/>
    <n v="1948"/>
    <n v="54.89"/>
    <n v="6.58"/>
    <n v="48.64"/>
    <n v="5.09"/>
    <n v="8.3419452887537986"/>
    <n v="1.1284950657894737"/>
    <n v="10.82"/>
    <n v="1.29"/>
    <n v="8.73"/>
    <n v="10.783889980353635"/>
    <s v="NO"/>
    <n v="-0.66760719413102843"/>
    <n v="0.10672040673577489"/>
    <n v="0.34107453777497071"/>
    <n v="0.73992604253012961"/>
    <n v="-0.4836909726655057"/>
    <n v="-0.58739682112138947"/>
    <x v="0"/>
    <x v="0"/>
    <x v="1"/>
    <x v="0"/>
    <x v="0"/>
    <x v="0"/>
  </r>
  <r>
    <x v="0"/>
    <s v="EGBN"/>
    <n v="547"/>
    <n v="19.350000000000001"/>
    <n v="4.25"/>
    <n v="40.99"/>
    <n v="-1.49"/>
    <n v="4.5529411764705889"/>
    <n v="0.47206635764820687"/>
    <n v="-3.6"/>
    <n v="-0.39"/>
    <n v="9.09"/>
    <n v="-12.986577181208055"/>
    <s v="NO"/>
    <n v="-1.6587103999365134"/>
    <n v="-2.2350007147681379"/>
    <n v="-3.1708354287907818"/>
    <n v="-3.1656629654639543"/>
    <n v="-0.2754919375443049"/>
    <n v="-9.6524750339347651"/>
    <x v="0"/>
    <x v="0"/>
    <x v="0"/>
    <x v="1"/>
    <x v="0"/>
    <x v="1"/>
  </r>
  <r>
    <x v="0"/>
    <s v="EQBK"/>
    <n v="687"/>
    <n v="41.13"/>
    <n v="4.22"/>
    <n v="35.299999999999997"/>
    <n v="3.93"/>
    <n v="9.746445497630333"/>
    <n v="1.1651558073654393"/>
    <n v="11.84"/>
    <n v="1.19"/>
    <n v="8.82"/>
    <n v="10.465648854961833"/>
    <s v="NO"/>
    <n v="-0.30022710735323904"/>
    <n v="0.23750267115185256"/>
    <n v="0.58948980586769373"/>
    <n v="0.50745050634000533"/>
    <n v="-0.43164121388520549"/>
    <n v="-0.70876089329559833"/>
    <x v="0"/>
    <x v="0"/>
    <x v="1"/>
    <x v="0"/>
    <x v="0"/>
    <x v="0"/>
  </r>
  <r>
    <x v="0"/>
    <s v="ESQ"/>
    <n v="736"/>
    <n v="90.17"/>
    <n v="5"/>
    <n v="31.59"/>
    <n v="5.27"/>
    <n v="18.033999999999999"/>
    <n v="2.8543842988287436"/>
    <n v="19.66"/>
    <n v="2.4900000000000002"/>
    <n v="7.8"/>
    <n v="17.110056925996208"/>
    <s v="NO"/>
    <n v="1.8675778335172799"/>
    <n v="6.263598100016802"/>
    <n v="2.494006861245238"/>
    <n v="3.5296324768116185"/>
    <n v="-1.0215384800619425"/>
    <n v="1.8251429813061615"/>
    <x v="0"/>
    <x v="1"/>
    <x v="1"/>
    <x v="1"/>
    <x v="0"/>
    <x v="0"/>
  </r>
  <r>
    <x v="0"/>
    <s v="FBIZ"/>
    <n v="400"/>
    <n v="49.29"/>
    <n v="7.28"/>
    <n v="39.04"/>
    <n v="5.48"/>
    <n v="6.7706043956043951"/>
    <n v="1.2625512295081966"/>
    <n v="14.69"/>
    <n v="1.25"/>
    <n v="12.17"/>
    <n v="8.9945255474452548"/>
    <s v="NO"/>
    <n v="-1.0786283887412345"/>
    <n v="0.58494773920089083"/>
    <n v="1.2835912902444202"/>
    <n v="0.6469358280540799"/>
    <n v="1.505766474048194"/>
    <n v="-1.2697867979482158"/>
    <x v="0"/>
    <x v="0"/>
    <x v="1"/>
    <x v="0"/>
    <x v="0"/>
    <x v="0"/>
  </r>
  <r>
    <x v="0"/>
    <s v="FBNC"/>
    <n v="1711"/>
    <n v="42.53"/>
    <n v="4.2"/>
    <n v="36.46"/>
    <n v="2.12"/>
    <n v="10.126190476190477"/>
    <n v="1.1664838178826111"/>
    <n v="6.06"/>
    <n v="0.71"/>
    <n v="8.25"/>
    <n v="20.061320754716981"/>
    <s v="NO"/>
    <n v="-0.200895870308817"/>
    <n v="0.24224017004407236"/>
    <n v="-0.81819671332440413"/>
    <n v="-0.60843206737259004"/>
    <n v="-0.7612896861604409"/>
    <n v="2.9506335849263889"/>
    <x v="0"/>
    <x v="0"/>
    <x v="1"/>
    <x v="0"/>
    <x v="0"/>
    <x v="0"/>
  </r>
  <r>
    <x v="0"/>
    <s v="FCBC"/>
    <n v="708"/>
    <n v="39.49"/>
    <n v="2.83"/>
    <n v="27.09"/>
    <n v="2.74"/>
    <n v="13.954063604240282"/>
    <n v="1.457733480989295"/>
    <n v="10.08"/>
    <n v="1.57"/>
    <n v="6.5"/>
    <n v="14.412408759124087"/>
    <s v="NO"/>
    <n v="0.80037444141452441"/>
    <n v="1.2812341678218861"/>
    <n v="0.16085169621750486"/>
    <n v="1.3908575438624771"/>
    <n v="-1.7733683291107243"/>
    <n v="0.79637095688029491"/>
    <x v="0"/>
    <x v="0"/>
    <x v="1"/>
    <x v="0"/>
    <x v="0"/>
    <x v="0"/>
  </r>
  <r>
    <x v="0"/>
    <s v="FCF"/>
    <n v="1599"/>
    <n v="16.059999999999999"/>
    <n v="1.1200000000000001"/>
    <n v="14.24"/>
    <n v="1.34"/>
    <n v="14.339285714285712"/>
    <n v="1.1278089887640448"/>
    <n v="9.91"/>
    <n v="1.17"/>
    <n v="8.15"/>
    <n v="11.98507462686567"/>
    <s v="NO"/>
    <n v="0.90113835111192331"/>
    <n v="0.10427291923027771"/>
    <n v="0.11944915153538435"/>
    <n v="0.46095539910198052"/>
    <n v="-0.8191227514718854"/>
    <n v="-0.12931441598170018"/>
    <x v="0"/>
    <x v="0"/>
    <x v="1"/>
    <x v="0"/>
    <x v="0"/>
    <x v="0"/>
  </r>
  <r>
    <x v="0"/>
    <s v="FFIC"/>
    <n v="424"/>
    <n v="13.17"/>
    <n v="0.34"/>
    <n v="20.81"/>
    <n v="-1.45"/>
    <n v="38.735294117647058"/>
    <n v="0.63286881307063914"/>
    <n v="-6.53"/>
    <n v="-0.5"/>
    <n v="12.82"/>
    <n v="-9.0827586206896562"/>
    <s v="NO"/>
    <n v="7.2824885478682475"/>
    <n v="-1.6613595842352475"/>
    <n v="-3.8844204636061535"/>
    <n v="-3.421386055273091"/>
    <n v="1.8816813985725853"/>
    <n v="-8.1637192455354075"/>
    <x v="1"/>
    <x v="0"/>
    <x v="0"/>
    <x v="1"/>
    <x v="0"/>
    <x v="1"/>
  </r>
  <r>
    <x v="0"/>
    <s v="FFWM"/>
    <n v="433"/>
    <n v="5.41"/>
    <n v="-0.18"/>
    <n v="11.81"/>
    <n v="-1.2"/>
    <n v="-30.055555555555557"/>
    <n v="0.45808636748518206"/>
    <n v="-8.68"/>
    <n v="-0.66"/>
    <n v="12.94"/>
    <n v="-4.5083333333333337"/>
    <s v="NO"/>
    <n v="-10.711377286209864"/>
    <n v="-2.2848724492568238"/>
    <n v="-4.4080408816447365"/>
    <n v="-3.7933469131772894"/>
    <n v="1.9510810769463185"/>
    <n v="-6.4192216415669048"/>
    <x v="1"/>
    <x v="0"/>
    <x v="0"/>
    <x v="1"/>
    <x v="0"/>
    <x v="1"/>
  </r>
  <r>
    <x v="0"/>
    <s v="FISI"/>
    <n v="518"/>
    <n v="27.23"/>
    <n v="4.51"/>
    <n v="28.48"/>
    <n v="-1.69"/>
    <n v="6.0376940133037698"/>
    <n v="0.95610955056179781"/>
    <n v="-5.18"/>
    <n v="-0.42"/>
    <n v="11.07"/>
    <n v="-16.11242603550296"/>
    <s v="NO"/>
    <n v="-1.2703383494434304"/>
    <n v="-0.50824173164027742"/>
    <n v="-3.5556355499540198"/>
    <n v="-3.2354056263209916"/>
    <n v="0.86960275562230183"/>
    <n v="-10.844545183546193"/>
    <x v="0"/>
    <x v="0"/>
    <x v="0"/>
    <x v="1"/>
    <x v="0"/>
    <x v="1"/>
  </r>
  <r>
    <x v="0"/>
    <s v="FLIC"/>
    <n v="273"/>
    <n v="12.73"/>
    <n v="0.61"/>
    <n v="16.91"/>
    <n v="0.72"/>
    <n v="20.868852459016395"/>
    <n v="0.75280898876404501"/>
    <n v="4.32"/>
    <n v="0.39"/>
    <n v="10.65"/>
    <n v="17.680555555555557"/>
    <s v="NO"/>
    <n v="2.6091002169341881"/>
    <n v="-1.2334891403397701"/>
    <n v="-1.2419639353649317"/>
    <n v="-1.3523537831809869"/>
    <n v="0.62670388131423382"/>
    <n v="2.0427076872123697"/>
    <x v="0"/>
    <x v="0"/>
    <x v="1"/>
    <x v="0"/>
    <x v="0"/>
    <x v="0"/>
  </r>
  <r>
    <x v="0"/>
    <s v="FMAO"/>
    <n v="341"/>
    <n v="25.49"/>
    <n v="2.2799999999999998"/>
    <n v="25.41"/>
    <n v="2.0099999999999998"/>
    <n v="11.179824561403509"/>
    <n v="1.0031483667847303"/>
    <n v="8.31"/>
    <n v="0.82"/>
    <n v="9.83"/>
    <n v="12.681592039800996"/>
    <s v="NO"/>
    <n v="7.4706923632545733E-2"/>
    <n v="-0.34043708185327165"/>
    <n v="-0.27022185723751463"/>
    <n v="-0.3527089775634536"/>
    <n v="0.15247274576038652"/>
    <n v="0.13630866924967766"/>
    <x v="0"/>
    <x v="0"/>
    <x v="1"/>
    <x v="0"/>
    <x v="0"/>
    <x v="0"/>
  </r>
  <r>
    <x v="0"/>
    <s v="FMBH"/>
    <n v="860"/>
    <n v="37.32"/>
    <n v="5.0199999999999996"/>
    <n v="36.32"/>
    <n v="3.37"/>
    <n v="7.4342629482071718"/>
    <n v="1.027533039647577"/>
    <n v="9.65"/>
    <n v="1.06"/>
    <n v="8.69"/>
    <n v="11.074183976261127"/>
    <s v="NO"/>
    <n v="-0.90503287404846067"/>
    <n v="-0.25344804134408838"/>
    <n v="5.6127612609788304E-2"/>
    <n v="0.20523230929284436"/>
    <n v="-0.50682419879008411"/>
    <n v="-0.47669063433399228"/>
    <x v="0"/>
    <x v="0"/>
    <x v="1"/>
    <x v="0"/>
    <x v="0"/>
    <x v="0"/>
  </r>
  <r>
    <x v="0"/>
    <s v="FMNB"/>
    <n v="496"/>
    <n v="13.68"/>
    <n v="1.47"/>
    <n v="11.41"/>
    <n v="1.28"/>
    <n v="9.3061224489795915"/>
    <n v="1.1989482909728308"/>
    <n v="11.69"/>
    <n v="0.94"/>
    <n v="12.02"/>
    <n v="10.6875"/>
    <s v="NO"/>
    <n v="-0.41540396443107991"/>
    <n v="0.35805281106814901"/>
    <n v="0.55295814879523442"/>
    <n v="-7.3738334135304756E-2"/>
    <n v="1.4190168760810267"/>
    <n v="-0.62415599395961641"/>
    <x v="0"/>
    <x v="0"/>
    <x v="1"/>
    <x v="0"/>
    <x v="0"/>
    <x v="0"/>
  </r>
  <r>
    <x v="0"/>
    <s v="FNLC"/>
    <n v="275"/>
    <n v="24.7"/>
    <n v="2.2200000000000002"/>
    <n v="23.19"/>
    <n v="2.52"/>
    <n v="11.126126126126124"/>
    <n v="1.065114273393704"/>
    <n v="11.19"/>
    <n v="0.91"/>
    <n v="12.27"/>
    <n v="9.8015873015873005"/>
    <s v="NO"/>
    <n v="6.0660834007669591E-2"/>
    <n v="-0.11938204492434908"/>
    <n v="0.43118595855370345"/>
    <n v="-0.14348099499234176"/>
    <n v="1.5635995393596387"/>
    <n v="-0.96200664898679555"/>
    <x v="0"/>
    <x v="0"/>
    <x v="1"/>
    <x v="0"/>
    <x v="0"/>
    <x v="0"/>
  </r>
  <r>
    <x v="0"/>
    <s v="FRBA"/>
    <n v="363"/>
    <n v="15.24"/>
    <n v="0.98"/>
    <n v="16.57"/>
    <n v="1.54"/>
    <n v="15.551020408163266"/>
    <n v="0.9197344598672299"/>
    <n v="9.81"/>
    <n v="1.05"/>
    <n v="9.35"/>
    <n v="9.8961038961038952"/>
    <s v="NO"/>
    <n v="1.2180960803987599"/>
    <n v="-0.63800497495924402"/>
    <n v="9.509471348707825E-2"/>
    <n v="0.18198475567383193"/>
    <n v="-0.12512596773454859"/>
    <n v="-0.92596190843212967"/>
    <x v="0"/>
    <x v="0"/>
    <x v="1"/>
    <x v="0"/>
    <x v="0"/>
    <x v="0"/>
  </r>
  <r>
    <x v="0"/>
    <s v="FSBC"/>
    <n v="595"/>
    <n v="29.39"/>
    <n v="2.54"/>
    <n v="19.059999999999999"/>
    <n v="2.27"/>
    <n v="11.570866141732283"/>
    <n v="1.5419727177334734"/>
    <n v="13.78"/>
    <n v="1.25"/>
    <n v="10.44"/>
    <n v="12.947136563876652"/>
    <s v="NO"/>
    <n v="0.176993052753042"/>
    <n v="1.5817463140712222"/>
    <n v="1.0619659040048337"/>
    <n v="0.6469358280540799"/>
    <n v="0.50525444416019927"/>
    <n v="0.23757642572114859"/>
    <x v="0"/>
    <x v="0"/>
    <x v="1"/>
    <x v="0"/>
    <x v="0"/>
    <x v="0"/>
  </r>
  <r>
    <x v="0"/>
    <s v="FSBW"/>
    <n v="307"/>
    <n v="40.69"/>
    <n v="8.51"/>
    <n v="38.26"/>
    <n v="4.3600000000000003"/>
    <n v="4.7814336075205635"/>
    <n v="1.0635128071092526"/>
    <n v="12.5"/>
    <n v="1.17"/>
    <n v="10.24"/>
    <n v="9.3325688073394488"/>
    <s v="NO"/>
    <n v="-1.5989428266626335"/>
    <n v="-0.1250950604844018"/>
    <n v="0.75022909698651463"/>
    <n v="0.46095539910198052"/>
    <n v="0.38958831353731016"/>
    <n v="-1.1408710063725849"/>
    <x v="0"/>
    <x v="0"/>
    <x v="1"/>
    <x v="0"/>
    <x v="0"/>
    <x v="0"/>
  </r>
  <r>
    <x v="0"/>
    <s v="FSUN"/>
    <n v="981"/>
    <n v="36.83"/>
    <n v="3.49"/>
    <n v="38.49"/>
    <n v="3.07"/>
    <n v="10.553008595988537"/>
    <n v="0.95687191478306044"/>
    <n v="8.5500000000000007"/>
    <n v="1.0900000000000001"/>
    <n v="7.69"/>
    <n v="11.996742671009772"/>
    <s v="NO"/>
    <n v="-8.9251545232373705E-2"/>
    <n v="-0.50552209982486729"/>
    <n v="-0.21177120592157972"/>
    <n v="0.27497497014988165"/>
    <n v="-1.0851548519045313"/>
    <n v="-0.12486470399085288"/>
    <x v="0"/>
    <x v="0"/>
    <x v="1"/>
    <x v="0"/>
    <x v="0"/>
    <x v="0"/>
  </r>
  <r>
    <x v="0"/>
    <s v="GABC"/>
    <n v="1440"/>
    <n v="39.71"/>
    <n v="3.06"/>
    <n v="27.91"/>
    <n v="2.4300000000000002"/>
    <n v="12.977124183006536"/>
    <n v="1.4227875313507703"/>
    <n v="8.85"/>
    <n v="1.04"/>
    <n v="8.0500000000000007"/>
    <n v="16.34156378600823"/>
    <s v="NO"/>
    <n v="0.54483294196783572"/>
    <n v="1.1565691929897155"/>
    <n v="-0.1387078917766614"/>
    <n v="0.1587372020548195"/>
    <n v="-0.87695581678333001"/>
    <n v="1.5320713149963492"/>
    <x v="0"/>
    <x v="0"/>
    <x v="1"/>
    <x v="0"/>
    <x v="0"/>
    <x v="0"/>
  </r>
  <r>
    <x v="0"/>
    <s v="GCBC"/>
    <n v="374"/>
    <n v="23.12"/>
    <n v="1.35"/>
    <n v="13.45"/>
    <n v="1.67"/>
    <n v="17.125925925925927"/>
    <n v="1.7189591078066917"/>
    <n v="13.33"/>
    <n v="0.97"/>
    <n v="13.13"/>
    <n v="13.844311377245511"/>
    <s v="NO"/>
    <n v="1.6300496864756726"/>
    <n v="2.2131214546051328"/>
    <n v="0.9523709327874561"/>
    <n v="-3.9956732782674784E-3"/>
    <n v="2.0609639010380643"/>
    <n v="0.57972198804759878"/>
    <x v="0"/>
    <x v="0"/>
    <x v="1"/>
    <x v="0"/>
    <x v="0"/>
    <x v="0"/>
  </r>
  <r>
    <x v="0"/>
    <s v="GNTY"/>
    <n v="447"/>
    <n v="41.82"/>
    <n v="3.85"/>
    <n v="28.64"/>
    <n v="2.91"/>
    <n v="10.862337662337662"/>
    <n v="1.4601955307262571"/>
    <n v="10.58"/>
    <n v="1.06"/>
    <n v="9.69"/>
    <n v="14.371134020618555"/>
    <s v="NO"/>
    <n v="-8.3392473772267908E-3"/>
    <n v="1.2900171990935723"/>
    <n v="0.2826238864590358"/>
    <n v="0.20523230929284436"/>
    <n v="7.1506454324363519E-2"/>
    <n v="0.78063046973618422"/>
    <x v="0"/>
    <x v="0"/>
    <x v="1"/>
    <x v="0"/>
    <x v="0"/>
    <x v="0"/>
  </r>
  <r>
    <x v="0"/>
    <s v="GSBC"/>
    <n v="650"/>
    <n v="58.86"/>
    <n v="3.35"/>
    <n v="53.03"/>
    <n v="5.6"/>
    <n v="17.570149253731344"/>
    <n v="1.1099377710729774"/>
    <n v="11.13"/>
    <n v="1.1100000000000001"/>
    <n v="9.77"/>
    <n v="10.510714285714286"/>
    <s v="NO"/>
    <n v="1.746246753365692"/>
    <n v="4.0519753935805806E-2"/>
    <n v="0.41657329572472002"/>
    <n v="0.32147007738790651"/>
    <n v="0.11777290657351938"/>
    <n v="-0.69157479208486072"/>
    <x v="0"/>
    <x v="0"/>
    <x v="1"/>
    <x v="0"/>
    <x v="0"/>
    <x v="0"/>
  </r>
  <r>
    <x v="0"/>
    <s v="HAFC"/>
    <n v="695"/>
    <n v="24.22"/>
    <n v="1.71"/>
    <n v="25.07"/>
    <n v="2.13"/>
    <n v="14.163742690058479"/>
    <n v="0.96609493418428394"/>
    <n v="8.9"/>
    <n v="0.85"/>
    <n v="10.28"/>
    <n v="11.370892018779342"/>
    <s v="NO"/>
    <n v="0.85522094144103189"/>
    <n v="-0.4726202186791732"/>
    <n v="-0.12653067275250812"/>
    <n v="-0.28296631670641631"/>
    <n v="0.41272153966188757"/>
    <n v="-0.36353839405544364"/>
    <x v="0"/>
    <x v="0"/>
    <x v="1"/>
    <x v="0"/>
    <x v="0"/>
    <x v="0"/>
  </r>
  <r>
    <x v="0"/>
    <s v="HBCP"/>
    <n v="390"/>
    <n v="51.47"/>
    <n v="5.57"/>
    <n v="50.82"/>
    <n v="4.78"/>
    <n v="9.2405745062836626"/>
    <n v="1.0127902400629674"/>
    <n v="9.85"/>
    <n v="1.1200000000000001"/>
    <n v="8.65"/>
    <n v="10.767782426778242"/>
    <s v="NO"/>
    <n v="-0.43254957161827884"/>
    <n v="-0.30604099584045075"/>
    <n v="0.10483648870640051"/>
    <n v="0.34471763100691888"/>
    <n v="-0.52995742491466158"/>
    <n v="-0.59353957935939916"/>
    <x v="0"/>
    <x v="0"/>
    <x v="1"/>
    <x v="0"/>
    <x v="0"/>
    <x v="0"/>
  </r>
  <r>
    <x v="0"/>
    <s v="HBNC"/>
    <n v="653"/>
    <n v="15.8"/>
    <n v="0.03"/>
    <n v="17.72"/>
    <n v="1.02"/>
    <n v="526.66666666666674"/>
    <n v="0.8916478555304741"/>
    <n v="6.06"/>
    <n v="0.59"/>
    <n v="9.83"/>
    <n v="15.490196078431373"/>
    <s v="NO"/>
    <n v="134.91242327892294"/>
    <n v="-0.73820015806289063"/>
    <n v="-0.81819671332440413"/>
    <n v="-0.88740271080073885"/>
    <n v="0.15247274576038652"/>
    <n v="1.2073946982267865"/>
    <x v="1"/>
    <x v="0"/>
    <x v="1"/>
    <x v="0"/>
    <x v="0"/>
    <x v="0"/>
  </r>
  <r>
    <x v="0"/>
    <s v="HBT"/>
    <n v="735"/>
    <n v="24.1"/>
    <n v="2.77"/>
    <n v="17.86"/>
    <n v="2.38"/>
    <n v="8.700361010830326"/>
    <n v="1.3493840985442331"/>
    <n v="14.24"/>
    <n v="1.49"/>
    <n v="9.01"/>
    <n v="10.126050420168069"/>
    <s v="NO"/>
    <n v="-0.5738551261378696"/>
    <n v="0.89471231978762267"/>
    <n v="1.1739963190270424"/>
    <n v="1.2048771149103776"/>
    <n v="-0.32175838979346072"/>
    <n v="-0.83826976459504754"/>
    <x v="0"/>
    <x v="0"/>
    <x v="1"/>
    <x v="0"/>
    <x v="0"/>
    <x v="0"/>
  </r>
  <r>
    <x v="0"/>
    <s v="HFWA"/>
    <n v="784"/>
    <n v="24.21"/>
    <n v="1.77"/>
    <n v="25.85"/>
    <n v="1.48"/>
    <n v="13.677966101694915"/>
    <n v="0.93655705996131522"/>
    <n v="5.95"/>
    <n v="0.72"/>
    <n v="8.09"/>
    <n v="16.358108108108109"/>
    <s v="NO"/>
    <n v="0.7281546412299561"/>
    <n v="-0.57799261189474571"/>
    <n v="-0.84498659517754082"/>
    <n v="-0.58518451375357761"/>
    <n v="-0.85382259065875254"/>
    <n v="1.5383806387801029"/>
    <x v="0"/>
    <x v="0"/>
    <x v="1"/>
    <x v="0"/>
    <x v="0"/>
    <x v="0"/>
  </r>
  <r>
    <x v="0"/>
    <s v="HIFS"/>
    <n v="553"/>
    <n v="262.5"/>
    <n v="5.4"/>
    <n v="200.69"/>
    <n v="12.96"/>
    <n v="48.611111111111107"/>
    <n v="1.3079874433205441"/>
    <n v="6.68"/>
    <n v="0.63"/>
    <n v="10.34"/>
    <n v="20.25462962962963"/>
    <s v="NO"/>
    <n v="9.8657409255682023"/>
    <n v="0.74703532045068"/>
    <n v="-0.66719919742490574"/>
    <n v="-0.79441249632468913"/>
    <n v="0.44742137884875471"/>
    <n v="3.0243536367202299"/>
    <x v="1"/>
    <x v="0"/>
    <x v="1"/>
    <x v="0"/>
    <x v="0"/>
    <x v="0"/>
  </r>
  <r>
    <x v="0"/>
    <s v="HONE"/>
    <n v="491"/>
    <n v="11.79"/>
    <n v="0.06"/>
    <n v="14.28"/>
    <n v="0.63"/>
    <n v="196.5"/>
    <n v="0.82563025210084029"/>
    <n v="4.4400000000000004"/>
    <n v="0.44"/>
    <n v="9.9"/>
    <n v="18.714285714285712"/>
    <s v="NO"/>
    <n v="48.549560614659448"/>
    <n v="-0.97370907841463894"/>
    <n v="-1.2127386097069641"/>
    <n v="-1.2361160150859247"/>
    <n v="0.19295589147839803"/>
    <n v="2.4369298401108228"/>
    <x v="1"/>
    <x v="0"/>
    <x v="1"/>
    <x v="0"/>
    <x v="0"/>
    <x v="0"/>
  </r>
  <r>
    <x v="0"/>
    <s v="HOPE"/>
    <n v="1262"/>
    <n v="10.64"/>
    <n v="0.89"/>
    <n v="17.84"/>
    <n v="0.78"/>
    <n v="11.955056179775282"/>
    <n v="0.59641255605381172"/>
    <n v="4.4400000000000004"/>
    <n v="0.54"/>
    <n v="7.9"/>
    <n v="13.641025641025641"/>
    <s v="NO"/>
    <n v="0.27748699972674906"/>
    <n v="-1.7914123774913704"/>
    <n v="-1.2127386097069641"/>
    <n v="-1.0036404788958007"/>
    <n v="-0.96370541475049731"/>
    <n v="0.50219717181839174"/>
    <x v="0"/>
    <x v="0"/>
    <x v="1"/>
    <x v="0"/>
    <x v="0"/>
    <x v="0"/>
  </r>
  <r>
    <x v="0"/>
    <s v="HTB"/>
    <n v="615"/>
    <n v="36.81"/>
    <n v="1.67"/>
    <n v="32.53"/>
    <n v="3.21"/>
    <n v="22.041916167664674"/>
    <n v="1.1315708576698433"/>
    <n v="10.220000000000001"/>
    <n v="1.19"/>
    <n v="8.06"/>
    <n v="11.467289719626169"/>
    <s v="NO"/>
    <n v="2.9159426398511679"/>
    <n v="0.11769288055095395"/>
    <n v="0.19494790948513366"/>
    <n v="0.50745050634000533"/>
    <n v="-0.87117251025218567"/>
    <n v="-0.32677627693874894"/>
    <x v="1"/>
    <x v="0"/>
    <x v="1"/>
    <x v="0"/>
    <x v="0"/>
    <x v="0"/>
  </r>
  <r>
    <x v="0"/>
    <s v="HTBK"/>
    <n v="566"/>
    <n v="9.51"/>
    <n v="0.61"/>
    <n v="11.3"/>
    <n v="0.68"/>
    <n v="15.590163934426229"/>
    <n v="0.84159292035398225"/>
    <n v="6.12"/>
    <n v="0.78"/>
    <n v="7.92"/>
    <n v="13.985294117647058"/>
    <s v="NO"/>
    <n v="1.2283349909979824"/>
    <n v="-0.91676440652515467"/>
    <n v="-0.80358405049542025"/>
    <n v="-0.44569919203950303"/>
    <n v="-0.95213880168820864"/>
    <n v="0.63348700493643073"/>
    <x v="0"/>
    <x v="0"/>
    <x v="1"/>
    <x v="0"/>
    <x v="0"/>
    <x v="0"/>
  </r>
  <r>
    <x v="0"/>
    <s v="HTH"/>
    <n v="1924"/>
    <n v="30.86"/>
    <n v="3.14"/>
    <n v="34.29"/>
    <n v="1.97"/>
    <n v="9.8280254777070066"/>
    <n v="0.89997083697871105"/>
    <n v="6.3"/>
    <n v="0.86"/>
    <n v="7.19"/>
    <n v="15.664974619289341"/>
    <s v="NO"/>
    <n v="-0.27888794344960921"/>
    <n v="-0.70850904125233927"/>
    <n v="-0.75974606200846917"/>
    <n v="-0.25971876308740388"/>
    <n v="-1.3743201784617551"/>
    <n v="1.2740480429856527"/>
    <x v="0"/>
    <x v="0"/>
    <x v="1"/>
    <x v="0"/>
    <x v="0"/>
    <x v="0"/>
  </r>
  <r>
    <x v="0"/>
    <s v="IBCP"/>
    <n v="652"/>
    <n v="32.479999999999997"/>
    <n v="2.64"/>
    <n v="22.28"/>
    <n v="3.14"/>
    <n v="12.303030303030301"/>
    <n v="1.4578096947935366"/>
    <n v="15.04"/>
    <n v="1.26"/>
    <n v="11.4"/>
    <n v="10.343949044585987"/>
    <s v="NO"/>
    <n v="0.36850782178850794"/>
    <n v="1.281506050317166"/>
    <n v="1.3688318234134917"/>
    <n v="0.67018338167309233"/>
    <n v="1.0604518711500697"/>
    <n v="-0.7551721940093501"/>
    <x v="0"/>
    <x v="0"/>
    <x v="1"/>
    <x v="0"/>
    <x v="0"/>
    <x v="0"/>
  </r>
  <r>
    <x v="0"/>
    <s v="KRNY"/>
    <n v="404"/>
    <n v="6.55"/>
    <n v="0.34"/>
    <n v="11.97"/>
    <n v="-1.1399999999999999"/>
    <n v="19.264705882352938"/>
    <n v="0.5472013366750208"/>
    <n v="-8.86"/>
    <n v="-0.91"/>
    <n v="10.34"/>
    <n v="-5.7456140350877201"/>
    <s v="NO"/>
    <n v="2.1894979236669458"/>
    <n v="-1.9669667833317033"/>
    <n v="-4.4518788701316883"/>
    <n v="-4.3745357536525997"/>
    <n v="0.44742137884875471"/>
    <n v="-6.8910695971150888"/>
    <x v="0"/>
    <x v="0"/>
    <x v="0"/>
    <x v="1"/>
    <x v="0"/>
    <x v="1"/>
  </r>
  <r>
    <x v="0"/>
    <s v="LKFN"/>
    <n v="1515"/>
    <n v="61.47"/>
    <n v="3.8"/>
    <n v="27.17"/>
    <n v="3.5"/>
    <n v="16.176315789473684"/>
    <n v="2.2624217887375782"/>
    <n v="13.44"/>
    <n v="1.34"/>
    <n v="9.8699999999999992"/>
    <n v="17.562857142857144"/>
    <s v="NO"/>
    <n v="1.3816568047017679"/>
    <n v="4.1518514688493005"/>
    <n v="0.97916081464059268"/>
    <n v="0.85616381062519176"/>
    <n v="0.17560597188496394"/>
    <n v="1.9978223549476164"/>
    <x v="0"/>
    <x v="1"/>
    <x v="1"/>
    <x v="0"/>
    <x v="0"/>
    <x v="0"/>
  </r>
  <r>
    <x v="0"/>
    <s v="LNKB"/>
    <n v="256"/>
    <n v="7.39"/>
    <n v="0.61"/>
    <n v="7.87"/>
    <n v="0.97"/>
    <n v="12.114754098360656"/>
    <n v="0.93900889453621339"/>
    <n v="12.74"/>
    <n v="1.27"/>
    <n v="9.74"/>
    <n v="7.6185567010309274"/>
    <s v="NO"/>
    <n v="0.31925974907725108"/>
    <n v="-0.56924602183970352"/>
    <n v="0.8086797483024496"/>
    <n v="0.69343093529210476"/>
    <n v="0.10042298698008632"/>
    <n v="-1.7945247059734528"/>
    <x v="0"/>
    <x v="0"/>
    <x v="1"/>
    <x v="0"/>
    <x v="0"/>
    <x v="0"/>
  </r>
  <r>
    <x v="0"/>
    <s v="LOB"/>
    <n v="1177"/>
    <n v="28.99"/>
    <n v="10.82"/>
    <n v="22.53"/>
    <n v="1.3"/>
    <n v="2.6792975970425137"/>
    <n v="1.2867288060363957"/>
    <n v="6.07"/>
    <n v="0.47"/>
    <n v="13.24"/>
    <n v="22.299999999999997"/>
    <s v="NO"/>
    <n v="-2.1488059773174095"/>
    <n v="0.67119799139229364"/>
    <n v="-0.8157612695195734"/>
    <n v="-1.1663733542288877"/>
    <n v="2.1245802728806531"/>
    <n v="3.8043737455198205"/>
    <x v="0"/>
    <x v="0"/>
    <x v="1"/>
    <x v="0"/>
    <x v="0"/>
    <x v="1"/>
  </r>
  <r>
    <x v="0"/>
    <s v="MBWM"/>
    <n v="703"/>
    <n v="45.94"/>
    <n v="3.05"/>
    <n v="37.47"/>
    <n v="4.8"/>
    <n v="15.062295081967214"/>
    <n v="1.2260475046704029"/>
    <n v="13.55"/>
    <n v="1.34"/>
    <n v="10.1"/>
    <n v="9.5708333333333329"/>
    <s v="NO"/>
    <n v="1.0902584684043621"/>
    <n v="0.45472561087826335"/>
    <n v="1.0059506964937299"/>
    <n v="0.85616381062519176"/>
    <n v="0.30862202210128714"/>
    <n v="-1.0500067188180628"/>
    <x v="0"/>
    <x v="0"/>
    <x v="1"/>
    <x v="0"/>
    <x v="0"/>
    <x v="0"/>
  </r>
  <r>
    <x v="0"/>
    <s v="MCB"/>
    <n v="675"/>
    <n v="68.06"/>
    <n v="11.3"/>
    <n v="66.680000000000007"/>
    <n v="5.92"/>
    <n v="6.023008849557522"/>
    <n v="1.0206958608278343"/>
    <n v="9.4700000000000006"/>
    <n v="0.89"/>
    <n v="10.32"/>
    <n v="11.496621621621623"/>
    <s v="NO"/>
    <n v="-1.2741795996599456"/>
    <n v="-0.2778387571295492"/>
    <n v="1.2289624122837231E-2"/>
    <n v="-0.18997610223036662"/>
    <n v="0.43585476578646604"/>
    <n v="-0.31559029628838409"/>
    <x v="0"/>
    <x v="0"/>
    <x v="1"/>
    <x v="0"/>
    <x v="0"/>
    <x v="0"/>
  </r>
  <r>
    <x v="0"/>
    <s v="MCBS"/>
    <n v="716"/>
    <n v="29.47"/>
    <n v="2.46"/>
    <n v="16.850000000000001"/>
    <n v="2.58"/>
    <n v="11.979674796747966"/>
    <n v="1.7489614243323439"/>
    <n v="16.05"/>
    <n v="1.81"/>
    <n v="8.5500000000000007"/>
    <n v="11.422480620155039"/>
    <s v="NO"/>
    <n v="0.28392657843425867"/>
    <n v="2.3201506832644103"/>
    <n v="1.6148116477013845"/>
    <n v="1.9487988307187747"/>
    <n v="-0.58779049022610619"/>
    <n v="-0.34386462394475065"/>
    <x v="0"/>
    <x v="0"/>
    <x v="1"/>
    <x v="0"/>
    <x v="0"/>
    <x v="0"/>
  </r>
  <r>
    <x v="0"/>
    <s v="MOFG"/>
    <n v="589"/>
    <n v="29.59"/>
    <n v="3.57"/>
    <n v="27.85"/>
    <n v="-2.65"/>
    <n v="8.2885154061624657"/>
    <n v="1.0624775583482944"/>
    <n v="-8.74"/>
    <n v="-0.74"/>
    <n v="10.79"/>
    <n v="-11.166037735849057"/>
    <s v="NO"/>
    <n v="-0.68158303748005322"/>
    <n v="-0.12878817119007313"/>
    <n v="-4.4226535444737207"/>
    <n v="-3.9793273421293884"/>
    <n v="0.70767017275025579"/>
    <n v="-8.9581961899590734"/>
    <x v="0"/>
    <x v="0"/>
    <x v="0"/>
    <x v="1"/>
    <x v="0"/>
    <x v="1"/>
  </r>
  <r>
    <x v="0"/>
    <s v="MPB"/>
    <n v="663"/>
    <n v="28.71"/>
    <n v="2.61"/>
    <n v="34.5"/>
    <n v="2.88"/>
    <n v="11"/>
    <n v="0.83217391304347832"/>
    <n v="8.3800000000000008"/>
    <n v="0.94"/>
    <n v="8.3000000000000007"/>
    <n v="9.96875"/>
    <s v="NO"/>
    <n v="2.7669577140412613E-2"/>
    <n v="-0.95036544817530155"/>
    <n v="-0.25317375060370023"/>
    <n v="-7.3738334135304756E-2"/>
    <n v="-0.7323731535047181"/>
    <n v="-0.89825767320619088"/>
    <x v="0"/>
    <x v="0"/>
    <x v="1"/>
    <x v="0"/>
    <x v="0"/>
    <x v="0"/>
  </r>
  <r>
    <x v="0"/>
    <s v="MSBI"/>
    <n v="383"/>
    <n v="18.77"/>
    <n v="6.93"/>
    <n v="29.48"/>
    <n v="-1.02"/>
    <n v="2.7085137085137085"/>
    <n v="0.63670284938941657"/>
    <n v="-1.63"/>
    <n v="-0.16"/>
    <n v="11.77"/>
    <n v="-18.401960784313726"/>
    <s v="NO"/>
    <n v="-2.1411638157144699"/>
    <n v="-1.6476821753758502"/>
    <n v="-2.6910529992391501"/>
    <n v="-2.6309692322266693"/>
    <n v="1.2744342128024149"/>
    <n v="-11.717679540892162"/>
    <x v="0"/>
    <x v="0"/>
    <x v="1"/>
    <x v="0"/>
    <x v="0"/>
    <x v="1"/>
  </r>
  <r>
    <x v="0"/>
    <s v="NBBK"/>
    <n v="706"/>
    <n v="17.79"/>
    <n v="1.05"/>
    <n v="19.079999999999998"/>
    <n v="1.18"/>
    <n v="16.942857142857143"/>
    <n v="0.93238993710691831"/>
    <n v="6.26"/>
    <n v="0.93"/>
    <n v="7.09"/>
    <n v="15.076271186440678"/>
    <s v="NO"/>
    <n v="1.5821637374490705"/>
    <n v="-0.59285826216722415"/>
    <n v="-0.76948783722779168"/>
    <n v="-9.6985887754316921E-2"/>
    <n v="-1.4321532437732003"/>
    <n v="1.0495407740854212"/>
    <x v="0"/>
    <x v="0"/>
    <x v="1"/>
    <x v="0"/>
    <x v="0"/>
    <x v="0"/>
  </r>
  <r>
    <x v="0"/>
    <s v="NBHC"/>
    <n v="1378"/>
    <n v="38.19"/>
    <n v="3.29"/>
    <n v="34.9"/>
    <n v="2.89"/>
    <n v="11.607902735562309"/>
    <n v="1.0942693409742119"/>
    <n v="8.7200000000000006"/>
    <n v="1.1100000000000001"/>
    <n v="7.6"/>
    <n v="13.214532871972317"/>
    <s v="NO"/>
    <n v="0.18668084558442397"/>
    <n v="-1.5375262915271214E-2"/>
    <n v="-0.17036866123945921"/>
    <n v="0.32147007738790651"/>
    <n v="-1.1372046106848321"/>
    <n v="0.33955037643190472"/>
    <x v="0"/>
    <x v="0"/>
    <x v="1"/>
    <x v="0"/>
    <x v="0"/>
    <x v="0"/>
  </r>
  <r>
    <x v="0"/>
    <s v="NBN"/>
    <n v="707"/>
    <n v="87.08"/>
    <n v="1.0900000000000001"/>
    <n v="54.84"/>
    <n v="8.99"/>
    <n v="79.88990825688073"/>
    <n v="1.5878920495988329"/>
    <n v="17.91"/>
    <n v="2.0299999999999998"/>
    <n v="9.0399999999999991"/>
    <n v="9.686318131256952"/>
    <s v="NO"/>
    <n v="18.047446515280843"/>
    <n v="1.7455573539919791"/>
    <n v="2.0678041953998796"/>
    <n v="2.4602450103370468"/>
    <n v="-0.3044084702000277"/>
    <n v="-1.0059655681560589"/>
    <x v="1"/>
    <x v="0"/>
    <x v="1"/>
    <x v="0"/>
    <x v="0"/>
    <x v="0"/>
  </r>
  <r>
    <x v="0"/>
    <s v="NECB"/>
    <n v="293"/>
    <n v="24.08"/>
    <n v="3.67"/>
    <n v="24.8"/>
    <n v="3.44"/>
    <n v="6.561307901907357"/>
    <n v="0.97096774193548374"/>
    <n v="15.02"/>
    <n v="2.4300000000000002"/>
    <n v="5.91"/>
    <n v="7"/>
    <s v="NO"/>
    <n v="-1.1333748127935388"/>
    <n v="-0.45523713245748271"/>
    <n v="1.3639609358038305"/>
    <n v="3.3901471550975439"/>
    <n v="-2.1145834144482483"/>
    <n v="-2.030416783137694"/>
    <x v="0"/>
    <x v="0"/>
    <x v="1"/>
    <x v="1"/>
    <x v="0"/>
    <x v="0"/>
  </r>
  <r>
    <x v="0"/>
    <s v="NFBK"/>
    <n v="478"/>
    <n v="11.72"/>
    <n v="0.72"/>
    <n v="16.66"/>
    <n v="0.76"/>
    <n v="16.277777777777779"/>
    <n v="0.7034813925570228"/>
    <n v="4.4800000000000004"/>
    <n v="0.55000000000000004"/>
    <n v="8.0299999999999994"/>
    <n v="15.421052631578949"/>
    <s v="NO"/>
    <n v="1.4081965758119639"/>
    <n v="-1.4094587048612253"/>
    <n v="-1.2029968344876418"/>
    <n v="-0.98039292527678834"/>
    <n v="-0.88852242984561969"/>
    <n v="1.1810262322912795"/>
    <x v="0"/>
    <x v="0"/>
    <x v="1"/>
    <x v="0"/>
    <x v="0"/>
    <x v="0"/>
  </r>
  <r>
    <x v="0"/>
    <s v="NIC"/>
    <n v="1808"/>
    <n v="122.84"/>
    <n v="9.15"/>
    <n v="78.11"/>
    <n v="8.31"/>
    <n v="13.425136612021857"/>
    <n v="1.5726539495583152"/>
    <n v="11.47"/>
    <n v="1.48"/>
    <n v="7.59"/>
    <n v="14.782190132370637"/>
    <s v="NO"/>
    <n v="0.66202113746182856"/>
    <n v="1.6911974817409461"/>
    <n v="0.49937838508896104"/>
    <n v="1.1816295612913652"/>
    <n v="-1.1429879172159765"/>
    <n v="0.93739035912166346"/>
    <x v="0"/>
    <x v="0"/>
    <x v="1"/>
    <x v="0"/>
    <x v="0"/>
    <x v="0"/>
  </r>
  <r>
    <x v="0"/>
    <s v="NPB"/>
    <n v="462"/>
    <n v="14.16"/>
    <m/>
    <n v="19.64"/>
    <n v="1.94"/>
    <s v=""/>
    <n v="0.72097759674134421"/>
    <n v="12.35"/>
    <n v="1.1100000000000001"/>
    <n v="9.99"/>
    <n v="7.2989690721649492"/>
    <s v="NO"/>
    <e v="#VALUE!"/>
    <n v="-1.3470433498098229"/>
    <n v="0.71369743991405532"/>
    <n v="0.32147007738790651"/>
    <n v="0.24500565025869825"/>
    <n v="-1.9164022791749771"/>
    <x v="1"/>
    <x v="0"/>
    <x v="1"/>
    <x v="0"/>
    <x v="0"/>
    <x v="0"/>
  </r>
  <r>
    <x v="0"/>
    <s v="NRIM"/>
    <n v="459"/>
    <n v="86.24"/>
    <n v="2.46"/>
    <n v="50.67"/>
    <n v="7.52"/>
    <n v="35.056910569105689"/>
    <n v="1.7019932899151371"/>
    <n v="16.22"/>
    <n v="1.43"/>
    <n v="11.23"/>
    <n v="11.468085106382979"/>
    <s v="NO"/>
    <n v="6.3203207541403401"/>
    <n v="2.1525981813120758"/>
    <n v="1.6562141923835048"/>
    <n v="1.0653917931963031"/>
    <n v="0.96213566012061347"/>
    <n v="-0.32647294915343827"/>
    <x v="1"/>
    <x v="0"/>
    <x v="1"/>
    <x v="0"/>
    <x v="0"/>
    <x v="0"/>
  </r>
  <r>
    <x v="0"/>
    <s v="NWBI"/>
    <n v="1602"/>
    <n v="12.68"/>
    <n v="0.99"/>
    <n v="12.75"/>
    <n v="0.9"/>
    <n v="12.808080808080808"/>
    <n v="0.99450980392156862"/>
    <n v="7.2"/>
    <n v="0.79"/>
    <n v="8.8699999999999992"/>
    <n v="14.088888888888889"/>
    <s v="NO"/>
    <n v="0.50061566855133632"/>
    <n v="-0.37125399291340094"/>
    <n v="-0.54055611957371341"/>
    <n v="-0.4224516384204906"/>
    <n v="-0.40272468122948374"/>
    <n v="0.67299378860050107"/>
    <x v="0"/>
    <x v="0"/>
    <x v="1"/>
    <x v="0"/>
    <x v="0"/>
    <x v="0"/>
  </r>
  <r>
    <x v="0"/>
    <s v="OBK"/>
    <n v="1009"/>
    <n v="34.31"/>
    <n v="3.29"/>
    <n v="37.770000000000003"/>
    <n v="2.4300000000000002"/>
    <n v="10.428571428571429"/>
    <n v="0.90839290442149856"/>
    <n v="6.75"/>
    <n v="0.78"/>
    <n v="8.26"/>
    <n v="14.119341563786008"/>
    <s v="NO"/>
    <n v="-0.12180101519695825"/>
    <n v="-0.67846444848406928"/>
    <n v="-0.65015109079109135"/>
    <n v="-0.44569919203950303"/>
    <n v="-0.75550637962929645"/>
    <n v="0.68460718592481484"/>
    <x v="0"/>
    <x v="0"/>
    <x v="1"/>
    <x v="0"/>
    <x v="0"/>
    <x v="0"/>
  </r>
  <r>
    <x v="0"/>
    <s v="OBT"/>
    <n v="293"/>
    <n v="26.87"/>
    <n v="2.91"/>
    <n v="17.690000000000001"/>
    <n v="2.41"/>
    <n v="9.2336769759450164"/>
    <n v="1.5189372526851328"/>
    <n v="14.76"/>
    <n v="1.0900000000000001"/>
    <n v="12.72"/>
    <n v="11.149377593360995"/>
    <s v="NO"/>
    <n v="-0.43435378302269811"/>
    <n v="1.499570390961297"/>
    <n v="1.3006393968782346"/>
    <n v="0.27497497014988165"/>
    <n v="1.8238483332611406"/>
    <n v="-0.44801488238171694"/>
    <x v="0"/>
    <x v="0"/>
    <x v="1"/>
    <x v="0"/>
    <x v="0"/>
    <x v="0"/>
  </r>
  <r>
    <x v="0"/>
    <s v="OCFC"/>
    <n v="953"/>
    <n v="17.63"/>
    <n v="0.54"/>
    <n v="29.33"/>
    <n v="1.53"/>
    <n v="32.648148148148145"/>
    <n v="0.60109103307194001"/>
    <n v="5.53"/>
    <n v="0.7"/>
    <n v="7.79"/>
    <n v="11.522875816993464"/>
    <s v="NO"/>
    <n v="5.6902522488844234"/>
    <n v="-1.7747225400209106"/>
    <n v="-0.94727523498042676"/>
    <n v="-0.63167962099160246"/>
    <n v="-1.0273217865930868"/>
    <n v="-0.30557802632151204"/>
    <x v="1"/>
    <x v="0"/>
    <x v="1"/>
    <x v="0"/>
    <x v="0"/>
    <x v="0"/>
  </r>
  <r>
    <x v="0"/>
    <s v="OFG"/>
    <n v="1834"/>
    <n v="42.6"/>
    <n v="4.96"/>
    <n v="28.83"/>
    <n v="4.18"/>
    <n v="8.5887096774193559"/>
    <n v="1.4776274713839752"/>
    <n v="15.46"/>
    <n v="1.7"/>
    <n v="9.0500000000000007"/>
    <n v="10.191387559808614"/>
    <s v="NO"/>
    <n v="-0.60306016028321086"/>
    <n v="1.352203302657764"/>
    <n v="1.4711204632163781"/>
    <n v="1.693075740909638"/>
    <n v="-0.29862516366888231"/>
    <n v="-0.81335286763137238"/>
    <x v="0"/>
    <x v="0"/>
    <x v="1"/>
    <x v="0"/>
    <x v="0"/>
    <x v="0"/>
  </r>
  <r>
    <x v="0"/>
    <s v="ORRF"/>
    <n v="581"/>
    <n v="31.3"/>
    <n v="2.2599999999999998"/>
    <n v="27.32"/>
    <n v="1.84"/>
    <n v="13.849557522123895"/>
    <n v="1.1456808199121522"/>
    <n v="7.85"/>
    <n v="0.73"/>
    <n v="10.210000000000001"/>
    <n v="17.010869565217391"/>
    <s v="NO"/>
    <n v="0.77303841592013434"/>
    <n v="0.16802827295022524"/>
    <n v="-0.3822522722597233"/>
    <n v="-0.56193696013456518"/>
    <n v="0.37223839394387709"/>
    <n v="1.7873170026633656"/>
    <x v="0"/>
    <x v="0"/>
    <x v="1"/>
    <x v="0"/>
    <x v="0"/>
    <x v="0"/>
  </r>
  <r>
    <x v="0"/>
    <s v="OSBC"/>
    <n v="737"/>
    <n v="17.190000000000001"/>
    <n v="2.69"/>
    <n v="15.42"/>
    <n v="1.83"/>
    <n v="6.3903345724907066"/>
    <n v="1.1147859922178989"/>
    <n v="12.98"/>
    <n v="1.48"/>
    <n v="8.25"/>
    <n v="9.3934426229508201"/>
    <s v="NO"/>
    <n v="-1.1780969112316875"/>
    <n v="5.7815130746688946E-2"/>
    <n v="0.86713039961838445"/>
    <n v="1.1816295612913652"/>
    <n v="-0.7612896861604409"/>
    <n v="-1.1176562375639265"/>
    <x v="0"/>
    <x v="0"/>
    <x v="1"/>
    <x v="0"/>
    <x v="0"/>
    <x v="0"/>
  </r>
  <r>
    <x v="0"/>
    <s v="PBFS"/>
    <n v="295"/>
    <n v="11.79"/>
    <n v="1.29"/>
    <n v="12.05"/>
    <n v="0.8"/>
    <n v="9.1395348837209287"/>
    <n v="0.97842323651452268"/>
    <n v="6.31"/>
    <n v="0.91"/>
    <n v="6.5"/>
    <n v="14.737499999999999"/>
    <s v="NO"/>
    <n v="-0.45897886302777224"/>
    <n v="-0.42864065836903348"/>
    <n v="-0.75731061820363865"/>
    <n v="-0.14348099499234176"/>
    <n v="-1.7733683291107243"/>
    <n v="0.92034738127325488"/>
    <x v="0"/>
    <x v="0"/>
    <x v="1"/>
    <x v="0"/>
    <x v="0"/>
    <x v="0"/>
  </r>
  <r>
    <x v="0"/>
    <s v="PCB"/>
    <n v="283"/>
    <n v="20.64"/>
    <n v="2.4"/>
    <n v="21.15"/>
    <n v="1.94"/>
    <n v="8.6000000000000014"/>
    <n v="0.97588652482269511"/>
    <n v="8.01"/>
    <n v="0.96"/>
    <n v="10.55"/>
    <n v="10.63917525773196"/>
    <s v="NO"/>
    <n v="-0.60010691067654498"/>
    <n v="-0.4376900361220859"/>
    <n v="-0.34328517138243336"/>
    <n v="-2.7243226897279905E-2"/>
    <n v="0.56887081600278921"/>
    <n v="-0.64258506248807234"/>
    <x v="0"/>
    <x v="0"/>
    <x v="1"/>
    <x v="0"/>
    <x v="0"/>
    <x v="0"/>
  </r>
  <r>
    <x v="0"/>
    <s v="PDLB"/>
    <n v="322"/>
    <n v="14"/>
    <n v="0.17"/>
    <n v="12.75"/>
    <n v="0.6"/>
    <n v="82.35294117647058"/>
    <n v="1.0980392156862746"/>
    <n v="2.88"/>
    <n v="0.49"/>
    <n v="10.7"/>
    <n v="23.333333333333336"/>
    <s v="NO"/>
    <n v="18.691710746796534"/>
    <n v="-1.926741957591129E-3"/>
    <n v="-1.592667843260541"/>
    <n v="-1.1198782469908628"/>
    <n v="0.65562041396995552"/>
    <n v="4.198444565538086"/>
    <x v="1"/>
    <x v="0"/>
    <x v="1"/>
    <x v="0"/>
    <x v="0"/>
    <x v="1"/>
  </r>
  <r>
    <x v="0"/>
    <s v="PEBO"/>
    <n v="1040"/>
    <n v="30.89"/>
    <n v="3.87"/>
    <n v="32.630000000000003"/>
    <n v="3.15"/>
    <n v="7.981912144702842"/>
    <n v="0.94667483910511796"/>
    <n v="10.18"/>
    <n v="1.21"/>
    <n v="8.1300000000000008"/>
    <n v="9.806349206349207"/>
    <s v="NO"/>
    <n v="-0.76178233691019781"/>
    <n v="-0.54189879571957655"/>
    <n v="0.18520613426581095"/>
    <n v="0.55394561357803018"/>
    <n v="-0.83068936453417408"/>
    <n v="-0.9601906544244988"/>
    <x v="0"/>
    <x v="0"/>
    <x v="1"/>
    <x v="0"/>
    <x v="0"/>
    <x v="0"/>
  </r>
  <r>
    <x v="0"/>
    <s v="PFBC"/>
    <n v="1072"/>
    <n v="85.86"/>
    <n v="12.26"/>
    <n v="59.3"/>
    <n v="9.43"/>
    <n v="7.0032626427406202"/>
    <n v="1.4478920741989882"/>
    <n v="17.21"/>
    <n v="1.84"/>
    <n v="9.1199999999999992"/>
    <n v="9.1049840933191941"/>
    <s v="NO"/>
    <n v="-1.0177711482208889"/>
    <n v="1.2461262728435731"/>
    <n v="1.8973231290617365"/>
    <n v="2.018541491575812"/>
    <n v="-0.25814201795087183"/>
    <n v="-1.2276624530283111"/>
    <x v="0"/>
    <x v="0"/>
    <x v="1"/>
    <x v="0"/>
    <x v="0"/>
    <x v="0"/>
  </r>
  <r>
    <x v="0"/>
    <s v="PFIS"/>
    <n v="458"/>
    <n v="49.67"/>
    <n v="3.67"/>
    <n v="48.21"/>
    <n v="2.14"/>
    <n v="13.534059945504088"/>
    <n v="1.0302841734080066"/>
    <n v="4.88"/>
    <n v="0.46"/>
    <n v="10.38"/>
    <n v="23.210280373831775"/>
    <s v="NO"/>
    <n v="0.69051259901799111"/>
    <n v="-0.24363374170274185"/>
    <n v="-1.1055790822944171"/>
    <n v="-1.1896209078478999"/>
    <n v="0.47055460497333318"/>
    <n v="4.1515172294189364"/>
    <x v="0"/>
    <x v="0"/>
    <x v="1"/>
    <x v="0"/>
    <x v="0"/>
    <x v="1"/>
  </r>
  <r>
    <x v="0"/>
    <s v="PGC"/>
    <n v="500"/>
    <n v="29.4"/>
    <n v="3.57"/>
    <n v="35.35"/>
    <n v="1.8"/>
    <n v="8.235294117647058"/>
    <n v="0.83168316831683164"/>
    <n v="5.31"/>
    <n v="0.47"/>
    <n v="11.45"/>
    <n v="16.333333333333332"/>
    <s v="NO"/>
    <n v="-0.69550431813892644"/>
    <n v="-0.95211611397861351"/>
    <n v="-1.0008549986867006"/>
    <n v="-1.1663733542288877"/>
    <n v="1.0893684038057914"/>
    <n v="1.5289325589627507"/>
    <x v="0"/>
    <x v="0"/>
    <x v="1"/>
    <x v="0"/>
    <x v="0"/>
    <x v="0"/>
  </r>
  <r>
    <x v="0"/>
    <s v="PLBC"/>
    <n v="259"/>
    <n v="45.14"/>
    <n v="5.0599999999999996"/>
    <n v="31.68"/>
    <n v="4.95"/>
    <n v="8.920948616600791"/>
    <n v="1.4248737373737375"/>
    <n v="16.93"/>
    <n v="1.8"/>
    <n v="8.7100000000000009"/>
    <n v="9.1191919191919197"/>
    <s v="NO"/>
    <n v="-0.51615524596848028"/>
    <n v="1.1640114523656409"/>
    <n v="1.8291307025264789"/>
    <n v="1.9255512770997623"/>
    <n v="-0.49525758572779444"/>
    <n v="-1.2222441727776578"/>
    <x v="0"/>
    <x v="0"/>
    <x v="1"/>
    <x v="0"/>
    <x v="0"/>
    <x v="0"/>
  </r>
  <r>
    <x v="0"/>
    <s v="PNBK"/>
    <n v="265"/>
    <n v="6.71"/>
    <n v="0.66"/>
    <n v="1.07"/>
    <n v="-10.029999999999999"/>
    <n v="10.166666666666666"/>
    <n v="6.2710280373831768"/>
    <n v="-163.96"/>
    <n v="-3.79"/>
    <n v="237.35"/>
    <n v="-0.66899302093718849"/>
    <s v="NO"/>
    <n v="-0.19030837001825349"/>
    <n v="18.452015072031973"/>
    <n v="-42.225612283054588"/>
    <n v="-11.069831195928172"/>
    <n v="131.73426294235952"/>
    <n v="-4.9550552042425888"/>
    <x v="0"/>
    <x v="1"/>
    <x v="0"/>
    <x v="1"/>
    <x v="1"/>
    <x v="1"/>
  </r>
  <r>
    <x v="0"/>
    <s v="QCRH"/>
    <n v="1116"/>
    <n v="70.819999999999993"/>
    <n v="23.77"/>
    <n v="60.44"/>
    <n v="6.65"/>
    <n v="2.9793857803954564"/>
    <n v="1.1717405691594969"/>
    <n v="11.7"/>
    <n v="1.27"/>
    <n v="8.9499999999999993"/>
    <n v="10.649624060150375"/>
    <s v="NO"/>
    <n v="-2.0703108499087919"/>
    <n v="0.26099292315024342"/>
    <n v="0.55539359260006493"/>
    <n v="0.69343093529210476"/>
    <n v="-0.35645822898032786"/>
    <n v="-0.63860031912945936"/>
    <x v="0"/>
    <x v="0"/>
    <x v="1"/>
    <x v="0"/>
    <x v="0"/>
    <x v="0"/>
  </r>
  <r>
    <x v="0"/>
    <s v="RBB"/>
    <n v="281"/>
    <n v="16.95"/>
    <n v="3.18"/>
    <n v="28.76"/>
    <n v="1.17"/>
    <n v="5.3301886792452828"/>
    <n v="0.58936022253129339"/>
    <n v="4.08"/>
    <n v="0.53"/>
    <n v="7.86"/>
    <n v="14.487179487179487"/>
    <s v="NO"/>
    <n v="-1.4554030218296807"/>
    <n v="-1.8165706287389944"/>
    <n v="-1.3004145866808665"/>
    <n v="-1.0268880325148131"/>
    <n v="-0.98683864087507522"/>
    <n v="0.8248854363494762"/>
    <x v="0"/>
    <x v="0"/>
    <x v="1"/>
    <x v="0"/>
    <x v="0"/>
    <x v="0"/>
  </r>
  <r>
    <x v="0"/>
    <s v="RBCAA"/>
    <n v="1384"/>
    <n v="73.19"/>
    <n v="7.29"/>
    <n v="52.98"/>
    <n v="5.97"/>
    <n v="10.039780521262003"/>
    <n v="1.3814647036617591"/>
    <n v="11.98"/>
    <n v="1.69"/>
    <n v="6.84"/>
    <n v="12.259631490787269"/>
    <s v="NO"/>
    <n v="-0.22349842781607487"/>
    <n v="1.0091555634523559"/>
    <n v="0.62358601913532252"/>
    <n v="1.6698281872906255"/>
    <n v="-1.5767359070518121"/>
    <n v="-2.4609723877931571E-2"/>
    <x v="0"/>
    <x v="0"/>
    <x v="1"/>
    <x v="0"/>
    <x v="0"/>
    <x v="0"/>
  </r>
  <r>
    <x v="0"/>
    <s v="RRBI"/>
    <n v="372"/>
    <n v="56.9"/>
    <n v="4.84"/>
    <n v="49.18"/>
    <n v="5.31"/>
    <n v="11.756198347107437"/>
    <n v="1.1569743798291989"/>
    <n v="11.51"/>
    <n v="1.1599999999999999"/>
    <n v="9.56"/>
    <n v="10.715630885122412"/>
    <s v="NO"/>
    <n v="0.22547105315711924"/>
    <n v="0.2083165288822417"/>
    <n v="0.50912016030828333"/>
    <n v="0.43770784548296809"/>
    <n v="-3.6765305805140989E-3"/>
    <n v="-0.61342803173249216"/>
    <x v="0"/>
    <x v="0"/>
    <x v="1"/>
    <x v="0"/>
    <x v="0"/>
    <x v="0"/>
  </r>
  <r>
    <x v="0"/>
    <s v="SBSI"/>
    <n v="856"/>
    <n v="29.82"/>
    <n v="1.86"/>
    <n v="26.85"/>
    <n v="2.91"/>
    <n v="16.032258064516128"/>
    <n v="1.1106145251396649"/>
    <n v="11.03"/>
    <n v="1.06"/>
    <n v="10.220000000000001"/>
    <n v="10.24742268041237"/>
    <s v="NO"/>
    <n v="1.3439751161114533"/>
    <n v="4.2933983040003641E-2"/>
    <n v="0.39221885767641351"/>
    <n v="0.20523230929284436"/>
    <n v="0.37802170047502148"/>
    <n v="-0.79198337802542618"/>
    <x v="0"/>
    <x v="0"/>
    <x v="1"/>
    <x v="0"/>
    <x v="0"/>
    <x v="0"/>
  </r>
  <r>
    <x v="0"/>
    <s v="SFST"/>
    <n v="295"/>
    <n v="36.450000000000003"/>
    <n v="3.07"/>
    <n v="41.33"/>
    <n v="2.25"/>
    <n v="11.87296416938111"/>
    <n v="0.88192596177111071"/>
    <n v="5.6"/>
    <n v="0.44"/>
    <n v="12.69"/>
    <n v="16.200000000000003"/>
    <s v="NO"/>
    <n v="0.25601390224212967"/>
    <n v="-0.77288170637874976"/>
    <n v="-0.93022712834661259"/>
    <n v="-1.2361160150859247"/>
    <n v="1.8064984136677067"/>
    <n v="1.4780847112184601"/>
    <x v="0"/>
    <x v="0"/>
    <x v="1"/>
    <x v="0"/>
    <x v="0"/>
    <x v="0"/>
  </r>
  <r>
    <x v="0"/>
    <s v="SHBI"/>
    <n v="478"/>
    <n v="15.06"/>
    <n v="1.25"/>
    <n v="16.55"/>
    <n v="1.48"/>
    <n v="12.048"/>
    <n v="0.9099697885196375"/>
    <n v="9.27"/>
    <n v="0.82"/>
    <n v="11.18"/>
    <n v="10.175675675675675"/>
    <s v="NO"/>
    <n v="0.30179864348715091"/>
    <n v="-0.67283912656719025"/>
    <n v="-3.6419251973775414E-2"/>
    <n v="-0.3527089775634536"/>
    <n v="0.93321912746489066"/>
    <n v="-0.81934473382262962"/>
    <x v="0"/>
    <x v="0"/>
    <x v="1"/>
    <x v="0"/>
    <x v="0"/>
    <x v="0"/>
  </r>
  <r>
    <x v="0"/>
    <s v="SMBC"/>
    <n v="593"/>
    <n v="55.16"/>
    <n v="5.29"/>
    <n v="46.8"/>
    <n v="4.99"/>
    <n v="10.427221172022684"/>
    <n v="1.1786324786324787"/>
    <n v="11.17"/>
    <n v="1.17"/>
    <n v="9.41"/>
    <n v="11.054108216432864"/>
    <s v="NO"/>
    <n v="-0.12215420657771792"/>
    <n v="0.28557888317943397"/>
    <n v="0.42631507094404231"/>
    <n v="0.46095539910198052"/>
    <n v="-9.0426128547681464E-2"/>
    <n v="-0.48434670317723089"/>
    <x v="0"/>
    <x v="0"/>
    <x v="1"/>
    <x v="0"/>
    <x v="0"/>
    <x v="0"/>
  </r>
  <r>
    <x v="0"/>
    <s v="SMBK"/>
    <n v="516"/>
    <n v="31.82"/>
    <n v="2.76"/>
    <n v="29.72"/>
    <n v="2.2599999999999998"/>
    <n v="11.528985507246377"/>
    <n v="1.0706594885598923"/>
    <n v="7.82"/>
    <n v="0.73"/>
    <n v="10.7"/>
    <n v="14.079646017699117"/>
    <s v="NO"/>
    <n v="0.16603818707591364"/>
    <n v="-9.9600235693737937E-2"/>
    <n v="-0.38955860367421502"/>
    <n v="-0.56193696013456518"/>
    <n v="0.65562041396995552"/>
    <n v="0.66946893779816907"/>
    <x v="0"/>
    <x v="0"/>
    <x v="1"/>
    <x v="0"/>
    <x v="0"/>
    <x v="0"/>
  </r>
  <r>
    <x v="0"/>
    <s v="SPFI"/>
    <n v="550"/>
    <n v="35.69"/>
    <n v="3.41"/>
    <n v="27.33"/>
    <n v="3"/>
    <n v="10.466275659824046"/>
    <n v="1.305890962312477"/>
    <n v="12"/>
    <n v="1.19"/>
    <n v="9.93"/>
    <n v="11.896666666666667"/>
    <s v="NO"/>
    <n v="-0.11193858608378902"/>
    <n v="0.73955640644747667"/>
    <n v="0.62845690674498367"/>
    <n v="0.50745050634000533"/>
    <n v="0.21030581107183111"/>
    <n v="-0.16302957472856777"/>
    <x v="0"/>
    <x v="0"/>
    <x v="1"/>
    <x v="0"/>
    <x v="0"/>
    <x v="0"/>
  </r>
  <r>
    <x v="0"/>
    <s v="SRCE"/>
    <n v="1481"/>
    <n v="62.88"/>
    <n v="8.5399999999999991"/>
    <n v="47.29"/>
    <n v="5.69"/>
    <n v="7.3629976580796264"/>
    <n v="1.3296680059209136"/>
    <n v="12.22"/>
    <n v="1.6"/>
    <n v="7.72"/>
    <n v="11.050966608084359"/>
    <s v="NO"/>
    <n v="-0.92367398802326361"/>
    <n v="0.82437781132243393"/>
    <n v="0.68203667045125749"/>
    <n v="1.4606002047195144"/>
    <n v="-1.0678049323110983"/>
    <n v="-0.48554478334955831"/>
    <x v="0"/>
    <x v="0"/>
    <x v="1"/>
    <x v="0"/>
    <x v="0"/>
    <x v="0"/>
  </r>
  <r>
    <x v="0"/>
    <s v="SSBK"/>
    <n v="342"/>
    <n v="36.6"/>
    <n v="4.08"/>
    <n v="29.25"/>
    <n v="3.8"/>
    <n v="8.9705882352941178"/>
    <n v="1.2512820512820513"/>
    <n v="14.46"/>
    <n v="1.38"/>
    <n v="9.83"/>
    <n v="9.6315789473684212"/>
    <s v="NO"/>
    <n v="-0.50317083535186791"/>
    <n v="0.54474646167163698"/>
    <n v="1.2275760827333162"/>
    <n v="0.94915402510124092"/>
    <n v="0.15247274576038652"/>
    <n v="-1.02684084081614"/>
    <x v="0"/>
    <x v="0"/>
    <x v="1"/>
    <x v="0"/>
    <x v="0"/>
    <x v="0"/>
  </r>
  <r>
    <x v="0"/>
    <s v="STBA"/>
    <n v="1420"/>
    <n v="38.76"/>
    <n v="4.46"/>
    <n v="37.06"/>
    <n v="3.46"/>
    <n v="8.6905829596412545"/>
    <n v="1.0458715596330275"/>
    <n v="9.84"/>
    <n v="1.39"/>
    <n v="6.85"/>
    <n v="11.202312138728324"/>
    <s v="NO"/>
    <n v="-0.57641280556835695"/>
    <n v="-0.18802783797021458"/>
    <n v="0.10240104490156994"/>
    <n v="0.97240157872025335"/>
    <n v="-1.5709526005206678"/>
    <n v="-0.42782782460733254"/>
    <x v="0"/>
    <x v="0"/>
    <x v="1"/>
    <x v="0"/>
    <x v="0"/>
    <x v="0"/>
  </r>
  <r>
    <x v="0"/>
    <s v="STEL"/>
    <n v="1340"/>
    <n v="27.17"/>
    <n v="1.7"/>
    <n v="30.89"/>
    <n v="2.12"/>
    <n v="15.982352941176472"/>
    <n v="0.87957267724182586"/>
    <n v="7.23"/>
    <n v="1.07"/>
    <n v="6.48"/>
    <n v="12.816037735849056"/>
    <s v="NO"/>
    <n v="1.3309212565055193"/>
    <n v="-0.78127673240181761"/>
    <n v="-0.53324978815922153"/>
    <n v="0.22847986291185679"/>
    <n v="-1.784934942173013"/>
    <n v="0.18758072636863093"/>
    <x v="0"/>
    <x v="0"/>
    <x v="1"/>
    <x v="0"/>
    <x v="0"/>
    <x v="0"/>
  </r>
  <r>
    <x v="0"/>
    <s v="TCBK"/>
    <n v="1287"/>
    <n v="41.26"/>
    <n v="3.18"/>
    <n v="38.17"/>
    <n v="3.43"/>
    <n v="12.974842767295597"/>
    <n v="1.0809536285040606"/>
    <n v="9.3800000000000008"/>
    <n v="1.1599999999999999"/>
    <n v="7.82"/>
    <n v="12.029154518950437"/>
    <s v="NO"/>
    <n v="0.54423618399189244"/>
    <n v="-6.2877276085170311E-2"/>
    <n v="-9.6293701206383066E-3"/>
    <n v="0.43770784548296809"/>
    <n v="-1.0099718669996531"/>
    <n v="-0.11250415867186728"/>
    <x v="0"/>
    <x v="0"/>
    <x v="1"/>
    <x v="0"/>
    <x v="0"/>
    <x v="0"/>
  </r>
  <r>
    <x v="0"/>
    <s v="TCBX"/>
    <n v="411"/>
    <n v="32.200000000000003"/>
    <n v="2.1"/>
    <n v="34.700000000000003"/>
    <n v="2.95"/>
    <n v="15.333333333333334"/>
    <n v="0.9279538904899135"/>
    <n v="11.27"/>
    <n v="1.06"/>
    <n v="10.210000000000001"/>
    <n v="10.915254237288137"/>
    <s v="NO"/>
    <n v="1.1611549023654757"/>
    <n v="-0.60868326179045906"/>
    <n v="0.45066950899234842"/>
    <n v="0.20523230929284436"/>
    <n v="0.37223839394387709"/>
    <n v="-0.53729989810403234"/>
    <x v="0"/>
    <x v="0"/>
    <x v="1"/>
    <x v="0"/>
    <x v="0"/>
    <x v="0"/>
  </r>
  <r>
    <x v="0"/>
    <s v="TFIN"/>
    <n v="1289"/>
    <n v="62.44"/>
    <n v="1.36"/>
    <n v="36.32"/>
    <n v="0.37"/>
    <n v="45.911764705882348"/>
    <n v="1.7191629955947136"/>
    <n v="1.35"/>
    <n v="0.2"/>
    <n v="7.38"/>
    <n v="168.75675675675674"/>
    <s v="NO"/>
    <n v="9.159663339869935"/>
    <n v="2.2138487968644007"/>
    <n v="-1.9652907453996258"/>
    <n v="-1.7940573019422223"/>
    <n v="-1.2644373543700105"/>
    <n v="59.656955260697721"/>
    <x v="1"/>
    <x v="0"/>
    <x v="1"/>
    <x v="0"/>
    <x v="0"/>
    <x v="1"/>
  </r>
  <r>
    <x v="0"/>
    <s v="THFF"/>
    <n v="593"/>
    <n v="53.19"/>
    <n v="4.59"/>
    <n v="48.3"/>
    <n v="4.62"/>
    <n v="11.588235294117647"/>
    <n v="1.1012422360248448"/>
    <n v="10.02"/>
    <n v="1.05"/>
    <n v="9.6999999999999993"/>
    <n v="11.512987012987013"/>
    <s v="NO"/>
    <n v="0.18153636337005907"/>
    <n v="9.4996022689967704E-3"/>
    <n v="0.14623903338852101"/>
    <n v="0.18198475567383193"/>
    <n v="7.7289760855507886E-2"/>
    <n v="-0.30934920932521071"/>
    <x v="0"/>
    <x v="0"/>
    <x v="1"/>
    <x v="0"/>
    <x v="0"/>
    <x v="0"/>
  </r>
  <r>
    <x v="0"/>
    <s v="TMP"/>
    <n v="882"/>
    <n v="65.06"/>
    <n v="6.24"/>
    <n v="49.76"/>
    <n v="4.97"/>
    <n v="10.426282051282051"/>
    <n v="1.307475884244373"/>
    <n v="10.26"/>
    <n v="0.89"/>
    <n v="11.37"/>
    <n v="13.090543259557345"/>
    <s v="NO"/>
    <n v="-0.12239985571113053"/>
    <n v="0.74521040225513235"/>
    <n v="0.20468968470445592"/>
    <n v="-0.18997610223036662"/>
    <n v="1.0431019515566355"/>
    <n v="0.29226583942727763"/>
    <x v="0"/>
    <x v="0"/>
    <x v="1"/>
    <x v="0"/>
    <x v="0"/>
    <x v="0"/>
  </r>
  <r>
    <x v="0"/>
    <s v="TRST"/>
    <n v="592"/>
    <n v="32.57"/>
    <n v="2.87"/>
    <n v="36.159999999999997"/>
    <n v="2.68"/>
    <n v="11.348432055749129"/>
    <n v="0.90071902654867264"/>
    <n v="7.63"/>
    <n v="0.81"/>
    <n v="9.2200000000000006"/>
    <n v="12.152985074626866"/>
    <s v="NO"/>
    <n v="0.11881018222417533"/>
    <n v="-0.70583997559884426"/>
    <n v="-0.43583203596599684"/>
    <n v="-0.37595653118246575"/>
    <n v="-0.20030895263942622"/>
    <n v="-6.5280279363421123E-2"/>
    <x v="0"/>
    <x v="0"/>
    <x v="1"/>
    <x v="0"/>
    <x v="0"/>
    <x v="0"/>
  </r>
  <r>
    <x v="0"/>
    <s v="UNTY"/>
    <n v="432"/>
    <n v="45.39"/>
    <n v="4.71"/>
    <n v="30.38"/>
    <n v="4.26"/>
    <n v="9.6369426751592364"/>
    <n v="1.4940750493745887"/>
    <n v="15.17"/>
    <n v="1.63"/>
    <n v="9.0399999999999991"/>
    <n v="10.65492957746479"/>
    <s v="NO"/>
    <n v="-0.32887014789363445"/>
    <n v="1.4108778248115295"/>
    <n v="1.4004925928762899"/>
    <n v="1.530342865576551"/>
    <n v="-0.3044084702000277"/>
    <n v="-0.63657701310489867"/>
    <x v="0"/>
    <x v="0"/>
    <x v="1"/>
    <x v="0"/>
    <x v="0"/>
    <x v="0"/>
  </r>
  <r>
    <x v="0"/>
    <s v="USCB"/>
    <n v="341"/>
    <n v="17.239999999999998"/>
    <n v="1.72"/>
    <n v="10.81"/>
    <n v="1.24"/>
    <n v="10.023255813953488"/>
    <n v="1.5948196114708602"/>
    <n v="12.11"/>
    <n v="1"/>
    <n v="11.98"/>
    <n v="13.903225806451612"/>
    <s v="NO"/>
    <n v="-0.22782085394788421"/>
    <n v="1.7702704991592382"/>
    <n v="0.65524678859812036"/>
    <n v="6.5746987578769803E-2"/>
    <n v="1.3958836499564493"/>
    <n v="0.60218952749420174"/>
    <x v="0"/>
    <x v="0"/>
    <x v="1"/>
    <x v="0"/>
    <x v="0"/>
    <x v="0"/>
  </r>
  <r>
    <x v="0"/>
    <s v="UVSP"/>
    <n v="869"/>
    <n v="31.35"/>
    <n v="2.58"/>
    <n v="31.19"/>
    <n v="2.66"/>
    <n v="12.151162790697674"/>
    <n v="1.0051298493106764"/>
    <n v="8.93"/>
    <n v="0.99"/>
    <n v="8.83"/>
    <n v="11.785714285714286"/>
    <s v="NO"/>
    <n v="0.32878329949447654"/>
    <n v="-0.33336840946684038"/>
    <n v="-0.11922434133801643"/>
    <n v="4.2499433959757374E-2"/>
    <n v="-0.42585790735406115"/>
    <n v="-0.20534224803006759"/>
    <x v="0"/>
    <x v="0"/>
    <x v="1"/>
    <x v="0"/>
    <x v="0"/>
    <x v="0"/>
  </r>
  <r>
    <x v="0"/>
    <s v="VBNK"/>
    <n v="359"/>
    <n v="11.45"/>
    <n v="-5.49"/>
    <n v="11.03"/>
    <n v="0.88"/>
    <n v="-2.0856102003642984"/>
    <n v="1.0380779691749773"/>
    <n v="7.73"/>
    <n v="0.76"/>
    <n v="9.5399999999999991"/>
    <n v="13.011363636363635"/>
    <s v="NO"/>
    <n v="-3.3951797614122783"/>
    <n v="-0.21583042363049904"/>
    <n v="-0.41147759791769056"/>
    <n v="-0.49219429927752789"/>
    <n v="-1.5243143642803833E-2"/>
    <n v="0.26206998874274628"/>
    <x v="1"/>
    <x v="0"/>
    <x v="1"/>
    <x v="0"/>
    <x v="0"/>
    <x v="0"/>
  </r>
  <r>
    <x v="0"/>
    <s v="VBTX"/>
    <n v="1269"/>
    <n v="24.94"/>
    <n v="2.27"/>
    <n v="30.08"/>
    <n v="2.04"/>
    <n v="10.986784140969164"/>
    <n v="0.82912234042553201"/>
    <n v="7.07"/>
    <n v="0.89"/>
    <n v="7.72"/>
    <n v="12.225490196078432"/>
    <s v="NO"/>
    <n v="2.4212658154636559E-2"/>
    <n v="-0.96125152302946537"/>
    <n v="-0.57221688903651147"/>
    <n v="-0.18997610223036662"/>
    <n v="-1.0678049323110983"/>
    <n v="-3.7629809041541132E-2"/>
    <x v="0"/>
    <x v="0"/>
    <x v="1"/>
    <x v="0"/>
    <x v="0"/>
    <x v="0"/>
  </r>
  <r>
    <x v="0"/>
    <s v="WABC"/>
    <n v="1290"/>
    <n v="49.89"/>
    <n v="5.24"/>
    <n v="34.65"/>
    <n v="4.99"/>
    <n v="9.520992366412214"/>
    <n v="1.4398268398268399"/>
    <n v="15.54"/>
    <n v="2.14"/>
    <n v="6.46"/>
    <n v="9.9979959919839683"/>
    <s v="NO"/>
    <n v="-0.35919968022134174"/>
    <n v="1.2173546340579722"/>
    <n v="1.4906040136550227"/>
    <n v="2.715968100146184"/>
    <n v="-1.7965015552353023"/>
    <n v="-0.88710445509970393"/>
    <x v="0"/>
    <x v="0"/>
    <x v="1"/>
    <x v="0"/>
    <x v="0"/>
    <x v="0"/>
  </r>
  <r>
    <x v="0"/>
    <s v="WASH"/>
    <n v="538"/>
    <n v="29.8"/>
    <n v="3.13"/>
    <n v="27.06"/>
    <n v="-1.51"/>
    <n v="9.52076677316294"/>
    <n v="1.1012564671101257"/>
    <n v="-5.42"/>
    <n v="-0.39"/>
    <n v="12.62"/>
    <n v="-19.735099337748345"/>
    <s v="NO"/>
    <n v="-0.3592586894453853"/>
    <n v="9.5503697515441112E-3"/>
    <n v="-3.6140862012699548"/>
    <n v="-3.1656629654639543"/>
    <n v="1.766015267949695"/>
    <n v="-12.226083737295333"/>
    <x v="0"/>
    <x v="0"/>
    <x v="0"/>
    <x v="1"/>
    <x v="0"/>
    <x v="1"/>
  </r>
  <r>
    <x v="0"/>
    <s v="WTBA"/>
    <n v="326"/>
    <n v="19.97"/>
    <n v="1.55"/>
    <n v="14.06"/>
    <n v="1.53"/>
    <n v="12.883870967741935"/>
    <n v="1.4203413940256044"/>
    <n v="11.3"/>
    <n v="0.66"/>
    <n v="16.760000000000002"/>
    <n v="13.052287581699346"/>
    <s v="NO"/>
    <n v="0.5204403686526482"/>
    <n v="1.1478429271067687"/>
    <n v="0.45797584040684053"/>
    <n v="-0.72466983546765185"/>
    <n v="4.1603041718435101"/>
    <n v="0.27767669780419113"/>
    <x v="0"/>
    <x v="0"/>
    <x v="1"/>
    <x v="0"/>
    <x v="1"/>
    <x v="0"/>
  </r>
  <r>
    <x v="1"/>
    <s v="AAMI"/>
    <n v="1070"/>
    <n v="30.44"/>
    <n v="1.22"/>
    <n v="0.57999999999999996"/>
    <n v="2.4"/>
    <n v="24.95081967213115"/>
    <n v="52.482758620689658"/>
    <n v="230.62"/>
    <n v="14.9"/>
    <n v="31.21"/>
    <n v="12.683333333333334"/>
    <s v="NO"/>
    <n v="1.5953676254181828"/>
    <n v="47.436123491947512"/>
    <n v="34.218048666658078"/>
    <n v="4.1355373918683069"/>
    <n v="63.111743036485336"/>
    <n v="8.214684379065787E-2"/>
    <x v="0"/>
    <x v="1"/>
    <x v="0"/>
    <x v="1"/>
    <x v="1"/>
    <x v="0"/>
  </r>
  <r>
    <x v="1"/>
    <s v="AC"/>
    <n v="733"/>
    <n v="37.5"/>
    <n v="1.26"/>
    <n v="42.14"/>
    <n v="2.08"/>
    <n v="29.761904761904763"/>
    <n v="0.88989084005695296"/>
    <n v="4.91"/>
    <n v="-1.25"/>
    <n v="1.05"/>
    <n v="18.028846153846153"/>
    <s v="NO"/>
    <n v="2.0505672598420563"/>
    <n v="-0.54119932819454397"/>
    <n v="-0.93216579163040325"/>
    <n v="-2.94779658993567"/>
    <n v="-2.4322316955085177"/>
    <n v="0.66992854973662008"/>
    <x v="0"/>
    <x v="0"/>
    <x v="1"/>
    <x v="1"/>
    <x v="1"/>
    <x v="0"/>
  </r>
  <r>
    <x v="1"/>
    <s v="ALTI"/>
    <n v="309"/>
    <n v="3.56"/>
    <n v="-0.73"/>
    <n v="3.79"/>
    <n v="-1.59"/>
    <n v="-4.8767123287671232"/>
    <n v="0.93931398416886547"/>
    <n v="-19.89"/>
    <n v="-3.84"/>
    <n v="3.54"/>
    <n v="-2.2389937106918238"/>
    <s v="NO"/>
    <n v="-1.2267569908010192"/>
    <n v="-0.49523967830794197"/>
    <n v="-4.7943133197220007"/>
    <n v="-4.0837616062125921"/>
    <n v="2.9790579955612668"/>
    <n v="-1.5586818551814319"/>
    <x v="0"/>
    <x v="0"/>
    <x v="0"/>
    <x v="1"/>
    <x v="1"/>
    <x v="0"/>
  </r>
  <r>
    <x v="1"/>
    <s v="BBDC"/>
    <n v="908"/>
    <n v="8.8800000000000008"/>
    <n v="1.1499999999999999"/>
    <n v="11.29"/>
    <n v="1.04"/>
    <n v="7.7217391304347842"/>
    <n v="0.78653675819309132"/>
    <n v="9.24"/>
    <n v="5.12"/>
    <n v="2.2599999999999998"/>
    <n v="8.5384615384615383"/>
    <s v="NO"/>
    <n v="-3.4757599494165924E-2"/>
    <n v="-0.63731052270006228"/>
    <n v="-0.25784729176602367"/>
    <n v="-0.15393668503837366"/>
    <n v="0.1973508451318188"/>
    <n v="-0.37361481955585768"/>
    <x v="0"/>
    <x v="0"/>
    <x v="1"/>
    <x v="0"/>
    <x v="0"/>
    <x v="0"/>
  </r>
  <r>
    <x v="1"/>
    <s v="BCSF"/>
    <n v="956"/>
    <n v="15.48"/>
    <n v="-0.42"/>
    <n v="17.649999999999999"/>
    <n v="1.85"/>
    <n v="-36.857142857142861"/>
    <n v="0.87705382436260637"/>
    <n v="10.49"/>
    <n v="5.24"/>
    <n v="2.31"/>
    <n v="8.3675675675675674"/>
    <s v="NO"/>
    <n v="-4.252577572560825"/>
    <n v="-0.55313674653371392"/>
    <n v="-6.3182597809793961E-2"/>
    <n v="-0.10130510127264747"/>
    <n v="0.30601128069546968"/>
    <n v="-0.39240597264457133"/>
    <x v="1"/>
    <x v="0"/>
    <x v="1"/>
    <x v="0"/>
    <x v="0"/>
    <x v="0"/>
  </r>
  <r>
    <x v="1"/>
    <s v="BRDG"/>
    <n v="408"/>
    <n v="10.199999999999999"/>
    <n v="4.46"/>
    <n v="2"/>
    <n v="0.13"/>
    <n v="2.2869955156950672"/>
    <n v="5.0999999999999996"/>
    <n v="3.18"/>
    <n v="2.0299999999999998"/>
    <n v="14.95"/>
    <n v="78.461538461538453"/>
    <s v="NO"/>
    <n v="-0.54896453212054563"/>
    <n v="3.3738721722590319"/>
    <n v="-1.2015817280658252"/>
    <n v="-1.509199967005822"/>
    <n v="27.77536939118626"/>
    <n v="7.3149843511583255"/>
    <x v="0"/>
    <x v="1"/>
    <x v="1"/>
    <x v="0"/>
    <x v="1"/>
    <x v="1"/>
  </r>
  <r>
    <x v="1"/>
    <s v="CCAP"/>
    <n v="589"/>
    <n v="16.77"/>
    <n v="1.59"/>
    <n v="19.98"/>
    <n v="1.99"/>
    <n v="10.547169811320753"/>
    <n v="0.83933933933933935"/>
    <n v="9.93"/>
    <n v="5.84"/>
    <n v="2.2400000000000002"/>
    <n v="8.4271356783919593"/>
    <s v="NO"/>
    <n v="0.23256983060327358"/>
    <n v="-0.5882082612758337"/>
    <n v="-0.15039238070218494"/>
    <n v="0.16185281755598308"/>
    <n v="0.15388667090635963"/>
    <n v="-0.38585598446271147"/>
    <x v="0"/>
    <x v="0"/>
    <x v="1"/>
    <x v="0"/>
    <x v="0"/>
    <x v="0"/>
  </r>
  <r>
    <x v="1"/>
    <s v="CGBD"/>
    <n v="994"/>
    <n v="14.18"/>
    <n v="2.0499999999999998"/>
    <n v="16.8"/>
    <n v="1.58"/>
    <n v="6.9170731707317081"/>
    <n v="0.84404761904761905"/>
    <n v="9.7899999999999991"/>
    <n v="5.7"/>
    <n v="2.25"/>
    <n v="8.9746835443037973"/>
    <s v="NO"/>
    <n v="-0.11089087168857044"/>
    <n v="-0.58382993021557705"/>
    <n v="-0.17219482642528275"/>
    <n v="0.10044930316263606"/>
    <n v="0.17561875801908922"/>
    <n v="-0.32564873596866412"/>
    <x v="0"/>
    <x v="0"/>
    <x v="1"/>
    <x v="0"/>
    <x v="0"/>
    <x v="0"/>
  </r>
  <r>
    <x v="1"/>
    <s v="CION"/>
    <n v="516"/>
    <n v="9.7799999999999994"/>
    <n v="1.65"/>
    <n v="15.43"/>
    <n v="0.63"/>
    <n v="5.9272727272727268"/>
    <n v="0.63383020090732334"/>
    <n v="3.99"/>
    <n v="6.11"/>
    <n v="2.37"/>
    <n v="15.523809523809522"/>
    <s v="NO"/>
    <n v="-0.20454059760441726"/>
    <n v="-0.77931565074999132"/>
    <n v="-1.0754390063821884"/>
    <n v="0.28027388102886708"/>
    <n v="0.43640380337185014"/>
    <n v="0.39447982230866868"/>
    <x v="0"/>
    <x v="0"/>
    <x v="1"/>
    <x v="0"/>
    <x v="0"/>
    <x v="0"/>
  </r>
  <r>
    <x v="1"/>
    <s v="CSWC"/>
    <n v="1010"/>
    <n v="21.12"/>
    <n v="-5.65"/>
    <n v="16.59"/>
    <n v="1.43"/>
    <n v="-3.7380530973451327"/>
    <n v="1.2730560578661845"/>
    <n v="8.57"/>
    <n v="6.72"/>
    <n v="2.15"/>
    <n v="14.76923076923077"/>
    <s v="NO"/>
    <n v="-1.1190230272138051"/>
    <n v="-0.18488571084636515"/>
    <n v="-0.36218756772656274"/>
    <n v="0.54781776517130809"/>
    <n v="-4.170211310821155E-2"/>
    <n v="0.31150787882461423"/>
    <x v="0"/>
    <x v="0"/>
    <x v="1"/>
    <x v="0"/>
    <x v="0"/>
    <x v="0"/>
  </r>
  <r>
    <x v="1"/>
    <s v="CYFRF"/>
    <n v="296"/>
    <n v="3"/>
    <n v="-0.01"/>
    <n v="0.28000000000000003"/>
    <n v="0.03"/>
    <n v="-300"/>
    <n v="10.714285714285714"/>
    <n v="17.12"/>
    <n v="12.46"/>
    <n v="1.24"/>
    <n v="100"/>
    <s v="NO"/>
    <n v="-29.149774387327312"/>
    <n v="8.5947177989080554"/>
    <n v="0.96931893893404841"/>
    <n v="3.0653618552985424"/>
    <n v="-2.0193220403666468"/>
    <n v="9.6833097282760061"/>
    <x v="1"/>
    <x v="1"/>
    <x v="1"/>
    <x v="1"/>
    <x v="0"/>
    <x v="1"/>
  </r>
  <r>
    <x v="1"/>
    <s v="DBRG"/>
    <n v="1539"/>
    <n v="9.11"/>
    <n v="0.46"/>
    <n v="6.62"/>
    <n v="0.37"/>
    <n v="19.804347826086953"/>
    <n v="1.376132930513595"/>
    <n v="6.89"/>
    <n v="2.42"/>
    <n v="2.95"/>
    <n v="24.621621621621621"/>
    <s v="NO"/>
    <n v="1.1084354554028089"/>
    <n v="-8.9032299182516816E-2"/>
    <n v="-0.6238169164037356"/>
    <n v="-1.338147319767212"/>
    <n v="1.6968648559101935"/>
    <n v="1.3948567168710124"/>
    <x v="0"/>
    <x v="0"/>
    <x v="1"/>
    <x v="0"/>
    <x v="0"/>
    <x v="0"/>
  </r>
  <r>
    <x v="1"/>
    <s v="DHIL"/>
    <n v="374"/>
    <n v="143.42500000000001"/>
    <n v="5.98"/>
    <n v="60.75"/>
    <n v="14.79"/>
    <n v="23.984113712374583"/>
    <n v="2.3609053497942387"/>
    <n v="24.77"/>
    <n v="14.03"/>
    <n v="1.33"/>
    <n v="9.6974306964164985"/>
    <s v="NO"/>
    <n v="1.5039029784070705"/>
    <n v="0.82672885728367884"/>
    <n v="2.1606668659461739"/>
    <n v="3.7539584095667919"/>
    <n v="-1.8237332563520758"/>
    <n v="-0.24617693068064789"/>
    <x v="0"/>
    <x v="0"/>
    <x v="1"/>
    <x v="1"/>
    <x v="0"/>
    <x v="0"/>
  </r>
  <r>
    <x v="1"/>
    <s v="FDUS"/>
    <n v="653"/>
    <n v="20.23"/>
    <n v="-1.7"/>
    <n v="19.329999999999998"/>
    <n v="2.4"/>
    <n v="-11.9"/>
    <n v="1.0465597516813245"/>
    <n v="12.58"/>
    <n v="5.62"/>
    <n v="1.78"/>
    <n v="8.4291666666666671"/>
    <s v="NO"/>
    <n v="-1.891263629271082"/>
    <n v="-0.39550952120722238"/>
    <n v="0.26229677048502203"/>
    <n v="6.5361580652151932E-2"/>
    <n v="-0.84578933627922348"/>
    <n v="-0.38563266112724343"/>
    <x v="0"/>
    <x v="0"/>
    <x v="1"/>
    <x v="0"/>
    <x v="0"/>
    <x v="0"/>
  </r>
  <r>
    <x v="1"/>
    <s v="FRRPF"/>
    <n v="510"/>
    <n v="4.1399999999999997"/>
    <m/>
    <m/>
    <m/>
    <s v=""/>
    <s v=""/>
    <m/>
    <m/>
    <m/>
    <s v=""/>
    <s v="NO"/>
    <e v="#VALUE!"/>
    <e v="#VALUE!"/>
    <n v="-1.6968087094904736"/>
    <n v="-2.3995509257093559"/>
    <n v="-4.7141008423451733"/>
    <e v="#VALUE!"/>
    <x v="1"/>
    <x v="1"/>
    <x v="1"/>
    <x v="0"/>
    <x v="1"/>
    <x v="1"/>
  </r>
  <r>
    <x v="1"/>
    <s v="GAIN"/>
    <n v="507"/>
    <n v="14.05"/>
    <n v="-2.48"/>
    <n v="13.3"/>
    <n v="1.92"/>
    <n v="-5.6653225806451619"/>
    <n v="1.0563909774436091"/>
    <n v="14.74"/>
    <n v="3.36"/>
    <n v="2.2200000000000002"/>
    <n v="7.3177083333333339"/>
    <s v="NO"/>
    <n v="-1.3013711561419805"/>
    <n v="-0.38636725188968146"/>
    <n v="0.59867736164138696"/>
    <n v="-0.9258665802690238"/>
    <n v="0.11042249668089947"/>
    <n v="-0.50784635646206244"/>
    <x v="0"/>
    <x v="0"/>
    <x v="1"/>
    <x v="0"/>
    <x v="0"/>
    <x v="0"/>
  </r>
  <r>
    <x v="1"/>
    <s v="GCMG"/>
    <n v="571"/>
    <n v="12.55"/>
    <n v="2.95"/>
    <n v="-0.62"/>
    <n v="0.03"/>
    <n v="4.2542372881355934"/>
    <n v="-20.241935483870968"/>
    <n v="-36.32"/>
    <n v="8.2200000000000006"/>
    <n v="-22.18"/>
    <n v="418.33333333333337"/>
    <s v="NO"/>
    <n v="-0.3628344348703974"/>
    <n v="-20.192141346634763"/>
    <n v="-7.3529860570826839"/>
    <n v="1.2057125622428853"/>
    <n v="-52.915870058380442"/>
    <n v="44.686594915080768"/>
    <x v="0"/>
    <x v="1"/>
    <x v="0"/>
    <x v="0"/>
    <x v="1"/>
    <x v="1"/>
  </r>
  <r>
    <x v="1"/>
    <s v="GLAD"/>
    <n v="563"/>
    <n v="26.48"/>
    <n v="2.44"/>
    <n v="21.51"/>
    <n v="4.63"/>
    <n v="10.852459016393443"/>
    <n v="1.2310553231055323"/>
    <n v="22.34"/>
    <n v="5.43"/>
    <n v="1.7"/>
    <n v="5.7192224622030237"/>
    <s v="NO"/>
    <n v="0.26145469377853336"/>
    <n v="-0.22394310185751973"/>
    <n v="1.7822387008952634"/>
    <n v="-1.7971760310247966E-2"/>
    <n v="-1.0196460331810639"/>
    <n v="-0.6836126082345827"/>
    <x v="0"/>
    <x v="0"/>
    <x v="1"/>
    <x v="0"/>
    <x v="0"/>
    <x v="0"/>
  </r>
  <r>
    <x v="1"/>
    <s v="GSBD"/>
    <n v="1226"/>
    <n v="11.28"/>
    <n v="0.02"/>
    <n v="13.41"/>
    <n v="0.55000000000000004"/>
    <n v="564"/>
    <n v="0.84116331096196861"/>
    <n v="3.96"/>
    <n v="6.52"/>
    <n v="2.29"/>
    <n v="20.509090909090908"/>
    <s v="NO"/>
    <n v="52.597373460505324"/>
    <n v="-0.58651211064265429"/>
    <n v="-1.0801109590371378"/>
    <n v="0.46009845889509776"/>
    <n v="0.26254710647000951"/>
    <n v="0.94265121309026068"/>
    <x v="1"/>
    <x v="0"/>
    <x v="1"/>
    <x v="0"/>
    <x v="0"/>
    <x v="0"/>
  </r>
  <r>
    <x v="1"/>
    <s v="HRZN"/>
    <n v="301"/>
    <n v="7.55"/>
    <n v="0.11"/>
    <n v="7.57"/>
    <n v="-0.95"/>
    <n v="68.63636363636364"/>
    <n v="0.99735799207397613"/>
    <n v="-11.21"/>
    <n v="6.29"/>
    <n v="2.58"/>
    <n v="-7.9473684210526319"/>
    <s v="NO"/>
    <n v="5.7286646407620552"/>
    <n v="-0.44126330085827148"/>
    <n v="-3.4425616848899416"/>
    <n v="0.35922125667745619"/>
    <n v="0.89277763273918131"/>
    <n v="-2.1863631157256309"/>
    <x v="1"/>
    <x v="0"/>
    <x v="0"/>
    <x v="0"/>
    <x v="0"/>
    <x v="0"/>
  </r>
  <r>
    <x v="1"/>
    <s v="MFIC"/>
    <n v="1123"/>
    <n v="12.78"/>
    <n v="-0.12"/>
    <n v="14.98"/>
    <n v="1.27"/>
    <n v="-106.5"/>
    <n v="0.85313751668891846"/>
    <n v="8.1999999999999993"/>
    <n v="5.47"/>
    <n v="2.27"/>
    <n v="10.062992125984252"/>
    <s v="NO"/>
    <n v="-10.841819400573128"/>
    <n v="-0.57537703793998274"/>
    <n v="-0.41980831713760691"/>
    <n v="-4.27899055005904E-4"/>
    <n v="0.21908293224454939"/>
    <n v="-0.20598054019125694"/>
    <x v="1"/>
    <x v="0"/>
    <x v="1"/>
    <x v="0"/>
    <x v="0"/>
    <x v="0"/>
  </r>
  <r>
    <x v="1"/>
    <s v="MSIF"/>
    <n v="723"/>
    <n v="15.64"/>
    <m/>
    <m/>
    <m/>
    <s v=""/>
    <s v=""/>
    <n v="9.07"/>
    <n v="5.09"/>
    <n v="1.96"/>
    <s v=""/>
    <s v="NO"/>
    <e v="#VALUE!"/>
    <e v="#VALUE!"/>
    <n v="-0.28432169014407088"/>
    <n v="-0.16709458097980531"/>
    <n v="-0.45461176825008254"/>
    <e v="#VALUE!"/>
    <x v="1"/>
    <x v="1"/>
    <x v="1"/>
    <x v="0"/>
    <x v="0"/>
    <x v="1"/>
  </r>
  <r>
    <x v="1"/>
    <s v="NMFC"/>
    <n v="1104"/>
    <n v="10.76"/>
    <n v="0.39"/>
    <n v="12.55"/>
    <n v="1.03"/>
    <n v="27.589743589743588"/>
    <n v="0.85737051792828678"/>
    <n v="8.51"/>
    <n v="5.52"/>
    <n v="2.4"/>
    <n v="10.446601941747572"/>
    <s v="NO"/>
    <n v="1.8450487639045783"/>
    <n v="-0.57144067860010761"/>
    <n v="-0.37153147303646183"/>
    <n v="2.1501927514046577E-2"/>
    <n v="0.50160006471003993"/>
    <n v="-0.16379958590344193"/>
    <x v="0"/>
    <x v="0"/>
    <x v="1"/>
    <x v="0"/>
    <x v="0"/>
    <x v="0"/>
  </r>
  <r>
    <x v="1"/>
    <s v="NOAH"/>
    <n v="627"/>
    <n v="9.83"/>
    <n v="0.6"/>
    <n v="20.62"/>
    <n v="0.92"/>
    <n v="16.383333333333333"/>
    <n v="0.47672162948593594"/>
    <n v="4.7699999999999996"/>
    <n v="3.24"/>
    <n v="1.18"/>
    <n v="10.684782608695652"/>
    <s v="NO"/>
    <n v="0.78475700918902591"/>
    <n v="-0.92541430688487636"/>
    <n v="-0.95396823735350111"/>
    <n v="-0.97849816403474987"/>
    <n v="-2.1497145630430272"/>
    <n v="-0.1376097247165298"/>
    <x v="0"/>
    <x v="0"/>
    <x v="1"/>
    <x v="0"/>
    <x v="0"/>
    <x v="0"/>
  </r>
  <r>
    <x v="1"/>
    <s v="OCSL"/>
    <n v="1175"/>
    <n v="14.24"/>
    <n v="1.99"/>
    <n v="17.63"/>
    <n v="0.67"/>
    <n v="7.1557788944723617"/>
    <n v="0.80771412365286455"/>
    <n v="3.69"/>
    <n v="5.95"/>
    <n v="2.13"/>
    <n v="21.253731343283579"/>
    <s v="NO"/>
    <n v="-8.8305788250201106E-2"/>
    <n v="-0.61761723285496728"/>
    <n v="-1.1221585329316837"/>
    <n v="0.21009843600789885"/>
    <n v="-8.5166287333671695E-2"/>
    <n v="1.0245303590997021"/>
    <x v="0"/>
    <x v="0"/>
    <x v="1"/>
    <x v="0"/>
    <x v="0"/>
    <x v="0"/>
  </r>
  <r>
    <x v="1"/>
    <s v="PAX"/>
    <n v="1703"/>
    <n v="12.52"/>
    <n v="1.01"/>
    <n v="3.48"/>
    <n v="0.45"/>
    <n v="12.396039603960396"/>
    <n v="3.5977011494252871"/>
    <n v="14.46"/>
    <n v="8.68"/>
    <n v="2.33"/>
    <n v="27.822222222222219"/>
    <s v="NO"/>
    <n v="0.4075001920503854"/>
    <n v="1.9768520020910956"/>
    <n v="0.55507247019519168"/>
    <n v="1.4074669666781683"/>
    <n v="0.34947545492092985"/>
    <n v="1.746788242290535"/>
    <x v="0"/>
    <x v="0"/>
    <x v="1"/>
    <x v="0"/>
    <x v="0"/>
    <x v="0"/>
  </r>
  <r>
    <x v="1"/>
    <s v="PFLT"/>
    <n v="882"/>
    <n v="10.130000000000001"/>
    <n v="-11.92"/>
    <n v="11.34"/>
    <n v="1.37"/>
    <n v="-0.84983221476510074"/>
    <n v="0.89329805996472667"/>
    <n v="12.06"/>
    <n v="5.76"/>
    <n v="2.44"/>
    <n v="7.3941605839416056"/>
    <s v="NO"/>
    <n v="-0.84575471760099541"/>
    <n v="-0.5380308807624391"/>
    <n v="0.18131625779923058"/>
    <n v="0.12676509504549896"/>
    <n v="0.58852841316096016"/>
    <n v="-0.4994398226467292"/>
    <x v="0"/>
    <x v="0"/>
    <x v="1"/>
    <x v="0"/>
    <x v="0"/>
    <x v="0"/>
  </r>
  <r>
    <x v="1"/>
    <s v="PNNT"/>
    <n v="419"/>
    <n v="6.86"/>
    <n v="0.02"/>
    <n v="7.57"/>
    <n v="0.83"/>
    <n v="343"/>
    <n v="0.90620871862615593"/>
    <n v="10.93"/>
    <n v="5.0199999999999996"/>
    <n v="2.86"/>
    <n v="8.2650602409638569"/>
    <s v="NO"/>
    <n v="31.687512726279618"/>
    <n v="-0.52602498023654165"/>
    <n v="5.3393744627988149E-3"/>
    <n v="-0.19779633817647901"/>
    <n v="1.5012760718956224"/>
    <n v="-0.40367746956660255"/>
    <x v="1"/>
    <x v="0"/>
    <x v="1"/>
    <x v="0"/>
    <x v="0"/>
    <x v="0"/>
  </r>
  <r>
    <x v="1"/>
    <s v="PSEC"/>
    <n v="1614"/>
    <n v="3.67"/>
    <n v="1.31"/>
    <n v="7.84"/>
    <n v="-0.21"/>
    <n v="2.8015267175572518"/>
    <n v="0.46811224489795916"/>
    <n v="0.78"/>
    <n v="4.42"/>
    <n v="2.1"/>
    <n v="-17.476190476190478"/>
    <s v="NO"/>
    <n v="-0.50028228879768566"/>
    <n v="-0.93342035968691073"/>
    <n v="-1.5753379404617862"/>
    <n v="-0.46095425700510956"/>
    <n v="-0.15036254867186144"/>
    <n v="-3.2341329876323486"/>
    <x v="0"/>
    <x v="0"/>
    <x v="1"/>
    <x v="0"/>
    <x v="0"/>
    <x v="1"/>
  </r>
  <r>
    <x v="1"/>
    <s v="PX"/>
    <n v="1279"/>
    <n v="11.96"/>
    <n v="0.86"/>
    <n v="3.12"/>
    <n v="0.16"/>
    <n v="13.906976744186048"/>
    <n v="3.8333333333333335"/>
    <n v="4.84"/>
    <n v="7.12"/>
    <n v="2.5099999999999998"/>
    <n v="74.75"/>
    <s v="NO"/>
    <n v="0.55045713856752398"/>
    <n v="2.1959714625994562"/>
    <n v="-0.94306701449195218"/>
    <n v="0.72325637772372875"/>
    <n v="0.74065302295007029"/>
    <n v="6.9068711388514394"/>
    <x v="0"/>
    <x v="0"/>
    <x v="1"/>
    <x v="0"/>
    <x v="0"/>
    <x v="1"/>
  </r>
  <r>
    <x v="1"/>
    <s v="RWAY"/>
    <n v="335"/>
    <n v="10.039999999999999"/>
    <n v="1.8"/>
    <n v="13.79"/>
    <n v="1.89"/>
    <n v="5.5777777777777775"/>
    <n v="0.72806381435823053"/>
    <n v="13.86"/>
    <n v="6.22"/>
    <n v="2.12"/>
    <n v="5.3121693121693117"/>
    <s v="YES"/>
    <n v="-0.23760797643362377"/>
    <n v="-0.69168577694135203"/>
    <n v="0.46163341709620115"/>
    <n v="0.32851949948078246"/>
    <n v="-0.1068983744464013"/>
    <n v="-0.72837134382667879"/>
    <x v="0"/>
    <x v="0"/>
    <x v="1"/>
    <x v="0"/>
    <x v="0"/>
    <x v="0"/>
  </r>
  <r>
    <x v="1"/>
    <s v="SAR"/>
    <n v="354"/>
    <n v="24.12"/>
    <n v="14.36"/>
    <n v="27.46"/>
    <n v="2.4900000000000002"/>
    <n v="1.6796657381615601"/>
    <n v="0.87836853605243992"/>
    <n v="9.2799999999999994"/>
    <n v="5.82"/>
    <n v="3.25"/>
    <n v="9.6867469879518069"/>
    <s v="NO"/>
    <n v="-0.60642688989418325"/>
    <n v="-0.55191416771861967"/>
    <n v="-0.25161802155942442"/>
    <n v="0.15308088692836225"/>
    <n v="2.348827469292095"/>
    <n v="-0.24735168951072833"/>
    <x v="0"/>
    <x v="0"/>
    <x v="1"/>
    <x v="0"/>
    <x v="0"/>
    <x v="0"/>
  </r>
  <r>
    <x v="1"/>
    <s v="SCM"/>
    <n v="368"/>
    <n v="13.03"/>
    <n v="-1.1200000000000001"/>
    <n v="13.46"/>
    <n v="1.79"/>
    <n v="-11.633928571428569"/>
    <n v="0.96805349182763734"/>
    <n v="13.29"/>
    <n v="4.8600000000000003"/>
    <n v="2.65"/>
    <n v="7.2793296089385473"/>
    <s v="NO"/>
    <n v="-1.8660893463897013"/>
    <n v="-0.46851418899225705"/>
    <n v="0.37286631665216036"/>
    <n v="-0.26797178319744686"/>
    <n v="1.0449022425282912"/>
    <n v="-0.51206640285503568"/>
    <x v="0"/>
    <x v="0"/>
    <x v="1"/>
    <x v="0"/>
    <x v="0"/>
    <x v="0"/>
  </r>
  <r>
    <x v="1"/>
    <s v="SII"/>
    <n v="1391"/>
    <n v="54.74"/>
    <n v="2.4900000000000002"/>
    <n v="12.54"/>
    <n v="1.91"/>
    <n v="21.983935742971887"/>
    <n v="4.3652312599681027"/>
    <n v="14.97"/>
    <n v="11.42"/>
    <n v="1.2"/>
    <n v="28.659685863874348"/>
    <s v="NO"/>
    <n v="1.3146566309687142"/>
    <n v="2.6905948404280497"/>
    <n v="0.63449566532933332"/>
    <n v="2.6092214626622487"/>
    <n v="-2.1062503888175668"/>
    <n v="1.8388740391983764"/>
    <x v="0"/>
    <x v="0"/>
    <x v="1"/>
    <x v="0"/>
    <x v="0"/>
    <x v="0"/>
  </r>
  <r>
    <x v="1"/>
    <s v="SLRC"/>
    <n v="843"/>
    <n v="16.36"/>
    <n v="5.67"/>
    <n v="18.2"/>
    <n v="1.76"/>
    <n v="2.8853615520282188"/>
    <n v="0.89890109890109893"/>
    <n v="9.67"/>
    <n v="4.22"/>
    <n v="2.4700000000000002"/>
    <n v="9.295454545454545"/>
    <s v="NO"/>
    <n v="-0.49235027651956448"/>
    <n v="-0.53282049375764717"/>
    <n v="-0.19088263704508068"/>
    <n v="-0.54867356328131989"/>
    <n v="0.65372467449915095"/>
    <n v="-0.29037740979190024"/>
    <x v="0"/>
    <x v="0"/>
    <x v="1"/>
    <x v="0"/>
    <x v="0"/>
    <x v="0"/>
  </r>
  <r>
    <x v="1"/>
    <s v="TCPC"/>
    <n v="562"/>
    <n v="7.62"/>
    <n v="3.68"/>
    <n v="9.23"/>
    <n v="-0.79"/>
    <n v="2.0706521739130435"/>
    <n v="0.82556879739978328"/>
    <n v="-8.57"/>
    <n v="7.06"/>
    <n v="2.4500000000000002"/>
    <n v="-9.6455696202531644"/>
    <s v="NO"/>
    <n v="-0.56943380428090362"/>
    <n v="-0.60101378584662324"/>
    <n v="-3.0314298512543845"/>
    <n v="0.69694058584086538"/>
    <n v="0.61026050027369072"/>
    <n v="-2.3730938619461233"/>
    <x v="0"/>
    <x v="0"/>
    <x v="1"/>
    <x v="0"/>
    <x v="0"/>
    <x v="0"/>
  </r>
  <r>
    <x v="1"/>
    <s v="TRIN"/>
    <n v="894"/>
    <n v="14.81"/>
    <n v="-6.02"/>
    <n v="13.35"/>
    <n v="2.1"/>
    <n v="-2.4601328903654487"/>
    <n v="1.1093632958801498"/>
    <n v="16.12"/>
    <n v="6.85"/>
    <n v="2.16"/>
    <n v="7.0523809523809522"/>
    <s v="NO"/>
    <n v="-0.99811292061924362"/>
    <n v="-0.33710714809069647"/>
    <n v="0.81358718376906469"/>
    <n v="0.60483531425084469"/>
    <n v="-1.9970025995480988E-2"/>
    <n v="-0.53702121504848399"/>
    <x v="0"/>
    <x v="0"/>
    <x v="1"/>
    <x v="0"/>
    <x v="0"/>
    <x v="0"/>
  </r>
  <r>
    <x v="1"/>
    <s v="TSLX"/>
    <n v="1960"/>
    <n v="22.26"/>
    <n v="1.82"/>
    <n v="17.04"/>
    <n v="1.89"/>
    <n v="12.230769230769232"/>
    <n v="1.3063380281690142"/>
    <n v="11.06"/>
    <n v="6.8"/>
    <n v="2.1800000000000002"/>
    <n v="11.777777777777779"/>
    <s v="NO"/>
    <n v="0.39186317627246336"/>
    <n v="-0.1539360873422293"/>
    <n v="2.5584502634246824E-2"/>
    <n v="0.58290548768179218"/>
    <n v="2.3494148229979167E-2"/>
    <n v="-1.7426201330619145E-2"/>
    <x v="0"/>
    <x v="0"/>
    <x v="1"/>
    <x v="0"/>
    <x v="0"/>
    <x v="0"/>
  </r>
  <r>
    <x v="1"/>
    <s v="VINP"/>
    <n v="626"/>
    <n v="10.15"/>
    <n v="0.56000000000000005"/>
    <n v="4.9000000000000004"/>
    <n v="0.34"/>
    <n v="18.125"/>
    <n v="2.0714285714285712"/>
    <n v="6.98"/>
    <n v="4.01"/>
    <n v="1.85"/>
    <n v="29.852941176470587"/>
    <s v="NO"/>
    <n v="0.94954437319555585"/>
    <n v="0.55753814465192542"/>
    <n v="-0.60980105843888688"/>
    <n v="-0.64077883487134057"/>
    <n v="-0.6936647264901129"/>
    <n v="1.9700819638291911"/>
    <x v="0"/>
    <x v="0"/>
    <x v="1"/>
    <x v="0"/>
    <x v="0"/>
    <x v="0"/>
  </r>
  <r>
    <x v="1"/>
    <s v="VRTS"/>
    <n v="1106"/>
    <n v="176.92"/>
    <n v="-0.54"/>
    <n v="128.82"/>
    <n v="16.84"/>
    <n v="-327.62962962962956"/>
    <n v="1.3733892252755784"/>
    <n v="15.38"/>
    <n v="2.91"/>
    <n v="4.45"/>
    <n v="10.505938242280285"/>
    <s v="NO"/>
    <n v="-31.763945010376137"/>
    <n v="-9.1583729982745596E-2"/>
    <n v="0.69834568494697669"/>
    <n v="-1.1232350193904967"/>
    <n v="4.9566779228197024"/>
    <n v="-0.15727508710927482"/>
    <x v="1"/>
    <x v="0"/>
    <x v="1"/>
    <x v="0"/>
    <x v="1"/>
    <x v="0"/>
  </r>
  <r>
    <x v="1"/>
    <s v="WT"/>
    <n v="1364"/>
    <n v="9.5299999999999994"/>
    <n v="0.82"/>
    <n v="2.92"/>
    <n v="0.36"/>
    <n v="11.621951219512194"/>
    <n v="3.2636986301369864"/>
    <n v="14.25"/>
    <n v="9.18"/>
    <n v="2.46"/>
    <n v="26.472222222222221"/>
    <s v="NO"/>
    <n v="0.33426000963050451"/>
    <n v="1.6662558406454833"/>
    <n v="0.52236880161054489"/>
    <n v="1.6267652323686941"/>
    <n v="0.63199258738642039"/>
    <n v="1.5983449909747662"/>
    <x v="0"/>
    <x v="0"/>
    <x v="1"/>
    <x v="0"/>
    <x v="0"/>
    <x v="0"/>
  </r>
  <r>
    <x v="1"/>
    <s v="OPY"/>
    <n v="630"/>
    <n v="63.09"/>
    <n v="-12.3"/>
    <n v="82.87"/>
    <n v="6.74"/>
    <n v="-5.1292682926829265"/>
    <n v="0.76131289972245686"/>
    <n v="9.1"/>
    <n v="2.23"/>
    <n v="4.0999999999999996"/>
    <n v="9.3605341246290799"/>
    <s v="NO"/>
    <n v="-1.2506525113126825"/>
    <n v="-0.66076673385236206"/>
    <n v="-0.27964973748912147"/>
    <n v="-1.4214806607296115"/>
    <n v="4.1960548738741492"/>
    <n v="-0.28322139177195216"/>
    <x v="0"/>
    <x v="0"/>
    <x v="1"/>
    <x v="0"/>
    <x v="1"/>
    <x v="0"/>
  </r>
  <r>
    <x v="1"/>
    <s v="TIGR"/>
    <n v="1614"/>
    <n v="9.9700000000000006"/>
    <n v="5.16"/>
    <n v="3.74"/>
    <n v="0.37"/>
    <n v="1.932170542635659"/>
    <n v="2.6657754010695189"/>
    <n v="10.6"/>
    <n v="1.21"/>
    <n v="9.75"/>
    <n v="26.945945945945947"/>
    <s v="NO"/>
    <n v="-0.58253620982053478"/>
    <n v="1.110234107087182"/>
    <n v="-4.6052104741645832E-2"/>
    <n v="-1.868849122738284"/>
    <n v="16.474684092566633"/>
    <n v="1.6504346871043685"/>
    <x v="0"/>
    <x v="0"/>
    <x v="1"/>
    <x v="0"/>
    <x v="1"/>
    <x v="0"/>
  </r>
  <r>
    <x v="1"/>
    <s v="WTF"/>
    <n v="295"/>
    <n v="7.19"/>
    <m/>
    <m/>
    <m/>
    <s v=""/>
    <s v=""/>
    <n v="20.05"/>
    <n v="6.8"/>
    <n v="2.14"/>
    <s v=""/>
    <s v="NO"/>
    <e v="#VALUE!"/>
    <e v="#VALUE!"/>
    <n v="1.4256129815674508"/>
    <n v="0.58290548768179218"/>
    <n v="-6.3434200220941137E-2"/>
    <e v="#VALUE!"/>
    <x v="1"/>
    <x v="1"/>
    <x v="1"/>
    <x v="0"/>
    <x v="0"/>
    <x v="1"/>
  </r>
  <r>
    <x v="1"/>
    <s v="CNCK"/>
    <n v="1014"/>
    <n v="7.67"/>
    <n v="2.99"/>
    <n v="0.46"/>
    <n v="-34.11"/>
    <n v="2.5652173913043477"/>
    <n v="16.673913043478262"/>
    <n v="17.16"/>
    <n v="0.28000000000000003"/>
    <n v="130.34"/>
    <n v="-0.22486074464966285"/>
    <s v="NO"/>
    <n v="-0.52264063767617852"/>
    <n v="14.136704057088979"/>
    <n v="0.97554820914064766"/>
    <n v="-2.2767438969226612"/>
    <n v="278.54192258497841"/>
    <n v="-1.3372118951358232"/>
    <x v="0"/>
    <x v="1"/>
    <x v="1"/>
    <x v="0"/>
    <x v="1"/>
    <x v="0"/>
  </r>
  <r>
    <x v="1"/>
    <s v="DFIN"/>
    <n v="1452"/>
    <n v="55.38"/>
    <n v="3.25"/>
    <n v="14.89"/>
    <n v="3.01"/>
    <n v="17.04"/>
    <n v="3.7192746809939559"/>
    <n v="21.74"/>
    <n v="10.56"/>
    <n v="2.0299999999999998"/>
    <n v="18.398671096345517"/>
    <s v="NO"/>
    <n v="0.84688736461349745"/>
    <n v="2.0899058566520607"/>
    <n v="1.688799647796273"/>
    <n v="2.2320284456745449"/>
    <n v="-0.30248715846097246"/>
    <n v="0.71059374742719261"/>
    <x v="0"/>
    <x v="0"/>
    <x v="1"/>
    <x v="0"/>
    <x v="0"/>
    <x v="0"/>
  </r>
  <r>
    <x v="1"/>
    <s v="VALU"/>
    <n v="373"/>
    <n v="39.75"/>
    <n v="1.93"/>
    <n v="10.51"/>
    <n v="2.2799999999999998"/>
    <n v="20.595854922279795"/>
    <n v="3.7821122740247386"/>
    <n v="22.87"/>
    <n v="2.99"/>
    <n v="1.45"/>
    <n v="17.434210526315791"/>
    <s v="NO"/>
    <n v="1.1833237049573053"/>
    <n v="2.1483398925133175"/>
    <n v="1.8647765311327049"/>
    <n v="-1.0881472968800125"/>
    <n v="-1.5629482109993156"/>
    <n v="0.60454362684862051"/>
    <x v="0"/>
    <x v="0"/>
    <x v="1"/>
    <x v="0"/>
    <x v="0"/>
    <x v="0"/>
  </r>
  <r>
    <x v="2"/>
    <s v="ATLC"/>
    <n v="813"/>
    <n v="57.72"/>
    <n v="29.96"/>
    <n v="33.07"/>
    <n v="4.7699999999999996"/>
    <n v="1.9265687583444593"/>
    <n v="1.7453885697006351"/>
    <n v="19.8"/>
    <n v="3.68"/>
    <n v="6.64"/>
    <n v="12.10062893081761"/>
    <s v="NO"/>
    <n v="-0.44953411423078338"/>
    <n v="1.1246325203316803"/>
    <n v="0.30574235173990238"/>
    <n v="-0.49280468464247817"/>
    <n v="1.2897124261898647"/>
    <n v="-4.2642885255122158E-2"/>
    <x v="0"/>
    <x v="0"/>
    <x v="1"/>
    <x v="0"/>
    <x v="0"/>
    <x v="0"/>
  </r>
  <r>
    <x v="2"/>
    <s v="DAVE"/>
    <n v="1438"/>
    <n v="181.76"/>
    <n v="9.39"/>
    <n v="14.07"/>
    <n v="4.1900000000000004"/>
    <n v="19.356762513312031"/>
    <n v="12.918265813788201"/>
    <n v="42.84"/>
    <n v="7.29"/>
    <n v="1.63"/>
    <n v="43.37947494033412"/>
    <s v="NO"/>
    <n v="2.0064903934917808"/>
    <n v="20.259653263025104"/>
    <n v="1.7820197776750797"/>
    <n v="0.1049225181802909"/>
    <n v="-0.83906290982933696"/>
    <n v="1.8185146487052894"/>
    <x v="0"/>
    <x v="1"/>
    <x v="1"/>
    <x v="0"/>
    <x v="0"/>
    <x v="0"/>
  </r>
  <r>
    <x v="2"/>
    <s v="ECPG"/>
    <n v="772"/>
    <n v="40.32"/>
    <n v="5.32"/>
    <n v="32.39"/>
    <n v="-5.83"/>
    <n v="7.5789473684210522"/>
    <n v="1.2448286508181536"/>
    <n v="-16.34"/>
    <n v="3.67"/>
    <n v="6.24"/>
    <n v="-6.9159519725557459"/>
    <s v="NO"/>
    <n v="0.34692177079450287"/>
    <n v="0.26735787016528734"/>
    <n v="-2.0099115620316819"/>
    <n v="-0.49446043866691802"/>
    <n v="1.1197503235136812"/>
    <n v="-1.1741696943871733"/>
    <x v="0"/>
    <x v="0"/>
    <x v="1"/>
    <x v="0"/>
    <x v="0"/>
    <x v="0"/>
  </r>
  <r>
    <x v="2"/>
    <s v="EZPW"/>
    <n v="896"/>
    <n v="14.17"/>
    <n v="1.89"/>
    <n v="15.48"/>
    <n v="1.19"/>
    <n v="7.4973544973544977"/>
    <n v="0.9153746770025839"/>
    <n v="10.84"/>
    <n v="4.7"/>
    <n v="2.15"/>
    <n v="11.907563025210084"/>
    <s v="NO"/>
    <n v="0.33542481936573326"/>
    <n v="-0.29687536045216129"/>
    <n v="-0.26836553612377767"/>
    <n v="-0.3239177741496182"/>
    <n v="-0.61811217635029803"/>
    <n v="-5.4130715230147834E-2"/>
    <x v="0"/>
    <x v="0"/>
    <x v="1"/>
    <x v="0"/>
    <x v="0"/>
    <x v="0"/>
  </r>
  <r>
    <x v="2"/>
    <s v="GDOT"/>
    <n v="469"/>
    <n v="10.45"/>
    <n v="0.13"/>
    <n v="16.11"/>
    <n v="-0.5"/>
    <n v="80.384615384615373"/>
    <n v="0.64866542520173798"/>
    <n v="-3.08"/>
    <n v="-0.52"/>
    <n v="6.22"/>
    <n v="-20.9"/>
    <s v="NO"/>
    <n v="10.605700730031536"/>
    <n v="-0.75365000801915938"/>
    <n v="-1.1602831476262805"/>
    <n v="-1.1882213749071957"/>
    <n v="1.1112522183798716"/>
    <n v="-2.0062501468956704"/>
    <x v="1"/>
    <x v="0"/>
    <x v="1"/>
    <x v="0"/>
    <x v="0"/>
    <x v="0"/>
  </r>
  <r>
    <x v="2"/>
    <s v="JFIN"/>
    <n v="669"/>
    <n v="13.35"/>
    <n v="1.77"/>
    <n v="8.0299999999999994"/>
    <n v="2.72"/>
    <n v="7.5423728813559316"/>
    <n v="1.6625155666251556"/>
    <n v="38.36"/>
    <n v="14.11"/>
    <n v="1.73"/>
    <n v="4.9080882352941169"/>
    <s v="NO"/>
    <n v="0.3417681943138216"/>
    <n v="0.98270161048500204"/>
    <n v="1.4949658337432394"/>
    <n v="1.2341467628482368"/>
    <n v="-0.79657238416029097"/>
    <n v="-0.47061427843623932"/>
    <x v="0"/>
    <x v="0"/>
    <x v="1"/>
    <x v="0"/>
    <x v="0"/>
    <x v="0"/>
  </r>
  <r>
    <x v="2"/>
    <s v="LC"/>
    <n v="1174"/>
    <n v="11.4"/>
    <n v="-19.399999999999999"/>
    <n v="11.95"/>
    <n v="0.44"/>
    <n v="-0.58762886597938147"/>
    <n v="0.95397489539748959"/>
    <n v="3.86"/>
    <n v="0.41"/>
    <n v="7.68"/>
    <n v="25.90909090909091"/>
    <s v="NO"/>
    <n v="-0.80380045626942864"/>
    <n v="-0.2307674131863954"/>
    <n v="-0.71560583269615341"/>
    <n v="-1.0342362506342939"/>
    <n v="1.7316138931479426"/>
    <n v="0.77898982572948905"/>
    <x v="0"/>
    <x v="0"/>
    <x v="1"/>
    <x v="0"/>
    <x v="0"/>
    <x v="0"/>
  </r>
  <r>
    <x v="2"/>
    <s v="LX"/>
    <n v="1366"/>
    <n v="8.7799999999999994"/>
    <n v="0.69"/>
    <n v="8.74"/>
    <n v="0.89"/>
    <n v="12.72463768115942"/>
    <n v="1.0045766590389016"/>
    <n v="10.76"/>
    <n v="6.3"/>
    <n v="2.0699999999999998"/>
    <n v="9.8651685393258415"/>
    <s v="NO"/>
    <n v="1.0719820710355272"/>
    <n v="-0.14410524231114724"/>
    <n v="-0.27349149940827483"/>
    <n v="-5.8997130239249684E-2"/>
    <n v="-0.6521045968855349"/>
    <n v="-0.17565750952320291"/>
    <x v="0"/>
    <x v="0"/>
    <x v="1"/>
    <x v="0"/>
    <x v="0"/>
    <x v="0"/>
  </r>
  <r>
    <x v="2"/>
    <s v="NAVI"/>
    <n v="1273"/>
    <n v="13.78"/>
    <n v="3.28"/>
    <n v="25.55"/>
    <n v="0.52"/>
    <n v="4.2012195121951219"/>
    <n v="0.53933463796477488"/>
    <n v="2.09"/>
    <n v="0.1"/>
    <n v="19.68"/>
    <n v="26.499999999999996"/>
    <s v="NO"/>
    <n v="-0.12902144084901659"/>
    <n v="-0.94089335061485058"/>
    <n v="-0.82901777036565272"/>
    <n v="-1.085564625391928"/>
    <n v="6.8304769734334556"/>
    <n v="0.81415016719785849"/>
    <x v="0"/>
    <x v="0"/>
    <x v="1"/>
    <x v="0"/>
    <x v="1"/>
    <x v="0"/>
  </r>
  <r>
    <x v="2"/>
    <s v="NRDS"/>
    <n v="813"/>
    <n v="11.61"/>
    <n v="0.66"/>
    <n v="4.91"/>
    <n v="0.38"/>
    <n v="17.59090909090909"/>
    <n v="2.3645621181262726"/>
    <n v="8.32"/>
    <n v="2.89"/>
    <n v="1.2"/>
    <n v="30.552631578947366"/>
    <s v="NO"/>
    <n v="1.7576704811353068"/>
    <n v="2.1850486005961711"/>
    <n v="-0.42983337958543766"/>
    <n v="-0.62360925257322264"/>
    <n v="-1.0217721702062343"/>
    <n v="1.055290322855422"/>
    <x v="0"/>
    <x v="0"/>
    <x v="1"/>
    <x v="0"/>
    <x v="0"/>
    <x v="0"/>
  </r>
  <r>
    <x v="2"/>
    <s v="OPFI"/>
    <n v="263"/>
    <n v="12.43"/>
    <n v="15.43"/>
    <n v="1.49"/>
    <n v="0.36"/>
    <n v="0.80557355800388852"/>
    <n v="8.3422818791946316"/>
    <n v="39.15"/>
    <n v="13.49"/>
    <n v="19.559999999999999"/>
    <n v="34.527777777777779"/>
    <s v="NO"/>
    <n v="-0.60748942578841614"/>
    <n v="12.422679348985602"/>
    <n v="1.5455847211776486"/>
    <n v="1.1314900133329691"/>
    <n v="6.7794883426306001"/>
    <n v="1.2918199344113082"/>
    <x v="0"/>
    <x v="1"/>
    <x v="1"/>
    <x v="0"/>
    <x v="1"/>
    <x v="0"/>
  </r>
  <r>
    <x v="2"/>
    <s v="PRAA"/>
    <n v="527"/>
    <n v="15.22"/>
    <n v="-2.5"/>
    <n v="30.75"/>
    <n v="1.79"/>
    <n v="-6.0880000000000001"/>
    <n v="0.49495934959349597"/>
    <n v="6.93"/>
    <n v="4.5199999999999996"/>
    <n v="4.22"/>
    <n v="8.5027932960893864"/>
    <s v="NO"/>
    <n v="-1.5788375268053969"/>
    <n v="-1.0168918642382558"/>
    <n v="-0.5188969916535755"/>
    <n v="-0.35372134658953475"/>
    <n v="0.26144170499895286"/>
    <n v="-0.25672171973285157"/>
    <x v="0"/>
    <x v="0"/>
    <x v="1"/>
    <x v="0"/>
    <x v="0"/>
    <x v="0"/>
  </r>
  <r>
    <x v="2"/>
    <s v="PRG"/>
    <n v="1082"/>
    <n v="28.79"/>
    <n v="4.8899999999999997"/>
    <n v="16.22"/>
    <n v="4.9000000000000004"/>
    <n v="5.887525562372188"/>
    <n v="1.7749691738594329"/>
    <n v="33.880000000000003"/>
    <n v="17.04"/>
    <n v="2.25"/>
    <n v="5.8755102040816318"/>
    <s v="NO"/>
    <n v="0.10858974379862163"/>
    <n v="1.175293192761383"/>
    <n v="1.2079118898113996"/>
    <n v="1.7192826920090991"/>
    <n v="-0.57562165068125215"/>
    <n v="-0.41305062390819525"/>
    <x v="0"/>
    <x v="0"/>
    <x v="1"/>
    <x v="0"/>
    <x v="0"/>
    <x v="0"/>
  </r>
  <r>
    <x v="2"/>
    <s v="QD"/>
    <n v="484"/>
    <n v="2.99"/>
    <n v="-0.32"/>
    <n v="9.17"/>
    <n v="7.0000000000000007E-2"/>
    <n v="-9.34375"/>
    <n v="0.32606324972737188"/>
    <n v="0.8"/>
    <n v="-1.62"/>
    <n v="1.1000000000000001"/>
    <n v="42.714285714285715"/>
    <s v="NO"/>
    <n v="-2.0375932872649636"/>
    <n v="-1.3061486334387333"/>
    <n v="-0.91167392832816907"/>
    <n v="-1.3703543175955741"/>
    <n v="-1.0642626958752803"/>
    <n v="1.7789344819947714"/>
    <x v="0"/>
    <x v="0"/>
    <x v="1"/>
    <x v="0"/>
    <x v="0"/>
    <x v="0"/>
  </r>
  <r>
    <x v="2"/>
    <s v="RM"/>
    <n v="285"/>
    <n v="29.98"/>
    <n v="26.52"/>
    <n v="35.479999999999997"/>
    <n v="3.29"/>
    <n v="1.1304675716440422"/>
    <n v="0.84498308906426167"/>
    <n v="9.51"/>
    <n v="4.0999999999999996"/>
    <n v="5.31"/>
    <n v="9.1124620060790278"/>
    <s v="NO"/>
    <n v="-0.56170980502630308"/>
    <n v="-0.41743020643184814"/>
    <n v="-0.35358467572854269"/>
    <n v="-0.42326301561600649"/>
    <n v="0.72458843479155355"/>
    <n v="-0.22044514122762413"/>
    <x v="0"/>
    <x v="0"/>
    <x v="1"/>
    <x v="0"/>
    <x v="0"/>
    <x v="0"/>
  </r>
  <r>
    <x v="2"/>
    <s v="TREE"/>
    <n v="508"/>
    <n v="40.32"/>
    <n v="3.33"/>
    <n v="7.67"/>
    <n v="-4.13"/>
    <n v="12.108108108108109"/>
    <n v="5.256844850065189"/>
    <n v="-46.84"/>
    <n v="3.71"/>
    <n v="7.49"/>
    <n v="-9.7627118644067803"/>
    <s v="NO"/>
    <n v="0.98510915599875659"/>
    <n v="7.1384629145923171"/>
    <n v="-3.9641850642462177"/>
    <n v="-0.4878374225691588"/>
    <n v="1.6508818943767554"/>
    <n v="-1.3435579326387665"/>
    <x v="0"/>
    <x v="1"/>
    <x v="0"/>
    <x v="0"/>
    <x v="0"/>
    <x v="0"/>
  </r>
  <r>
    <x v="2"/>
    <s v="WRLD"/>
    <n v="711"/>
    <n v="149.52000000000001"/>
    <n v="44.02"/>
    <n v="84.52"/>
    <n v="16.3"/>
    <n v="3.396637891867333"/>
    <n v="1.7690487458589685"/>
    <n v="20.78"/>
    <n v="9.3699999999999992"/>
    <n v="2.29"/>
    <n v="9.1730061349693255"/>
    <s v="NO"/>
    <n v="-0.24239207836272775"/>
    <n v="1.16515368168294"/>
    <n v="0.3685354019749924"/>
    <n v="0.44931935526376993"/>
    <n v="-0.55862544041363371"/>
    <n v="-0.21684263742722928"/>
    <x v="0"/>
    <x v="0"/>
    <x v="1"/>
    <x v="0"/>
    <x v="0"/>
    <x v="0"/>
  </r>
  <r>
    <x v="2"/>
    <s v="XYF"/>
    <n v="542"/>
    <n v="14.92"/>
    <n v="4.3"/>
    <n v="22.8"/>
    <n v="4.32"/>
    <n v="3.4697674418604652"/>
    <n v="0.65438596491228063"/>
    <n v="24.06"/>
    <n v="19.71"/>
    <n v="1.7"/>
    <n v="3.4537037037037033"/>
    <s v="YES"/>
    <n v="-0.23208766238509887"/>
    <n v="-0.74385283190872098"/>
    <n v="0.57869989663937504"/>
    <n v="2.1613690165345272"/>
    <n v="-0.80931954186100485"/>
    <n v="-0.55715323602506572"/>
    <x v="0"/>
    <x v="0"/>
    <x v="1"/>
    <x v="0"/>
    <x v="0"/>
    <x v="0"/>
  </r>
  <r>
    <x v="2"/>
    <s v="YRD"/>
    <n v="542"/>
    <n v="6.51"/>
    <n v="2.2400000000000002"/>
    <n v="13.68"/>
    <n v="2.48"/>
    <n v="2.9062499999999996"/>
    <n v="0.47587719298245612"/>
    <n v="17.95"/>
    <n v="13.52"/>
    <n v="1.36"/>
    <n v="2.625"/>
    <s v="YES"/>
    <n v="-0.31149083295191987"/>
    <n v="-1.0495725654211847"/>
    <n v="0.18720445078590586"/>
    <n v="1.1364572754062885"/>
    <n v="-0.95378732913576081"/>
    <n v="-0.60646286020684625"/>
    <x v="0"/>
    <x v="0"/>
    <x v="1"/>
    <x v="0"/>
    <x v="0"/>
    <x v="0"/>
  </r>
  <r>
    <x v="3"/>
    <s v="ALRS"/>
    <n v="533"/>
    <n v="22.32"/>
    <n v="0.79"/>
    <n v="20.27"/>
    <n v="1.08"/>
    <n v="28.253164556962023"/>
    <n v="1.1011346817957572"/>
    <n v="5.57"/>
    <n v="0.51"/>
    <n v="10.38"/>
    <n v="20.666666666666664"/>
    <s v="NO"/>
    <n v="1.6788237295798616"/>
    <n v="-0.43474202112516808"/>
    <n v="-9.4929135539332951E-2"/>
    <n v="-0.56325551086512837"/>
    <n v="1.4396578141409553"/>
    <n v="0.30952230912552359"/>
    <x v="0"/>
    <x v="0"/>
    <x v="1"/>
    <x v="0"/>
    <x v="0"/>
    <x v="0"/>
  </r>
  <r>
    <x v="3"/>
    <s v="NEWT"/>
    <n v="270"/>
    <n v="11.57"/>
    <n v="-6.15"/>
    <n v="10.52"/>
    <n v="1.96"/>
    <n v="-1.8813008130081301"/>
    <n v="1.099809885931559"/>
    <n v="18.649999999999999"/>
    <n v="5.86"/>
    <n v="7.45"/>
    <n v="5.9030612244897958"/>
    <s v="NO"/>
    <n v="-0.54684668675874981"/>
    <n v="-0.43613694351850524"/>
    <n v="1.5464100486701515"/>
    <n v="1.6433217133295246"/>
    <n v="0.6075020841285268"/>
    <n v="-0.4421897220866991"/>
    <x v="0"/>
    <x v="0"/>
    <x v="1"/>
    <x v="0"/>
    <x v="0"/>
    <x v="0"/>
  </r>
  <r>
    <x v="3"/>
    <s v="CNNE"/>
    <n v="1126"/>
    <n v="17.8"/>
    <n v="-1.51"/>
    <n v="29.25"/>
    <n v="-4.7300000000000004"/>
    <n v="-11.788079470198676"/>
    <n v="0.60854700854700861"/>
    <n v="-15.04"/>
    <n v="-2.35"/>
    <n v="1.21"/>
    <n v="-3.7632135306553911"/>
    <s v="NO"/>
    <n v="-1.2785412400822818"/>
    <n v="-0.95340425027728026"/>
    <n v="-2.6811677124932682"/>
    <n v="-1.742846326042083"/>
    <n v="-1.1647340098228565"/>
    <n v="-0.93436319955496583"/>
    <x v="0"/>
    <x v="0"/>
    <x v="1"/>
    <x v="0"/>
    <x v="0"/>
    <x v="0"/>
  </r>
  <r>
    <x v="3"/>
    <s v="CODI"/>
    <n v="1298"/>
    <n v="7.66"/>
    <n v="-1.99"/>
    <n v="11.67"/>
    <n v="-1.25"/>
    <n v="-3.8492462311557789"/>
    <n v="0.65638389031705224"/>
    <n v="2.74"/>
    <n v="4.12"/>
    <n v="4.62"/>
    <n v="-6.1280000000000001"/>
    <s v="NO"/>
    <n v="-0.69219513891695961"/>
    <n v="-0.90303517877595663"/>
    <n v="-0.45005068686294464"/>
    <n v="0.9256685600400486"/>
    <n v="-0.1962524264295524"/>
    <n v="-1.0547699963375348"/>
    <x v="0"/>
    <x v="0"/>
    <x v="1"/>
    <x v="0"/>
    <x v="0"/>
    <x v="0"/>
  </r>
  <r>
    <x v="3"/>
    <s v="ACTG"/>
    <n v="295"/>
    <n v="3.88"/>
    <n v="-1.1299999999999999"/>
    <n v="5.36"/>
    <n v="-0.36"/>
    <n v="-3.4336283185840708"/>
    <n v="0.72388059701492535"/>
    <n v="-6.08"/>
    <n v="-2.64"/>
    <n v="1.47"/>
    <n v="-10.777777777777779"/>
    <s v="NO"/>
    <n v="-0.66149844391492796"/>
    <n v="-0.83196561236667566"/>
    <n v="-1.5568252743803495"/>
    <n v="-1.8624551849236624"/>
    <n v="-1.0908908392415488"/>
    <n v="-1.2915206946482187"/>
    <x v="0"/>
    <x v="0"/>
    <x v="1"/>
    <x v="0"/>
    <x v="0"/>
    <x v="0"/>
  </r>
  <r>
    <x v="3"/>
    <s v="BLX"/>
    <n v="1466"/>
    <n v="40.909999999999997"/>
    <n v="-30.8"/>
    <n v="36.35"/>
    <n v="5.6"/>
    <n v="-1.328246753246753"/>
    <n v="1.1254470426409902"/>
    <n v="16.2"/>
    <n v="1.82"/>
    <n v="8.8699999999999992"/>
    <n v="7.3053571428571429"/>
    <s v="NO"/>
    <n v="-0.50599923702521288"/>
    <n v="-0.40914271371909089"/>
    <n v="1.2389726632486502"/>
    <n v="-2.2953424193166587E-2"/>
    <n v="1.0107994003802836"/>
    <n v="-0.37078963507644236"/>
    <x v="0"/>
    <x v="0"/>
    <x v="1"/>
    <x v="0"/>
    <x v="0"/>
    <x v="0"/>
  </r>
  <r>
    <x v="3"/>
    <s v="AGM"/>
    <n v="1901"/>
    <n v="193.88"/>
    <n v="53.54"/>
    <n v="98.97"/>
    <n v="16.440000000000001"/>
    <n v="3.6212177810982444"/>
    <n v="1.9589774679195715"/>
    <n v="14.28"/>
    <n v="0.68"/>
    <n v="29.06"/>
    <n v="11.793187347931871"/>
    <s v="NO"/>
    <n v="-0.14044183769645444"/>
    <n v="0.46850967573236474"/>
    <n v="0.99804214079588172"/>
    <n v="-0.49313997290006467"/>
    <n v="6.7450056082133649"/>
    <n v="-0.14228475038515484"/>
    <x v="0"/>
    <x v="0"/>
    <x v="1"/>
    <x v="0"/>
    <x v="1"/>
    <x v="0"/>
  </r>
  <r>
    <x v="3"/>
    <s v="GHI"/>
    <n v="265"/>
    <n v="11.51"/>
    <n v="0.78"/>
    <n v="13.15"/>
    <n v="0.76"/>
    <n v="14.756410256410255"/>
    <n v="0.87528517110266157"/>
    <n v="5.23"/>
    <n v="1.38"/>
    <n v="5.16"/>
    <n v="15.144736842105262"/>
    <s v="NO"/>
    <n v="0.68198086561904836"/>
    <n v="-0.67254661314109787"/>
    <n v="-0.13759391555701067"/>
    <n v="-0.20442893422039046"/>
    <n v="-4.2885841376067317E-2"/>
    <n v="2.8364627088447922E-2"/>
    <x v="0"/>
    <x v="0"/>
    <x v="1"/>
    <x v="0"/>
    <x v="0"/>
    <x v="0"/>
  </r>
  <r>
    <x v="3"/>
    <s v="GHLD"/>
    <n v="774"/>
    <n v="12.8"/>
    <n v="-10.9"/>
    <n v="20.239999999999998"/>
    <n v="1.56"/>
    <n v="-1.1743119266055047"/>
    <n v="0.63241106719367601"/>
    <n v="7.95"/>
    <n v="3.52"/>
    <n v="3.8"/>
    <n v="8.2051282051282062"/>
    <s v="NO"/>
    <n v="-0.49462992333428346"/>
    <n v="-0.92827697542554666"/>
    <n v="0.20372432458441117"/>
    <n v="0.67820195545747075"/>
    <n v="-0.42914242595521501"/>
    <n v="-0.3249763860367802"/>
    <x v="0"/>
    <x v="0"/>
    <x v="1"/>
    <x v="0"/>
    <x v="0"/>
    <x v="0"/>
  </r>
  <r>
    <x v="3"/>
    <s v="MBIN"/>
    <n v="1379"/>
    <n v="32.92"/>
    <n v="-19.809999999999999"/>
    <n v="35.08"/>
    <n v="5.44"/>
    <n v="-1.6617869762746089"/>
    <n v="0.93842645381984047"/>
    <n v="14.81"/>
    <n v="1.59"/>
    <n v="11.68"/>
    <n v="6.0514705882352944"/>
    <s v="NO"/>
    <n v="-0.53063384055768015"/>
    <n v="-0.60606302001821832"/>
    <n v="1.0645490037646148"/>
    <n v="-0.11781562261648811"/>
    <n v="1.8088736670474932"/>
    <n v="-0.43463322752248279"/>
    <x v="0"/>
    <x v="0"/>
    <x v="1"/>
    <x v="0"/>
    <x v="0"/>
    <x v="0"/>
  </r>
  <r>
    <x v="3"/>
    <s v="ONIT"/>
    <n v="297"/>
    <n v="38.5"/>
    <n v="-65.099999999999994"/>
    <n v="57.66"/>
    <n v="2.98"/>
    <n v="-0.59139784946236562"/>
    <n v="0.66770724939299342"/>
    <n v="5.5"/>
    <n v="2.2799999999999998"/>
    <n v="35.33"/>
    <n v="12.919463087248323"/>
    <s v="NO"/>
    <n v="-0.45157707335547892"/>
    <n v="-0.89111243084951453"/>
    <n v="-0.10371306083709016"/>
    <n v="0.16677097265347637"/>
    <n v="8.5257620680010522"/>
    <n v="-8.4938661923054742E-2"/>
    <x v="0"/>
    <x v="0"/>
    <x v="1"/>
    <x v="0"/>
    <x v="1"/>
    <x v="0"/>
  </r>
  <r>
    <x v="3"/>
    <s v="RKT"/>
    <n v="1754"/>
    <n v="12.61"/>
    <n v="-22.24"/>
    <n v="4.8099999999999996"/>
    <n v="0.21"/>
    <n v="-0.56699640287769781"/>
    <n v="2.6216216216216219"/>
    <n v="7.33"/>
    <n v="3.25"/>
    <n v="34.89"/>
    <n v="60.047619047619044"/>
    <s v="NO"/>
    <n v="-0.44977483206423358"/>
    <n v="1.1662301274582514"/>
    <n v="0.1259238433757047"/>
    <n v="0.56684198339531067"/>
    <n v="8.4007967024019177"/>
    <n v="2.3146650109744153"/>
    <x v="0"/>
    <x v="0"/>
    <x v="1"/>
    <x v="0"/>
    <x v="1"/>
    <x v="0"/>
  </r>
  <r>
    <x v="3"/>
    <s v="UWMC"/>
    <n v="645"/>
    <n v="4.24"/>
    <n v="-32.049999999999997"/>
    <n v="1.02"/>
    <n v="0.13"/>
    <n v="-0.13229329173166929"/>
    <n v="4.1568627450980395"/>
    <n v="14.55"/>
    <n v="3.73"/>
    <n v="97.02"/>
    <n v="32.615384615384613"/>
    <s v="NO"/>
    <n v="-0.41766854305297352"/>
    <n v="2.7827374552536179"/>
    <n v="1.0319229955158027"/>
    <n v="0.76481526706137304"/>
    <n v="26.046474349389001"/>
    <n v="0.91790994687374083"/>
    <x v="0"/>
    <x v="0"/>
    <x v="1"/>
    <x v="0"/>
    <x v="1"/>
    <x v="0"/>
  </r>
  <r>
    <x v="3"/>
    <s v="VEL"/>
    <n v="610"/>
    <n v="16.7"/>
    <n v="0.78"/>
    <n v="15.92"/>
    <n v="1.94"/>
    <n v="21.410256410256409"/>
    <n v="1.0489949748743719"/>
    <n v="13.65"/>
    <n v="1.32"/>
    <n v="10.6"/>
    <n v="8.608247422680412"/>
    <s v="NO"/>
    <n v="1.1734204301729858"/>
    <n v="-0.48964168282564946"/>
    <n v="0.91898681311606722"/>
    <n v="-0.22917559467864818"/>
    <n v="1.502140496940523"/>
    <n v="-0.30445094142003692"/>
    <x v="0"/>
    <x v="0"/>
    <x v="1"/>
    <x v="0"/>
    <x v="0"/>
    <x v="0"/>
  </r>
  <r>
    <x v="3"/>
    <s v="CASS"/>
    <n v="561"/>
    <n v="43.48"/>
    <n v="2.19"/>
    <n v="17.48"/>
    <n v="1.51"/>
    <n v="19.853881278538811"/>
    <n v="2.4874141876430205"/>
    <n v="8.91"/>
    <n v="1.18"/>
    <n v="9.9"/>
    <n v="28.794701986754966"/>
    <s v="NO"/>
    <n v="1.0584697235697447"/>
    <n v="1.0249185789636643"/>
    <n v="0.32418958581079532"/>
    <n v="-0.28691780241458309"/>
    <n v="1.3033319607600795"/>
    <n v="0.72337392309329462"/>
    <x v="0"/>
    <x v="0"/>
    <x v="1"/>
    <x v="0"/>
    <x v="0"/>
    <x v="0"/>
  </r>
  <r>
    <x v="3"/>
    <s v="CTLP"/>
    <n v="600"/>
    <n v="7.74"/>
    <n v="0.01"/>
    <n v="2.6"/>
    <n v="0.19"/>
    <n v="774"/>
    <n v="2.976923076923077"/>
    <n v="8.36"/>
    <n v="4"/>
    <n v="1.59"/>
    <n v="40.736842105263158"/>
    <s v="NO"/>
    <n v="56.758170562052044"/>
    <n v="1.5403390522964562"/>
    <n v="0.25517302989984597"/>
    <n v="0.87617523912353301"/>
    <n v="-1.0568093758963299"/>
    <n v="1.3314266403420911"/>
    <x v="1"/>
    <x v="0"/>
    <x v="1"/>
    <x v="0"/>
    <x v="0"/>
    <x v="0"/>
  </r>
  <r>
    <x v="3"/>
    <s v="FLYW"/>
    <n v="1328"/>
    <n v="11.1"/>
    <n v="0.69"/>
    <n v="6.57"/>
    <n v="0.02"/>
    <n v="16.086956521739133"/>
    <n v="1.689497716894977"/>
    <n v="0.36"/>
    <n v="-0.4"/>
    <n v="1.38"/>
    <n v="555"/>
    <s v="NO"/>
    <n v="0.78025231075520085"/>
    <n v="0.18476532732843834"/>
    <n v="-0.74870414698668875"/>
    <n v="-0.93857986114870495"/>
    <n v="-1.1164519367504628"/>
    <n v="27.515938581733035"/>
    <x v="0"/>
    <x v="0"/>
    <x v="1"/>
    <x v="0"/>
    <x v="0"/>
    <x v="1"/>
  </r>
  <r>
    <x v="3"/>
    <s v="GB"/>
    <n v="1481"/>
    <n v="7.43"/>
    <n v="0.45"/>
    <n v="0.55000000000000004"/>
    <n v="0.27"/>
    <n v="16.511111111111109"/>
    <n v="13.509090909090908"/>
    <n v="69.23"/>
    <n v="7.32"/>
    <n v="9.09"/>
    <n v="27.518518518518515"/>
    <s v="NO"/>
    <n v="0.81157950736975271"/>
    <n v="12.630014946150572"/>
    <n v="7.8934234995352686"/>
    <n v="2.245490451147131"/>
    <n v="1.0732820831798517"/>
    <n v="0.65839504846373598"/>
    <x v="0"/>
    <x v="1"/>
    <x v="0"/>
    <x v="0"/>
    <x v="0"/>
    <x v="0"/>
  </r>
  <r>
    <x v="3"/>
    <s v="IMXI"/>
    <n v="315"/>
    <n v="11.49"/>
    <n v="0.32"/>
    <n v="4.42"/>
    <n v="1.79"/>
    <n v="35.90625"/>
    <n v="2.5995475113122173"/>
    <n v="41.43"/>
    <n v="12.08"/>
    <n v="3.43"/>
    <n v="6.4189944134078214"/>
    <s v="NO"/>
    <n v="2.2440650788176488"/>
    <n v="1.1429875497783917"/>
    <n v="4.4049503098545593"/>
    <n v="4.2087255141689157"/>
    <n v="-0.5342269379363066"/>
    <n v="-0.4159201779072399"/>
    <x v="0"/>
    <x v="0"/>
    <x v="0"/>
    <x v="1"/>
    <x v="0"/>
    <x v="0"/>
  </r>
  <r>
    <x v="3"/>
    <s v="LSAK"/>
    <n v="310"/>
    <n v="4.24"/>
    <n v="-0.11"/>
    <n v="2.5"/>
    <n v="-0.67"/>
    <n v="-38.545454545454547"/>
    <n v="1.6960000000000002"/>
    <n v="-24.02"/>
    <n v="0.62"/>
    <n v="3.31"/>
    <n v="-6.3283582089552235"/>
    <s v="NO"/>
    <n v="-3.2547866253154791"/>
    <n v="0.19161180123142291"/>
    <n v="-3.8080198435484038"/>
    <n v="-0.51788663335832241"/>
    <n v="-0.56830840128152549"/>
    <n v="-1.0649715474974908"/>
    <x v="1"/>
    <x v="0"/>
    <x v="0"/>
    <x v="0"/>
    <x v="0"/>
    <x v="0"/>
  </r>
  <r>
    <x v="3"/>
    <s v="MQ"/>
    <n v="1923"/>
    <n v="4.83"/>
    <n v="7.0000000000000007E-2"/>
    <n v="2.15"/>
    <n v="0.05"/>
    <n v="69"/>
    <n v="2.246511627906977"/>
    <n v="2.34"/>
    <n v="-1"/>
    <n v="1.35"/>
    <n v="96.6"/>
    <s v="NO"/>
    <n v="4.6883022483313965"/>
    <n v="0.77126412225124474"/>
    <n v="-0.5002445457072715"/>
    <n v="-1.1860464657312828"/>
    <n v="-1.1249723025867677"/>
    <n v="4.1757865804293237"/>
    <x v="1"/>
    <x v="0"/>
    <x v="1"/>
    <x v="0"/>
    <x v="0"/>
    <x v="1"/>
  </r>
  <r>
    <x v="3"/>
    <s v="PRTH"/>
    <n v="489"/>
    <n v="7.58"/>
    <n v="-0.32"/>
    <n v="-2.15"/>
    <n v="-0.31"/>
    <n v="-23.6875"/>
    <n v="-3.5255813953488375"/>
    <n v="-91.51"/>
    <n v="4.95"/>
    <n v="-10.95"/>
    <n v="-24.451612903225808"/>
    <s v="NO"/>
    <n v="-2.1574082755380815"/>
    <n v="-5.306367935754829"/>
    <n v="-12.276978677057434"/>
    <n v="1.267997363045948"/>
    <n v="-4.6183222954717049"/>
    <n v="-1.9877453680093069"/>
    <x v="0"/>
    <x v="1"/>
    <x v="0"/>
    <x v="0"/>
    <x v="1"/>
    <x v="0"/>
  </r>
  <r>
    <x v="3"/>
    <s v="PSFE"/>
    <n v="886"/>
    <n v="13.79"/>
    <n v="2.19"/>
    <n v="14.68"/>
    <n v="0.36"/>
    <n v="6.2968036529680367"/>
    <n v="0.93937329700272476"/>
    <n v="2.5099999999999998"/>
    <n v="1.71"/>
    <n v="5.47"/>
    <n v="38.305555555555557"/>
    <s v="NO"/>
    <n v="5.7171501325264037E-2"/>
    <n v="-0.60506605679205117"/>
    <n v="-0.4789121556984326"/>
    <n v="-6.8322301699972582E-2"/>
    <n v="4.5157938932414744E-2"/>
    <n v="1.2076338880975435"/>
    <x v="0"/>
    <x v="0"/>
    <x v="1"/>
    <x v="0"/>
    <x v="0"/>
    <x v="0"/>
  </r>
  <r>
    <x v="3"/>
    <s v="RPAY"/>
    <n v="336"/>
    <n v="3.95"/>
    <n v="1.17"/>
    <n v="8.6300000000000008"/>
    <n v="-0.11"/>
    <n v="3.3760683760683765"/>
    <n v="0.45770567786790267"/>
    <n v="-1.29"/>
    <n v="-0.31"/>
    <n v="2.06"/>
    <n v="-35.909090909090914"/>
    <s v="NO"/>
    <n v="-0.15854807491218803"/>
    <n v="-1.1122301914591015"/>
    <n v="-0.95575381471953669"/>
    <n v="-0.90145987046131804"/>
    <n v="-0.9233236444608891"/>
    <n v="-2.5711207567712742"/>
    <x v="0"/>
    <x v="0"/>
    <x v="1"/>
    <x v="0"/>
    <x v="0"/>
    <x v="1"/>
  </r>
  <r>
    <x v="3"/>
    <s v="SEZL"/>
    <n v="1792"/>
    <n v="90.54"/>
    <n v="1.17"/>
    <n v="2.6"/>
    <n v="2.19"/>
    <n v="77.384615384615401"/>
    <n v="34.823076923076925"/>
    <n v="142.86000000000001"/>
    <n v="33.590000000000003"/>
    <n v="3.4"/>
    <n v="41.342465753424662"/>
    <s v="NO"/>
    <n v="5.3075729134918506"/>
    <n v="35.072232034576288"/>
    <n v="17.132858066304713"/>
    <n v="13.080403288454335"/>
    <n v="-0.54274730377261138"/>
    <n v="1.3622629143466147"/>
    <x v="1"/>
    <x v="1"/>
    <x v="0"/>
    <x v="1"/>
    <x v="0"/>
    <x v="0"/>
  </r>
  <r>
    <x v="4"/>
    <s v="ABL"/>
    <n v="789"/>
    <n v="8.83"/>
    <n v="-2.96"/>
    <n v="4.43"/>
    <n v="-0.34"/>
    <n v="-2.9831081081081083"/>
    <n v="1.9932279909706547"/>
    <n v="-8.48"/>
    <n v="1.06"/>
    <n v="2.06"/>
    <n v="-25.970588235294116"/>
    <s v="NO"/>
    <n v="-1.6198742334279335"/>
    <n v="0.51345344431770634"/>
    <n v="-1.9198292736548492"/>
    <n v="-0.86489090646064093"/>
    <n v="-1.2076996476704407"/>
    <n v="-6.689194027152678"/>
    <x v="0"/>
    <x v="0"/>
    <x v="1"/>
    <x v="0"/>
    <x v="0"/>
    <x v="1"/>
  </r>
  <r>
    <x v="4"/>
    <s v="HGTY"/>
    <n v="884"/>
    <n v="9.84"/>
    <n v="1.71"/>
    <n v="1.67"/>
    <n v="0.1"/>
    <n v="5.7543859649122808"/>
    <n v="5.8922155688622757"/>
    <n v="12.87"/>
    <n v="2.5099999999999998"/>
    <n v="11.37"/>
    <n v="98.399999999999991"/>
    <s v="NO"/>
    <n v="-0.44142534179927323"/>
    <n v="4.9937060139925231"/>
    <n v="0.33210747760197046"/>
    <n v="0.23596216092693711"/>
    <n v="6.1855695000227469"/>
    <n v="13.949373759978073"/>
    <x v="0"/>
    <x v="1"/>
    <x v="1"/>
    <x v="0"/>
    <x v="1"/>
    <x v="1"/>
  </r>
  <r>
    <x v="4"/>
    <s v="HIPO"/>
    <n v="615"/>
    <n v="22.71"/>
    <n v="1.44"/>
    <n v="14.56"/>
    <n v="-1.64"/>
    <n v="15.770833333333334"/>
    <n v="1.5597527472527473"/>
    <n v="-7.63"/>
    <n v="-3.19"/>
    <n v="4.26"/>
    <n v="-13.847560975609758"/>
    <s v="NO"/>
    <n v="0.909519357072748"/>
    <n v="1.5355275046863954E-2"/>
    <n v="-1.8301737121294019"/>
    <n v="-4.0915292074242329"/>
    <n v="0.53936717562977532"/>
    <n v="-4.6774489398746644"/>
    <x v="0"/>
    <x v="0"/>
    <x v="1"/>
    <x v="1"/>
    <x v="0"/>
    <x v="1"/>
  </r>
  <r>
    <x v="4"/>
    <s v="SLQT"/>
    <n v="463"/>
    <n v="2.4"/>
    <n v="0.05"/>
    <n v="1.89"/>
    <n v="-0.08"/>
    <n v="47.999999999999993"/>
    <n v="1.2698412698412698"/>
    <n v="-4.16"/>
    <n v="4.5"/>
    <n v="3.92"/>
    <n v="-30"/>
    <s v="NO"/>
    <n v="5.2563521467766678"/>
    <n v="-0.31777649716395256"/>
    <n v="-1.4641680668431647"/>
    <n v="1.7467880947898895"/>
    <n v="0.26936593930156022"/>
    <n v="-7.3578512155452698"/>
    <x v="1"/>
    <x v="0"/>
    <x v="1"/>
    <x v="0"/>
    <x v="0"/>
    <x v="1"/>
  </r>
  <r>
    <x v="4"/>
    <s v="TWFG"/>
    <n v="486"/>
    <n v="32.46"/>
    <n v="1.04"/>
    <n v="4.99"/>
    <n v="0.19"/>
    <n v="31.21153846153846"/>
    <n v="6.5050100200400802"/>
    <n v="18.670000000000002"/>
    <n v="7.95"/>
    <n v="4.38"/>
    <n v="170.84210526315789"/>
    <s v="NO"/>
    <n v="2.9920480194364929"/>
    <n v="5.6978564786258179"/>
    <n v="0.94387483859913957"/>
    <n v="4.3660591861603342"/>
    <n v="0.63466172962796907"/>
    <n v="25.970715150497149"/>
    <x v="0"/>
    <x v="1"/>
    <x v="1"/>
    <x v="1"/>
    <x v="0"/>
    <x v="1"/>
  </r>
  <r>
    <x v="4"/>
    <s v="WDH"/>
    <n v="459"/>
    <n v="1.31"/>
    <n v="0.08"/>
    <n v="1.81"/>
    <n v="0.14000000000000001"/>
    <n v="16.375"/>
    <n v="0.72375690607734811"/>
    <n v="7.35"/>
    <n v="1.77"/>
    <n v="1.35"/>
    <n v="9.3571428571428559"/>
    <s v="NO"/>
    <n v="0.99100491033804439"/>
    <n v="-0.9452716674192897"/>
    <n v="-0.25012628665740394"/>
    <n v="-0.32585250794672338"/>
    <n v="-1.7715257588264195"/>
    <n v="-0.82676478835715095"/>
    <x v="0"/>
    <x v="0"/>
    <x v="1"/>
    <x v="0"/>
    <x v="0"/>
    <x v="0"/>
  </r>
  <r>
    <x v="4"/>
    <s v="HMN"/>
    <n v="1708"/>
    <n v="41.6"/>
    <n v="10.95"/>
    <n v="31.51"/>
    <n v="2.48"/>
    <n v="3.7990867579908678"/>
    <n v="1.3202158045065058"/>
    <n v="8.35"/>
    <n v="0.71"/>
    <n v="11.25"/>
    <n v="16.774193548387096"/>
    <s v="NO"/>
    <n v="-0.7051417076064791"/>
    <n v="-0.25989207617737964"/>
    <n v="-0.14464915545099552"/>
    <n v="-1.1306140606576427"/>
    <n v="6.0902749460245538"/>
    <n v="0.40405115972074596"/>
    <x v="0"/>
    <x v="0"/>
    <x v="1"/>
    <x v="0"/>
    <x v="1"/>
    <x v="0"/>
  </r>
  <r>
    <x v="4"/>
    <s v="ACIC"/>
    <n v="562"/>
    <n v="11.17"/>
    <n v="5.09"/>
    <n v="4.95"/>
    <n v="1.55"/>
    <n v="2.1944990176817289"/>
    <n v="2.2565656565656567"/>
    <n v="37.74"/>
    <n v="6.12"/>
    <n v="5.16"/>
    <n v="7.2064516129032254"/>
    <s v="NO"/>
    <n v="-0.92155669207291013"/>
    <n v="0.81604975410440295"/>
    <n v="2.9553237307053482"/>
    <n v="2.9767066942160114"/>
    <n v="1.2540763306162277"/>
    <n v="-1.1836593537302196"/>
    <x v="0"/>
    <x v="0"/>
    <x v="0"/>
    <x v="1"/>
    <x v="0"/>
    <x v="0"/>
  </r>
  <r>
    <x v="4"/>
    <s v="AMBC"/>
    <n v="414"/>
    <n v="6.7"/>
    <n v="0.02"/>
    <n v="18.43"/>
    <n v="-0.13"/>
    <n v="335"/>
    <n v="0.36353771025501902"/>
    <n v="-4.49"/>
    <n v="-0.12"/>
    <n v="9.4"/>
    <n v="-51.53846153846154"/>
    <s v="NO"/>
    <n v="43.96479979445683"/>
    <n v="-1.3591927034544669"/>
    <n v="-1.4989755201412795"/>
    <n v="-1.7607575406105322"/>
    <n v="4.6211505718857362"/>
    <n v="-10.932032256251317"/>
    <x v="1"/>
    <x v="0"/>
    <x v="1"/>
    <x v="0"/>
    <x v="1"/>
    <x v="1"/>
  </r>
  <r>
    <x v="4"/>
    <s v="AMSF"/>
    <n v="884"/>
    <n v="46.74"/>
    <n v="0.78"/>
    <n v="13.7"/>
    <n v="2.48"/>
    <n v="59.923076923076927"/>
    <n v="3.4116788321167886"/>
    <n v="16.89"/>
    <n v="3.1"/>
    <n v="4.4400000000000004"/>
    <n v="18.846774193548388"/>
    <s v="NO"/>
    <n v="6.8644490069724418"/>
    <n v="2.1433683642926118"/>
    <n v="0.75612554505173246"/>
    <n v="0.68389547800188299"/>
    <n v="0.68230900662706628"/>
    <n v="0.74798373048684375"/>
    <x v="1"/>
    <x v="0"/>
    <x v="1"/>
    <x v="0"/>
    <x v="0"/>
    <x v="0"/>
  </r>
  <r>
    <x v="4"/>
    <s v="BOW"/>
    <n v="1262"/>
    <n v="38.479999999999997"/>
    <n v="9.9499999999999993"/>
    <n v="11.34"/>
    <n v="1.29"/>
    <n v="3.8673366834170855"/>
    <n v="3.3932980599647262"/>
    <n v="13.6"/>
    <n v="2.61"/>
    <n v="4.47"/>
    <n v="29.829457364341081"/>
    <s v="NO"/>
    <n v="-0.69593665999212773"/>
    <n v="2.1222473681309837"/>
    <n v="0.40910578338264869"/>
    <n v="0.31188306212608052"/>
    <n v="0.70613264512661411"/>
    <n v="2.5704954217249592"/>
    <x v="0"/>
    <x v="0"/>
    <x v="1"/>
    <x v="0"/>
    <x v="0"/>
    <x v="0"/>
  </r>
  <r>
    <x v="4"/>
    <s v="DGICA"/>
    <n v="702"/>
    <n v="19.78"/>
    <n v="2"/>
    <n v="16.38"/>
    <n v="2.0299999999999998"/>
    <n v="9.89"/>
    <n v="1.2075702075702077"/>
    <n v="13.11"/>
    <n v="2.34"/>
    <n v="4.05"/>
    <n v="9.7438423645320213"/>
    <s v="NO"/>
    <n v="0.11635584066833764"/>
    <n v="-0.38933099206366961"/>
    <n v="0.35742198909150852"/>
    <n v="0.10689662888839349"/>
    <n v="0.37260170613293653"/>
    <n v="-0.76259427899683163"/>
    <x v="0"/>
    <x v="0"/>
    <x v="1"/>
    <x v="0"/>
    <x v="0"/>
    <x v="0"/>
  </r>
  <r>
    <x v="4"/>
    <s v="DGICB"/>
    <n v="577"/>
    <n v="17.75"/>
    <n v="2"/>
    <n v="16.38"/>
    <n v="2.0299999999999998"/>
    <n v="8.875"/>
    <n v="1.0836385836385838"/>
    <n v="13.11"/>
    <n v="2.34"/>
    <n v="4.05"/>
    <n v="8.7438423645320213"/>
    <s v="NO"/>
    <n v="-2.0539888817360574E-2"/>
    <n v="-0.53173846720722473"/>
    <n v="0.35742198909150852"/>
    <n v="0.10689662888839349"/>
    <n v="0.37260170613293653"/>
    <n v="-0.9285383987438981"/>
    <x v="0"/>
    <x v="0"/>
    <x v="1"/>
    <x v="0"/>
    <x v="0"/>
    <x v="0"/>
  </r>
  <r>
    <x v="4"/>
    <s v="EIG"/>
    <n v="1160"/>
    <n v="49.5"/>
    <n v="3.48"/>
    <n v="44.43"/>
    <n v="4.13"/>
    <n v="14.224137931034482"/>
    <n v="1.1141120864280891"/>
    <n v="9.84"/>
    <n v="2.2400000000000002"/>
    <n v="3.31"/>
    <n v="11.985472154963681"/>
    <s v="NO"/>
    <n v="0.7009124650630173"/>
    <n v="-0.4967219439554369"/>
    <n v="1.2511770046553046E-2"/>
    <n v="3.0975727689250439E-2"/>
    <n v="-0.21504804352259055"/>
    <n v="-0.39060899662484866"/>
    <x v="0"/>
    <x v="0"/>
    <x v="1"/>
    <x v="0"/>
    <x v="0"/>
    <x v="0"/>
  </r>
  <r>
    <x v="4"/>
    <s v="FIHL"/>
    <n v="1847"/>
    <n v="17.28"/>
    <n v="5.33"/>
    <n v="21.91"/>
    <n v="0.98"/>
    <n v="3.2420262664165107"/>
    <n v="0.78868096759470563"/>
    <n v="4.63"/>
    <n v="0.97"/>
    <n v="4.8099999999999996"/>
    <n v="17.632653061224492"/>
    <s v="NO"/>
    <n v="-0.78027392668207818"/>
    <n v="-0.87066866147584465"/>
    <n v="-0.5370240835388348"/>
    <n v="-0.93321971753986999"/>
    <n v="0.97613388145482927"/>
    <n v="0.54650746791704308"/>
    <x v="0"/>
    <x v="0"/>
    <x v="1"/>
    <x v="0"/>
    <x v="0"/>
    <x v="0"/>
  </r>
  <r>
    <x v="4"/>
    <s v="GBLI"/>
    <n v="395"/>
    <n v="29.88"/>
    <n v="2.82"/>
    <n v="49.98"/>
    <n v="3.12"/>
    <n v="10.595744680851064"/>
    <n v="0.59783913565426172"/>
    <n v="6.46"/>
    <n v="1.98"/>
    <n v="2.5299999999999998"/>
    <n v="9.5769230769230766"/>
    <s v="NO"/>
    <n v="0.21154148886120225"/>
    <n v="-1.0899613857719748"/>
    <n v="-0.34400093343110738"/>
    <n v="-0.1664186154285224"/>
    <n v="-0.83446264451084917"/>
    <n v="-0.79029355324790529"/>
    <x v="0"/>
    <x v="0"/>
    <x v="1"/>
    <x v="0"/>
    <x v="0"/>
    <x v="0"/>
  </r>
  <r>
    <x v="4"/>
    <s v="HCI"/>
    <n v="1624"/>
    <n v="161.97"/>
    <n v="32.79"/>
    <n v="42.1"/>
    <n v="8.89"/>
    <n v="4.9396157365050319"/>
    <n v="3.8472684085510687"/>
    <n v="28.59"/>
    <n v="5.78"/>
    <n v="4.92"/>
    <n v="18.219347581552306"/>
    <s v="NO"/>
    <n v="-0.55131555340620841"/>
    <n v="2.6438960731289014"/>
    <n v="1.990207980166711"/>
    <n v="2.7185756301389241"/>
    <n v="1.0634872226198404"/>
    <n v="0.6438659736532697"/>
    <x v="0"/>
    <x v="0"/>
    <x v="1"/>
    <x v="1"/>
    <x v="0"/>
    <x v="0"/>
  </r>
  <r>
    <x v="4"/>
    <s v="HG"/>
    <n v="1958"/>
    <n v="20.67"/>
    <n v="7.22"/>
    <n v="22.95"/>
    <n v="3.67"/>
    <n v="2.8628808864265931"/>
    <n v="0.90065359477124196"/>
    <n v="28.02"/>
    <n v="5.59"/>
    <n v="3.35"/>
    <n v="5.6321525885558588"/>
    <s v="YES"/>
    <n v="-0.83141026498242498"/>
    <n v="-0.74200304235833192"/>
    <n v="1.930086015379058"/>
    <n v="2.5743259178605515"/>
    <n v="-0.18328319218985931"/>
    <n v="-1.444905019544209"/>
    <x v="0"/>
    <x v="0"/>
    <x v="1"/>
    <x v="0"/>
    <x v="0"/>
    <x v="0"/>
  </r>
  <r>
    <x v="4"/>
    <s v="HRTG"/>
    <n v="744"/>
    <n v="25.97"/>
    <n v="2.58"/>
    <n v="9.93"/>
    <n v="2.0099999999999998"/>
    <n v="10.065891472868216"/>
    <n v="2.6153071500503526"/>
    <n v="24.08"/>
    <n v="2.5499999999999998"/>
    <n v="8.49"/>
    <n v="12.920398009950249"/>
    <s v="NO"/>
    <n v="0.14007878794775466"/>
    <n v="1.2282727904503954"/>
    <n v="1.5145061184258088"/>
    <n v="0.26633052140659447"/>
    <n v="3.8985002040661008"/>
    <n v="-0.23546354859032895"/>
    <x v="0"/>
    <x v="0"/>
    <x v="1"/>
    <x v="0"/>
    <x v="1"/>
    <x v="0"/>
  </r>
  <r>
    <x v="4"/>
    <s v="IGIC"/>
    <n v="1061"/>
    <n v="23.58"/>
    <n v="4.59"/>
    <n v="14.84"/>
    <n v="2.98"/>
    <n v="5.1372549019607838"/>
    <n v="1.5889487870619945"/>
    <n v="22.61"/>
    <n v="4.6900000000000004"/>
    <n v="3.11"/>
    <n v="7.9127516778523486"/>
    <s v="NO"/>
    <n v="-0.52465943741605103"/>
    <n v="4.8903889851746547E-2"/>
    <n v="1.3594547355523885"/>
    <n v="1.8910378070682621"/>
    <n v="-0.37387230018624673"/>
    <n v="-1.0664530111749415"/>
    <x v="0"/>
    <x v="0"/>
    <x v="1"/>
    <x v="0"/>
    <x v="0"/>
    <x v="0"/>
  </r>
  <r>
    <x v="4"/>
    <s v="ITIC"/>
    <n v="451"/>
    <n v="242.36"/>
    <n v="11.89"/>
    <n v="133.5"/>
    <n v="16.43"/>
    <n v="20.383515559293524"/>
    <n v="1.8154307116104871"/>
    <n v="12.35"/>
    <n v="7.39"/>
    <n v="1.32"/>
    <n v="14.75106512477176"/>
    <s v="NO"/>
    <n v="1.5316439858496289"/>
    <n v="0.30914996762765451"/>
    <n v="0.27725936937463813"/>
    <n v="3.9409021394451313"/>
    <n v="-1.7953493973259682"/>
    <n v="6.8324894328628608E-2"/>
    <x v="0"/>
    <x v="0"/>
    <x v="1"/>
    <x v="1"/>
    <x v="0"/>
    <x v="0"/>
  </r>
  <r>
    <x v="4"/>
    <s v="NODK"/>
    <n v="256"/>
    <n v="12.8"/>
    <n v="0.81"/>
    <n v="11.83"/>
    <n v="0.31"/>
    <n v="15.802469135802468"/>
    <n v="1.0819949281487744"/>
    <n v="2.67"/>
    <n v="1.35"/>
    <n v="2.15"/>
    <n v="41.290322580645167"/>
    <s v="NO"/>
    <n v="0.91378616126671608"/>
    <n v="-0.53362716051151593"/>
    <n v="-0.74375926070339526"/>
    <n v="-0.64472029298312528"/>
    <n v="-1.1362287321717957"/>
    <n v="4.4723586115843137"/>
    <x v="0"/>
    <x v="0"/>
    <x v="1"/>
    <x v="0"/>
    <x v="0"/>
    <x v="1"/>
  </r>
  <r>
    <x v="4"/>
    <s v="PRA"/>
    <n v="1173"/>
    <n v="23"/>
    <n v="-0.39"/>
    <n v="23.49"/>
    <n v="1.03"/>
    <n v="-58.974358974358971"/>
    <n v="0.97914005959982975"/>
    <n v="4.5599999999999996"/>
    <n v="0.9"/>
    <n v="4.6399999999999997"/>
    <n v="22.33009708737864"/>
    <s v="NO"/>
    <n v="-9.1715620483561491"/>
    <n v="-0.65181573636975487"/>
    <n v="-0.54440748272328343"/>
    <n v="-0.98636434837927034"/>
    <n v="0.84113326329072169"/>
    <n v="1.3260206818983094"/>
    <x v="1"/>
    <x v="0"/>
    <x v="1"/>
    <x v="0"/>
    <x v="0"/>
    <x v="0"/>
  </r>
  <r>
    <x v="4"/>
    <s v="SAFT"/>
    <n v="1147"/>
    <n v="81.28"/>
    <n v="8.4600000000000009"/>
    <n v="55.83"/>
    <n v="4.78"/>
    <n v="9.6075650118203306"/>
    <n v="1.4558481103349454"/>
    <n v="8.66"/>
    <n v="2.59"/>
    <n v="2.74"/>
    <n v="17.00418410041841"/>
    <s v="NO"/>
    <n v="7.8263088215982518E-2"/>
    <n v="-0.10403956970507548"/>
    <n v="-0.11195124477700885"/>
    <n v="0.29669888188625182"/>
    <n v="-0.66769717501401005"/>
    <n v="0.44221673942772421"/>
    <x v="0"/>
    <x v="0"/>
    <x v="1"/>
    <x v="0"/>
    <x v="0"/>
    <x v="0"/>
  </r>
  <r>
    <x v="4"/>
    <s v="STC"/>
    <n v="1800"/>
    <n v="65.38"/>
    <n v="3.44"/>
    <n v="50.16"/>
    <n v="2.6"/>
    <n v="19.005813953488371"/>
    <n v="1.3034290271132376"/>
    <n v="6.3"/>
    <n v="3.08"/>
    <n v="1.93"/>
    <n v="25.146153846153844"/>
    <s v="NO"/>
    <n v="1.3458297332975953"/>
    <n v="-0.27918144323748662"/>
    <n v="-0.36087727442413275"/>
    <n v="0.66871129776205429"/>
    <n v="-1.3109354145018173"/>
    <n v="1.793328741891038"/>
    <x v="0"/>
    <x v="0"/>
    <x v="1"/>
    <x v="0"/>
    <x v="0"/>
    <x v="0"/>
  </r>
  <r>
    <x v="4"/>
    <s v="TIPT"/>
    <n v="794"/>
    <n v="21.73"/>
    <n v="3.79"/>
    <n v="12.63"/>
    <n v="1.2"/>
    <n v="5.7335092348284959"/>
    <n v="1.7205067300079175"/>
    <n v="13.22"/>
    <n v="2.0699999999999998"/>
    <n v="12.28"/>
    <n v="18.108333333333334"/>
    <s v="NO"/>
    <n v="-0.44424104149788973"/>
    <n v="0.20007462332285184"/>
    <n v="0.36902447352421358"/>
    <n v="-9.80898043492935E-2"/>
    <n v="6.9082198678423818"/>
    <n v="0.6254438119531901"/>
    <x v="0"/>
    <x v="0"/>
    <x v="1"/>
    <x v="0"/>
    <x v="1"/>
    <x v="0"/>
  </r>
  <r>
    <x v="4"/>
    <s v="TRUP"/>
    <n v="1908"/>
    <n v="45.59"/>
    <n v="1.26"/>
    <n v="7.8"/>
    <n v="-0.1"/>
    <n v="36.182539682539684"/>
    <n v="5.8448717948717954"/>
    <n v="-1.34"/>
    <n v="0.06"/>
    <n v="2.5099999999999998"/>
    <n v="-455.90000000000003"/>
    <s v="NO"/>
    <n v="3.6625000769963534"/>
    <n v="4.9393041825320463"/>
    <n v="-1.1667225568410931"/>
    <n v="-1.6240999184520741"/>
    <n v="-0.85034507017721483"/>
    <n v="-78.033451815820911"/>
    <x v="1"/>
    <x v="1"/>
    <x v="1"/>
    <x v="0"/>
    <x v="0"/>
    <x v="1"/>
  </r>
  <r>
    <x v="4"/>
    <s v="UFCS"/>
    <n v="693"/>
    <n v="28.16"/>
    <n v="12.97"/>
    <n v="30.8"/>
    <n v="2.39"/>
    <n v="2.1711642251349268"/>
    <n v="0.91428571428571426"/>
    <n v="8.18"/>
    <n v="1.59"/>
    <n v="4.46"/>
    <n v="11.782426778242677"/>
    <s v="NO"/>
    <n v="-0.92470391714492184"/>
    <n v="-0.72633863274822097"/>
    <n v="-0.16258026775608495"/>
    <n v="-0.46251013010518127"/>
    <n v="0.6981914322934315"/>
    <n v="-0.4243031829335272"/>
    <x v="0"/>
    <x v="0"/>
    <x v="1"/>
    <x v="0"/>
    <x v="0"/>
    <x v="0"/>
  </r>
  <r>
    <x v="4"/>
    <s v="UVE"/>
    <n v="712"/>
    <n v="25.73"/>
    <n v="8.33"/>
    <n v="14.98"/>
    <n v="2.29"/>
    <n v="3.0888355342136853"/>
    <n v="1.7176234979973297"/>
    <n v="16.95"/>
    <n v="2.56"/>
    <n v="6.43"/>
    <n v="11.235807860262009"/>
    <s v="NO"/>
    <n v="-0.80093516514055507"/>
    <n v="0.19676155618264055"/>
    <n v="0.76245417292411688"/>
    <n v="0.27392261152650899"/>
    <n v="2.2626103604304433"/>
    <n v="-0.51501137811492304"/>
    <x v="0"/>
    <x v="0"/>
    <x v="1"/>
    <x v="0"/>
    <x v="0"/>
    <x v="0"/>
  </r>
  <r>
    <x v="4"/>
    <s v="GLRE"/>
    <n v="464"/>
    <n v="13.3"/>
    <n v="3.27"/>
    <n v="18.260000000000002"/>
    <n v="1.24"/>
    <n v="4.0672782874617743"/>
    <n v="0.72836801752464397"/>
    <n v="6.95"/>
    <n v="1.94"/>
    <n v="3.17"/>
    <n v="10.725806451612904"/>
    <s v="NO"/>
    <n v="-0.6689700080313018"/>
    <n v="-0.93997312683712775"/>
    <n v="-0.29231713913996726"/>
    <n v="-0.19678697590817976"/>
    <n v="-0.32622502318714985"/>
    <n v="-0.59964311294296269"/>
    <x v="0"/>
    <x v="0"/>
    <x v="1"/>
    <x v="0"/>
    <x v="0"/>
    <x v="0"/>
  </r>
  <r>
    <x v="5"/>
    <s v="ACRE"/>
    <n v="257"/>
    <n v="4.9400000000000004"/>
    <n v="0.65"/>
    <n v="9.91"/>
    <n v="-0.64"/>
    <n v="7.6000000000000005"/>
    <n v="0.49848637739656915"/>
    <n v="-6"/>
    <n v="-1.74"/>
    <n v="3.24"/>
    <n v="-7.7187500000000009"/>
    <s v="NO"/>
    <n v="0.32117977578920098"/>
    <n v="-1.3745487615747101"/>
    <n v="-2.0350124784186563"/>
    <n v="-3.8499454376678481"/>
    <n v="-1.00705977678417"/>
    <n v="-1.7997398639134985"/>
    <x v="0"/>
    <x v="0"/>
    <x v="1"/>
    <x v="1"/>
    <x v="0"/>
    <x v="0"/>
  </r>
  <r>
    <x v="5"/>
    <s v="ARI"/>
    <n v="1310"/>
    <n v="9.91"/>
    <n v="1.26"/>
    <n v="13.4"/>
    <n v="-0.04"/>
    <n v="7.8650793650793656"/>
    <n v="0.7395522388059701"/>
    <n v="0.56000000000000005"/>
    <n v="0.12"/>
    <n v="4.72"/>
    <n v="-247.75"/>
    <s v="NO"/>
    <n v="0.38150838159329092"/>
    <n v="6.0657760215069526E-3"/>
    <n v="-0.75808083573594687"/>
    <n v="-1.1928402376447691"/>
    <n v="-0.65002726010197753"/>
    <n v="-27.507122309635019"/>
    <x v="0"/>
    <x v="0"/>
    <x v="1"/>
    <x v="0"/>
    <x v="0"/>
    <x v="1"/>
  </r>
  <r>
    <x v="5"/>
    <s v="ARR"/>
    <n v="1346"/>
    <n v="17.02"/>
    <n v="4.32"/>
    <n v="20.67"/>
    <n v="-0.24"/>
    <n v="3.9398148148148144"/>
    <n v="0.82341557813255917"/>
    <n v="-0.11"/>
    <n v="-0.01"/>
    <n v="9.1"/>
    <n v="-70.916666666666671"/>
    <s v="NO"/>
    <n v="-0.51183062900370069"/>
    <n v="0.4863616784305993"/>
    <n v="-0.88849915899774812"/>
    <n v="-1.3785518914098231"/>
    <n v="0.40659599872775454"/>
    <n v="-8.5682461043419362"/>
    <x v="0"/>
    <x v="0"/>
    <x v="1"/>
    <x v="0"/>
    <x v="0"/>
    <x v="1"/>
  </r>
  <r>
    <x v="5"/>
    <s v="BRSP"/>
    <n v="671"/>
    <n v="5.38"/>
    <n v="0.7"/>
    <n v="7.92"/>
    <n v="-0.56000000000000005"/>
    <n v="7.6857142857142859"/>
    <n v="0.67929292929292928"/>
    <n v="-6.73"/>
    <n v="2.58"/>
    <n v="3.43"/>
    <n v="-9.6071428571428559"/>
    <s v="NO"/>
    <n v="0.3406872291629785"/>
    <n v="-0.33904687598492844"/>
    <n v="-2.1771100545098725"/>
    <n v="2.3213956720631734"/>
    <n v="-0.96122452126415892"/>
    <n v="-2.0019870187582951"/>
    <x v="0"/>
    <x v="0"/>
    <x v="1"/>
    <x v="0"/>
    <x v="0"/>
    <x v="0"/>
  </r>
  <r>
    <x v="5"/>
    <s v="CIM"/>
    <n v="972"/>
    <n v="13.03"/>
    <n v="1.25"/>
    <n v="31.21"/>
    <n v="1.1000000000000001"/>
    <n v="10.423999999999999"/>
    <n v="0.41749439282281314"/>
    <n v="6.92"/>
    <n v="1.35"/>
    <n v="5.19"/>
    <n v="11.845454545454544"/>
    <s v="NO"/>
    <n v="0.96388533961059353"/>
    <n v="-1.8384000538213336"/>
    <n v="0.47991996418204586"/>
    <n v="0.56427771720920217"/>
    <n v="-0.53664531223668654"/>
    <n v="0.29558934216414073"/>
    <x v="0"/>
    <x v="0"/>
    <x v="1"/>
    <x v="0"/>
    <x v="0"/>
    <x v="0"/>
  </r>
  <r>
    <x v="5"/>
    <s v="CMTG"/>
    <n v="372"/>
    <n v="2.59"/>
    <n v="0.61"/>
    <n v="14.41"/>
    <n v="-1.6"/>
    <n v="4.2459016393442619"/>
    <n v="0.17973629424011103"/>
    <n v="-10.27"/>
    <n v="-2.94"/>
    <n v="3.47"/>
    <n v="-1.6187499999999999"/>
    <s v="NO"/>
    <n v="-0.44216926032894915"/>
    <n v="-3.2000706172738824"/>
    <n v="-2.866185971445359"/>
    <n v="-5.5642068570375756"/>
    <n v="-0.95157499378626176"/>
    <n v="-1.146428959942031"/>
    <x v="0"/>
    <x v="1"/>
    <x v="0"/>
    <x v="1"/>
    <x v="0"/>
    <x v="0"/>
  </r>
  <r>
    <x v="5"/>
    <s v="DX"/>
    <n v="1312"/>
    <n v="12.55"/>
    <n v="0.48"/>
    <n v="12.6"/>
    <n v="0.79"/>
    <n v="26.145833333333336"/>
    <n v="0.99603174603174616"/>
    <n v="6.01"/>
    <n v="0.92"/>
    <n v="7.02"/>
    <n v="15.886075949367088"/>
    <s v="NO"/>
    <n v="4.5419695311141242"/>
    <n v="1.4749562037293742"/>
    <n v="0.30278462960258462"/>
    <n v="-4.9999291398283782E-2"/>
    <n v="-9.5179430122894523E-2"/>
    <n v="0.72834049331111839"/>
    <x v="1"/>
    <x v="0"/>
    <x v="1"/>
    <x v="0"/>
    <x v="0"/>
    <x v="0"/>
  </r>
  <r>
    <x v="5"/>
    <s v="EFC"/>
    <n v="1208"/>
    <n v="13.07"/>
    <n v="-4.96"/>
    <n v="13.66"/>
    <n v="1.36"/>
    <n v="-2.6350806451612905"/>
    <n v="0.95680819912152271"/>
    <n v="9.4700000000000006"/>
    <n v="0.94"/>
    <n v="13.18"/>
    <n v="9.610294117647058"/>
    <s v="NO"/>
    <n v="-2.0081910729380699"/>
    <n v="1.250318012474352"/>
    <n v="0.97628820943218464"/>
    <n v="-2.1428267742121778E-2"/>
    <n v="1.3908478014732586"/>
    <n v="5.6203329112966924E-2"/>
    <x v="0"/>
    <x v="0"/>
    <x v="1"/>
    <x v="0"/>
    <x v="0"/>
    <x v="0"/>
  </r>
  <r>
    <x v="5"/>
    <s v="FBRT"/>
    <n v="911"/>
    <n v="11.56"/>
    <n v="1.96"/>
    <n v="14.97"/>
    <n v="0.67"/>
    <n v="5.8979591836734695"/>
    <n v="0.77221108884435541"/>
    <n v="4.91"/>
    <n v="1.37"/>
    <n v="4.5599999999999996"/>
    <n v="17.253731343283583"/>
    <s v="NO"/>
    <n v="-6.6182512632954452E-2"/>
    <n v="0.19310712182034087"/>
    <n v="8.8664994396642535E-2"/>
    <n v="0.59284874086536432"/>
    <n v="-0.68862537001356605"/>
    <n v="0.87481658867522305"/>
    <x v="0"/>
    <x v="0"/>
    <x v="1"/>
    <x v="0"/>
    <x v="0"/>
    <x v="0"/>
  </r>
  <r>
    <x v="5"/>
    <s v="IVR"/>
    <n v="480"/>
    <n v="7.63"/>
    <n v="3.41"/>
    <n v="9.01"/>
    <n v="0.65"/>
    <n v="2.2375366568914954"/>
    <n v="0.84683684794672587"/>
    <n v="7.91"/>
    <n v="1.0900000000000001"/>
    <n v="10.220000000000001"/>
    <n v="11.738461538461538"/>
    <s v="NO"/>
    <n v="-0.89924693327740779"/>
    <n v="0.62049823930798687"/>
    <n v="0.67262763586739382"/>
    <n v="0.19285440967909442"/>
    <n v="0.6767827681088735"/>
    <n v="0.28413037525967738"/>
    <x v="0"/>
    <x v="0"/>
    <x v="1"/>
    <x v="0"/>
    <x v="0"/>
    <x v="0"/>
  </r>
  <r>
    <x v="5"/>
    <s v="KREF"/>
    <n v="618"/>
    <n v="9.6"/>
    <n v="1.34"/>
    <n v="14.62"/>
    <n v="0.16"/>
    <n v="7.1641791044776113"/>
    <n v="0.65663474692202461"/>
    <n v="2.33"/>
    <n v="0.46"/>
    <n v="6.61"/>
    <n v="60"/>
    <s v="NO"/>
    <n v="0.22199262480412252"/>
    <n v="-0.46881313900485422"/>
    <n v="-0.4135428772682036"/>
    <n v="-0.70713283549001293"/>
    <n v="-0.1940870867713396"/>
    <n v="5.4529482964664693"/>
    <x v="0"/>
    <x v="0"/>
    <x v="1"/>
    <x v="0"/>
    <x v="0"/>
    <x v="1"/>
  </r>
  <r>
    <x v="5"/>
    <s v="LADR"/>
    <n v="1332"/>
    <n v="10.77"/>
    <n v="1"/>
    <n v="11.84"/>
    <n v="0.82"/>
    <n v="10.77"/>
    <n v="0.9096283783783784"/>
    <n v="6.75"/>
    <n v="2.09"/>
    <n v="2.95"/>
    <n v="13.134146341463415"/>
    <s v="NO"/>
    <n v="1.0426304263960759"/>
    <n v="0.98011323931260397"/>
    <n v="0.44682874783203663"/>
    <n v="1.6214055924872008"/>
    <n v="-1.077018850998924"/>
    <n v="0.43360842449056197"/>
    <x v="0"/>
    <x v="0"/>
    <x v="1"/>
    <x v="0"/>
    <x v="0"/>
    <x v="0"/>
  </r>
  <r>
    <x v="5"/>
    <s v="MFA"/>
    <n v="964"/>
    <n v="9.6"/>
    <n v="1.62"/>
    <n v="18.04"/>
    <n v="0.82"/>
    <n v="5.9259259259259256"/>
    <n v="0.53215077605321504"/>
    <n v="6.37"/>
    <n v="1.08"/>
    <n v="6.2"/>
    <n v="11.707317073170731"/>
    <s v="NO"/>
    <n v="-5.9817646893714944E-2"/>
    <n v="-1.1817485122442284"/>
    <n v="0.37286014657907485"/>
    <n v="0.17856889785101335"/>
    <n v="-0.29299474341978488"/>
    <n v="0.28079479841167004"/>
    <x v="0"/>
    <x v="0"/>
    <x v="1"/>
    <x v="0"/>
    <x v="0"/>
    <x v="0"/>
  </r>
  <r>
    <x v="5"/>
    <s v="NREF"/>
    <n v="254"/>
    <n v="14.58"/>
    <n v="1.02"/>
    <n v="19.48"/>
    <n v="2.69"/>
    <n v="14.294117647058822"/>
    <n v="0.74845995893223816"/>
    <n v="14.33"/>
    <n v="1.23"/>
    <n v="15.71"/>
    <n v="5.4200743494423795"/>
    <s v="NO"/>
    <n v="1.8446736343726555"/>
    <n v="5.708141063381833E-2"/>
    <n v="1.9223076886148016"/>
    <n v="0.39285157527222919"/>
    <n v="2.0011804144502503"/>
    <n v="-0.39256982901898568"/>
    <x v="0"/>
    <x v="0"/>
    <x v="1"/>
    <x v="0"/>
    <x v="0"/>
    <x v="0"/>
  </r>
  <r>
    <x v="5"/>
    <s v="NYMT"/>
    <n v="591"/>
    <n v="6.84"/>
    <n v="0.12"/>
    <n v="9.57"/>
    <n v="-0.06"/>
    <n v="57"/>
    <n v="0.71473354231974917"/>
    <n v="1.58"/>
    <n v="0.27"/>
    <n v="11.54"/>
    <n v="-114"/>
    <s v="NO"/>
    <n v="11.563975403543028"/>
    <n v="-0.13607402333760923"/>
    <n v="-0.55953353763589142"/>
    <n v="-0.97855756022355311"/>
    <n v="0.99521717487947736"/>
    <n v="-13.182477488949157"/>
    <x v="1"/>
    <x v="0"/>
    <x v="1"/>
    <x v="0"/>
    <x v="0"/>
    <x v="1"/>
  </r>
  <r>
    <x v="5"/>
    <s v="ORC"/>
    <n v="761"/>
    <n v="7.25"/>
    <n v="0.63"/>
    <n v="7.94"/>
    <n v="0.46"/>
    <n v="11.507936507936508"/>
    <n v="0.91309823677581858"/>
    <n v="5.23"/>
    <n v="0.61"/>
    <n v="8.5299999999999994"/>
    <n v="15.760869565217391"/>
    <s v="NO"/>
    <n v="1.2105751499788391"/>
    <n v="0.99998555519714349"/>
    <n v="0.15095434282018941"/>
    <n v="-0.49285015806879695"/>
    <n v="0.26909023216772088"/>
    <n v="0.7149308710140958"/>
    <x v="0"/>
    <x v="0"/>
    <x v="1"/>
    <x v="0"/>
    <x v="0"/>
    <x v="0"/>
  </r>
  <r>
    <x v="5"/>
    <s v="PMT"/>
    <n v="1101"/>
    <n v="12.92"/>
    <n v="-34.53"/>
    <n v="15.64"/>
    <n v="0.86"/>
    <n v="-0.37416739067477556"/>
    <n v="0.82608695652173914"/>
    <n v="6.37"/>
    <n v="0.91"/>
    <n v="10.93"/>
    <n v="15.023255813953488"/>
    <s v="NO"/>
    <n v="-1.4936367075074695"/>
    <n v="0.50166099878213866"/>
    <n v="0.37286014657907485"/>
    <n v="-6.4284803226364859E-2"/>
    <n v="0.84806188084154677"/>
    <n v="0.63593232894524254"/>
    <x v="0"/>
    <x v="0"/>
    <x v="1"/>
    <x v="0"/>
    <x v="0"/>
    <x v="0"/>
  </r>
  <r>
    <x v="5"/>
    <s v="RC"/>
    <n v="760"/>
    <n v="4.25"/>
    <n v="1.63"/>
    <n v="10.61"/>
    <n v="-2.52"/>
    <n v="2.6073619631901841"/>
    <n v="0.40056550424128184"/>
    <n v="-17.95"/>
    <n v="-3.65"/>
    <n v="5.87"/>
    <n v="-1.6865079365079365"/>
    <s v="NO"/>
    <n v="-0.81507951755498631"/>
    <n v="-1.9353539300125198"/>
    <n v="-4.3611303336104825"/>
    <n v="-6.5784781968313322"/>
    <n v="-0.37260334511243592"/>
    <n v="-1.1536858449832181"/>
    <x v="0"/>
    <x v="0"/>
    <x v="0"/>
    <x v="1"/>
    <x v="0"/>
    <x v="0"/>
  </r>
  <r>
    <x v="5"/>
    <s v="REFI"/>
    <n v="307"/>
    <n v="15.05"/>
    <n v="1.2"/>
    <n v="14.83"/>
    <n v="1.88"/>
    <n v="12.541666666666668"/>
    <n v="1.0148347943358058"/>
    <n v="12.76"/>
    <n v="9.33"/>
    <n v="1.41"/>
    <n v="8.0053191489361719"/>
    <s v="NO"/>
    <n v="1.4458386501579628"/>
    <n v="1.5826436286012906"/>
    <n v="1.6167005729117749"/>
    <n v="11.964116156017894"/>
    <n v="-1.4485256588979623"/>
    <n v="-0.11568972788048988"/>
    <x v="0"/>
    <x v="0"/>
    <x v="1"/>
    <x v="1"/>
    <x v="0"/>
    <x v="0"/>
  </r>
  <r>
    <x v="5"/>
    <s v="RWT"/>
    <n v="777"/>
    <n v="5.94"/>
    <n v="-44.45"/>
    <n v="8.89"/>
    <n v="0.21"/>
    <n v="-0.13363329583802025"/>
    <n v="0.66816647919010119"/>
    <n v="3.31"/>
    <n v="0.23"/>
    <n v="16.8"/>
    <n v="28.285714285714288"/>
    <s v="NO"/>
    <n v="-1.4388942850427651"/>
    <n v="-0.40276945650293589"/>
    <n v="-0.22278174772109149"/>
    <n v="-1.0356996075358775"/>
    <n v="2.2641300382229459"/>
    <n v="2.0563435966616512"/>
    <x v="0"/>
    <x v="0"/>
    <x v="1"/>
    <x v="0"/>
    <x v="0"/>
    <x v="0"/>
  </r>
  <r>
    <x v="5"/>
    <s v="TRTX"/>
    <n v="601"/>
    <n v="7.99"/>
    <n v="1.01"/>
    <n v="13.69"/>
    <n v="0.7"/>
    <n v="7.9108910891089108"/>
    <n v="0.58363769174579994"/>
    <n v="6.41"/>
    <n v="1.83"/>
    <n v="3.59"/>
    <n v="11.414285714285715"/>
    <s v="NO"/>
    <n v="0.39193453241554271"/>
    <n v="-0.88687646405963438"/>
    <n v="0.38064631513201819"/>
    <n v="1.2499822849570934"/>
    <n v="-0.92262641135257062"/>
    <n v="0.24941109645016879"/>
    <x v="0"/>
    <x v="0"/>
    <x v="1"/>
    <x v="0"/>
    <x v="0"/>
    <x v="0"/>
  </r>
  <r>
    <x v="5"/>
    <s v="TWO"/>
    <n v="1208"/>
    <n v="12.04"/>
    <n v="2.8"/>
    <n v="14.86"/>
    <n v="-0.32"/>
    <n v="4.3"/>
    <n v="0.81022880215343196"/>
    <n v="0.71"/>
    <n v="0.12"/>
    <n v="8.85"/>
    <n v="-37.625"/>
    <s v="NO"/>
    <n v="-0.429857179101237"/>
    <n v="0.41083935223158308"/>
    <n v="-0.72888270366240937"/>
    <n v="-1.1928402376447691"/>
    <n v="0.34628645199089769"/>
    <n v="-5.0027036707818091"/>
    <x v="0"/>
    <x v="0"/>
    <x v="1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43" tableType="queryTable" totalsRowShown="0">
  <autoFilter ref="A1:Z143" xr:uid="{1B3BB95A-07C7-4768-8185-A2A759A39458}"/>
  <sortState xmlns:xlrd2="http://schemas.microsoft.com/office/spreadsheetml/2017/richdata2" ref="A2:Z143">
    <sortCondition ref="A1:A143"/>
  </sortState>
  <tableColumns count="26">
    <tableColumn id="1" xr3:uid="{FDA9EBBF-F574-44F1-B885-6A5ED1C1C8A3}" uniqueName="1" name="Industry" queryTableFieldId="1" dataDxfId="143"/>
    <tableColumn id="2" xr3:uid="{8F96E341-8F97-4BC1-90E1-73E9D5DAC8C9}" uniqueName="2" name="Symbol" queryTableFieldId="2" dataDxfId="142"/>
    <tableColumn id="3" xr3:uid="{F543FE77-4EA4-4170-A3F2-7D6D401D6817}" uniqueName="3" name="Market Cap (M)" queryTableFieldId="44" dataDxfId="141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40"/>
    <tableColumn id="9" xr3:uid="{92CA53A2-ADA4-45CE-B0FD-3AD68E123166}" uniqueName="9" name="P/B" queryTableFieldId="46" dataDxfId="139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8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7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6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5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4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3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2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75" tableType="queryTable" totalsRowShown="0">
  <autoFilter ref="A1:Z175" xr:uid="{8A05384F-F989-4428-B033-1A9B3ACA4EBB}"/>
  <sortState xmlns:xlrd2="http://schemas.microsoft.com/office/spreadsheetml/2017/richdata2" ref="A2:Z175">
    <sortCondition ref="A1:A175"/>
  </sortState>
  <tableColumns count="26">
    <tableColumn id="1" xr3:uid="{3547F496-7B67-42E8-9760-1F3941836443}" uniqueName="1" name="Industry" queryTableFieldId="1" dataDxfId="131"/>
    <tableColumn id="2" xr3:uid="{0A09E186-076D-4A57-B743-EBD7817F4082}" uniqueName="2" name="Symbol" queryTableFieldId="2" dataDxfId="130"/>
    <tableColumn id="3" xr3:uid="{C567BD69-49B3-415C-87A5-73BCB80F1796}" uniqueName="3" name="Market Cap (M)" queryTableFieldId="43" dataDxfId="129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8"/>
    <tableColumn id="9" xr3:uid="{F1DC44A8-3710-4CCA-B495-699F6ACADE85}" uniqueName="9" name="P/B" queryTableFieldId="45" dataDxfId="127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6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5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4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3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2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1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0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286" tableType="queryTable" totalsRowShown="0">
  <autoFilter ref="A1:Z286" xr:uid="{DE7CBD96-9DC7-4F09-9B11-F8C87451A82B}"/>
  <sortState xmlns:xlrd2="http://schemas.microsoft.com/office/spreadsheetml/2017/richdata2" ref="A2:Z286">
    <sortCondition ref="A1:A286"/>
  </sortState>
  <tableColumns count="26">
    <tableColumn id="1" xr3:uid="{261FC5A1-AB9E-4068-9D87-D85D75FE0DD5}" uniqueName="1" name="Industry" queryTableFieldId="1" dataDxfId="119"/>
    <tableColumn id="2" xr3:uid="{4D1C6415-A4DE-450C-A6A0-32BD8F91DEB2}" uniqueName="2" name="Symbol" queryTableFieldId="2" dataDxfId="118"/>
    <tableColumn id="3" xr3:uid="{1913483F-1018-45E5-BBAD-415B97CDE58A}" uniqueName="3" name="Market Cap (M)" queryTableFieldId="43" dataDxfId="117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16"/>
    <tableColumn id="9" xr3:uid="{A85952D4-A3AB-4C1A-90DC-2E32ECE72481}" uniqueName="9" name="P/B" queryTableFieldId="45" dataDxfId="115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14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13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12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11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10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09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08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83"/>
    <tableColumn id="3" xr3:uid="{BB549C0D-7552-41A2-B049-C1E0C569FC5B}" uniqueName="3" name="P/FCF Q3" queryTableFieldId="3" dataDxfId="82"/>
    <tableColumn id="4" xr3:uid="{F8874757-4F98-4408-A256-B3DBB97E40A5}" uniqueName="4" name="P/FCF LB" queryTableFieldId="4" dataDxfId="81"/>
    <tableColumn id="5" xr3:uid="{7F92E8F9-91DF-48EA-A8F2-F3E13D8104D3}" uniqueName="5" name="P/FCF UB" queryTableFieldId="5" dataDxfId="80"/>
    <tableColumn id="6" xr3:uid="{837AC52A-2B15-4BFB-A555-2456F010C7C9}" uniqueName="6" name="P/B Q1" queryTableFieldId="6" dataDxfId="79"/>
    <tableColumn id="7" xr3:uid="{C672A3A3-8D6C-4E08-B6E3-1D85CD510A41}" uniqueName="7" name="P/B Q3" queryTableFieldId="7" dataDxfId="78"/>
    <tableColumn id="8" xr3:uid="{47FBFC34-1D36-49FE-8583-28072989EA1C}" uniqueName="8" name="P/B LB" queryTableFieldId="8" dataDxfId="77"/>
    <tableColumn id="9" xr3:uid="{98DADD72-A76B-4DE4-AB34-515EBE2E4A04}" uniqueName="9" name="P/B UB" queryTableFieldId="9" dataDxfId="76"/>
    <tableColumn id="10" xr3:uid="{C06AFB5F-1921-4B19-AFA7-04514BD3BC35}" uniqueName="10" name="ROE Q1" queryTableFieldId="10" dataDxfId="75"/>
    <tableColumn id="11" xr3:uid="{38FF7E38-2AC1-4486-B824-BCBE4156ADA7}" uniqueName="11" name="ROE Q3" queryTableFieldId="11" dataDxfId="74"/>
    <tableColumn id="12" xr3:uid="{1BBD6DC1-3C0C-48AF-9986-81D1F4A26368}" uniqueName="12" name="ROE LB" queryTableFieldId="12" dataDxfId="73"/>
    <tableColumn id="13" xr3:uid="{5775303C-3550-4762-86D0-7A82C106A3F0}" uniqueName="13" name="ROE UB" queryTableFieldId="13" dataDxfId="72"/>
    <tableColumn id="14" xr3:uid="{9FE06177-2E94-4066-A65B-77414C97B4DC}" uniqueName="14" name="ROA Q1" queryTableFieldId="14" dataDxfId="71"/>
    <tableColumn id="15" xr3:uid="{386179E5-15F0-4AED-9E0C-1EB211C80CEE}" uniqueName="15" name="ROA Q3" queryTableFieldId="15" dataDxfId="70"/>
    <tableColumn id="16" xr3:uid="{C7DC1506-2223-42A0-AC4B-68B0E14D2B9D}" uniqueName="16" name="ROA LB" queryTableFieldId="16" dataDxfId="69"/>
    <tableColumn id="17" xr3:uid="{C45AE1E6-1326-44B3-972F-838B081A78FC}" uniqueName="17" name="ROA UB" queryTableFieldId="17" dataDxfId="68"/>
    <tableColumn id="18" xr3:uid="{17D85B47-F40C-47C3-996F-C47242CFB7D2}" uniqueName="18" name="P/E Q1" queryTableFieldId="18" dataDxfId="67"/>
    <tableColumn id="19" xr3:uid="{44248722-1EBA-4DF8-B99D-B6B2F31E253B}" uniqueName="19" name="P/E Q3" queryTableFieldId="19" dataDxfId="66"/>
    <tableColumn id="20" xr3:uid="{93299C7A-5544-43AE-ACC5-72F0CB129F08}" uniqueName="20" name="P/E LB" queryTableFieldId="20" dataDxfId="65"/>
    <tableColumn id="21" xr3:uid="{3E027012-2DA9-4754-8880-25FEEDEFA94A}" uniqueName="21" name="P/E UB" queryTableFieldId="21" dataDxfId="64"/>
    <tableColumn id="22" xr3:uid="{FF2638EF-6EA0-401C-B7D8-A2BC49ECD2B0}" uniqueName="22" name="A/E Q1" queryTableFieldId="22" dataDxfId="63"/>
    <tableColumn id="23" xr3:uid="{546FB46A-BFEC-4020-A8E1-97073EBE991F}" uniqueName="23" name="A/E Q3" queryTableFieldId="23" dataDxfId="62"/>
    <tableColumn id="24" xr3:uid="{41F03CE5-975A-469D-B609-D8C5D8D172FA}" uniqueName="24" name="A/E LB" queryTableFieldId="24" dataDxfId="61"/>
    <tableColumn id="25" xr3:uid="{1863137D-3C8C-4A15-9A63-5E253392AFAD}" uniqueName="25" name="A/E UB" queryTableFieldId="25" dataDxfId="6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107"/>
    <tableColumn id="3" xr3:uid="{6D66145B-6613-41BC-8233-7356853CCFEF}" uniqueName="3" name="P/FCF Q3" queryTableFieldId="3" dataDxfId="106"/>
    <tableColumn id="4" xr3:uid="{90A69125-3CA2-4D0A-8F1A-65993DFA9D46}" uniqueName="4" name="P/FCF LB" queryTableFieldId="4" dataDxfId="105"/>
    <tableColumn id="5" xr3:uid="{BED6E3D4-DC60-428F-B5E8-4C3C64096FD7}" uniqueName="5" name="P/FCF UB" queryTableFieldId="5" dataDxfId="104"/>
    <tableColumn id="6" xr3:uid="{FC33B186-B76E-4D86-8EBD-E25B773D256E}" uniqueName="6" name="P/B Q1" queryTableFieldId="6" dataDxfId="103"/>
    <tableColumn id="7" xr3:uid="{D82D1432-7C03-4449-BD2D-F895D50A5F32}" uniqueName="7" name="P/B Q3" queryTableFieldId="7" dataDxfId="102"/>
    <tableColumn id="8" xr3:uid="{D3389429-24FB-4947-AACF-CAA92D678F94}" uniqueName="8" name="P/B LB" queryTableFieldId="8" dataDxfId="101"/>
    <tableColumn id="9" xr3:uid="{452E932D-DD5B-4C62-A8B3-25C90C8C7751}" uniqueName="9" name="P/B UB" queryTableFieldId="9" dataDxfId="100"/>
    <tableColumn id="10" xr3:uid="{99E11285-9679-47B1-9540-1BD10239596C}" uniqueName="10" name="ROE Q1" queryTableFieldId="10" dataDxfId="99"/>
    <tableColumn id="11" xr3:uid="{B4F1825A-C678-4C01-BB96-B04FAB1938BD}" uniqueName="11" name="ROE Q3" queryTableFieldId="11" dataDxfId="98"/>
    <tableColumn id="12" xr3:uid="{9F07026D-928C-42B1-8DD2-9BD3176C8B6A}" uniqueName="12" name="ROE LB" queryTableFieldId="12" dataDxfId="97"/>
    <tableColumn id="13" xr3:uid="{47360B1B-7AC4-49FA-9F18-2F1F1B72CA28}" uniqueName="13" name="ROE UB" queryTableFieldId="13" dataDxfId="96"/>
    <tableColumn id="14" xr3:uid="{58B0248D-BCFF-4737-ADF5-EE087C03D561}" uniqueName="14" name="ROA Q1" queryTableFieldId="14" dataDxfId="95"/>
    <tableColumn id="15" xr3:uid="{CCD6E6AE-6BBB-4675-8C50-0F87AF280A3C}" uniqueName="15" name="ROA Q3" queryTableFieldId="15" dataDxfId="94"/>
    <tableColumn id="16" xr3:uid="{BB86731C-A605-4988-A848-B35835CAF73E}" uniqueName="16" name="ROA LB" queryTableFieldId="16" dataDxfId="93"/>
    <tableColumn id="17" xr3:uid="{9760AC7A-70E9-4457-8DC8-4BDA6646C74E}" uniqueName="17" name="ROA UB" queryTableFieldId="17" dataDxfId="92"/>
    <tableColumn id="18" xr3:uid="{931D5CA9-41B9-424B-87E6-FA364034B249}" uniqueName="18" name="P/E Q1" queryTableFieldId="18" dataDxfId="91"/>
    <tableColumn id="19" xr3:uid="{23E1DD3D-5F02-4A6D-9773-5EA3466661AF}" uniqueName="19" name="P/E Q3" queryTableFieldId="19" dataDxfId="90"/>
    <tableColumn id="20" xr3:uid="{478DC28A-5ACD-47E8-8720-6EEE2D43205B}" uniqueName="20" name="P/E LB" queryTableFieldId="20" dataDxfId="89"/>
    <tableColumn id="21" xr3:uid="{AC7D613F-0AC5-4542-BBED-886B4C332840}" uniqueName="21" name="P/E UB" queryTableFieldId="21" dataDxfId="88"/>
    <tableColumn id="22" xr3:uid="{1E3F527B-4B19-4D38-9A78-D4BBA95224B9}" uniqueName="22" name="A/E Q1" queryTableFieldId="22" dataDxfId="87"/>
    <tableColumn id="23" xr3:uid="{1256121C-1427-4F44-988A-E08E26F80A67}" uniqueName="23" name="A/E Q3" queryTableFieldId="23" dataDxfId="86"/>
    <tableColumn id="24" xr3:uid="{3F6A6F05-B80E-47C0-9039-80E1A481FF30}" uniqueName="24" name="A/E LB" queryTableFieldId="24" dataDxfId="85"/>
    <tableColumn id="25" xr3:uid="{08969B40-89DA-4EAE-925B-3C841EB86C63}" uniqueName="25" name="A/E UB" queryTableFieldId="25" dataDxfId="8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43"/>
  <sheetViews>
    <sheetView workbookViewId="0">
      <selection activeCell="B24" sqref="B24"/>
    </sheetView>
  </sheetViews>
  <sheetFormatPr defaultRowHeight="15" x14ac:dyDescent="0.25"/>
  <cols>
    <col min="1" max="1" width="42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7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106</v>
      </c>
      <c r="C2" s="2">
        <v>308280</v>
      </c>
      <c r="D2">
        <f>RTD("tos.rtd", , "LAST", Main_L[[#This Row],[Symbol]])</f>
        <v>44.28</v>
      </c>
      <c r="E2">
        <v>0.57999999999999996</v>
      </c>
      <c r="F2">
        <v>36.39</v>
      </c>
      <c r="G2">
        <v>3.35</v>
      </c>
      <c r="H2" s="1">
        <f>IF(ISNUMBER(Main_L[[#This Row],[Free CF]]),IF(Main_L[[#This Row],[Free CF]]&lt;&gt;0,Main_L[[#This Row],[Current Price]]/Main_L[[#This Row],[Free CF]],""),"")</f>
        <v>76.344827586206904</v>
      </c>
      <c r="I2" s="1">
        <f>IF(ISNUMBER(Main_L[[#This Row],[BVPS]]),IF(Main_L[[#This Row],[BVPS]]&lt;&gt;0,Main_L[[#This Row],[Current Price]]/Main_L[[#This Row],[BVPS]],""),"")</f>
        <v>1.2168178070898599</v>
      </c>
      <c r="J2">
        <v>9.4600000000000009</v>
      </c>
      <c r="K2">
        <v>0.84</v>
      </c>
      <c r="L2">
        <v>12.18</v>
      </c>
      <c r="M2" s="1">
        <f>IF(ISNUMBER(Main_L[[#This Row],[EPS]]),IF(Main_L[[#This Row],[EPS]]&lt;&gt;0,Main_L[[#This Row],[Current Price]]/Main_L[[#This Row],[EPS]],""),"")</f>
        <v>13.217910447761193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6.0059372901824846</v>
      </c>
      <c r="P2" s="1">
        <f>(Main_L[[#This Row],[P/B]]-VLOOKUP(Main_L[[#This Row],[Industry]], Mean_PB_L, 2, FALSE))/(VLOOKUP(Main_L[[#This Row],[Industry]], Mean_PB_L, 3, FALSE))</f>
        <v>-0.22917182956047136</v>
      </c>
      <c r="Q2" s="1">
        <f>(Main_L[[#This Row],[ROE]]-VLOOKUP(Main_L[[#This Row],[Industry]], Mean_ROE_L, 2, FALSE))/(VLOOKUP(Main_L[[#This Row],[Industry]], Mean_ROE_L, 3, FALSE))</f>
        <v>-0.63741868409029656</v>
      </c>
      <c r="R2" s="1">
        <f>(Main_L[[#This Row],[ROA]]-VLOOKUP(Main_L[[#This Row],[Industry]], Mean_ROA_L, 2, FALSE))/(VLOOKUP(Main_L[[#This Row],[Industry]], Mean_ROA_L, 3, FALSE))</f>
        <v>-0.20787823161266789</v>
      </c>
      <c r="S2" s="1">
        <f>(Main_L[[#This Row],[A/E]]-VLOOKUP(Main_L[[#This Row],[Industry]], Mean_AE_L, 2, FALSE))/(VLOOKUP(Main_L[[#This Row],[Industry]], Mean_AE_L, 3, FALSE))</f>
        <v>-0.40210841804799052</v>
      </c>
      <c r="T2" s="1">
        <f>(Main_L[[#This Row],[P/E]]-VLOOKUP(Main_L[[#This Row],[Industry]], Mean_PE_L, 2, FALSE))/(VLOOKUP(Main_L[[#This Row],[Industry]], Mean_PE_L, 3, FALSE))</f>
        <v>0.4086704577889182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8" t="s">
        <v>105</v>
      </c>
      <c r="B3" s="68" t="s">
        <v>107</v>
      </c>
      <c r="C3" s="2">
        <v>15909</v>
      </c>
      <c r="D3">
        <f>RTD("tos.rtd", , "LAST", Main_L[[#This Row],[Symbol]])</f>
        <v>206.47</v>
      </c>
      <c r="E3">
        <v>0.41</v>
      </c>
      <c r="F3">
        <v>114.64</v>
      </c>
      <c r="G3">
        <v>18.32</v>
      </c>
      <c r="H3" s="1">
        <f>IF(ISNUMBER(Main_L[[#This Row],[Free CF]]),IF(Main_L[[#This Row],[Free CF]]&lt;&gt;0,Main_L[[#This Row],[Current Price]]/Main_L[[#This Row],[Free CF]],""),"")</f>
        <v>503.58536585365857</v>
      </c>
      <c r="I3" s="1">
        <f>IF(ISNUMBER(Main_L[[#This Row],[BVPS]]),IF(Main_L[[#This Row],[BVPS]]&lt;&gt;0,Main_L[[#This Row],[Current Price]]/Main_L[[#This Row],[BVPS]],""),"")</f>
        <v>1.8010293091416609</v>
      </c>
      <c r="J3">
        <v>16.52</v>
      </c>
      <c r="K3">
        <v>2.27</v>
      </c>
      <c r="L3">
        <v>7.46</v>
      </c>
      <c r="M3" s="1">
        <f>IF(ISNUMBER(Main_L[[#This Row],[EPS]]),IF(Main_L[[#This Row],[EPS]]&lt;&gt;0,Main_L[[#This Row],[Current Price]]/Main_L[[#This Row],[EPS]],""),"")</f>
        <v>11.270196506550219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39.616589132194854</v>
      </c>
      <c r="P3" s="1">
        <f>(Main_L[[#This Row],[P/B]]-VLOOKUP(Main_L[[#This Row],[Industry]], Mean_PB_L, 2, FALSE))/(VLOOKUP(Main_L[[#This Row],[Industry]], Mean_PB_L, 3, FALSE))</f>
        <v>0.79936835524102179</v>
      </c>
      <c r="Q3" s="1">
        <f>(Main_L[[#This Row],[ROE]]-VLOOKUP(Main_L[[#This Row],[Industry]], Mean_ROE_L, 2, FALSE))/(VLOOKUP(Main_L[[#This Row],[Industry]], Mean_ROE_L, 3, FALSE))</f>
        <v>1.4054278643238076</v>
      </c>
      <c r="R3" s="1">
        <f>(Main_L[[#This Row],[ROA]]-VLOOKUP(Main_L[[#This Row],[Industry]], Mean_ROA_L, 2, FALSE))/(VLOOKUP(Main_L[[#This Row],[Industry]], Mean_ROA_L, 3, FALSE))</f>
        <v>2.4771038308941686</v>
      </c>
      <c r="S3" s="1">
        <f>(Main_L[[#This Row],[A/E]]-VLOOKUP(Main_L[[#This Row],[Industry]], Mean_AE_L, 2, FALSE))/(VLOOKUP(Main_L[[#This Row],[Industry]], Mean_AE_L, 3, FALSE))</f>
        <v>-1.4540796029799359</v>
      </c>
      <c r="T3" s="1">
        <f>(Main_L[[#This Row],[P/E]]-VLOOKUP(Main_L[[#This Row],[Industry]], Mean_PE_L, 2, FALSE))/(VLOOKUP(Main_L[[#This Row],[Industry]], Mean_PE_L, 3, FALSE))</f>
        <v>-0.26102728318775342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8" t="s">
        <v>105</v>
      </c>
      <c r="B4" s="68" t="s">
        <v>108</v>
      </c>
      <c r="C4" s="2">
        <v>24010</v>
      </c>
      <c r="D4">
        <f>RTD("tos.rtd", , "LAST", Main_L[[#This Row],[Symbol]])</f>
        <v>2.75</v>
      </c>
      <c r="E4">
        <v>-1.51</v>
      </c>
      <c r="F4">
        <v>2.57</v>
      </c>
      <c r="G4">
        <v>0.26</v>
      </c>
      <c r="H4" s="1">
        <f>IF(ISNUMBER(Main_L[[#This Row],[Free CF]]),IF(Main_L[[#This Row],[Free CF]]&lt;&gt;0,Main_L[[#This Row],[Current Price]]/Main_L[[#This Row],[Free CF]],""),"")</f>
        <v>-1.8211920529801324</v>
      </c>
      <c r="I4" s="1">
        <f>IF(ISNUMBER(Main_L[[#This Row],[BVPS]]),IF(Main_L[[#This Row],[BVPS]]&lt;&gt;0,Main_L[[#This Row],[Current Price]]/Main_L[[#This Row],[BVPS]],""),"")</f>
        <v>1.0700389105058365</v>
      </c>
      <c r="J4">
        <v>10.44</v>
      </c>
      <c r="K4">
        <v>0.88</v>
      </c>
      <c r="L4">
        <v>12.29</v>
      </c>
      <c r="M4" s="1">
        <f>IF(ISNUMBER(Main_L[[#This Row],[EPS]]),IF(Main_L[[#This Row],[EPS]]&lt;&gt;0,Main_L[[#This Row],[Current Price]]/Main_L[[#This Row],[EPS]],""),"")</f>
        <v>10.576923076923077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-0.14331737236076925</v>
      </c>
      <c r="P4" s="1">
        <f>(Main_L[[#This Row],[P/B]]-VLOOKUP(Main_L[[#This Row],[Industry]], Mean_PB_L, 2, FALSE))/(VLOOKUP(Main_L[[#This Row],[Industry]], Mean_PB_L, 3, FALSE))</f>
        <v>-0.48758508039048415</v>
      </c>
      <c r="Q4" s="1">
        <f>(Main_L[[#This Row],[ROE]]-VLOOKUP(Main_L[[#This Row],[Industry]], Mean_ROE_L, 2, FALSE))/(VLOOKUP(Main_L[[#This Row],[Industry]], Mean_ROE_L, 3, FALSE))</f>
        <v>-0.35385074960788587</v>
      </c>
      <c r="R4" s="1">
        <f>(Main_L[[#This Row],[ROA]]-VLOOKUP(Main_L[[#This Row],[Industry]], Mean_ROA_L, 2, FALSE))/(VLOOKUP(Main_L[[#This Row],[Industry]], Mean_ROA_L, 3, FALSE))</f>
        <v>-0.13277383825583322</v>
      </c>
      <c r="S4" s="1">
        <f>(Main_L[[#This Row],[A/E]]-VLOOKUP(Main_L[[#This Row],[Industry]], Mean_AE_L, 2, FALSE))/(VLOOKUP(Main_L[[#This Row],[Industry]], Mean_AE_L, 3, FALSE))</f>
        <v>-0.37759214043305128</v>
      </c>
      <c r="T4" s="1">
        <f>(Main_L[[#This Row],[P/E]]-VLOOKUP(Main_L[[#This Row],[Industry]], Mean_PE_L, 2, FALSE))/(VLOOKUP(Main_L[[#This Row],[Industry]], Mean_PE_L, 3, FALSE))</f>
        <v>-0.49940091695236177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s="68" t="s">
        <v>105</v>
      </c>
      <c r="B5" s="68" t="s">
        <v>109</v>
      </c>
      <c r="C5" s="2">
        <v>22212</v>
      </c>
      <c r="D5">
        <f>RTD("tos.rtd", , "LAST", Main_L[[#This Row],[Symbol]])</f>
        <v>2.4300000000000002</v>
      </c>
      <c r="E5">
        <v>-1.51</v>
      </c>
      <c r="F5">
        <v>2.57</v>
      </c>
      <c r="G5">
        <v>0.26</v>
      </c>
      <c r="H5" s="1">
        <f>IF(ISNUMBER(Main_L[[#This Row],[Free CF]]),IF(Main_L[[#This Row],[Free CF]]&lt;&gt;0,Main_L[[#This Row],[Current Price]]/Main_L[[#This Row],[Free CF]],""),"")</f>
        <v>-1.6092715231788079</v>
      </c>
      <c r="I5" s="1">
        <f>IF(ISNUMBER(Main_L[[#This Row],[BVPS]]),IF(Main_L[[#This Row],[BVPS]]&lt;&gt;0,Main_L[[#This Row],[Current Price]]/Main_L[[#This Row],[BVPS]],""),"")</f>
        <v>0.94552529182879386</v>
      </c>
      <c r="J5">
        <v>10.44</v>
      </c>
      <c r="K5">
        <v>0.88</v>
      </c>
      <c r="L5">
        <v>12.29</v>
      </c>
      <c r="M5" s="1">
        <f>IF(ISNUMBER(Main_L[[#This Row],[EPS]]),IF(Main_L[[#This Row],[EPS]]&lt;&gt;0,Main_L[[#This Row],[Current Price]]/Main_L[[#This Row],[EPS]],""),"")</f>
        <v>9.3461538461538467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-0.12664576349562856</v>
      </c>
      <c r="P5" s="1">
        <f>(Main_L[[#This Row],[P/B]]-VLOOKUP(Main_L[[#This Row],[Industry]], Mean_PB_L, 2, FALSE))/(VLOOKUP(Main_L[[#This Row],[Industry]], Mean_PB_L, 3, FALSE))</f>
        <v>-0.70679894371670227</v>
      </c>
      <c r="Q5" s="1">
        <f>(Main_L[[#This Row],[ROE]]-VLOOKUP(Main_L[[#This Row],[Industry]], Mean_ROE_L, 2, FALSE))/(VLOOKUP(Main_L[[#This Row],[Industry]], Mean_ROE_L, 3, FALSE))</f>
        <v>-0.35385074960788587</v>
      </c>
      <c r="R5" s="1">
        <f>(Main_L[[#This Row],[ROA]]-VLOOKUP(Main_L[[#This Row],[Industry]], Mean_ROA_L, 2, FALSE))/(VLOOKUP(Main_L[[#This Row],[Industry]], Mean_ROA_L, 3, FALSE))</f>
        <v>-0.13277383825583322</v>
      </c>
      <c r="S5" s="1">
        <f>(Main_L[[#This Row],[A/E]]-VLOOKUP(Main_L[[#This Row],[Industry]], Mean_AE_L, 2, FALSE))/(VLOOKUP(Main_L[[#This Row],[Industry]], Mean_AE_L, 3, FALSE))</f>
        <v>-0.37759214043305128</v>
      </c>
      <c r="T5" s="1">
        <f>(Main_L[[#This Row],[P/E]]-VLOOKUP(Main_L[[#This Row],[Industry]], Mean_PE_L, 2, FALSE))/(VLOOKUP(Main_L[[#This Row],[Industry]], Mean_PE_L, 3, FALSE))</f>
        <v>-0.92258594226325674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8" t="s">
        <v>105</v>
      </c>
      <c r="B6" s="68" t="s">
        <v>110</v>
      </c>
      <c r="C6" s="2">
        <v>81859</v>
      </c>
      <c r="D6">
        <f>RTD("tos.rtd", , "LAST", Main_L[[#This Row],[Symbol]])</f>
        <v>14.76</v>
      </c>
      <c r="E6">
        <v>-3.71</v>
      </c>
      <c r="F6">
        <v>10.34</v>
      </c>
      <c r="G6">
        <v>1.91</v>
      </c>
      <c r="H6" s="1">
        <f>IF(ISNUMBER(Main_L[[#This Row],[Free CF]]),IF(Main_L[[#This Row],[Free CF]]&lt;&gt;0,Main_L[[#This Row],[Current Price]]/Main_L[[#This Row],[Free CF]],""),"")</f>
        <v>-3.9784366576819408</v>
      </c>
      <c r="I6" s="1">
        <f>IF(ISNUMBER(Main_L[[#This Row],[BVPS]]),IF(Main_L[[#This Row],[BVPS]]&lt;&gt;0,Main_L[[#This Row],[Current Price]]/Main_L[[#This Row],[BVPS]],""),"")</f>
        <v>1.4274661508704063</v>
      </c>
      <c r="J6">
        <v>19.38</v>
      </c>
      <c r="K6">
        <v>1.42</v>
      </c>
      <c r="L6">
        <v>14.03</v>
      </c>
      <c r="M6" s="1">
        <f>IF(ISNUMBER(Main_L[[#This Row],[EPS]]),IF(Main_L[[#This Row],[EPS]]&lt;&gt;0,Main_L[[#This Row],[Current Price]]/Main_L[[#This Row],[EPS]],""),"")</f>
        <v>7.7277486910994764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-0.31302598110075547</v>
      </c>
      <c r="P6" s="1">
        <f>(Main_L[[#This Row],[P/B]]-VLOOKUP(Main_L[[#This Row],[Industry]], Mean_PB_L, 2, FALSE))/(VLOOKUP(Main_L[[#This Row],[Industry]], Mean_PB_L, 3, FALSE))</f>
        <v>0.14168750080060868</v>
      </c>
      <c r="Q6" s="1">
        <f>(Main_L[[#This Row],[ROE]]-VLOOKUP(Main_L[[#This Row],[Industry]], Mean_ROE_L, 2, FALSE))/(VLOOKUP(Main_L[[#This Row],[Industry]], Mean_ROE_L, 3, FALSE))</f>
        <v>2.2329832649561503</v>
      </c>
      <c r="R6" s="1">
        <f>(Main_L[[#This Row],[ROA]]-VLOOKUP(Main_L[[#This Row],[Industry]], Mean_ROA_L, 2, FALSE))/(VLOOKUP(Main_L[[#This Row],[Industry]], Mean_ROA_L, 3, FALSE))</f>
        <v>0.88113547206143361</v>
      </c>
      <c r="S6" s="1">
        <f>(Main_L[[#This Row],[A/E]]-VLOOKUP(Main_L[[#This Row],[Industry]], Mean_AE_L, 2, FALSE))/(VLOOKUP(Main_L[[#This Row],[Industry]], Mean_AE_L, 3, FALSE))</f>
        <v>1.0210796385081173E-2</v>
      </c>
      <c r="T6" s="1">
        <f>(Main_L[[#This Row],[P/E]]-VLOOKUP(Main_L[[#This Row],[Industry]], Mean_PE_L, 2, FALSE))/(VLOOKUP(Main_L[[#This Row],[Industry]], Mean_PE_L, 3, FALSE))</f>
        <v>-1.4790548637985426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8" t="s">
        <v>105</v>
      </c>
      <c r="B7" s="68" t="s">
        <v>111</v>
      </c>
      <c r="C7" s="2">
        <v>15430</v>
      </c>
      <c r="D7">
        <f>RTD("tos.rtd", , "LAST", Main_L[[#This Row],[Symbol]])</f>
        <v>30.75</v>
      </c>
      <c r="E7">
        <v>0.01</v>
      </c>
      <c r="F7">
        <v>0.06</v>
      </c>
      <c r="G7">
        <v>0.01</v>
      </c>
      <c r="H7" s="1">
        <f>IF(ISNUMBER(Main_L[[#This Row],[Free CF]]),IF(Main_L[[#This Row],[Free CF]]&lt;&gt;0,Main_L[[#This Row],[Current Price]]/Main_L[[#This Row],[Free CF]],""),"")</f>
        <v>3075</v>
      </c>
      <c r="I7" s="1">
        <f>IF(ISNUMBER(Main_L[[#This Row],[BVPS]]),IF(Main_L[[#This Row],[BVPS]]&lt;&gt;0,Main_L[[#This Row],[Current Price]]/Main_L[[#This Row],[BVPS]],""),"")</f>
        <v>512.5</v>
      </c>
      <c r="J7">
        <v>23.44</v>
      </c>
      <c r="K7">
        <v>2.2400000000000002</v>
      </c>
      <c r="L7">
        <v>9.9700000000000006</v>
      </c>
      <c r="M7" s="1">
        <f>IF(ISNUMBER(Main_L[[#This Row],[EPS]]),IF(Main_L[[#This Row],[EPS]]&lt;&gt;0,Main_L[[#This Row],[Current Price]]/Main_L[[#This Row],[EPS]],""),"")</f>
        <v>3075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241.90760383840052</v>
      </c>
      <c r="P7" s="1">
        <f>(Main_L[[#This Row],[P/B]]-VLOOKUP(Main_L[[#This Row],[Industry]], Mean_PB_L, 2, FALSE))/(VLOOKUP(Main_L[[#This Row],[Industry]], Mean_PB_L, 3, FALSE))</f>
        <v>899.91623244897903</v>
      </c>
      <c r="Q7" s="1">
        <f>(Main_L[[#This Row],[ROE]]-VLOOKUP(Main_L[[#This Row],[Industry]], Mean_ROE_L, 2, FALSE))/(VLOOKUP(Main_L[[#This Row],[Industry]], Mean_ROE_L, 3, FALSE))</f>
        <v>3.4077647078118543</v>
      </c>
      <c r="R7" s="1">
        <f>(Main_L[[#This Row],[ROA]]-VLOOKUP(Main_L[[#This Row],[Industry]], Mean_ROA_L, 2, FALSE))/(VLOOKUP(Main_L[[#This Row],[Industry]], Mean_ROA_L, 3, FALSE))</f>
        <v>2.420775535876543</v>
      </c>
      <c r="S7" s="1">
        <f>(Main_L[[#This Row],[A/E]]-VLOOKUP(Main_L[[#This Row],[Industry]], Mean_AE_L, 2, FALSE))/(VLOOKUP(Main_L[[#This Row],[Industry]], Mean_AE_L, 3, FALSE))</f>
        <v>-0.89466272285722748</v>
      </c>
      <c r="T7" s="1">
        <f>(Main_L[[#This Row],[P/E]]-VLOOKUP(Main_L[[#This Row],[Industry]], Mean_PE_L, 2, FALSE))/(VLOOKUP(Main_L[[#This Row],[Industry]], Mean_PE_L, 3, FALSE))</f>
        <v>1053.1651894469719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" spans="1:26" x14ac:dyDescent="0.25">
      <c r="A8" s="68" t="s">
        <v>105</v>
      </c>
      <c r="B8" s="68" t="s">
        <v>112</v>
      </c>
      <c r="C8" s="2">
        <v>56852</v>
      </c>
      <c r="D8">
        <f>RTD("tos.rtd", , "LAST", Main_L[[#This Row],[Symbol]])</f>
        <v>17</v>
      </c>
      <c r="E8">
        <v>-0.8</v>
      </c>
      <c r="F8">
        <v>5.56</v>
      </c>
      <c r="G8">
        <v>0.48</v>
      </c>
      <c r="H8" s="1">
        <f>IF(ISNUMBER(Main_L[[#This Row],[Free CF]]),IF(Main_L[[#This Row],[Free CF]]&lt;&gt;0,Main_L[[#This Row],[Current Price]]/Main_L[[#This Row],[Free CF]],""),"")</f>
        <v>-21.25</v>
      </c>
      <c r="I8" s="1">
        <f>IF(ISNUMBER(Main_L[[#This Row],[BVPS]]),IF(Main_L[[#This Row],[BVPS]]&lt;&gt;0,Main_L[[#This Row],[Current Price]]/Main_L[[#This Row],[BVPS]],""),"")</f>
        <v>3.0575539568345325</v>
      </c>
      <c r="J8">
        <v>8.98</v>
      </c>
      <c r="K8">
        <v>0.42</v>
      </c>
      <c r="L8">
        <v>21.28</v>
      </c>
      <c r="M8" s="1">
        <f>IF(ISNUMBER(Main_L[[#This Row],[EPS]]),IF(Main_L[[#This Row],[EPS]]&lt;&gt;0,Main_L[[#This Row],[Current Price]]/Main_L[[#This Row],[EPS]],""),"")</f>
        <v>35.416666666666671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-1.6717652632390965</v>
      </c>
      <c r="P8" s="1">
        <f>(Main_L[[#This Row],[P/B]]-VLOOKUP(Main_L[[#This Row],[Industry]], Mean_PB_L, 2, FALSE))/(VLOOKUP(Main_L[[#This Row],[Industry]], Mean_PB_L, 3, FALSE))</f>
        <v>3.011557072523523</v>
      </c>
      <c r="Q8" s="1">
        <f>(Main_L[[#This Row],[ROE]]-VLOOKUP(Main_L[[#This Row],[Industry]], Mean_ROE_L, 2, FALSE))/(VLOOKUP(Main_L[[#This Row],[Industry]], Mean_ROE_L, 3, FALSE))</f>
        <v>-0.7763091009796409</v>
      </c>
      <c r="R8" s="1">
        <f>(Main_L[[#This Row],[ROA]]-VLOOKUP(Main_L[[#This Row],[Industry]], Mean_ROA_L, 2, FALSE))/(VLOOKUP(Main_L[[#This Row],[Industry]], Mean_ROA_L, 3, FALSE))</f>
        <v>-0.99647436185943117</v>
      </c>
      <c r="S8" s="1">
        <f>(Main_L[[#This Row],[A/E]]-VLOOKUP(Main_L[[#This Row],[Industry]], Mean_AE_L, 2, FALSE))/(VLOOKUP(Main_L[[#This Row],[Industry]], Mean_AE_L, 3, FALSE))</f>
        <v>1.6260563664606331</v>
      </c>
      <c r="T8" s="1">
        <f>(Main_L[[#This Row],[P/E]]-VLOOKUP(Main_L[[#This Row],[Industry]], Mean_PE_L, 2, FALSE))/(VLOOKUP(Main_L[[#This Row],[Industry]], Mean_PE_L, 3, FALSE))</f>
        <v>8.041442692837844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" spans="1:26" x14ac:dyDescent="0.25">
      <c r="A9" s="68" t="s">
        <v>105</v>
      </c>
      <c r="B9" s="68" t="s">
        <v>113</v>
      </c>
      <c r="C9" s="2">
        <v>71332</v>
      </c>
      <c r="D9">
        <f>RTD("tos.rtd", , "LAST", Main_L[[#This Row],[Symbol]])</f>
        <v>101.87</v>
      </c>
      <c r="E9">
        <v>-22.12</v>
      </c>
      <c r="F9">
        <v>81</v>
      </c>
      <c r="G9">
        <v>7.3</v>
      </c>
      <c r="H9" s="1">
        <f>IF(ISNUMBER(Main_L[[#This Row],[Free CF]]),IF(Main_L[[#This Row],[Free CF]]&lt;&gt;0,Main_L[[#This Row],[Current Price]]/Main_L[[#This Row],[Free CF]],""),"")</f>
        <v>-4.6053345388788429</v>
      </c>
      <c r="I9" s="1">
        <f>IF(ISNUMBER(Main_L[[#This Row],[BVPS]]),IF(Main_L[[#This Row],[BVPS]]&lt;&gt;0,Main_L[[#This Row],[Current Price]]/Main_L[[#This Row],[BVPS]],""),"")</f>
        <v>1.2576543209876543</v>
      </c>
      <c r="J9">
        <v>9.91</v>
      </c>
      <c r="K9">
        <v>0.59</v>
      </c>
      <c r="L9">
        <v>17.11</v>
      </c>
      <c r="M9" s="1">
        <f>IF(ISNUMBER(Main_L[[#This Row],[EPS]]),IF(Main_L[[#This Row],[EPS]]&lt;&gt;0,Main_L[[#This Row],[Current Price]]/Main_L[[#This Row],[EPS]],""),"")</f>
        <v>13.954794520547946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-0.36234350726727826</v>
      </c>
      <c r="P9" s="1">
        <f>(Main_L[[#This Row],[P/B]]-VLOOKUP(Main_L[[#This Row],[Industry]], Mean_PB_L, 2, FALSE))/(VLOOKUP(Main_L[[#This Row],[Industry]], Mean_PB_L, 3, FALSE))</f>
        <v>-0.15727664193822907</v>
      </c>
      <c r="Q9" s="1">
        <f>(Main_L[[#This Row],[ROE]]-VLOOKUP(Main_L[[#This Row],[Industry]], Mean_ROE_L, 2, FALSE))/(VLOOKUP(Main_L[[#This Row],[Industry]], Mean_ROE_L, 3, FALSE))</f>
        <v>-0.50720891825653658</v>
      </c>
      <c r="R9" s="1">
        <f>(Main_L[[#This Row],[ROA]]-VLOOKUP(Main_L[[#This Row],[Industry]], Mean_ROA_L, 2, FALSE))/(VLOOKUP(Main_L[[#This Row],[Industry]], Mean_ROA_L, 3, FALSE))</f>
        <v>-0.67728069009288405</v>
      </c>
      <c r="S9" s="1">
        <f>(Main_L[[#This Row],[A/E]]-VLOOKUP(Main_L[[#This Row],[Industry]], Mean_AE_L, 2, FALSE))/(VLOOKUP(Main_L[[#This Row],[Industry]], Mean_AE_L, 3, FALSE))</f>
        <v>0.69666656960338447</v>
      </c>
      <c r="T9" s="1">
        <f>(Main_L[[#This Row],[P/E]]-VLOOKUP(Main_L[[#This Row],[Industry]], Mean_PE_L, 2, FALSE))/(VLOOKUP(Main_L[[#This Row],[Industry]], Mean_PE_L, 3, FALSE))</f>
        <v>0.66203908059610239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s="68" t="s">
        <v>105</v>
      </c>
      <c r="B10" s="68" t="s">
        <v>114</v>
      </c>
      <c r="C10" s="2">
        <v>62389</v>
      </c>
      <c r="D10">
        <f>RTD("tos.rtd", , "LAST", Main_L[[#This Row],[Symbol]])</f>
        <v>50.67</v>
      </c>
      <c r="E10">
        <v>7.06</v>
      </c>
      <c r="F10">
        <v>46.83</v>
      </c>
      <c r="G10">
        <v>3.34</v>
      </c>
      <c r="H10" s="1">
        <f>IF(ISNUMBER(Main_L[[#This Row],[Free CF]]),IF(Main_L[[#This Row],[Free CF]]&lt;&gt;0,Main_L[[#This Row],[Current Price]]/Main_L[[#This Row],[Free CF]],""),"")</f>
        <v>7.1770538243626065</v>
      </c>
      <c r="I10" s="1">
        <f>IF(ISNUMBER(Main_L[[#This Row],[BVPS]]),IF(Main_L[[#This Row],[BVPS]]&lt;&gt;0,Main_L[[#This Row],[Current Price]]/Main_L[[#This Row],[BVPS]],""),"")</f>
        <v>1.0819987187700193</v>
      </c>
      <c r="J10">
        <v>8.01</v>
      </c>
      <c r="K10">
        <v>0.47</v>
      </c>
      <c r="L10">
        <v>16.97</v>
      </c>
      <c r="M10" s="1">
        <f>IF(ISNUMBER(Main_L[[#This Row],[EPS]]),IF(Main_L[[#This Row],[EPS]]&lt;&gt;0,Main_L[[#This Row],[Current Price]]/Main_L[[#This Row],[EPS]],""),"")</f>
        <v>15.170658682634732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0.5645670212846321</v>
      </c>
      <c r="P10" s="1">
        <f>(Main_L[[#This Row],[P/B]]-VLOOKUP(Main_L[[#This Row],[Industry]], Mean_PB_L, 2, FALSE))/(VLOOKUP(Main_L[[#This Row],[Industry]], Mean_PB_L, 3, FALSE))</f>
        <v>-0.46652910432868072</v>
      </c>
      <c r="Q10" s="1">
        <f>(Main_L[[#This Row],[ROE]]-VLOOKUP(Main_L[[#This Row],[Industry]], Mean_ROE_L, 2, FALSE))/(VLOOKUP(Main_L[[#This Row],[Industry]], Mean_ROE_L, 3, FALSE))</f>
        <v>-1.0569834851101909</v>
      </c>
      <c r="R10" s="1">
        <f>(Main_L[[#This Row],[ROA]]-VLOOKUP(Main_L[[#This Row],[Industry]], Mean_ROA_L, 2, FALSE))/(VLOOKUP(Main_L[[#This Row],[Industry]], Mean_ROA_L, 3, FALSE))</f>
        <v>-0.90259387016338788</v>
      </c>
      <c r="S10" s="1">
        <f>(Main_L[[#This Row],[A/E]]-VLOOKUP(Main_L[[#This Row],[Industry]], Mean_AE_L, 2, FALSE))/(VLOOKUP(Main_L[[#This Row],[Industry]], Mean_AE_L, 3, FALSE))</f>
        <v>0.6654640344570979</v>
      </c>
      <c r="T10" s="1">
        <f>(Main_L[[#This Row],[P/E]]-VLOOKUP(Main_L[[#This Row],[Industry]], Mean_PE_L, 2, FALSE))/(VLOOKUP(Main_L[[#This Row],[Industry]], Mean_PE_L, 3, FALSE))</f>
        <v>1.0800991793895396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s="68" t="s">
        <v>105</v>
      </c>
      <c r="B11" s="68" t="s">
        <v>115</v>
      </c>
      <c r="C11" s="2">
        <v>11373</v>
      </c>
      <c r="D11">
        <f>RTD("tos.rtd", , "LAST", Main_L[[#This Row],[Symbol]])</f>
        <v>24.65</v>
      </c>
      <c r="E11">
        <v>0</v>
      </c>
      <c r="F11">
        <v>0.02</v>
      </c>
      <c r="G11">
        <v>0.01</v>
      </c>
      <c r="H11" s="1" t="str">
        <f>IF(ISNUMBER(Main_L[[#This Row],[Free CF]]),IF(Main_L[[#This Row],[Free CF]]&lt;&gt;0,Main_L[[#This Row],[Current Price]]/Main_L[[#This Row],[Free CF]],""),"")</f>
        <v/>
      </c>
      <c r="I11" s="1">
        <f>IF(ISNUMBER(Main_L[[#This Row],[BVPS]]),IF(Main_L[[#This Row],[BVPS]]&lt;&gt;0,Main_L[[#This Row],[Current Price]]/Main_L[[#This Row],[BVPS]],""),"")</f>
        <v>1232.5</v>
      </c>
      <c r="J11">
        <v>23.1</v>
      </c>
      <c r="K11">
        <v>1.44</v>
      </c>
      <c r="L11">
        <v>15.03</v>
      </c>
      <c r="M11" s="1">
        <f>IF(ISNUMBER(Main_L[[#This Row],[EPS]]),IF(Main_L[[#This Row],[EPS]]&lt;&gt;0,Main_L[[#This Row],[Current Price]]/Main_L[[#This Row],[EPS]],""),"")</f>
        <v>2465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 t="e">
        <f>(Main_L[[#This Row],[P/FCF]]-VLOOKUP(Main_L[[#This Row],[Industry]], Mean_PFCF_L, 2, FALSE))/(VLOOKUP(Main_L[[#This Row],[Industry]], Mean_PFCF_L, 3, FALSE))</f>
        <v>#VALUE!</v>
      </c>
      <c r="P11" s="1">
        <f>(Main_L[[#This Row],[P/B]]-VLOOKUP(Main_L[[#This Row],[Industry]], Mean_PB_L, 2, FALSE))/(VLOOKUP(Main_L[[#This Row],[Industry]], Mean_PB_L, 3, FALSE))</f>
        <v>2167.5203971328369</v>
      </c>
      <c r="Q11" s="1">
        <f>(Main_L[[#This Row],[ROE]]-VLOOKUP(Main_L[[#This Row],[Industry]], Mean_ROE_L, 2, FALSE))/(VLOOKUP(Main_L[[#This Row],[Industry]], Mean_ROE_L, 3, FALSE))</f>
        <v>3.3093839958485689</v>
      </c>
      <c r="R11" s="1">
        <f>(Main_L[[#This Row],[ROA]]-VLOOKUP(Main_L[[#This Row],[Industry]], Mean_ROA_L, 2, FALSE))/(VLOOKUP(Main_L[[#This Row],[Industry]], Mean_ROA_L, 3, FALSE))</f>
        <v>0.91868766873985097</v>
      </c>
      <c r="S11" s="1">
        <f>(Main_L[[#This Row],[A/E]]-VLOOKUP(Main_L[[#This Row],[Industry]], Mean_AE_L, 2, FALSE))/(VLOOKUP(Main_L[[#This Row],[Industry]], Mean_AE_L, 3, FALSE))</f>
        <v>0.23308604742998484</v>
      </c>
      <c r="T11" s="1">
        <f>(Main_L[[#This Row],[P/E]]-VLOOKUP(Main_L[[#This Row],[Industry]], Mean_PE_L, 2, FALSE))/(VLOOKUP(Main_L[[#This Row],[Industry]], Mean_PE_L, 3, FALSE))</f>
        <v>843.42411127725961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" spans="1:26" x14ac:dyDescent="0.25">
      <c r="A12" s="68" t="s">
        <v>105</v>
      </c>
      <c r="B12" s="68" t="s">
        <v>116</v>
      </c>
      <c r="C12" s="2">
        <v>37074</v>
      </c>
      <c r="D12">
        <f>RTD("tos.rtd", , "LAST", Main_L[[#This Row],[Symbol]])</f>
        <v>5.42</v>
      </c>
      <c r="E12">
        <v>-0.51</v>
      </c>
      <c r="F12">
        <v>2.13</v>
      </c>
      <c r="G12">
        <v>0.33</v>
      </c>
      <c r="H12" s="1">
        <f>IF(ISNUMBER(Main_L[[#This Row],[Free CF]]),IF(Main_L[[#This Row],[Free CF]]&lt;&gt;0,Main_L[[#This Row],[Current Price]]/Main_L[[#This Row],[Free CF]],""),"")</f>
        <v>-10.627450980392156</v>
      </c>
      <c r="I12" s="1">
        <f>IF(ISNUMBER(Main_L[[#This Row],[BVPS]]),IF(Main_L[[#This Row],[BVPS]]&lt;&gt;0,Main_L[[#This Row],[Current Price]]/Main_L[[#This Row],[BVPS]],""),"")</f>
        <v>2.5446009389671365</v>
      </c>
      <c r="J12">
        <v>13.71</v>
      </c>
      <c r="K12">
        <v>1.21</v>
      </c>
      <c r="L12">
        <v>13.64</v>
      </c>
      <c r="M12" s="1">
        <f>IF(ISNUMBER(Main_L[[#This Row],[EPS]]),IF(Main_L[[#This Row],[EPS]]&lt;&gt;0,Main_L[[#This Row],[Current Price]]/Main_L[[#This Row],[EPS]],""),"")</f>
        <v>16.424242424242422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-0.83609831501226783</v>
      </c>
      <c r="P12" s="1">
        <f>(Main_L[[#This Row],[P/B]]-VLOOKUP(Main_L[[#This Row],[Industry]], Mean_PB_L, 2, FALSE))/(VLOOKUP(Main_L[[#This Row],[Industry]], Mean_PB_L, 3, FALSE))</f>
        <v>2.1084718201126003</v>
      </c>
      <c r="Q12" s="1">
        <f>(Main_L[[#This Row],[ROE]]-VLOOKUP(Main_L[[#This Row],[Industry]], Mean_ROE_L, 2, FALSE))/(VLOOKUP(Main_L[[#This Row],[Industry]], Mean_ROE_L, 3, FALSE))</f>
        <v>0.59234021545077209</v>
      </c>
      <c r="R12" s="1">
        <f>(Main_L[[#This Row],[ROA]]-VLOOKUP(Main_L[[#This Row],[Industry]], Mean_ROA_L, 2, FALSE))/(VLOOKUP(Main_L[[#This Row],[Industry]], Mean_ROA_L, 3, FALSE))</f>
        <v>0.48683740693805205</v>
      </c>
      <c r="S12" s="1">
        <f>(Main_L[[#This Row],[A/E]]-VLOOKUP(Main_L[[#This Row],[Industry]], Mean_AE_L, 2, FALSE))/(VLOOKUP(Main_L[[#This Row],[Industry]], Mean_AE_L, 3, FALSE))</f>
        <v>-7.6710551522430989E-2</v>
      </c>
      <c r="T12" s="1">
        <f>(Main_L[[#This Row],[P/E]]-VLOOKUP(Main_L[[#This Row],[Industry]], Mean_PE_L, 2, FALSE))/(VLOOKUP(Main_L[[#This Row],[Industry]], Mean_PE_L, 3, FALSE))</f>
        <v>1.5111286966695707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s="68" t="s">
        <v>105</v>
      </c>
      <c r="B13" s="68" t="s">
        <v>117</v>
      </c>
      <c r="C13" s="2">
        <v>131206</v>
      </c>
      <c r="D13">
        <f>RTD("tos.rtd", , "LAST", Main_L[[#This Row],[Symbol]])</f>
        <v>75.569999999999993</v>
      </c>
      <c r="E13">
        <v>-13.76</v>
      </c>
      <c r="F13">
        <v>103.9</v>
      </c>
      <c r="G13">
        <v>6.33</v>
      </c>
      <c r="H13" s="1">
        <f>IF(ISNUMBER(Main_L[[#This Row],[Free CF]]),IF(Main_L[[#This Row],[Free CF]]&lt;&gt;0,Main_L[[#This Row],[Current Price]]/Main_L[[#This Row],[Free CF]],""),"")</f>
        <v>-5.4920058139534875</v>
      </c>
      <c r="I13" s="1">
        <f>IF(ISNUMBER(Main_L[[#This Row],[BVPS]]),IF(Main_L[[#This Row],[BVPS]]&lt;&gt;0,Main_L[[#This Row],[Current Price]]/Main_L[[#This Row],[BVPS]],""),"")</f>
        <v>0.72733397497593832</v>
      </c>
      <c r="J13">
        <v>6.44</v>
      </c>
      <c r="K13">
        <v>0.54</v>
      </c>
      <c r="L13">
        <v>13.25</v>
      </c>
      <c r="M13" s="1">
        <f>IF(ISNUMBER(Main_L[[#This Row],[EPS]]),IF(Main_L[[#This Row],[EPS]]&lt;&gt;0,Main_L[[#This Row],[Current Price]]/Main_L[[#This Row],[EPS]],""),"")</f>
        <v>11.938388625592415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-0.43209718664821595</v>
      </c>
      <c r="P13" s="1">
        <f>(Main_L[[#This Row],[P/B]]-VLOOKUP(Main_L[[#This Row],[Industry]], Mean_PB_L, 2, FALSE))/(VLOOKUP(Main_L[[#This Row],[Industry]], Mean_PB_L, 3, FALSE))</f>
        <v>-1.0909381408563341</v>
      </c>
      <c r="Q13" s="1">
        <f>(Main_L[[#This Row],[ROE]]-VLOOKUP(Main_L[[#This Row],[Industry]], Mean_ROE_L, 2, FALSE))/(VLOOKUP(Main_L[[#This Row],[Industry]], Mean_ROE_L, 3, FALSE))</f>
        <v>-1.5112708903524208</v>
      </c>
      <c r="R13" s="1">
        <f>(Main_L[[#This Row],[ROA]]-VLOOKUP(Main_L[[#This Row],[Industry]], Mean_ROA_L, 2, FALSE))/(VLOOKUP(Main_L[[#This Row],[Industry]], Mean_ROA_L, 3, FALSE))</f>
        <v>-0.77116118178892723</v>
      </c>
      <c r="S13" s="1">
        <f>(Main_L[[#This Row],[A/E]]-VLOOKUP(Main_L[[#This Row],[Industry]], Mean_AE_L, 2, FALSE))/(VLOOKUP(Main_L[[#This Row],[Industry]], Mean_AE_L, 3, FALSE))</f>
        <v>-0.16363189942994355</v>
      </c>
      <c r="T13" s="1">
        <f>(Main_L[[#This Row],[P/E]]-VLOOKUP(Main_L[[#This Row],[Industry]], Mean_PE_L, 2, FALSE))/(VLOOKUP(Main_L[[#This Row],[Industry]], Mean_PE_L, 3, FALSE))</f>
        <v>-3.1277552905105803E-2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8" t="s">
        <v>105</v>
      </c>
      <c r="B14" s="68" t="s">
        <v>118</v>
      </c>
      <c r="C14" s="2">
        <v>60058</v>
      </c>
      <c r="D14">
        <f>RTD("tos.rtd", , "LAST", Main_L[[#This Row],[Symbol]])</f>
        <v>64.81</v>
      </c>
      <c r="E14">
        <v>-21.71</v>
      </c>
      <c r="F14">
        <v>43.54</v>
      </c>
      <c r="G14">
        <v>5.3</v>
      </c>
      <c r="H14" s="1">
        <f>IF(ISNUMBER(Main_L[[#This Row],[Free CF]]),IF(Main_L[[#This Row],[Free CF]]&lt;&gt;0,Main_L[[#This Row],[Current Price]]/Main_L[[#This Row],[Free CF]],""),"")</f>
        <v>-2.9852602487333026</v>
      </c>
      <c r="I14" s="1">
        <f>IF(ISNUMBER(Main_L[[#This Row],[BVPS]]),IF(Main_L[[#This Row],[BVPS]]&lt;&gt;0,Main_L[[#This Row],[Current Price]]/Main_L[[#This Row],[BVPS]],""),"")</f>
        <v>1.4885163068442813</v>
      </c>
      <c r="J14">
        <v>13.1</v>
      </c>
      <c r="K14">
        <v>0.74</v>
      </c>
      <c r="L14">
        <v>18.2</v>
      </c>
      <c r="M14" s="1">
        <f>IF(ISNUMBER(Main_L[[#This Row],[EPS]]),IF(Main_L[[#This Row],[EPS]]&lt;&gt;0,Main_L[[#This Row],[Current Price]]/Main_L[[#This Row],[EPS]],""),"")</f>
        <v>12.228301886792453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-0.23489363290589355</v>
      </c>
      <c r="P14" s="1">
        <f>(Main_L[[#This Row],[P/B]]-VLOOKUP(Main_L[[#This Row],[Industry]], Mean_PB_L, 2, FALSE))/(VLOOKUP(Main_L[[#This Row],[Industry]], Mean_PB_L, 3, FALSE))</f>
        <v>0.24917004519933511</v>
      </c>
      <c r="Q14" s="1">
        <f>(Main_L[[#This Row],[ROE]]-VLOOKUP(Main_L[[#This Row],[Industry]], Mean_ROE_L, 2, FALSE))/(VLOOKUP(Main_L[[#This Row],[Industry]], Mean_ROE_L, 3, FALSE))</f>
        <v>0.41583364398723011</v>
      </c>
      <c r="R14" s="1">
        <f>(Main_L[[#This Row],[ROA]]-VLOOKUP(Main_L[[#This Row],[Industry]], Mean_ROA_L, 2, FALSE))/(VLOOKUP(Main_L[[#This Row],[Industry]], Mean_ROA_L, 3, FALSE))</f>
        <v>-0.39563921500475435</v>
      </c>
      <c r="S14" s="1">
        <f>(Main_L[[#This Row],[A/E]]-VLOOKUP(Main_L[[#This Row],[Industry]], Mean_AE_L, 2, FALSE))/(VLOOKUP(Main_L[[#This Row],[Industry]], Mean_AE_L, 3, FALSE))</f>
        <v>0.93960059324232947</v>
      </c>
      <c r="T14" s="1">
        <f>(Main_L[[#This Row],[P/E]]-VLOOKUP(Main_L[[#This Row],[Industry]], Mean_PE_L, 2, FALSE))/(VLOOKUP(Main_L[[#This Row],[Industry]], Mean_PE_L, 3, FALSE))</f>
        <v>6.8405594602752251E-2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8" t="s">
        <v>105</v>
      </c>
      <c r="B15" s="68" t="s">
        <v>119</v>
      </c>
      <c r="C15" s="2">
        <v>24076</v>
      </c>
      <c r="D15">
        <f>RTD("tos.rtd", , "LAST", Main_L[[#This Row],[Symbol]])</f>
        <v>1955.12</v>
      </c>
      <c r="E15">
        <v>97.06</v>
      </c>
      <c r="F15">
        <v>1596.28</v>
      </c>
      <c r="G15">
        <v>175.01</v>
      </c>
      <c r="H15" s="1">
        <f>IF(ISNUMBER(Main_L[[#This Row],[Free CF]]),IF(Main_L[[#This Row],[Free CF]]&lt;&gt;0,Main_L[[#This Row],[Current Price]]/Main_L[[#This Row],[Free CF]],""),"")</f>
        <v>20.143416443437047</v>
      </c>
      <c r="I15" s="1">
        <f>IF(ISNUMBER(Main_L[[#This Row],[BVPS]]),IF(Main_L[[#This Row],[BVPS]]&lt;&gt;0,Main_L[[#This Row],[Current Price]]/Main_L[[#This Row],[BVPS]],""),"")</f>
        <v>1.2247976545468213</v>
      </c>
      <c r="J15">
        <v>11.46</v>
      </c>
      <c r="K15">
        <v>1.1299999999999999</v>
      </c>
      <c r="L15">
        <v>10.69</v>
      </c>
      <c r="M15" s="1">
        <f>IF(ISNUMBER(Main_L[[#This Row],[EPS]]),IF(Main_L[[#This Row],[EPS]]&lt;&gt;0,Main_L[[#This Row],[Current Price]]/Main_L[[#This Row],[EPS]],""),"")</f>
        <v>11.171475915661961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1.584619803294236</v>
      </c>
      <c r="P15" s="1">
        <f>(Main_L[[#This Row],[P/B]]-VLOOKUP(Main_L[[#This Row],[Industry]], Mean_PB_L, 2, FALSE))/(VLOOKUP(Main_L[[#This Row],[Industry]], Mean_PB_L, 3, FALSE))</f>
        <v>-0.21512281862993493</v>
      </c>
      <c r="Q15" s="1">
        <f>(Main_L[[#This Row],[ROE]]-VLOOKUP(Main_L[[#This Row],[Industry]], Mean_ROE_L, 2, FALSE))/(VLOOKUP(Main_L[[#This Row],[Industry]], Mean_ROE_L, 3, FALSE))</f>
        <v>-5.8708613718028976E-2</v>
      </c>
      <c r="R15" s="1">
        <f>(Main_L[[#This Row],[ROA]]-VLOOKUP(Main_L[[#This Row],[Industry]], Mean_ROA_L, 2, FALSE))/(VLOOKUP(Main_L[[#This Row],[Industry]], Mean_ROA_L, 3, FALSE))</f>
        <v>0.33662862022438272</v>
      </c>
      <c r="S15" s="1">
        <f>(Main_L[[#This Row],[A/E]]-VLOOKUP(Main_L[[#This Row],[Industry]], Mean_AE_L, 2, FALSE))/(VLOOKUP(Main_L[[#This Row],[Industry]], Mean_AE_L, 3, FALSE))</f>
        <v>-0.73419254210489704</v>
      </c>
      <c r="T15" s="1">
        <f>(Main_L[[#This Row],[P/E]]-VLOOKUP(Main_L[[#This Row],[Industry]], Mean_PE_L, 2, FALSE))/(VLOOKUP(Main_L[[#This Row],[Industry]], Mean_PE_L, 3, FALSE))</f>
        <v>-0.29497115723767842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8" t="s">
        <v>105</v>
      </c>
      <c r="B16" s="68" t="s">
        <v>120</v>
      </c>
      <c r="C16" s="2">
        <v>24496</v>
      </c>
      <c r="D16">
        <f>RTD("tos.rtd", , "LAST", Main_L[[#This Row],[Symbol]])</f>
        <v>39.43</v>
      </c>
      <c r="E16">
        <v>3.54</v>
      </c>
      <c r="F16">
        <v>27.41</v>
      </c>
      <c r="G16">
        <v>3.15</v>
      </c>
      <c r="H16" s="1">
        <f>IF(ISNUMBER(Main_L[[#This Row],[Free CF]]),IF(Main_L[[#This Row],[Free CF]]&lt;&gt;0,Main_L[[#This Row],[Current Price]]/Main_L[[#This Row],[Free CF]],""),"")</f>
        <v>11.138418079096045</v>
      </c>
      <c r="I16" s="1">
        <f>IF(ISNUMBER(Main_L[[#This Row],[BVPS]]),IF(Main_L[[#This Row],[BVPS]]&lt;&gt;0,Main_L[[#This Row],[Current Price]]/Main_L[[#This Row],[BVPS]],""),"")</f>
        <v>1.4385260853703028</v>
      </c>
      <c r="J16">
        <v>11.72</v>
      </c>
      <c r="K16">
        <v>1.08</v>
      </c>
      <c r="L16">
        <v>11.63</v>
      </c>
      <c r="M16" s="1">
        <f>IF(ISNUMBER(Main_L[[#This Row],[EPS]]),IF(Main_L[[#This Row],[EPS]]&lt;&gt;0,Main_L[[#This Row],[Current Price]]/Main_L[[#This Row],[EPS]],""),"")</f>
        <v>12.517460317460317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0.87620419720704068</v>
      </c>
      <c r="P16" s="1">
        <f>(Main_L[[#This Row],[P/B]]-VLOOKUP(Main_L[[#This Row],[Industry]], Mean_PB_L, 2, FALSE))/(VLOOKUP(Main_L[[#This Row],[Industry]], Mean_PB_L, 3, FALSE))</f>
        <v>0.16115919390227465</v>
      </c>
      <c r="Q16" s="1">
        <f>(Main_L[[#This Row],[ROE]]-VLOOKUP(Main_L[[#This Row],[Industry]], Mean_ROE_L, 2, FALSE))/(VLOOKUP(Main_L[[#This Row],[Industry]], Mean_ROE_L, 3, FALSE))</f>
        <v>1.6523695430365751E-2</v>
      </c>
      <c r="R16" s="1">
        <f>(Main_L[[#This Row],[ROA]]-VLOOKUP(Main_L[[#This Row],[Industry]], Mean_ROA_L, 2, FALSE))/(VLOOKUP(Main_L[[#This Row],[Industry]], Mean_ROA_L, 3, FALSE))</f>
        <v>0.24274812852833985</v>
      </c>
      <c r="S16" s="1">
        <f>(Main_L[[#This Row],[A/E]]-VLOOKUP(Main_L[[#This Row],[Industry]], Mean_AE_L, 2, FALSE))/(VLOOKUP(Main_L[[#This Row],[Industry]], Mean_AE_L, 3, FALSE))</f>
        <v>-0.52468980612268734</v>
      </c>
      <c r="T16" s="1">
        <f>(Main_L[[#This Row],[P/E]]-VLOOKUP(Main_L[[#This Row],[Industry]], Mean_PE_L, 2, FALSE))/(VLOOKUP(Main_L[[#This Row],[Industry]], Mean_PE_L, 3, FALSE))</f>
        <v>0.16782920281609645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8" t="s">
        <v>105</v>
      </c>
      <c r="B17" s="68" t="s">
        <v>121</v>
      </c>
      <c r="C17" s="2">
        <v>185852</v>
      </c>
      <c r="D17">
        <f>RTD("tos.rtd", , "LAST", Main_L[[#This Row],[Symbol]])</f>
        <v>72.39</v>
      </c>
      <c r="E17">
        <v>-3.24</v>
      </c>
      <c r="F17">
        <v>7.99</v>
      </c>
      <c r="G17">
        <v>1.08</v>
      </c>
      <c r="H17" s="1">
        <f>IF(ISNUMBER(Main_L[[#This Row],[Free CF]]),IF(Main_L[[#This Row],[Free CF]]&lt;&gt;0,Main_L[[#This Row],[Current Price]]/Main_L[[#This Row],[Free CF]],""),"")</f>
        <v>-22.342592592592592</v>
      </c>
      <c r="I17" s="1">
        <f>IF(ISNUMBER(Main_L[[#This Row],[BVPS]]),IF(Main_L[[#This Row],[BVPS]]&lt;&gt;0,Main_L[[#This Row],[Current Price]]/Main_L[[#This Row],[BVPS]],""),"")</f>
        <v>9.0600750938673347</v>
      </c>
      <c r="J17">
        <v>14.57</v>
      </c>
      <c r="K17">
        <v>1.74</v>
      </c>
      <c r="L17">
        <v>8.42</v>
      </c>
      <c r="M17" s="1">
        <f>IF(ISNUMBER(Main_L[[#This Row],[EPS]]),IF(Main_L[[#This Row],[EPS]]&lt;&gt;0,Main_L[[#This Row],[Current Price]]/Main_L[[#This Row],[EPS]],""),"")</f>
        <v>67.027777777777771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-1.7577185985281811</v>
      </c>
      <c r="P17" s="1">
        <f>(Main_L[[#This Row],[P/B]]-VLOOKUP(Main_L[[#This Row],[Industry]], Mean_PB_L, 2, FALSE))/(VLOOKUP(Main_L[[#This Row],[Industry]], Mean_PB_L, 3, FALSE))</f>
        <v>13.579363727948056</v>
      </c>
      <c r="Q17" s="1">
        <f>(Main_L[[#This Row],[ROE]]-VLOOKUP(Main_L[[#This Row],[Industry]], Mean_ROE_L, 2, FALSE))/(VLOOKUP(Main_L[[#This Row],[Industry]], Mean_ROE_L, 3, FALSE))</f>
        <v>0.84118554571084703</v>
      </c>
      <c r="R17" s="1">
        <f>(Main_L[[#This Row],[ROA]]-VLOOKUP(Main_L[[#This Row],[Industry]], Mean_ROA_L, 2, FALSE))/(VLOOKUP(Main_L[[#This Row],[Industry]], Mean_ROA_L, 3, FALSE))</f>
        <v>1.4819706189161104</v>
      </c>
      <c r="S17" s="1">
        <f>(Main_L[[#This Row],[A/E]]-VLOOKUP(Main_L[[#This Row],[Industry]], Mean_AE_L, 2, FALSE))/(VLOOKUP(Main_L[[#This Row],[Industry]], Mean_AE_L, 3, FALSE))</f>
        <v>-1.2401193619768283</v>
      </c>
      <c r="T17" s="1">
        <f>(Main_L[[#This Row],[P/E]]-VLOOKUP(Main_L[[#This Row],[Industry]], Mean_PE_L, 2, FALSE))/(VLOOKUP(Main_L[[#This Row],[Industry]], Mean_PE_L, 3, FALSE))</f>
        <v>18.910538638062466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8" spans="1:26" x14ac:dyDescent="0.25">
      <c r="A18" s="68" t="s">
        <v>105</v>
      </c>
      <c r="B18" s="68" t="s">
        <v>122</v>
      </c>
      <c r="C18" s="2">
        <v>198824</v>
      </c>
      <c r="D18">
        <f>RTD("tos.rtd", , "LAST", Main_L[[#This Row],[Symbol]])</f>
        <v>58.34</v>
      </c>
      <c r="E18">
        <v>0.88</v>
      </c>
      <c r="F18">
        <v>9.74</v>
      </c>
      <c r="G18">
        <v>1.08</v>
      </c>
      <c r="H18" s="1">
        <f>IF(ISNUMBER(Main_L[[#This Row],[Free CF]]),IF(Main_L[[#This Row],[Free CF]]&lt;&gt;0,Main_L[[#This Row],[Current Price]]/Main_L[[#This Row],[Free CF]],""),"")</f>
        <v>66.295454545454547</v>
      </c>
      <c r="I18" s="1">
        <f>IF(ISNUMBER(Main_L[[#This Row],[BVPS]]),IF(Main_L[[#This Row],[BVPS]]&lt;&gt;0,Main_L[[#This Row],[Current Price]]/Main_L[[#This Row],[BVPS]],""),"")</f>
        <v>5.9897330595482545</v>
      </c>
      <c r="J18">
        <v>10.96</v>
      </c>
      <c r="K18">
        <v>0.72</v>
      </c>
      <c r="L18">
        <v>16.010000000000002</v>
      </c>
      <c r="M18" s="1">
        <f>IF(ISNUMBER(Main_L[[#This Row],[EPS]]),IF(Main_L[[#This Row],[EPS]]&lt;&gt;0,Main_L[[#This Row],[Current Price]]/Main_L[[#This Row],[EPS]],""),"")</f>
        <v>54.018518518518519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5.2153616114958528</v>
      </c>
      <c r="P18" s="1">
        <f>(Main_L[[#This Row],[P/B]]-VLOOKUP(Main_L[[#This Row],[Industry]], Mean_PB_L, 2, FALSE))/(VLOOKUP(Main_L[[#This Row],[Industry]], Mean_PB_L, 3, FALSE))</f>
        <v>8.1738382422442051</v>
      </c>
      <c r="Q18" s="1">
        <f>(Main_L[[#This Row],[ROE]]-VLOOKUP(Main_L[[#This Row],[Industry]], Mean_ROE_L, 2, FALSE))/(VLOOKUP(Main_L[[#This Row],[Industry]], Mean_ROE_L, 3, FALSE))</f>
        <v>-0.20338613131109587</v>
      </c>
      <c r="R18" s="1">
        <f>(Main_L[[#This Row],[ROA]]-VLOOKUP(Main_L[[#This Row],[Industry]], Mean_ROA_L, 2, FALSE))/(VLOOKUP(Main_L[[#This Row],[Industry]], Mean_ROA_L, 3, FALSE))</f>
        <v>-0.43319141168317166</v>
      </c>
      <c r="S18" s="1">
        <f>(Main_L[[#This Row],[A/E]]-VLOOKUP(Main_L[[#This Row],[Industry]], Mean_AE_L, 2, FALSE))/(VLOOKUP(Main_L[[#This Row],[Industry]], Mean_AE_L, 3, FALSE))</f>
        <v>0.45150379345399094</v>
      </c>
      <c r="T18" s="1">
        <f>(Main_L[[#This Row],[P/E]]-VLOOKUP(Main_L[[#This Row],[Industry]], Mean_PE_L, 2, FALSE))/(VLOOKUP(Main_L[[#This Row],[Industry]], Mean_PE_L, 3, FALSE))</f>
        <v>14.437463124576645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9" spans="1:26" x14ac:dyDescent="0.25">
      <c r="A19" s="68" t="s">
        <v>105</v>
      </c>
      <c r="B19" s="68" t="s">
        <v>123</v>
      </c>
      <c r="C19" s="2">
        <v>120455</v>
      </c>
      <c r="D19">
        <f>RTD("tos.rtd", , "LAST", Main_L[[#This Row],[Symbol]])</f>
        <v>33.520000000000003</v>
      </c>
      <c r="E19">
        <v>-1.33</v>
      </c>
      <c r="F19">
        <v>5.16</v>
      </c>
      <c r="G19">
        <v>0.83</v>
      </c>
      <c r="H19" s="1">
        <f>IF(ISNUMBER(Main_L[[#This Row],[Free CF]]),IF(Main_L[[#This Row],[Free CF]]&lt;&gt;0,Main_L[[#This Row],[Current Price]]/Main_L[[#This Row],[Free CF]],""),"")</f>
        <v>-25.203007518796994</v>
      </c>
      <c r="I19" s="1">
        <f>IF(ISNUMBER(Main_L[[#This Row],[BVPS]]),IF(Main_L[[#This Row],[BVPS]]&lt;&gt;0,Main_L[[#This Row],[Current Price]]/Main_L[[#This Row],[BVPS]],""),"")</f>
        <v>6.4961240310077519</v>
      </c>
      <c r="J19">
        <v>18.23</v>
      </c>
      <c r="K19">
        <v>2.1800000000000002</v>
      </c>
      <c r="L19">
        <v>8.42</v>
      </c>
      <c r="M19" s="1">
        <f>IF(ISNUMBER(Main_L[[#This Row],[EPS]]),IF(Main_L[[#This Row],[EPS]]&lt;&gt;0,Main_L[[#This Row],[Current Price]]/Main_L[[#This Row],[EPS]],""),"")</f>
        <v>40.385542168674704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-1.9827450218124061</v>
      </c>
      <c r="P19" s="1">
        <f>(Main_L[[#This Row],[P/B]]-VLOOKUP(Main_L[[#This Row],[Industry]], Mean_PB_L, 2, FALSE))/(VLOOKUP(Main_L[[#This Row],[Industry]], Mean_PB_L, 3, FALSE))</f>
        <v>9.0653706094391548</v>
      </c>
      <c r="Q19" s="1">
        <f>(Main_L[[#This Row],[ROE]]-VLOOKUP(Main_L[[#This Row],[Industry]], Mean_ROE_L, 2, FALSE))/(VLOOKUP(Main_L[[#This Row],[Industry]], Mean_ROE_L, 3, FALSE))</f>
        <v>1.9002249744920967</v>
      </c>
      <c r="R19" s="1">
        <f>(Main_L[[#This Row],[ROA]]-VLOOKUP(Main_L[[#This Row],[Industry]], Mean_ROA_L, 2, FALSE))/(VLOOKUP(Main_L[[#This Row],[Industry]], Mean_ROA_L, 3, FALSE))</f>
        <v>2.3081189458412914</v>
      </c>
      <c r="S19" s="1">
        <f>(Main_L[[#This Row],[A/E]]-VLOOKUP(Main_L[[#This Row],[Industry]], Mean_AE_L, 2, FALSE))/(VLOOKUP(Main_L[[#This Row],[Industry]], Mean_AE_L, 3, FALSE))</f>
        <v>-1.2401193619768283</v>
      </c>
      <c r="T19" s="1">
        <f>(Main_L[[#This Row],[P/E]]-VLOOKUP(Main_L[[#This Row],[Industry]], Mean_PE_L, 2, FALSE))/(VLOOKUP(Main_L[[#This Row],[Industry]], Mean_PE_L, 3, FALSE))</f>
        <v>9.7499300782185578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0" spans="1:26" x14ac:dyDescent="0.25">
      <c r="A20" s="68" t="s">
        <v>105</v>
      </c>
      <c r="B20" s="68" t="s">
        <v>124</v>
      </c>
      <c r="C20" s="2">
        <v>60514</v>
      </c>
      <c r="D20">
        <f>RTD("tos.rtd", , "LAST", Main_L[[#This Row],[Symbol]])</f>
        <v>20.79</v>
      </c>
      <c r="E20">
        <v>-18.02</v>
      </c>
      <c r="F20">
        <v>18.329999999999998</v>
      </c>
      <c r="G20">
        <v>1.78</v>
      </c>
      <c r="H20" s="1">
        <f>IF(ISNUMBER(Main_L[[#This Row],[Free CF]]),IF(Main_L[[#This Row],[Free CF]]&lt;&gt;0,Main_L[[#This Row],[Current Price]]/Main_L[[#This Row],[Free CF]],""),"")</f>
        <v>-1.1537180910099889</v>
      </c>
      <c r="I20" s="1">
        <f>IF(ISNUMBER(Main_L[[#This Row],[BVPS]]),IF(Main_L[[#This Row],[BVPS]]&lt;&gt;0,Main_L[[#This Row],[Current Price]]/Main_L[[#This Row],[BVPS]],""),"")</f>
        <v>1.1342062193126023</v>
      </c>
      <c r="J20">
        <v>10.24</v>
      </c>
      <c r="K20">
        <v>0.52</v>
      </c>
      <c r="L20">
        <v>20.88</v>
      </c>
      <c r="M20" s="1">
        <f>IF(ISNUMBER(Main_L[[#This Row],[EPS]]),IF(Main_L[[#This Row],[EPS]]&lt;&gt;0,Main_L[[#This Row],[Current Price]]/Main_L[[#This Row],[EPS]],""),"")</f>
        <v>11.679775280898875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-9.0807760233693149E-2</v>
      </c>
      <c r="P20" s="1">
        <f>(Main_L[[#This Row],[P/B]]-VLOOKUP(Main_L[[#This Row],[Industry]], Mean_PB_L, 2, FALSE))/(VLOOKUP(Main_L[[#This Row],[Industry]], Mean_PB_L, 3, FALSE))</f>
        <v>-0.37461459722380153</v>
      </c>
      <c r="Q20" s="1">
        <f>(Main_L[[#This Row],[ROE]]-VLOOKUP(Main_L[[#This Row],[Industry]], Mean_ROE_L, 2, FALSE))/(VLOOKUP(Main_L[[#This Row],[Industry]], Mean_ROE_L, 3, FALSE))</f>
        <v>-0.4117217566451124</v>
      </c>
      <c r="R20" s="1">
        <f>(Main_L[[#This Row],[ROA]]-VLOOKUP(Main_L[[#This Row],[Industry]], Mean_ROA_L, 2, FALSE))/(VLOOKUP(Main_L[[#This Row],[Industry]], Mean_ROA_L, 3, FALSE))</f>
        <v>-0.80871337846734448</v>
      </c>
      <c r="S20" s="1">
        <f>(Main_L[[#This Row],[A/E]]-VLOOKUP(Main_L[[#This Row],[Industry]], Mean_AE_L, 2, FALSE))/(VLOOKUP(Main_L[[#This Row],[Industry]], Mean_AE_L, 3, FALSE))</f>
        <v>1.5369062660426713</v>
      </c>
      <c r="T20" s="1">
        <f>(Main_L[[#This Row],[P/E]]-VLOOKUP(Main_L[[#This Row],[Industry]], Mean_PE_L, 2, FALSE))/(VLOOKUP(Main_L[[#This Row],[Industry]], Mean_PE_L, 3, FALSE))</f>
        <v>-0.12019860494625097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s="68" t="s">
        <v>105</v>
      </c>
      <c r="B21" s="68" t="s">
        <v>125</v>
      </c>
      <c r="C21" s="2">
        <v>65780</v>
      </c>
      <c r="D21">
        <f>RTD("tos.rtd", , "LAST", Main_L[[#This Row],[Symbol]])</f>
        <v>6.62</v>
      </c>
      <c r="E21">
        <v>-1.55</v>
      </c>
      <c r="F21">
        <v>3.17</v>
      </c>
      <c r="G21">
        <v>0.61</v>
      </c>
      <c r="H21" s="1">
        <f>IF(ISNUMBER(Main_L[[#This Row],[Free CF]]),IF(Main_L[[#This Row],[Free CF]]&lt;&gt;0,Main_L[[#This Row],[Current Price]]/Main_L[[#This Row],[Free CF]],""),"")</f>
        <v>-4.2709677419354835</v>
      </c>
      <c r="I21" s="1">
        <f>IF(ISNUMBER(Main_L[[#This Row],[BVPS]]),IF(Main_L[[#This Row],[BVPS]]&lt;&gt;0,Main_L[[#This Row],[Current Price]]/Main_L[[#This Row],[BVPS]],""),"")</f>
        <v>2.0883280757097791</v>
      </c>
      <c r="J21">
        <v>20.04</v>
      </c>
      <c r="K21">
        <v>1.56</v>
      </c>
      <c r="L21">
        <v>13.52</v>
      </c>
      <c r="M21" s="1">
        <f>IF(ISNUMBER(Main_L[[#This Row],[EPS]]),IF(Main_L[[#This Row],[EPS]]&lt;&gt;0,Main_L[[#This Row],[Current Price]]/Main_L[[#This Row],[EPS]],""),"")</f>
        <v>10.852459016393443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-0.33603915411491669</v>
      </c>
      <c r="P21" s="1">
        <f>(Main_L[[#This Row],[P/B]]-VLOOKUP(Main_L[[#This Row],[Industry]], Mean_PB_L, 2, FALSE))/(VLOOKUP(Main_L[[#This Row],[Industry]], Mean_PB_L, 3, FALSE))</f>
        <v>1.3051754566441913</v>
      </c>
      <c r="Q21" s="1">
        <f>(Main_L[[#This Row],[ROE]]-VLOOKUP(Main_L[[#This Row],[Industry]], Mean_ROE_L, 2, FALSE))/(VLOOKUP(Main_L[[#This Row],[Industry]], Mean_ROE_L, 3, FALSE))</f>
        <v>2.4239575881789985</v>
      </c>
      <c r="R21" s="1">
        <f>(Main_L[[#This Row],[ROA]]-VLOOKUP(Main_L[[#This Row],[Industry]], Mean_ROA_L, 2, FALSE))/(VLOOKUP(Main_L[[#This Row],[Industry]], Mean_ROA_L, 3, FALSE))</f>
        <v>1.1440008488103548</v>
      </c>
      <c r="S21" s="1">
        <f>(Main_L[[#This Row],[A/E]]-VLOOKUP(Main_L[[#This Row],[Industry]], Mean_AE_L, 2, FALSE))/(VLOOKUP(Main_L[[#This Row],[Industry]], Mean_AE_L, 3, FALSE))</f>
        <v>-0.10345558164781965</v>
      </c>
      <c r="T21" s="1">
        <f>(Main_L[[#This Row],[P/E]]-VLOOKUP(Main_L[[#This Row],[Industry]], Mean_PE_L, 2, FALSE))/(VLOOKUP(Main_L[[#This Row],[Industry]], Mean_PE_L, 3, FALSE))</f>
        <v>-0.40466123659331393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s="68" t="s">
        <v>105</v>
      </c>
      <c r="B22" s="68" t="s">
        <v>126</v>
      </c>
      <c r="C22" s="2">
        <v>693073</v>
      </c>
      <c r="D22">
        <f>RTD("tos.rtd", , "LAST", Main_L[[#This Row],[Symbol]])</f>
        <v>263.01</v>
      </c>
      <c r="E22">
        <v>-48.99</v>
      </c>
      <c r="F22">
        <v>119.24</v>
      </c>
      <c r="G22">
        <v>20.39</v>
      </c>
      <c r="H22" s="1">
        <f>IF(ISNUMBER(Main_L[[#This Row],[Free CF]]),IF(Main_L[[#This Row],[Free CF]]&lt;&gt;0,Main_L[[#This Row],[Current Price]]/Main_L[[#This Row],[Free CF]],""),"")</f>
        <v>-5.3686466625842009</v>
      </c>
      <c r="I22" s="1">
        <f>IF(ISNUMBER(Main_L[[#This Row],[BVPS]]),IF(Main_L[[#This Row],[BVPS]]&lt;&gt;0,Main_L[[#This Row],[Current Price]]/Main_L[[#This Row],[BVPS]],""),"")</f>
        <v>2.2057195571955721</v>
      </c>
      <c r="J22">
        <v>17.350000000000001</v>
      </c>
      <c r="K22">
        <v>1.41</v>
      </c>
      <c r="L22">
        <v>13.15</v>
      </c>
      <c r="M22" s="1">
        <f>IF(ISNUMBER(Main_L[[#This Row],[EPS]]),IF(Main_L[[#This Row],[EPS]]&lt;&gt;0,Main_L[[#This Row],[Current Price]]/Main_L[[#This Row],[EPS]],""),"")</f>
        <v>12.898970083374202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-0.42239262653083381</v>
      </c>
      <c r="P22" s="1">
        <f>(Main_L[[#This Row],[P/B]]-VLOOKUP(Main_L[[#This Row],[Industry]], Mean_PB_L, 2, FALSE))/(VLOOKUP(Main_L[[#This Row],[Industry]], Mean_PB_L, 3, FALSE))</f>
        <v>1.511850360574468</v>
      </c>
      <c r="Q22" s="1">
        <f>(Main_L[[#This Row],[ROE]]-VLOOKUP(Main_L[[#This Row],[Industry]], Mean_ROE_L, 2, FALSE))/(VLOOKUP(Main_L[[#This Row],[Industry]], Mean_ROE_L, 3, FALSE))</f>
        <v>1.6455925435282994</v>
      </c>
      <c r="R22" s="1">
        <f>(Main_L[[#This Row],[ROA]]-VLOOKUP(Main_L[[#This Row],[Industry]], Mean_ROA_L, 2, FALSE))/(VLOOKUP(Main_L[[#This Row],[Industry]], Mean_ROA_L, 3, FALSE))</f>
        <v>0.86235937372222493</v>
      </c>
      <c r="S22" s="1">
        <f>(Main_L[[#This Row],[A/E]]-VLOOKUP(Main_L[[#This Row],[Industry]], Mean_AE_L, 2, FALSE))/(VLOOKUP(Main_L[[#This Row],[Industry]], Mean_AE_L, 3, FALSE))</f>
        <v>-0.18591942453443383</v>
      </c>
      <c r="T22" s="1">
        <f>(Main_L[[#This Row],[P/E]]-VLOOKUP(Main_L[[#This Row],[Industry]], Mean_PE_L, 2, FALSE))/(VLOOKUP(Main_L[[#This Row],[Industry]], Mean_PE_L, 3, FALSE))</f>
        <v>0.29900669402110097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8" t="s">
        <v>105</v>
      </c>
      <c r="B23" s="68" t="s">
        <v>127</v>
      </c>
      <c r="C23" s="2">
        <v>24262</v>
      </c>
      <c r="D23">
        <f>RTD("tos.rtd", , "LAST", Main_L[[#This Row],[Symbol]])</f>
        <v>66.36</v>
      </c>
      <c r="E23">
        <v>-36.49</v>
      </c>
      <c r="F23">
        <v>95.94</v>
      </c>
      <c r="G23">
        <v>10.050000000000001</v>
      </c>
      <c r="H23" s="1">
        <f>IF(ISNUMBER(Main_L[[#This Row],[Free CF]]),IF(Main_L[[#This Row],[Free CF]]&lt;&gt;0,Main_L[[#This Row],[Current Price]]/Main_L[[#This Row],[Free CF]],""),"")</f>
        <v>-1.818580432995341</v>
      </c>
      <c r="I23" s="1">
        <f>IF(ISNUMBER(Main_L[[#This Row],[BVPS]]),IF(Main_L[[#This Row],[BVPS]]&lt;&gt;0,Main_L[[#This Row],[Current Price]]/Main_L[[#This Row],[BVPS]],""),"")</f>
        <v>0.69168230143839904</v>
      </c>
      <c r="J23">
        <v>8.49</v>
      </c>
      <c r="K23">
        <v>0.68</v>
      </c>
      <c r="L23">
        <v>13.09</v>
      </c>
      <c r="M23" s="1">
        <f>IF(ISNUMBER(Main_L[[#This Row],[EPS]]),IF(Main_L[[#This Row],[EPS]]&lt;&gt;0,Main_L[[#This Row],[Current Price]]/Main_L[[#This Row],[EPS]],""),"")</f>
        <v>6.602985074626865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-0.14311191842512816</v>
      </c>
      <c r="P23" s="1">
        <f>(Main_L[[#This Row],[P/B]]-VLOOKUP(Main_L[[#This Row],[Industry]], Mean_PB_L, 2, FALSE))/(VLOOKUP(Main_L[[#This Row],[Industry]], Mean_PB_L, 3, FALSE))</f>
        <v>-1.1537050989870758</v>
      </c>
      <c r="Q23" s="1">
        <f>(Main_L[[#This Row],[ROE]]-VLOOKUP(Main_L[[#This Row],[Industry]], Mean_ROE_L, 2, FALSE))/(VLOOKUP(Main_L[[#This Row],[Industry]], Mean_ROE_L, 3, FALSE))</f>
        <v>-0.91809306822084658</v>
      </c>
      <c r="R23" s="1">
        <f>(Main_L[[#This Row],[ROA]]-VLOOKUP(Main_L[[#This Row],[Industry]], Mean_ROA_L, 2, FALSE))/(VLOOKUP(Main_L[[#This Row],[Industry]], Mean_ROA_L, 3, FALSE))</f>
        <v>-0.50829580504000615</v>
      </c>
      <c r="S23" s="1">
        <f>(Main_L[[#This Row],[A/E]]-VLOOKUP(Main_L[[#This Row],[Industry]], Mean_AE_L, 2, FALSE))/(VLOOKUP(Main_L[[#This Row],[Industry]], Mean_AE_L, 3, FALSE))</f>
        <v>-0.19929193959712818</v>
      </c>
      <c r="T23" s="1">
        <f>(Main_L[[#This Row],[P/E]]-VLOOKUP(Main_L[[#This Row],[Industry]], Mean_PE_L, 2, FALSE))/(VLOOKUP(Main_L[[#This Row],[Industry]], Mean_PE_L, 3, FALSE))</f>
        <v>-1.8657911483969531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8" t="s">
        <v>105</v>
      </c>
      <c r="B24" s="68" t="s">
        <v>128</v>
      </c>
      <c r="C24" s="2">
        <v>16936</v>
      </c>
      <c r="D24">
        <f>RTD("tos.rtd", , "LAST", Main_L[[#This Row],[Symbol]])</f>
        <v>16.62</v>
      </c>
      <c r="E24">
        <v>0.48</v>
      </c>
      <c r="F24">
        <v>14.84</v>
      </c>
      <c r="G24">
        <v>-0.13</v>
      </c>
      <c r="H24" s="1">
        <f>IF(ISNUMBER(Main_L[[#This Row],[Free CF]]),IF(Main_L[[#This Row],[Free CF]]&lt;&gt;0,Main_L[[#This Row],[Current Price]]/Main_L[[#This Row],[Free CF]],""),"")</f>
        <v>34.625</v>
      </c>
      <c r="I24" s="1">
        <f>IF(ISNUMBER(Main_L[[#This Row],[BVPS]]),IF(Main_L[[#This Row],[BVPS]]&lt;&gt;0,Main_L[[#This Row],[Current Price]]/Main_L[[#This Row],[BVPS]],""),"")</f>
        <v>1.119946091644205</v>
      </c>
      <c r="J24">
        <v>0.14000000000000001</v>
      </c>
      <c r="K24">
        <v>0.01</v>
      </c>
      <c r="L24">
        <v>11.43</v>
      </c>
      <c r="M24" s="1">
        <f>IF(ISNUMBER(Main_L[[#This Row],[EPS]]),IF(Main_L[[#This Row],[EPS]]&lt;&gt;0,Main_L[[#This Row],[Current Price]]/Main_L[[#This Row],[EPS]],""),"")</f>
        <v>-127.84615384615385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2.7238737350827811</v>
      </c>
      <c r="P24" s="1">
        <f>(Main_L[[#This Row],[P/B]]-VLOOKUP(Main_L[[#This Row],[Industry]], Mean_PB_L, 2, FALSE))/(VLOOKUP(Main_L[[#This Row],[Industry]], Mean_PB_L, 3, FALSE))</f>
        <v>-0.39972042669794594</v>
      </c>
      <c r="Q24" s="1">
        <f>(Main_L[[#This Row],[ROE]]-VLOOKUP(Main_L[[#This Row],[Industry]], Mean_ROE_L, 2, FALSE))/(VLOOKUP(Main_L[[#This Row],[Industry]], Mean_ROE_L, 3, FALSE))</f>
        <v>-3.3342076120250637</v>
      </c>
      <c r="R24" s="1">
        <f>(Main_L[[#This Row],[ROA]]-VLOOKUP(Main_L[[#This Row],[Industry]], Mean_ROA_L, 2, FALSE))/(VLOOKUP(Main_L[[#This Row],[Industry]], Mean_ROA_L, 3, FALSE))</f>
        <v>-1.7662943937669855</v>
      </c>
      <c r="S24" s="1">
        <f>(Main_L[[#This Row],[A/E]]-VLOOKUP(Main_L[[#This Row],[Industry]], Mean_AE_L, 2, FALSE))/(VLOOKUP(Main_L[[#This Row],[Industry]], Mean_AE_L, 3, FALSE))</f>
        <v>-0.56926485633166835</v>
      </c>
      <c r="T24" s="1">
        <f>(Main_L[[#This Row],[P/E]]-VLOOKUP(Main_L[[#This Row],[Industry]], Mean_PE_L, 2, FALSE))/(VLOOKUP(Main_L[[#This Row],[Industry]], Mean_PE_L, 3, FALSE))</f>
        <v>-48.094491732387112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5" spans="1:26" x14ac:dyDescent="0.25">
      <c r="A25" s="68" t="s">
        <v>105</v>
      </c>
      <c r="B25" s="68" t="s">
        <v>129</v>
      </c>
      <c r="C25" s="2">
        <v>58184</v>
      </c>
      <c r="D25">
        <f>RTD("tos.rtd", , "LAST", Main_L[[#This Row],[Symbol]])</f>
        <v>3.91</v>
      </c>
      <c r="E25">
        <v>-0.43</v>
      </c>
      <c r="F25">
        <v>1.02</v>
      </c>
      <c r="G25">
        <v>0.08</v>
      </c>
      <c r="H25" s="1">
        <f>IF(ISNUMBER(Main_L[[#This Row],[Free CF]]),IF(Main_L[[#This Row],[Free CF]]&lt;&gt;0,Main_L[[#This Row],[Current Price]]/Main_L[[#This Row],[Free CF]],""),"")</f>
        <v>-9.0930232558139537</v>
      </c>
      <c r="I25" s="1">
        <f>IF(ISNUMBER(Main_L[[#This Row],[BVPS]]),IF(Main_L[[#This Row],[BVPS]]&lt;&gt;0,Main_L[[#This Row],[Current Price]]/Main_L[[#This Row],[BVPS]],""),"")</f>
        <v>3.8333333333333335</v>
      </c>
      <c r="J25">
        <v>9.24</v>
      </c>
      <c r="K25">
        <v>0.5</v>
      </c>
      <c r="L25">
        <v>19.04</v>
      </c>
      <c r="M25" s="1">
        <f>IF(ISNUMBER(Main_L[[#This Row],[EPS]]),IF(Main_L[[#This Row],[EPS]]&lt;&gt;0,Main_L[[#This Row],[Current Price]]/Main_L[[#This Row],[EPS]],""),"")</f>
        <v>48.875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-0.71538618353553851</v>
      </c>
      <c r="P25" s="1">
        <f>(Main_L[[#This Row],[P/B]]-VLOOKUP(Main_L[[#This Row],[Industry]], Mean_PB_L, 2, FALSE))/(VLOOKUP(Main_L[[#This Row],[Industry]], Mean_PB_L, 3, FALSE))</f>
        <v>4.3773642510314765</v>
      </c>
      <c r="Q25" s="1">
        <f>(Main_L[[#This Row],[ROE]]-VLOOKUP(Main_L[[#This Row],[Industry]], Mean_ROE_L, 2, FALSE))/(VLOOKUP(Main_L[[#This Row],[Industry]], Mean_ROE_L, 3, FALSE))</f>
        <v>-0.70107679183124627</v>
      </c>
      <c r="R25" s="1">
        <f>(Main_L[[#This Row],[ROA]]-VLOOKUP(Main_L[[#This Row],[Industry]], Mean_ROA_L, 2, FALSE))/(VLOOKUP(Main_L[[#This Row],[Industry]], Mean_ROA_L, 3, FALSE))</f>
        <v>-0.84626557514576184</v>
      </c>
      <c r="S25" s="1">
        <f>(Main_L[[#This Row],[A/E]]-VLOOKUP(Main_L[[#This Row],[Industry]], Mean_AE_L, 2, FALSE))/(VLOOKUP(Main_L[[#This Row],[Industry]], Mean_AE_L, 3, FALSE))</f>
        <v>1.1268158041200484</v>
      </c>
      <c r="T25" s="1">
        <f>(Main_L[[#This Row],[P/E]]-VLOOKUP(Main_L[[#This Row],[Industry]], Mean_PE_L, 2, FALSE))/(VLOOKUP(Main_L[[#This Row],[Industry]], Mean_PE_L, 3, FALSE))</f>
        <v>12.668926862839012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6" spans="1:26" x14ac:dyDescent="0.25">
      <c r="A26" s="68" t="s">
        <v>105</v>
      </c>
      <c r="B26" s="68" t="s">
        <v>130</v>
      </c>
      <c r="C26" s="2">
        <v>61607</v>
      </c>
      <c r="D26">
        <f>RTD("tos.rtd", , "LAST", Main_L[[#This Row],[Symbol]])</f>
        <v>5.17</v>
      </c>
      <c r="E26">
        <v>-4.1399999999999997</v>
      </c>
      <c r="F26">
        <v>26.49</v>
      </c>
      <c r="G26">
        <v>2.2400000000000002</v>
      </c>
      <c r="H26" s="1">
        <f>IF(ISNUMBER(Main_L[[#This Row],[Free CF]]),IF(Main_L[[#This Row],[Free CF]]&lt;&gt;0,Main_L[[#This Row],[Current Price]]/Main_L[[#This Row],[Free CF]],""),"")</f>
        <v>-1.248792270531401</v>
      </c>
      <c r="I26" s="1">
        <f>IF(ISNUMBER(Main_L[[#This Row],[BVPS]]),IF(Main_L[[#This Row],[BVPS]]&lt;&gt;0,Main_L[[#This Row],[Current Price]]/Main_L[[#This Row],[BVPS]],""),"")</f>
        <v>0.19516798791996981</v>
      </c>
      <c r="J26">
        <v>8.73</v>
      </c>
      <c r="K26">
        <v>0.32</v>
      </c>
      <c r="L26">
        <v>27.18</v>
      </c>
      <c r="M26" s="1">
        <f>IF(ISNUMBER(Main_L[[#This Row],[EPS]]),IF(Main_L[[#This Row],[EPS]]&lt;&gt;0,Main_L[[#This Row],[Current Price]]/Main_L[[#This Row],[EPS]],""),"")</f>
        <v>2.308035714285714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-9.8287165535487761E-2</v>
      </c>
      <c r="P26" s="1">
        <f>(Main_L[[#This Row],[P/B]]-VLOOKUP(Main_L[[#This Row],[Industry]], Mean_PB_L, 2, FALSE))/(VLOOKUP(Main_L[[#This Row],[Industry]], Mean_PB_L, 3, FALSE))</f>
        <v>-2.0278490040441692</v>
      </c>
      <c r="Q26" s="1">
        <f>(Main_L[[#This Row],[ROE]]-VLOOKUP(Main_L[[#This Row],[Industry]], Mean_ROE_L, 2, FALSE))/(VLOOKUP(Main_L[[#This Row],[Industry]], Mean_ROE_L, 3, FALSE))</f>
        <v>-0.84864785977617441</v>
      </c>
      <c r="R26" s="1">
        <f>(Main_L[[#This Row],[ROA]]-VLOOKUP(Main_L[[#This Row],[Industry]], Mean_ROA_L, 2, FALSE))/(VLOOKUP(Main_L[[#This Row],[Industry]], Mean_ROA_L, 3, FALSE))</f>
        <v>-1.1842353452515173</v>
      </c>
      <c r="S26" s="1">
        <f>(Main_L[[#This Row],[A/E]]-VLOOKUP(Main_L[[#This Row],[Industry]], Mean_AE_L, 2, FALSE))/(VLOOKUP(Main_L[[#This Row],[Industry]], Mean_AE_L, 3, FALSE))</f>
        <v>2.9410203476255647</v>
      </c>
      <c r="T26" s="1">
        <f>(Main_L[[#This Row],[P/E]]-VLOOKUP(Main_L[[#This Row],[Industry]], Mean_PE_L, 2, FALSE))/(VLOOKUP(Main_L[[#This Row],[Industry]], Mean_PE_L, 3, FALSE))</f>
        <v>-3.3425572295810024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7" spans="1:26" x14ac:dyDescent="0.25">
      <c r="A27" s="68" t="s">
        <v>105</v>
      </c>
      <c r="B27" s="68" t="s">
        <v>131</v>
      </c>
      <c r="C27" s="2">
        <v>141070</v>
      </c>
      <c r="D27">
        <f>RTD("tos.rtd", , "LAST", Main_L[[#This Row],[Symbol]])</f>
        <v>13.02</v>
      </c>
      <c r="E27">
        <v>7.42</v>
      </c>
      <c r="F27">
        <v>11.17</v>
      </c>
      <c r="G27">
        <v>0.96</v>
      </c>
      <c r="H27" s="1">
        <f>IF(ISNUMBER(Main_L[[#This Row],[Free CF]]),IF(Main_L[[#This Row],[Free CF]]&lt;&gt;0,Main_L[[#This Row],[Current Price]]/Main_L[[#This Row],[Free CF]],""),"")</f>
        <v>1.7547169811320755</v>
      </c>
      <c r="I27" s="1">
        <f>IF(ISNUMBER(Main_L[[#This Row],[BVPS]]),IF(Main_L[[#This Row],[BVPS]]&lt;&gt;0,Main_L[[#This Row],[Current Price]]/Main_L[[#This Row],[BVPS]],""),"")</f>
        <v>1.1656222023276634</v>
      </c>
      <c r="J27">
        <v>8.91</v>
      </c>
      <c r="K27">
        <v>0.46</v>
      </c>
      <c r="L27">
        <v>20.27</v>
      </c>
      <c r="M27" s="1">
        <f>IF(ISNUMBER(Main_L[[#This Row],[EPS]]),IF(Main_L[[#This Row],[EPS]]&lt;&gt;0,Main_L[[#This Row],[Current Price]]/Main_L[[#This Row],[EPS]],""),"")</f>
        <v>13.5625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0.13799636732236523</v>
      </c>
      <c r="P27" s="1">
        <f>(Main_L[[#This Row],[P/B]]-VLOOKUP(Main_L[[#This Row],[Industry]], Mean_PB_L, 2, FALSE))/(VLOOKUP(Main_L[[#This Row],[Industry]], Mean_PB_L, 3, FALSE))</f>
        <v>-0.31930483207445598</v>
      </c>
      <c r="Q27" s="1">
        <f>(Main_L[[#This Row],[ROE]]-VLOOKUP(Main_L[[#This Row],[Industry]], Mean_ROE_L, 2, FALSE))/(VLOOKUP(Main_L[[#This Row],[Industry]], Mean_ROE_L, 3, FALSE))</f>
        <v>-0.79656395344267039</v>
      </c>
      <c r="R27" s="1">
        <f>(Main_L[[#This Row],[ROA]]-VLOOKUP(Main_L[[#This Row],[Industry]], Mean_ROA_L, 2, FALSE))/(VLOOKUP(Main_L[[#This Row],[Industry]], Mean_ROA_L, 3, FALSE))</f>
        <v>-0.92136996850259645</v>
      </c>
      <c r="S27" s="1">
        <f>(Main_L[[#This Row],[A/E]]-VLOOKUP(Main_L[[#This Row],[Industry]], Mean_AE_L, 2, FALSE))/(VLOOKUP(Main_L[[#This Row],[Industry]], Mean_AE_L, 3, FALSE))</f>
        <v>1.4009523629052802</v>
      </c>
      <c r="T27" s="1">
        <f>(Main_L[[#This Row],[P/E]]-VLOOKUP(Main_L[[#This Row],[Industry]], Mean_PE_L, 2, FALSE))/(VLOOKUP(Main_L[[#This Row],[Industry]], Mean_PE_L, 3, FALSE))</f>
        <v>0.52715338272758339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s="68" t="s">
        <v>105</v>
      </c>
      <c r="B28" s="68" t="s">
        <v>132</v>
      </c>
      <c r="C28" s="2">
        <v>34963</v>
      </c>
      <c r="D28">
        <f>RTD("tos.rtd", , "LAST", Main_L[[#This Row],[Symbol]])</f>
        <v>90.49</v>
      </c>
      <c r="E28">
        <v>-97.74</v>
      </c>
      <c r="F28">
        <v>49.91</v>
      </c>
      <c r="G28">
        <v>7.48</v>
      </c>
      <c r="H28" s="1">
        <f>IF(ISNUMBER(Main_L[[#This Row],[Free CF]]),IF(Main_L[[#This Row],[Free CF]]&lt;&gt;0,Main_L[[#This Row],[Current Price]]/Main_L[[#This Row],[Free CF]],""),"")</f>
        <v>-0.92582361366891752</v>
      </c>
      <c r="I28" s="1">
        <f>IF(ISNUMBER(Main_L[[#This Row],[BVPS]]),IF(Main_L[[#This Row],[BVPS]]&lt;&gt;0,Main_L[[#This Row],[Current Price]]/Main_L[[#This Row],[BVPS]],""),"")</f>
        <v>1.8130635143257865</v>
      </c>
      <c r="J28">
        <v>15.47</v>
      </c>
      <c r="K28">
        <v>0.85</v>
      </c>
      <c r="L28">
        <v>19.55</v>
      </c>
      <c r="M28" s="1">
        <f>IF(ISNUMBER(Main_L[[#This Row],[EPS]]),IF(Main_L[[#This Row],[EPS]]&lt;&gt;0,Main_L[[#This Row],[Current Price]]/Main_L[[#This Row],[EPS]],""),"")</f>
        <v>12.097593582887699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-7.2879494424250749E-2</v>
      </c>
      <c r="P28" s="1">
        <f>(Main_L[[#This Row],[P/B]]-VLOOKUP(Main_L[[#This Row],[Industry]], Mean_PB_L, 2, FALSE))/(VLOOKUP(Main_L[[#This Row],[Industry]], Mean_PB_L, 3, FALSE))</f>
        <v>0.82055531164387963</v>
      </c>
      <c r="Q28" s="1">
        <f>(Main_L[[#This Row],[ROE]]-VLOOKUP(Main_L[[#This Row],[Industry]], Mean_ROE_L, 2, FALSE))/(VLOOKUP(Main_L[[#This Row],[Industry]], Mean_ROE_L, 3, FALSE))</f>
        <v>1.1016050773783674</v>
      </c>
      <c r="R28" s="1">
        <f>(Main_L[[#This Row],[ROA]]-VLOOKUP(Main_L[[#This Row],[Industry]], Mean_ROA_L, 2, FALSE))/(VLOOKUP(Main_L[[#This Row],[Industry]], Mean_ROA_L, 3, FALSE))</f>
        <v>-0.18910213327345923</v>
      </c>
      <c r="S28" s="1">
        <f>(Main_L[[#This Row],[A/E]]-VLOOKUP(Main_L[[#This Row],[Industry]], Mean_AE_L, 2, FALSE))/(VLOOKUP(Main_L[[#This Row],[Industry]], Mean_AE_L, 3, FALSE))</f>
        <v>1.2404821821529497</v>
      </c>
      <c r="T28" s="1">
        <f>(Main_L[[#This Row],[P/E]]-VLOOKUP(Main_L[[#This Row],[Industry]], Mean_PE_L, 2, FALSE))/(VLOOKUP(Main_L[[#This Row],[Industry]], Mean_PE_L, 3, FALSE))</f>
        <v>2.3463134624526753E-2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8" t="s">
        <v>105</v>
      </c>
      <c r="B29" s="68" t="s">
        <v>133</v>
      </c>
      <c r="C29" s="2">
        <v>59607</v>
      </c>
      <c r="D29">
        <f>RTD("tos.rtd", , "LAST", Main_L[[#This Row],[Symbol]])</f>
        <v>13.14</v>
      </c>
      <c r="E29">
        <v>-0.77</v>
      </c>
      <c r="F29">
        <v>1.59</v>
      </c>
      <c r="G29">
        <v>0.4</v>
      </c>
      <c r="H29" s="1">
        <f>IF(ISNUMBER(Main_L[[#This Row],[Free CF]]),IF(Main_L[[#This Row],[Free CF]]&lt;&gt;0,Main_L[[#This Row],[Current Price]]/Main_L[[#This Row],[Free CF]],""),"")</f>
        <v>-17.064935064935064</v>
      </c>
      <c r="I29" s="1">
        <f>IF(ISNUMBER(Main_L[[#This Row],[BVPS]]),IF(Main_L[[#This Row],[BVPS]]&lt;&gt;0,Main_L[[#This Row],[Current Price]]/Main_L[[#This Row],[BVPS]],""),"")</f>
        <v>8.2641509433962259</v>
      </c>
      <c r="J29">
        <v>28.07</v>
      </c>
      <c r="K29">
        <v>4.2300000000000004</v>
      </c>
      <c r="L29">
        <v>6.53</v>
      </c>
      <c r="M29" s="1">
        <f>IF(ISNUMBER(Main_L[[#This Row],[EPS]]),IF(Main_L[[#This Row],[EPS]]&lt;&gt;0,Main_L[[#This Row],[Current Price]]/Main_L[[#This Row],[EPS]],""),"")</f>
        <v>32.85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-1.3425297439714303</v>
      </c>
      <c r="P29" s="1">
        <f>(Main_L[[#This Row],[P/B]]-VLOOKUP(Main_L[[#This Row],[Industry]], Mean_PB_L, 2, FALSE))/(VLOOKUP(Main_L[[#This Row],[Industry]], Mean_PB_L, 3, FALSE))</f>
        <v>12.17809043918467</v>
      </c>
      <c r="Q29" s="1">
        <f>(Main_L[[#This Row],[ROE]]-VLOOKUP(Main_L[[#This Row],[Industry]], Mean_ROE_L, 2, FALSE))/(VLOOKUP(Main_L[[#This Row],[Industry]], Mean_ROE_L, 3, FALSE))</f>
        <v>4.7474785207236536</v>
      </c>
      <c r="R29" s="1">
        <f>(Main_L[[#This Row],[ROA]]-VLOOKUP(Main_L[[#This Row],[Industry]], Mean_ROA_L, 2, FALSE))/(VLOOKUP(Main_L[[#This Row],[Industry]], Mean_ROA_L, 3, FALSE))</f>
        <v>6.1572191053790641</v>
      </c>
      <c r="S29" s="1">
        <f>(Main_L[[#This Row],[A/E]]-VLOOKUP(Main_L[[#This Row],[Industry]], Mean_AE_L, 2, FALSE))/(VLOOKUP(Main_L[[#This Row],[Industry]], Mean_AE_L, 3, FALSE))</f>
        <v>-1.6613535864516962</v>
      </c>
      <c r="T29" s="1">
        <f>(Main_L[[#This Row],[P/E]]-VLOOKUP(Main_L[[#This Row],[Industry]], Mean_PE_L, 2, FALSE))/(VLOOKUP(Main_L[[#This Row],[Industry]], Mean_PE_L, 3, FALSE))</f>
        <v>7.1589255879707467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0" spans="1:26" x14ac:dyDescent="0.25">
      <c r="A30" s="68" t="s">
        <v>105</v>
      </c>
      <c r="B30" s="68" t="s">
        <v>134</v>
      </c>
      <c r="C30" s="2">
        <v>51594</v>
      </c>
      <c r="D30">
        <f>RTD("tos.rtd", , "LAST", Main_L[[#This Row],[Symbol]])</f>
        <v>13.12</v>
      </c>
      <c r="E30">
        <v>-1.58</v>
      </c>
      <c r="F30">
        <v>6.66</v>
      </c>
      <c r="G30">
        <v>0.74</v>
      </c>
      <c r="H30" s="1">
        <f>IF(ISNUMBER(Main_L[[#This Row],[Free CF]]),IF(Main_L[[#This Row],[Free CF]]&lt;&gt;0,Main_L[[#This Row],[Current Price]]/Main_L[[#This Row],[Free CF]],""),"")</f>
        <v>-8.3037974683544302</v>
      </c>
      <c r="I30" s="1">
        <f>IF(ISNUMBER(Main_L[[#This Row],[BVPS]]),IF(Main_L[[#This Row],[BVPS]]&lt;&gt;0,Main_L[[#This Row],[Current Price]]/Main_L[[#This Row],[BVPS]],""),"")</f>
        <v>1.9699699699699698</v>
      </c>
      <c r="J30">
        <v>12.78</v>
      </c>
      <c r="K30">
        <v>0.72</v>
      </c>
      <c r="L30">
        <v>17.07</v>
      </c>
      <c r="M30" s="1">
        <f>IF(ISNUMBER(Main_L[[#This Row],[EPS]]),IF(Main_L[[#This Row],[EPS]]&lt;&gt;0,Main_L[[#This Row],[Current Price]]/Main_L[[#This Row],[EPS]],""),"")</f>
        <v>17.72972972972973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-0.65329845825878907</v>
      </c>
      <c r="P30" s="1">
        <f>(Main_L[[#This Row],[P/B]]-VLOOKUP(Main_L[[#This Row],[Industry]], Mean_PB_L, 2, FALSE))/(VLOOKUP(Main_L[[#This Row],[Industry]], Mean_PB_L, 3, FALSE))</f>
        <v>1.0967987514221431</v>
      </c>
      <c r="Q30" s="1">
        <f>(Main_L[[#This Row],[ROE]]-VLOOKUP(Main_L[[#This Row],[Industry]], Mean_ROE_L, 2, FALSE))/(VLOOKUP(Main_L[[#This Row],[Industry]], Mean_ROE_L, 3, FALSE))</f>
        <v>0.32324003272766721</v>
      </c>
      <c r="R30" s="1">
        <f>(Main_L[[#This Row],[ROA]]-VLOOKUP(Main_L[[#This Row],[Industry]], Mean_ROA_L, 2, FALSE))/(VLOOKUP(Main_L[[#This Row],[Industry]], Mean_ROA_L, 3, FALSE))</f>
        <v>-0.43319141168317166</v>
      </c>
      <c r="S30" s="1">
        <f>(Main_L[[#This Row],[A/E]]-VLOOKUP(Main_L[[#This Row],[Industry]], Mean_AE_L, 2, FALSE))/(VLOOKUP(Main_L[[#This Row],[Industry]], Mean_AE_L, 3, FALSE))</f>
        <v>0.68775155956158851</v>
      </c>
      <c r="T30" s="1">
        <f>(Main_L[[#This Row],[P/E]]-VLOOKUP(Main_L[[#This Row],[Industry]], Mean_PE_L, 2, FALSE))/(VLOOKUP(Main_L[[#This Row],[Industry]], Mean_PE_L, 3, FALSE))</f>
        <v>1.960004622882326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s="68" t="s">
        <v>105</v>
      </c>
      <c r="B31" s="68" t="s">
        <v>135</v>
      </c>
      <c r="C31" s="2">
        <v>64865</v>
      </c>
      <c r="D31">
        <f>RTD("tos.rtd", , "LAST", Main_L[[#This Row],[Symbol]])</f>
        <v>177.53</v>
      </c>
      <c r="E31">
        <v>13.23</v>
      </c>
      <c r="F31">
        <v>127.98</v>
      </c>
      <c r="G31">
        <v>14.15</v>
      </c>
      <c r="H31" s="1">
        <f>IF(ISNUMBER(Main_L[[#This Row],[Free CF]]),IF(Main_L[[#This Row],[Free CF]]&lt;&gt;0,Main_L[[#This Row],[Current Price]]/Main_L[[#This Row],[Free CF]],""),"")</f>
        <v>13.418745275888133</v>
      </c>
      <c r="I31" s="1">
        <f>IF(ISNUMBER(Main_L[[#This Row],[BVPS]]),IF(Main_L[[#This Row],[BVPS]]&lt;&gt;0,Main_L[[#This Row],[Current Price]]/Main_L[[#This Row],[BVPS]],""),"")</f>
        <v>1.387169870292233</v>
      </c>
      <c r="J31">
        <v>11.33</v>
      </c>
      <c r="K31">
        <v>1.0900000000000001</v>
      </c>
      <c r="L31">
        <v>10.95</v>
      </c>
      <c r="M31" s="1">
        <f>IF(ISNUMBER(Main_L[[#This Row],[EPS]]),IF(Main_L[[#This Row],[EPS]]&lt;&gt;0,Main_L[[#This Row],[Current Price]]/Main_L[[#This Row],[EPS]],""),"")</f>
        <v>12.546289752650177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1.0555956093798069</v>
      </c>
      <c r="P31" s="1">
        <f>(Main_L[[#This Row],[P/B]]-VLOOKUP(Main_L[[#This Row],[Industry]], Mean_PB_L, 2, FALSE))/(VLOOKUP(Main_L[[#This Row],[Industry]], Mean_PB_L, 3, FALSE))</f>
        <v>7.0743427075384169E-2</v>
      </c>
      <c r="Q31" s="1">
        <f>(Main_L[[#This Row],[ROE]]-VLOOKUP(Main_L[[#This Row],[Industry]], Mean_ROE_L, 2, FALSE))/(VLOOKUP(Main_L[[#This Row],[Industry]], Mean_ROE_L, 3, FALSE))</f>
        <v>-9.6324768292226595E-2</v>
      </c>
      <c r="R31" s="1">
        <f>(Main_L[[#This Row],[ROA]]-VLOOKUP(Main_L[[#This Row],[Industry]], Mean_ROA_L, 2, FALSE))/(VLOOKUP(Main_L[[#This Row],[Industry]], Mean_ROA_L, 3, FALSE))</f>
        <v>0.2615242268675485</v>
      </c>
      <c r="S31" s="1">
        <f>(Main_L[[#This Row],[A/E]]-VLOOKUP(Main_L[[#This Row],[Industry]], Mean_AE_L, 2, FALSE))/(VLOOKUP(Main_L[[#This Row],[Industry]], Mean_AE_L, 3, FALSE))</f>
        <v>-0.67624497683322216</v>
      </c>
      <c r="T31" s="1">
        <f>(Main_L[[#This Row],[P/E]]-VLOOKUP(Main_L[[#This Row],[Industry]], Mean_PE_L, 2, FALSE))/(VLOOKUP(Main_L[[#This Row],[Industry]], Mean_PE_L, 3, FALSE))</f>
        <v>0.17774185334026846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8" t="s">
        <v>105</v>
      </c>
      <c r="B32" s="68" t="s">
        <v>136</v>
      </c>
      <c r="C32" s="2">
        <v>169772</v>
      </c>
      <c r="D32">
        <f>RTD("tos.rtd", , "LAST", Main_L[[#This Row],[Symbol]])</f>
        <v>121.8</v>
      </c>
      <c r="E32">
        <v>-29.9</v>
      </c>
      <c r="F32">
        <v>59.77</v>
      </c>
      <c r="G32">
        <v>8.4499999999999993</v>
      </c>
      <c r="H32" s="1">
        <f>IF(ISNUMBER(Main_L[[#This Row],[Free CF]]),IF(Main_L[[#This Row],[Free CF]]&lt;&gt;0,Main_L[[#This Row],[Current Price]]/Main_L[[#This Row],[Free CF]],""),"")</f>
        <v>-4.0735785953177261</v>
      </c>
      <c r="I32" s="1">
        <f>IF(ISNUMBER(Main_L[[#This Row],[BVPS]]),IF(Main_L[[#This Row],[BVPS]]&lt;&gt;0,Main_L[[#This Row],[Current Price]]/Main_L[[#This Row],[BVPS]],""),"")</f>
        <v>2.037811611176175</v>
      </c>
      <c r="J32">
        <v>14.24</v>
      </c>
      <c r="K32">
        <v>0.85</v>
      </c>
      <c r="L32">
        <v>17.850000000000001</v>
      </c>
      <c r="M32" s="1">
        <f>IF(ISNUMBER(Main_L[[#This Row],[EPS]]),IF(Main_L[[#This Row],[EPS]]&lt;&gt;0,Main_L[[#This Row],[Current Price]]/Main_L[[#This Row],[EPS]],""),"")</f>
        <v>14.414201183431954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-0.32051071687610705</v>
      </c>
      <c r="P32" s="1">
        <f>(Main_L[[#This Row],[P/B]]-VLOOKUP(Main_L[[#This Row],[Industry]], Mean_PB_L, 2, FALSE))/(VLOOKUP(Main_L[[#This Row],[Industry]], Mean_PB_L, 3, FALSE))</f>
        <v>1.2162381221609957</v>
      </c>
      <c r="Q32" s="1">
        <f>(Main_L[[#This Row],[ROE]]-VLOOKUP(Main_L[[#This Row],[Industry]], Mean_ROE_L, 2, FALSE))/(VLOOKUP(Main_L[[#This Row],[Industry]], Mean_ROE_L, 3, FALSE))</f>
        <v>0.7456983840994228</v>
      </c>
      <c r="R32" s="1">
        <f>(Main_L[[#This Row],[ROA]]-VLOOKUP(Main_L[[#This Row],[Industry]], Mean_ROA_L, 2, FALSE))/(VLOOKUP(Main_L[[#This Row],[Industry]], Mean_ROA_L, 3, FALSE))</f>
        <v>-0.18910213327345923</v>
      </c>
      <c r="S32" s="1">
        <f>(Main_L[[#This Row],[A/E]]-VLOOKUP(Main_L[[#This Row],[Industry]], Mean_AE_L, 2, FALSE))/(VLOOKUP(Main_L[[#This Row],[Industry]], Mean_AE_L, 3, FALSE))</f>
        <v>0.86159425537661372</v>
      </c>
      <c r="T32" s="1">
        <f>(Main_L[[#This Row],[P/E]]-VLOOKUP(Main_L[[#This Row],[Industry]], Mean_PE_L, 2, FALSE))/(VLOOKUP(Main_L[[#This Row],[Industry]], Mean_PE_L, 3, FALSE))</f>
        <v>0.8200004720578099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8" t="s">
        <v>105</v>
      </c>
      <c r="B33" s="68" t="s">
        <v>137</v>
      </c>
      <c r="C33" s="2">
        <v>106925</v>
      </c>
      <c r="D33">
        <f>RTD("tos.rtd", , "LAST", Main_L[[#This Row],[Symbol]])</f>
        <v>7.57</v>
      </c>
      <c r="E33">
        <v>-0.37</v>
      </c>
      <c r="F33">
        <v>7.27</v>
      </c>
      <c r="G33">
        <v>0.87</v>
      </c>
      <c r="H33" s="1">
        <f>IF(ISNUMBER(Main_L[[#This Row],[Free CF]]),IF(Main_L[[#This Row],[Free CF]]&lt;&gt;0,Main_L[[#This Row],[Current Price]]/Main_L[[#This Row],[Free CF]],""),"")</f>
        <v>-20.45945945945946</v>
      </c>
      <c r="I33" s="1">
        <f>IF(ISNUMBER(Main_L[[#This Row],[BVPS]]),IF(Main_L[[#This Row],[BVPS]]&lt;&gt;0,Main_L[[#This Row],[Current Price]]/Main_L[[#This Row],[BVPS]],""),"")</f>
        <v>1.0412654745529575</v>
      </c>
      <c r="J33">
        <v>13.33</v>
      </c>
      <c r="K33">
        <v>0.79</v>
      </c>
      <c r="L33">
        <v>18.2</v>
      </c>
      <c r="M33" s="1">
        <f>IF(ISNUMBER(Main_L[[#This Row],[EPS]]),IF(Main_L[[#This Row],[EPS]]&lt;&gt;0,Main_L[[#This Row],[Current Price]]/Main_L[[#This Row],[EPS]],""),"")</f>
        <v>8.7011494252873565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-1.6095741074493075</v>
      </c>
      <c r="P33" s="1">
        <f>(Main_L[[#This Row],[P/B]]-VLOOKUP(Main_L[[#This Row],[Industry]], Mean_PB_L, 2, FALSE))/(VLOOKUP(Main_L[[#This Row],[Industry]], Mean_PB_L, 3, FALSE))</f>
        <v>-0.53824247934344771</v>
      </c>
      <c r="Q33" s="1">
        <f>(Main_L[[#This Row],[ROE]]-VLOOKUP(Main_L[[#This Row],[Industry]], Mean_ROE_L, 2, FALSE))/(VLOOKUP(Main_L[[#This Row],[Industry]], Mean_ROE_L, 3, FALSE))</f>
        <v>0.48238530208004105</v>
      </c>
      <c r="R33" s="1">
        <f>(Main_L[[#This Row],[ROA]]-VLOOKUP(Main_L[[#This Row],[Industry]], Mean_ROA_L, 2, FALSE))/(VLOOKUP(Main_L[[#This Row],[Industry]], Mean_ROA_L, 3, FALSE))</f>
        <v>-0.30175872330871101</v>
      </c>
      <c r="S33" s="1">
        <f>(Main_L[[#This Row],[A/E]]-VLOOKUP(Main_L[[#This Row],[Industry]], Mean_AE_L, 2, FALSE))/(VLOOKUP(Main_L[[#This Row],[Industry]], Mean_AE_L, 3, FALSE))</f>
        <v>0.93960059324232947</v>
      </c>
      <c r="T33" s="1">
        <f>(Main_L[[#This Row],[P/E]]-VLOOKUP(Main_L[[#This Row],[Industry]], Mean_PE_L, 2, FALSE))/(VLOOKUP(Main_L[[#This Row],[Industry]], Mean_PE_L, 3, FALSE))</f>
        <v>-1.1443628646514021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8" t="s">
        <v>105</v>
      </c>
      <c r="B34" s="68" t="s">
        <v>138</v>
      </c>
      <c r="C34" s="2">
        <v>33070</v>
      </c>
      <c r="D34">
        <f>RTD("tos.rtd", , "LAST", Main_L[[#This Row],[Symbol]])</f>
        <v>31.14</v>
      </c>
      <c r="H34" s="1" t="str">
        <f>IF(ISNUMBER(Main_L[[#This Row],[Free CF]]),IF(Main_L[[#This Row],[Free CF]]&lt;&gt;0,Main_L[[#This Row],[Current Price]]/Main_L[[#This Row],[Free CF]],""),"")</f>
        <v/>
      </c>
      <c r="I34" s="1" t="str">
        <f>IF(ISNUMBER(Main_L[[#This Row],[BVPS]]),IF(Main_L[[#This Row],[BVPS]]&lt;&gt;0,Main_L[[#This Row],[Current Price]]/Main_L[[#This Row],[BVPS]],""),"")</f>
        <v/>
      </c>
      <c r="M34" s="1" t="str">
        <f>IF(ISNUMBER(Main_L[[#This Row],[EPS]]),IF(Main_L[[#This Row],[EPS]]&lt;&gt;0,Main_L[[#This Row],[Current Price]]/Main_L[[#This Row],[EPS]],""),"")</f>
        <v/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 t="e">
        <f>(Main_L[[#This Row],[P/FCF]]-VLOOKUP(Main_L[[#This Row],[Industry]], Mean_PFCF_L, 2, FALSE))/(VLOOKUP(Main_L[[#This Row],[Industry]], Mean_PFCF_L, 3, FALSE))</f>
        <v>#VALUE!</v>
      </c>
      <c r="P34" s="1" t="e">
        <f>(Main_L[[#This Row],[P/B]]-VLOOKUP(Main_L[[#This Row],[Industry]], Mean_PB_L, 2, FALSE))/(VLOOKUP(Main_L[[#This Row],[Industry]], Mean_PB_L, 3, FALSE))</f>
        <v>#VALUE!</v>
      </c>
      <c r="Q34" s="1">
        <f>(Main_L[[#This Row],[ROE]]-VLOOKUP(Main_L[[#This Row],[Industry]], Mean_ROE_L, 2, FALSE))/(VLOOKUP(Main_L[[#This Row],[Industry]], Mean_ROE_L, 3, FALSE))</f>
        <v>-3.3747173169511226</v>
      </c>
      <c r="R34" s="1">
        <f>(Main_L[[#This Row],[ROA]]-VLOOKUP(Main_L[[#This Row],[Industry]], Mean_ROA_L, 2, FALSE))/(VLOOKUP(Main_L[[#This Row],[Industry]], Mean_ROA_L, 3, FALSE))</f>
        <v>-1.7850704921061942</v>
      </c>
      <c r="S34" s="1">
        <f>(Main_L[[#This Row],[A/E]]-VLOOKUP(Main_L[[#This Row],[Industry]], Mean_AE_L, 2, FALSE))/(VLOOKUP(Main_L[[#This Row],[Industry]], Mean_AE_L, 3, FALSE))</f>
        <v>-3.116728975774917</v>
      </c>
      <c r="T34" s="1" t="e">
        <f>(Main_L[[#This Row],[P/E]]-VLOOKUP(Main_L[[#This Row],[Industry]], Mean_PE_L, 2, FALSE))/(VLOOKUP(Main_L[[#This Row],[Industry]], Mean_PE_L, 3, FALSE))</f>
        <v>#VALUE!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5" spans="1:26" x14ac:dyDescent="0.25">
      <c r="A35" s="68" t="s">
        <v>105</v>
      </c>
      <c r="B35" s="68" t="s">
        <v>139</v>
      </c>
      <c r="C35" s="2">
        <v>17749</v>
      </c>
      <c r="D35">
        <f>RTD("tos.rtd", , "LAST", Main_L[[#This Row],[Symbol]])</f>
        <v>36.72</v>
      </c>
      <c r="E35">
        <v>-46.85</v>
      </c>
      <c r="F35">
        <v>70.010000000000005</v>
      </c>
      <c r="G35">
        <v>6.04</v>
      </c>
      <c r="H35" s="1">
        <f>IF(ISNUMBER(Main_L[[#This Row],[Free CF]]),IF(Main_L[[#This Row],[Free CF]]&lt;&gt;0,Main_L[[#This Row],[Current Price]]/Main_L[[#This Row],[Free CF]],""),"")</f>
        <v>-0.78377801494130195</v>
      </c>
      <c r="I35" s="1">
        <f>IF(ISNUMBER(Main_L[[#This Row],[BVPS]]),IF(Main_L[[#This Row],[BVPS]]&lt;&gt;0,Main_L[[#This Row],[Current Price]]/Main_L[[#This Row],[BVPS]],""),"")</f>
        <v>0.52449650049992858</v>
      </c>
      <c r="J35">
        <v>7.92</v>
      </c>
      <c r="K35">
        <v>0.64</v>
      </c>
      <c r="L35">
        <v>13.2</v>
      </c>
      <c r="M35" s="1">
        <f>IF(ISNUMBER(Main_L[[#This Row],[EPS]]),IF(Main_L[[#This Row],[EPS]]&lt;&gt;0,Main_L[[#This Row],[Current Price]]/Main_L[[#This Row],[EPS]],""),"")</f>
        <v>6.0794701986754962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-6.1704887295712274E-2</v>
      </c>
      <c r="P35" s="1">
        <f>(Main_L[[#This Row],[P/B]]-VLOOKUP(Main_L[[#This Row],[Industry]], Mean_PB_L, 2, FALSE))/(VLOOKUP(Main_L[[#This Row],[Industry]], Mean_PB_L, 3, FALSE))</f>
        <v>-1.448045956689314</v>
      </c>
      <c r="Q35" s="1">
        <f>(Main_L[[#This Row],[ROE]]-VLOOKUP(Main_L[[#This Row],[Industry]], Mean_ROE_L, 2, FALSE))/(VLOOKUP(Main_L[[#This Row],[Industry]], Mean_ROE_L, 3, FALSE))</f>
        <v>-1.0830254382769429</v>
      </c>
      <c r="R35" s="1">
        <f>(Main_L[[#This Row],[ROA]]-VLOOKUP(Main_L[[#This Row],[Industry]], Mean_ROA_L, 2, FALSE))/(VLOOKUP(Main_L[[#This Row],[Industry]], Mean_ROA_L, 3, FALSE))</f>
        <v>-0.58340019839684076</v>
      </c>
      <c r="S35" s="1">
        <f>(Main_L[[#This Row],[A/E]]-VLOOKUP(Main_L[[#This Row],[Industry]], Mean_AE_L, 2, FALSE))/(VLOOKUP(Main_L[[#This Row],[Industry]], Mean_AE_L, 3, FALSE))</f>
        <v>-0.17477566198218888</v>
      </c>
      <c r="T35" s="1">
        <f>(Main_L[[#This Row],[P/E]]-VLOOKUP(Main_L[[#This Row],[Industry]], Mean_PE_L, 2, FALSE))/(VLOOKUP(Main_L[[#This Row],[Industry]], Mean_PE_L, 3, FALSE))</f>
        <v>-2.0457953689214174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8" t="s">
        <v>105</v>
      </c>
      <c r="B36" s="68" t="s">
        <v>140</v>
      </c>
      <c r="C36" s="2">
        <v>90543</v>
      </c>
      <c r="D36">
        <f>RTD("tos.rtd", , "LAST", Main_L[[#This Row],[Symbol]])</f>
        <v>14.62</v>
      </c>
      <c r="E36">
        <v>-6.47</v>
      </c>
      <c r="F36">
        <v>24.65</v>
      </c>
      <c r="G36">
        <v>1.97</v>
      </c>
      <c r="H36" s="1">
        <f>IF(ISNUMBER(Main_L[[#This Row],[Free CF]]),IF(Main_L[[#This Row],[Free CF]]&lt;&gt;0,Main_L[[#This Row],[Current Price]]/Main_L[[#This Row],[Free CF]],""),"")</f>
        <v>-2.2596599690880987</v>
      </c>
      <c r="I36" s="1">
        <f>IF(ISNUMBER(Main_L[[#This Row],[BVPS]]),IF(Main_L[[#This Row],[BVPS]]&lt;&gt;0,Main_L[[#This Row],[Current Price]]/Main_L[[#This Row],[BVPS]],""),"")</f>
        <v>0.59310344827586203</v>
      </c>
      <c r="J36">
        <v>8.51</v>
      </c>
      <c r="K36">
        <v>0.42</v>
      </c>
      <c r="L36">
        <v>20.54</v>
      </c>
      <c r="M36" s="1">
        <f>IF(ISNUMBER(Main_L[[#This Row],[EPS]]),IF(Main_L[[#This Row],[EPS]]&lt;&gt;0,Main_L[[#This Row],[Current Price]]/Main_L[[#This Row],[EPS]],""),"")</f>
        <v>7.4213197969543145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-0.17781127252286502</v>
      </c>
      <c r="P36" s="1">
        <f>(Main_L[[#This Row],[P/B]]-VLOOKUP(Main_L[[#This Row],[Industry]], Mean_PB_L, 2, FALSE))/(VLOOKUP(Main_L[[#This Row],[Industry]], Mean_PB_L, 3, FALSE))</f>
        <v>-1.3272592167906736</v>
      </c>
      <c r="Q36" s="1">
        <f>(Main_L[[#This Row],[ROE]]-VLOOKUP(Main_L[[#This Row],[Industry]], Mean_ROE_L, 2, FALSE))/(VLOOKUP(Main_L[[#This Row],[Industry]], Mean_ROE_L, 3, FALSE))</f>
        <v>-0.91230596751712401</v>
      </c>
      <c r="R36" s="1">
        <f>(Main_L[[#This Row],[ROA]]-VLOOKUP(Main_L[[#This Row],[Industry]], Mean_ROA_L, 2, FALSE))/(VLOOKUP(Main_L[[#This Row],[Industry]], Mean_ROA_L, 3, FALSE))</f>
        <v>-0.99647436185943117</v>
      </c>
      <c r="S36" s="1">
        <f>(Main_L[[#This Row],[A/E]]-VLOOKUP(Main_L[[#This Row],[Industry]], Mean_AE_L, 2, FALSE))/(VLOOKUP(Main_L[[#This Row],[Industry]], Mean_AE_L, 3, FALSE))</f>
        <v>1.461128680687404</v>
      </c>
      <c r="T36" s="1">
        <f>(Main_L[[#This Row],[P/E]]-VLOOKUP(Main_L[[#This Row],[Industry]], Mean_PE_L, 2, FALSE))/(VLOOKUP(Main_L[[#This Row],[Industry]], Mean_PE_L, 3, FALSE))</f>
        <v>-1.5844167107499505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8" t="s">
        <v>105</v>
      </c>
      <c r="B37" s="68" t="s">
        <v>141</v>
      </c>
      <c r="C37" s="2">
        <v>110592</v>
      </c>
      <c r="D37">
        <f>RTD("tos.rtd", , "LAST", Main_L[[#This Row],[Symbol]])</f>
        <v>63.94</v>
      </c>
      <c r="E37">
        <v>-32.68</v>
      </c>
      <c r="F37">
        <v>45.3</v>
      </c>
      <c r="G37">
        <v>3.24</v>
      </c>
      <c r="H37" s="1">
        <f>IF(ISNUMBER(Main_L[[#This Row],[Free CF]]),IF(Main_L[[#This Row],[Free CF]]&lt;&gt;0,Main_L[[#This Row],[Current Price]]/Main_L[[#This Row],[Free CF]],""),"")</f>
        <v>-1.9565483476132191</v>
      </c>
      <c r="I37" s="1">
        <f>IF(ISNUMBER(Main_L[[#This Row],[BVPS]]),IF(Main_L[[#This Row],[BVPS]]&lt;&gt;0,Main_L[[#This Row],[Current Price]]/Main_L[[#This Row],[BVPS]],""),"")</f>
        <v>1.4114790286975718</v>
      </c>
      <c r="J37">
        <v>7.61</v>
      </c>
      <c r="K37">
        <v>0.44</v>
      </c>
      <c r="L37">
        <v>18.100000000000001</v>
      </c>
      <c r="M37" s="1">
        <f>IF(ISNUMBER(Main_L[[#This Row],[EPS]]),IF(Main_L[[#This Row],[EPS]]&lt;&gt;0,Main_L[[#This Row],[Current Price]]/Main_L[[#This Row],[EPS]],""),"")</f>
        <v>19.734567901234566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-0.15396573759311899</v>
      </c>
      <c r="P37" s="1">
        <f>(Main_L[[#This Row],[P/B]]-VLOOKUP(Main_L[[#This Row],[Industry]], Mean_PB_L, 2, FALSE))/(VLOOKUP(Main_L[[#This Row],[Industry]], Mean_PB_L, 3, FALSE))</f>
        <v>0.11354119156783836</v>
      </c>
      <c r="Q37" s="1">
        <f>(Main_L[[#This Row],[ROE]]-VLOOKUP(Main_L[[#This Row],[Industry]], Mean_ROE_L, 2, FALSE))/(VLOOKUP(Main_L[[#This Row],[Industry]], Mean_ROE_L, 3, FALSE))</f>
        <v>-1.1727254991846443</v>
      </c>
      <c r="R37" s="1">
        <f>(Main_L[[#This Row],[ROA]]-VLOOKUP(Main_L[[#This Row],[Industry]], Mean_ROA_L, 2, FALSE))/(VLOOKUP(Main_L[[#This Row],[Industry]], Mean_ROA_L, 3, FALSE))</f>
        <v>-0.95892216518101381</v>
      </c>
      <c r="S37" s="1">
        <f>(Main_L[[#This Row],[A/E]]-VLOOKUP(Main_L[[#This Row],[Industry]], Mean_AE_L, 2, FALSE))/(VLOOKUP(Main_L[[#This Row],[Industry]], Mean_AE_L, 3, FALSE))</f>
        <v>0.91731306813783964</v>
      </c>
      <c r="T37" s="1">
        <f>(Main_L[[#This Row],[P/E]]-VLOOKUP(Main_L[[#This Row],[Industry]], Mean_PE_L, 2, FALSE))/(VLOOKUP(Main_L[[#This Row],[Industry]], Mean_PE_L, 3, FALSE))</f>
        <v>2.6493438354187511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8" t="s">
        <v>105</v>
      </c>
      <c r="B38" s="68" t="s">
        <v>142</v>
      </c>
      <c r="C38" s="2">
        <v>64428</v>
      </c>
      <c r="D38">
        <f>RTD("tos.rtd", , "LAST", Main_L[[#This Row],[Symbol]])</f>
        <v>44.37</v>
      </c>
      <c r="E38">
        <v>7</v>
      </c>
      <c r="F38">
        <v>34.159999999999997</v>
      </c>
      <c r="G38">
        <v>4.04</v>
      </c>
      <c r="H38" s="1">
        <f>IF(ISNUMBER(Main_L[[#This Row],[Free CF]]),IF(Main_L[[#This Row],[Free CF]]&lt;&gt;0,Main_L[[#This Row],[Current Price]]/Main_L[[#This Row],[Free CF]],""),"")</f>
        <v>6.3385714285714281</v>
      </c>
      <c r="I38" s="1">
        <f>IF(ISNUMBER(Main_L[[#This Row],[BVPS]]),IF(Main_L[[#This Row],[BVPS]]&lt;&gt;0,Main_L[[#This Row],[Current Price]]/Main_L[[#This Row],[BVPS]],""),"")</f>
        <v>1.2988875878220141</v>
      </c>
      <c r="J38">
        <v>11.53</v>
      </c>
      <c r="K38">
        <v>0.99</v>
      </c>
      <c r="L38">
        <v>12.7</v>
      </c>
      <c r="M38" s="1">
        <f>IF(ISNUMBER(Main_L[[#This Row],[EPS]]),IF(Main_L[[#This Row],[EPS]]&lt;&gt;0,Main_L[[#This Row],[Current Price]]/Main_L[[#This Row],[EPS]],""),"")</f>
        <v>10.982673267326732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0.49860432028514995</v>
      </c>
      <c r="P38" s="1">
        <f>(Main_L[[#This Row],[P/B]]-VLOOKUP(Main_L[[#This Row],[Industry]], Mean_PB_L, 2, FALSE))/(VLOOKUP(Main_L[[#This Row],[Industry]], Mean_PB_L, 3, FALSE))</f>
        <v>-8.4682946434402329E-2</v>
      </c>
      <c r="Q38" s="1">
        <f>(Main_L[[#This Row],[ROE]]-VLOOKUP(Main_L[[#This Row],[Industry]], Mean_ROE_L, 2, FALSE))/(VLOOKUP(Main_L[[#This Row],[Industry]], Mean_ROE_L, 3, FALSE))</f>
        <v>-3.8453761255000045E-2</v>
      </c>
      <c r="R38" s="1">
        <f>(Main_L[[#This Row],[ROA]]-VLOOKUP(Main_L[[#This Row],[Industry]], Mean_ROA_L, 2, FALSE))/(VLOOKUP(Main_L[[#This Row],[Industry]], Mean_ROA_L, 3, FALSE))</f>
        <v>7.376324347546187E-2</v>
      </c>
      <c r="S38" s="1">
        <f>(Main_L[[#This Row],[A/E]]-VLOOKUP(Main_L[[#This Row],[Industry]], Mean_AE_L, 2, FALSE))/(VLOOKUP(Main_L[[#This Row],[Industry]], Mean_AE_L, 3, FALSE))</f>
        <v>-0.2862132875046407</v>
      </c>
      <c r="T38" s="1">
        <f>(Main_L[[#This Row],[P/E]]-VLOOKUP(Main_L[[#This Row],[Industry]], Mean_PE_L, 2, FALSE))/(VLOOKUP(Main_L[[#This Row],[Industry]], Mean_PE_L, 3, FALSE))</f>
        <v>-0.35988865071821641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s="68" t="s">
        <v>105</v>
      </c>
      <c r="B39" s="68" t="s">
        <v>143</v>
      </c>
      <c r="C39" s="2">
        <v>238141</v>
      </c>
      <c r="D39">
        <f>RTD("tos.rtd", , "LAST", Main_L[[#This Row],[Symbol]])</f>
        <v>75.989999999999995</v>
      </c>
      <c r="E39">
        <v>0.89</v>
      </c>
      <c r="F39">
        <v>49.82</v>
      </c>
      <c r="G39">
        <v>5.57</v>
      </c>
      <c r="H39" s="1">
        <f>IF(ISNUMBER(Main_L[[#This Row],[Free CF]]),IF(Main_L[[#This Row],[Free CF]]&lt;&gt;0,Main_L[[#This Row],[Current Price]]/Main_L[[#This Row],[Free CF]],""),"")</f>
        <v>85.382022471910105</v>
      </c>
      <c r="I39" s="1">
        <f>IF(ISNUMBER(Main_L[[#This Row],[BVPS]]),IF(Main_L[[#This Row],[BVPS]]&lt;&gt;0,Main_L[[#This Row],[Current Price]]/Main_L[[#This Row],[BVPS]],""),"")</f>
        <v>1.525291047771979</v>
      </c>
      <c r="J39">
        <v>11.02</v>
      </c>
      <c r="K39">
        <v>1.03</v>
      </c>
      <c r="L39">
        <v>12</v>
      </c>
      <c r="M39" s="1">
        <f>IF(ISNUMBER(Main_L[[#This Row],[EPS]]),IF(Main_L[[#This Row],[EPS]]&lt;&gt;0,Main_L[[#This Row],[Current Price]]/Main_L[[#This Row],[EPS]],""),"")</f>
        <v>13.642728904847395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6.7168857693776882</v>
      </c>
      <c r="P39" s="1">
        <f>(Main_L[[#This Row],[P/B]]-VLOOKUP(Main_L[[#This Row],[Industry]], Mean_PB_L, 2, FALSE))/(VLOOKUP(Main_L[[#This Row],[Industry]], Mean_PB_L, 3, FALSE))</f>
        <v>0.31391423235922333</v>
      </c>
      <c r="Q39" s="1">
        <f>(Main_L[[#This Row],[ROE]]-VLOOKUP(Main_L[[#This Row],[Industry]], Mean_ROE_L, 2, FALSE))/(VLOOKUP(Main_L[[#This Row],[Industry]], Mean_ROE_L, 3, FALSE))</f>
        <v>-0.18602482919992822</v>
      </c>
      <c r="R39" s="1">
        <f>(Main_L[[#This Row],[ROA]]-VLOOKUP(Main_L[[#This Row],[Industry]], Mean_ROA_L, 2, FALSE))/(VLOOKUP(Main_L[[#This Row],[Industry]], Mean_ROA_L, 3, FALSE))</f>
        <v>0.14886763683229653</v>
      </c>
      <c r="S39" s="1">
        <f>(Main_L[[#This Row],[A/E]]-VLOOKUP(Main_L[[#This Row],[Industry]], Mean_AE_L, 2, FALSE))/(VLOOKUP(Main_L[[#This Row],[Industry]], Mean_AE_L, 3, FALSE))</f>
        <v>-0.44222596323607316</v>
      </c>
      <c r="T39" s="1">
        <f>(Main_L[[#This Row],[P/E]]-VLOOKUP(Main_L[[#This Row],[Industry]], Mean_PE_L, 2, FALSE))/(VLOOKUP(Main_L[[#This Row],[Industry]], Mean_PE_L, 3, FALSE))</f>
        <v>0.55473911551949806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8" t="s">
        <v>105</v>
      </c>
      <c r="B40" s="68" t="s">
        <v>144</v>
      </c>
      <c r="C40" s="2">
        <v>16513</v>
      </c>
      <c r="D40">
        <f>RTD("tos.rtd", , "LAST", Main_L[[#This Row],[Symbol]])</f>
        <v>41.87</v>
      </c>
      <c r="E40">
        <v>2.1800000000000002</v>
      </c>
      <c r="F40">
        <v>51.99</v>
      </c>
      <c r="G40">
        <v>3.15</v>
      </c>
      <c r="H40" s="1">
        <f>IF(ISNUMBER(Main_L[[#This Row],[Free CF]]),IF(Main_L[[#This Row],[Free CF]]&lt;&gt;0,Main_L[[#This Row],[Current Price]]/Main_L[[#This Row],[Free CF]],""),"")</f>
        <v>19.206422018348622</v>
      </c>
      <c r="I40" s="1">
        <f>IF(ISNUMBER(Main_L[[#This Row],[BVPS]]),IF(Main_L[[#This Row],[BVPS]]&lt;&gt;0,Main_L[[#This Row],[Current Price]]/Main_L[[#This Row],[BVPS]],""),"")</f>
        <v>0.80534718215041345</v>
      </c>
      <c r="J40">
        <v>6.37</v>
      </c>
      <c r="K40">
        <v>0.7</v>
      </c>
      <c r="L40">
        <v>9.68</v>
      </c>
      <c r="M40" s="1">
        <f>IF(ISNUMBER(Main_L[[#This Row],[EPS]]),IF(Main_L[[#This Row],[EPS]]&lt;&gt;0,Main_L[[#This Row],[Current Price]]/Main_L[[#This Row],[EPS]],""),"")</f>
        <v>13.292063492063491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1.5109072442583726</v>
      </c>
      <c r="P40" s="1">
        <f>(Main_L[[#This Row],[P/B]]-VLOOKUP(Main_L[[#This Row],[Industry]], Mean_PB_L, 2, FALSE))/(VLOOKUP(Main_L[[#This Row],[Industry]], Mean_PB_L, 3, FALSE))</f>
        <v>-0.95359110430812677</v>
      </c>
      <c r="Q40" s="1">
        <f>(Main_L[[#This Row],[ROE]]-VLOOKUP(Main_L[[#This Row],[Industry]], Mean_ROE_L, 2, FALSE))/(VLOOKUP(Main_L[[#This Row],[Industry]], Mean_ROE_L, 3, FALSE))</f>
        <v>-1.5315257428154503</v>
      </c>
      <c r="R40" s="1">
        <f>(Main_L[[#This Row],[ROA]]-VLOOKUP(Main_L[[#This Row],[Industry]], Mean_ROA_L, 2, FALSE))/(VLOOKUP(Main_L[[#This Row],[Industry]], Mean_ROA_L, 3, FALSE))</f>
        <v>-0.47074360836158896</v>
      </c>
      <c r="S40" s="1">
        <f>(Main_L[[#This Row],[A/E]]-VLOOKUP(Main_L[[#This Row],[Industry]], Mean_AE_L, 2, FALSE))/(VLOOKUP(Main_L[[#This Row],[Industry]], Mean_AE_L, 3, FALSE))</f>
        <v>-0.95929654566024969</v>
      </c>
      <c r="T40" s="1">
        <f>(Main_L[[#This Row],[P/E]]-VLOOKUP(Main_L[[#This Row],[Industry]], Mean_PE_L, 2, FALSE))/(VLOOKUP(Main_L[[#This Row],[Industry]], Mean_PE_L, 3, FALSE))</f>
        <v>0.43416707985700081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s="68" t="s">
        <v>105</v>
      </c>
      <c r="B41" s="68" t="s">
        <v>145</v>
      </c>
      <c r="C41" s="2">
        <v>12044</v>
      </c>
      <c r="D41">
        <f>RTD("tos.rtd", , "LAST", Main_L[[#This Row],[Symbol]])</f>
        <v>96</v>
      </c>
      <c r="E41">
        <v>10.16</v>
      </c>
      <c r="F41">
        <v>57.54</v>
      </c>
      <c r="G41">
        <v>8.3800000000000008</v>
      </c>
      <c r="H41" s="1">
        <f>IF(ISNUMBER(Main_L[[#This Row],[Free CF]]),IF(Main_L[[#This Row],[Free CF]]&lt;&gt;0,Main_L[[#This Row],[Current Price]]/Main_L[[#This Row],[Free CF]],""),"")</f>
        <v>9.4488188976377945</v>
      </c>
      <c r="I41" s="1">
        <f>IF(ISNUMBER(Main_L[[#This Row],[BVPS]]),IF(Main_L[[#This Row],[BVPS]]&lt;&gt;0,Main_L[[#This Row],[Current Price]]/Main_L[[#This Row],[BVPS]],""),"")</f>
        <v>1.6684045881126173</v>
      </c>
      <c r="J41">
        <v>15.66</v>
      </c>
      <c r="K41">
        <v>1.59</v>
      </c>
      <c r="L41">
        <v>9.61</v>
      </c>
      <c r="M41" s="1">
        <f>IF(ISNUMBER(Main_L[[#This Row],[EPS]]),IF(Main_L[[#This Row],[EPS]]&lt;&gt;0,Main_L[[#This Row],[Current Price]]/Main_L[[#This Row],[EPS]],""),"")</f>
        <v>11.455847255369928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0.74328485844103431</v>
      </c>
      <c r="P41" s="1">
        <f>(Main_L[[#This Row],[P/B]]-VLOOKUP(Main_L[[#This Row],[Industry]], Mean_PB_L, 2, FALSE))/(VLOOKUP(Main_L[[#This Row],[Industry]], Mean_PB_L, 3, FALSE))</f>
        <v>0.56587439869039602</v>
      </c>
      <c r="Q41" s="1">
        <f>(Main_L[[#This Row],[ROE]]-VLOOKUP(Main_L[[#This Row],[Industry]], Mean_ROE_L, 2, FALSE))/(VLOOKUP(Main_L[[#This Row],[Industry]], Mean_ROE_L, 3, FALSE))</f>
        <v>1.1565825340637328</v>
      </c>
      <c r="R41" s="1">
        <f>(Main_L[[#This Row],[ROA]]-VLOOKUP(Main_L[[#This Row],[Industry]], Mean_ROA_L, 2, FALSE))/(VLOOKUP(Main_L[[#This Row],[Industry]], Mean_ROA_L, 3, FALSE))</f>
        <v>1.2003291438279808</v>
      </c>
      <c r="S41" s="1">
        <f>(Main_L[[#This Row],[A/E]]-VLOOKUP(Main_L[[#This Row],[Industry]], Mean_AE_L, 2, FALSE))/(VLOOKUP(Main_L[[#This Row],[Industry]], Mean_AE_L, 3, FALSE))</f>
        <v>-0.97489781323339308</v>
      </c>
      <c r="T41" s="1">
        <f>(Main_L[[#This Row],[P/E]]-VLOOKUP(Main_L[[#This Row],[Industry]], Mean_PE_L, 2, FALSE))/(VLOOKUP(Main_L[[#This Row],[Industry]], Mean_PE_L, 3, FALSE))</f>
        <v>-0.19719353200667097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8" t="s">
        <v>105</v>
      </c>
      <c r="B42" s="68" t="s">
        <v>146</v>
      </c>
      <c r="C42" s="2">
        <v>21794</v>
      </c>
      <c r="D42">
        <f>RTD("tos.rtd", , "LAST", Main_L[[#This Row],[Symbol]])</f>
        <v>16.09</v>
      </c>
      <c r="E42">
        <v>1.06</v>
      </c>
      <c r="F42">
        <v>12.66</v>
      </c>
      <c r="G42">
        <v>1.3</v>
      </c>
      <c r="H42" s="1">
        <f>IF(ISNUMBER(Main_L[[#This Row],[Free CF]]),IF(Main_L[[#This Row],[Free CF]]&lt;&gt;0,Main_L[[#This Row],[Current Price]]/Main_L[[#This Row],[Free CF]],""),"")</f>
        <v>15.179245283018867</v>
      </c>
      <c r="I42" s="1">
        <f>IF(ISNUMBER(Main_L[[#This Row],[BVPS]]),IF(Main_L[[#This Row],[BVPS]]&lt;&gt;0,Main_L[[#This Row],[Current Price]]/Main_L[[#This Row],[BVPS]],""),"")</f>
        <v>1.2709320695102686</v>
      </c>
      <c r="J42">
        <v>10.37</v>
      </c>
      <c r="K42">
        <v>1.03</v>
      </c>
      <c r="L42">
        <v>11.36</v>
      </c>
      <c r="M42" s="1">
        <f>IF(ISNUMBER(Main_L[[#This Row],[EPS]]),IF(Main_L[[#This Row],[EPS]]&lt;&gt;0,Main_L[[#This Row],[Current Price]]/Main_L[[#This Row],[EPS]],""),"")</f>
        <v>12.376923076923076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1.1940926561429352</v>
      </c>
      <c r="P42" s="1">
        <f>(Main_L[[#This Row],[P/B]]-VLOOKUP(Main_L[[#This Row],[Industry]], Mean_PB_L, 2, FALSE))/(VLOOKUP(Main_L[[#This Row],[Industry]], Mean_PB_L, 3, FALSE))</f>
        <v>-0.13390035120921401</v>
      </c>
      <c r="Q42" s="1">
        <f>(Main_L[[#This Row],[ROE]]-VLOOKUP(Main_L[[#This Row],[Industry]], Mean_ROE_L, 2, FALSE))/(VLOOKUP(Main_L[[#This Row],[Industry]], Mean_ROE_L, 3, FALSE))</f>
        <v>-0.37410560207091531</v>
      </c>
      <c r="R42" s="1">
        <f>(Main_L[[#This Row],[ROA]]-VLOOKUP(Main_L[[#This Row],[Industry]], Mean_ROA_L, 2, FALSE))/(VLOOKUP(Main_L[[#This Row],[Industry]], Mean_ROA_L, 3, FALSE))</f>
        <v>0.14886763683229653</v>
      </c>
      <c r="S42" s="1">
        <f>(Main_L[[#This Row],[A/E]]-VLOOKUP(Main_L[[#This Row],[Industry]], Mean_AE_L, 2, FALSE))/(VLOOKUP(Main_L[[#This Row],[Industry]], Mean_AE_L, 3, FALSE))</f>
        <v>-0.58486612390481163</v>
      </c>
      <c r="T42" s="1">
        <f>(Main_L[[#This Row],[P/E]]-VLOOKUP(Main_L[[#This Row],[Industry]], Mean_PE_L, 2, FALSE))/(VLOOKUP(Main_L[[#This Row],[Industry]], Mean_PE_L, 3, FALSE))</f>
        <v>0.11950718256482215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s="68" t="s">
        <v>105</v>
      </c>
      <c r="B43" s="68" t="s">
        <v>147</v>
      </c>
      <c r="C43" s="2">
        <v>28248</v>
      </c>
      <c r="D43">
        <f>RTD("tos.rtd", , "LAST", Main_L[[#This Row],[Symbol]])</f>
        <v>186.5</v>
      </c>
      <c r="E43">
        <v>19.559999999999999</v>
      </c>
      <c r="F43">
        <v>163.62</v>
      </c>
      <c r="G43">
        <v>14.94</v>
      </c>
      <c r="H43" s="1">
        <f>IF(ISNUMBER(Main_L[[#This Row],[Free CF]]),IF(Main_L[[#This Row],[Free CF]]&lt;&gt;0,Main_L[[#This Row],[Current Price]]/Main_L[[#This Row],[Free CF]],""),"")</f>
        <v>9.53476482617587</v>
      </c>
      <c r="I43" s="1">
        <f>IF(ISNUMBER(Main_L[[#This Row],[BVPS]]),IF(Main_L[[#This Row],[BVPS]]&lt;&gt;0,Main_L[[#This Row],[Current Price]]/Main_L[[#This Row],[BVPS]],""),"")</f>
        <v>1.1398362058428064</v>
      </c>
      <c r="J43">
        <v>9.41</v>
      </c>
      <c r="K43">
        <v>1.24</v>
      </c>
      <c r="L43">
        <v>7.91</v>
      </c>
      <c r="M43" s="1">
        <f>IF(ISNUMBER(Main_L[[#This Row],[EPS]]),IF(Main_L[[#This Row],[EPS]]&lt;&gt;0,Main_L[[#This Row],[Current Price]]/Main_L[[#This Row],[EPS]],""),"")</f>
        <v>12.48326639892905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0.75004615195743607</v>
      </c>
      <c r="P43" s="1">
        <f>(Main_L[[#This Row],[P/B]]-VLOOKUP(Main_L[[#This Row],[Industry]], Mean_PB_L, 2, FALSE))/(VLOOKUP(Main_L[[#This Row],[Industry]], Mean_PB_L, 3, FALSE))</f>
        <v>-0.36470266059491163</v>
      </c>
      <c r="Q43" s="1">
        <f>(Main_L[[#This Row],[ROE]]-VLOOKUP(Main_L[[#This Row],[Industry]], Mean_ROE_L, 2, FALSE))/(VLOOKUP(Main_L[[#This Row],[Industry]], Mean_ROE_L, 3, FALSE))</f>
        <v>-0.65188643584960348</v>
      </c>
      <c r="R43" s="1">
        <f>(Main_L[[#This Row],[ROA]]-VLOOKUP(Main_L[[#This Row],[Industry]], Mean_ROA_L, 2, FALSE))/(VLOOKUP(Main_L[[#This Row],[Industry]], Mean_ROA_L, 3, FALSE))</f>
        <v>0.54316570195567804</v>
      </c>
      <c r="S43" s="1">
        <f>(Main_L[[#This Row],[A/E]]-VLOOKUP(Main_L[[#This Row],[Industry]], Mean_AE_L, 2, FALSE))/(VLOOKUP(Main_L[[#This Row],[Industry]], Mean_AE_L, 3, FALSE))</f>
        <v>-1.3537857400097291</v>
      </c>
      <c r="T43" s="1">
        <f>(Main_L[[#This Row],[P/E]]-VLOOKUP(Main_L[[#This Row],[Industry]], Mean_PE_L, 2, FALSE))/(VLOOKUP(Main_L[[#This Row],[Industry]], Mean_PE_L, 3, FALSE))</f>
        <v>0.15607203996430088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8" t="s">
        <v>105</v>
      </c>
      <c r="B44" s="68" t="s">
        <v>148</v>
      </c>
      <c r="C44" s="2">
        <v>18681</v>
      </c>
      <c r="D44">
        <f>RTD("tos.rtd", , "LAST", Main_L[[#This Row],[Symbol]])</f>
        <v>22.44</v>
      </c>
      <c r="E44">
        <v>1.47</v>
      </c>
      <c r="F44">
        <v>18.7</v>
      </c>
      <c r="G44">
        <v>2.0699999999999998</v>
      </c>
      <c r="H44" s="1">
        <f>IF(ISNUMBER(Main_L[[#This Row],[Free CF]]),IF(Main_L[[#This Row],[Free CF]]&lt;&gt;0,Main_L[[#This Row],[Current Price]]/Main_L[[#This Row],[Free CF]],""),"")</f>
        <v>15.265306122448981</v>
      </c>
      <c r="I44" s="1">
        <f>IF(ISNUMBER(Main_L[[#This Row],[BVPS]]),IF(Main_L[[#This Row],[BVPS]]&lt;&gt;0,Main_L[[#This Row],[Current Price]]/Main_L[[#This Row],[BVPS]],""),"")</f>
        <v>1.2000000000000002</v>
      </c>
      <c r="J44">
        <v>11.31</v>
      </c>
      <c r="K44">
        <v>1.28</v>
      </c>
      <c r="L44">
        <v>9.51</v>
      </c>
      <c r="M44" s="1">
        <f>IF(ISNUMBER(Main_L[[#This Row],[EPS]]),IF(Main_L[[#This Row],[EPS]]&lt;&gt;0,Main_L[[#This Row],[Current Price]]/Main_L[[#This Row],[EPS]],""),"")</f>
        <v>10.840579710144929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1.2008629896020373</v>
      </c>
      <c r="P44" s="1">
        <f>(Main_L[[#This Row],[P/B]]-VLOOKUP(Main_L[[#This Row],[Industry]], Mean_PB_L, 2, FALSE))/(VLOOKUP(Main_L[[#This Row],[Industry]], Mean_PB_L, 3, FALSE))</f>
        <v>-0.25878061054374335</v>
      </c>
      <c r="Q44" s="1">
        <f>(Main_L[[#This Row],[ROE]]-VLOOKUP(Main_L[[#This Row],[Industry]], Mean_ROE_L, 2, FALSE))/(VLOOKUP(Main_L[[#This Row],[Industry]], Mean_ROE_L, 3, FALSE))</f>
        <v>-0.10211186899594915</v>
      </c>
      <c r="R44" s="1">
        <f>(Main_L[[#This Row],[ROA]]-VLOOKUP(Main_L[[#This Row],[Industry]], Mean_ROA_L, 2, FALSE))/(VLOOKUP(Main_L[[#This Row],[Industry]], Mean_ROA_L, 3, FALSE))</f>
        <v>0.61827009531251276</v>
      </c>
      <c r="S44" s="1">
        <f>(Main_L[[#This Row],[A/E]]-VLOOKUP(Main_L[[#This Row],[Industry]], Mean_AE_L, 2, FALSE))/(VLOOKUP(Main_L[[#This Row],[Industry]], Mean_AE_L, 3, FALSE))</f>
        <v>-0.99718533833788336</v>
      </c>
      <c r="T44" s="1">
        <f>(Main_L[[#This Row],[P/E]]-VLOOKUP(Main_L[[#This Row],[Industry]], Mean_PE_L, 2, FALSE))/(VLOOKUP(Main_L[[#This Row],[Industry]], Mean_PE_L, 3, FALSE))</f>
        <v>-0.40874579151211943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8" t="s">
        <v>105</v>
      </c>
      <c r="B45" s="68" t="s">
        <v>149</v>
      </c>
      <c r="C45" s="2">
        <v>50692</v>
      </c>
      <c r="D45">
        <f>RTD("tos.rtd", , "LAST", Main_L[[#This Row],[Symbol]])</f>
        <v>41.35</v>
      </c>
      <c r="E45">
        <v>2.67</v>
      </c>
      <c r="F45">
        <v>44.85</v>
      </c>
      <c r="G45">
        <v>-0.2</v>
      </c>
      <c r="H45" s="1">
        <f>IF(ISNUMBER(Main_L[[#This Row],[Free CF]]),IF(Main_L[[#This Row],[Free CF]]&lt;&gt;0,Main_L[[#This Row],[Current Price]]/Main_L[[#This Row],[Free CF]],""),"")</f>
        <v>15.486891385767791</v>
      </c>
      <c r="I45" s="1">
        <f>IF(ISNUMBER(Main_L[[#This Row],[BVPS]]),IF(Main_L[[#This Row],[BVPS]]&lt;&gt;0,Main_L[[#This Row],[Current Price]]/Main_L[[#This Row],[BVPS]],""),"")</f>
        <v>0.92196209587513933</v>
      </c>
      <c r="J45">
        <v>0.13</v>
      </c>
      <c r="K45">
        <v>0.02</v>
      </c>
      <c r="L45">
        <v>9.1300000000000008</v>
      </c>
      <c r="M45" s="1">
        <f>IF(ISNUMBER(Main_L[[#This Row],[EPS]]),IF(Main_L[[#This Row],[EPS]]&lt;&gt;0,Main_L[[#This Row],[Current Price]]/Main_L[[#This Row],[EPS]],""),"")</f>
        <v>-206.75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1.2182949148798463</v>
      </c>
      <c r="P45" s="1">
        <f>(Main_L[[#This Row],[P/B]]-VLOOKUP(Main_L[[#This Row],[Industry]], Mean_PB_L, 2, FALSE))/(VLOOKUP(Main_L[[#This Row],[Industry]], Mean_PB_L, 3, FALSE))</f>
        <v>-0.74828339555574996</v>
      </c>
      <c r="Q45" s="1">
        <f>(Main_L[[#This Row],[ROE]]-VLOOKUP(Main_L[[#This Row],[Industry]], Mean_ROE_L, 2, FALSE))/(VLOOKUP(Main_L[[#This Row],[Industry]], Mean_ROE_L, 3, FALSE))</f>
        <v>-3.3371011623769249</v>
      </c>
      <c r="R45" s="1">
        <f>(Main_L[[#This Row],[ROA]]-VLOOKUP(Main_L[[#This Row],[Industry]], Mean_ROA_L, 2, FALSE))/(VLOOKUP(Main_L[[#This Row],[Industry]], Mean_ROA_L, 3, FALSE))</f>
        <v>-1.7475182954277768</v>
      </c>
      <c r="S45" s="1">
        <f>(Main_L[[#This Row],[A/E]]-VLOOKUP(Main_L[[#This Row],[Industry]], Mean_AE_L, 2, FALSE))/(VLOOKUP(Main_L[[#This Row],[Industry]], Mean_AE_L, 3, FALSE))</f>
        <v>-1.0818779337349465</v>
      </c>
      <c r="T45" s="1">
        <f>(Main_L[[#This Row],[P/E]]-VLOOKUP(Main_L[[#This Row],[Industry]], Mean_PE_L, 2, FALSE))/(VLOOKUP(Main_L[[#This Row],[Industry]], Mean_PE_L, 3, FALSE))</f>
        <v>-75.22461921442779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6" spans="1:26" x14ac:dyDescent="0.25">
      <c r="A46" s="68" t="s">
        <v>173</v>
      </c>
      <c r="B46" s="68" t="s">
        <v>174</v>
      </c>
      <c r="C46" s="2">
        <v>45783</v>
      </c>
      <c r="D46">
        <f>RTD("tos.rtd", , "LAST", Main_L[[#This Row],[Symbol]])</f>
        <v>519.69000000000005</v>
      </c>
      <c r="E46">
        <v>66.819999999999993</v>
      </c>
      <c r="F46">
        <v>56.79</v>
      </c>
      <c r="G46">
        <v>29.43</v>
      </c>
      <c r="H46" s="1">
        <f>IF(ISNUMBER(Main_L[[#This Row],[Free CF]]),IF(Main_L[[#This Row],[Free CF]]&lt;&gt;0,Main_L[[#This Row],[Current Price]]/Main_L[[#This Row],[Free CF]],""),"")</f>
        <v>7.7774618377731235</v>
      </c>
      <c r="I46" s="1">
        <f>IF(ISNUMBER(Main_L[[#This Row],[BVPS]]),IF(Main_L[[#This Row],[BVPS]]&lt;&gt;0,Main_L[[#This Row],[Current Price]]/Main_L[[#This Row],[BVPS]],""),"")</f>
        <v>9.1510829371368203</v>
      </c>
      <c r="J46">
        <v>58.11</v>
      </c>
      <c r="K46">
        <v>2.2200000000000002</v>
      </c>
      <c r="L46">
        <v>33</v>
      </c>
      <c r="M46" s="1">
        <f>IF(ISNUMBER(Main_L[[#This Row],[EPS]]),IF(Main_L[[#This Row],[EPS]]&lt;&gt;0,Main_L[[#This Row],[Current Price]]/Main_L[[#This Row],[EPS]],""),"")</f>
        <v>17.658511722731909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-0.48477889715982975</v>
      </c>
      <c r="P46" s="1">
        <f>(Main_L[[#This Row],[P/B]]-VLOOKUP(Main_L[[#This Row],[Industry]], Mean_PB_L, 2, FALSE))/(VLOOKUP(Main_L[[#This Row],[Industry]], Mean_PB_L, 3, FALSE))</f>
        <v>2.0774548058030868</v>
      </c>
      <c r="Q46" s="1">
        <f>(Main_L[[#This Row],[ROE]]-VLOOKUP(Main_L[[#This Row],[Industry]], Mean_ROE_L, 2, FALSE))/(VLOOKUP(Main_L[[#This Row],[Industry]], Mean_ROE_L, 3, FALSE))</f>
        <v>5.982998584837862</v>
      </c>
      <c r="R46" s="1">
        <f>(Main_L[[#This Row],[ROA]]-VLOOKUP(Main_L[[#This Row],[Industry]], Mean_ROA_L, 2, FALSE))/(VLOOKUP(Main_L[[#This Row],[Industry]], Mean_ROA_L, 3, FALSE))</f>
        <v>-0.59246254757902894</v>
      </c>
      <c r="S46" s="1">
        <f>(Main_L[[#This Row],[A/E]]-VLOOKUP(Main_L[[#This Row],[Industry]], Mean_AE_L, 2, FALSE))/(VLOOKUP(Main_L[[#This Row],[Industry]], Mean_AE_L, 3, FALSE))</f>
        <v>4.5653556336856207</v>
      </c>
      <c r="T46" s="1">
        <f>(Main_L[[#This Row],[P/E]]-VLOOKUP(Main_L[[#This Row],[Industry]], Mean_PE_L, 2, FALSE))/(VLOOKUP(Main_L[[#This Row],[Industry]], Mean_PE_L, 3, FALSE))</f>
        <v>-0.75086765269972067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s="68" t="s">
        <v>173</v>
      </c>
      <c r="B47" s="68" t="s">
        <v>175</v>
      </c>
      <c r="C47" s="2">
        <v>14334</v>
      </c>
      <c r="D47">
        <f>RTD("tos.rtd", , "LAST", Main_L[[#This Row],[Symbol]])</f>
        <v>21.78</v>
      </c>
      <c r="E47">
        <v>-3.41</v>
      </c>
      <c r="F47">
        <v>19.809999999999999</v>
      </c>
      <c r="G47">
        <v>2.04</v>
      </c>
      <c r="H47" s="1">
        <f>IF(ISNUMBER(Main_L[[#This Row],[Free CF]]),IF(Main_L[[#This Row],[Free CF]]&lt;&gt;0,Main_L[[#This Row],[Current Price]]/Main_L[[#This Row],[Free CF]],""),"")</f>
        <v>-6.387096774193548</v>
      </c>
      <c r="I47" s="1">
        <f>IF(ISNUMBER(Main_L[[#This Row],[BVPS]]),IF(Main_L[[#This Row],[BVPS]]&lt;&gt;0,Main_L[[#This Row],[Current Price]]/Main_L[[#This Row],[BVPS]],""),"")</f>
        <v>1.0994447248864212</v>
      </c>
      <c r="J47">
        <v>10.29</v>
      </c>
      <c r="K47">
        <v>5.37</v>
      </c>
      <c r="L47">
        <v>2.0699999999999998</v>
      </c>
      <c r="M47" s="1">
        <f>IF(ISNUMBER(Main_L[[#This Row],[EPS]]),IF(Main_L[[#This Row],[EPS]]&lt;&gt;0,Main_L[[#This Row],[Current Price]]/Main_L[[#This Row],[EPS]],""),"")</f>
        <v>10.676470588235295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-1.3249503891522005</v>
      </c>
      <c r="P47" s="1">
        <f>(Main_L[[#This Row],[P/B]]-VLOOKUP(Main_L[[#This Row],[Industry]], Mean_PB_L, 2, FALSE))/(VLOOKUP(Main_L[[#This Row],[Industry]], Mean_PB_L, 3, FALSE))</f>
        <v>-1.1563227756513865</v>
      </c>
      <c r="Q47" s="1">
        <f>(Main_L[[#This Row],[ROE]]-VLOOKUP(Main_L[[#This Row],[Industry]], Mean_ROE_L, 2, FALSE))/(VLOOKUP(Main_L[[#This Row],[Industry]], Mean_ROE_L, 3, FALSE))</f>
        <v>-0.6414647890440428</v>
      </c>
      <c r="R47" s="1">
        <f>(Main_L[[#This Row],[ROA]]-VLOOKUP(Main_L[[#This Row],[Industry]], Mean_ROA_L, 2, FALSE))/(VLOOKUP(Main_L[[#This Row],[Industry]], Mean_ROA_L, 3, FALSE))</f>
        <v>0.20971111452023661</v>
      </c>
      <c r="S47" s="1">
        <f>(Main_L[[#This Row],[A/E]]-VLOOKUP(Main_L[[#This Row],[Industry]], Mean_AE_L, 2, FALSE))/(VLOOKUP(Main_L[[#This Row],[Industry]], Mean_AE_L, 3, FALSE))</f>
        <v>-0.80376324262783994</v>
      </c>
      <c r="T47" s="1">
        <f>(Main_L[[#This Row],[P/E]]-VLOOKUP(Main_L[[#This Row],[Industry]], Mean_PE_L, 2, FALSE))/(VLOOKUP(Main_L[[#This Row],[Industry]], Mean_PE_L, 3, FALSE))</f>
        <v>-1.340409723471969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8" t="s">
        <v>173</v>
      </c>
      <c r="B48" s="68" t="s">
        <v>176</v>
      </c>
      <c r="C48" s="2">
        <v>35410</v>
      </c>
      <c r="D48">
        <f>RTD("tos.rtd", , "LAST", Main_L[[#This Row],[Symbol]])</f>
        <v>172.5</v>
      </c>
      <c r="E48">
        <v>13.63</v>
      </c>
      <c r="F48">
        <v>10.25</v>
      </c>
      <c r="G48">
        <v>2.0699999999999998</v>
      </c>
      <c r="H48" s="1">
        <f>IF(ISNUMBER(Main_L[[#This Row],[Free CF]]),IF(Main_L[[#This Row],[Free CF]]&lt;&gt;0,Main_L[[#This Row],[Current Price]]/Main_L[[#This Row],[Free CF]],""),"")</f>
        <v>12.655906089508436</v>
      </c>
      <c r="I48" s="1">
        <f>IF(ISNUMBER(Main_L[[#This Row],[BVPS]]),IF(Main_L[[#This Row],[BVPS]]&lt;&gt;0,Main_L[[#This Row],[Current Price]]/Main_L[[#This Row],[BVPS]],""),"")</f>
        <v>16.829268292682926</v>
      </c>
      <c r="J48">
        <v>17.89</v>
      </c>
      <c r="K48">
        <v>2.5</v>
      </c>
      <c r="L48">
        <v>11.94</v>
      </c>
      <c r="M48" s="1">
        <f>IF(ISNUMBER(Main_L[[#This Row],[EPS]]),IF(Main_L[[#This Row],[EPS]]&lt;&gt;0,Main_L[[#This Row],[Current Price]]/Main_L[[#This Row],[EPS]],""),"")</f>
        <v>83.333333333333343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-0.19541373599488349</v>
      </c>
      <c r="P48" s="1">
        <f>(Main_L[[#This Row],[P/B]]-VLOOKUP(Main_L[[#This Row],[Industry]], Mean_PB_L, 2, FALSE))/(VLOOKUP(Main_L[[#This Row],[Industry]], Mean_PB_L, 3, FALSE))</f>
        <v>5.1612426033272492</v>
      </c>
      <c r="Q48" s="1">
        <f>(Main_L[[#This Row],[ROE]]-VLOOKUP(Main_L[[#This Row],[Industry]], Mean_ROE_L, 2, FALSE))/(VLOOKUP(Main_L[[#This Row],[Industry]], Mean_ROE_L, 3, FALSE))</f>
        <v>0.41135665891711332</v>
      </c>
      <c r="R48" s="1">
        <f>(Main_L[[#This Row],[ROA]]-VLOOKUP(Main_L[[#This Row],[Industry]], Mean_ROA_L, 2, FALSE))/(VLOOKUP(Main_L[[#This Row],[Industry]], Mean_ROA_L, 3, FALSE))</f>
        <v>-0.52115822205909434</v>
      </c>
      <c r="S48" s="1">
        <f>(Main_L[[#This Row],[A/E]]-VLOOKUP(Main_L[[#This Row],[Industry]], Mean_AE_L, 2, FALSE))/(VLOOKUP(Main_L[[#This Row],[Industry]], Mean_AE_L, 3, FALSE))</f>
        <v>0.90956373148188696</v>
      </c>
      <c r="T48" s="1">
        <f>(Main_L[[#This Row],[P/E]]-VLOOKUP(Main_L[[#This Row],[Industry]], Mean_PE_L, 2, FALSE))/(VLOOKUP(Main_L[[#This Row],[Industry]], Mean_PE_L, 3, FALSE))</f>
        <v>4.7945122131700391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9" spans="1:26" x14ac:dyDescent="0.25">
      <c r="A49" s="68" t="s">
        <v>173</v>
      </c>
      <c r="B49" s="68" t="s">
        <v>177</v>
      </c>
      <c r="C49" s="2">
        <v>91379</v>
      </c>
      <c r="D49">
        <f>RTD("tos.rtd", , "LAST", Main_L[[#This Row],[Symbol]])</f>
        <v>58.32</v>
      </c>
      <c r="E49">
        <v>1.43</v>
      </c>
      <c r="F49">
        <v>7.73</v>
      </c>
      <c r="G49">
        <v>1.28</v>
      </c>
      <c r="H49" s="1">
        <f>IF(ISNUMBER(Main_L[[#This Row],[Free CF]]),IF(Main_L[[#This Row],[Free CF]]&lt;&gt;0,Main_L[[#This Row],[Current Price]]/Main_L[[#This Row],[Free CF]],""),"")</f>
        <v>40.783216783216787</v>
      </c>
      <c r="I49" s="1">
        <f>IF(ISNUMBER(Main_L[[#This Row],[BVPS]]),IF(Main_L[[#This Row],[BVPS]]&lt;&gt;0,Main_L[[#This Row],[Current Price]]/Main_L[[#This Row],[BVPS]],""),"")</f>
        <v>7.5446313065976707</v>
      </c>
      <c r="J49">
        <v>20.18</v>
      </c>
      <c r="K49">
        <v>1.76</v>
      </c>
      <c r="L49">
        <v>1.35</v>
      </c>
      <c r="M49" s="1">
        <f>IF(ISNUMBER(Main_L[[#This Row],[EPS]]),IF(Main_L[[#This Row],[EPS]]&lt;&gt;0,Main_L[[#This Row],[Current Price]]/Main_L[[#This Row],[EPS]],""),"")</f>
        <v>45.5625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1.4729590837060453</v>
      </c>
      <c r="P49" s="1">
        <f>(Main_L[[#This Row],[P/B]]-VLOOKUP(Main_L[[#This Row],[Industry]], Mean_PB_L, 2, FALSE))/(VLOOKUP(Main_L[[#This Row],[Industry]], Mean_PB_L, 3, FALSE))</f>
        <v>1.4322560112739755</v>
      </c>
      <c r="Q49" s="1">
        <f>(Main_L[[#This Row],[ROE]]-VLOOKUP(Main_L[[#This Row],[Industry]], Mean_ROE_L, 2, FALSE))/(VLOOKUP(Main_L[[#This Row],[Industry]], Mean_ROE_L, 3, FALSE))</f>
        <v>0.72858838468435627</v>
      </c>
      <c r="R49" s="1">
        <f>(Main_L[[#This Row],[ROA]]-VLOOKUP(Main_L[[#This Row],[Industry]], Mean_ROA_L, 2, FALSE))/(VLOOKUP(Main_L[[#This Row],[Industry]], Mean_ROA_L, 3, FALSE))</f>
        <v>-0.70960536807606467</v>
      </c>
      <c r="S49" s="1">
        <f>(Main_L[[#This Row],[A/E]]-VLOOKUP(Main_L[[#This Row],[Industry]], Mean_AE_L, 2, FALSE))/(VLOOKUP(Main_L[[#This Row],[Industry]], Mean_AE_L, 3, FALSE))</f>
        <v>-0.92874758116471945</v>
      </c>
      <c r="T49" s="1">
        <f>(Main_L[[#This Row],[P/E]]-VLOOKUP(Main_L[[#This Row],[Industry]], Mean_PE_L, 2, FALSE))/(VLOOKUP(Main_L[[#This Row],[Industry]], Mean_PE_L, 3, FALSE))</f>
        <v>1.6052592613207042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s="68" t="s">
        <v>173</v>
      </c>
      <c r="B50" s="68" t="s">
        <v>178</v>
      </c>
      <c r="C50" s="2">
        <v>10752</v>
      </c>
      <c r="D50">
        <f>RTD("tos.rtd", , "LAST", Main_L[[#This Row],[Symbol]])</f>
        <v>21.58</v>
      </c>
      <c r="E50">
        <v>1.29</v>
      </c>
      <c r="F50">
        <v>23.5</v>
      </c>
      <c r="G50">
        <v>0.69</v>
      </c>
      <c r="H50" s="1">
        <f>IF(ISNUMBER(Main_L[[#This Row],[Free CF]]),IF(Main_L[[#This Row],[Free CF]]&lt;&gt;0,Main_L[[#This Row],[Current Price]]/Main_L[[#This Row],[Free CF]],""),"")</f>
        <v>16.728682170542633</v>
      </c>
      <c r="I50" s="1">
        <f>IF(ISNUMBER(Main_L[[#This Row],[BVPS]]),IF(Main_L[[#This Row],[BVPS]]&lt;&gt;0,Main_L[[#This Row],[Current Price]]/Main_L[[#This Row],[BVPS]],""),"")</f>
        <v>0.91829787234042548</v>
      </c>
      <c r="J50">
        <v>2.8</v>
      </c>
      <c r="K50">
        <v>2.2200000000000002</v>
      </c>
      <c r="L50">
        <v>2.59</v>
      </c>
      <c r="M50" s="1">
        <f>IF(ISNUMBER(Main_L[[#This Row],[EPS]]),IF(Main_L[[#This Row],[EPS]]&lt;&gt;0,Main_L[[#This Row],[Current Price]]/Main_L[[#This Row],[EPS]],""),"")</f>
        <v>31.275362318840578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4.6163177927621042E-2</v>
      </c>
      <c r="P50" s="1">
        <f>(Main_L[[#This Row],[P/B]]-VLOOKUP(Main_L[[#This Row],[Industry]], Mean_PB_L, 2, FALSE))/(VLOOKUP(Main_L[[#This Row],[Industry]], Mean_PB_L, 3, FALSE))</f>
        <v>-1.2290767438839649</v>
      </c>
      <c r="Q50" s="1">
        <f>(Main_L[[#This Row],[ROE]]-VLOOKUP(Main_L[[#This Row],[Industry]], Mean_ROE_L, 2, FALSE))/(VLOOKUP(Main_L[[#This Row],[Industry]], Mean_ROE_L, 3, FALSE))</f>
        <v>-1.6790480318373397</v>
      </c>
      <c r="R50" s="1">
        <f>(Main_L[[#This Row],[ROA]]-VLOOKUP(Main_L[[#This Row],[Industry]], Mean_ROA_L, 2, FALSE))/(VLOOKUP(Main_L[[#This Row],[Industry]], Mean_ROA_L, 3, FALSE))</f>
        <v>-0.59246254757902894</v>
      </c>
      <c r="S50" s="1">
        <f>(Main_L[[#This Row],[A/E]]-VLOOKUP(Main_L[[#This Row],[Industry]], Mean_AE_L, 2, FALSE))/(VLOOKUP(Main_L[[#This Row],[Industry]], Mean_AE_L, 3, FALSE))</f>
        <v>-0.71349677590675997</v>
      </c>
      <c r="T50" s="1">
        <f>(Main_L[[#This Row],[P/E]]-VLOOKUP(Main_L[[#This Row],[Industry]], Mean_PE_L, 2, FALSE))/(VLOOKUP(Main_L[[#This Row],[Industry]], Mean_PE_L, 3, FALSE))</f>
        <v>0.39889731476276408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s="68" t="s">
        <v>173</v>
      </c>
      <c r="B51" s="68" t="s">
        <v>179</v>
      </c>
      <c r="C51" s="2">
        <v>60061</v>
      </c>
      <c r="D51">
        <f>RTD("tos.rtd", , "LAST", Main_L[[#This Row],[Symbol]])</f>
        <v>87.93</v>
      </c>
      <c r="E51">
        <v>2.86</v>
      </c>
      <c r="F51">
        <v>52.82</v>
      </c>
      <c r="G51">
        <v>6.13</v>
      </c>
      <c r="H51" s="1">
        <f>IF(ISNUMBER(Main_L[[#This Row],[Free CF]]),IF(Main_L[[#This Row],[Free CF]]&lt;&gt;0,Main_L[[#This Row],[Current Price]]/Main_L[[#This Row],[Free CF]],""),"")</f>
        <v>30.744755244755247</v>
      </c>
      <c r="I51" s="1">
        <f>IF(ISNUMBER(Main_L[[#This Row],[BVPS]]),IF(Main_L[[#This Row],[BVPS]]&lt;&gt;0,Main_L[[#This Row],[Current Price]]/Main_L[[#This Row],[BVPS]],""),"")</f>
        <v>1.6647103369935632</v>
      </c>
      <c r="J51">
        <v>11.23</v>
      </c>
      <c r="K51">
        <v>1.08</v>
      </c>
      <c r="L51">
        <v>11.66</v>
      </c>
      <c r="M51" s="1">
        <f>IF(ISNUMBER(Main_L[[#This Row],[EPS]]),IF(Main_L[[#This Row],[EPS]]&lt;&gt;0,Main_L[[#This Row],[Current Price]]/Main_L[[#This Row],[EPS]],""),"")</f>
        <v>14.344208809135401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0.87752724293185258</v>
      </c>
      <c r="P51" s="1">
        <f>(Main_L[[#This Row],[P/B]]-VLOOKUP(Main_L[[#This Row],[Industry]], Mean_PB_L, 2, FALSE))/(VLOOKUP(Main_L[[#This Row],[Industry]], Mean_PB_L, 3, FALSE))</f>
        <v>-0.92929527940620771</v>
      </c>
      <c r="Q51" s="1">
        <f>(Main_L[[#This Row],[ROE]]-VLOOKUP(Main_L[[#This Row],[Industry]], Mean_ROE_L, 2, FALSE))/(VLOOKUP(Main_L[[#This Row],[Industry]], Mean_ROE_L, 3, FALSE))</f>
        <v>-0.5112473994277944</v>
      </c>
      <c r="R51" s="1">
        <f>(Main_L[[#This Row],[ROA]]-VLOOKUP(Main_L[[#This Row],[Industry]], Mean_ROA_L, 2, FALSE))/(VLOOKUP(Main_L[[#This Row],[Industry]], Mean_ROA_L, 3, FALSE))</f>
        <v>-0.88277301576733469</v>
      </c>
      <c r="S51" s="1">
        <f>(Main_L[[#This Row],[A/E]]-VLOOKUP(Main_L[[#This Row],[Industry]], Mean_AE_L, 2, FALSE))/(VLOOKUP(Main_L[[#This Row],[Industry]], Mean_AE_L, 3, FALSE))</f>
        <v>0.86095871093976717</v>
      </c>
      <c r="T51" s="1">
        <f>(Main_L[[#This Row],[P/E]]-VLOOKUP(Main_L[[#This Row],[Industry]], Mean_PE_L, 2, FALSE))/(VLOOKUP(Main_L[[#This Row],[Industry]], Mean_PE_L, 3, FALSE))</f>
        <v>-1.0307171931434629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s="68" t="s">
        <v>173</v>
      </c>
      <c r="B52" s="68" t="s">
        <v>180</v>
      </c>
      <c r="C52" s="2">
        <v>142676</v>
      </c>
      <c r="D52">
        <f>RTD("tos.rtd", , "LAST", Main_L[[#This Row],[Symbol]])</f>
        <v>959.18</v>
      </c>
      <c r="E52">
        <v>31.33</v>
      </c>
      <c r="F52">
        <v>306.52</v>
      </c>
      <c r="G52">
        <v>41.15</v>
      </c>
      <c r="H52" s="1">
        <f>IF(ISNUMBER(Main_L[[#This Row],[Free CF]]),IF(Main_L[[#This Row],[Free CF]]&lt;&gt;0,Main_L[[#This Row],[Current Price]]/Main_L[[#This Row],[Free CF]],""),"")</f>
        <v>30.615384615384617</v>
      </c>
      <c r="I52" s="1">
        <f>IF(ISNUMBER(Main_L[[#This Row],[BVPS]]),IF(Main_L[[#This Row],[BVPS]]&lt;&gt;0,Main_L[[#This Row],[Current Price]]/Main_L[[#This Row],[BVPS]],""),"")</f>
        <v>3.1292574709643741</v>
      </c>
      <c r="J52">
        <v>14.38</v>
      </c>
      <c r="K52">
        <v>3.67</v>
      </c>
      <c r="L52">
        <v>2.92</v>
      </c>
      <c r="M52" s="1">
        <f>IF(ISNUMBER(Main_L[[#This Row],[EPS]]),IF(Main_L[[#This Row],[EPS]]&lt;&gt;0,Main_L[[#This Row],[Current Price]]/Main_L[[#This Row],[EPS]],""),"")</f>
        <v>23.3093560145808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0.86985361767631608</v>
      </c>
      <c r="P52" s="1">
        <f>(Main_L[[#This Row],[P/B]]-VLOOKUP(Main_L[[#This Row],[Industry]], Mean_PB_L, 2, FALSE))/(VLOOKUP(Main_L[[#This Row],[Industry]], Mean_PB_L, 3, FALSE))</f>
        <v>-0.3410895548106273</v>
      </c>
      <c r="Q52" s="1">
        <f>(Main_L[[#This Row],[ROE]]-VLOOKUP(Main_L[[#This Row],[Industry]], Mean_ROE_L, 2, FALSE))/(VLOOKUP(Main_L[[#This Row],[Industry]], Mean_ROE_L, 3, FALSE))</f>
        <v>-7.4880615075473125E-2</v>
      </c>
      <c r="R52" s="1">
        <f>(Main_L[[#This Row],[ROA]]-VLOOKUP(Main_L[[#This Row],[Industry]], Mean_ROA_L, 2, FALSE))/(VLOOKUP(Main_L[[#This Row],[Industry]], Mean_ROA_L, 3, FALSE))</f>
        <v>-0.22320800470793853</v>
      </c>
      <c r="S52" s="1">
        <f>(Main_L[[#This Row],[A/E]]-VLOOKUP(Main_L[[#This Row],[Industry]], Mean_AE_L, 2, FALSE))/(VLOOKUP(Main_L[[#This Row],[Industry]], Mean_AE_L, 3, FALSE))</f>
        <v>-0.65621228741069004</v>
      </c>
      <c r="T52" s="1">
        <f>(Main_L[[#This Row],[P/E]]-VLOOKUP(Main_L[[#This Row],[Industry]], Mean_PE_L, 2, FALSE))/(VLOOKUP(Main_L[[#This Row],[Industry]], Mean_PE_L, 3, FALSE))</f>
        <v>-0.27372774744072365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s="68" t="s">
        <v>173</v>
      </c>
      <c r="B53" s="68" t="s">
        <v>181</v>
      </c>
      <c r="C53" s="2">
        <v>86225</v>
      </c>
      <c r="D53">
        <f>RTD("tos.rtd", , "LAST", Main_L[[#This Row],[Symbol]])</f>
        <v>59.37</v>
      </c>
      <c r="E53">
        <v>-2.4900000000000002</v>
      </c>
      <c r="F53">
        <v>27.79</v>
      </c>
      <c r="G53">
        <v>0.31</v>
      </c>
      <c r="H53" s="1">
        <f>IF(ISNUMBER(Main_L[[#This Row],[Free CF]]),IF(Main_L[[#This Row],[Free CF]]&lt;&gt;0,Main_L[[#This Row],[Current Price]]/Main_L[[#This Row],[Free CF]],""),"")</f>
        <v>-23.8433734939759</v>
      </c>
      <c r="I53" s="1">
        <f>IF(ISNUMBER(Main_L[[#This Row],[BVPS]]),IF(Main_L[[#This Row],[BVPS]]&lt;&gt;0,Main_L[[#This Row],[Current Price]]/Main_L[[#This Row],[BVPS]],""),"")</f>
        <v>2.1363799928031666</v>
      </c>
      <c r="J53">
        <v>1.1100000000000001</v>
      </c>
      <c r="K53">
        <v>2.64</v>
      </c>
      <c r="L53">
        <v>11.71</v>
      </c>
      <c r="M53" s="1">
        <f>IF(ISNUMBER(Main_L[[#This Row],[EPS]]),IF(Main_L[[#This Row],[EPS]]&lt;&gt;0,Main_L[[#This Row],[Current Price]]/Main_L[[#This Row],[EPS]],""),"")</f>
        <v>191.51612903225805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-2.3603703029009209</v>
      </c>
      <c r="P53" s="1">
        <f>(Main_L[[#This Row],[P/B]]-VLOOKUP(Main_L[[#This Row],[Industry]], Mean_PB_L, 2, FALSE))/(VLOOKUP(Main_L[[#This Row],[Industry]], Mean_PB_L, 3, FALSE))</f>
        <v>-0.73985870530768827</v>
      </c>
      <c r="Q53" s="1">
        <f>(Main_L[[#This Row],[ROE]]-VLOOKUP(Main_L[[#This Row],[Industry]], Mean_ROE_L, 2, FALSE))/(VLOOKUP(Main_L[[#This Row],[Industry]], Mean_ROE_L, 3, FALSE))</f>
        <v>-1.9131622748708075</v>
      </c>
      <c r="R53" s="1">
        <f>(Main_L[[#This Row],[ROA]]-VLOOKUP(Main_L[[#This Row],[Industry]], Mean_ROA_L, 2, FALSE))/(VLOOKUP(Main_L[[#This Row],[Industry]], Mean_ROA_L, 3, FALSE))</f>
        <v>-0.48550605929912688</v>
      </c>
      <c r="S53" s="1">
        <f>(Main_L[[#This Row],[A/E]]-VLOOKUP(Main_L[[#This Row],[Industry]], Mean_AE_L, 2, FALSE))/(VLOOKUP(Main_L[[#This Row],[Industry]], Mean_AE_L, 3, FALSE))</f>
        <v>0.86963817889371731</v>
      </c>
      <c r="T53" s="1">
        <f>(Main_L[[#This Row],[P/E]]-VLOOKUP(Main_L[[#This Row],[Industry]], Mean_PE_L, 2, FALSE))/(VLOOKUP(Main_L[[#This Row],[Industry]], Mean_PE_L, 3, FALSE))</f>
        <v>13.929134620815507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4" spans="1:26" x14ac:dyDescent="0.25">
      <c r="A54" s="68" t="s">
        <v>173</v>
      </c>
      <c r="B54" s="68" t="s">
        <v>182</v>
      </c>
      <c r="C54" s="2">
        <v>104114</v>
      </c>
      <c r="D54">
        <f>RTD("tos.rtd", , "LAST", Main_L[[#This Row],[Symbol]])</f>
        <v>148.6</v>
      </c>
      <c r="E54">
        <v>4.46</v>
      </c>
      <c r="F54">
        <v>10.68</v>
      </c>
      <c r="G54">
        <v>3.31</v>
      </c>
      <c r="H54" s="1">
        <f>IF(ISNUMBER(Main_L[[#This Row],[Free CF]]),IF(Main_L[[#This Row],[Free CF]]&lt;&gt;0,Main_L[[#This Row],[Current Price]]/Main_L[[#This Row],[Free CF]],""),"")</f>
        <v>33.318385650224215</v>
      </c>
      <c r="I54" s="1">
        <f>IF(ISNUMBER(Main_L[[#This Row],[BVPS]]),IF(Main_L[[#This Row],[BVPS]]&lt;&gt;0,Main_L[[#This Row],[Current Price]]/Main_L[[#This Row],[BVPS]],""),"")</f>
        <v>13.913857677902621</v>
      </c>
      <c r="J54">
        <v>26.6</v>
      </c>
      <c r="K54">
        <v>11.89</v>
      </c>
      <c r="L54">
        <v>5.67</v>
      </c>
      <c r="M54" s="1">
        <f>IF(ISNUMBER(Main_L[[#This Row],[EPS]]),IF(Main_L[[#This Row],[EPS]]&lt;&gt;0,Main_L[[#This Row],[Current Price]]/Main_L[[#This Row],[EPS]],""),"")</f>
        <v>44.894259818731115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1.0301822572415127</v>
      </c>
      <c r="P54" s="1">
        <f>(Main_L[[#This Row],[P/B]]-VLOOKUP(Main_L[[#This Row],[Industry]], Mean_PB_L, 2, FALSE))/(VLOOKUP(Main_L[[#This Row],[Industry]], Mean_PB_L, 3, FALSE))</f>
        <v>3.9903269165708859</v>
      </c>
      <c r="Q54" s="1">
        <f>(Main_L[[#This Row],[ROE]]-VLOOKUP(Main_L[[#This Row],[Industry]], Mean_ROE_L, 2, FALSE))/(VLOOKUP(Main_L[[#This Row],[Industry]], Mean_ROE_L, 3, FALSE))</f>
        <v>1.617945449935754</v>
      </c>
      <c r="R54" s="1">
        <f>(Main_L[[#This Row],[ROA]]-VLOOKUP(Main_L[[#This Row],[Industry]], Mean_ROA_L, 2, FALSE))/(VLOOKUP(Main_L[[#This Row],[Industry]], Mean_ROA_L, 3, FALSE))</f>
        <v>1.8700832659130022</v>
      </c>
      <c r="S54" s="1">
        <f>(Main_L[[#This Row],[A/E]]-VLOOKUP(Main_L[[#This Row],[Industry]], Mean_AE_L, 2, FALSE))/(VLOOKUP(Main_L[[#This Row],[Industry]], Mean_AE_L, 3, FALSE))</f>
        <v>-0.17884154994344098</v>
      </c>
      <c r="T54" s="1">
        <f>(Main_L[[#This Row],[P/E]]-VLOOKUP(Main_L[[#This Row],[Industry]], Mean_PE_L, 2, FALSE))/(VLOOKUP(Main_L[[#This Row],[Industry]], Mean_PE_L, 3, FALSE))</f>
        <v>1.548835116482594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s="68" t="s">
        <v>173</v>
      </c>
      <c r="B55" s="68" t="s">
        <v>183</v>
      </c>
      <c r="C55" s="2">
        <v>14417</v>
      </c>
      <c r="D55">
        <f>RTD("tos.rtd", , "LAST", Main_L[[#This Row],[Symbol]])</f>
        <v>45.97</v>
      </c>
      <c r="E55">
        <v>-2.33</v>
      </c>
      <c r="F55">
        <v>15.7</v>
      </c>
      <c r="G55">
        <v>2.77</v>
      </c>
      <c r="H55" s="1">
        <f>IF(ISNUMBER(Main_L[[#This Row],[Free CF]]),IF(Main_L[[#This Row],[Free CF]]&lt;&gt;0,Main_L[[#This Row],[Current Price]]/Main_L[[#This Row],[Free CF]],""),"")</f>
        <v>-19.729613733905577</v>
      </c>
      <c r="I55" s="1">
        <f>IF(ISNUMBER(Main_L[[#This Row],[BVPS]]),IF(Main_L[[#This Row],[BVPS]]&lt;&gt;0,Main_L[[#This Row],[Current Price]]/Main_L[[#This Row],[BVPS]],""),"")</f>
        <v>2.9280254777070063</v>
      </c>
      <c r="J55">
        <v>17.989999999999998</v>
      </c>
      <c r="K55">
        <v>4.93</v>
      </c>
      <c r="L55">
        <v>4.12</v>
      </c>
      <c r="M55" s="1">
        <f>IF(ISNUMBER(Main_L[[#This Row],[EPS]]),IF(Main_L[[#This Row],[EPS]]&lt;&gt;0,Main_L[[#This Row],[Current Price]]/Main_L[[#This Row],[EPS]],""),"")</f>
        <v>16.595667870036099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-2.1163624400370193</v>
      </c>
      <c r="P55" s="1">
        <f>(Main_L[[#This Row],[P/B]]-VLOOKUP(Main_L[[#This Row],[Industry]], Mean_PB_L, 2, FALSE))/(VLOOKUP(Main_L[[#This Row],[Industry]], Mean_PB_L, 3, FALSE))</f>
        <v>-0.42191031343301388</v>
      </c>
      <c r="Q55" s="1">
        <f>(Main_L[[#This Row],[ROE]]-VLOOKUP(Main_L[[#This Row],[Industry]], Mean_ROE_L, 2, FALSE))/(VLOOKUP(Main_L[[#This Row],[Industry]], Mean_ROE_L, 3, FALSE))</f>
        <v>0.42520957270607562</v>
      </c>
      <c r="R55" s="1">
        <f>(Main_L[[#This Row],[ROA]]-VLOOKUP(Main_L[[#This Row],[Industry]], Mean_ROA_L, 2, FALSE))/(VLOOKUP(Main_L[[#This Row],[Industry]], Mean_ROA_L, 3, FALSE))</f>
        <v>9.7661460131767658E-2</v>
      </c>
      <c r="S55" s="1">
        <f>(Main_L[[#This Row],[A/E]]-VLOOKUP(Main_L[[#This Row],[Industry]], Mean_AE_L, 2, FALSE))/(VLOOKUP(Main_L[[#This Row],[Industry]], Mean_AE_L, 3, FALSE))</f>
        <v>-0.44790505651589047</v>
      </c>
      <c r="T55" s="1">
        <f>(Main_L[[#This Row],[P/E]]-VLOOKUP(Main_L[[#This Row],[Industry]], Mean_PE_L, 2, FALSE))/(VLOOKUP(Main_L[[#This Row],[Industry]], Mean_PE_L, 3, FALSE))</f>
        <v>-0.84061091742069227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s="68" t="s">
        <v>173</v>
      </c>
      <c r="B56" s="68" t="s">
        <v>184</v>
      </c>
      <c r="C56" s="2">
        <v>103224</v>
      </c>
      <c r="D56">
        <f>RTD("tos.rtd", , "LAST", Main_L[[#This Row],[Symbol]])</f>
        <v>126.9</v>
      </c>
      <c r="E56">
        <v>7.34</v>
      </c>
      <c r="F56">
        <v>26.63</v>
      </c>
      <c r="G56">
        <v>3.28</v>
      </c>
      <c r="H56" s="1">
        <f>IF(ISNUMBER(Main_L[[#This Row],[Free CF]]),IF(Main_L[[#This Row],[Free CF]]&lt;&gt;0,Main_L[[#This Row],[Current Price]]/Main_L[[#This Row],[Free CF]],""),"")</f>
        <v>17.288828337874662</v>
      </c>
      <c r="I56" s="1">
        <f>IF(ISNUMBER(Main_L[[#This Row],[BVPS]]),IF(Main_L[[#This Row],[BVPS]]&lt;&gt;0,Main_L[[#This Row],[Current Price]]/Main_L[[#This Row],[BVPS]],""),"")</f>
        <v>4.7653022906496441</v>
      </c>
      <c r="J56">
        <v>8.15</v>
      </c>
      <c r="K56">
        <v>1.45</v>
      </c>
      <c r="L56">
        <v>15.22</v>
      </c>
      <c r="M56" s="1">
        <f>IF(ISNUMBER(Main_L[[#This Row],[EPS]]),IF(Main_L[[#This Row],[EPS]]&lt;&gt;0,Main_L[[#This Row],[Current Price]]/Main_L[[#This Row],[EPS]],""),"")</f>
        <v>38.689024390243908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7.9388275442736342E-2</v>
      </c>
      <c r="P56" s="1">
        <f>(Main_L[[#This Row],[P/B]]-VLOOKUP(Main_L[[#This Row],[Industry]], Mean_PB_L, 2, FALSE))/(VLOOKUP(Main_L[[#This Row],[Industry]], Mean_PB_L, 3, FALSE))</f>
        <v>0.31599474538848094</v>
      </c>
      <c r="Q56" s="1">
        <f>(Main_L[[#This Row],[ROE]]-VLOOKUP(Main_L[[#This Row],[Industry]], Mean_ROE_L, 2, FALSE))/(VLOOKUP(Main_L[[#This Row],[Industry]], Mean_ROE_L, 3, FALSE))</f>
        <v>-0.93791714412784177</v>
      </c>
      <c r="R56" s="1">
        <f>(Main_L[[#This Row],[ROA]]-VLOOKUP(Main_L[[#This Row],[Industry]], Mean_ROA_L, 2, FALSE))/(VLOOKUP(Main_L[[#This Row],[Industry]], Mean_ROA_L, 3, FALSE))</f>
        <v>-0.78854944275884942</v>
      </c>
      <c r="S56" s="1">
        <f>(Main_L[[#This Row],[A/E]]-VLOOKUP(Main_L[[#This Row],[Industry]], Mean_AE_L, 2, FALSE))/(VLOOKUP(Main_L[[#This Row],[Industry]], Mean_AE_L, 3, FALSE))</f>
        <v>1.4789368292610059</v>
      </c>
      <c r="T56" s="1">
        <f>(Main_L[[#This Row],[P/E]]-VLOOKUP(Main_L[[#This Row],[Industry]], Mean_PE_L, 2, FALSE))/(VLOOKUP(Main_L[[#This Row],[Industry]], Mean_PE_L, 3, FALSE))</f>
        <v>1.0248841294187778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s="68" t="s">
        <v>173</v>
      </c>
      <c r="B57" s="68" t="s">
        <v>185</v>
      </c>
      <c r="C57" s="2">
        <v>19053</v>
      </c>
      <c r="D57">
        <f>RTD("tos.rtd", , "LAST", Main_L[[#This Row],[Symbol]])</f>
        <v>107.14</v>
      </c>
      <c r="E57">
        <v>14.45</v>
      </c>
      <c r="F57">
        <v>61.65</v>
      </c>
      <c r="G57">
        <v>10.76</v>
      </c>
      <c r="H57" s="1">
        <f>IF(ISNUMBER(Main_L[[#This Row],[Free CF]]),IF(Main_L[[#This Row],[Free CF]]&lt;&gt;0,Main_L[[#This Row],[Current Price]]/Main_L[[#This Row],[Free CF]],""),"")</f>
        <v>7.4145328719723187</v>
      </c>
      <c r="I57" s="1">
        <f>IF(ISNUMBER(Main_L[[#This Row],[BVPS]]),IF(Main_L[[#This Row],[BVPS]]&lt;&gt;0,Main_L[[#This Row],[Current Price]]/Main_L[[#This Row],[BVPS]],""),"")</f>
        <v>1.737875101378751</v>
      </c>
      <c r="J57">
        <v>17.68</v>
      </c>
      <c r="K57">
        <v>1.38</v>
      </c>
      <c r="L57">
        <v>13.76</v>
      </c>
      <c r="M57" s="1">
        <f>IF(ISNUMBER(Main_L[[#This Row],[EPS]]),IF(Main_L[[#This Row],[EPS]]&lt;&gt;0,Main_L[[#This Row],[Current Price]]/Main_L[[#This Row],[EPS]],""),"")</f>
        <v>9.9572490706319705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-0.50630604664873102</v>
      </c>
      <c r="P57" s="1">
        <f>(Main_L[[#This Row],[P/B]]-VLOOKUP(Main_L[[#This Row],[Industry]], Mean_PB_L, 2, FALSE))/(VLOOKUP(Main_L[[#This Row],[Industry]], Mean_PB_L, 3, FALSE))</f>
        <v>-0.89991013211267445</v>
      </c>
      <c r="Q57" s="1">
        <f>(Main_L[[#This Row],[ROE]]-VLOOKUP(Main_L[[#This Row],[Industry]], Mean_ROE_L, 2, FALSE))/(VLOOKUP(Main_L[[#This Row],[Industry]], Mean_ROE_L, 3, FALSE))</f>
        <v>0.38226553996029183</v>
      </c>
      <c r="R57" s="1">
        <f>(Main_L[[#This Row],[ROA]]-VLOOKUP(Main_L[[#This Row],[Industry]], Mean_ROA_L, 2, FALSE))/(VLOOKUP(Main_L[[#This Row],[Industry]], Mean_ROA_L, 3, FALSE))</f>
        <v>-0.80637552413883318</v>
      </c>
      <c r="S57" s="1">
        <f>(Main_L[[#This Row],[A/E]]-VLOOKUP(Main_L[[#This Row],[Industry]], Mean_AE_L, 2, FALSE))/(VLOOKUP(Main_L[[#This Row],[Industry]], Mean_AE_L, 3, FALSE))</f>
        <v>1.2254963650056665</v>
      </c>
      <c r="T57" s="1">
        <f>(Main_L[[#This Row],[P/E]]-VLOOKUP(Main_L[[#This Row],[Industry]], Mean_PE_L, 2, FALSE))/(VLOOKUP(Main_L[[#This Row],[Industry]], Mean_PE_L, 3, FALSE))</f>
        <v>-1.4011385754887358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s="68" t="s">
        <v>173</v>
      </c>
      <c r="B58" s="68" t="s">
        <v>186</v>
      </c>
      <c r="C58" s="2">
        <v>11318</v>
      </c>
      <c r="D58">
        <f>RTD("tos.rtd", , "LAST", Main_L[[#This Row],[Symbol]])</f>
        <v>19.97</v>
      </c>
      <c r="E58">
        <v>1.7</v>
      </c>
      <c r="F58">
        <v>3.5</v>
      </c>
      <c r="G58">
        <v>0.16</v>
      </c>
      <c r="H58" s="1">
        <f>IF(ISNUMBER(Main_L[[#This Row],[Free CF]]),IF(Main_L[[#This Row],[Free CF]]&lt;&gt;0,Main_L[[#This Row],[Current Price]]/Main_L[[#This Row],[Free CF]],""),"")</f>
        <v>11.747058823529411</v>
      </c>
      <c r="I58" s="1">
        <f>IF(ISNUMBER(Main_L[[#This Row],[BVPS]]),IF(Main_L[[#This Row],[BVPS]]&lt;&gt;0,Main_L[[#This Row],[Current Price]]/Main_L[[#This Row],[BVPS]],""),"")</f>
        <v>5.7057142857142855</v>
      </c>
      <c r="J58">
        <v>7.59</v>
      </c>
      <c r="K58">
        <v>4.91</v>
      </c>
      <c r="L58">
        <v>5.17</v>
      </c>
      <c r="M58" s="1">
        <f>IF(ISNUMBER(Main_L[[#This Row],[EPS]]),IF(Main_L[[#This Row],[EPS]]&lt;&gt;0,Main_L[[#This Row],[Current Price]]/Main_L[[#This Row],[EPS]],""),"")</f>
        <v>124.81249999999999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-0.24932205635762894</v>
      </c>
      <c r="P58" s="1">
        <f>(Main_L[[#This Row],[P/B]]-VLOOKUP(Main_L[[#This Row],[Industry]], Mean_PB_L, 2, FALSE))/(VLOOKUP(Main_L[[#This Row],[Industry]], Mean_PB_L, 3, FALSE))</f>
        <v>0.69369219611893829</v>
      </c>
      <c r="Q58" s="1">
        <f>(Main_L[[#This Row],[ROE]]-VLOOKUP(Main_L[[#This Row],[Industry]], Mean_ROE_L, 2, FALSE))/(VLOOKUP(Main_L[[#This Row],[Industry]], Mean_ROE_L, 3, FALSE))</f>
        <v>-1.0154934613460322</v>
      </c>
      <c r="R58" s="1">
        <f>(Main_L[[#This Row],[ROA]]-VLOOKUP(Main_L[[#This Row],[Industry]], Mean_ROA_L, 2, FALSE))/(VLOOKUP(Main_L[[#This Row],[Industry]], Mean_ROA_L, 3, FALSE))</f>
        <v>9.2568294023201006E-2</v>
      </c>
      <c r="S58" s="1">
        <f>(Main_L[[#This Row],[A/E]]-VLOOKUP(Main_L[[#This Row],[Industry]], Mean_AE_L, 2, FALSE))/(VLOOKUP(Main_L[[#This Row],[Industry]], Mean_AE_L, 3, FALSE))</f>
        <v>-0.2656362294829408</v>
      </c>
      <c r="T58" s="1">
        <f>(Main_L[[#This Row],[P/E]]-VLOOKUP(Main_L[[#This Row],[Industry]], Mean_PE_L, 2, FALSE))/(VLOOKUP(Main_L[[#This Row],[Industry]], Mean_PE_L, 3, FALSE))</f>
        <v>8.2968854217370662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9" spans="1:26" x14ac:dyDescent="0.25">
      <c r="A59" s="68" t="s">
        <v>173</v>
      </c>
      <c r="B59" s="68" t="s">
        <v>187</v>
      </c>
      <c r="C59" s="2">
        <v>10029</v>
      </c>
      <c r="D59">
        <f>RTD("tos.rtd", , "LAST", Main_L[[#This Row],[Symbol]])</f>
        <v>83.98</v>
      </c>
      <c r="E59">
        <v>4.68</v>
      </c>
      <c r="F59">
        <v>18.09</v>
      </c>
      <c r="G59">
        <v>4.59</v>
      </c>
      <c r="H59" s="1">
        <f>IF(ISNUMBER(Main_L[[#This Row],[Free CF]]),IF(Main_L[[#This Row],[Free CF]]&lt;&gt;0,Main_L[[#This Row],[Current Price]]/Main_L[[#This Row],[Free CF]],""),"")</f>
        <v>17.944444444444446</v>
      </c>
      <c r="I59" s="1">
        <f>IF(ISNUMBER(Main_L[[#This Row],[BVPS]]),IF(Main_L[[#This Row],[BVPS]]&lt;&gt;0,Main_L[[#This Row],[Current Price]]/Main_L[[#This Row],[BVPS]],""),"")</f>
        <v>4.6423438363736871</v>
      </c>
      <c r="J59">
        <v>26.62</v>
      </c>
      <c r="K59">
        <v>13.97</v>
      </c>
      <c r="L59">
        <v>1.1399999999999999</v>
      </c>
      <c r="M59" s="1">
        <f>IF(ISNUMBER(Main_L[[#This Row],[EPS]]),IF(Main_L[[#This Row],[EPS]]&lt;&gt;0,Main_L[[#This Row],[Current Price]]/Main_L[[#This Row],[EPS]],""),"")</f>
        <v>18.296296296296298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0.11827617710778407</v>
      </c>
      <c r="P59" s="1">
        <f>(Main_L[[#This Row],[P/B]]-VLOOKUP(Main_L[[#This Row],[Industry]], Mean_PB_L, 2, FALSE))/(VLOOKUP(Main_L[[#This Row],[Industry]], Mean_PB_L, 3, FALSE))</f>
        <v>0.2666109700118236</v>
      </c>
      <c r="Q59" s="1">
        <f>(Main_L[[#This Row],[ROE]]-VLOOKUP(Main_L[[#This Row],[Industry]], Mean_ROE_L, 2, FALSE))/(VLOOKUP(Main_L[[#This Row],[Industry]], Mean_ROE_L, 3, FALSE))</f>
        <v>1.6207160326935464</v>
      </c>
      <c r="R59" s="1">
        <f>(Main_L[[#This Row],[ROA]]-VLOOKUP(Main_L[[#This Row],[Industry]], Mean_ROA_L, 2, FALSE))/(VLOOKUP(Main_L[[#This Row],[Industry]], Mean_ROA_L, 3, FALSE))</f>
        <v>2.3997725412039461</v>
      </c>
      <c r="S59" s="1">
        <f>(Main_L[[#This Row],[A/E]]-VLOOKUP(Main_L[[#This Row],[Industry]], Mean_AE_L, 2, FALSE))/(VLOOKUP(Main_L[[#This Row],[Industry]], Mean_AE_L, 3, FALSE))</f>
        <v>-0.96520134657130963</v>
      </c>
      <c r="T59" s="1">
        <f>(Main_L[[#This Row],[P/E]]-VLOOKUP(Main_L[[#This Row],[Industry]], Mean_PE_L, 2, FALSE))/(VLOOKUP(Main_L[[#This Row],[Industry]], Mean_PE_L, 3, FALSE))</f>
        <v>-0.69701508566914072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s="68" t="s">
        <v>173</v>
      </c>
      <c r="B60" s="68" t="s">
        <v>188</v>
      </c>
      <c r="C60" s="2">
        <v>26094</v>
      </c>
      <c r="D60">
        <f>RTD("tos.rtd", , "LAST", Main_L[[#This Row],[Symbol]])</f>
        <v>97.78</v>
      </c>
      <c r="E60">
        <v>-36.979999999999997</v>
      </c>
      <c r="F60">
        <v>80.13</v>
      </c>
      <c r="G60">
        <v>8.9</v>
      </c>
      <c r="H60" s="1">
        <f>IF(ISNUMBER(Main_L[[#This Row],[Free CF]]),IF(Main_L[[#This Row],[Free CF]]&lt;&gt;0,Main_L[[#This Row],[Current Price]]/Main_L[[#This Row],[Free CF]],""),"")</f>
        <v>-2.6441319632233644</v>
      </c>
      <c r="I60" s="1">
        <f>IF(ISNUMBER(Main_L[[#This Row],[BVPS]]),IF(Main_L[[#This Row],[BVPS]]&lt;&gt;0,Main_L[[#This Row],[Current Price]]/Main_L[[#This Row],[BVPS]],""),"")</f>
        <v>1.2202670660177213</v>
      </c>
      <c r="J60">
        <v>11.22</v>
      </c>
      <c r="K60">
        <v>0.81</v>
      </c>
      <c r="L60">
        <v>16.11</v>
      </c>
      <c r="M60" s="1">
        <f>IF(ISNUMBER(Main_L[[#This Row],[EPS]]),IF(Main_L[[#This Row],[EPS]]&lt;&gt;0,Main_L[[#This Row],[Current Price]]/Main_L[[#This Row],[EPS]],""),"")</f>
        <v>10.986516853932583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-1.102936246964177</v>
      </c>
      <c r="P60" s="1">
        <f>(Main_L[[#This Row],[P/B]]-VLOOKUP(Main_L[[#This Row],[Industry]], Mean_PB_L, 2, FALSE))/(VLOOKUP(Main_L[[#This Row],[Industry]], Mean_PB_L, 3, FALSE))</f>
        <v>-1.1077969268999137</v>
      </c>
      <c r="Q60" s="1">
        <f>(Main_L[[#This Row],[ROE]]-VLOOKUP(Main_L[[#This Row],[Industry]], Mean_ROE_L, 2, FALSE))/(VLOOKUP(Main_L[[#This Row],[Industry]], Mean_ROE_L, 3, FALSE))</f>
        <v>-0.51263269080669061</v>
      </c>
      <c r="R60" s="1">
        <f>(Main_L[[#This Row],[ROA]]-VLOOKUP(Main_L[[#This Row],[Industry]], Mean_ROA_L, 2, FALSE))/(VLOOKUP(Main_L[[#This Row],[Industry]], Mean_ROA_L, 3, FALSE))</f>
        <v>-0.95153075823298594</v>
      </c>
      <c r="S60" s="1">
        <f>(Main_L[[#This Row],[A/E]]-VLOOKUP(Main_L[[#This Row],[Industry]], Mean_AE_L, 2, FALSE))/(VLOOKUP(Main_L[[#This Row],[Industry]], Mean_AE_L, 3, FALSE))</f>
        <v>1.6334313588413159</v>
      </c>
      <c r="T60" s="1">
        <f>(Main_L[[#This Row],[P/E]]-VLOOKUP(Main_L[[#This Row],[Industry]], Mean_PE_L, 2, FALSE))/(VLOOKUP(Main_L[[#This Row],[Industry]], Mean_PE_L, 3, FALSE))</f>
        <v>-1.3142303707592955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s="68" t="s">
        <v>173</v>
      </c>
      <c r="B61" s="68" t="s">
        <v>189</v>
      </c>
      <c r="C61" s="2">
        <v>20141</v>
      </c>
      <c r="D61">
        <f>RTD("tos.rtd", , "LAST", Main_L[[#This Row],[Symbol]])</f>
        <v>97.19</v>
      </c>
      <c r="E61">
        <v>5.75</v>
      </c>
      <c r="F61">
        <v>47.02</v>
      </c>
      <c r="G61">
        <v>8.81</v>
      </c>
      <c r="H61" s="1">
        <f>IF(ISNUMBER(Main_L[[#This Row],[Free CF]]),IF(Main_L[[#This Row],[Free CF]]&lt;&gt;0,Main_L[[#This Row],[Current Price]]/Main_L[[#This Row],[Free CF]],""),"")</f>
        <v>16.902608695652173</v>
      </c>
      <c r="I61" s="1">
        <f>IF(ISNUMBER(Main_L[[#This Row],[BVPS]]),IF(Main_L[[#This Row],[BVPS]]&lt;&gt;0,Main_L[[#This Row],[Current Price]]/Main_L[[#This Row],[BVPS]],""),"")</f>
        <v>2.0669927690344534</v>
      </c>
      <c r="J61">
        <v>18.45</v>
      </c>
      <c r="K61">
        <v>10.99</v>
      </c>
      <c r="L61">
        <v>1.35</v>
      </c>
      <c r="M61" s="1">
        <f>IF(ISNUMBER(Main_L[[#This Row],[EPS]]),IF(Main_L[[#This Row],[EPS]]&lt;&gt;0,Main_L[[#This Row],[Current Price]]/Main_L[[#This Row],[EPS]],""),"")</f>
        <v>11.031782065834278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5.647963833429244E-2</v>
      </c>
      <c r="P61" s="1">
        <f>(Main_L[[#This Row],[P/B]]-VLOOKUP(Main_L[[#This Row],[Industry]], Mean_PB_L, 2, FALSE))/(VLOOKUP(Main_L[[#This Row],[Industry]], Mean_PB_L, 3, FALSE))</f>
        <v>-0.76772667984251475</v>
      </c>
      <c r="Q61" s="1">
        <f>(Main_L[[#This Row],[ROE]]-VLOOKUP(Main_L[[#This Row],[Industry]], Mean_ROE_L, 2, FALSE))/(VLOOKUP(Main_L[[#This Row],[Industry]], Mean_ROE_L, 3, FALSE))</f>
        <v>0.48893297613530362</v>
      </c>
      <c r="R61" s="1">
        <f>(Main_L[[#This Row],[ROA]]-VLOOKUP(Main_L[[#This Row],[Industry]], Mean_ROA_L, 2, FALSE))/(VLOOKUP(Main_L[[#This Row],[Industry]], Mean_ROA_L, 3, FALSE))</f>
        <v>1.6408907910274977</v>
      </c>
      <c r="S61" s="1">
        <f>(Main_L[[#This Row],[A/E]]-VLOOKUP(Main_L[[#This Row],[Industry]], Mean_AE_L, 2, FALSE))/(VLOOKUP(Main_L[[#This Row],[Industry]], Mean_AE_L, 3, FALSE))</f>
        <v>-0.92874758116471945</v>
      </c>
      <c r="T61" s="1">
        <f>(Main_L[[#This Row],[P/E]]-VLOOKUP(Main_L[[#This Row],[Industry]], Mean_PE_L, 2, FALSE))/(VLOOKUP(Main_L[[#This Row],[Industry]], Mean_PE_L, 3, FALSE))</f>
        <v>-1.3104083155401387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s="68" t="s">
        <v>173</v>
      </c>
      <c r="B62" s="68" t="s">
        <v>190</v>
      </c>
      <c r="C62" s="2">
        <v>14157</v>
      </c>
      <c r="D62">
        <f>RTD("tos.rtd", , "LAST", Main_L[[#This Row],[Symbol]])</f>
        <v>112.34</v>
      </c>
      <c r="E62">
        <v>28.76</v>
      </c>
      <c r="F62">
        <v>25.92</v>
      </c>
      <c r="G62">
        <v>5.01</v>
      </c>
      <c r="H62" s="1">
        <f>IF(ISNUMBER(Main_L[[#This Row],[Free CF]]),IF(Main_L[[#This Row],[Free CF]]&lt;&gt;0,Main_L[[#This Row],[Current Price]]/Main_L[[#This Row],[Free CF]],""),"")</f>
        <v>3.9061196105702365</v>
      </c>
      <c r="I62" s="1">
        <f>IF(ISNUMBER(Main_L[[#This Row],[BVPS]]),IF(Main_L[[#This Row],[BVPS]]&lt;&gt;0,Main_L[[#This Row],[Current Price]]/Main_L[[#This Row],[BVPS]],""),"")</f>
        <v>4.3341049382716044</v>
      </c>
      <c r="J62">
        <v>20.67</v>
      </c>
      <c r="K62">
        <v>4.25</v>
      </c>
      <c r="L62">
        <v>5.67</v>
      </c>
      <c r="M62" s="1">
        <f>IF(ISNUMBER(Main_L[[#This Row],[EPS]]),IF(Main_L[[#This Row],[EPS]]&lt;&gt;0,Main_L[[#This Row],[Current Price]]/Main_L[[#This Row],[EPS]],""),"")</f>
        <v>22.423153692614772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-0.71440775211717544</v>
      </c>
      <c r="P62" s="1">
        <f>(Main_L[[#This Row],[P/B]]-VLOOKUP(Main_L[[#This Row],[Industry]], Mean_PB_L, 2, FALSE))/(VLOOKUP(Main_L[[#This Row],[Industry]], Mean_PB_L, 3, FALSE))</f>
        <v>0.14281305309869516</v>
      </c>
      <c r="Q62" s="1">
        <f>(Main_L[[#This Row],[ROE]]-VLOOKUP(Main_L[[#This Row],[Industry]], Mean_ROE_L, 2, FALSE))/(VLOOKUP(Main_L[[#This Row],[Industry]], Mean_ROE_L, 3, FALSE))</f>
        <v>0.79646766225027321</v>
      </c>
      <c r="R62" s="1">
        <f>(Main_L[[#This Row],[ROA]]-VLOOKUP(Main_L[[#This Row],[Industry]], Mean_ROA_L, 2, FALSE))/(VLOOKUP(Main_L[[#This Row],[Industry]], Mean_ROA_L, 3, FALSE))</f>
        <v>-7.5506187559502294E-2</v>
      </c>
      <c r="S62" s="1">
        <f>(Main_L[[#This Row],[A/E]]-VLOOKUP(Main_L[[#This Row],[Industry]], Mean_AE_L, 2, FALSE))/(VLOOKUP(Main_L[[#This Row],[Industry]], Mean_AE_L, 3, FALSE))</f>
        <v>-0.17884154994344098</v>
      </c>
      <c r="T62" s="1">
        <f>(Main_L[[#This Row],[P/E]]-VLOOKUP(Main_L[[#This Row],[Industry]], Mean_PE_L, 2, FALSE))/(VLOOKUP(Main_L[[#This Row],[Industry]], Mean_PE_L, 3, FALSE))</f>
        <v>-0.3485559448046302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s="68" t="s">
        <v>173</v>
      </c>
      <c r="B63" s="68" t="s">
        <v>191</v>
      </c>
      <c r="C63" s="2">
        <v>169352</v>
      </c>
      <c r="D63">
        <f>RTD("tos.rtd", , "LAST", Main_L[[#This Row],[Symbol]])</f>
        <v>603.80999999999995</v>
      </c>
      <c r="E63">
        <v>-75.510000000000005</v>
      </c>
      <c r="F63">
        <v>371.45</v>
      </c>
      <c r="G63">
        <v>42.98</v>
      </c>
      <c r="H63" s="1">
        <f>IF(ISNUMBER(Main_L[[#This Row],[Free CF]]),IF(Main_L[[#This Row],[Free CF]]&lt;&gt;0,Main_L[[#This Row],[Current Price]]/Main_L[[#This Row],[Free CF]],""),"")</f>
        <v>-7.9964243146603087</v>
      </c>
      <c r="I63" s="1">
        <f>IF(ISNUMBER(Main_L[[#This Row],[BVPS]]),IF(Main_L[[#This Row],[BVPS]]&lt;&gt;0,Main_L[[#This Row],[Current Price]]/Main_L[[#This Row],[BVPS]],""),"")</f>
        <v>1.6255485260465741</v>
      </c>
      <c r="J63">
        <v>12.22</v>
      </c>
      <c r="K63">
        <v>0.86</v>
      </c>
      <c r="L63">
        <v>16.18</v>
      </c>
      <c r="M63" s="1">
        <f>IF(ISNUMBER(Main_L[[#This Row],[EPS]]),IF(Main_L[[#This Row],[EPS]]&lt;&gt;0,Main_L[[#This Row],[Current Price]]/Main_L[[#This Row],[EPS]],""),"")</f>
        <v>14.048627268496976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-1.4204077315106178</v>
      </c>
      <c r="P63" s="1">
        <f>(Main_L[[#This Row],[P/B]]-VLOOKUP(Main_L[[#This Row],[Industry]], Mean_PB_L, 2, FALSE))/(VLOOKUP(Main_L[[#This Row],[Industry]], Mean_PB_L, 3, FALSE))</f>
        <v>-0.9450238284233321</v>
      </c>
      <c r="Q63" s="1">
        <f>(Main_L[[#This Row],[ROE]]-VLOOKUP(Main_L[[#This Row],[Industry]], Mean_ROE_L, 2, FALSE))/(VLOOKUP(Main_L[[#This Row],[Industry]], Mean_ROE_L, 3, FALSE))</f>
        <v>-0.37410355291706482</v>
      </c>
      <c r="R63" s="1">
        <f>(Main_L[[#This Row],[ROA]]-VLOOKUP(Main_L[[#This Row],[Industry]], Mean_ROA_L, 2, FALSE))/(VLOOKUP(Main_L[[#This Row],[Industry]], Mean_ROA_L, 3, FALSE))</f>
        <v>-0.9387978429615691</v>
      </c>
      <c r="S63" s="1">
        <f>(Main_L[[#This Row],[A/E]]-VLOOKUP(Main_L[[#This Row],[Industry]], Mean_AE_L, 2, FALSE))/(VLOOKUP(Main_L[[#This Row],[Industry]], Mean_AE_L, 3, FALSE))</f>
        <v>1.6455826139768457</v>
      </c>
      <c r="T63" s="1">
        <f>(Main_L[[#This Row],[P/E]]-VLOOKUP(Main_L[[#This Row],[Industry]], Mean_PE_L, 2, FALSE))/(VLOOKUP(Main_L[[#This Row],[Industry]], Mean_PE_L, 3, FALSE))</f>
        <v>-1.0556751889778131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s="68" t="s">
        <v>173</v>
      </c>
      <c r="B64" s="68" t="s">
        <v>192</v>
      </c>
      <c r="C64" s="2">
        <v>11518</v>
      </c>
      <c r="D64">
        <f>RTD("tos.rtd", , "LAST", Main_L[[#This Row],[Symbol]])</f>
        <v>178.49</v>
      </c>
      <c r="E64">
        <v>10.38</v>
      </c>
      <c r="F64">
        <v>29.66</v>
      </c>
      <c r="G64">
        <v>5.23</v>
      </c>
      <c r="H64" s="1">
        <f>IF(ISNUMBER(Main_L[[#This Row],[Free CF]]),IF(Main_L[[#This Row],[Free CF]]&lt;&gt;0,Main_L[[#This Row],[Current Price]]/Main_L[[#This Row],[Free CF]],""),"")</f>
        <v>17.195568400770714</v>
      </c>
      <c r="I64" s="1">
        <f>IF(ISNUMBER(Main_L[[#This Row],[BVPS]]),IF(Main_L[[#This Row],[BVPS]]&lt;&gt;0,Main_L[[#This Row],[Current Price]]/Main_L[[#This Row],[BVPS]],""),"")</f>
        <v>6.0178691840863117</v>
      </c>
      <c r="J64">
        <v>18.64</v>
      </c>
      <c r="K64">
        <v>11.15</v>
      </c>
      <c r="L64">
        <v>1.67</v>
      </c>
      <c r="M64" s="1">
        <f>IF(ISNUMBER(Main_L[[#This Row],[EPS]]),IF(Main_L[[#This Row],[EPS]]&lt;&gt;0,Main_L[[#This Row],[Current Price]]/Main_L[[#This Row],[EPS]],""),"")</f>
        <v>34.12810707456979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7.3856557678263088E-2</v>
      </c>
      <c r="P64" s="1">
        <f>(Main_L[[#This Row],[P/B]]-VLOOKUP(Main_L[[#This Row],[Industry]], Mean_PB_L, 2, FALSE))/(VLOOKUP(Main_L[[#This Row],[Industry]], Mean_PB_L, 3, FALSE))</f>
        <v>0.81906289530917464</v>
      </c>
      <c r="Q64" s="1">
        <f>(Main_L[[#This Row],[ROE]]-VLOOKUP(Main_L[[#This Row],[Industry]], Mean_ROE_L, 2, FALSE))/(VLOOKUP(Main_L[[#This Row],[Industry]], Mean_ROE_L, 3, FALSE))</f>
        <v>0.5152535123343327</v>
      </c>
      <c r="R64" s="1">
        <f>(Main_L[[#This Row],[ROA]]-VLOOKUP(Main_L[[#This Row],[Industry]], Mean_ROA_L, 2, FALSE))/(VLOOKUP(Main_L[[#This Row],[Industry]], Mean_ROA_L, 3, FALSE))</f>
        <v>1.6816361198960319</v>
      </c>
      <c r="S64" s="1">
        <f>(Main_L[[#This Row],[A/E]]-VLOOKUP(Main_L[[#This Row],[Industry]], Mean_AE_L, 2, FALSE))/(VLOOKUP(Main_L[[#This Row],[Industry]], Mean_AE_L, 3, FALSE))</f>
        <v>-0.8731989862594397</v>
      </c>
      <c r="T64" s="1">
        <f>(Main_L[[#This Row],[P/E]]-VLOOKUP(Main_L[[#This Row],[Industry]], Mean_PE_L, 2, FALSE))/(VLOOKUP(Main_L[[#This Row],[Industry]], Mean_PE_L, 3, FALSE))</f>
        <v>0.63977430449687356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s="68" t="s">
        <v>173</v>
      </c>
      <c r="B65" s="68" t="s">
        <v>193</v>
      </c>
      <c r="C65" s="2">
        <v>44115</v>
      </c>
      <c r="D65">
        <f>RTD("tos.rtd", , "LAST", Main_L[[#This Row],[Symbol]])</f>
        <v>62.57</v>
      </c>
      <c r="E65">
        <v>1.2</v>
      </c>
      <c r="F65">
        <v>8.99</v>
      </c>
      <c r="G65">
        <v>1.75</v>
      </c>
      <c r="H65" s="1">
        <f>IF(ISNUMBER(Main_L[[#This Row],[Free CF]]),IF(Main_L[[#This Row],[Free CF]]&lt;&gt;0,Main_L[[#This Row],[Current Price]]/Main_L[[#This Row],[Free CF]],""),"")</f>
        <v>52.141666666666666</v>
      </c>
      <c r="I65" s="1">
        <f>IF(ISNUMBER(Main_L[[#This Row],[BVPS]]),IF(Main_L[[#This Row],[BVPS]]&lt;&gt;0,Main_L[[#This Row],[Current Price]]/Main_L[[#This Row],[BVPS]],""),"")</f>
        <v>6.9599555061179084</v>
      </c>
      <c r="J65">
        <v>21.43</v>
      </c>
      <c r="K65">
        <v>4.32</v>
      </c>
      <c r="L65">
        <v>3.46</v>
      </c>
      <c r="M65" s="1">
        <f>IF(ISNUMBER(Main_L[[#This Row],[EPS]]),IF(Main_L[[#This Row],[EPS]]&lt;&gt;0,Main_L[[#This Row],[Current Price]]/Main_L[[#This Row],[EPS]],""),"")</f>
        <v>35.754285714285714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2.1466860982023803</v>
      </c>
      <c r="P65" s="1">
        <f>(Main_L[[#This Row],[P/B]]-VLOOKUP(Main_L[[#This Row],[Industry]], Mean_PB_L, 2, FALSE))/(VLOOKUP(Main_L[[#This Row],[Industry]], Mean_PB_L, 3, FALSE))</f>
        <v>1.1974328055897303</v>
      </c>
      <c r="Q65" s="1">
        <f>(Main_L[[#This Row],[ROE]]-VLOOKUP(Main_L[[#This Row],[Industry]], Mean_ROE_L, 2, FALSE))/(VLOOKUP(Main_L[[#This Row],[Industry]], Mean_ROE_L, 3, FALSE))</f>
        <v>0.90174980704638852</v>
      </c>
      <c r="R65" s="1">
        <f>(Main_L[[#This Row],[ROA]]-VLOOKUP(Main_L[[#This Row],[Industry]], Mean_ROA_L, 2, FALSE))/(VLOOKUP(Main_L[[#This Row],[Industry]], Mean_ROA_L, 3, FALSE))</f>
        <v>-5.7680106179518548E-2</v>
      </c>
      <c r="S65" s="1">
        <f>(Main_L[[#This Row],[A/E]]-VLOOKUP(Main_L[[#This Row],[Industry]], Mean_AE_L, 2, FALSE))/(VLOOKUP(Main_L[[#This Row],[Industry]], Mean_AE_L, 3, FALSE))</f>
        <v>-0.56247403350803027</v>
      </c>
      <c r="T65" s="1">
        <f>(Main_L[[#This Row],[P/E]]-VLOOKUP(Main_L[[#This Row],[Industry]], Mean_PE_L, 2, FALSE))/(VLOOKUP(Main_L[[#This Row],[Industry]], Mean_PE_L, 3, FALSE))</f>
        <v>0.77708382534272058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s="68" t="s">
        <v>173</v>
      </c>
      <c r="B66" s="68" t="s">
        <v>194</v>
      </c>
      <c r="C66" s="2">
        <v>19594</v>
      </c>
      <c r="D66">
        <f>RTD("tos.rtd", , "LAST", Main_L[[#This Row],[Symbol]])</f>
        <v>202.78</v>
      </c>
      <c r="E66">
        <v>80.239999999999995</v>
      </c>
      <c r="F66">
        <v>41.33</v>
      </c>
      <c r="G66">
        <v>7.26</v>
      </c>
      <c r="H66" s="1">
        <f>IF(ISNUMBER(Main_L[[#This Row],[Free CF]]),IF(Main_L[[#This Row],[Free CF]]&lt;&gt;0,Main_L[[#This Row],[Current Price]]/Main_L[[#This Row],[Free CF]],""),"")</f>
        <v>2.527168494516451</v>
      </c>
      <c r="I66" s="1">
        <f>IF(ISNUMBER(Main_L[[#This Row],[BVPS]]),IF(Main_L[[#This Row],[BVPS]]&lt;&gt;0,Main_L[[#This Row],[Current Price]]/Main_L[[#This Row],[BVPS]],""),"")</f>
        <v>4.9063634164045489</v>
      </c>
      <c r="J66">
        <v>22.25</v>
      </c>
      <c r="K66">
        <v>2.4700000000000002</v>
      </c>
      <c r="L66">
        <v>35.020000000000003</v>
      </c>
      <c r="M66" s="1">
        <f>IF(ISNUMBER(Main_L[[#This Row],[EPS]]),IF(Main_L[[#This Row],[EPS]]&lt;&gt;0,Main_L[[#This Row],[Current Price]]/Main_L[[#This Row],[EPS]],""),"")</f>
        <v>27.931129476584022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-0.79620030551030907</v>
      </c>
      <c r="P66" s="1">
        <f>(Main_L[[#This Row],[P/B]]-VLOOKUP(Main_L[[#This Row],[Industry]], Mean_PB_L, 2, FALSE))/(VLOOKUP(Main_L[[#This Row],[Industry]], Mean_PB_L, 3, FALSE))</f>
        <v>0.37264909249847689</v>
      </c>
      <c r="Q66" s="1">
        <f>(Main_L[[#This Row],[ROE]]-VLOOKUP(Main_L[[#This Row],[Industry]], Mean_ROE_L, 2, FALSE))/(VLOOKUP(Main_L[[#This Row],[Industry]], Mean_ROE_L, 3, FALSE))</f>
        <v>1.0153437001158816</v>
      </c>
      <c r="R66" s="1">
        <f>(Main_L[[#This Row],[ROA]]-VLOOKUP(Main_L[[#This Row],[Industry]], Mean_ROA_L, 2, FALSE))/(VLOOKUP(Main_L[[#This Row],[Industry]], Mean_ROA_L, 3, FALSE))</f>
        <v>-0.52879797122194439</v>
      </c>
      <c r="S66" s="1">
        <f>(Main_L[[#This Row],[A/E]]-VLOOKUP(Main_L[[#This Row],[Industry]], Mean_AE_L, 2, FALSE))/(VLOOKUP(Main_L[[#This Row],[Industry]], Mean_AE_L, 3, FALSE))</f>
        <v>4.9160061390252006</v>
      </c>
      <c r="T66" s="1">
        <f>(Main_L[[#This Row],[P/E]]-VLOOKUP(Main_L[[#This Row],[Industry]], Mean_PE_L, 2, FALSE))/(VLOOKUP(Main_L[[#This Row],[Industry]], Mean_PE_L, 3, FALSE))</f>
        <v>0.11652058323257432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s="68" t="s">
        <v>173</v>
      </c>
      <c r="B67" s="68" t="s">
        <v>195</v>
      </c>
      <c r="C67" s="2">
        <v>10051</v>
      </c>
      <c r="D67">
        <f>RTD("tos.rtd", , "LAST", Main_L[[#This Row],[Symbol]])</f>
        <v>54.37</v>
      </c>
      <c r="E67">
        <v>-8.23</v>
      </c>
      <c r="F67">
        <v>49.47</v>
      </c>
      <c r="G67">
        <v>2.85</v>
      </c>
      <c r="H67" s="1">
        <f>IF(ISNUMBER(Main_L[[#This Row],[Free CF]]),IF(Main_L[[#This Row],[Free CF]]&lt;&gt;0,Main_L[[#This Row],[Current Price]]/Main_L[[#This Row],[Free CF]],""),"")</f>
        <v>-6.6063183475091121</v>
      </c>
      <c r="I67" s="1">
        <f>IF(ISNUMBER(Main_L[[#This Row],[BVPS]]),IF(Main_L[[#This Row],[BVPS]]&lt;&gt;0,Main_L[[#This Row],[Current Price]]/Main_L[[#This Row],[BVPS]],""),"")</f>
        <v>1.0990499292500504</v>
      </c>
      <c r="J67">
        <v>6.8</v>
      </c>
      <c r="K67">
        <v>1.04</v>
      </c>
      <c r="L67">
        <v>6.88</v>
      </c>
      <c r="M67" s="1">
        <f>IF(ISNUMBER(Main_L[[#This Row],[EPS]]),IF(Main_L[[#This Row],[EPS]]&lt;&gt;0,Main_L[[#This Row],[Current Price]]/Main_L[[#This Row],[EPS]],""),"")</f>
        <v>19.07719298245614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-1.3379535275750136</v>
      </c>
      <c r="P67" s="1">
        <f>(Main_L[[#This Row],[P/B]]-VLOOKUP(Main_L[[#This Row],[Industry]], Mean_PB_L, 2, FALSE))/(VLOOKUP(Main_L[[#This Row],[Industry]], Mean_PB_L, 3, FALSE))</f>
        <v>-1.1564813373309477</v>
      </c>
      <c r="Q67" s="1">
        <f>(Main_L[[#This Row],[ROE]]-VLOOKUP(Main_L[[#This Row],[Industry]], Mean_ROE_L, 2, FALSE))/(VLOOKUP(Main_L[[#This Row],[Industry]], Mean_ROE_L, 3, FALSE))</f>
        <v>-1.1249314802788366</v>
      </c>
      <c r="R67" s="1">
        <f>(Main_L[[#This Row],[ROA]]-VLOOKUP(Main_L[[#This Row],[Industry]], Mean_ROA_L, 2, FALSE))/(VLOOKUP(Main_L[[#This Row],[Industry]], Mean_ROA_L, 3, FALSE))</f>
        <v>-0.89295934798446819</v>
      </c>
      <c r="S67" s="1">
        <f>(Main_L[[#This Row],[A/E]]-VLOOKUP(Main_L[[#This Row],[Industry]], Mean_AE_L, 2, FALSE))/(VLOOKUP(Main_L[[#This Row],[Industry]], Mean_AE_L, 3, FALSE))</f>
        <v>3.1201574542148631E-2</v>
      </c>
      <c r="T67" s="1">
        <f>(Main_L[[#This Row],[P/E]]-VLOOKUP(Main_L[[#This Row],[Industry]], Mean_PE_L, 2, FALSE))/(VLOOKUP(Main_L[[#This Row],[Industry]], Mean_PE_L, 3, FALSE))</f>
        <v>-0.63107857218409791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s="68" t="s">
        <v>173</v>
      </c>
      <c r="B68" s="68" t="s">
        <v>196</v>
      </c>
      <c r="C68" s="2">
        <v>26756</v>
      </c>
      <c r="D68">
        <f>RTD("tos.rtd", , "LAST", Main_L[[#This Row],[Symbol]])</f>
        <v>382.99</v>
      </c>
      <c r="E68">
        <v>-3.94</v>
      </c>
      <c r="F68">
        <v>39.26</v>
      </c>
      <c r="G68">
        <v>14.03</v>
      </c>
      <c r="H68" s="1">
        <f>IF(ISNUMBER(Main_L[[#This Row],[Free CF]]),IF(Main_L[[#This Row],[Free CF]]&lt;&gt;0,Main_L[[#This Row],[Current Price]]/Main_L[[#This Row],[Free CF]],""),"")</f>
        <v>-97.205583756345177</v>
      </c>
      <c r="I68" s="1">
        <f>IF(ISNUMBER(Main_L[[#This Row],[BVPS]]),IF(Main_L[[#This Row],[BVPS]]&lt;&gt;0,Main_L[[#This Row],[Current Price]]/Main_L[[#This Row],[BVPS]],""),"")</f>
        <v>9.7552215995924616</v>
      </c>
      <c r="J68">
        <v>42.26</v>
      </c>
      <c r="K68">
        <v>8.93</v>
      </c>
      <c r="L68">
        <v>4.54</v>
      </c>
      <c r="M68" s="1">
        <f>IF(ISNUMBER(Main_L[[#This Row],[EPS]]),IF(Main_L[[#This Row],[EPS]]&lt;&gt;0,Main_L[[#This Row],[Current Price]]/Main_L[[#This Row],[EPS]],""),"")</f>
        <v>27.29793300071276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-6.711853419354691</v>
      </c>
      <c r="P68" s="1">
        <f>(Main_L[[#This Row],[P/B]]-VLOOKUP(Main_L[[#This Row],[Industry]], Mean_PB_L, 2, FALSE))/(VLOOKUP(Main_L[[#This Row],[Industry]], Mean_PB_L, 3, FALSE))</f>
        <v>2.3200948762134175</v>
      </c>
      <c r="Q68" s="1">
        <f>(Main_L[[#This Row],[ROE]]-VLOOKUP(Main_L[[#This Row],[Industry]], Mean_ROE_L, 2, FALSE))/(VLOOKUP(Main_L[[#This Row],[Industry]], Mean_ROE_L, 3, FALSE))</f>
        <v>3.7873117492872934</v>
      </c>
      <c r="R68" s="1">
        <f>(Main_L[[#This Row],[ROA]]-VLOOKUP(Main_L[[#This Row],[Industry]], Mean_ROA_L, 2, FALSE))/(VLOOKUP(Main_L[[#This Row],[Industry]], Mean_ROA_L, 3, FALSE))</f>
        <v>1.1162946818451207</v>
      </c>
      <c r="S68" s="1">
        <f>(Main_L[[#This Row],[A/E]]-VLOOKUP(Main_L[[#This Row],[Industry]], Mean_AE_L, 2, FALSE))/(VLOOKUP(Main_L[[#This Row],[Industry]], Mean_AE_L, 3, FALSE))</f>
        <v>-0.37499752570271061</v>
      </c>
      <c r="T68" s="1">
        <f>(Main_L[[#This Row],[P/E]]-VLOOKUP(Main_L[[#This Row],[Industry]], Mean_PE_L, 2, FALSE))/(VLOOKUP(Main_L[[#This Row],[Industry]], Mean_PE_L, 3, FALSE))</f>
        <v>6.3055421054358712E-2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s="68" t="s">
        <v>173</v>
      </c>
      <c r="B69" s="68" t="s">
        <v>197</v>
      </c>
      <c r="C69" s="2">
        <v>191074</v>
      </c>
      <c r="D69">
        <f>RTD("tos.rtd", , "LAST", Main_L[[#This Row],[Symbol]])</f>
        <v>129.35</v>
      </c>
      <c r="E69">
        <v>-1.32</v>
      </c>
      <c r="F69">
        <v>58.98</v>
      </c>
      <c r="G69">
        <v>8.5299999999999994</v>
      </c>
      <c r="H69" s="1">
        <f>IF(ISNUMBER(Main_L[[#This Row],[Free CF]]),IF(Main_L[[#This Row],[Free CF]]&lt;&gt;0,Main_L[[#This Row],[Current Price]]/Main_L[[#This Row],[Free CF]],""),"")</f>
        <v>-97.992424242424235</v>
      </c>
      <c r="I69" s="1">
        <f>IF(ISNUMBER(Main_L[[#This Row],[BVPS]]),IF(Main_L[[#This Row],[BVPS]]&lt;&gt;0,Main_L[[#This Row],[Current Price]]/Main_L[[#This Row],[BVPS]],""),"")</f>
        <v>2.1931163106137674</v>
      </c>
      <c r="J69">
        <v>13.17</v>
      </c>
      <c r="K69">
        <v>1.1200000000000001</v>
      </c>
      <c r="L69">
        <v>12.82</v>
      </c>
      <c r="M69" s="1">
        <f>IF(ISNUMBER(Main_L[[#This Row],[EPS]]),IF(Main_L[[#This Row],[EPS]]&lt;&gt;0,Main_L[[#This Row],[Current Price]]/Main_L[[#This Row],[EPS]],""),"")</f>
        <v>15.164126611957796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-6.7585249015560871</v>
      </c>
      <c r="P69" s="1">
        <f>(Main_L[[#This Row],[P/B]]-VLOOKUP(Main_L[[#This Row],[Industry]], Mean_PB_L, 2, FALSE))/(VLOOKUP(Main_L[[#This Row],[Industry]], Mean_PB_L, 3, FALSE))</f>
        <v>-0.71707171118877133</v>
      </c>
      <c r="Q69" s="1">
        <f>(Main_L[[#This Row],[ROE]]-VLOOKUP(Main_L[[#This Row],[Industry]], Mean_ROE_L, 2, FALSE))/(VLOOKUP(Main_L[[#This Row],[Industry]], Mean_ROE_L, 3, FALSE))</f>
        <v>-0.24250087192192044</v>
      </c>
      <c r="R69" s="1">
        <f>(Main_L[[#This Row],[ROA]]-VLOOKUP(Main_L[[#This Row],[Industry]], Mean_ROA_L, 2, FALSE))/(VLOOKUP(Main_L[[#This Row],[Industry]], Mean_ROA_L, 3, FALSE))</f>
        <v>-0.87258668355020108</v>
      </c>
      <c r="S69" s="1">
        <f>(Main_L[[#This Row],[A/E]]-VLOOKUP(Main_L[[#This Row],[Industry]], Mean_AE_L, 2, FALSE))/(VLOOKUP(Main_L[[#This Row],[Industry]], Mean_AE_L, 3, FALSE))</f>
        <v>1.0623223674714068</v>
      </c>
      <c r="T69" s="1">
        <f>(Main_L[[#This Row],[P/E]]-VLOOKUP(Main_L[[#This Row],[Industry]], Mean_PE_L, 2, FALSE))/(VLOOKUP(Main_L[[#This Row],[Industry]], Mean_PE_L, 3, FALSE))</f>
        <v>-0.9614858566291733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s="68" t="s">
        <v>173</v>
      </c>
      <c r="B70" s="68" t="s">
        <v>198</v>
      </c>
      <c r="C70" s="2">
        <v>16259</v>
      </c>
      <c r="D70">
        <f>RTD("tos.rtd", , "LAST", Main_L[[#This Row],[Symbol]])</f>
        <v>5.92</v>
      </c>
      <c r="E70">
        <v>-1.96</v>
      </c>
      <c r="F70">
        <v>7.83</v>
      </c>
      <c r="G70">
        <v>0.74</v>
      </c>
      <c r="H70" s="1">
        <f>IF(ISNUMBER(Main_L[[#This Row],[Free CF]]),IF(Main_L[[#This Row],[Free CF]]&lt;&gt;0,Main_L[[#This Row],[Current Price]]/Main_L[[#This Row],[Free CF]],""),"")</f>
        <v>-3.0204081632653059</v>
      </c>
      <c r="I70" s="1">
        <f>IF(ISNUMBER(Main_L[[#This Row],[BVPS]]),IF(Main_L[[#This Row],[BVPS]]&lt;&gt;0,Main_L[[#This Row],[Current Price]]/Main_L[[#This Row],[BVPS]],""),"")</f>
        <v>0.75606641123882501</v>
      </c>
      <c r="J70">
        <v>9.8800000000000008</v>
      </c>
      <c r="K70">
        <v>0.62</v>
      </c>
      <c r="L70">
        <v>16.36</v>
      </c>
      <c r="M70" s="1">
        <f>IF(ISNUMBER(Main_L[[#This Row],[EPS]]),IF(Main_L[[#This Row],[EPS]]&lt;&gt;0,Main_L[[#This Row],[Current Price]]/Main_L[[#This Row],[EPS]],""),"")</f>
        <v>8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-1.1252550883097434</v>
      </c>
      <c r="P70" s="1">
        <f>(Main_L[[#This Row],[P/B]]-VLOOKUP(Main_L[[#This Row],[Industry]], Mean_PB_L, 2, FALSE))/(VLOOKUP(Main_L[[#This Row],[Industry]], Mean_PB_L, 3, FALSE))</f>
        <v>-1.2942337278526139</v>
      </c>
      <c r="Q70" s="1">
        <f>(Main_L[[#This Row],[ROE]]-VLOOKUP(Main_L[[#This Row],[Industry]], Mean_ROE_L, 2, FALSE))/(VLOOKUP(Main_L[[#This Row],[Industry]], Mean_ROE_L, 3, FALSE))</f>
        <v>-0.69826173557878912</v>
      </c>
      <c r="R70" s="1">
        <f>(Main_L[[#This Row],[ROA]]-VLOOKUP(Main_L[[#This Row],[Industry]], Mean_ROA_L, 2, FALSE))/(VLOOKUP(Main_L[[#This Row],[Industry]], Mean_ROA_L, 3, FALSE))</f>
        <v>-0.99991583626437019</v>
      </c>
      <c r="S70" s="1">
        <f>(Main_L[[#This Row],[A/E]]-VLOOKUP(Main_L[[#This Row],[Industry]], Mean_AE_L, 2, FALSE))/(VLOOKUP(Main_L[[#This Row],[Industry]], Mean_AE_L, 3, FALSE))</f>
        <v>1.6768286986110656</v>
      </c>
      <c r="T70" s="1">
        <f>(Main_L[[#This Row],[P/E]]-VLOOKUP(Main_L[[#This Row],[Industry]], Mean_PE_L, 2, FALSE))/(VLOOKUP(Main_L[[#This Row],[Industry]], Mean_PE_L, 3, FALSE))</f>
        <v>-1.566402664870332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s="68" t="s">
        <v>173</v>
      </c>
      <c r="B71" s="68" t="s">
        <v>199</v>
      </c>
      <c r="C71" s="2">
        <v>29084</v>
      </c>
      <c r="D71">
        <f>RTD("tos.rtd", , "LAST", Main_L[[#This Row],[Symbol]])</f>
        <v>153.04</v>
      </c>
      <c r="E71">
        <v>10.91</v>
      </c>
      <c r="F71">
        <v>57.89</v>
      </c>
      <c r="G71">
        <v>10.38</v>
      </c>
      <c r="H71" s="1">
        <f>IF(ISNUMBER(Main_L[[#This Row],[Free CF]]),IF(Main_L[[#This Row],[Free CF]]&lt;&gt;0,Main_L[[#This Row],[Current Price]]/Main_L[[#This Row],[Free CF]],""),"")</f>
        <v>14.027497708524288</v>
      </c>
      <c r="I71" s="1">
        <f>IF(ISNUMBER(Main_L[[#This Row],[BVPS]]),IF(Main_L[[#This Row],[BVPS]]&lt;&gt;0,Main_L[[#This Row],[Current Price]]/Main_L[[#This Row],[BVPS]],""),"")</f>
        <v>2.6436344791846604</v>
      </c>
      <c r="J71">
        <v>19.11</v>
      </c>
      <c r="K71">
        <v>2.67</v>
      </c>
      <c r="L71">
        <v>6.95</v>
      </c>
      <c r="M71" s="1">
        <f>IF(ISNUMBER(Main_L[[#This Row],[EPS]]),IF(Main_L[[#This Row],[EPS]]&lt;&gt;0,Main_L[[#This Row],[Current Price]]/Main_L[[#This Row],[EPS]],""),"")</f>
        <v>14.743737957610788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-0.11405771153117591</v>
      </c>
      <c r="P71" s="1">
        <f>(Main_L[[#This Row],[P/B]]-VLOOKUP(Main_L[[#This Row],[Industry]], Mean_PB_L, 2, FALSE))/(VLOOKUP(Main_L[[#This Row],[Industry]], Mean_PB_L, 3, FALSE))</f>
        <v>-0.53613020398768074</v>
      </c>
      <c r="Q71" s="1">
        <f>(Main_L[[#This Row],[ROE]]-VLOOKUP(Main_L[[#This Row],[Industry]], Mean_ROE_L, 2, FALSE))/(VLOOKUP(Main_L[[#This Row],[Industry]], Mean_ROE_L, 3, FALSE))</f>
        <v>0.58036220714245668</v>
      </c>
      <c r="R71" s="1">
        <f>(Main_L[[#This Row],[ROA]]-VLOOKUP(Main_L[[#This Row],[Industry]], Mean_ROA_L, 2, FALSE))/(VLOOKUP(Main_L[[#This Row],[Industry]], Mean_ROA_L, 3, FALSE))</f>
        <v>-0.47786631013627678</v>
      </c>
      <c r="S71" s="1">
        <f>(Main_L[[#This Row],[A/E]]-VLOOKUP(Main_L[[#This Row],[Industry]], Mean_AE_L, 2, FALSE))/(VLOOKUP(Main_L[[#This Row],[Industry]], Mean_AE_L, 3, FALSE))</f>
        <v>4.3352829677678659E-2</v>
      </c>
      <c r="T71" s="1">
        <f>(Main_L[[#This Row],[P/E]]-VLOOKUP(Main_L[[#This Row],[Industry]], Mean_PE_L, 2, FALSE))/(VLOOKUP(Main_L[[#This Row],[Industry]], Mean_PE_L, 3, FALSE))</f>
        <v>-0.99698218113353498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s="68" t="s">
        <v>173</v>
      </c>
      <c r="B72" s="68" t="s">
        <v>200</v>
      </c>
      <c r="C72" s="2">
        <v>152555</v>
      </c>
      <c r="D72">
        <f>RTD("tos.rtd", , "LAST", Main_L[[#This Row],[Symbol]])</f>
        <v>86.22</v>
      </c>
      <c r="E72">
        <v>0.88</v>
      </c>
      <c r="F72">
        <v>21.4</v>
      </c>
      <c r="G72">
        <v>3.3</v>
      </c>
      <c r="H72" s="1">
        <f>IF(ISNUMBER(Main_L[[#This Row],[Free CF]]),IF(Main_L[[#This Row],[Free CF]]&lt;&gt;0,Main_L[[#This Row],[Current Price]]/Main_L[[#This Row],[Free CF]],""),"")</f>
        <v>97.97727272727272</v>
      </c>
      <c r="I72" s="1">
        <f>IF(ISNUMBER(Main_L[[#This Row],[BVPS]]),IF(Main_L[[#This Row],[BVPS]]&lt;&gt;0,Main_L[[#This Row],[Current Price]]/Main_L[[#This Row],[BVPS]],""),"")</f>
        <v>4.028971962616823</v>
      </c>
      <c r="J72">
        <v>13.3</v>
      </c>
      <c r="K72">
        <v>1.22</v>
      </c>
      <c r="L72">
        <v>12.25</v>
      </c>
      <c r="M72" s="1">
        <f>IF(ISNUMBER(Main_L[[#This Row],[EPS]]),IF(Main_L[[#This Row],[EPS]]&lt;&gt;0,Main_L[[#This Row],[Current Price]]/Main_L[[#This Row],[EPS]],""),"")</f>
        <v>26.127272727272729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4.8654273301232722</v>
      </c>
      <c r="P72" s="1">
        <f>(Main_L[[#This Row],[P/B]]-VLOOKUP(Main_L[[#This Row],[Industry]], Mean_PB_L, 2, FALSE))/(VLOOKUP(Main_L[[#This Row],[Industry]], Mean_PB_L, 3, FALSE))</f>
        <v>2.0262567095283658E-2</v>
      </c>
      <c r="Q72" s="1">
        <f>(Main_L[[#This Row],[ROE]]-VLOOKUP(Main_L[[#This Row],[Industry]], Mean_ROE_L, 2, FALSE))/(VLOOKUP(Main_L[[#This Row],[Industry]], Mean_ROE_L, 3, FALSE))</f>
        <v>-0.22449208399626897</v>
      </c>
      <c r="R72" s="1">
        <f>(Main_L[[#This Row],[ROA]]-VLOOKUP(Main_L[[#This Row],[Industry]], Mean_ROA_L, 2, FALSE))/(VLOOKUP(Main_L[[#This Row],[Industry]], Mean_ROA_L, 3, FALSE))</f>
        <v>-0.84712085300736739</v>
      </c>
      <c r="S72" s="1">
        <f>(Main_L[[#This Row],[A/E]]-VLOOKUP(Main_L[[#This Row],[Industry]], Mean_AE_L, 2, FALSE))/(VLOOKUP(Main_L[[#This Row],[Industry]], Mean_AE_L, 3, FALSE))</f>
        <v>0.96337643279637697</v>
      </c>
      <c r="T72" s="1">
        <f>(Main_L[[#This Row],[P/E]]-VLOOKUP(Main_L[[#This Row],[Industry]], Mean_PE_L, 2, FALSE))/(VLOOKUP(Main_L[[#This Row],[Industry]], Mean_PE_L, 3, FALSE))</f>
        <v>-3.5791530500360345E-2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s="68" t="s">
        <v>173</v>
      </c>
      <c r="B73" s="68" t="s">
        <v>201</v>
      </c>
      <c r="C73" s="2">
        <v>51760</v>
      </c>
      <c r="D73">
        <f>RTD("tos.rtd", , "LAST", Main_L[[#This Row],[Symbol]])</f>
        <v>27.51</v>
      </c>
      <c r="E73">
        <v>-34.67</v>
      </c>
      <c r="F73">
        <v>44.35</v>
      </c>
      <c r="G73">
        <v>1.79</v>
      </c>
      <c r="H73" s="1">
        <f>IF(ISNUMBER(Main_L[[#This Row],[Free CF]]),IF(Main_L[[#This Row],[Free CF]]&lt;&gt;0,Main_L[[#This Row],[Current Price]]/Main_L[[#This Row],[Free CF]],""),"")</f>
        <v>-0.79348139601961354</v>
      </c>
      <c r="I73" s="1">
        <f>IF(ISNUMBER(Main_L[[#This Row],[BVPS]]),IF(Main_L[[#This Row],[BVPS]]&lt;&gt;0,Main_L[[#This Row],[Current Price]]/Main_L[[#This Row],[BVPS]],""),"")</f>
        <v>0.62029312288613303</v>
      </c>
      <c r="J73">
        <v>5.16</v>
      </c>
      <c r="K73">
        <v>0.3</v>
      </c>
      <c r="L73">
        <v>17.71</v>
      </c>
      <c r="M73" s="1">
        <f>IF(ISNUMBER(Main_L[[#This Row],[EPS]]),IF(Main_L[[#This Row],[EPS]]&lt;&gt;0,Main_L[[#This Row],[Current Price]]/Main_L[[#This Row],[EPS]],""),"")</f>
        <v>15.368715083798882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-0.99316481738426032</v>
      </c>
      <c r="P73" s="1">
        <f>(Main_L[[#This Row],[P/B]]-VLOOKUP(Main_L[[#This Row],[Industry]], Mean_PB_L, 2, FALSE))/(VLOOKUP(Main_L[[#This Row],[Industry]], Mean_PB_L, 3, FALSE))</f>
        <v>-1.3487643220573147</v>
      </c>
      <c r="Q73" s="1">
        <f>(Main_L[[#This Row],[ROE]]-VLOOKUP(Main_L[[#This Row],[Industry]], Mean_ROE_L, 2, FALSE))/(VLOOKUP(Main_L[[#This Row],[Industry]], Mean_ROE_L, 3, FALSE))</f>
        <v>-1.352119266417823</v>
      </c>
      <c r="R73" s="1">
        <f>(Main_L[[#This Row],[ROA]]-VLOOKUP(Main_L[[#This Row],[Industry]], Mean_ROA_L, 2, FALSE))/(VLOOKUP(Main_L[[#This Row],[Industry]], Mean_ROA_L, 3, FALSE))</f>
        <v>-1.0814064940014385</v>
      </c>
      <c r="S73" s="1">
        <f>(Main_L[[#This Row],[A/E]]-VLOOKUP(Main_L[[#This Row],[Industry]], Mean_AE_L, 2, FALSE))/(VLOOKUP(Main_L[[#This Row],[Industry]], Mean_AE_L, 3, FALSE))</f>
        <v>1.9111743333677156</v>
      </c>
      <c r="T73" s="1">
        <f>(Main_L[[#This Row],[P/E]]-VLOOKUP(Main_L[[#This Row],[Industry]], Mean_PE_L, 2, FALSE))/(VLOOKUP(Main_L[[#This Row],[Industry]], Mean_PE_L, 3, FALSE))</f>
        <v>-0.94421103555294084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s="68" t="s">
        <v>173</v>
      </c>
      <c r="B74" s="68" t="s">
        <v>202</v>
      </c>
      <c r="C74" s="2">
        <v>98439</v>
      </c>
      <c r="D74">
        <f>RTD("tos.rtd", , "LAST", Main_L[[#This Row],[Symbol]])</f>
        <v>32.49</v>
      </c>
      <c r="E74">
        <v>9.6999999999999993</v>
      </c>
      <c r="F74">
        <v>27.35</v>
      </c>
      <c r="G74">
        <v>1.51</v>
      </c>
      <c r="H74" s="1">
        <f>IF(ISNUMBER(Main_L[[#This Row],[Free CF]]),IF(Main_L[[#This Row],[Free CF]]&lt;&gt;0,Main_L[[#This Row],[Current Price]]/Main_L[[#This Row],[Free CF]],""),"")</f>
        <v>3.3494845360824748</v>
      </c>
      <c r="I74" s="1">
        <f>IF(ISNUMBER(Main_L[[#This Row],[BVPS]]),IF(Main_L[[#This Row],[BVPS]]&lt;&gt;0,Main_L[[#This Row],[Current Price]]/Main_L[[#This Row],[BVPS]],""),"")</f>
        <v>1.1879341864716637</v>
      </c>
      <c r="J74">
        <v>5.86</v>
      </c>
      <c r="K74">
        <v>0.32</v>
      </c>
      <c r="L74">
        <v>17.7</v>
      </c>
      <c r="M74" s="1">
        <f>IF(ISNUMBER(Main_L[[#This Row],[EPS]]),IF(Main_L[[#This Row],[EPS]]&lt;&gt;0,Main_L[[#This Row],[Current Price]]/Main_L[[#This Row],[EPS]],""),"")</f>
        <v>21.516556291390728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-0.74742458898723263</v>
      </c>
      <c r="P74" s="1">
        <f>(Main_L[[#This Row],[P/B]]-VLOOKUP(Main_L[[#This Row],[Industry]], Mean_PB_L, 2, FALSE))/(VLOOKUP(Main_L[[#This Row],[Industry]], Mean_PB_L, 3, FALSE))</f>
        <v>-1.1207827737876721</v>
      </c>
      <c r="Q74" s="1">
        <f>(Main_L[[#This Row],[ROE]]-VLOOKUP(Main_L[[#This Row],[Industry]], Mean_ROE_L, 2, FALSE))/(VLOOKUP(Main_L[[#This Row],[Industry]], Mean_ROE_L, 3, FALSE))</f>
        <v>-1.255148869895085</v>
      </c>
      <c r="R74" s="1">
        <f>(Main_L[[#This Row],[ROA]]-VLOOKUP(Main_L[[#This Row],[Industry]], Mean_ROA_L, 2, FALSE))/(VLOOKUP(Main_L[[#This Row],[Industry]], Mean_ROA_L, 3, FALSE))</f>
        <v>-1.0763133278928716</v>
      </c>
      <c r="S74" s="1">
        <f>(Main_L[[#This Row],[A/E]]-VLOOKUP(Main_L[[#This Row],[Industry]], Mean_AE_L, 2, FALSE))/(VLOOKUP(Main_L[[#This Row],[Industry]], Mean_AE_L, 3, FALSE))</f>
        <v>1.9094384397769253</v>
      </c>
      <c r="T74" s="1">
        <f>(Main_L[[#This Row],[P/E]]-VLOOKUP(Main_L[[#This Row],[Industry]], Mean_PE_L, 2, FALSE))/(VLOOKUP(Main_L[[#This Row],[Industry]], Mean_PE_L, 3, FALSE))</f>
        <v>-0.42510623990868451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s="68" t="s">
        <v>173</v>
      </c>
      <c r="B75" s="68" t="s">
        <v>203</v>
      </c>
      <c r="C75" s="2">
        <v>24527</v>
      </c>
      <c r="D75">
        <f>RTD("tos.rtd", , "LAST", Main_L[[#This Row],[Symbol]])</f>
        <v>220.38</v>
      </c>
      <c r="E75">
        <v>10.01</v>
      </c>
      <c r="F75">
        <v>42.51</v>
      </c>
      <c r="G75">
        <v>7.62</v>
      </c>
      <c r="H75" s="1">
        <f>IF(ISNUMBER(Main_L[[#This Row],[Free CF]]),IF(Main_L[[#This Row],[Free CF]]&lt;&gt;0,Main_L[[#This Row],[Current Price]]/Main_L[[#This Row],[Free CF]],""),"")</f>
        <v>22.015984015984017</v>
      </c>
      <c r="I75" s="1">
        <f>IF(ISNUMBER(Main_L[[#This Row],[BVPS]]),IF(Main_L[[#This Row],[BVPS]]&lt;&gt;0,Main_L[[#This Row],[Current Price]]/Main_L[[#This Row],[BVPS]],""),"")</f>
        <v>5.1841919548341568</v>
      </c>
      <c r="J75">
        <v>19.02</v>
      </c>
      <c r="K75">
        <v>9.32</v>
      </c>
      <c r="L75">
        <v>1.95</v>
      </c>
      <c r="M75" s="1">
        <f>IF(ISNUMBER(Main_L[[#This Row],[EPS]]),IF(Main_L[[#This Row],[EPS]]&lt;&gt;0,Main_L[[#This Row],[Current Price]]/Main_L[[#This Row],[EPS]],""),"")</f>
        <v>28.921259842519685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0.35977974740868884</v>
      </c>
      <c r="P75" s="1">
        <f>(Main_L[[#This Row],[P/B]]-VLOOKUP(Main_L[[#This Row],[Industry]], Mean_PB_L, 2, FALSE))/(VLOOKUP(Main_L[[#This Row],[Industry]], Mean_PB_L, 3, FALSE))</f>
        <v>0.484233303733276</v>
      </c>
      <c r="Q75" s="1">
        <f>(Main_L[[#This Row],[ROE]]-VLOOKUP(Main_L[[#This Row],[Industry]], Mean_ROE_L, 2, FALSE))/(VLOOKUP(Main_L[[#This Row],[Industry]], Mean_ROE_L, 3, FALSE))</f>
        <v>0.5678945847323903</v>
      </c>
      <c r="R75" s="1">
        <f>(Main_L[[#This Row],[ROA]]-VLOOKUP(Main_L[[#This Row],[Industry]], Mean_ROA_L, 2, FALSE))/(VLOOKUP(Main_L[[#This Row],[Industry]], Mean_ROA_L, 3, FALSE))</f>
        <v>1.2156114209621729</v>
      </c>
      <c r="S75" s="1">
        <f>(Main_L[[#This Row],[A/E]]-VLOOKUP(Main_L[[#This Row],[Industry]], Mean_AE_L, 2, FALSE))/(VLOOKUP(Main_L[[#This Row],[Industry]], Mean_AE_L, 3, FALSE))</f>
        <v>-0.8245939657173198</v>
      </c>
      <c r="T75" s="1">
        <f>(Main_L[[#This Row],[P/E]]-VLOOKUP(Main_L[[#This Row],[Industry]], Mean_PE_L, 2, FALSE))/(VLOOKUP(Main_L[[#This Row],[Industry]], Mean_PE_L, 3, FALSE))</f>
        <v>0.20012414485929619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s="68" t="s">
        <v>173</v>
      </c>
      <c r="B76" s="68" t="s">
        <v>204</v>
      </c>
      <c r="C76" s="2">
        <v>102638</v>
      </c>
      <c r="D76">
        <f>RTD("tos.rtd", , "LAST", Main_L[[#This Row],[Symbol]])</f>
        <v>268.33999999999997</v>
      </c>
      <c r="E76">
        <v>10.64</v>
      </c>
      <c r="F76">
        <v>75.16</v>
      </c>
      <c r="G76">
        <v>9.94</v>
      </c>
      <c r="H76" s="1">
        <f>IF(ISNUMBER(Main_L[[#This Row],[Free CF]]),IF(Main_L[[#This Row],[Free CF]]&lt;&gt;0,Main_L[[#This Row],[Current Price]]/Main_L[[#This Row],[Free CF]],""),"")</f>
        <v>25.219924812030072</v>
      </c>
      <c r="I76" s="1">
        <f>IF(ISNUMBER(Main_L[[#This Row],[BVPS]]),IF(Main_L[[#This Row],[BVPS]]&lt;&gt;0,Main_L[[#This Row],[Current Price]]/Main_L[[#This Row],[BVPS]],""),"")</f>
        <v>3.5702501330494942</v>
      </c>
      <c r="J76">
        <v>13.39</v>
      </c>
      <c r="K76">
        <v>1.76</v>
      </c>
      <c r="L76">
        <v>5.84</v>
      </c>
      <c r="M76" s="1">
        <f>IF(ISNUMBER(Main_L[[#This Row],[EPS]]),IF(Main_L[[#This Row],[EPS]]&lt;&gt;0,Main_L[[#This Row],[Current Price]]/Main_L[[#This Row],[EPS]],""),"")</f>
        <v>26.995975855130784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0.54982165359241342</v>
      </c>
      <c r="P76" s="1">
        <f>(Main_L[[#This Row],[P/B]]-VLOOKUP(Main_L[[#This Row],[Industry]], Mean_PB_L, 2, FALSE))/(VLOOKUP(Main_L[[#This Row],[Industry]], Mean_PB_L, 3, FALSE))</f>
        <v>-0.16397377456269582</v>
      </c>
      <c r="Q76" s="1">
        <f>(Main_L[[#This Row],[ROE]]-VLOOKUP(Main_L[[#This Row],[Industry]], Mean_ROE_L, 2, FALSE))/(VLOOKUP(Main_L[[#This Row],[Industry]], Mean_ROE_L, 3, FALSE))</f>
        <v>-0.21202446158620267</v>
      </c>
      <c r="R76" s="1">
        <f>(Main_L[[#This Row],[ROA]]-VLOOKUP(Main_L[[#This Row],[Industry]], Mean_ROA_L, 2, FALSE))/(VLOOKUP(Main_L[[#This Row],[Industry]], Mean_ROA_L, 3, FALSE))</f>
        <v>-0.70960536807606467</v>
      </c>
      <c r="S76" s="1">
        <f>(Main_L[[#This Row],[A/E]]-VLOOKUP(Main_L[[#This Row],[Industry]], Mean_AE_L, 2, FALSE))/(VLOOKUP(Main_L[[#This Row],[Industry]], Mean_AE_L, 3, FALSE))</f>
        <v>-0.14933135890001104</v>
      </c>
      <c r="T76" s="1">
        <f>(Main_L[[#This Row],[P/E]]-VLOOKUP(Main_L[[#This Row],[Industry]], Mean_PE_L, 2, FALSE))/(VLOOKUP(Main_L[[#This Row],[Industry]], Mean_PE_L, 3, FALSE))</f>
        <v>3.7559088755292395E-2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s="68" t="s">
        <v>173</v>
      </c>
      <c r="B77" s="68" t="s">
        <v>205</v>
      </c>
      <c r="C77" s="2">
        <v>49903</v>
      </c>
      <c r="D77">
        <f>RTD("tos.rtd", , "LAST", Main_L[[#This Row],[Symbol]])</f>
        <v>256.89999999999998</v>
      </c>
      <c r="E77">
        <v>10.34</v>
      </c>
      <c r="F77">
        <v>40.520000000000003</v>
      </c>
      <c r="G77">
        <v>9.48</v>
      </c>
      <c r="H77" s="1">
        <f>IF(ISNUMBER(Main_L[[#This Row],[Free CF]]),IF(Main_L[[#This Row],[Free CF]]&lt;&gt;0,Main_L[[#This Row],[Current Price]]/Main_L[[#This Row],[Free CF]],""),"")</f>
        <v>24.845261121856865</v>
      </c>
      <c r="I77" s="1">
        <f>IF(ISNUMBER(Main_L[[#This Row],[BVPS]]),IF(Main_L[[#This Row],[BVPS]]&lt;&gt;0,Main_L[[#This Row],[Current Price]]/Main_L[[#This Row],[BVPS]],""),"")</f>
        <v>6.3400789733464942</v>
      </c>
      <c r="J77">
        <v>31.15</v>
      </c>
      <c r="K77">
        <v>6.82</v>
      </c>
      <c r="L77">
        <v>2.19</v>
      </c>
      <c r="M77" s="1">
        <f>IF(ISNUMBER(Main_L[[#This Row],[EPS]]),IF(Main_L[[#This Row],[EPS]]&lt;&gt;0,Main_L[[#This Row],[Current Price]]/Main_L[[#This Row],[EPS]],""),"")</f>
        <v>27.099156118143455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0.52759845834916363</v>
      </c>
      <c r="P77" s="1">
        <f>(Main_L[[#This Row],[P/B]]-VLOOKUP(Main_L[[#This Row],[Industry]], Mean_PB_L, 2, FALSE))/(VLOOKUP(Main_L[[#This Row],[Industry]], Mean_PB_L, 3, FALSE))</f>
        <v>0.94847193798690399</v>
      </c>
      <c r="Q77" s="1">
        <f>(Main_L[[#This Row],[ROE]]-VLOOKUP(Main_L[[#This Row],[Industry]], Mean_ROE_L, 2, FALSE))/(VLOOKUP(Main_L[[#This Row],[Industry]], Mean_ROE_L, 3, FALSE))</f>
        <v>2.248253027333551</v>
      </c>
      <c r="R77" s="1">
        <f>(Main_L[[#This Row],[ROA]]-VLOOKUP(Main_L[[#This Row],[Industry]], Mean_ROA_L, 2, FALSE))/(VLOOKUP(Main_L[[#This Row],[Industry]], Mean_ROA_L, 3, FALSE))</f>
        <v>0.57896565739132722</v>
      </c>
      <c r="S77" s="1">
        <f>(Main_L[[#This Row],[A/E]]-VLOOKUP(Main_L[[#This Row],[Industry]], Mean_AE_L, 2, FALSE))/(VLOOKUP(Main_L[[#This Row],[Industry]], Mean_AE_L, 3, FALSE))</f>
        <v>-0.78293251953835974</v>
      </c>
      <c r="T77" s="1">
        <f>(Main_L[[#This Row],[P/E]]-VLOOKUP(Main_L[[#This Row],[Industry]], Mean_PE_L, 2, FALSE))/(VLOOKUP(Main_L[[#This Row],[Industry]], Mean_PE_L, 3, FALSE))</f>
        <v>4.627131269490415E-2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s="68" t="s">
        <v>173</v>
      </c>
      <c r="B78" s="68" t="s">
        <v>206</v>
      </c>
      <c r="C78" s="2">
        <v>16704</v>
      </c>
      <c r="D78">
        <f>RTD("tos.rtd", , "LAST", Main_L[[#This Row],[Symbol]])</f>
        <v>451.43</v>
      </c>
      <c r="E78">
        <v>14.85</v>
      </c>
      <c r="F78">
        <v>54.14</v>
      </c>
      <c r="G78">
        <v>14.08</v>
      </c>
      <c r="H78" s="1">
        <f>IF(ISNUMBER(Main_L[[#This Row],[Free CF]]),IF(Main_L[[#This Row],[Free CF]]&lt;&gt;0,Main_L[[#This Row],[Current Price]]/Main_L[[#This Row],[Free CF]],""),"")</f>
        <v>30.399326599326599</v>
      </c>
      <c r="I78" s="1">
        <f>IF(ISNUMBER(Main_L[[#This Row],[BVPS]]),IF(Main_L[[#This Row],[BVPS]]&lt;&gt;0,Main_L[[#This Row],[Current Price]]/Main_L[[#This Row],[BVPS]],""),"")</f>
        <v>8.3381972663465085</v>
      </c>
      <c r="J78">
        <v>28.12</v>
      </c>
      <c r="K78">
        <v>10.81</v>
      </c>
      <c r="L78">
        <v>2.06</v>
      </c>
      <c r="M78" s="1">
        <f>IF(ISNUMBER(Main_L[[#This Row],[EPS]]),IF(Main_L[[#This Row],[EPS]]&lt;&gt;0,Main_L[[#This Row],[Current Price]]/Main_L[[#This Row],[EPS]],""),"")</f>
        <v>32.061789772727273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0.85703812580811078</v>
      </c>
      <c r="P78" s="1">
        <f>(Main_L[[#This Row],[P/B]]-VLOOKUP(Main_L[[#This Row],[Industry]], Mean_PB_L, 2, FALSE))/(VLOOKUP(Main_L[[#This Row],[Industry]], Mean_PB_L, 3, FALSE))</f>
        <v>1.7509757230137244</v>
      </c>
      <c r="Q78" s="1">
        <f>(Main_L[[#This Row],[ROE]]-VLOOKUP(Main_L[[#This Row],[Industry]], Mean_ROE_L, 2, FALSE))/(VLOOKUP(Main_L[[#This Row],[Industry]], Mean_ROE_L, 3, FALSE))</f>
        <v>1.8285097395279852</v>
      </c>
      <c r="R78" s="1">
        <f>(Main_L[[#This Row],[ROA]]-VLOOKUP(Main_L[[#This Row],[Industry]], Mean_ROA_L, 2, FALSE))/(VLOOKUP(Main_L[[#This Row],[Industry]], Mean_ROA_L, 3, FALSE))</f>
        <v>1.595052296050397</v>
      </c>
      <c r="S78" s="1">
        <f>(Main_L[[#This Row],[A/E]]-VLOOKUP(Main_L[[#This Row],[Industry]], Mean_AE_L, 2, FALSE))/(VLOOKUP(Main_L[[#This Row],[Industry]], Mean_AE_L, 3, FALSE))</f>
        <v>-0.8054991362186299</v>
      </c>
      <c r="T78" s="1">
        <f>(Main_L[[#This Row],[P/E]]-VLOOKUP(Main_L[[#This Row],[Industry]], Mean_PE_L, 2, FALSE))/(VLOOKUP(Main_L[[#This Row],[Industry]], Mean_PE_L, 3, FALSE))</f>
        <v>0.46530082925737404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s="68" t="s">
        <v>173</v>
      </c>
      <c r="B79" s="68" t="s">
        <v>207</v>
      </c>
      <c r="C79" s="2">
        <v>101262</v>
      </c>
      <c r="D79">
        <f>RTD("tos.rtd", , "LAST", Main_L[[#This Row],[Symbol]])</f>
        <v>172.84</v>
      </c>
      <c r="E79">
        <v>6.58</v>
      </c>
      <c r="F79">
        <v>48.74</v>
      </c>
      <c r="G79">
        <v>4.83</v>
      </c>
      <c r="H79" s="1">
        <f>IF(ISNUMBER(Main_L[[#This Row],[Free CF]]),IF(Main_L[[#This Row],[Free CF]]&lt;&gt;0,Main_L[[#This Row],[Current Price]]/Main_L[[#This Row],[Free CF]],""),"")</f>
        <v>26.267477203647417</v>
      </c>
      <c r="I79" s="1">
        <f>IF(ISNUMBER(Main_L[[#This Row],[BVPS]]),IF(Main_L[[#This Row],[BVPS]]&lt;&gt;0,Main_L[[#This Row],[Current Price]]/Main_L[[#This Row],[BVPS]],""),"")</f>
        <v>3.5461633155519081</v>
      </c>
      <c r="J79">
        <v>10.42</v>
      </c>
      <c r="K79">
        <v>2.09</v>
      </c>
      <c r="L79">
        <v>5.1100000000000003</v>
      </c>
      <c r="M79" s="1">
        <f>IF(ISNUMBER(Main_L[[#This Row],[EPS]]),IF(Main_L[[#This Row],[EPS]]&lt;&gt;0,Main_L[[#This Row],[Current Price]]/Main_L[[#This Row],[EPS]],""),"")</f>
        <v>35.784679089026916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0.6119572753167476</v>
      </c>
      <c r="P79" s="1">
        <f>(Main_L[[#This Row],[P/B]]-VLOOKUP(Main_L[[#This Row],[Industry]], Mean_PB_L, 2, FALSE))/(VLOOKUP(Main_L[[#This Row],[Industry]], Mean_PB_L, 3, FALSE))</f>
        <v>-0.17364775746890354</v>
      </c>
      <c r="Q79" s="1">
        <f>(Main_L[[#This Row],[ROE]]-VLOOKUP(Main_L[[#This Row],[Industry]], Mean_ROE_L, 2, FALSE))/(VLOOKUP(Main_L[[#This Row],[Industry]], Mean_ROE_L, 3, FALSE))</f>
        <v>-0.62345600111839128</v>
      </c>
      <c r="R79" s="1">
        <f>(Main_L[[#This Row],[ROA]]-VLOOKUP(Main_L[[#This Row],[Industry]], Mean_ROA_L, 2, FALSE))/(VLOOKUP(Main_L[[#This Row],[Industry]], Mean_ROA_L, 3, FALSE))</f>
        <v>-0.625568127284713</v>
      </c>
      <c r="S79" s="1">
        <f>(Main_L[[#This Row],[A/E]]-VLOOKUP(Main_L[[#This Row],[Industry]], Mean_AE_L, 2, FALSE))/(VLOOKUP(Main_L[[#This Row],[Industry]], Mean_AE_L, 3, FALSE))</f>
        <v>-0.27605159102768073</v>
      </c>
      <c r="T79" s="1">
        <f>(Main_L[[#This Row],[P/E]]-VLOOKUP(Main_L[[#This Row],[Industry]], Mean_PE_L, 2, FALSE))/(VLOOKUP(Main_L[[#This Row],[Industry]], Mean_PE_L, 3, FALSE))</f>
        <v>0.77965014839031133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s="68" t="s">
        <v>173</v>
      </c>
      <c r="B80" s="68" t="s">
        <v>208</v>
      </c>
      <c r="C80" s="2">
        <v>84188</v>
      </c>
      <c r="D80">
        <f>RTD("tos.rtd", , "LAST", Main_L[[#This Row],[Symbol]])</f>
        <v>484.7</v>
      </c>
      <c r="E80">
        <v>13.78</v>
      </c>
      <c r="F80">
        <v>20.56</v>
      </c>
      <c r="G80">
        <v>11.56</v>
      </c>
      <c r="H80" s="1">
        <f>IF(ISNUMBER(Main_L[[#This Row],[Free CF]]),IF(Main_L[[#This Row],[Free CF]]&lt;&gt;0,Main_L[[#This Row],[Current Price]]/Main_L[[#This Row],[Free CF]],""),"")</f>
        <v>35.174165457184323</v>
      </c>
      <c r="I80" s="1">
        <f>IF(ISNUMBER(Main_L[[#This Row],[BVPS]]),IF(Main_L[[#This Row],[BVPS]]&lt;&gt;0,Main_L[[#This Row],[Current Price]]/Main_L[[#This Row],[BVPS]],""),"")</f>
        <v>23.574902723735409</v>
      </c>
      <c r="J80">
        <v>55.5</v>
      </c>
      <c r="K80">
        <v>12.69</v>
      </c>
      <c r="L80">
        <v>4.08</v>
      </c>
      <c r="M80" s="1">
        <f>IF(ISNUMBER(Main_L[[#This Row],[EPS]]),IF(Main_L[[#This Row],[EPS]]&lt;&gt;0,Main_L[[#This Row],[Current Price]]/Main_L[[#This Row],[EPS]],""),"")</f>
        <v>41.929065743944633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1.1402579279303084</v>
      </c>
      <c r="P80" s="1">
        <f>(Main_L[[#This Row],[P/B]]-VLOOKUP(Main_L[[#This Row],[Industry]], Mean_PB_L, 2, FALSE))/(VLOOKUP(Main_L[[#This Row],[Industry]], Mean_PB_L, 3, FALSE))</f>
        <v>7.8704901900650084</v>
      </c>
      <c r="Q80" s="1">
        <f>(Main_L[[#This Row],[ROE]]-VLOOKUP(Main_L[[#This Row],[Industry]], Mean_ROE_L, 2, FALSE))/(VLOOKUP(Main_L[[#This Row],[Industry]], Mean_ROE_L, 3, FALSE))</f>
        <v>5.6214375349459385</v>
      </c>
      <c r="R80" s="1">
        <f>(Main_L[[#This Row],[ROA]]-VLOOKUP(Main_L[[#This Row],[Industry]], Mean_ROA_L, 2, FALSE))/(VLOOKUP(Main_L[[#This Row],[Industry]], Mean_ROA_L, 3, FALSE))</f>
        <v>2.0738099102556729</v>
      </c>
      <c r="S80" s="1">
        <f>(Main_L[[#This Row],[A/E]]-VLOOKUP(Main_L[[#This Row],[Industry]], Mean_AE_L, 2, FALSE))/(VLOOKUP(Main_L[[#This Row],[Industry]], Mean_AE_L, 3, FALSE))</f>
        <v>-0.45484863087905042</v>
      </c>
      <c r="T80" s="1">
        <f>(Main_L[[#This Row],[P/E]]-VLOOKUP(Main_L[[#This Row],[Industry]], Mean_PE_L, 2, FALSE))/(VLOOKUP(Main_L[[#This Row],[Industry]], Mean_PE_L, 3, FALSE))</f>
        <v>1.2984632522358708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s="68" t="s">
        <v>173</v>
      </c>
      <c r="B81" s="68" t="s">
        <v>209</v>
      </c>
      <c r="C81" s="2">
        <v>12587</v>
      </c>
      <c r="D81">
        <f>RTD("tos.rtd", , "LAST", Main_L[[#This Row],[Symbol]])</f>
        <v>307.48500000000001</v>
      </c>
      <c r="E81">
        <v>11.98</v>
      </c>
      <c r="F81">
        <v>37.86</v>
      </c>
      <c r="G81">
        <v>8.91</v>
      </c>
      <c r="H81" s="1">
        <f>IF(ISNUMBER(Main_L[[#This Row],[Free CF]]),IF(Main_L[[#This Row],[Free CF]]&lt;&gt;0,Main_L[[#This Row],[Current Price]]/Main_L[[#This Row],[Free CF]],""),"")</f>
        <v>25.666527545909851</v>
      </c>
      <c r="I81" s="1">
        <f>IF(ISNUMBER(Main_L[[#This Row],[BVPS]]),IF(Main_L[[#This Row],[BVPS]]&lt;&gt;0,Main_L[[#This Row],[Current Price]]/Main_L[[#This Row],[BVPS]],""),"")</f>
        <v>8.1216323296354993</v>
      </c>
      <c r="J81">
        <v>25.68</v>
      </c>
      <c r="K81">
        <v>7.93</v>
      </c>
      <c r="L81">
        <v>2.23</v>
      </c>
      <c r="M81" s="1">
        <f>IF(ISNUMBER(Main_L[[#This Row],[EPS]]),IF(Main_L[[#This Row],[EPS]]&lt;&gt;0,Main_L[[#This Row],[Current Price]]/Main_L[[#This Row],[EPS]],""),"")</f>
        <v>34.51010101010101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0.57631191675773685</v>
      </c>
      <c r="P81" s="1">
        <f>(Main_L[[#This Row],[P/B]]-VLOOKUP(Main_L[[#This Row],[Industry]], Mean_PB_L, 2, FALSE))/(VLOOKUP(Main_L[[#This Row],[Industry]], Mean_PB_L, 3, FALSE))</f>
        <v>1.6639967978802477</v>
      </c>
      <c r="Q81" s="1">
        <f>(Main_L[[#This Row],[ROE]]-VLOOKUP(Main_L[[#This Row],[Industry]], Mean_ROE_L, 2, FALSE))/(VLOOKUP(Main_L[[#This Row],[Industry]], Mean_ROE_L, 3, FALSE))</f>
        <v>1.490498643077298</v>
      </c>
      <c r="R81" s="1">
        <f>(Main_L[[#This Row],[ROA]]-VLOOKUP(Main_L[[#This Row],[Industry]], Mean_ROA_L, 2, FALSE))/(VLOOKUP(Main_L[[#This Row],[Industry]], Mean_ROA_L, 3, FALSE))</f>
        <v>0.86163637641678248</v>
      </c>
      <c r="S81" s="1">
        <f>(Main_L[[#This Row],[A/E]]-VLOOKUP(Main_L[[#This Row],[Industry]], Mean_AE_L, 2, FALSE))/(VLOOKUP(Main_L[[#This Row],[Industry]], Mean_AE_L, 3, FALSE))</f>
        <v>-0.7759889451751999</v>
      </c>
      <c r="T81" s="1">
        <f>(Main_L[[#This Row],[P/E]]-VLOOKUP(Main_L[[#This Row],[Industry]], Mean_PE_L, 2, FALSE))/(VLOOKUP(Main_L[[#This Row],[Industry]], Mean_PE_L, 3, FALSE))</f>
        <v>0.6720286970788435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s="68" t="s">
        <v>173</v>
      </c>
      <c r="B82" s="68" t="s">
        <v>210</v>
      </c>
      <c r="C82" s="2">
        <v>42761</v>
      </c>
      <c r="D82">
        <f>RTD("tos.rtd", , "LAST", Main_L[[#This Row],[Symbol]])</f>
        <v>563.87</v>
      </c>
      <c r="E82">
        <v>17.61</v>
      </c>
      <c r="F82">
        <v>-12.35</v>
      </c>
      <c r="G82">
        <v>14.54</v>
      </c>
      <c r="H82" s="1">
        <f>IF(ISNUMBER(Main_L[[#This Row],[Free CF]]),IF(Main_L[[#This Row],[Free CF]]&lt;&gt;0,Main_L[[#This Row],[Current Price]]/Main_L[[#This Row],[Free CF]],""),"")</f>
        <v>32.019875070982401</v>
      </c>
      <c r="I82" s="1">
        <f>IF(ISNUMBER(Main_L[[#This Row],[BVPS]]),IF(Main_L[[#This Row],[BVPS]]&lt;&gt;0,Main_L[[#This Row],[Current Price]]/Main_L[[#This Row],[BVPS]],""),"")</f>
        <v>-45.657489878542513</v>
      </c>
      <c r="J82">
        <v>-141.91999999999999</v>
      </c>
      <c r="K82">
        <v>18.14</v>
      </c>
      <c r="L82">
        <v>-5.58</v>
      </c>
      <c r="M82" s="1">
        <f>IF(ISNUMBER(Main_L[[#This Row],[EPS]]),IF(Main_L[[#This Row],[EPS]]&lt;&gt;0,Main_L[[#This Row],[Current Price]]/Main_L[[#This Row],[EPS]],""),"")</f>
        <v>38.780605226960112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0.95316103825288956</v>
      </c>
      <c r="P82" s="1">
        <f>(Main_L[[#This Row],[P/B]]-VLOOKUP(Main_L[[#This Row],[Industry]], Mean_PB_L, 2, FALSE))/(VLOOKUP(Main_L[[#This Row],[Industry]], Mean_PB_L, 3, FALSE))</f>
        <v>-19.935299539417478</v>
      </c>
      <c r="Q82" s="1">
        <f>(Main_L[[#This Row],[ROE]]-VLOOKUP(Main_L[[#This Row],[Industry]], Mean_ROE_L, 2, FALSE))/(VLOOKUP(Main_L[[#This Row],[Industry]], Mean_ROE_L, 3, FALSE))</f>
        <v>-21.726984867223983</v>
      </c>
      <c r="R82" s="1">
        <f>(Main_L[[#This Row],[ROA]]-VLOOKUP(Main_L[[#This Row],[Industry]], Mean_ROA_L, 2, FALSE))/(VLOOKUP(Main_L[[#This Row],[Industry]], Mean_ROA_L, 3, FALSE))</f>
        <v>3.4616976748401167</v>
      </c>
      <c r="S82" s="1">
        <f>(Main_L[[#This Row],[A/E]]-VLOOKUP(Main_L[[#This Row],[Industry]], Mean_AE_L, 2, FALSE))/(VLOOKUP(Main_L[[#This Row],[Industry]], Mean_AE_L, 3, FALSE))</f>
        <v>-2.1317218395821875</v>
      </c>
      <c r="T82" s="1">
        <f>(Main_L[[#This Row],[P/E]]-VLOOKUP(Main_L[[#This Row],[Industry]], Mean_PE_L, 2, FALSE))/(VLOOKUP(Main_L[[#This Row],[Industry]], Mean_PE_L, 3, FALSE))</f>
        <v>1.0326169334914965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s="68" t="s">
        <v>173</v>
      </c>
      <c r="B83" s="68" t="s">
        <v>211</v>
      </c>
      <c r="C83" s="2">
        <v>45109</v>
      </c>
      <c r="D83">
        <f>RTD("tos.rtd", , "LAST", Main_L[[#This Row],[Symbol]])</f>
        <v>81.569999999999993</v>
      </c>
      <c r="E83">
        <v>3.22</v>
      </c>
      <c r="F83">
        <v>20.12</v>
      </c>
      <c r="G83">
        <v>2.21</v>
      </c>
      <c r="H83" s="1">
        <f>IF(ISNUMBER(Main_L[[#This Row],[Free CF]]),IF(Main_L[[#This Row],[Free CF]]&lt;&gt;0,Main_L[[#This Row],[Current Price]]/Main_L[[#This Row],[Free CF]],""),"")</f>
        <v>25.33229813664596</v>
      </c>
      <c r="I83" s="1">
        <f>IF(ISNUMBER(Main_L[[#This Row],[BVPS]]),IF(Main_L[[#This Row],[BVPS]]&lt;&gt;0,Main_L[[#This Row],[Current Price]]/Main_L[[#This Row],[BVPS]],""),"")</f>
        <v>4.0541749502982105</v>
      </c>
      <c r="J83">
        <v>11.42</v>
      </c>
      <c r="K83">
        <v>4.3499999999999996</v>
      </c>
      <c r="L83">
        <v>2.65</v>
      </c>
      <c r="M83" s="1">
        <f>IF(ISNUMBER(Main_L[[#This Row],[EPS]]),IF(Main_L[[#This Row],[EPS]]&lt;&gt;0,Main_L[[#This Row],[Current Price]]/Main_L[[#This Row],[EPS]],""),"")</f>
        <v>36.909502262443439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3" s="1">
        <f>(Main_L[[#This Row],[P/FCF]]-VLOOKUP(Main_L[[#This Row],[Industry]], Mean_PFCF_L, 2, FALSE))/(VLOOKUP(Main_L[[#This Row],[Industry]], Mean_PFCF_L, 3, FALSE))</f>
        <v>0.55648708287892235</v>
      </c>
      <c r="P83" s="1">
        <f>(Main_L[[#This Row],[P/B]]-VLOOKUP(Main_L[[#This Row],[Industry]], Mean_PB_L, 2, FALSE))/(VLOOKUP(Main_L[[#This Row],[Industry]], Mean_PB_L, 3, FALSE))</f>
        <v>3.0384837172662736E-2</v>
      </c>
      <c r="Q83" s="1">
        <f>(Main_L[[#This Row],[ROE]]-VLOOKUP(Main_L[[#This Row],[Industry]], Mean_ROE_L, 2, FALSE))/(VLOOKUP(Main_L[[#This Row],[Industry]], Mean_ROE_L, 3, FALSE))</f>
        <v>-0.48492686322876555</v>
      </c>
      <c r="R83" s="1">
        <f>(Main_L[[#This Row],[ROA]]-VLOOKUP(Main_L[[#This Row],[Industry]], Mean_ROA_L, 2, FALSE))/(VLOOKUP(Main_L[[#This Row],[Industry]], Mean_ROA_L, 3, FALSE))</f>
        <v>-5.0040357016668556E-2</v>
      </c>
      <c r="S83" s="1">
        <f>(Main_L[[#This Row],[A/E]]-VLOOKUP(Main_L[[#This Row],[Industry]], Mean_AE_L, 2, FALSE))/(VLOOKUP(Main_L[[#This Row],[Industry]], Mean_AE_L, 3, FALSE))</f>
        <v>-0.7030814143620201</v>
      </c>
      <c r="T83" s="1">
        <f>(Main_L[[#This Row],[P/E]]-VLOOKUP(Main_L[[#This Row],[Industry]], Mean_PE_L, 2, FALSE))/(VLOOKUP(Main_L[[#This Row],[Industry]], Mean_PE_L, 3, FALSE))</f>
        <v>0.8746267562524761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s="68" t="s">
        <v>173</v>
      </c>
      <c r="B84" s="68" t="s">
        <v>212</v>
      </c>
      <c r="C84" s="2">
        <v>155093</v>
      </c>
      <c r="D84">
        <f>RTD("tos.rtd", , "LAST", Main_L[[#This Row],[Symbol]])</f>
        <v>515.57000000000005</v>
      </c>
      <c r="E84">
        <v>17.91</v>
      </c>
      <c r="F84">
        <v>108.81</v>
      </c>
      <c r="G84">
        <v>12.73</v>
      </c>
      <c r="H84" s="1">
        <f>IF(ISNUMBER(Main_L[[#This Row],[Free CF]]),IF(Main_L[[#This Row],[Free CF]]&lt;&gt;0,Main_L[[#This Row],[Current Price]]/Main_L[[#This Row],[Free CF]],""),"")</f>
        <v>28.786711334450029</v>
      </c>
      <c r="I84" s="1">
        <f>IF(ISNUMBER(Main_L[[#This Row],[BVPS]]),IF(Main_L[[#This Row],[BVPS]]&lt;&gt;0,Main_L[[#This Row],[Current Price]]/Main_L[[#This Row],[BVPS]],""),"")</f>
        <v>4.7382593511625775</v>
      </c>
      <c r="J84">
        <v>11.24</v>
      </c>
      <c r="K84">
        <v>6.19</v>
      </c>
      <c r="L84">
        <v>1.79</v>
      </c>
      <c r="M84" s="1">
        <f>IF(ISNUMBER(Main_L[[#This Row],[EPS]]),IF(Main_L[[#This Row],[EPS]]&lt;&gt;0,Main_L[[#This Row],[Current Price]]/Main_L[[#This Row],[EPS]],""),"")</f>
        <v>40.500392772977222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0.7613857719143311</v>
      </c>
      <c r="P84" s="1">
        <f>(Main_L[[#This Row],[P/B]]-VLOOKUP(Main_L[[#This Row],[Industry]], Mean_PB_L, 2, FALSE))/(VLOOKUP(Main_L[[#This Row],[Industry]], Mean_PB_L, 3, FALSE))</f>
        <v>0.30513349589557015</v>
      </c>
      <c r="Q84" s="1">
        <f>(Main_L[[#This Row],[ROE]]-VLOOKUP(Main_L[[#This Row],[Industry]], Mean_ROE_L, 2, FALSE))/(VLOOKUP(Main_L[[#This Row],[Industry]], Mean_ROE_L, 3, FALSE))</f>
        <v>-0.5098621080488982</v>
      </c>
      <c r="R84" s="1">
        <f>(Main_L[[#This Row],[ROA]]-VLOOKUP(Main_L[[#This Row],[Industry]], Mean_ROA_L, 2, FALSE))/(VLOOKUP(Main_L[[#This Row],[Industry]], Mean_ROA_L, 3, FALSE))</f>
        <v>0.41853092497147409</v>
      </c>
      <c r="S84" s="1">
        <f>(Main_L[[#This Row],[A/E]]-VLOOKUP(Main_L[[#This Row],[Industry]], Mean_AE_L, 2, FALSE))/(VLOOKUP(Main_L[[#This Row],[Industry]], Mean_AE_L, 3, FALSE))</f>
        <v>-0.85236826316995973</v>
      </c>
      <c r="T84" s="1">
        <f>(Main_L[[#This Row],[P/E]]-VLOOKUP(Main_L[[#This Row],[Industry]], Mean_PE_L, 2, FALSE))/(VLOOKUP(Main_L[[#This Row],[Industry]], Mean_PE_L, 3, FALSE))</f>
        <v>1.1778305023657722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s="68" t="s">
        <v>173</v>
      </c>
      <c r="B85" s="68" t="s">
        <v>213</v>
      </c>
      <c r="C85" s="2">
        <v>10979</v>
      </c>
      <c r="D85">
        <f>RTD("tos.rtd", , "LAST", Main_L[[#This Row],[Symbol]])</f>
        <v>38.880000000000003</v>
      </c>
      <c r="E85">
        <v>1.38</v>
      </c>
      <c r="F85">
        <v>11.46</v>
      </c>
      <c r="G85">
        <v>1.2</v>
      </c>
      <c r="H85" s="1">
        <f>IF(ISNUMBER(Main_L[[#This Row],[Free CF]]),IF(Main_L[[#This Row],[Free CF]]&lt;&gt;0,Main_L[[#This Row],[Current Price]]/Main_L[[#This Row],[Free CF]],""),"")</f>
        <v>28.173913043478265</v>
      </c>
      <c r="I85" s="1">
        <f>IF(ISNUMBER(Main_L[[#This Row],[BVPS]]),IF(Main_L[[#This Row],[BVPS]]&lt;&gt;0,Main_L[[#This Row],[Current Price]]/Main_L[[#This Row],[BVPS]],""),"")</f>
        <v>3.3926701570680629</v>
      </c>
      <c r="J85">
        <v>11.52</v>
      </c>
      <c r="K85">
        <v>0.78</v>
      </c>
      <c r="L85">
        <v>8.7799999999999994</v>
      </c>
      <c r="M85" s="1">
        <f>IF(ISNUMBER(Main_L[[#This Row],[EPS]]),IF(Main_L[[#This Row],[EPS]]&lt;&gt;0,Main_L[[#This Row],[Current Price]]/Main_L[[#This Row],[EPS]],""),"")</f>
        <v>32.400000000000006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0.72503761109122189</v>
      </c>
      <c r="P85" s="1">
        <f>(Main_L[[#This Row],[P/B]]-VLOOKUP(Main_L[[#This Row],[Industry]], Mean_PB_L, 2, FALSE))/(VLOOKUP(Main_L[[#This Row],[Industry]], Mean_PB_L, 3, FALSE))</f>
        <v>-0.23529517899071159</v>
      </c>
      <c r="Q85" s="1">
        <f>(Main_L[[#This Row],[ROE]]-VLOOKUP(Main_L[[#This Row],[Industry]], Mean_ROE_L, 2, FALSE))/(VLOOKUP(Main_L[[#This Row],[Industry]], Mean_ROE_L, 3, FALSE))</f>
        <v>-0.47107394943980302</v>
      </c>
      <c r="R85" s="1">
        <f>(Main_L[[#This Row],[ROA]]-VLOOKUP(Main_L[[#This Row],[Industry]], Mean_ROA_L, 2, FALSE))/(VLOOKUP(Main_L[[#This Row],[Industry]], Mean_ROA_L, 3, FALSE))</f>
        <v>-0.95917050739583609</v>
      </c>
      <c r="S85" s="1">
        <f>(Main_L[[#This Row],[A/E]]-VLOOKUP(Main_L[[#This Row],[Industry]], Mean_AE_L, 2, FALSE))/(VLOOKUP(Main_L[[#This Row],[Industry]], Mean_AE_L, 3, FALSE))</f>
        <v>0.36102135679224795</v>
      </c>
      <c r="T85" s="1">
        <f>(Main_L[[#This Row],[P/E]]-VLOOKUP(Main_L[[#This Row],[Industry]], Mean_PE_L, 2, FALSE))/(VLOOKUP(Main_L[[#This Row],[Industry]], Mean_PE_L, 3, FALSE))</f>
        <v>0.49385826022946971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s="68" t="s">
        <v>173</v>
      </c>
      <c r="B86" s="68" t="s">
        <v>214</v>
      </c>
      <c r="C86" s="2">
        <v>30671</v>
      </c>
      <c r="D86">
        <f>RTD("tos.rtd", , "LAST", Main_L[[#This Row],[Symbol]])</f>
        <v>141.41</v>
      </c>
      <c r="E86">
        <v>3.91</v>
      </c>
      <c r="F86">
        <v>27.83</v>
      </c>
      <c r="G86">
        <v>2.4300000000000002</v>
      </c>
      <c r="H86" s="1">
        <f>IF(ISNUMBER(Main_L[[#This Row],[Free CF]]),IF(Main_L[[#This Row],[Free CF]]&lt;&gt;0,Main_L[[#This Row],[Current Price]]/Main_L[[#This Row],[Free CF]],""),"")</f>
        <v>36.166240409207155</v>
      </c>
      <c r="I86" s="1">
        <f>IF(ISNUMBER(Main_L[[#This Row],[BVPS]]),IF(Main_L[[#This Row],[BVPS]]&lt;&gt;0,Main_L[[#This Row],[Current Price]]/Main_L[[#This Row],[BVPS]],""),"")</f>
        <v>5.081207330219188</v>
      </c>
      <c r="J86">
        <v>9.43</v>
      </c>
      <c r="K86">
        <v>8.06</v>
      </c>
      <c r="L86">
        <v>1.24</v>
      </c>
      <c r="M86" s="1">
        <f>IF(ISNUMBER(Main_L[[#This Row],[EPS]]),IF(Main_L[[#This Row],[EPS]]&lt;&gt;0,Main_L[[#This Row],[Current Price]]/Main_L[[#This Row],[EPS]],""),"")</f>
        <v>58.193415637860078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1.1991029025915805</v>
      </c>
      <c r="P86" s="1">
        <f>(Main_L[[#This Row],[P/B]]-VLOOKUP(Main_L[[#This Row],[Industry]], Mean_PB_L, 2, FALSE))/(VLOOKUP(Main_L[[#This Row],[Industry]], Mean_PB_L, 3, FALSE))</f>
        <v>0.4428716129151648</v>
      </c>
      <c r="Q86" s="1">
        <f>(Main_L[[#This Row],[ROE]]-VLOOKUP(Main_L[[#This Row],[Industry]], Mean_ROE_L, 2, FALSE))/(VLOOKUP(Main_L[[#This Row],[Industry]], Mean_ROE_L, 3, FALSE))</f>
        <v>-0.76059984762912092</v>
      </c>
      <c r="R86" s="1">
        <f>(Main_L[[#This Row],[ROA]]-VLOOKUP(Main_L[[#This Row],[Industry]], Mean_ROA_L, 2, FALSE))/(VLOOKUP(Main_L[[#This Row],[Industry]], Mean_ROA_L, 3, FALSE))</f>
        <v>0.89474195612246665</v>
      </c>
      <c r="S86" s="1">
        <f>(Main_L[[#This Row],[A/E]]-VLOOKUP(Main_L[[#This Row],[Industry]], Mean_AE_L, 2, FALSE))/(VLOOKUP(Main_L[[#This Row],[Industry]], Mean_AE_L, 3, FALSE))</f>
        <v>-0.94784241066340946</v>
      </c>
      <c r="T86" s="1">
        <f>(Main_L[[#This Row],[P/E]]-VLOOKUP(Main_L[[#This Row],[Industry]], Mean_PE_L, 2, FALSE))/(VLOOKUP(Main_L[[#This Row],[Industry]], Mean_PE_L, 3, FALSE))</f>
        <v>2.6717749144729646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s="68" t="s">
        <v>166</v>
      </c>
      <c r="B87" s="68" t="s">
        <v>167</v>
      </c>
      <c r="C87" s="2">
        <v>193531</v>
      </c>
      <c r="D87">
        <f>RTD("tos.rtd", , "LAST", Main_L[[#This Row],[Symbol]])</f>
        <v>302.3</v>
      </c>
      <c r="E87">
        <v>16</v>
      </c>
      <c r="F87">
        <v>44.51</v>
      </c>
      <c r="G87">
        <v>14.32</v>
      </c>
      <c r="H87" s="1">
        <f>IF(ISNUMBER(Main_L[[#This Row],[Free CF]]),IF(Main_L[[#This Row],[Free CF]]&lt;&gt;0,Main_L[[#This Row],[Current Price]]/Main_L[[#This Row],[Free CF]],""),"")</f>
        <v>18.893750000000001</v>
      </c>
      <c r="I87" s="1">
        <f>IF(ISNUMBER(Main_L[[#This Row],[BVPS]]),IF(Main_L[[#This Row],[BVPS]]&lt;&gt;0,Main_L[[#This Row],[Current Price]]/Main_L[[#This Row],[BVPS]],""),"")</f>
        <v>6.791732195012357</v>
      </c>
      <c r="J87">
        <v>34.270000000000003</v>
      </c>
      <c r="K87">
        <v>3.73</v>
      </c>
      <c r="L87">
        <v>9.0500000000000007</v>
      </c>
      <c r="M87" s="1">
        <f>IF(ISNUMBER(Main_L[[#This Row],[EPS]]),IF(Main_L[[#This Row],[EPS]]&lt;&gt;0,Main_L[[#This Row],[Current Price]]/Main_L[[#This Row],[EPS]],""),"")</f>
        <v>21.110335195530727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1.3220024929979144</v>
      </c>
      <c r="P87" s="1">
        <f>(Main_L[[#This Row],[P/B]]-VLOOKUP(Main_L[[#This Row],[Industry]], Mean_PB_L, 2, FALSE))/(VLOOKUP(Main_L[[#This Row],[Industry]], Mean_PB_L, 3, FALSE))</f>
        <v>1.702665364112127</v>
      </c>
      <c r="Q87" s="1">
        <f>(Main_L[[#This Row],[ROE]]-VLOOKUP(Main_L[[#This Row],[Industry]], Mean_ROE_L, 2, FALSE))/(VLOOKUP(Main_L[[#This Row],[Industry]], Mean_ROE_L, 3, FALSE))</f>
        <v>1.3892738933102196</v>
      </c>
      <c r="R87" s="1">
        <f>(Main_L[[#This Row],[ROA]]-VLOOKUP(Main_L[[#This Row],[Industry]], Mean_ROA_L, 2, FALSE))/(VLOOKUP(Main_L[[#This Row],[Industry]], Mean_ROA_L, 3, FALSE))</f>
        <v>1.3330252669203202</v>
      </c>
      <c r="S87" s="1">
        <f>(Main_L[[#This Row],[A/E]]-VLOOKUP(Main_L[[#This Row],[Industry]], Mean_AE_L, 2, FALSE))/(VLOOKUP(Main_L[[#This Row],[Industry]], Mean_AE_L, 3, FALSE))</f>
        <v>1.1480744727118739</v>
      </c>
      <c r="T87" s="1">
        <f>(Main_L[[#This Row],[P/E]]-VLOOKUP(Main_L[[#This Row],[Industry]], Mean_PE_L, 2, FALSE))/(VLOOKUP(Main_L[[#This Row],[Industry]], Mean_PE_L, 3, FALSE))</f>
        <v>0.53058371965902895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s="68" t="s">
        <v>166</v>
      </c>
      <c r="B88" s="68" t="s">
        <v>168</v>
      </c>
      <c r="C88" s="2">
        <v>71441</v>
      </c>
      <c r="D88">
        <f>RTD("tos.rtd", , "LAST", Main_L[[#This Row],[Symbol]])</f>
        <v>201.04</v>
      </c>
      <c r="E88">
        <v>43.71</v>
      </c>
      <c r="F88">
        <v>153.26</v>
      </c>
      <c r="G88">
        <v>11.9</v>
      </c>
      <c r="H88" s="1">
        <f>IF(ISNUMBER(Main_L[[#This Row],[Free CF]]),IF(Main_L[[#This Row],[Free CF]]&lt;&gt;0,Main_L[[#This Row],[Current Price]]/Main_L[[#This Row],[Free CF]],""),"")</f>
        <v>4.5994051704415462</v>
      </c>
      <c r="I88" s="1">
        <f>IF(ISNUMBER(Main_L[[#This Row],[BVPS]]),IF(Main_L[[#This Row],[BVPS]]&lt;&gt;0,Main_L[[#This Row],[Current Price]]/Main_L[[#This Row],[BVPS]],""),"")</f>
        <v>1.31175779720736</v>
      </c>
      <c r="J88">
        <v>8.0299999999999994</v>
      </c>
      <c r="K88">
        <v>1</v>
      </c>
      <c r="L88">
        <v>8.41</v>
      </c>
      <c r="M88" s="1">
        <f>IF(ISNUMBER(Main_L[[#This Row],[EPS]]),IF(Main_L[[#This Row],[EPS]]&lt;&gt;0,Main_L[[#This Row],[Current Price]]/Main_L[[#This Row],[EPS]],""),"")</f>
        <v>16.894117647058824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-0.2111689416120836</v>
      </c>
      <c r="P88" s="1">
        <f>(Main_L[[#This Row],[P/B]]-VLOOKUP(Main_L[[#This Row],[Industry]], Mean_PB_L, 2, FALSE))/(VLOOKUP(Main_L[[#This Row],[Industry]], Mean_PB_L, 3, FALSE))</f>
        <v>-1.016032970822522</v>
      </c>
      <c r="Q88" s="1">
        <f>(Main_L[[#This Row],[ROE]]-VLOOKUP(Main_L[[#This Row],[Industry]], Mean_ROE_L, 2, FALSE))/(VLOOKUP(Main_L[[#This Row],[Industry]], Mean_ROE_L, 3, FALSE))</f>
        <v>-1.0583256071906646</v>
      </c>
      <c r="R88" s="1">
        <f>(Main_L[[#This Row],[ROA]]-VLOOKUP(Main_L[[#This Row],[Industry]], Mean_ROA_L, 2, FALSE))/(VLOOKUP(Main_L[[#This Row],[Industry]], Mean_ROA_L, 3, FALSE))</f>
        <v>-1.3078738467897477</v>
      </c>
      <c r="S88" s="1">
        <f>(Main_L[[#This Row],[A/E]]-VLOOKUP(Main_L[[#This Row],[Industry]], Mean_AE_L, 2, FALSE))/(VLOOKUP(Main_L[[#This Row],[Industry]], Mean_AE_L, 3, FALSE))</f>
        <v>0.68254057881392272</v>
      </c>
      <c r="T88" s="1">
        <f>(Main_L[[#This Row],[P/E]]-VLOOKUP(Main_L[[#This Row],[Industry]], Mean_PE_L, 2, FALSE))/(VLOOKUP(Main_L[[#This Row],[Industry]], Mean_PE_L, 3, FALSE))</f>
        <v>5.5810211330560709E-2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s="68" t="s">
        <v>166</v>
      </c>
      <c r="B89" s="68" t="s">
        <v>169</v>
      </c>
      <c r="C89" s="2">
        <v>47603</v>
      </c>
      <c r="D89">
        <f>RTD("tos.rtd", , "LAST", Main_L[[#This Row],[Symbol]])</f>
        <v>204.07</v>
      </c>
      <c r="E89">
        <v>33.36</v>
      </c>
      <c r="F89">
        <v>71.16</v>
      </c>
      <c r="G89">
        <v>18.7</v>
      </c>
      <c r="H89" s="1">
        <f>IF(ISNUMBER(Main_L[[#This Row],[Free CF]]),IF(Main_L[[#This Row],[Free CF]]&lt;&gt;0,Main_L[[#This Row],[Current Price]]/Main_L[[#This Row],[Free CF]],""),"")</f>
        <v>6.1172062350119907</v>
      </c>
      <c r="I89" s="1">
        <f>IF(ISNUMBER(Main_L[[#This Row],[BVPS]]),IF(Main_L[[#This Row],[BVPS]]&lt;&gt;0,Main_L[[#This Row],[Current Price]]/Main_L[[#This Row],[BVPS]],""),"")</f>
        <v>2.8677627880831928</v>
      </c>
      <c r="J89">
        <v>28.47</v>
      </c>
      <c r="K89">
        <v>3.19</v>
      </c>
      <c r="L89">
        <v>8.26</v>
      </c>
      <c r="M89" s="1">
        <f>IF(ISNUMBER(Main_L[[#This Row],[EPS]]),IF(Main_L[[#This Row],[EPS]]&lt;&gt;0,Main_L[[#This Row],[Current Price]]/Main_L[[#This Row],[EPS]],""),"")</f>
        <v>10.91283422459893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-4.8373845833501357E-2</v>
      </c>
      <c r="P89" s="1">
        <f>(Main_L[[#This Row],[P/B]]-VLOOKUP(Main_L[[#This Row],[Industry]], Mean_PB_L, 2, FALSE))/(VLOOKUP(Main_L[[#This Row],[Industry]], Mean_PB_L, 3, FALSE))</f>
        <v>-0.24407531723593232</v>
      </c>
      <c r="Q89" s="1">
        <f>(Main_L[[#This Row],[ROE]]-VLOOKUP(Main_L[[#This Row],[Industry]], Mean_ROE_L, 2, FALSE))/(VLOOKUP(Main_L[[#This Row],[Industry]], Mean_ROE_L, 3, FALSE))</f>
        <v>0.84826485737633472</v>
      </c>
      <c r="R89" s="1">
        <f>(Main_L[[#This Row],[ROA]]-VLOOKUP(Main_L[[#This Row],[Industry]], Mean_ROA_L, 2, FALSE))/(VLOOKUP(Main_L[[#This Row],[Industry]], Mean_ROA_L, 3, FALSE))</f>
        <v>0.81064961805459235</v>
      </c>
      <c r="S89" s="1">
        <f>(Main_L[[#This Row],[A/E]]-VLOOKUP(Main_L[[#This Row],[Industry]], Mean_AE_L, 2, FALSE))/(VLOOKUP(Main_L[[#This Row],[Industry]], Mean_AE_L, 3, FALSE))</f>
        <v>0.57343107243159019</v>
      </c>
      <c r="T89" s="1">
        <f>(Main_L[[#This Row],[P/E]]-VLOOKUP(Main_L[[#This Row],[Industry]], Mean_PE_L, 2, FALSE))/(VLOOKUP(Main_L[[#This Row],[Industry]], Mean_PE_L, 3, FALSE))</f>
        <v>-0.61772119024937278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s="68" t="s">
        <v>166</v>
      </c>
      <c r="B90" s="68" t="s">
        <v>170</v>
      </c>
      <c r="C90" s="2">
        <v>17265</v>
      </c>
      <c r="D90">
        <f>RTD("tos.rtd", , "LAST", Main_L[[#This Row],[Symbol]])</f>
        <v>80.739999999999995</v>
      </c>
      <c r="E90">
        <v>4.88</v>
      </c>
      <c r="F90">
        <v>15.22</v>
      </c>
      <c r="G90">
        <v>10.35</v>
      </c>
      <c r="H90" s="1">
        <f>IF(ISNUMBER(Main_L[[#This Row],[Free CF]]),IF(Main_L[[#This Row],[Free CF]]&lt;&gt;0,Main_L[[#This Row],[Current Price]]/Main_L[[#This Row],[Free CF]],""),"")</f>
        <v>16.545081967213115</v>
      </c>
      <c r="I90" s="1">
        <f>IF(ISNUMBER(Main_L[[#This Row],[BVPS]]),IF(Main_L[[#This Row],[BVPS]]&lt;&gt;0,Main_L[[#This Row],[Current Price]]/Main_L[[#This Row],[BVPS]],""),"")</f>
        <v>5.3048620236530875</v>
      </c>
      <c r="J90">
        <v>78.98</v>
      </c>
      <c r="K90">
        <v>15.71</v>
      </c>
      <c r="L90">
        <v>5.52</v>
      </c>
      <c r="M90" s="1">
        <f>IF(ISNUMBER(Main_L[[#This Row],[EPS]]),IF(Main_L[[#This Row],[EPS]]&lt;&gt;0,Main_L[[#This Row],[Current Price]]/Main_L[[#This Row],[EPS]],""),"")</f>
        <v>7.8009661835748787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1.0700909307551738</v>
      </c>
      <c r="P90" s="1">
        <f>(Main_L[[#This Row],[P/B]]-VLOOKUP(Main_L[[#This Row],[Industry]], Mean_PB_L, 2, FALSE))/(VLOOKUP(Main_L[[#This Row],[Industry]], Mean_PB_L, 3, FALSE))</f>
        <v>0.96500654206405212</v>
      </c>
      <c r="Q90" s="1">
        <f>(Main_L[[#This Row],[ROE]]-VLOOKUP(Main_L[[#This Row],[Industry]], Mean_ROE_L, 2, FALSE))/(VLOOKUP(Main_L[[#This Row],[Industry]], Mean_ROE_L, 3, FALSE))</f>
        <v>5.5597073410005597</v>
      </c>
      <c r="R90" s="1">
        <f>(Main_L[[#This Row],[ROA]]-VLOOKUP(Main_L[[#This Row],[Industry]], Mean_ROA_L, 2, FALSE))/(VLOOKUP(Main_L[[#This Row],[Industry]], Mean_ROA_L, 3, FALSE))</f>
        <v>12.922025773237761</v>
      </c>
      <c r="S90" s="1">
        <f>(Main_L[[#This Row],[A/E]]-VLOOKUP(Main_L[[#This Row],[Industry]], Mean_AE_L, 2, FALSE))/(VLOOKUP(Main_L[[#This Row],[Industry]], Mean_AE_L, 3, FALSE))</f>
        <v>-1.4196359108190115</v>
      </c>
      <c r="T90" s="1">
        <f>(Main_L[[#This Row],[P/E]]-VLOOKUP(Main_L[[#This Row],[Industry]], Mean_PE_L, 2, FALSE))/(VLOOKUP(Main_L[[#This Row],[Industry]], Mean_PE_L, 3, FALSE))</f>
        <v>-0.96813776394531426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s="68" t="s">
        <v>166</v>
      </c>
      <c r="B91" s="68" t="s">
        <v>171</v>
      </c>
      <c r="C91" s="2">
        <v>14364</v>
      </c>
      <c r="D91">
        <f>RTD("tos.rtd", , "LAST", Main_L[[#This Row],[Symbol]])</f>
        <v>14.29</v>
      </c>
      <c r="E91">
        <v>-1.55</v>
      </c>
      <c r="F91">
        <v>6.05</v>
      </c>
      <c r="G91">
        <v>0.43</v>
      </c>
      <c r="H91" s="1">
        <f>IF(ISNUMBER(Main_L[[#This Row],[Free CF]]),IF(Main_L[[#This Row],[Free CF]]&lt;&gt;0,Main_L[[#This Row],[Current Price]]/Main_L[[#This Row],[Free CF]],""),"")</f>
        <v>-9.2193548387096769</v>
      </c>
      <c r="I91" s="1">
        <f>IF(ISNUMBER(Main_L[[#This Row],[BVPS]]),IF(Main_L[[#This Row],[BVPS]]&lt;&gt;0,Main_L[[#This Row],[Current Price]]/Main_L[[#This Row],[BVPS]],""),"")</f>
        <v>2.3619834710743799</v>
      </c>
      <c r="J91">
        <v>7.51</v>
      </c>
      <c r="K91">
        <v>1.4</v>
      </c>
      <c r="L91">
        <v>5.65</v>
      </c>
      <c r="M91" s="1">
        <f>IF(ISNUMBER(Main_L[[#This Row],[EPS]]),IF(Main_L[[#This Row],[EPS]]&lt;&gt;0,Main_L[[#This Row],[Current Price]]/Main_L[[#This Row],[EPS]],""),"")</f>
        <v>33.232558139534881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-1.6933304789461516</v>
      </c>
      <c r="P91" s="1">
        <f>(Main_L[[#This Row],[P/B]]-VLOOKUP(Main_L[[#This Row],[Industry]], Mean_PB_L, 2, FALSE))/(VLOOKUP(Main_L[[#This Row],[Industry]], Mean_PB_L, 3, FALSE))</f>
        <v>-0.49500010030554381</v>
      </c>
      <c r="Q91" s="1">
        <f>(Main_L[[#This Row],[ROE]]-VLOOKUP(Main_L[[#This Row],[Industry]], Mean_ROE_L, 2, FALSE))/(VLOOKUP(Main_L[[#This Row],[Industry]], Mean_ROE_L, 3, FALSE))</f>
        <v>-1.1068298655847371</v>
      </c>
      <c r="R91" s="1">
        <f>(Main_L[[#This Row],[ROA]]-VLOOKUP(Main_L[[#This Row],[Industry]], Mean_ROA_L, 2, FALSE))/(VLOOKUP(Main_L[[#This Row],[Industry]], Mean_ROA_L, 3, FALSE))</f>
        <v>-0.92092892170402363</v>
      </c>
      <c r="S91" s="1">
        <f>(Main_L[[#This Row],[A/E]]-VLOOKUP(Main_L[[#This Row],[Industry]], Mean_AE_L, 2, FALSE))/(VLOOKUP(Main_L[[#This Row],[Industry]], Mean_AE_L, 3, FALSE))</f>
        <v>-1.3250743386209898</v>
      </c>
      <c r="T91" s="1">
        <f>(Main_L[[#This Row],[P/E]]-VLOOKUP(Main_L[[#This Row],[Industry]], Mean_PE_L, 2, FALSE))/(VLOOKUP(Main_L[[#This Row],[Industry]], Mean_PE_L, 3, FALSE))</f>
        <v>1.8956248376038609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s="68" t="s">
        <v>166</v>
      </c>
      <c r="B92" s="68" t="s">
        <v>172</v>
      </c>
      <c r="C92" s="2">
        <v>20468</v>
      </c>
      <c r="D92">
        <f>RTD("tos.rtd", , "LAST", Main_L[[#This Row],[Symbol]])</f>
        <v>61.36</v>
      </c>
      <c r="E92">
        <v>24.81</v>
      </c>
      <c r="F92">
        <v>40.36</v>
      </c>
      <c r="G92">
        <v>7.27</v>
      </c>
      <c r="H92" s="1">
        <f>IF(ISNUMBER(Main_L[[#This Row],[Free CF]]),IF(Main_L[[#This Row],[Free CF]]&lt;&gt;0,Main_L[[#This Row],[Current Price]]/Main_L[[#This Row],[Free CF]],""),"")</f>
        <v>2.4731962918178154</v>
      </c>
      <c r="I92" s="1">
        <f>IF(ISNUMBER(Main_L[[#This Row],[BVPS]]),IF(Main_L[[#This Row],[BVPS]]&lt;&gt;0,Main_L[[#This Row],[Current Price]]/Main_L[[#This Row],[BVPS]],""),"")</f>
        <v>1.5203171456888007</v>
      </c>
      <c r="J92">
        <v>18.600000000000001</v>
      </c>
      <c r="K92">
        <v>2.44</v>
      </c>
      <c r="L92">
        <v>7.94</v>
      </c>
      <c r="M92" s="1">
        <f>IF(ISNUMBER(Main_L[[#This Row],[EPS]]),IF(Main_L[[#This Row],[EPS]]&lt;&gt;0,Main_L[[#This Row],[Current Price]]/Main_L[[#This Row],[EPS]],""),"")</f>
        <v>8.4401650618982114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-0.43922015736135106</v>
      </c>
      <c r="P92" s="1">
        <f>(Main_L[[#This Row],[P/B]]-VLOOKUP(Main_L[[#This Row],[Industry]], Mean_PB_L, 2, FALSE))/(VLOOKUP(Main_L[[#This Row],[Industry]], Mean_PB_L, 3, FALSE))</f>
        <v>-0.91256351781218248</v>
      </c>
      <c r="Q92" s="1">
        <f>(Main_L[[#This Row],[ROE]]-VLOOKUP(Main_L[[#This Row],[Industry]], Mean_ROE_L, 2, FALSE))/(VLOOKUP(Main_L[[#This Row],[Industry]], Mean_ROE_L, 3, FALSE))</f>
        <v>-7.2383277911154495E-2</v>
      </c>
      <c r="R92" s="1">
        <f>(Main_L[[#This Row],[ROA]]-VLOOKUP(Main_L[[#This Row],[Industry]], Mean_ROA_L, 2, FALSE))/(VLOOKUP(Main_L[[#This Row],[Industry]], Mean_ROA_L, 3, FALSE))</f>
        <v>8.5127883518859401E-2</v>
      </c>
      <c r="S92" s="1">
        <f>(Main_L[[#This Row],[A/E]]-VLOOKUP(Main_L[[#This Row],[Industry]], Mean_AE_L, 2, FALSE))/(VLOOKUP(Main_L[[#This Row],[Industry]], Mean_AE_L, 3, FALSE))</f>
        <v>0.34066412548261527</v>
      </c>
      <c r="T92" s="1">
        <f>(Main_L[[#This Row],[P/E]]-VLOOKUP(Main_L[[#This Row],[Industry]], Mean_PE_L, 2, FALSE))/(VLOOKUP(Main_L[[#This Row],[Industry]], Mean_PE_L, 3, FALSE))</f>
        <v>-0.89615981439876402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3" spans="1:26" x14ac:dyDescent="0.25">
      <c r="A93" s="68" t="s">
        <v>150</v>
      </c>
      <c r="B93" s="68" t="s">
        <v>151</v>
      </c>
      <c r="C93" s="2">
        <v>73780</v>
      </c>
      <c r="D93">
        <f>RTD("tos.rtd", , "LAST", Main_L[[#This Row],[Symbol]])</f>
        <v>145.07</v>
      </c>
      <c r="E93">
        <v>5.39</v>
      </c>
      <c r="F93">
        <v>29.06</v>
      </c>
      <c r="G93">
        <v>5.71</v>
      </c>
      <c r="H93" s="1">
        <f>IF(ISNUMBER(Main_L[[#This Row],[Free CF]]),IF(Main_L[[#This Row],[Free CF]]&lt;&gt;0,Main_L[[#This Row],[Current Price]]/Main_L[[#This Row],[Free CF]],""),"")</f>
        <v>26.914656771799628</v>
      </c>
      <c r="I93" s="1">
        <f>IF(ISNUMBER(Main_L[[#This Row],[BVPS]]),IF(Main_L[[#This Row],[BVPS]]&lt;&gt;0,Main_L[[#This Row],[Current Price]]/Main_L[[#This Row],[BVPS]],""),"")</f>
        <v>4.9920853406744667</v>
      </c>
      <c r="J93">
        <v>18.690000000000001</v>
      </c>
      <c r="K93">
        <v>1.52</v>
      </c>
      <c r="L93">
        <v>23.83</v>
      </c>
      <c r="M93" s="1">
        <f>IF(ISNUMBER(Main_L[[#This Row],[EPS]]),IF(Main_L[[#This Row],[EPS]]&lt;&gt;0,Main_L[[#This Row],[Current Price]]/Main_L[[#This Row],[EPS]],""),"")</f>
        <v>25.406304728546409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0.28413423909669511</v>
      </c>
      <c r="P93" s="1">
        <f>(Main_L[[#This Row],[P/B]]-VLOOKUP(Main_L[[#This Row],[Industry]], Mean_PB_L, 2, FALSE))/(VLOOKUP(Main_L[[#This Row],[Industry]], Mean_PB_L, 3, FALSE))</f>
        <v>-0.28115332381041824</v>
      </c>
      <c r="Q93" s="1">
        <f>(Main_L[[#This Row],[ROE]]-VLOOKUP(Main_L[[#This Row],[Industry]], Mean_ROE_L, 2, FALSE))/(VLOOKUP(Main_L[[#This Row],[Industry]], Mean_ROE_L, 3, FALSE))</f>
        <v>0.1013823844501001</v>
      </c>
      <c r="R93" s="1">
        <f>(Main_L[[#This Row],[ROA]]-VLOOKUP(Main_L[[#This Row],[Industry]], Mean_ROA_L, 2, FALSE))/(VLOOKUP(Main_L[[#This Row],[Industry]], Mean_ROA_L, 3, FALSE))</f>
        <v>-0.35576182053244204</v>
      </c>
      <c r="S93" s="1">
        <f>(Main_L[[#This Row],[A/E]]-VLOOKUP(Main_L[[#This Row],[Industry]], Mean_AE_L, 2, FALSE))/(VLOOKUP(Main_L[[#This Row],[Industry]], Mean_AE_L, 3, FALSE))</f>
        <v>11.930102612007072</v>
      </c>
      <c r="T93" s="1">
        <f>(Main_L[[#This Row],[P/E]]-VLOOKUP(Main_L[[#This Row],[Industry]], Mean_PE_L, 2, FALSE))/(VLOOKUP(Main_L[[#This Row],[Industry]], Mean_PE_L, 3, FALSE))</f>
        <v>3.7521023764854521E-2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4" spans="1:26" x14ac:dyDescent="0.25">
      <c r="A94" s="68" t="s">
        <v>150</v>
      </c>
      <c r="B94" s="68" t="s">
        <v>152</v>
      </c>
      <c r="C94" s="2">
        <v>17323</v>
      </c>
      <c r="D94">
        <f>RTD("tos.rtd", , "LAST", Main_L[[#This Row],[Symbol]])</f>
        <v>32.79</v>
      </c>
      <c r="E94">
        <v>3.6</v>
      </c>
      <c r="F94">
        <v>20.41</v>
      </c>
      <c r="G94">
        <v>3.72</v>
      </c>
      <c r="H94" s="1">
        <f>IF(ISNUMBER(Main_L[[#This Row],[Free CF]]),IF(Main_L[[#This Row],[Free CF]]&lt;&gt;0,Main_L[[#This Row],[Current Price]]/Main_L[[#This Row],[Free CF]],""),"")</f>
        <v>9.1083333333333325</v>
      </c>
      <c r="I94" s="1">
        <f>IF(ISNUMBER(Main_L[[#This Row],[BVPS]]),IF(Main_L[[#This Row],[BVPS]]&lt;&gt;0,Main_L[[#This Row],[Current Price]]/Main_L[[#This Row],[BVPS]],""),"")</f>
        <v>1.6065654091131798</v>
      </c>
      <c r="J94">
        <v>17.649999999999999</v>
      </c>
      <c r="K94">
        <v>0.45</v>
      </c>
      <c r="L94">
        <v>33.97</v>
      </c>
      <c r="M94" s="1">
        <f>IF(ISNUMBER(Main_L[[#This Row],[EPS]]),IF(Main_L[[#This Row],[EPS]]&lt;&gt;0,Main_L[[#This Row],[Current Price]]/Main_L[[#This Row],[EPS]],""),"")</f>
        <v>8.814516129032258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-1.2361348058476345</v>
      </c>
      <c r="P94" s="1">
        <f>(Main_L[[#This Row],[P/B]]-VLOOKUP(Main_L[[#This Row],[Industry]], Mean_PB_L, 2, FALSE))/(VLOOKUP(Main_L[[#This Row],[Industry]], Mean_PB_L, 3, FALSE))</f>
        <v>-0.83806637516768567</v>
      </c>
      <c r="Q94" s="1">
        <f>(Main_L[[#This Row],[ROE]]-VLOOKUP(Main_L[[#This Row],[Industry]], Mean_ROE_L, 2, FALSE))/(VLOOKUP(Main_L[[#This Row],[Industry]], Mean_ROE_L, 3, FALSE))</f>
        <v>3.078805075361734E-2</v>
      </c>
      <c r="R94" s="1">
        <f>(Main_L[[#This Row],[ROA]]-VLOOKUP(Main_L[[#This Row],[Industry]], Mean_ROA_L, 2, FALSE))/(VLOOKUP(Main_L[[#This Row],[Industry]], Mean_ROA_L, 3, FALSE))</f>
        <v>-0.84641507248051495</v>
      </c>
      <c r="S94" s="1">
        <f>(Main_L[[#This Row],[A/E]]-VLOOKUP(Main_L[[#This Row],[Industry]], Mean_AE_L, 2, FALSE))/(VLOOKUP(Main_L[[#This Row],[Industry]], Mean_AE_L, 3, FALSE))</f>
        <v>17.820602879126941</v>
      </c>
      <c r="T94" s="1">
        <f>(Main_L[[#This Row],[P/E]]-VLOOKUP(Main_L[[#This Row],[Industry]], Mean_PE_L, 2, FALSE))/(VLOOKUP(Main_L[[#This Row],[Industry]], Mean_PE_L, 3, FALSE))</f>
        <v>-1.204272612248215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5" spans="1:26" x14ac:dyDescent="0.25">
      <c r="A95" s="68" t="s">
        <v>150</v>
      </c>
      <c r="B95" s="68" t="s">
        <v>153</v>
      </c>
      <c r="C95" s="2">
        <v>15471</v>
      </c>
      <c r="D95">
        <f>RTD("tos.rtd", , "LAST", Main_L[[#This Row],[Symbol]])</f>
        <v>54.26</v>
      </c>
      <c r="E95">
        <v>6.19</v>
      </c>
      <c r="F95">
        <v>2.92</v>
      </c>
      <c r="G95">
        <v>3.76</v>
      </c>
      <c r="H95" s="1">
        <f>IF(ISNUMBER(Main_L[[#This Row],[Free CF]]),IF(Main_L[[#This Row],[Free CF]]&lt;&gt;0,Main_L[[#This Row],[Current Price]]/Main_L[[#This Row],[Free CF]],""),"")</f>
        <v>8.7657512116316632</v>
      </c>
      <c r="I95" s="1">
        <f>IF(ISNUMBER(Main_L[[#This Row],[BVPS]]),IF(Main_L[[#This Row],[BVPS]]&lt;&gt;0,Main_L[[#This Row],[Current Price]]/Main_L[[#This Row],[BVPS]],""),"")</f>
        <v>18.582191780821919</v>
      </c>
      <c r="J95">
        <v>38.479999999999997</v>
      </c>
      <c r="K95">
        <v>0.56999999999999995</v>
      </c>
      <c r="L95">
        <v>321.44</v>
      </c>
      <c r="M95" s="1">
        <f>IF(ISNUMBER(Main_L[[#This Row],[EPS]]),IF(Main_L[[#This Row],[EPS]]&lt;&gt;0,Main_L[[#This Row],[Current Price]]/Main_L[[#This Row],[EPS]],""),"")</f>
        <v>14.430851063829788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5" s="1">
        <f>(Main_L[[#This Row],[P/FCF]]-VLOOKUP(Main_L[[#This Row],[Industry]], Mean_PFCF_L, 2, FALSE))/(VLOOKUP(Main_L[[#This Row],[Industry]], Mean_PFCF_L, 3, FALSE))</f>
        <v>-1.2653837969026491</v>
      </c>
      <c r="P95" s="1">
        <f>(Main_L[[#This Row],[P/B]]-VLOOKUP(Main_L[[#This Row],[Industry]], Mean_PB_L, 2, FALSE))/(VLOOKUP(Main_L[[#This Row],[Industry]], Mean_PB_L, 3, FALSE))</f>
        <v>1.9543992054468025</v>
      </c>
      <c r="Q95" s="1">
        <f>(Main_L[[#This Row],[ROE]]-VLOOKUP(Main_L[[#This Row],[Industry]], Mean_ROE_L, 2, FALSE))/(VLOOKUP(Main_L[[#This Row],[Industry]], Mean_ROE_L, 3, FALSE))</f>
        <v>1.4447110996937442</v>
      </c>
      <c r="R95" s="1">
        <f>(Main_L[[#This Row],[ROA]]-VLOOKUP(Main_L[[#This Row],[Industry]], Mean_ROA_L, 2, FALSE))/(VLOOKUP(Main_L[[#This Row],[Industry]], Mean_ROA_L, 3, FALSE))</f>
        <v>-0.79138853955175914</v>
      </c>
      <c r="S95" s="1">
        <f>(Main_L[[#This Row],[A/E]]-VLOOKUP(Main_L[[#This Row],[Industry]], Mean_AE_L, 2, FALSE))/(VLOOKUP(Main_L[[#This Row],[Industry]], Mean_AE_L, 3, FALSE))</f>
        <v>184.81686636916132</v>
      </c>
      <c r="T95" s="1">
        <f>(Main_L[[#This Row],[P/E]]-VLOOKUP(Main_L[[#This Row],[Industry]], Mean_PE_L, 2, FALSE))/(VLOOKUP(Main_L[[#This Row],[Industry]], Mean_PE_L, 3, FALSE))</f>
        <v>-0.78392438168109724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6" spans="1:26" x14ac:dyDescent="0.25">
      <c r="A96" s="68" t="s">
        <v>150</v>
      </c>
      <c r="B96" s="68" t="s">
        <v>154</v>
      </c>
      <c r="C96" s="2">
        <v>22723</v>
      </c>
      <c r="D96">
        <f>RTD("tos.rtd", , "LAST", Main_L[[#This Row],[Symbol]])</f>
        <v>20.07</v>
      </c>
      <c r="E96">
        <v>0.08</v>
      </c>
      <c r="F96">
        <v>22.86</v>
      </c>
      <c r="G96">
        <v>2.21</v>
      </c>
      <c r="H96" s="1">
        <f>IF(ISNUMBER(Main_L[[#This Row],[Free CF]]),IF(Main_L[[#This Row],[Free CF]]&lt;&gt;0,Main_L[[#This Row],[Current Price]]/Main_L[[#This Row],[Free CF]],""),"")</f>
        <v>250.875</v>
      </c>
      <c r="I96" s="1">
        <f>IF(ISNUMBER(Main_L[[#This Row],[BVPS]]),IF(Main_L[[#This Row],[BVPS]]&lt;&gt;0,Main_L[[#This Row],[Current Price]]/Main_L[[#This Row],[BVPS]],""),"")</f>
        <v>0.87795275590551181</v>
      </c>
      <c r="J96">
        <v>9.84</v>
      </c>
      <c r="K96">
        <v>2.15</v>
      </c>
      <c r="L96">
        <v>4.1399999999999997</v>
      </c>
      <c r="M96" s="1">
        <f>IF(ISNUMBER(Main_L[[#This Row],[EPS]]),IF(Main_L[[#This Row],[EPS]]&lt;&gt;0,Main_L[[#This Row],[Current Price]]/Main_L[[#This Row],[EPS]],""),"")</f>
        <v>9.0814479638009047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19.405430012564171</v>
      </c>
      <c r="P96" s="1">
        <f>(Main_L[[#This Row],[P/B]]-VLOOKUP(Main_L[[#This Row],[Industry]], Mean_PB_L, 2, FALSE))/(VLOOKUP(Main_L[[#This Row],[Industry]], Mean_PB_L, 3, FALSE))</f>
        <v>-0.95792208541549606</v>
      </c>
      <c r="Q96" s="1">
        <f>(Main_L[[#This Row],[ROE]]-VLOOKUP(Main_L[[#This Row],[Industry]], Mean_ROE_L, 2, FALSE))/(VLOOKUP(Main_L[[#This Row],[Industry]], Mean_ROE_L, 3, FALSE))</f>
        <v>-0.49934824364016039</v>
      </c>
      <c r="R96" s="1">
        <f>(Main_L[[#This Row],[ROA]]-VLOOKUP(Main_L[[#This Row],[Industry]], Mean_ROA_L, 2, FALSE))/(VLOOKUP(Main_L[[#This Row],[Industry]], Mean_ROA_L, 3, FALSE))</f>
        <v>-6.6872522656473962E-2</v>
      </c>
      <c r="S96" s="1">
        <f>(Main_L[[#This Row],[A/E]]-VLOOKUP(Main_L[[#This Row],[Industry]], Mean_AE_L, 2, FALSE))/(VLOOKUP(Main_L[[#This Row],[Industry]], Mean_AE_L, 3, FALSE))</f>
        <v>0.49184321757016636</v>
      </c>
      <c r="T96" s="1">
        <f>(Main_L[[#This Row],[P/E]]-VLOOKUP(Main_L[[#This Row],[Industry]], Mean_PE_L, 2, FALSE))/(VLOOKUP(Main_L[[#This Row],[Industry]], Mean_PE_L, 3, FALSE))</f>
        <v>-1.1842944012387822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7" spans="1:26" x14ac:dyDescent="0.25">
      <c r="A97" s="68" t="s">
        <v>150</v>
      </c>
      <c r="B97" s="68" t="s">
        <v>155</v>
      </c>
      <c r="C97" s="2">
        <v>16498</v>
      </c>
      <c r="D97">
        <f>RTD("tos.rtd", , "LAST", Main_L[[#This Row],[Symbol]])</f>
        <v>53.94</v>
      </c>
      <c r="E97">
        <v>1.93</v>
      </c>
      <c r="F97">
        <v>8.82</v>
      </c>
      <c r="G97">
        <v>-0.63</v>
      </c>
      <c r="H97" s="1">
        <f>IF(ISNUMBER(Main_L[[#This Row],[Free CF]]),IF(Main_L[[#This Row],[Free CF]]&lt;&gt;0,Main_L[[#This Row],[Current Price]]/Main_L[[#This Row],[Free CF]],""),"")</f>
        <v>27.948186528497409</v>
      </c>
      <c r="I97" s="1">
        <f>IF(ISNUMBER(Main_L[[#This Row],[BVPS]]),IF(Main_L[[#This Row],[BVPS]]&lt;&gt;0,Main_L[[#This Row],[Current Price]]/Main_L[[#This Row],[BVPS]],""),"")</f>
        <v>6.1156462585034008</v>
      </c>
      <c r="J97">
        <v>-7.34</v>
      </c>
      <c r="K97">
        <v>-2.34</v>
      </c>
      <c r="L97">
        <v>3.76</v>
      </c>
      <c r="M97" s="1">
        <f>IF(ISNUMBER(Main_L[[#This Row],[EPS]]),IF(Main_L[[#This Row],[EPS]]&lt;&gt;0,Main_L[[#This Row],[Current Price]]/Main_L[[#This Row],[EPS]],""),"")</f>
        <v>-85.61904761904762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0.37237498691677501</v>
      </c>
      <c r="P97" s="1">
        <f>(Main_L[[#This Row],[P/B]]-VLOOKUP(Main_L[[#This Row],[Industry]], Mean_PB_L, 2, FALSE))/(VLOOKUP(Main_L[[#This Row],[Industry]], Mean_PB_L, 3, FALSE))</f>
        <v>-9.6329204684550321E-2</v>
      </c>
      <c r="Q97" s="1">
        <f>(Main_L[[#This Row],[ROE]]-VLOOKUP(Main_L[[#This Row],[Industry]], Mean_ROE_L, 2, FALSE))/(VLOOKUP(Main_L[[#This Row],[Industry]], Mean_ROE_L, 3, FALSE))</f>
        <v>-1.6655123329724399</v>
      </c>
      <c r="R97" s="1">
        <f>(Main_L[[#This Row],[ROA]]-VLOOKUP(Main_L[[#This Row],[Industry]], Mean_ROA_L, 2, FALSE))/(VLOOKUP(Main_L[[#This Row],[Industry]], Mean_ROA_L, 3, FALSE))</f>
        <v>-2.125781963074088</v>
      </c>
      <c r="S97" s="1">
        <f>(Main_L[[#This Row],[A/E]]-VLOOKUP(Main_L[[#This Row],[Industry]], Mean_AE_L, 2, FALSE))/(VLOOKUP(Main_L[[#This Row],[Industry]], Mean_AE_L, 3, FALSE))</f>
        <v>0.27109468684969795</v>
      </c>
      <c r="T97" s="1">
        <f>(Main_L[[#This Row],[P/E]]-VLOOKUP(Main_L[[#This Row],[Industry]], Mean_PE_L, 2, FALSE))/(VLOOKUP(Main_L[[#This Row],[Industry]], Mean_PE_L, 3, FALSE))</f>
        <v>-8.2720457932441445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8" spans="1:26" x14ac:dyDescent="0.25">
      <c r="A98" s="68" t="s">
        <v>150</v>
      </c>
      <c r="B98" s="68" t="s">
        <v>156</v>
      </c>
      <c r="C98" s="2">
        <v>22964</v>
      </c>
      <c r="D98">
        <f>RTD("tos.rtd", , "LAST", Main_L[[#This Row],[Symbol]])</f>
        <v>354.82</v>
      </c>
      <c r="E98">
        <v>25.1</v>
      </c>
      <c r="F98">
        <v>44.5</v>
      </c>
      <c r="G98">
        <v>13.97</v>
      </c>
      <c r="H98" s="1">
        <f>IF(ISNUMBER(Main_L[[#This Row],[Free CF]]),IF(Main_L[[#This Row],[Free CF]]&lt;&gt;0,Main_L[[#This Row],[Current Price]]/Main_L[[#This Row],[Free CF]],""),"")</f>
        <v>14.136254980079681</v>
      </c>
      <c r="I98" s="1">
        <f>IF(ISNUMBER(Main_L[[#This Row],[BVPS]]),IF(Main_L[[#This Row],[BVPS]]&lt;&gt;0,Main_L[[#This Row],[Current Price]]/Main_L[[#This Row],[BVPS]],""),"")</f>
        <v>7.9734831460674158</v>
      </c>
      <c r="J98">
        <v>31.23</v>
      </c>
      <c r="K98">
        <v>6.56</v>
      </c>
      <c r="L98">
        <v>5.75</v>
      </c>
      <c r="M98" s="1">
        <f>IF(ISNUMBER(Main_L[[#This Row],[EPS]]),IF(Main_L[[#This Row],[EPS]]&lt;&gt;0,Main_L[[#This Row],[Current Price]]/Main_L[[#This Row],[EPS]],""),"")</f>
        <v>25.398711524695774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8" s="1">
        <f>(Main_L[[#This Row],[P/FCF]]-VLOOKUP(Main_L[[#This Row],[Industry]], Mean_PFCF_L, 2, FALSE))/(VLOOKUP(Main_L[[#This Row],[Industry]], Mean_PFCF_L, 3, FALSE))</f>
        <v>-0.80686069621075074</v>
      </c>
      <c r="P98" s="1">
        <f>(Main_L[[#This Row],[P/B]]-VLOOKUP(Main_L[[#This Row],[Industry]], Mean_PB_L, 2, FALSE))/(VLOOKUP(Main_L[[#This Row],[Industry]], Mean_PB_L, 3, FALSE))</f>
        <v>0.20928223193169104</v>
      </c>
      <c r="Q98" s="1">
        <f>(Main_L[[#This Row],[ROE]]-VLOOKUP(Main_L[[#This Row],[Industry]], Mean_ROE_L, 2, FALSE))/(VLOOKUP(Main_L[[#This Row],[Industry]], Mean_ROE_L, 3, FALSE))</f>
        <v>0.95258713882884194</v>
      </c>
      <c r="R98" s="1">
        <f>(Main_L[[#This Row],[ROA]]-VLOOKUP(Main_L[[#This Row],[Industry]], Mean_ROA_L, 2, FALSE))/(VLOOKUP(Main_L[[#This Row],[Industry]], Mean_ROA_L, 3, FALSE))</f>
        <v>1.9553525624753025</v>
      </c>
      <c r="S98" s="1">
        <f>(Main_L[[#This Row],[A/E]]-VLOOKUP(Main_L[[#This Row],[Industry]], Mean_AE_L, 2, FALSE))/(VLOOKUP(Main_L[[#This Row],[Industry]], Mean_AE_L, 3, FALSE))</f>
        <v>1.4271198872016251</v>
      </c>
      <c r="T98" s="1">
        <f>(Main_L[[#This Row],[P/E]]-VLOOKUP(Main_L[[#This Row],[Industry]], Mean_PE_L, 2, FALSE))/(VLOOKUP(Main_L[[#This Row],[Industry]], Mean_PE_L, 3, FALSE))</f>
        <v>3.6952719018074794E-2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9" spans="1:26" x14ac:dyDescent="0.25">
      <c r="A99" s="68" t="s">
        <v>150</v>
      </c>
      <c r="B99" s="68" t="s">
        <v>157</v>
      </c>
      <c r="C99" s="2">
        <v>101012</v>
      </c>
      <c r="D99">
        <f>RTD("tos.rtd", , "LAST", Main_L[[#This Row],[Symbol]])</f>
        <v>191</v>
      </c>
      <c r="E99">
        <v>8.69</v>
      </c>
      <c r="F99">
        <v>46.55</v>
      </c>
      <c r="G99">
        <v>5.65</v>
      </c>
      <c r="H99" s="1">
        <f>IF(ISNUMBER(Main_L[[#This Row],[Free CF]]),IF(Main_L[[#This Row],[Free CF]]&lt;&gt;0,Main_L[[#This Row],[Current Price]]/Main_L[[#This Row],[Free CF]],""),"")</f>
        <v>21.979286536248562</v>
      </c>
      <c r="I99" s="1">
        <f>IF(ISNUMBER(Main_L[[#This Row],[BVPS]]),IF(Main_L[[#This Row],[BVPS]]&lt;&gt;0,Main_L[[#This Row],[Current Price]]/Main_L[[#This Row],[BVPS]],""),"")</f>
        <v>4.1031149301826</v>
      </c>
      <c r="J99">
        <v>11.68</v>
      </c>
      <c r="K99">
        <v>4.3899999999999997</v>
      </c>
      <c r="L99">
        <v>3.11</v>
      </c>
      <c r="M99" s="1">
        <f>IF(ISNUMBER(Main_L[[#This Row],[EPS]]),IF(Main_L[[#This Row],[EPS]]&lt;&gt;0,Main_L[[#This Row],[Current Price]]/Main_L[[#This Row],[EPS]],""),"")</f>
        <v>33.805309734513273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-0.13723801219237555</v>
      </c>
      <c r="P99" s="1">
        <f>(Main_L[[#This Row],[P/B]]-VLOOKUP(Main_L[[#This Row],[Industry]], Mean_PB_L, 2, FALSE))/(VLOOKUP(Main_L[[#This Row],[Industry]], Mean_PB_L, 3, FALSE))</f>
        <v>-0.42738764937382862</v>
      </c>
      <c r="Q99" s="1">
        <f>(Main_L[[#This Row],[ROE]]-VLOOKUP(Main_L[[#This Row],[Industry]], Mean_ROE_L, 2, FALSE))/(VLOOKUP(Main_L[[#This Row],[Industry]], Mean_ROE_L, 3, FALSE))</f>
        <v>-0.37445057633099893</v>
      </c>
      <c r="R99" s="1">
        <f>(Main_L[[#This Row],[ROA]]-VLOOKUP(Main_L[[#This Row],[Industry]], Mean_ROA_L, 2, FALSE))/(VLOOKUP(Main_L[[#This Row],[Industry]], Mean_ROA_L, 3, FALSE))</f>
        <v>0.96028942534696815</v>
      </c>
      <c r="S99" s="1">
        <f>(Main_L[[#This Row],[A/E]]-VLOOKUP(Main_L[[#This Row],[Industry]], Mean_AE_L, 2, FALSE))/(VLOOKUP(Main_L[[#This Row],[Industry]], Mean_AE_L, 3, FALSE))</f>
        <v>-0.1065014841195244</v>
      </c>
      <c r="T99" s="1">
        <f>(Main_L[[#This Row],[P/E]]-VLOOKUP(Main_L[[#This Row],[Industry]], Mean_PE_L, 2, FALSE))/(VLOOKUP(Main_L[[#This Row],[Industry]], Mean_PE_L, 3, FALSE))</f>
        <v>0.66613504585750438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0" spans="1:26" x14ac:dyDescent="0.25">
      <c r="A100" s="68" t="s">
        <v>150</v>
      </c>
      <c r="B100" s="68" t="s">
        <v>158</v>
      </c>
      <c r="C100" s="2">
        <v>39705</v>
      </c>
      <c r="D100">
        <f>RTD("tos.rtd", , "LAST", Main_L[[#This Row],[Symbol]])</f>
        <v>77.680000000000007</v>
      </c>
      <c r="E100">
        <v>2.27</v>
      </c>
      <c r="F100">
        <v>29.56</v>
      </c>
      <c r="G100">
        <v>1.42</v>
      </c>
      <c r="H100" s="1">
        <f>IF(ISNUMBER(Main_L[[#This Row],[Free CF]]),IF(Main_L[[#This Row],[Free CF]]&lt;&gt;0,Main_L[[#This Row],[Current Price]]/Main_L[[#This Row],[Free CF]],""),"")</f>
        <v>34.220264317180622</v>
      </c>
      <c r="I100" s="1">
        <f>IF(ISNUMBER(Main_L[[#This Row],[BVPS]]),IF(Main_L[[#This Row],[BVPS]]&lt;&gt;0,Main_L[[#This Row],[Current Price]]/Main_L[[#This Row],[BVPS]],""),"")</f>
        <v>2.6278755074424902</v>
      </c>
      <c r="J100">
        <v>4.55</v>
      </c>
      <c r="K100">
        <v>2.69</v>
      </c>
      <c r="L100">
        <v>2.15</v>
      </c>
      <c r="M100" s="1">
        <f>IF(ISNUMBER(Main_L[[#This Row],[EPS]]),IF(Main_L[[#This Row],[EPS]]&lt;&gt;0,Main_L[[#This Row],[Current Price]]/Main_L[[#This Row],[EPS]],""),"")</f>
        <v>54.704225352112687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0" s="1">
        <f>(Main_L[[#This Row],[P/FCF]]-VLOOKUP(Main_L[[#This Row],[Industry]], Mean_PFCF_L, 2, FALSE))/(VLOOKUP(Main_L[[#This Row],[Industry]], Mean_PFCF_L, 3, FALSE))</f>
        <v>0.90787271291108973</v>
      </c>
      <c r="P100" s="1">
        <f>(Main_L[[#This Row],[P/B]]-VLOOKUP(Main_L[[#This Row],[Industry]], Mean_PB_L, 2, FALSE))/(VLOOKUP(Main_L[[#This Row],[Industry]], Mean_PB_L, 3, FALSE))</f>
        <v>-0.67006236552055753</v>
      </c>
      <c r="Q100" s="1">
        <f>(Main_L[[#This Row],[ROE]]-VLOOKUP(Main_L[[#This Row],[Industry]], Mean_ROE_L, 2, FALSE))/(VLOOKUP(Main_L[[#This Row],[Industry]], Mean_ROE_L, 3, FALSE))</f>
        <v>-0.85842903715399965</v>
      </c>
      <c r="R100" s="1">
        <f>(Main_L[[#This Row],[ROA]]-VLOOKUP(Main_L[[#This Row],[Industry]], Mean_ROA_L, 2, FALSE))/(VLOOKUP(Main_L[[#This Row],[Industry]], Mean_ROA_L, 3, FALSE))</f>
        <v>0.18074687552292731</v>
      </c>
      <c r="S100" s="1">
        <f>(Main_L[[#This Row],[A/E]]-VLOOKUP(Main_L[[#This Row],[Industry]], Mean_AE_L, 2, FALSE))/(VLOOKUP(Main_L[[#This Row],[Industry]], Mean_AE_L, 3, FALSE))</f>
        <v>-0.66418198278176055</v>
      </c>
      <c r="T100" s="1">
        <f>(Main_L[[#This Row],[P/E]]-VLOOKUP(Main_L[[#This Row],[Industry]], Mean_PE_L, 2, FALSE))/(VLOOKUP(Main_L[[#This Row],[Industry]], Mean_PE_L, 3, FALSE))</f>
        <v>2.2302907279199582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s="68" t="s">
        <v>150</v>
      </c>
      <c r="B101" s="68" t="s">
        <v>159</v>
      </c>
      <c r="C101" s="2">
        <v>19357</v>
      </c>
      <c r="D101">
        <f>RTD("tos.rtd", , "LAST", Main_L[[#This Row],[Symbol]])</f>
        <v>82.76</v>
      </c>
      <c r="E101">
        <v>11.24</v>
      </c>
      <c r="F101">
        <v>89.59</v>
      </c>
      <c r="G101">
        <v>6.16</v>
      </c>
      <c r="H101" s="1">
        <f>IF(ISNUMBER(Main_L[[#This Row],[Free CF]]),IF(Main_L[[#This Row],[Free CF]]&lt;&gt;0,Main_L[[#This Row],[Current Price]]/Main_L[[#This Row],[Free CF]],""),"")</f>
        <v>7.3629893238434168</v>
      </c>
      <c r="I101" s="1">
        <f>IF(ISNUMBER(Main_L[[#This Row],[BVPS]]),IF(Main_L[[#This Row],[BVPS]]&lt;&gt;0,Main_L[[#This Row],[Current Price]]/Main_L[[#This Row],[BVPS]],""),"")</f>
        <v>0.92376381292554977</v>
      </c>
      <c r="J101">
        <v>7.03</v>
      </c>
      <c r="K101">
        <v>3.26</v>
      </c>
      <c r="L101">
        <v>2.1</v>
      </c>
      <c r="M101" s="1">
        <f>IF(ISNUMBER(Main_L[[#This Row],[EPS]]),IF(Main_L[[#This Row],[EPS]]&lt;&gt;0,Main_L[[#This Row],[Current Price]]/Main_L[[#This Row],[EPS]],""),"")</f>
        <v>13.435064935064936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1" s="1">
        <f>(Main_L[[#This Row],[P/FCF]]-VLOOKUP(Main_L[[#This Row],[Industry]], Mean_PFCF_L, 2, FALSE))/(VLOOKUP(Main_L[[#This Row],[Industry]], Mean_PFCF_L, 3, FALSE))</f>
        <v>-1.3851488614204162</v>
      </c>
      <c r="P101" s="1">
        <f>(Main_L[[#This Row],[P/B]]-VLOOKUP(Main_L[[#This Row],[Industry]], Mean_PB_L, 2, FALSE))/(VLOOKUP(Main_L[[#This Row],[Industry]], Mean_PB_L, 3, FALSE))</f>
        <v>-0.95038623388702326</v>
      </c>
      <c r="Q101" s="1">
        <f>(Main_L[[#This Row],[ROE]]-VLOOKUP(Main_L[[#This Row],[Industry]], Mean_ROE_L, 2, FALSE))/(VLOOKUP(Main_L[[#This Row],[Industry]], Mean_ROE_L, 3, FALSE))</f>
        <v>-0.69008870295469493</v>
      </c>
      <c r="R101" s="1">
        <f>(Main_L[[#This Row],[ROA]]-VLOOKUP(Main_L[[#This Row],[Industry]], Mean_ROA_L, 2, FALSE))/(VLOOKUP(Main_L[[#This Row],[Industry]], Mean_ROA_L, 3, FALSE))</f>
        <v>0.44212290693451745</v>
      </c>
      <c r="S101" s="1">
        <f>(Main_L[[#This Row],[A/E]]-VLOOKUP(Main_L[[#This Row],[Industry]], Mean_AE_L, 2, FALSE))/(VLOOKUP(Main_L[[#This Row],[Industry]], Mean_AE_L, 3, FALSE))</f>
        <v>-0.69322784208708521</v>
      </c>
      <c r="T101" s="1">
        <f>(Main_L[[#This Row],[P/E]]-VLOOKUP(Main_L[[#This Row],[Industry]], Mean_PE_L, 2, FALSE))/(VLOOKUP(Main_L[[#This Row],[Industry]], Mean_PE_L, 3, FALSE))</f>
        <v>-0.85845286726983572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2" spans="1:26" x14ac:dyDescent="0.25">
      <c r="A102" s="68" t="s">
        <v>150</v>
      </c>
      <c r="B102" s="68" t="s">
        <v>160</v>
      </c>
      <c r="C102" s="2">
        <v>12513</v>
      </c>
      <c r="D102">
        <f>RTD("tos.rtd", , "LAST", Main_L[[#This Row],[Symbol]])</f>
        <v>178.34</v>
      </c>
      <c r="E102">
        <v>4.05</v>
      </c>
      <c r="F102">
        <v>27.1</v>
      </c>
      <c r="G102">
        <v>5.55</v>
      </c>
      <c r="H102" s="1">
        <f>IF(ISNUMBER(Main_L[[#This Row],[Free CF]]),IF(Main_L[[#This Row],[Free CF]]&lt;&gt;0,Main_L[[#This Row],[Current Price]]/Main_L[[#This Row],[Free CF]],""),"")</f>
        <v>44.034567901234574</v>
      </c>
      <c r="I102" s="1">
        <f>IF(ISNUMBER(Main_L[[#This Row],[BVPS]]),IF(Main_L[[#This Row],[BVPS]]&lt;&gt;0,Main_L[[#This Row],[Current Price]]/Main_L[[#This Row],[BVPS]],""),"")</f>
        <v>6.5808118081180806</v>
      </c>
      <c r="J102">
        <v>21.9</v>
      </c>
      <c r="K102">
        <v>11.3</v>
      </c>
      <c r="L102">
        <v>1.47</v>
      </c>
      <c r="M102" s="1">
        <f>IF(ISNUMBER(Main_L[[#This Row],[EPS]]),IF(Main_L[[#This Row],[EPS]]&lt;&gt;0,Main_L[[#This Row],[Current Price]]/Main_L[[#This Row],[EPS]],""),"")</f>
        <v>32.133333333333333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1.7457987445303684</v>
      </c>
      <c r="P102" s="1">
        <f>(Main_L[[#This Row],[P/B]]-VLOOKUP(Main_L[[#This Row],[Industry]], Mean_PB_L, 2, FALSE))/(VLOOKUP(Main_L[[#This Row],[Industry]], Mean_PB_L, 3, FALSE))</f>
        <v>-1.9810155658386862E-2</v>
      </c>
      <c r="Q102" s="1">
        <f>(Main_L[[#This Row],[ROE]]-VLOOKUP(Main_L[[#This Row],[Industry]], Mean_ROE_L, 2, FALSE))/(VLOOKUP(Main_L[[#This Row],[Industry]], Mean_ROE_L, 3, FALSE))</f>
        <v>0.319274510570974</v>
      </c>
      <c r="R102" s="1">
        <f>(Main_L[[#This Row],[ROA]]-VLOOKUP(Main_L[[#This Row],[Industry]], Mean_ROA_L, 2, FALSE))/(VLOOKUP(Main_L[[#This Row],[Industry]], Mean_ROA_L, 3, FALSE))</f>
        <v>4.128900613161159</v>
      </c>
      <c r="S102" s="1">
        <f>(Main_L[[#This Row],[A/E]]-VLOOKUP(Main_L[[#This Row],[Industry]], Mean_AE_L, 2, FALSE))/(VLOOKUP(Main_L[[#This Row],[Industry]], Mean_AE_L, 3, FALSE))</f>
        <v>-1.0592056693341778</v>
      </c>
      <c r="T102" s="1">
        <f>(Main_L[[#This Row],[P/E]]-VLOOKUP(Main_L[[#This Row],[Industry]], Mean_PE_L, 2, FALSE))/(VLOOKUP(Main_L[[#This Row],[Industry]], Mean_PE_L, 3, FALSE))</f>
        <v>0.54099786476962086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3" spans="1:26" x14ac:dyDescent="0.25">
      <c r="A103" s="68" t="s">
        <v>150</v>
      </c>
      <c r="B103" s="68" t="s">
        <v>161</v>
      </c>
      <c r="C103" s="2">
        <v>514274</v>
      </c>
      <c r="D103">
        <f>RTD("tos.rtd", , "LAST", Main_L[[#This Row],[Symbol]])</f>
        <v>576.59</v>
      </c>
      <c r="E103">
        <v>15.56</v>
      </c>
      <c r="F103">
        <v>7.33</v>
      </c>
      <c r="G103">
        <v>14.26</v>
      </c>
      <c r="H103" s="1">
        <f>IF(ISNUMBER(Main_L[[#This Row],[Free CF]]),IF(Main_L[[#This Row],[Free CF]]&lt;&gt;0,Main_L[[#This Row],[Current Price]]/Main_L[[#This Row],[Free CF]],""),"")</f>
        <v>37.055912596401029</v>
      </c>
      <c r="I103" s="1">
        <f>IF(ISNUMBER(Main_L[[#This Row],[BVPS]]),IF(Main_L[[#This Row],[BVPS]]&lt;&gt;0,Main_L[[#This Row],[Current Price]]/Main_L[[#This Row],[BVPS]],""),"")</f>
        <v>78.661664392905877</v>
      </c>
      <c r="J103">
        <v>187.7</v>
      </c>
      <c r="K103">
        <v>23.36</v>
      </c>
      <c r="L103">
        <v>7.27</v>
      </c>
      <c r="M103" s="1">
        <f>IF(ISNUMBER(Main_L[[#This Row],[EPS]]),IF(Main_L[[#This Row],[EPS]]&lt;&gt;0,Main_L[[#This Row],[Current Price]]/Main_L[[#This Row],[EPS]],""),"")</f>
        <v>40.434081346423568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1.1499748131085774</v>
      </c>
      <c r="P103" s="1">
        <f>(Main_L[[#This Row],[P/B]]-VLOOKUP(Main_L[[#This Row],[Industry]], Mean_PB_L, 2, FALSE))/(VLOOKUP(Main_L[[#This Row],[Industry]], Mean_PB_L, 3, FALSE))</f>
        <v>11.837384121415345</v>
      </c>
      <c r="Q103" s="1">
        <f>(Main_L[[#This Row],[ROE]]-VLOOKUP(Main_L[[#This Row],[Industry]], Mean_ROE_L, 2, FALSE))/(VLOOKUP(Main_L[[#This Row],[Industry]], Mean_ROE_L, 3, FALSE))</f>
        <v>11.573640401798677</v>
      </c>
      <c r="R103" s="1">
        <f>(Main_L[[#This Row],[ROA]]-VLOOKUP(Main_L[[#This Row],[Industry]], Mean_ROA_L, 2, FALSE))/(VLOOKUP(Main_L[[#This Row],[Industry]], Mean_ROA_L, 3, FALSE))</f>
        <v>9.6590671725011195</v>
      </c>
      <c r="S103" s="1">
        <f>(Main_L[[#This Row],[A/E]]-VLOOKUP(Main_L[[#This Row],[Industry]], Mean_AE_L, 2, FALSE))/(VLOOKUP(Main_L[[#This Row],[Industry]], Mean_AE_L, 3, FALSE))</f>
        <v>2.3101140100834985</v>
      </c>
      <c r="T103" s="1">
        <f>(Main_L[[#This Row],[P/E]]-VLOOKUP(Main_L[[#This Row],[Industry]], Mean_PE_L, 2, FALSE))/(VLOOKUP(Main_L[[#This Row],[Industry]], Mean_PE_L, 3, FALSE))</f>
        <v>1.1622579534562272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s="68" t="s">
        <v>150</v>
      </c>
      <c r="B104" s="68" t="s">
        <v>162</v>
      </c>
      <c r="C104" s="2">
        <v>66803</v>
      </c>
      <c r="D104">
        <f>RTD("tos.rtd", , "LAST", Main_L[[#This Row],[Symbol]])</f>
        <v>72.290000000000006</v>
      </c>
      <c r="E104">
        <v>5.91</v>
      </c>
      <c r="F104">
        <v>20.69</v>
      </c>
      <c r="G104">
        <v>4.45</v>
      </c>
      <c r="H104" s="1">
        <f>IF(ISNUMBER(Main_L[[#This Row],[Free CF]]),IF(Main_L[[#This Row],[Free CF]]&lt;&gt;0,Main_L[[#This Row],[Current Price]]/Main_L[[#This Row],[Free CF]],""),"")</f>
        <v>12.231810490693741</v>
      </c>
      <c r="I104" s="1">
        <f>IF(ISNUMBER(Main_L[[#This Row],[BVPS]]),IF(Main_L[[#This Row],[BVPS]]&lt;&gt;0,Main_L[[#This Row],[Current Price]]/Main_L[[#This Row],[BVPS]],""),"")</f>
        <v>3.4939584340260996</v>
      </c>
      <c r="J104">
        <v>22.2</v>
      </c>
      <c r="K104">
        <v>4.45</v>
      </c>
      <c r="L104">
        <v>4.01</v>
      </c>
      <c r="M104" s="1">
        <f>IF(ISNUMBER(Main_L[[#This Row],[EPS]]),IF(Main_L[[#This Row],[EPS]]&lt;&gt;0,Main_L[[#This Row],[Current Price]]/Main_L[[#This Row],[EPS]],""),"")</f>
        <v>16.244943820224719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4" s="1">
        <f>(Main_L[[#This Row],[P/FCF]]-VLOOKUP(Main_L[[#This Row],[Industry]], Mean_PFCF_L, 2, FALSE))/(VLOOKUP(Main_L[[#This Row],[Industry]], Mean_PFCF_L, 3, FALSE))</f>
        <v>-0.96945843936831466</v>
      </c>
      <c r="P104" s="1">
        <f>(Main_L[[#This Row],[P/B]]-VLOOKUP(Main_L[[#This Row],[Industry]], Mean_PB_L, 2, FALSE))/(VLOOKUP(Main_L[[#This Row],[Industry]], Mean_PB_L, 3, FALSE))</f>
        <v>-0.5275929974109228</v>
      </c>
      <c r="Q104" s="1">
        <f>(Main_L[[#This Row],[ROE]]-VLOOKUP(Main_L[[#This Row],[Industry]], Mean_ROE_L, 2, FALSE))/(VLOOKUP(Main_L[[#This Row],[Industry]], Mean_ROE_L, 3, FALSE))</f>
        <v>0.33963826067572866</v>
      </c>
      <c r="R104" s="1">
        <f>(Main_L[[#This Row],[ROA]]-VLOOKUP(Main_L[[#This Row],[Industry]], Mean_ROA_L, 2, FALSE))/(VLOOKUP(Main_L[[#This Row],[Industry]], Mean_ROA_L, 3, FALSE))</f>
        <v>0.98780269181134628</v>
      </c>
      <c r="S104" s="1">
        <f>(Main_L[[#This Row],[A/E]]-VLOOKUP(Main_L[[#This Row],[Industry]], Mean_AE_L, 2, FALSE))/(VLOOKUP(Main_L[[#This Row],[Industry]], Mean_AE_L, 3, FALSE))</f>
        <v>0.41632398337632193</v>
      </c>
      <c r="T104" s="1">
        <f>(Main_L[[#This Row],[P/E]]-VLOOKUP(Main_L[[#This Row],[Industry]], Mean_PE_L, 2, FALSE))/(VLOOKUP(Main_L[[#This Row],[Industry]], Mean_PE_L, 3, FALSE))</f>
        <v>-0.648150662861259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5" spans="1:26" x14ac:dyDescent="0.25">
      <c r="A105" s="68" t="s">
        <v>150</v>
      </c>
      <c r="B105" s="68" t="s">
        <v>163</v>
      </c>
      <c r="C105" s="2">
        <v>20550</v>
      </c>
      <c r="D105">
        <f>RTD("tos.rtd", , "LAST", Main_L[[#This Row],[Symbol]])</f>
        <v>43.96</v>
      </c>
      <c r="E105">
        <v>0.55000000000000004</v>
      </c>
      <c r="F105">
        <v>2.7</v>
      </c>
      <c r="G105">
        <v>0.03</v>
      </c>
      <c r="H105" s="1">
        <f>IF(ISNUMBER(Main_L[[#This Row],[Free CF]]),IF(Main_L[[#This Row],[Free CF]]&lt;&gt;0,Main_L[[#This Row],[Current Price]]/Main_L[[#This Row],[Free CF]],""),"")</f>
        <v>79.927272727272722</v>
      </c>
      <c r="I105" s="1">
        <f>IF(ISNUMBER(Main_L[[#This Row],[BVPS]]),IF(Main_L[[#This Row],[BVPS]]&lt;&gt;0,Main_L[[#This Row],[Current Price]]/Main_L[[#This Row],[BVPS]],""),"")</f>
        <v>16.281481481481482</v>
      </c>
      <c r="J105">
        <v>1.39</v>
      </c>
      <c r="K105">
        <v>1.92</v>
      </c>
      <c r="L105">
        <v>1.56</v>
      </c>
      <c r="M105" s="1">
        <f>IF(ISNUMBER(Main_L[[#This Row],[EPS]]),IF(Main_L[[#This Row],[EPS]]&lt;&gt;0,Main_L[[#This Row],[Current Price]]/Main_L[[#This Row],[EPS]],""),"")</f>
        <v>1465.3333333333335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4.8102476339890279</v>
      </c>
      <c r="P105" s="1">
        <f>(Main_L[[#This Row],[P/B]]-VLOOKUP(Main_L[[#This Row],[Industry]], Mean_PB_L, 2, FALSE))/(VLOOKUP(Main_L[[#This Row],[Industry]], Mean_PB_L, 3, FALSE))</f>
        <v>1.5759357437049351</v>
      </c>
      <c r="Q105" s="1">
        <f>(Main_L[[#This Row],[ROE]]-VLOOKUP(Main_L[[#This Row],[Industry]], Mean_ROE_L, 2, FALSE))/(VLOOKUP(Main_L[[#This Row],[Industry]], Mean_ROE_L, 3, FALSE))</f>
        <v>-1.0729272049240812</v>
      </c>
      <c r="R105" s="1">
        <f>(Main_L[[#This Row],[ROA]]-VLOOKUP(Main_L[[#This Row],[Industry]], Mean_ROA_L, 2, FALSE))/(VLOOKUP(Main_L[[#This Row],[Industry]], Mean_ROA_L, 3, FALSE))</f>
        <v>-0.17234004410325598</v>
      </c>
      <c r="S105" s="1">
        <f>(Main_L[[#This Row],[A/E]]-VLOOKUP(Main_L[[#This Row],[Industry]], Mean_AE_L, 2, FALSE))/(VLOOKUP(Main_L[[#This Row],[Industry]], Mean_AE_L, 3, FALSE))</f>
        <v>-1.0069231225845932</v>
      </c>
      <c r="T105" s="1">
        <f>(Main_L[[#This Row],[P/E]]-VLOOKUP(Main_L[[#This Row],[Industry]], Mean_PE_L, 2, FALSE))/(VLOOKUP(Main_L[[#This Row],[Industry]], Mean_PE_L, 3, FALSE))</f>
        <v>107.80722949853373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6" spans="1:26" x14ac:dyDescent="0.25">
      <c r="A106" s="68" t="s">
        <v>150</v>
      </c>
      <c r="B106" s="68" t="s">
        <v>164</v>
      </c>
      <c r="C106" s="2">
        <v>670198</v>
      </c>
      <c r="D106">
        <f>RTD("tos.rtd", , "LAST", Main_L[[#This Row],[Symbol]])</f>
        <v>356.14</v>
      </c>
      <c r="E106">
        <v>10.83</v>
      </c>
      <c r="F106">
        <v>19.8</v>
      </c>
      <c r="G106">
        <v>9.9600000000000009</v>
      </c>
      <c r="H106" s="1">
        <f>IF(ISNUMBER(Main_L[[#This Row],[Free CF]]),IF(Main_L[[#This Row],[Free CF]]&lt;&gt;0,Main_L[[#This Row],[Current Price]]/Main_L[[#This Row],[Free CF]],""),"")</f>
        <v>32.884579870729453</v>
      </c>
      <c r="I106" s="1">
        <f>IF(ISNUMBER(Main_L[[#This Row],[BVPS]]),IF(Main_L[[#This Row],[BVPS]]&lt;&gt;0,Main_L[[#This Row],[Current Price]]/Main_L[[#This Row],[BVPS]],""),"")</f>
        <v>17.986868686868686</v>
      </c>
      <c r="J106">
        <v>50.66</v>
      </c>
      <c r="K106">
        <v>16.940000000000001</v>
      </c>
      <c r="L106">
        <v>2.5</v>
      </c>
      <c r="M106" s="1">
        <f>IF(ISNUMBER(Main_L[[#This Row],[EPS]]),IF(Main_L[[#This Row],[EPS]]&lt;&gt;0,Main_L[[#This Row],[Current Price]]/Main_L[[#This Row],[EPS]],""),"")</f>
        <v>35.757028112449795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0.79383458905186077</v>
      </c>
      <c r="P106" s="1">
        <f>(Main_L[[#This Row],[P/B]]-VLOOKUP(Main_L[[#This Row],[Industry]], Mean_PB_L, 2, FALSE))/(VLOOKUP(Main_L[[#This Row],[Industry]], Mean_PB_L, 3, FALSE))</f>
        <v>1.8564694317343058</v>
      </c>
      <c r="Q106" s="1">
        <f>(Main_L[[#This Row],[ROE]]-VLOOKUP(Main_L[[#This Row],[Industry]], Mean_ROE_L, 2, FALSE))/(VLOOKUP(Main_L[[#This Row],[Industry]], Mean_ROE_L, 3, FALSE))</f>
        <v>2.2714793539467801</v>
      </c>
      <c r="R106" s="1">
        <f>(Main_L[[#This Row],[ROA]]-VLOOKUP(Main_L[[#This Row],[Industry]], Mean_ROA_L, 2, FALSE))/(VLOOKUP(Main_L[[#This Row],[Industry]], Mean_ROA_L, 3, FALSE))</f>
        <v>6.7151476608126837</v>
      </c>
      <c r="S106" s="1">
        <f>(Main_L[[#This Row],[A/E]]-VLOOKUP(Main_L[[#This Row],[Industry]], Mean_AE_L, 2, FALSE))/(VLOOKUP(Main_L[[#This Row],[Industry]], Mean_AE_L, 3, FALSE))</f>
        <v>-0.46086096764448686</v>
      </c>
      <c r="T106" s="1">
        <f>(Main_L[[#This Row],[P/E]]-VLOOKUP(Main_L[[#This Row],[Industry]], Mean_PE_L, 2, FALSE))/(VLOOKUP(Main_L[[#This Row],[Industry]], Mean_PE_L, 3, FALSE))</f>
        <v>0.81220919853097173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7" spans="1:26" x14ac:dyDescent="0.25">
      <c r="A107" s="68" t="s">
        <v>150</v>
      </c>
      <c r="B107" s="68" t="s">
        <v>165</v>
      </c>
      <c r="C107" s="2">
        <v>29490</v>
      </c>
      <c r="D107">
        <f>RTD("tos.rtd", , "LAST", Main_L[[#This Row],[Symbol]])</f>
        <v>58.17</v>
      </c>
      <c r="E107">
        <v>1.94</v>
      </c>
      <c r="F107">
        <v>34.799999999999997</v>
      </c>
      <c r="G107">
        <v>4.12</v>
      </c>
      <c r="H107" s="1">
        <f>IF(ISNUMBER(Main_L[[#This Row],[Free CF]]),IF(Main_L[[#This Row],[Free CF]]&lt;&gt;0,Main_L[[#This Row],[Current Price]]/Main_L[[#This Row],[Free CF]],""),"")</f>
        <v>29.984536082474229</v>
      </c>
      <c r="I107" s="1">
        <f>IF(ISNUMBER(Main_L[[#This Row],[BVPS]]),IF(Main_L[[#This Row],[BVPS]]&lt;&gt;0,Main_L[[#This Row],[Current Price]]/Main_L[[#This Row],[BVPS]],""),"")</f>
        <v>1.6715517241379312</v>
      </c>
      <c r="J107">
        <v>12.79</v>
      </c>
      <c r="K107">
        <v>1.93</v>
      </c>
      <c r="L107">
        <v>1.7</v>
      </c>
      <c r="M107" s="1">
        <f>IF(ISNUMBER(Main_L[[#This Row],[EPS]]),IF(Main_L[[#This Row],[EPS]]&lt;&gt;0,Main_L[[#This Row],[Current Price]]/Main_L[[#This Row],[EPS]],""),"")</f>
        <v>14.118932038834952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0.54623452632677005</v>
      </c>
      <c r="P107" s="1">
        <f>(Main_L[[#This Row],[P/B]]-VLOOKUP(Main_L[[#This Row],[Industry]], Mean_PB_L, 2, FALSE))/(VLOOKUP(Main_L[[#This Row],[Industry]], Mean_PB_L, 3, FALSE))</f>
        <v>-0.82737622188886317</v>
      </c>
      <c r="Q107" s="1">
        <f>(Main_L[[#This Row],[ROE]]-VLOOKUP(Main_L[[#This Row],[Industry]], Mean_ROE_L, 2, FALSE))/(VLOOKUP(Main_L[[#This Row],[Industry]], Mean_ROE_L, 3, FALSE))</f>
        <v>-0.29910470094340696</v>
      </c>
      <c r="R107" s="1">
        <f>(Main_L[[#This Row],[ROA]]-VLOOKUP(Main_L[[#This Row],[Industry]], Mean_ROA_L, 2, FALSE))/(VLOOKUP(Main_L[[#This Row],[Industry]], Mean_ROA_L, 3, FALSE))</f>
        <v>-0.16775449969252632</v>
      </c>
      <c r="S107" s="1">
        <f>(Main_L[[#This Row],[A/E]]-VLOOKUP(Main_L[[#This Row],[Industry]], Mean_AE_L, 2, FALSE))/(VLOOKUP(Main_L[[#This Row],[Industry]], Mean_AE_L, 3, FALSE))</f>
        <v>-0.92559471652968373</v>
      </c>
      <c r="T107" s="1">
        <f>(Main_L[[#This Row],[P/E]]-VLOOKUP(Main_L[[#This Row],[Industry]], Mean_PE_L, 2, FALSE))/(VLOOKUP(Main_L[[#This Row],[Industry]], Mean_PE_L, 3, FALSE))</f>
        <v>-0.80726960801801739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s="68" t="s">
        <v>215</v>
      </c>
      <c r="B108" s="68" t="s">
        <v>216</v>
      </c>
      <c r="C108" s="2">
        <v>86943</v>
      </c>
      <c r="D108">
        <f>RTD("tos.rtd", , "LAST", Main_L[[#This Row],[Symbol]])</f>
        <v>332.7</v>
      </c>
      <c r="E108">
        <v>10.99</v>
      </c>
      <c r="F108">
        <v>87.15</v>
      </c>
      <c r="G108">
        <v>6.66</v>
      </c>
      <c r="H108" s="1">
        <f>IF(ISNUMBER(Main_L[[#This Row],[Free CF]]),IF(Main_L[[#This Row],[Free CF]]&lt;&gt;0,Main_L[[#This Row],[Current Price]]/Main_L[[#This Row],[Free CF]],""),"")</f>
        <v>30.272975432211098</v>
      </c>
      <c r="I108" s="1">
        <f>IF(ISNUMBER(Main_L[[#This Row],[BVPS]]),IF(Main_L[[#This Row],[BVPS]]&lt;&gt;0,Main_L[[#This Row],[Current Price]]/Main_L[[#This Row],[BVPS]],""),"")</f>
        <v>3.8175559380378652</v>
      </c>
      <c r="J108">
        <v>9.3000000000000007</v>
      </c>
      <c r="K108">
        <v>2.68</v>
      </c>
      <c r="L108">
        <v>3.32</v>
      </c>
      <c r="M108" s="1">
        <f>IF(ISNUMBER(Main_L[[#This Row],[EPS]]),IF(Main_L[[#This Row],[EPS]]&lt;&gt;0,Main_L[[#This Row],[Current Price]]/Main_L[[#This Row],[EPS]],""),"")</f>
        <v>49.95495495495495</v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>
        <f>(Main_L[[#This Row],[P/FCF]]-VLOOKUP(Main_L[[#This Row],[Industry]], Mean_PFCF_L, 2, FALSE))/(VLOOKUP(Main_L[[#This Row],[Industry]], Mean_PFCF_L, 3, FALSE))</f>
        <v>1.9362387182025667</v>
      </c>
      <c r="P108" s="1">
        <f>(Main_L[[#This Row],[P/B]]-VLOOKUP(Main_L[[#This Row],[Industry]], Mean_PB_L, 2, FALSE))/(VLOOKUP(Main_L[[#This Row],[Industry]], Mean_PB_L, 3, FALSE))</f>
        <v>1.5358188616065971</v>
      </c>
      <c r="Q108" s="1">
        <f>(Main_L[[#This Row],[ROE]]-VLOOKUP(Main_L[[#This Row],[Industry]], Mean_ROE_L, 2, FALSE))/(VLOOKUP(Main_L[[#This Row],[Industry]], Mean_ROE_L, 3, FALSE))</f>
        <v>-0.76418366006436311</v>
      </c>
      <c r="R108" s="1">
        <f>(Main_L[[#This Row],[ROA]]-VLOOKUP(Main_L[[#This Row],[Industry]], Mean_ROA_L, 2, FALSE))/(VLOOKUP(Main_L[[#This Row],[Industry]], Mean_ROA_L, 3, FALSE))</f>
        <v>0.16620744330988899</v>
      </c>
      <c r="S108" s="1">
        <f>(Main_L[[#This Row],[A/E]]-VLOOKUP(Main_L[[#This Row],[Industry]], Mean_AE_L, 2, FALSE))/(VLOOKUP(Main_L[[#This Row],[Industry]], Mean_AE_L, 3, FALSE))</f>
        <v>-0.73184130985683471</v>
      </c>
      <c r="T108" s="1">
        <f>(Main_L[[#This Row],[P/E]]-VLOOKUP(Main_L[[#This Row],[Industry]], Mean_PE_L, 2, FALSE))/(VLOOKUP(Main_L[[#This Row],[Industry]], Mean_PE_L, 3, FALSE))</f>
        <v>9.524969072986142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9" spans="1:26" x14ac:dyDescent="0.25">
      <c r="A109" s="68" t="s">
        <v>215</v>
      </c>
      <c r="B109" s="68" t="s">
        <v>217</v>
      </c>
      <c r="C109" s="2">
        <v>77678</v>
      </c>
      <c r="D109">
        <f>RTD("tos.rtd", , "LAST", Main_L[[#This Row],[Symbol]])</f>
        <v>355.07</v>
      </c>
      <c r="E109">
        <v>12.24</v>
      </c>
      <c r="F109">
        <v>32.409999999999997</v>
      </c>
      <c r="G109">
        <v>11.75</v>
      </c>
      <c r="H109" s="1">
        <f>IF(ISNUMBER(Main_L[[#This Row],[Free CF]]),IF(Main_L[[#This Row],[Free CF]]&lt;&gt;0,Main_L[[#This Row],[Current Price]]/Main_L[[#This Row],[Free CF]],""),"")</f>
        <v>29.008986928104573</v>
      </c>
      <c r="I109" s="1">
        <f>IF(ISNUMBER(Main_L[[#This Row],[BVPS]]),IF(Main_L[[#This Row],[BVPS]]&lt;&gt;0,Main_L[[#This Row],[Current Price]]/Main_L[[#This Row],[BVPS]],""),"")</f>
        <v>10.955569268744215</v>
      </c>
      <c r="J109">
        <v>72.010000000000005</v>
      </c>
      <c r="K109">
        <v>6.01</v>
      </c>
      <c r="L109">
        <v>7.18</v>
      </c>
      <c r="M109" s="1">
        <f>IF(ISNUMBER(Main_L[[#This Row],[EPS]]),IF(Main_L[[#This Row],[EPS]]&lt;&gt;0,Main_L[[#This Row],[Current Price]]/Main_L[[#This Row],[EPS]],""),"")</f>
        <v>30.218723404255318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1.7988162189903016</v>
      </c>
      <c r="P109" s="1">
        <f>(Main_L[[#This Row],[P/B]]-VLOOKUP(Main_L[[#This Row],[Industry]], Mean_PB_L, 2, FALSE))/(VLOOKUP(Main_L[[#This Row],[Industry]], Mean_PB_L, 3, FALSE))</f>
        <v>8.1498275611306035</v>
      </c>
      <c r="Q109" s="1">
        <f>(Main_L[[#This Row],[ROE]]-VLOOKUP(Main_L[[#This Row],[Industry]], Mean_ROE_L, 2, FALSE))/(VLOOKUP(Main_L[[#This Row],[Industry]], Mean_ROE_L, 3, FALSE))</f>
        <v>9.1242780005260329</v>
      </c>
      <c r="R109" s="1">
        <f>(Main_L[[#This Row],[ROA]]-VLOOKUP(Main_L[[#This Row],[Industry]], Mean_ROA_L, 2, FALSE))/(VLOOKUP(Main_L[[#This Row],[Industry]], Mean_ROA_L, 3, FALSE))</f>
        <v>2.1539813107736125</v>
      </c>
      <c r="S109" s="1">
        <f>(Main_L[[#This Row],[A/E]]-VLOOKUP(Main_L[[#This Row],[Industry]], Mean_AE_L, 2, FALSE))/(VLOOKUP(Main_L[[#This Row],[Industry]], Mean_AE_L, 3, FALSE))</f>
        <v>0.22481295207749744</v>
      </c>
      <c r="T109" s="1">
        <f>(Main_L[[#This Row],[P/E]]-VLOOKUP(Main_L[[#This Row],[Industry]], Mean_PE_L, 2, FALSE))/(VLOOKUP(Main_L[[#This Row],[Industry]], Mean_PE_L, 3, FALSE))</f>
        <v>4.17486026515666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0" spans="1:26" x14ac:dyDescent="0.25">
      <c r="A110" s="68" t="s">
        <v>215</v>
      </c>
      <c r="B110" s="68" t="s">
        <v>218</v>
      </c>
      <c r="C110" s="2">
        <v>31874</v>
      </c>
      <c r="D110">
        <f>RTD("tos.rtd", , "LAST", Main_L[[#This Row],[Symbol]])</f>
        <v>109.02</v>
      </c>
      <c r="E110">
        <v>4.5599999999999996</v>
      </c>
      <c r="F110">
        <v>23.77</v>
      </c>
      <c r="G110">
        <v>3.59</v>
      </c>
      <c r="H110" s="1">
        <f>IF(ISNUMBER(Main_L[[#This Row],[Free CF]]),IF(Main_L[[#This Row],[Free CF]]&lt;&gt;0,Main_L[[#This Row],[Current Price]]/Main_L[[#This Row],[Free CF]],""),"")</f>
        <v>23.907894736842106</v>
      </c>
      <c r="I110" s="1">
        <f>IF(ISNUMBER(Main_L[[#This Row],[BVPS]]),IF(Main_L[[#This Row],[BVPS]]&lt;&gt;0,Main_L[[#This Row],[Current Price]]/Main_L[[#This Row],[BVPS]],""),"")</f>
        <v>4.5864535128312998</v>
      </c>
      <c r="J110">
        <v>16.52</v>
      </c>
      <c r="K110">
        <v>5.68</v>
      </c>
      <c r="L110">
        <v>2.46</v>
      </c>
      <c r="M110" s="1">
        <f>IF(ISNUMBER(Main_L[[#This Row],[EPS]]),IF(Main_L[[#This Row],[EPS]]&lt;&gt;0,Main_L[[#This Row],[Current Price]]/Main_L[[#This Row],[EPS]],""),"")</f>
        <v>30.367688022284124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1.2442187401698954</v>
      </c>
      <c r="P110" s="1">
        <f>(Main_L[[#This Row],[P/B]]-VLOOKUP(Main_L[[#This Row],[Industry]], Mean_PB_L, 2, FALSE))/(VLOOKUP(Main_L[[#This Row],[Industry]], Mean_PB_L, 3, FALSE))</f>
        <v>2.2482713344606156</v>
      </c>
      <c r="Q110" s="1">
        <f>(Main_L[[#This Row],[ROE]]-VLOOKUP(Main_L[[#This Row],[Industry]], Mean_ROE_L, 2, FALSE))/(VLOOKUP(Main_L[[#This Row],[Industry]], Mean_ROE_L, 3, FALSE))</f>
        <v>0.37430610535522923</v>
      </c>
      <c r="R110" s="1">
        <f>(Main_L[[#This Row],[ROA]]-VLOOKUP(Main_L[[#This Row],[Industry]], Mean_ROA_L, 2, FALSE))/(VLOOKUP(Main_L[[#This Row],[Industry]], Mean_ROA_L, 3, FALSE))</f>
        <v>1.9569947112952255</v>
      </c>
      <c r="S110" s="1">
        <f>(Main_L[[#This Row],[A/E]]-VLOOKUP(Main_L[[#This Row],[Industry]], Mean_AE_L, 2, FALSE))/(VLOOKUP(Main_L[[#This Row],[Industry]], Mean_AE_L, 3, FALSE))</f>
        <v>-0.9449818967126703</v>
      </c>
      <c r="T110" s="1">
        <f>(Main_L[[#This Row],[P/E]]-VLOOKUP(Main_L[[#This Row],[Industry]], Mean_PE_L, 2, FALSE))/(VLOOKUP(Main_L[[#This Row],[Industry]], Mean_PE_L, 3, FALSE))</f>
        <v>4.2152416780380175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1" spans="1:26" x14ac:dyDescent="0.25">
      <c r="A111" s="68" t="s">
        <v>215</v>
      </c>
      <c r="B111" s="68" t="s">
        <v>219</v>
      </c>
      <c r="C111" s="2">
        <v>112298</v>
      </c>
      <c r="D111">
        <f>RTD("tos.rtd", , "LAST", Main_L[[#This Row],[Symbol]])</f>
        <v>223.77</v>
      </c>
      <c r="E111">
        <v>8.49</v>
      </c>
      <c r="F111">
        <v>28.55</v>
      </c>
      <c r="G111">
        <v>8.15</v>
      </c>
      <c r="H111" s="1">
        <f>IF(ISNUMBER(Main_L[[#This Row],[Free CF]]),IF(Main_L[[#This Row],[Free CF]]&lt;&gt;0,Main_L[[#This Row],[Current Price]]/Main_L[[#This Row],[Free CF]],""),"")</f>
        <v>26.356890459363957</v>
      </c>
      <c r="I111" s="1">
        <f>IF(ISNUMBER(Main_L[[#This Row],[BVPS]]),IF(Main_L[[#This Row],[BVPS]]&lt;&gt;0,Main_L[[#This Row],[Current Price]]/Main_L[[#This Row],[BVPS]],""),"")</f>
        <v>7.8378283712784587</v>
      </c>
      <c r="J111">
        <v>30.53</v>
      </c>
      <c r="K111">
        <v>7.93</v>
      </c>
      <c r="L111">
        <v>4.05</v>
      </c>
      <c r="M111" s="1">
        <f>IF(ISNUMBER(Main_L[[#This Row],[EPS]]),IF(Main_L[[#This Row],[EPS]]&lt;&gt;0,Main_L[[#This Row],[Current Price]]/Main_L[[#This Row],[EPS]],""),"")</f>
        <v>27.45644171779141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1.5104767889224775</v>
      </c>
      <c r="P111" s="1">
        <f>(Main_L[[#This Row],[P/B]]-VLOOKUP(Main_L[[#This Row],[Industry]], Mean_PB_L, 2, FALSE))/(VLOOKUP(Main_L[[#This Row],[Industry]], Mean_PB_L, 3, FALSE))</f>
        <v>5.2609613649869571</v>
      </c>
      <c r="Q111" s="1">
        <f>(Main_L[[#This Row],[ROE]]-VLOOKUP(Main_L[[#This Row],[Industry]], Mean_ROE_L, 2, FALSE))/(VLOOKUP(Main_L[[#This Row],[Industry]], Mean_ROE_L, 3, FALSE))</f>
        <v>2.583480844071087</v>
      </c>
      <c r="R111" s="1">
        <f>(Main_L[[#This Row],[ROA]]-VLOOKUP(Main_L[[#This Row],[Industry]], Mean_ROA_L, 2, FALSE))/(VLOOKUP(Main_L[[#This Row],[Industry]], Mean_ROA_L, 3, FALSE))</f>
        <v>3.3000851622842275</v>
      </c>
      <c r="S111" s="1">
        <f>(Main_L[[#This Row],[A/E]]-VLOOKUP(Main_L[[#This Row],[Industry]], Mean_AE_L, 2, FALSE))/(VLOOKUP(Main_L[[#This Row],[Industry]], Mean_AE_L, 3, FALSE))</f>
        <v>-0.55091964892106715</v>
      </c>
      <c r="T111" s="1">
        <f>(Main_L[[#This Row],[P/E]]-VLOOKUP(Main_L[[#This Row],[Industry]], Mean_PE_L, 2, FALSE))/(VLOOKUP(Main_L[[#This Row],[Industry]], Mean_PE_L, 3, FALSE))</f>
        <v>3.4260593837678956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2" spans="1:26" x14ac:dyDescent="0.25">
      <c r="A112" s="68" t="s">
        <v>215</v>
      </c>
      <c r="B112" s="68" t="s">
        <v>220</v>
      </c>
      <c r="C112" s="2">
        <v>30342</v>
      </c>
      <c r="D112">
        <f>RTD("tos.rtd", , "LAST", Main_L[[#This Row],[Symbol]])</f>
        <v>304.20999999999998</v>
      </c>
      <c r="E112">
        <v>12.02</v>
      </c>
      <c r="F112">
        <v>81.98</v>
      </c>
      <c r="G112">
        <v>-0.52</v>
      </c>
      <c r="H112" s="1">
        <f>IF(ISNUMBER(Main_L[[#This Row],[Free CF]]),IF(Main_L[[#This Row],[Free CF]]&lt;&gt;0,Main_L[[#This Row],[Current Price]]/Main_L[[#This Row],[Free CF]],""),"")</f>
        <v>25.308652246256237</v>
      </c>
      <c r="I112" s="1">
        <f>IF(ISNUMBER(Main_L[[#This Row],[BVPS]]),IF(Main_L[[#This Row],[BVPS]]&lt;&gt;0,Main_L[[#This Row],[Current Price]]/Main_L[[#This Row],[BVPS]],""),"")</f>
        <v>3.7107831178336177</v>
      </c>
      <c r="J112">
        <v>-0.48</v>
      </c>
      <c r="K112">
        <v>4.53</v>
      </c>
      <c r="L112">
        <v>3.45</v>
      </c>
      <c r="M112" s="1">
        <f>IF(ISNUMBER(Main_L[[#This Row],[EPS]]),IF(Main_L[[#This Row],[EPS]]&lt;&gt;0,Main_L[[#This Row],[Current Price]]/Main_L[[#This Row],[EPS]],""),"")</f>
        <v>-585.01923076923072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1.3965109462371543</v>
      </c>
      <c r="P112" s="1">
        <f>(Main_L[[#This Row],[P/B]]-VLOOKUP(Main_L[[#This Row],[Industry]], Mean_PB_L, 2, FALSE))/(VLOOKUP(Main_L[[#This Row],[Industry]], Mean_PB_L, 3, FALSE))</f>
        <v>1.4368842800941632</v>
      </c>
      <c r="Q112" s="1">
        <f>(Main_L[[#This Row],[ROE]]-VLOOKUP(Main_L[[#This Row],[Industry]], Mean_ROE_L, 2, FALSE))/(VLOOKUP(Main_L[[#This Row],[Industry]], Mean_ROE_L, 3, FALSE))</f>
        <v>-2.3063484669623708</v>
      </c>
      <c r="R112" s="1">
        <f>(Main_L[[#This Row],[ROA]]-VLOOKUP(Main_L[[#This Row],[Industry]], Mean_ROA_L, 2, FALSE))/(VLOOKUP(Main_L[[#This Row],[Industry]], Mean_ROA_L, 3, FALSE))</f>
        <v>1.2705262585675134</v>
      </c>
      <c r="S112" s="1">
        <f>(Main_L[[#This Row],[A/E]]-VLOOKUP(Main_L[[#This Row],[Industry]], Mean_AE_L, 2, FALSE))/(VLOOKUP(Main_L[[#This Row],[Industry]], Mean_AE_L, 3, FALSE))</f>
        <v>-0.69962238393676646</v>
      </c>
      <c r="T112" s="1">
        <f>(Main_L[[#This Row],[P/E]]-VLOOKUP(Main_L[[#This Row],[Industry]], Mean_PE_L, 2, FALSE))/(VLOOKUP(Main_L[[#This Row],[Industry]], Mean_PE_L, 3, FALSE))</f>
        <v>-162.60419221398166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3" spans="1:26" x14ac:dyDescent="0.25">
      <c r="A113" s="68" t="s">
        <v>215</v>
      </c>
      <c r="B113" s="68" t="s">
        <v>221</v>
      </c>
      <c r="C113" s="2">
        <v>10670</v>
      </c>
      <c r="D113">
        <f>RTD("tos.rtd", , "LAST", Main_L[[#This Row],[Symbol]])</f>
        <v>6.73</v>
      </c>
      <c r="E113">
        <v>0.44</v>
      </c>
      <c r="F113">
        <v>4.76</v>
      </c>
      <c r="G113">
        <v>0.39</v>
      </c>
      <c r="H113" s="1">
        <f>IF(ISNUMBER(Main_L[[#This Row],[Free CF]]),IF(Main_L[[#This Row],[Free CF]]&lt;&gt;0,Main_L[[#This Row],[Current Price]]/Main_L[[#This Row],[Free CF]],""),"")</f>
        <v>15.295454545454547</v>
      </c>
      <c r="I113" s="1">
        <f>IF(ISNUMBER(Main_L[[#This Row],[BVPS]]),IF(Main_L[[#This Row],[BVPS]]&lt;&gt;0,Main_L[[#This Row],[Current Price]]/Main_L[[#This Row],[BVPS]],""),"")</f>
        <v>1.4138655462184875</v>
      </c>
      <c r="J113">
        <v>7.17</v>
      </c>
      <c r="K113">
        <v>7.0000000000000007E-2</v>
      </c>
      <c r="L113">
        <v>35.64</v>
      </c>
      <c r="M113" s="1">
        <f>IF(ISNUMBER(Main_L[[#This Row],[EPS]]),IF(Main_L[[#This Row],[EPS]]&lt;&gt;0,Main_L[[#This Row],[Current Price]]/Main_L[[#This Row],[EPS]],""),"")</f>
        <v>17.256410256410255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0.30786287018257791</v>
      </c>
      <c r="P113" s="1">
        <f>(Main_L[[#This Row],[P/B]]-VLOOKUP(Main_L[[#This Row],[Industry]], Mean_PB_L, 2, FALSE))/(VLOOKUP(Main_L[[#This Row],[Industry]], Mean_PB_L, 3, FALSE))</f>
        <v>-0.69141558387494806</v>
      </c>
      <c r="Q113" s="1">
        <f>(Main_L[[#This Row],[ROE]]-VLOOKUP(Main_L[[#This Row],[Industry]], Mean_ROE_L, 2, FALSE))/(VLOOKUP(Main_L[[#This Row],[Industry]], Mean_ROE_L, 3, FALSE))</f>
        <v>-1.1000539094194508</v>
      </c>
      <c r="R113" s="1">
        <f>(Main_L[[#This Row],[ROA]]-VLOOKUP(Main_L[[#This Row],[Industry]], Mean_ROA_L, 2, FALSE))/(VLOOKUP(Main_L[[#This Row],[Industry]], Mean_ROA_L, 3, FALSE))</f>
        <v>-1.3917774798373541</v>
      </c>
      <c r="S113" s="1">
        <f>(Main_L[[#This Row],[A/E]]-VLOOKUP(Main_L[[#This Row],[Industry]], Mean_AE_L, 2, FALSE))/(VLOOKUP(Main_L[[#This Row],[Industry]], Mean_AE_L, 3, FALSE))</f>
        <v>7.2782793496555014</v>
      </c>
      <c r="T113" s="1">
        <f>(Main_L[[#This Row],[P/E]]-VLOOKUP(Main_L[[#This Row],[Industry]], Mean_PE_L, 2, FALSE))/(VLOOKUP(Main_L[[#This Row],[Industry]], Mean_PE_L, 3, FALSE))</f>
        <v>0.66102908801527782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4" spans="1:26" x14ac:dyDescent="0.25">
      <c r="A114" s="68" t="s">
        <v>215</v>
      </c>
      <c r="B114" s="68" t="s">
        <v>222</v>
      </c>
      <c r="C114" s="2">
        <v>58025</v>
      </c>
      <c r="D114">
        <f>RTD("tos.rtd", , "LAST", Main_L[[#This Row],[Symbol]])</f>
        <v>105.03</v>
      </c>
      <c r="E114">
        <v>4.8099999999999996</v>
      </c>
      <c r="F114">
        <v>48.55</v>
      </c>
      <c r="G114">
        <v>6.44</v>
      </c>
      <c r="H114" s="1">
        <f>IF(ISNUMBER(Main_L[[#This Row],[Free CF]]),IF(Main_L[[#This Row],[Free CF]]&lt;&gt;0,Main_L[[#This Row],[Current Price]]/Main_L[[#This Row],[Free CF]],""),"")</f>
        <v>21.835758835758838</v>
      </c>
      <c r="I114" s="1">
        <f>IF(ISNUMBER(Main_L[[#This Row],[BVPS]]),IF(Main_L[[#This Row],[BVPS]]&lt;&gt;0,Main_L[[#This Row],[Current Price]]/Main_L[[#This Row],[BVPS]],""),"")</f>
        <v>2.1633367662203913</v>
      </c>
      <c r="J114">
        <v>14.41</v>
      </c>
      <c r="K114">
        <v>2.34</v>
      </c>
      <c r="L114">
        <v>4.57</v>
      </c>
      <c r="M114" s="1">
        <f>IF(ISNUMBER(Main_L[[#This Row],[EPS]]),IF(Main_L[[#This Row],[EPS]]&lt;&gt;0,Main_L[[#This Row],[Current Price]]/Main_L[[#This Row],[EPS]],""),"")</f>
        <v>16.309006211180122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4" s="1">
        <f>(Main_L[[#This Row],[P/FCF]]-VLOOKUP(Main_L[[#This Row],[Industry]], Mean_PFCF_L, 2, FALSE))/(VLOOKUP(Main_L[[#This Row],[Industry]], Mean_PFCF_L, 3, FALSE))</f>
        <v>1.0189333888322996</v>
      </c>
      <c r="P114" s="1">
        <f>(Main_L[[#This Row],[P/B]]-VLOOKUP(Main_L[[#This Row],[Industry]], Mean_PB_L, 2, FALSE))/(VLOOKUP(Main_L[[#This Row],[Industry]], Mean_PB_L, 3, FALSE))</f>
        <v>3.0366312549075076E-3</v>
      </c>
      <c r="Q114" s="1">
        <f>(Main_L[[#This Row],[ROE]]-VLOOKUP(Main_L[[#This Row],[Industry]], Mean_ROE_L, 2, FALSE))/(VLOOKUP(Main_L[[#This Row],[Industry]], Mean_ROE_L, 3, FALSE))</f>
        <v>4.1589567261691891E-2</v>
      </c>
      <c r="R114" s="1">
        <f>(Main_L[[#This Row],[ROA]]-VLOOKUP(Main_L[[#This Row],[Industry]], Mean_ROA_L, 2, FALSE))/(VLOOKUP(Main_L[[#This Row],[Industry]], Mean_ROA_L, 3, FALSE))</f>
        <v>-3.6748447061782673E-2</v>
      </c>
      <c r="S114" s="1">
        <f>(Main_L[[#This Row],[A/E]]-VLOOKUP(Main_L[[#This Row],[Industry]], Mean_AE_L, 2, FALSE))/(VLOOKUP(Main_L[[#This Row],[Industry]], Mean_AE_L, 3, FALSE))</f>
        <v>-0.42204394524079436</v>
      </c>
      <c r="T114" s="1">
        <f>(Main_L[[#This Row],[P/E]]-VLOOKUP(Main_L[[#This Row],[Industry]], Mean_PE_L, 2, FALSE))/(VLOOKUP(Main_L[[#This Row],[Industry]], Mean_PE_L, 3, FALSE))</f>
        <v>0.40420626376242114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5" spans="1:26" x14ac:dyDescent="0.25">
      <c r="A115" s="68" t="s">
        <v>215</v>
      </c>
      <c r="B115" s="68" t="s">
        <v>223</v>
      </c>
      <c r="C115" s="2">
        <v>10069</v>
      </c>
      <c r="D115">
        <f>RTD("tos.rtd", , "LAST", Main_L[[#This Row],[Symbol]])</f>
        <v>120.09</v>
      </c>
      <c r="E115">
        <v>14.91</v>
      </c>
      <c r="F115">
        <v>63.18</v>
      </c>
      <c r="G115">
        <v>12.31</v>
      </c>
      <c r="H115" s="1">
        <f>IF(ISNUMBER(Main_L[[#This Row],[Free CF]]),IF(Main_L[[#This Row],[Free CF]]&lt;&gt;0,Main_L[[#This Row],[Current Price]]/Main_L[[#This Row],[Free CF]],""),"")</f>
        <v>8.0543259557344058</v>
      </c>
      <c r="I115" s="1">
        <f>IF(ISNUMBER(Main_L[[#This Row],[BVPS]]),IF(Main_L[[#This Row],[BVPS]]&lt;&gt;0,Main_L[[#This Row],[Current Price]]/Main_L[[#This Row],[BVPS]],""),"")</f>
        <v>1.9007597340930675</v>
      </c>
      <c r="J115">
        <v>21.87</v>
      </c>
      <c r="K115">
        <v>3.23</v>
      </c>
      <c r="L115">
        <v>5.48</v>
      </c>
      <c r="M115" s="1">
        <f>IF(ISNUMBER(Main_L[[#This Row],[EPS]]),IF(Main_L[[#This Row],[EPS]]&lt;&gt;0,Main_L[[#This Row],[Current Price]]/Main_L[[#This Row],[EPS]],""),"")</f>
        <v>9.7554833468724613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-0.47940219170983606</v>
      </c>
      <c r="P115" s="1">
        <f>(Main_L[[#This Row],[P/B]]-VLOOKUP(Main_L[[#This Row],[Industry]], Mean_PB_L, 2, FALSE))/(VLOOKUP(Main_L[[#This Row],[Industry]], Mean_PB_L, 3, FALSE))</f>
        <v>-0.24026450791702764</v>
      </c>
      <c r="Q115" s="1">
        <f>(Main_L[[#This Row],[ROE]]-VLOOKUP(Main_L[[#This Row],[Industry]], Mean_ROE_L, 2, FALSE))/(VLOOKUP(Main_L[[#This Row],[Industry]], Mean_ROE_L, 3, FALSE))</f>
        <v>1.217923867819886</v>
      </c>
      <c r="R115" s="1">
        <f>(Main_L[[#This Row],[ROA]]-VLOOKUP(Main_L[[#This Row],[Industry]], Mean_ROA_L, 2, FALSE))/(VLOOKUP(Main_L[[#This Row],[Industry]], Mean_ROA_L, 3, FALSE))</f>
        <v>0.49451844244053395</v>
      </c>
      <c r="S115" s="1">
        <f>(Main_L[[#This Row],[A/E]]-VLOOKUP(Main_L[[#This Row],[Industry]], Mean_AE_L, 2, FALSE))/(VLOOKUP(Main_L[[#This Row],[Industry]], Mean_AE_L, 3, FALSE))</f>
        <v>-0.19651146380031706</v>
      </c>
      <c r="T115" s="1">
        <f>(Main_L[[#This Row],[P/E]]-VLOOKUP(Main_L[[#This Row],[Industry]], Mean_PE_L, 2, FALSE))/(VLOOKUP(Main_L[[#This Row],[Industry]], Mean_PE_L, 3, FALSE))</f>
        <v>-1.3723264197225069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6" spans="1:26" x14ac:dyDescent="0.25">
      <c r="A116" s="68" t="s">
        <v>215</v>
      </c>
      <c r="B116" s="68" t="s">
        <v>224</v>
      </c>
      <c r="C116" s="2">
        <v>51515</v>
      </c>
      <c r="D116">
        <f>RTD("tos.rtd", , "LAST", Main_L[[#This Row],[Symbol]])</f>
        <v>81.16</v>
      </c>
      <c r="E116">
        <v>23.46</v>
      </c>
      <c r="F116">
        <v>40.83</v>
      </c>
      <c r="G116">
        <v>6.14</v>
      </c>
      <c r="H116" s="1">
        <f>IF(ISNUMBER(Main_L[[#This Row],[Free CF]]),IF(Main_L[[#This Row],[Free CF]]&lt;&gt;0,Main_L[[#This Row],[Current Price]]/Main_L[[#This Row],[Free CF]],""),"")</f>
        <v>3.4595055413469735</v>
      </c>
      <c r="I116" s="1">
        <f>IF(ISNUMBER(Main_L[[#This Row],[BVPS]]),IF(Main_L[[#This Row],[BVPS]]&lt;&gt;0,Main_L[[#This Row],[Current Price]]/Main_L[[#This Row],[BVPS]],""),"")</f>
        <v>1.9877541023757042</v>
      </c>
      <c r="J116">
        <v>15.98</v>
      </c>
      <c r="K116">
        <v>0.63</v>
      </c>
      <c r="L116">
        <v>25.04</v>
      </c>
      <c r="M116" s="1">
        <f>IF(ISNUMBER(Main_L[[#This Row],[EPS]]),IF(Main_L[[#This Row],[EPS]]&lt;&gt;0,Main_L[[#This Row],[Current Price]]/Main_L[[#This Row],[EPS]],""),"")</f>
        <v>13.218241042345277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-0.97895713443694132</v>
      </c>
      <c r="P116" s="1">
        <f>(Main_L[[#This Row],[P/B]]-VLOOKUP(Main_L[[#This Row],[Industry]], Mean_PB_L, 2, FALSE))/(VLOOKUP(Main_L[[#This Row],[Industry]], Mean_PB_L, 3, FALSE))</f>
        <v>-0.15965643365695667</v>
      </c>
      <c r="Q116" s="1">
        <f>(Main_L[[#This Row],[ROE]]-VLOOKUP(Main_L[[#This Row],[Industry]], Mean_ROE_L, 2, FALSE))/(VLOOKUP(Main_L[[#This Row],[Industry]], Mean_ROE_L, 3, FALSE))</f>
        <v>0.28915590129337621</v>
      </c>
      <c r="R116" s="1">
        <f>(Main_L[[#This Row],[ROA]]-VLOOKUP(Main_L[[#This Row],[Industry]], Mean_ROA_L, 2, FALSE))/(VLOOKUP(Main_L[[#This Row],[Industry]], Mean_ROA_L, 3, FALSE))</f>
        <v>-1.0574971898134247</v>
      </c>
      <c r="S116" s="1">
        <f>(Main_L[[#This Row],[A/E]]-VLOOKUP(Main_L[[#This Row],[Industry]], Mean_AE_L, 2, FALSE))/(VLOOKUP(Main_L[[#This Row],[Industry]], Mean_AE_L, 3, FALSE))</f>
        <v>4.6511976977114804</v>
      </c>
      <c r="T116" s="1">
        <f>(Main_L[[#This Row],[P/E]]-VLOOKUP(Main_L[[#This Row],[Industry]], Mean_PE_L, 2, FALSE))/(VLOOKUP(Main_L[[#This Row],[Industry]], Mean_PE_L, 3, FALSE))</f>
        <v>-0.43364010575535561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7" spans="1:26" x14ac:dyDescent="0.25">
      <c r="A117" s="68" t="s">
        <v>215</v>
      </c>
      <c r="B117" s="68" t="s">
        <v>225</v>
      </c>
      <c r="C117" s="2">
        <v>53904</v>
      </c>
      <c r="D117">
        <f>RTD("tos.rtd", , "LAST", Main_L[[#This Row],[Symbol]])</f>
        <v>31.75</v>
      </c>
      <c r="E117">
        <v>10.24</v>
      </c>
      <c r="F117">
        <v>19.73</v>
      </c>
      <c r="G117">
        <v>1.98</v>
      </c>
      <c r="H117" s="1">
        <f>IF(ISNUMBER(Main_L[[#This Row],[Free CF]]),IF(Main_L[[#This Row],[Free CF]]&lt;&gt;0,Main_L[[#This Row],[Current Price]]/Main_L[[#This Row],[Free CF]],""),"")</f>
        <v>3.1005859375</v>
      </c>
      <c r="I117" s="1">
        <f>IF(ISNUMBER(Main_L[[#This Row],[BVPS]]),IF(Main_L[[#This Row],[BVPS]]&lt;&gt;0,Main_L[[#This Row],[Current Price]]/Main_L[[#This Row],[BVPS]],""),"")</f>
        <v>1.6092245311708058</v>
      </c>
      <c r="J117">
        <v>11.56</v>
      </c>
      <c r="K117">
        <v>0.6</v>
      </c>
      <c r="L117">
        <v>19.96</v>
      </c>
      <c r="M117" s="1">
        <f>IF(ISNUMBER(Main_L[[#This Row],[EPS]]),IF(Main_L[[#This Row],[EPS]]&lt;&gt;0,Main_L[[#This Row],[Current Price]]/Main_L[[#This Row],[EPS]],""),"")</f>
        <v>16.035353535353536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-1.0179793477060346</v>
      </c>
      <c r="P117" s="1">
        <f>(Main_L[[#This Row],[P/B]]-VLOOKUP(Main_L[[#This Row],[Industry]], Mean_PB_L, 2, FALSE))/(VLOOKUP(Main_L[[#This Row],[Industry]], Mean_PB_L, 3, FALSE))</f>
        <v>-0.51039798610072939</v>
      </c>
      <c r="Q117" s="1">
        <f>(Main_L[[#This Row],[ROE]]-VLOOKUP(Main_L[[#This Row],[Industry]], Mean_ROE_L, 2, FALSE))/(VLOOKUP(Main_L[[#This Row],[Industry]], Mean_ROE_L, 3, FALSE))</f>
        <v>-0.40781428750919985</v>
      </c>
      <c r="R117" s="1">
        <f>(Main_L[[#This Row],[ROA]]-VLOOKUP(Main_L[[#This Row],[Industry]], Mean_ROA_L, 2, FALSE))/(VLOOKUP(Main_L[[#This Row],[Industry]], Mean_ROA_L, 3, FALSE))</f>
        <v>-1.0754050624932778</v>
      </c>
      <c r="S117" s="1">
        <f>(Main_L[[#This Row],[A/E]]-VLOOKUP(Main_L[[#This Row],[Industry]], Mean_AE_L, 2, FALSE))/(VLOOKUP(Main_L[[#This Row],[Industry]], Mean_AE_L, 3, FALSE))</f>
        <v>3.3921812079118929</v>
      </c>
      <c r="T117" s="1">
        <f>(Main_L[[#This Row],[P/E]]-VLOOKUP(Main_L[[#This Row],[Industry]], Mean_PE_L, 2, FALSE))/(VLOOKUP(Main_L[[#This Row],[Industry]], Mean_PE_L, 3, FALSE))</f>
        <v>0.3300243416733471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s="68" t="s">
        <v>215</v>
      </c>
      <c r="B118" s="68" t="s">
        <v>226</v>
      </c>
      <c r="C118" s="2">
        <v>17386</v>
      </c>
      <c r="D118">
        <f>RTD("tos.rtd", , "LAST", Main_L[[#This Row],[Symbol]])</f>
        <v>81.7</v>
      </c>
      <c r="E118">
        <v>21.48</v>
      </c>
      <c r="F118">
        <v>49.86</v>
      </c>
      <c r="G118">
        <v>4.68</v>
      </c>
      <c r="H118" s="1">
        <f>IF(ISNUMBER(Main_L[[#This Row],[Free CF]]),IF(Main_L[[#This Row],[Free CF]]&lt;&gt;0,Main_L[[#This Row],[Current Price]]/Main_L[[#This Row],[Free CF]],""),"")</f>
        <v>3.8035381750465551</v>
      </c>
      <c r="I118" s="1">
        <f>IF(ISNUMBER(Main_L[[#This Row],[BVPS]]),IF(Main_L[[#This Row],[BVPS]]&lt;&gt;0,Main_L[[#This Row],[Current Price]]/Main_L[[#This Row],[BVPS]],""),"")</f>
        <v>1.6385880465302849</v>
      </c>
      <c r="J118">
        <v>9.73</v>
      </c>
      <c r="K118">
        <v>0.28000000000000003</v>
      </c>
      <c r="L118">
        <v>27.9</v>
      </c>
      <c r="M118" s="1">
        <f>IF(ISNUMBER(Main_L[[#This Row],[EPS]]),IF(Main_L[[#This Row],[EPS]]&lt;&gt;0,Main_L[[#This Row],[Current Price]]/Main_L[[#This Row],[EPS]],""),"")</f>
        <v>17.457264957264957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-0.9415534522199156</v>
      </c>
      <c r="P118" s="1">
        <f>(Main_L[[#This Row],[P/B]]-VLOOKUP(Main_L[[#This Row],[Industry]], Mean_PB_L, 2, FALSE))/(VLOOKUP(Main_L[[#This Row],[Industry]], Mean_PB_L, 3, FALSE))</f>
        <v>-0.48319005904338619</v>
      </c>
      <c r="Q118" s="1">
        <f>(Main_L[[#This Row],[ROE]]-VLOOKUP(Main_L[[#This Row],[Industry]], Mean_ROE_L, 2, FALSE))/(VLOOKUP(Main_L[[#This Row],[Industry]], Mean_ROE_L, 3, FALSE))</f>
        <v>-0.69637886794103565</v>
      </c>
      <c r="R118" s="1">
        <f>(Main_L[[#This Row],[ROA]]-VLOOKUP(Main_L[[#This Row],[Industry]], Mean_ROA_L, 2, FALSE))/(VLOOKUP(Main_L[[#This Row],[Industry]], Mean_ROA_L, 3, FALSE))</f>
        <v>-1.2664223710783806</v>
      </c>
      <c r="S118" s="1">
        <f>(Main_L[[#This Row],[A/E]]-VLOOKUP(Main_L[[#This Row],[Industry]], Mean_AE_L, 2, FALSE))/(VLOOKUP(Main_L[[#This Row],[Industry]], Mean_AE_L, 3, FALSE))</f>
        <v>5.3600140679529797</v>
      </c>
      <c r="T118" s="1">
        <f>(Main_L[[#This Row],[P/E]]-VLOOKUP(Main_L[[#This Row],[Industry]], Mean_PE_L, 2, FALSE))/(VLOOKUP(Main_L[[#This Row],[Industry]], Mean_PE_L, 3, FALSE))</f>
        <v>0.71547689388825886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9" spans="1:26" x14ac:dyDescent="0.25">
      <c r="A119" s="68" t="s">
        <v>215</v>
      </c>
      <c r="B119" s="68" t="s">
        <v>227</v>
      </c>
      <c r="C119" s="2">
        <v>35836</v>
      </c>
      <c r="D119">
        <f>RTD("tos.rtd", , "LAST", Main_L[[#This Row],[Symbol]])</f>
        <v>107.4</v>
      </c>
      <c r="E119">
        <v>2.17</v>
      </c>
      <c r="F119">
        <v>84.41</v>
      </c>
      <c r="G119">
        <v>6.33</v>
      </c>
      <c r="H119" s="1">
        <f>IF(ISNUMBER(Main_L[[#This Row],[Free CF]]),IF(Main_L[[#This Row],[Free CF]]&lt;&gt;0,Main_L[[#This Row],[Current Price]]/Main_L[[#This Row],[Free CF]],""),"")</f>
        <v>49.493087557603694</v>
      </c>
      <c r="I119" s="1">
        <f>IF(ISNUMBER(Main_L[[#This Row],[BVPS]]),IF(Main_L[[#This Row],[BVPS]]&lt;&gt;0,Main_L[[#This Row],[Current Price]]/Main_L[[#This Row],[BVPS]],""),"")</f>
        <v>1.2723610946570312</v>
      </c>
      <c r="J119">
        <v>7.91</v>
      </c>
      <c r="K119">
        <v>0.23</v>
      </c>
      <c r="L119">
        <v>24.74</v>
      </c>
      <c r="M119" s="1">
        <f>IF(ISNUMBER(Main_L[[#This Row],[EPS]]),IF(Main_L[[#This Row],[EPS]]&lt;&gt;0,Main_L[[#This Row],[Current Price]]/Main_L[[#This Row],[EPS]],""),"")</f>
        <v>16.966824644549764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>
        <f>(Main_L[[#This Row],[P/FCF]]-VLOOKUP(Main_L[[#This Row],[Industry]], Mean_PFCF_L, 2, FALSE))/(VLOOKUP(Main_L[[#This Row],[Industry]], Mean_PFCF_L, 3, FALSE))</f>
        <v>4.0258746878575593</v>
      </c>
      <c r="P119" s="1">
        <f>(Main_L[[#This Row],[P/B]]-VLOOKUP(Main_L[[#This Row],[Industry]], Mean_PB_L, 2, FALSE))/(VLOOKUP(Main_L[[#This Row],[Industry]], Mean_PB_L, 3, FALSE))</f>
        <v>-0.82253213273634262</v>
      </c>
      <c r="Q119" s="1">
        <f>(Main_L[[#This Row],[ROE]]-VLOOKUP(Main_L[[#This Row],[Industry]], Mean_ROE_L, 2, FALSE))/(VLOOKUP(Main_L[[#This Row],[Industry]], Mean_ROE_L, 3, FALSE))</f>
        <v>-0.98336659274209648</v>
      </c>
      <c r="R119" s="1">
        <f>(Main_L[[#This Row],[ROA]]-VLOOKUP(Main_L[[#This Row],[Industry]], Mean_ROA_L, 2, FALSE))/(VLOOKUP(Main_L[[#This Row],[Industry]], Mean_ROA_L, 3, FALSE))</f>
        <v>-1.2962688255448027</v>
      </c>
      <c r="S119" s="1">
        <f>(Main_L[[#This Row],[A/E]]-VLOOKUP(Main_L[[#This Row],[Industry]], Mean_AE_L, 2, FALSE))/(VLOOKUP(Main_L[[#This Row],[Industry]], Mean_AE_L, 3, FALSE))</f>
        <v>4.5768463302036295</v>
      </c>
      <c r="T119" s="1">
        <f>(Main_L[[#This Row],[P/E]]-VLOOKUP(Main_L[[#This Row],[Industry]], Mean_PE_L, 2, FALSE))/(VLOOKUP(Main_L[[#This Row],[Industry]], Mean_PE_L, 3, FALSE))</f>
        <v>0.58252805661748874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0" spans="1:26" x14ac:dyDescent="0.25">
      <c r="A120" s="68" t="s">
        <v>215</v>
      </c>
      <c r="B120" s="68" t="s">
        <v>228</v>
      </c>
      <c r="C120" s="2">
        <v>28555</v>
      </c>
      <c r="D120">
        <f>RTD("tos.rtd", , "LAST", Main_L[[#This Row],[Symbol]])</f>
        <v>23.09</v>
      </c>
      <c r="E120">
        <v>1.29</v>
      </c>
      <c r="F120">
        <v>6.62</v>
      </c>
      <c r="G120">
        <v>0.84</v>
      </c>
      <c r="H120" s="1">
        <f>IF(ISNUMBER(Main_L[[#This Row],[Free CF]]),IF(Main_L[[#This Row],[Free CF]]&lt;&gt;0,Main_L[[#This Row],[Current Price]]/Main_L[[#This Row],[Free CF]],""),"")</f>
        <v>17.899224806201548</v>
      </c>
      <c r="I120" s="1">
        <f>IF(ISNUMBER(Main_L[[#This Row],[BVPS]]),IF(Main_L[[#This Row],[BVPS]]&lt;&gt;0,Main_L[[#This Row],[Current Price]]/Main_L[[#This Row],[BVPS]],""),"")</f>
        <v>3.487915407854985</v>
      </c>
      <c r="J120">
        <v>13.18</v>
      </c>
      <c r="K120">
        <v>1.47</v>
      </c>
      <c r="L120">
        <v>10.4</v>
      </c>
      <c r="M120" s="1">
        <f>IF(ISNUMBER(Main_L[[#This Row],[EPS]]),IF(Main_L[[#This Row],[EPS]]&lt;&gt;0,Main_L[[#This Row],[Current Price]]/Main_L[[#This Row],[EPS]],""),"")</f>
        <v>27.488095238095237</v>
      </c>
      <c r="N1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0" s="1">
        <f>(Main_L[[#This Row],[P/FCF]]-VLOOKUP(Main_L[[#This Row],[Industry]], Mean_PFCF_L, 2, FALSE))/(VLOOKUP(Main_L[[#This Row],[Industry]], Mean_PFCF_L, 3, FALSE))</f>
        <v>0.59094821110452922</v>
      </c>
      <c r="P120" s="1">
        <f>(Main_L[[#This Row],[P/B]]-VLOOKUP(Main_L[[#This Row],[Industry]], Mean_PB_L, 2, FALSE))/(VLOOKUP(Main_L[[#This Row],[Industry]], Mean_PB_L, 3, FALSE))</f>
        <v>1.2303773846390096</v>
      </c>
      <c r="Q120" s="1">
        <f>(Main_L[[#This Row],[ROE]]-VLOOKUP(Main_L[[#This Row],[Industry]], Mean_ROE_L, 2, FALSE))/(VLOOKUP(Main_L[[#This Row],[Industry]], Mean_ROE_L, 3, FALSE))</f>
        <v>-0.15236367532364042</v>
      </c>
      <c r="R120" s="1">
        <f>(Main_L[[#This Row],[ROA]]-VLOOKUP(Main_L[[#This Row],[Industry]], Mean_ROA_L, 2, FALSE))/(VLOOKUP(Main_L[[#This Row],[Industry]], Mean_ROA_L, 3, FALSE))</f>
        <v>-0.55607675477753027</v>
      </c>
      <c r="S120" s="1">
        <f>(Main_L[[#This Row],[A/E]]-VLOOKUP(Main_L[[#This Row],[Industry]], Mean_AE_L, 2, FALSE))/(VLOOKUP(Main_L[[#This Row],[Industry]], Mean_AE_L, 3, FALSE))</f>
        <v>1.0228509633284171</v>
      </c>
      <c r="T120" s="1">
        <f>(Main_L[[#This Row],[P/E]]-VLOOKUP(Main_L[[#This Row],[Industry]], Mean_PE_L, 2, FALSE))/(VLOOKUP(Main_L[[#This Row],[Industry]], Mean_PE_L, 3, FALSE))</f>
        <v>3.4346400379490789</v>
      </c>
      <c r="U1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1" spans="1:26" x14ac:dyDescent="0.25">
      <c r="A121" s="68" t="s">
        <v>215</v>
      </c>
      <c r="B121" s="68" t="s">
        <v>229</v>
      </c>
      <c r="C121" s="2">
        <v>34319</v>
      </c>
      <c r="D121">
        <f>RTD("tos.rtd", , "LAST", Main_L[[#This Row],[Symbol]])</f>
        <v>62.42</v>
      </c>
      <c r="E121">
        <v>2.87</v>
      </c>
      <c r="F121">
        <v>28.86</v>
      </c>
      <c r="G121">
        <v>3.66</v>
      </c>
      <c r="H121" s="1">
        <f>IF(ISNUMBER(Main_L[[#This Row],[Free CF]]),IF(Main_L[[#This Row],[Free CF]]&lt;&gt;0,Main_L[[#This Row],[Current Price]]/Main_L[[#This Row],[Free CF]],""),"")</f>
        <v>21.749128919860627</v>
      </c>
      <c r="I121" s="1">
        <f>IF(ISNUMBER(Main_L[[#This Row],[BVPS]]),IF(Main_L[[#This Row],[BVPS]]&lt;&gt;0,Main_L[[#This Row],[Current Price]]/Main_L[[#This Row],[BVPS]],""),"")</f>
        <v>2.1628551628551631</v>
      </c>
      <c r="J121">
        <v>12.94</v>
      </c>
      <c r="K121">
        <v>0.88</v>
      </c>
      <c r="L121">
        <v>15.57</v>
      </c>
      <c r="M121" s="1">
        <f>IF(ISNUMBER(Main_L[[#This Row],[EPS]]),IF(Main_L[[#This Row],[EPS]]&lt;&gt;0,Main_L[[#This Row],[Current Price]]/Main_L[[#This Row],[EPS]],""),"")</f>
        <v>17.05464480874317</v>
      </c>
      <c r="N1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1" s="1">
        <f>(Main_L[[#This Row],[P/FCF]]-VLOOKUP(Main_L[[#This Row],[Industry]], Mean_PFCF_L, 2, FALSE))/(VLOOKUP(Main_L[[#This Row],[Industry]], Mean_PFCF_L, 3, FALSE))</f>
        <v>1.0095148699845387</v>
      </c>
      <c r="P121" s="1">
        <f>(Main_L[[#This Row],[P/B]]-VLOOKUP(Main_L[[#This Row],[Industry]], Mean_PB_L, 2, FALSE))/(VLOOKUP(Main_L[[#This Row],[Industry]], Mean_PB_L, 3, FALSE))</f>
        <v>2.5903826000280689E-3</v>
      </c>
      <c r="Q121" s="1">
        <f>(Main_L[[#This Row],[ROE]]-VLOOKUP(Main_L[[#This Row],[Industry]], Mean_ROE_L, 2, FALSE))/(VLOOKUP(Main_L[[#This Row],[Industry]], Mean_ROE_L, 3, FALSE))</f>
        <v>-0.19020821046224187</v>
      </c>
      <c r="R121" s="1">
        <f>(Main_L[[#This Row],[ROA]]-VLOOKUP(Main_L[[#This Row],[Industry]], Mean_ROA_L, 2, FALSE))/(VLOOKUP(Main_L[[#This Row],[Industry]], Mean_ROA_L, 3, FALSE))</f>
        <v>-0.90826491748131322</v>
      </c>
      <c r="S121" s="1">
        <f>(Main_L[[#This Row],[A/E]]-VLOOKUP(Main_L[[#This Row],[Industry]], Mean_AE_L, 2, FALSE))/(VLOOKUP(Main_L[[#This Row],[Industry]], Mean_AE_L, 3, FALSE))</f>
        <v>2.3041728633803595</v>
      </c>
      <c r="T121" s="1">
        <f>(Main_L[[#This Row],[P/E]]-VLOOKUP(Main_L[[#This Row],[Industry]], Mean_PE_L, 2, FALSE))/(VLOOKUP(Main_L[[#This Row],[Industry]], Mean_PE_L, 3, FALSE))</f>
        <v>0.60633439638145037</v>
      </c>
      <c r="U1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2" spans="1:26" x14ac:dyDescent="0.25">
      <c r="A122" s="68" t="s">
        <v>215</v>
      </c>
      <c r="B122" s="68" t="s">
        <v>230</v>
      </c>
      <c r="C122" s="2">
        <v>14156</v>
      </c>
      <c r="D122">
        <f>RTD("tos.rtd", , "LAST", Main_L[[#This Row],[Symbol]])</f>
        <v>80.92</v>
      </c>
      <c r="E122">
        <v>7.8</v>
      </c>
      <c r="F122">
        <v>63.78</v>
      </c>
      <c r="G122">
        <v>8.5399999999999991</v>
      </c>
      <c r="H122" s="1">
        <f>IF(ISNUMBER(Main_L[[#This Row],[Free CF]]),IF(Main_L[[#This Row],[Free CF]]&lt;&gt;0,Main_L[[#This Row],[Current Price]]/Main_L[[#This Row],[Free CF]],""),"")</f>
        <v>10.374358974358975</v>
      </c>
      <c r="I122" s="1">
        <f>IF(ISNUMBER(Main_L[[#This Row],[BVPS]]),IF(Main_L[[#This Row],[BVPS]]&lt;&gt;0,Main_L[[#This Row],[Current Price]]/Main_L[[#This Row],[BVPS]],""),"")</f>
        <v>1.26873628096582</v>
      </c>
      <c r="J122">
        <v>14.68</v>
      </c>
      <c r="K122">
        <v>2.2200000000000002</v>
      </c>
      <c r="L122">
        <v>5.57</v>
      </c>
      <c r="M122" s="1">
        <f>IF(ISNUMBER(Main_L[[#This Row],[EPS]]),IF(Main_L[[#This Row],[EPS]]&lt;&gt;0,Main_L[[#This Row],[Current Price]]/Main_L[[#This Row],[EPS]],""),"")</f>
        <v>9.475409836065575</v>
      </c>
      <c r="N1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2" s="1">
        <f>(Main_L[[#This Row],[P/FCF]]-VLOOKUP(Main_L[[#This Row],[Industry]], Mean_PFCF_L, 2, FALSE))/(VLOOKUP(Main_L[[#This Row],[Industry]], Mean_PFCF_L, 3, FALSE))</f>
        <v>-0.22716513841501174</v>
      </c>
      <c r="P122" s="1">
        <f>(Main_L[[#This Row],[P/B]]-VLOOKUP(Main_L[[#This Row],[Industry]], Mean_PB_L, 2, FALSE))/(VLOOKUP(Main_L[[#This Row],[Industry]], Mean_PB_L, 3, FALSE))</f>
        <v>-0.82589084729417217</v>
      </c>
      <c r="Q122" s="1">
        <f>(Main_L[[#This Row],[ROE]]-VLOOKUP(Main_L[[#This Row],[Industry]], Mean_ROE_L, 2, FALSE))/(VLOOKUP(Main_L[[#This Row],[Industry]], Mean_ROE_L, 3, FALSE))</f>
        <v>8.4164669292618413E-2</v>
      </c>
      <c r="R122" s="1">
        <f>(Main_L[[#This Row],[ROA]]-VLOOKUP(Main_L[[#This Row],[Industry]], Mean_ROA_L, 2, FALSE))/(VLOOKUP(Main_L[[#This Row],[Industry]], Mean_ROA_L, 3, FALSE))</f>
        <v>-0.10837993778119594</v>
      </c>
      <c r="S122" s="1">
        <f>(Main_L[[#This Row],[A/E]]-VLOOKUP(Main_L[[#This Row],[Industry]], Mean_AE_L, 2, FALSE))/(VLOOKUP(Main_L[[#This Row],[Industry]], Mean_AE_L, 3, FALSE))</f>
        <v>-0.1742060535479622</v>
      </c>
      <c r="T122" s="1">
        <f>(Main_L[[#This Row],[P/E]]-VLOOKUP(Main_L[[#This Row],[Industry]], Mean_PE_L, 2, FALSE))/(VLOOKUP(Main_L[[#This Row],[Industry]], Mean_PE_L, 3, FALSE))</f>
        <v>-1.448248905388446</v>
      </c>
      <c r="U1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3" spans="1:26" x14ac:dyDescent="0.25">
      <c r="A123" s="68" t="s">
        <v>215</v>
      </c>
      <c r="B123" s="68" t="s">
        <v>231</v>
      </c>
      <c r="C123" s="2">
        <v>34814</v>
      </c>
      <c r="D123">
        <f>RTD("tos.rtd", , "LAST", Main_L[[#This Row],[Symbol]])</f>
        <v>93.42</v>
      </c>
      <c r="E123">
        <v>17.38</v>
      </c>
      <c r="F123">
        <v>55.38</v>
      </c>
      <c r="G123">
        <v>9.75</v>
      </c>
      <c r="H123" s="1">
        <f>IF(ISNUMBER(Main_L[[#This Row],[Free CF]]),IF(Main_L[[#This Row],[Free CF]]&lt;&gt;0,Main_L[[#This Row],[Current Price]]/Main_L[[#This Row],[Free CF]],""),"")</f>
        <v>5.3751438434982743</v>
      </c>
      <c r="I123" s="1">
        <f>IF(ISNUMBER(Main_L[[#This Row],[BVPS]]),IF(Main_L[[#This Row],[BVPS]]&lt;&gt;0,Main_L[[#This Row],[Current Price]]/Main_L[[#This Row],[BVPS]],""),"")</f>
        <v>1.6868905742145179</v>
      </c>
      <c r="J123">
        <v>18.420000000000002</v>
      </c>
      <c r="K123">
        <v>3.8</v>
      </c>
      <c r="L123">
        <v>3.63</v>
      </c>
      <c r="M123" s="1">
        <f>IF(ISNUMBER(Main_L[[#This Row],[EPS]]),IF(Main_L[[#This Row],[EPS]]&lt;&gt;0,Main_L[[#This Row],[Current Price]]/Main_L[[#This Row],[EPS]],""),"")</f>
        <v>9.5815384615384609</v>
      </c>
      <c r="N1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3" s="1">
        <f>(Main_L[[#This Row],[P/FCF]]-VLOOKUP(Main_L[[#This Row],[Industry]], Mean_PFCF_L, 2, FALSE))/(VLOOKUP(Main_L[[#This Row],[Industry]], Mean_PFCF_L, 3, FALSE))</f>
        <v>-0.77068640870399174</v>
      </c>
      <c r="P123" s="1">
        <f>(Main_L[[#This Row],[P/B]]-VLOOKUP(Main_L[[#This Row],[Industry]], Mean_PB_L, 2, FALSE))/(VLOOKUP(Main_L[[#This Row],[Industry]], Mean_PB_L, 3, FALSE))</f>
        <v>-0.43843344070839313</v>
      </c>
      <c r="Q123" s="1">
        <f>(Main_L[[#This Row],[ROE]]-VLOOKUP(Main_L[[#This Row],[Industry]], Mean_ROE_L, 2, FALSE))/(VLOOKUP(Main_L[[#This Row],[Industry]], Mean_ROE_L, 3, FALSE))</f>
        <v>0.67390867520249076</v>
      </c>
      <c r="R123" s="1">
        <f>(Main_L[[#This Row],[ROA]]-VLOOKUP(Main_L[[#This Row],[Industry]], Mean_ROA_L, 2, FALSE))/(VLOOKUP(Main_L[[#This Row],[Industry]], Mean_ROA_L, 3, FALSE))</f>
        <v>0.8347680233577478</v>
      </c>
      <c r="S123" s="1">
        <f>(Main_L[[#This Row],[A/E]]-VLOOKUP(Main_L[[#This Row],[Industry]], Mean_AE_L, 2, FALSE))/(VLOOKUP(Main_L[[#This Row],[Industry]], Mean_AE_L, 3, FALSE))</f>
        <v>-0.65501156343205669</v>
      </c>
      <c r="T123" s="1">
        <f>(Main_L[[#This Row],[P/E]]-VLOOKUP(Main_L[[#This Row],[Industry]], Mean_PE_L, 2, FALSE))/(VLOOKUP(Main_L[[#This Row],[Industry]], Mean_PE_L, 3, FALSE))</f>
        <v>-1.419479497589053</v>
      </c>
      <c r="U1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4" spans="1:26" x14ac:dyDescent="0.25">
      <c r="A124" s="68" t="s">
        <v>215</v>
      </c>
      <c r="B124" s="68" t="s">
        <v>232</v>
      </c>
      <c r="C124" s="2">
        <v>10207</v>
      </c>
      <c r="D124">
        <f>RTD("tos.rtd", , "LAST", Main_L[[#This Row],[Symbol]])</f>
        <v>124.25</v>
      </c>
      <c r="E124">
        <v>13.73</v>
      </c>
      <c r="F124">
        <v>53.18</v>
      </c>
      <c r="G124">
        <v>10.57</v>
      </c>
      <c r="H124" s="1">
        <f>IF(ISNUMBER(Main_L[[#This Row],[Free CF]]),IF(Main_L[[#This Row],[Free CF]]&lt;&gt;0,Main_L[[#This Row],[Current Price]]/Main_L[[#This Row],[Free CF]],""),"")</f>
        <v>9.0495265841223596</v>
      </c>
      <c r="I124" s="1">
        <f>IF(ISNUMBER(Main_L[[#This Row],[BVPS]]),IF(Main_L[[#This Row],[BVPS]]&lt;&gt;0,Main_L[[#This Row],[Current Price]]/Main_L[[#This Row],[BVPS]],""),"")</f>
        <v>2.3364046634072961</v>
      </c>
      <c r="J124">
        <v>20.34</v>
      </c>
      <c r="K124">
        <v>2.5499999999999998</v>
      </c>
      <c r="L124">
        <v>6.9</v>
      </c>
      <c r="M124" s="1">
        <f>IF(ISNUMBER(Main_L[[#This Row],[EPS]]),IF(Main_L[[#This Row],[EPS]]&lt;&gt;0,Main_L[[#This Row],[Current Price]]/Main_L[[#This Row],[EPS]],""),"")</f>
        <v>11.754966887417218</v>
      </c>
      <c r="N1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4" s="1">
        <f>(Main_L[[#This Row],[P/FCF]]-VLOOKUP(Main_L[[#This Row],[Industry]], Mean_PFCF_L, 2, FALSE))/(VLOOKUP(Main_L[[#This Row],[Industry]], Mean_PFCF_L, 3, FALSE))</f>
        <v>-0.37120266526923568</v>
      </c>
      <c r="P124" s="1">
        <f>(Main_L[[#This Row],[P/B]]-VLOOKUP(Main_L[[#This Row],[Industry]], Mean_PB_L, 2, FALSE))/(VLOOKUP(Main_L[[#This Row],[Industry]], Mean_PB_L, 3, FALSE))</f>
        <v>0.16339953961182463</v>
      </c>
      <c r="Q124" s="1">
        <f>(Main_L[[#This Row],[ROE]]-VLOOKUP(Main_L[[#This Row],[Industry]], Mean_ROE_L, 2, FALSE))/(VLOOKUP(Main_L[[#This Row],[Industry]], Mean_ROE_L, 3, FALSE))</f>
        <v>0.97666495631130179</v>
      </c>
      <c r="R124" s="1">
        <f>(Main_L[[#This Row],[ROA]]-VLOOKUP(Main_L[[#This Row],[Industry]], Mean_ROA_L, 2, FALSE))/(VLOOKUP(Main_L[[#This Row],[Industry]], Mean_ROA_L, 3, FALSE))</f>
        <v>8.8606661697190878E-2</v>
      </c>
      <c r="S124" s="1">
        <f>(Main_L[[#This Row],[A/E]]-VLOOKUP(Main_L[[#This Row],[Industry]], Mean_AE_L, 2, FALSE))/(VLOOKUP(Main_L[[#This Row],[Industry]], Mean_AE_L, 3, FALSE))</f>
        <v>0.15541834240350461</v>
      </c>
      <c r="T124" s="1">
        <f>(Main_L[[#This Row],[P/E]]-VLOOKUP(Main_L[[#This Row],[Industry]], Mean_PE_L, 2, FALSE))/(VLOOKUP(Main_L[[#This Row],[Industry]], Mean_PE_L, 3, FALSE))</f>
        <v>-0.83030529102332673</v>
      </c>
      <c r="U1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5" spans="1:26" x14ac:dyDescent="0.25">
      <c r="A125" s="68" t="s">
        <v>215</v>
      </c>
      <c r="B125" s="68" t="s">
        <v>233</v>
      </c>
      <c r="C125" s="2">
        <v>47080</v>
      </c>
      <c r="D125">
        <f>RTD("tos.rtd", , "LAST", Main_L[[#This Row],[Symbol]])</f>
        <v>83.64</v>
      </c>
      <c r="E125">
        <v>4.28</v>
      </c>
      <c r="F125">
        <v>71.39</v>
      </c>
      <c r="G125">
        <v>3.97</v>
      </c>
      <c r="H125" s="1">
        <f>IF(ISNUMBER(Main_L[[#This Row],[Free CF]]),IF(Main_L[[#This Row],[Free CF]]&lt;&gt;0,Main_L[[#This Row],[Current Price]]/Main_L[[#This Row],[Free CF]],""),"")</f>
        <v>19.542056074766354</v>
      </c>
      <c r="I125" s="1">
        <f>IF(ISNUMBER(Main_L[[#This Row],[BVPS]]),IF(Main_L[[#This Row],[BVPS]]&lt;&gt;0,Main_L[[#This Row],[Current Price]]/Main_L[[#This Row],[BVPS]],""),"")</f>
        <v>1.1715926600364197</v>
      </c>
      <c r="J125">
        <v>5.74</v>
      </c>
      <c r="K125">
        <v>0.73</v>
      </c>
      <c r="L125">
        <v>3.91</v>
      </c>
      <c r="M125" s="1">
        <f>IF(ISNUMBER(Main_L[[#This Row],[EPS]]),IF(Main_L[[#This Row],[EPS]]&lt;&gt;0,Main_L[[#This Row],[Current Price]]/Main_L[[#This Row],[EPS]],""),"")</f>
        <v>21.06801007556675</v>
      </c>
      <c r="N1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5" s="1">
        <f>(Main_L[[#This Row],[P/FCF]]-VLOOKUP(Main_L[[#This Row],[Industry]], Mean_PFCF_L, 2, FALSE))/(VLOOKUP(Main_L[[#This Row],[Industry]], Mean_PFCF_L, 3, FALSE))</f>
        <v>0.76955899591527799</v>
      </c>
      <c r="P125" s="1">
        <f>(Main_L[[#This Row],[P/B]]-VLOOKUP(Main_L[[#This Row],[Industry]], Mean_PB_L, 2, FALSE))/(VLOOKUP(Main_L[[#This Row],[Industry]], Mean_PB_L, 3, FALSE))</f>
        <v>-0.91590311319543738</v>
      </c>
      <c r="Q125" s="1">
        <f>(Main_L[[#This Row],[ROE]]-VLOOKUP(Main_L[[#This Row],[Industry]], Mean_ROE_L, 2, FALSE))/(VLOOKUP(Main_L[[#This Row],[Industry]], Mean_ROE_L, 3, FALSE))</f>
        <v>-1.3255442646202842</v>
      </c>
      <c r="R125" s="1">
        <f>(Main_L[[#This Row],[ROA]]-VLOOKUP(Main_L[[#This Row],[Industry]], Mean_ROA_L, 2, FALSE))/(VLOOKUP(Main_L[[#This Row],[Industry]], Mean_ROA_L, 3, FALSE))</f>
        <v>-0.99780428088057993</v>
      </c>
      <c r="S125" s="1">
        <f>(Main_L[[#This Row],[A/E]]-VLOOKUP(Main_L[[#This Row],[Industry]], Mean_AE_L, 2, FALSE))/(VLOOKUP(Main_L[[#This Row],[Industry]], Mean_AE_L, 3, FALSE))</f>
        <v>-0.58561695375806366</v>
      </c>
      <c r="T125" s="1">
        <f>(Main_L[[#This Row],[P/E]]-VLOOKUP(Main_L[[#This Row],[Industry]], Mean_PE_L, 2, FALSE))/(VLOOKUP(Main_L[[#This Row],[Industry]], Mean_PE_L, 3, FALSE))</f>
        <v>1.6942797221094816</v>
      </c>
      <c r="U1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6" spans="1:26" x14ac:dyDescent="0.25">
      <c r="A126" s="68" t="s">
        <v>215</v>
      </c>
      <c r="B126" s="68" t="s">
        <v>234</v>
      </c>
      <c r="C126" s="2">
        <v>10024</v>
      </c>
      <c r="D126">
        <f>RTD("tos.rtd", , "LAST", Main_L[[#This Row],[Symbol]])</f>
        <v>202.45</v>
      </c>
      <c r="E126">
        <v>21.28</v>
      </c>
      <c r="F126">
        <v>100.46</v>
      </c>
      <c r="G126">
        <v>14.46</v>
      </c>
      <c r="H126" s="1">
        <f>IF(ISNUMBER(Main_L[[#This Row],[Free CF]]),IF(Main_L[[#This Row],[Free CF]]&lt;&gt;0,Main_L[[#This Row],[Current Price]]/Main_L[[#This Row],[Free CF]],""),"")</f>
        <v>9.513627819548871</v>
      </c>
      <c r="I126" s="1">
        <f>IF(ISNUMBER(Main_L[[#This Row],[BVPS]]),IF(Main_L[[#This Row],[BVPS]]&lt;&gt;0,Main_L[[#This Row],[Current Price]]/Main_L[[#This Row],[BVPS]],""),"")</f>
        <v>2.0152299422655782</v>
      </c>
      <c r="J126">
        <v>15.33</v>
      </c>
      <c r="K126">
        <v>1.89</v>
      </c>
      <c r="L126">
        <v>6.86</v>
      </c>
      <c r="M126" s="1">
        <f>IF(ISNUMBER(Main_L[[#This Row],[EPS]]),IF(Main_L[[#This Row],[EPS]]&lt;&gt;0,Main_L[[#This Row],[Current Price]]/Main_L[[#This Row],[EPS]],""),"")</f>
        <v>14.000691562932225</v>
      </c>
      <c r="N1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6" s="1">
        <f>(Main_L[[#This Row],[P/FCF]]-VLOOKUP(Main_L[[#This Row],[Industry]], Mean_PFCF_L, 2, FALSE))/(VLOOKUP(Main_L[[#This Row],[Industry]], Mean_PFCF_L, 3, FALSE))</f>
        <v>-0.32074496612671577</v>
      </c>
      <c r="P126" s="1">
        <f>(Main_L[[#This Row],[P/B]]-VLOOKUP(Main_L[[#This Row],[Industry]], Mean_PB_L, 2, FALSE))/(VLOOKUP(Main_L[[#This Row],[Industry]], Mean_PB_L, 3, FALSE))</f>
        <v>-0.13419760700044037</v>
      </c>
      <c r="Q126" s="1">
        <f>(Main_L[[#This Row],[ROE]]-VLOOKUP(Main_L[[#This Row],[Industry]], Mean_ROE_L, 2, FALSE))/(VLOOKUP(Main_L[[#This Row],[Industry]], Mean_ROE_L, 3, FALSE))</f>
        <v>0.1866602852929973</v>
      </c>
      <c r="R126" s="1">
        <f>(Main_L[[#This Row],[ROA]]-VLOOKUP(Main_L[[#This Row],[Industry]], Mean_ROA_L, 2, FALSE))/(VLOOKUP(Main_L[[#This Row],[Industry]], Mean_ROA_L, 3, FALSE))</f>
        <v>-0.30536653725958313</v>
      </c>
      <c r="S126" s="1">
        <f>(Main_L[[#This Row],[A/E]]-VLOOKUP(Main_L[[#This Row],[Industry]], Mean_AE_L, 2, FALSE))/(VLOOKUP(Main_L[[#This Row],[Industry]], Mean_AE_L, 3, FALSE))</f>
        <v>0.14550482673579129</v>
      </c>
      <c r="T126" s="1">
        <f>(Main_L[[#This Row],[P/E]]-VLOOKUP(Main_L[[#This Row],[Industry]], Mean_PE_L, 2, FALSE))/(VLOOKUP(Main_L[[#This Row],[Industry]], Mean_PE_L, 3, FALSE))</f>
        <v>-0.22153297622917206</v>
      </c>
      <c r="U1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7" spans="1:26" x14ac:dyDescent="0.25">
      <c r="A127" s="68" t="s">
        <v>215</v>
      </c>
      <c r="B127" s="68" t="s">
        <v>235</v>
      </c>
      <c r="C127" s="2">
        <v>54041</v>
      </c>
      <c r="D127">
        <f>RTD("tos.rtd", , "LAST", Main_L[[#This Row],[Symbol]])</f>
        <v>202.56</v>
      </c>
      <c r="E127">
        <v>33.43</v>
      </c>
      <c r="F127">
        <v>75.680000000000007</v>
      </c>
      <c r="G127">
        <v>14.64</v>
      </c>
      <c r="H127" s="1">
        <f>IF(ISNUMBER(Main_L[[#This Row],[Free CF]]),IF(Main_L[[#This Row],[Free CF]]&lt;&gt;0,Main_L[[#This Row],[Current Price]]/Main_L[[#This Row],[Free CF]],""),"")</f>
        <v>6.0592282381094824</v>
      </c>
      <c r="I127" s="1">
        <f>IF(ISNUMBER(Main_L[[#This Row],[BVPS]]),IF(Main_L[[#This Row],[BVPS]]&lt;&gt;0,Main_L[[#This Row],[Current Price]]/Main_L[[#This Row],[BVPS]],""),"")</f>
        <v>2.676532769556025</v>
      </c>
      <c r="J127">
        <v>19.72</v>
      </c>
      <c r="K127">
        <v>3.11</v>
      </c>
      <c r="L127">
        <v>5.74</v>
      </c>
      <c r="M127" s="1">
        <f>IF(ISNUMBER(Main_L[[#This Row],[EPS]]),IF(Main_L[[#This Row],[EPS]]&lt;&gt;0,Main_L[[#This Row],[Current Price]]/Main_L[[#This Row],[EPS]],""),"")</f>
        <v>13.836065573770492</v>
      </c>
      <c r="N1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7" s="1">
        <f>(Main_L[[#This Row],[P/FCF]]-VLOOKUP(Main_L[[#This Row],[Industry]], Mean_PFCF_L, 2, FALSE))/(VLOOKUP(Main_L[[#This Row],[Industry]], Mean_PFCF_L, 3, FALSE))</f>
        <v>-0.6963118500160288</v>
      </c>
      <c r="P127" s="1">
        <f>(Main_L[[#This Row],[P/B]]-VLOOKUP(Main_L[[#This Row],[Industry]], Mean_PB_L, 2, FALSE))/(VLOOKUP(Main_L[[#This Row],[Industry]], Mean_PB_L, 3, FALSE))</f>
        <v>0.47855869507920523</v>
      </c>
      <c r="Q127" s="1">
        <f>(Main_L[[#This Row],[ROE]]-VLOOKUP(Main_L[[#This Row],[Industry]], Mean_ROE_L, 2, FALSE))/(VLOOKUP(Main_L[[#This Row],[Industry]], Mean_ROE_L, 3, FALSE))</f>
        <v>0.87889990720324795</v>
      </c>
      <c r="R127" s="1">
        <f>(Main_L[[#This Row],[ROA]]-VLOOKUP(Main_L[[#This Row],[Industry]], Mean_ROA_L, 2, FALSE))/(VLOOKUP(Main_L[[#This Row],[Industry]], Mean_ROA_L, 3, FALSE))</f>
        <v>0.4228869517211204</v>
      </c>
      <c r="S127" s="1">
        <f>(Main_L[[#This Row],[A/E]]-VLOOKUP(Main_L[[#This Row],[Industry]], Mean_AE_L, 2, FALSE))/(VLOOKUP(Main_L[[#This Row],[Industry]], Mean_AE_L, 3, FALSE))</f>
        <v>-0.13207361196018075</v>
      </c>
      <c r="T127" s="1">
        <f>(Main_L[[#This Row],[P/E]]-VLOOKUP(Main_L[[#This Row],[Industry]], Mean_PE_L, 2, FALSE))/(VLOOKUP(Main_L[[#This Row],[Industry]], Mean_PE_L, 3, FALSE))</f>
        <v>-0.2661598824523414</v>
      </c>
      <c r="U1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8" spans="1:26" x14ac:dyDescent="0.25">
      <c r="A128" s="68" t="s">
        <v>215</v>
      </c>
      <c r="B128" s="68" t="s">
        <v>236</v>
      </c>
      <c r="C128" s="2">
        <v>116383</v>
      </c>
      <c r="D128">
        <f>RTD("tos.rtd", , "LAST", Main_L[[#This Row],[Symbol]])</f>
        <v>285.33</v>
      </c>
      <c r="E128">
        <v>36.049999999999997</v>
      </c>
      <c r="F128">
        <v>164.01</v>
      </c>
      <c r="G128">
        <v>20.78</v>
      </c>
      <c r="H128" s="1">
        <f>IF(ISNUMBER(Main_L[[#This Row],[Free CF]]),IF(Main_L[[#This Row],[Free CF]]&lt;&gt;0,Main_L[[#This Row],[Current Price]]/Main_L[[#This Row],[Free CF]],""),"")</f>
        <v>7.9148404993065187</v>
      </c>
      <c r="I128" s="1">
        <f>IF(ISNUMBER(Main_L[[#This Row],[BVPS]]),IF(Main_L[[#This Row],[BVPS]]&lt;&gt;0,Main_L[[#This Row],[Current Price]]/Main_L[[#This Row],[BVPS]],""),"")</f>
        <v>1.73971099323212</v>
      </c>
      <c r="J128">
        <v>12.86</v>
      </c>
      <c r="K128">
        <v>2.71</v>
      </c>
      <c r="L128">
        <v>3.83</v>
      </c>
      <c r="M128" s="1">
        <f>IF(ISNUMBER(Main_L[[#This Row],[EPS]]),IF(Main_L[[#This Row],[EPS]]&lt;&gt;0,Main_L[[#This Row],[Current Price]]/Main_L[[#This Row],[EPS]],""),"")</f>
        <v>13.730991337824831</v>
      </c>
      <c r="N1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8" s="1">
        <f>(Main_L[[#This Row],[P/FCF]]-VLOOKUP(Main_L[[#This Row],[Industry]], Mean_PFCF_L, 2, FALSE))/(VLOOKUP(Main_L[[#This Row],[Industry]], Mean_PFCF_L, 3, FALSE))</f>
        <v>-0.49456723471759134</v>
      </c>
      <c r="P128" s="1">
        <f>(Main_L[[#This Row],[P/B]]-VLOOKUP(Main_L[[#This Row],[Industry]], Mean_PB_L, 2, FALSE))/(VLOOKUP(Main_L[[#This Row],[Industry]], Mean_PB_L, 3, FALSE))</f>
        <v>-0.38949059138755104</v>
      </c>
      <c r="Q128" s="1">
        <f>(Main_L[[#This Row],[ROE]]-VLOOKUP(Main_L[[#This Row],[Industry]], Mean_ROE_L, 2, FALSE))/(VLOOKUP(Main_L[[#This Row],[Industry]], Mean_ROE_L, 3, FALSE))</f>
        <v>-0.20282305550844237</v>
      </c>
      <c r="R128" s="1">
        <f>(Main_L[[#This Row],[ROA]]-VLOOKUP(Main_L[[#This Row],[Industry]], Mean_ROA_L, 2, FALSE))/(VLOOKUP(Main_L[[#This Row],[Industry]], Mean_ROA_L, 3, FALSE))</f>
        <v>0.18411531598974226</v>
      </c>
      <c r="S128" s="1">
        <f>(Main_L[[#This Row],[A/E]]-VLOOKUP(Main_L[[#This Row],[Industry]], Mean_AE_L, 2, FALSE))/(VLOOKUP(Main_L[[#This Row],[Industry]], Mean_AE_L, 3, FALSE))</f>
        <v>-0.60544398509349018</v>
      </c>
      <c r="T128" s="1">
        <f>(Main_L[[#This Row],[P/E]]-VLOOKUP(Main_L[[#This Row],[Industry]], Mean_PE_L, 2, FALSE))/(VLOOKUP(Main_L[[#This Row],[Industry]], Mean_PE_L, 3, FALSE))</f>
        <v>-0.29464346574253175</v>
      </c>
      <c r="U1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9" spans="1:26" x14ac:dyDescent="0.25">
      <c r="A129" s="68" t="s">
        <v>215</v>
      </c>
      <c r="B129" s="68" t="s">
        <v>237</v>
      </c>
      <c r="C129" s="2">
        <v>22695</v>
      </c>
      <c r="D129">
        <f>RTD("tos.rtd", , "LAST", Main_L[[#This Row],[Symbol]])</f>
        <v>148.56</v>
      </c>
      <c r="E129">
        <v>16.559999999999999</v>
      </c>
      <c r="F129">
        <v>87.77</v>
      </c>
      <c r="G129">
        <v>9.1999999999999993</v>
      </c>
      <c r="H129" s="1">
        <f>IF(ISNUMBER(Main_L[[#This Row],[Free CF]]),IF(Main_L[[#This Row],[Free CF]]&lt;&gt;0,Main_L[[#This Row],[Current Price]]/Main_L[[#This Row],[Free CF]],""),"")</f>
        <v>8.9710144927536248</v>
      </c>
      <c r="I129" s="1">
        <f>IF(ISNUMBER(Main_L[[#This Row],[BVPS]]),IF(Main_L[[#This Row],[BVPS]]&lt;&gt;0,Main_L[[#This Row],[Current Price]]/Main_L[[#This Row],[BVPS]],""),"")</f>
        <v>1.692605673920474</v>
      </c>
      <c r="J129">
        <v>10.97</v>
      </c>
      <c r="K129">
        <v>3.22</v>
      </c>
      <c r="L129">
        <v>2.72</v>
      </c>
      <c r="M129" s="1">
        <f>IF(ISNUMBER(Main_L[[#This Row],[EPS]]),IF(Main_L[[#This Row],[EPS]]&lt;&gt;0,Main_L[[#This Row],[Current Price]]/Main_L[[#This Row],[EPS]],""),"")</f>
        <v>16.147826086956524</v>
      </c>
      <c r="N1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9" s="1">
        <f>(Main_L[[#This Row],[P/FCF]]-VLOOKUP(Main_L[[#This Row],[Industry]], Mean_PFCF_L, 2, FALSE))/(VLOOKUP(Main_L[[#This Row],[Industry]], Mean_PFCF_L, 3, FALSE))</f>
        <v>-0.3797386035148923</v>
      </c>
      <c r="P129" s="1">
        <f>(Main_L[[#This Row],[P/B]]-VLOOKUP(Main_L[[#This Row],[Industry]], Mean_PB_L, 2, FALSE))/(VLOOKUP(Main_L[[#This Row],[Industry]], Mean_PB_L, 3, FALSE))</f>
        <v>-0.43313788893192989</v>
      </c>
      <c r="Q129" s="1">
        <f>(Main_L[[#This Row],[ROE]]-VLOOKUP(Main_L[[#This Row],[Industry]], Mean_ROE_L, 2, FALSE))/(VLOOKUP(Main_L[[#This Row],[Industry]], Mean_ROE_L, 3, FALSE))</f>
        <v>-0.50084876972492831</v>
      </c>
      <c r="R129" s="1">
        <f>(Main_L[[#This Row],[ROA]]-VLOOKUP(Main_L[[#This Row],[Industry]], Mean_ROA_L, 2, FALSE))/(VLOOKUP(Main_L[[#This Row],[Industry]], Mean_ROA_L, 3, FALSE))</f>
        <v>0.48854915154724965</v>
      </c>
      <c r="S129" s="1">
        <f>(Main_L[[#This Row],[A/E]]-VLOOKUP(Main_L[[#This Row],[Industry]], Mean_AE_L, 2, FALSE))/(VLOOKUP(Main_L[[#This Row],[Industry]], Mean_AE_L, 3, FALSE))</f>
        <v>-0.8805440448725339</v>
      </c>
      <c r="T129" s="1">
        <f>(Main_L[[#This Row],[P/E]]-VLOOKUP(Main_L[[#This Row],[Industry]], Mean_PE_L, 2, FALSE))/(VLOOKUP(Main_L[[#This Row],[Industry]], Mean_PE_L, 3, FALSE))</f>
        <v>0.36051346455500832</v>
      </c>
      <c r="U1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0" spans="1:26" x14ac:dyDescent="0.25">
      <c r="A130" s="68" t="s">
        <v>215</v>
      </c>
      <c r="B130" s="68" t="s">
        <v>238</v>
      </c>
      <c r="C130" s="2">
        <v>13071</v>
      </c>
      <c r="D130">
        <f>RTD("tos.rtd", , "LAST", Main_L[[#This Row],[Symbol]])</f>
        <v>48.5</v>
      </c>
      <c r="E130">
        <v>9.1199999999999992</v>
      </c>
      <c r="F130">
        <v>37.89</v>
      </c>
      <c r="G130">
        <v>3.28</v>
      </c>
      <c r="H130" s="1">
        <f>IF(ISNUMBER(Main_L[[#This Row],[Free CF]]),IF(Main_L[[#This Row],[Free CF]]&lt;&gt;0,Main_L[[#This Row],[Current Price]]/Main_L[[#This Row],[Free CF]],""),"")</f>
        <v>5.317982456140351</v>
      </c>
      <c r="I130" s="1">
        <f>IF(ISNUMBER(Main_L[[#This Row],[BVPS]]),IF(Main_L[[#This Row],[BVPS]]&lt;&gt;0,Main_L[[#This Row],[Current Price]]/Main_L[[#This Row],[BVPS]],""),"")</f>
        <v>1.2800211137503299</v>
      </c>
      <c r="J130">
        <v>8.98</v>
      </c>
      <c r="K130">
        <v>1.19</v>
      </c>
      <c r="L130">
        <v>6.55</v>
      </c>
      <c r="M130" s="1">
        <f>IF(ISNUMBER(Main_L[[#This Row],[EPS]]),IF(Main_L[[#This Row],[EPS]]&lt;&gt;0,Main_L[[#This Row],[Current Price]]/Main_L[[#This Row],[EPS]],""),"")</f>
        <v>14.786585365853659</v>
      </c>
      <c r="N1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0" s="1">
        <f>(Main_L[[#This Row],[P/FCF]]-VLOOKUP(Main_L[[#This Row],[Industry]], Mean_PFCF_L, 2, FALSE))/(VLOOKUP(Main_L[[#This Row],[Industry]], Mean_PFCF_L, 3, FALSE))</f>
        <v>-0.77690107021685006</v>
      </c>
      <c r="P130" s="1">
        <f>(Main_L[[#This Row],[P/B]]-VLOOKUP(Main_L[[#This Row],[Industry]], Mean_PB_L, 2, FALSE))/(VLOOKUP(Main_L[[#This Row],[Industry]], Mean_PB_L, 3, FALSE))</f>
        <v>-0.81543443894195689</v>
      </c>
      <c r="Q130" s="1">
        <f>(Main_L[[#This Row],[ROE]]-VLOOKUP(Main_L[[#This Row],[Industry]], Mean_ROE_L, 2, FALSE))/(VLOOKUP(Main_L[[#This Row],[Industry]], Mean_ROE_L, 3, FALSE))</f>
        <v>-0.81464304024916512</v>
      </c>
      <c r="R130" s="1">
        <f>(Main_L[[#This Row],[ROA]]-VLOOKUP(Main_L[[#This Row],[Industry]], Mean_ROA_L, 2, FALSE))/(VLOOKUP(Main_L[[#This Row],[Industry]], Mean_ROA_L, 3, FALSE))</f>
        <v>-0.72321689978949499</v>
      </c>
      <c r="S130" s="1">
        <f>(Main_L[[#This Row],[A/E]]-VLOOKUP(Main_L[[#This Row],[Industry]], Mean_AE_L, 2, FALSE))/(VLOOKUP(Main_L[[#This Row],[Industry]], Mean_AE_L, 3, FALSE))</f>
        <v>6.8675080311013215E-2</v>
      </c>
      <c r="T130" s="1">
        <f>(Main_L[[#This Row],[P/E]]-VLOOKUP(Main_L[[#This Row],[Industry]], Mean_PE_L, 2, FALSE))/(VLOOKUP(Main_L[[#This Row],[Industry]], Mean_PE_L, 3, FALSE))</f>
        <v>-8.4924397808893801E-3</v>
      </c>
      <c r="U1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1" spans="1:26" x14ac:dyDescent="0.25">
      <c r="A131" s="68" t="s">
        <v>215</v>
      </c>
      <c r="B131" s="68" t="s">
        <v>239</v>
      </c>
      <c r="C131" s="2">
        <v>18980</v>
      </c>
      <c r="D131">
        <f>RTD("tos.rtd", , "LAST", Main_L[[#This Row],[Symbol]])</f>
        <v>359.38</v>
      </c>
      <c r="E131">
        <v>9.76</v>
      </c>
      <c r="F131">
        <v>39.54</v>
      </c>
      <c r="G131">
        <v>11.75</v>
      </c>
      <c r="H131" s="1">
        <f>IF(ISNUMBER(Main_L[[#This Row],[Free CF]]),IF(Main_L[[#This Row],[Free CF]]&lt;&gt;0,Main_L[[#This Row],[Current Price]]/Main_L[[#This Row],[Free CF]],""),"")</f>
        <v>36.821721311475407</v>
      </c>
      <c r="I131" s="1">
        <f>IF(ISNUMBER(Main_L[[#This Row],[BVPS]]),IF(Main_L[[#This Row],[BVPS]]&lt;&gt;0,Main_L[[#This Row],[Current Price]]/Main_L[[#This Row],[BVPS]],""),"")</f>
        <v>9.0890237733940307</v>
      </c>
      <c r="J131">
        <v>32.380000000000003</v>
      </c>
      <c r="K131">
        <v>16.29</v>
      </c>
      <c r="L131">
        <v>1.44</v>
      </c>
      <c r="M131" s="1">
        <f>IF(ISNUMBER(Main_L[[#This Row],[EPS]]),IF(Main_L[[#This Row],[EPS]]&lt;&gt;0,Main_L[[#This Row],[Current Price]]/Main_L[[#This Row],[EPS]],""),"")</f>
        <v>30.585531914893618</v>
      </c>
      <c r="N1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1" s="1">
        <f>(Main_L[[#This Row],[P/FCF]]-VLOOKUP(Main_L[[#This Row],[Industry]], Mean_PFCF_L, 2, FALSE))/(VLOOKUP(Main_L[[#This Row],[Industry]], Mean_PFCF_L, 3, FALSE))</f>
        <v>2.6482270175507989</v>
      </c>
      <c r="P131" s="1">
        <f>(Main_L[[#This Row],[P/B]]-VLOOKUP(Main_L[[#This Row],[Industry]], Mean_PB_L, 2, FALSE))/(VLOOKUP(Main_L[[#This Row],[Industry]], Mean_PB_L, 3, FALSE))</f>
        <v>6.4203059740531225</v>
      </c>
      <c r="Q131" s="1">
        <f>(Main_L[[#This Row],[ROE]]-VLOOKUP(Main_L[[#This Row],[Industry]], Mean_ROE_L, 2, FALSE))/(VLOOKUP(Main_L[[#This Row],[Industry]], Mean_ROE_L, 3, FALSE))</f>
        <v>2.8751991357644733</v>
      </c>
      <c r="R131" s="1">
        <f>(Main_L[[#This Row],[ROA]]-VLOOKUP(Main_L[[#This Row],[Industry]], Mean_ROA_L, 2, FALSE))/(VLOOKUP(Main_L[[#This Row],[Industry]], Mean_ROA_L, 3, FALSE))</f>
        <v>8.2904123490700314</v>
      </c>
      <c r="S131" s="1">
        <f>(Main_L[[#This Row],[A/E]]-VLOOKUP(Main_L[[#This Row],[Industry]], Mean_AE_L, 2, FALSE))/(VLOOKUP(Main_L[[#This Row],[Industry]], Mean_AE_L, 3, FALSE))</f>
        <v>-1.1977765462393593</v>
      </c>
      <c r="T131" s="1">
        <f>(Main_L[[#This Row],[P/E]]-VLOOKUP(Main_L[[#This Row],[Industry]], Mean_PE_L, 2, FALSE))/(VLOOKUP(Main_L[[#This Row],[Industry]], Mean_PE_L, 3, FALSE))</f>
        <v>4.2742949236177488</v>
      </c>
      <c r="U1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32" spans="1:26" x14ac:dyDescent="0.25">
      <c r="A132" s="68" t="s">
        <v>215</v>
      </c>
      <c r="B132" s="68" t="s">
        <v>240</v>
      </c>
      <c r="C132" s="2">
        <v>17668</v>
      </c>
      <c r="D132">
        <f>RTD("tos.rtd", , "LAST", Main_L[[#This Row],[Symbol]])</f>
        <v>57.32</v>
      </c>
      <c r="E132">
        <v>24.61</v>
      </c>
      <c r="F132">
        <v>28.2</v>
      </c>
      <c r="G132">
        <v>4.6500000000000004</v>
      </c>
      <c r="H132" s="1">
        <f>IF(ISNUMBER(Main_L[[#This Row],[Free CF]]),IF(Main_L[[#This Row],[Free CF]]&lt;&gt;0,Main_L[[#This Row],[Current Price]]/Main_L[[#This Row],[Free CF]],""),"")</f>
        <v>2.329134498171475</v>
      </c>
      <c r="I132" s="1">
        <f>IF(ISNUMBER(Main_L[[#This Row],[BVPS]]),IF(Main_L[[#This Row],[BVPS]]&lt;&gt;0,Main_L[[#This Row],[Current Price]]/Main_L[[#This Row],[BVPS]],""),"")</f>
        <v>2.0326241134751775</v>
      </c>
      <c r="J132">
        <v>17.399999999999999</v>
      </c>
      <c r="K132">
        <v>1.37</v>
      </c>
      <c r="L132">
        <v>12.3</v>
      </c>
      <c r="M132" s="1">
        <f>IF(ISNUMBER(Main_L[[#This Row],[EPS]]),IF(Main_L[[#This Row],[EPS]]&lt;&gt;0,Main_L[[#This Row],[Current Price]]/Main_L[[#This Row],[EPS]],""),"")</f>
        <v>12.326881720430107</v>
      </c>
      <c r="N1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2" s="1">
        <f>(Main_L[[#This Row],[P/FCF]]-VLOOKUP(Main_L[[#This Row],[Industry]], Mean_PFCF_L, 2, FALSE))/(VLOOKUP(Main_L[[#This Row],[Industry]], Mean_PFCF_L, 3, FALSE))</f>
        <v>-1.1018525668603205</v>
      </c>
      <c r="P132" s="1">
        <f>(Main_L[[#This Row],[P/B]]-VLOOKUP(Main_L[[#This Row],[Industry]], Mean_PB_L, 2, FALSE))/(VLOOKUP(Main_L[[#This Row],[Industry]], Mean_PB_L, 3, FALSE))</f>
        <v>-0.11808034938670105</v>
      </c>
      <c r="Q132" s="1">
        <f>(Main_L[[#This Row],[ROE]]-VLOOKUP(Main_L[[#This Row],[Industry]], Mean_ROE_L, 2, FALSE))/(VLOOKUP(Main_L[[#This Row],[Industry]], Mean_ROE_L, 3, FALSE))</f>
        <v>0.51306940086343433</v>
      </c>
      <c r="R132" s="1">
        <f>(Main_L[[#This Row],[ROA]]-VLOOKUP(Main_L[[#This Row],[Industry]], Mean_ROA_L, 2, FALSE))/(VLOOKUP(Main_L[[#This Row],[Industry]], Mean_ROA_L, 3, FALSE))</f>
        <v>-0.61576966371037467</v>
      </c>
      <c r="S132" s="1">
        <f>(Main_L[[#This Row],[A/E]]-VLOOKUP(Main_L[[#This Row],[Industry]], Mean_AE_L, 2, FALSE))/(VLOOKUP(Main_L[[#This Row],[Industry]], Mean_AE_L, 3, FALSE))</f>
        <v>1.4937429575447985</v>
      </c>
      <c r="T132" s="1">
        <f>(Main_L[[#This Row],[P/E]]-VLOOKUP(Main_L[[#This Row],[Industry]], Mean_PE_L, 2, FALSE))/(VLOOKUP(Main_L[[#This Row],[Industry]], Mean_PE_L, 3, FALSE))</f>
        <v>-0.67527029472373612</v>
      </c>
      <c r="U1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3" spans="1:26" x14ac:dyDescent="0.25">
      <c r="A133" s="68" t="s">
        <v>215</v>
      </c>
      <c r="B133" s="68" t="s">
        <v>241</v>
      </c>
      <c r="C133" s="2">
        <v>36303</v>
      </c>
      <c r="D133">
        <f>RTD("tos.rtd", , "LAST", Main_L[[#This Row],[Symbol]])</f>
        <v>127.93</v>
      </c>
      <c r="E133">
        <v>19.39</v>
      </c>
      <c r="F133">
        <v>57.91</v>
      </c>
      <c r="G133">
        <v>10.039999999999999</v>
      </c>
      <c r="H133" s="1">
        <f>IF(ISNUMBER(Main_L[[#This Row],[Free CF]]),IF(Main_L[[#This Row],[Free CF]]&lt;&gt;0,Main_L[[#This Row],[Current Price]]/Main_L[[#This Row],[Free CF]],""),"")</f>
        <v>6.5977307890665289</v>
      </c>
      <c r="I133" s="1">
        <f>IF(ISNUMBER(Main_L[[#This Row],[BVPS]]),IF(Main_L[[#This Row],[BVPS]]&lt;&gt;0,Main_L[[#This Row],[Current Price]]/Main_L[[#This Row],[BVPS]],""),"")</f>
        <v>2.2091175962700746</v>
      </c>
      <c r="J133">
        <v>18.5</v>
      </c>
      <c r="K133">
        <v>3.08</v>
      </c>
      <c r="L133">
        <v>4.99</v>
      </c>
      <c r="M133" s="1">
        <f>IF(ISNUMBER(Main_L[[#This Row],[EPS]]),IF(Main_L[[#This Row],[EPS]]&lt;&gt;0,Main_L[[#This Row],[Current Price]]/Main_L[[#This Row],[EPS]],""),"")</f>
        <v>12.742031872509962</v>
      </c>
      <c r="N1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3" s="1">
        <f>(Main_L[[#This Row],[P/FCF]]-VLOOKUP(Main_L[[#This Row],[Industry]], Mean_PFCF_L, 2, FALSE))/(VLOOKUP(Main_L[[#This Row],[Industry]], Mean_PFCF_L, 3, FALSE))</f>
        <v>-0.6377651416050949</v>
      </c>
      <c r="P133" s="1">
        <f>(Main_L[[#This Row],[P/B]]-VLOOKUP(Main_L[[#This Row],[Industry]], Mean_PB_L, 2, FALSE))/(VLOOKUP(Main_L[[#This Row],[Industry]], Mean_PB_L, 3, FALSE))</f>
        <v>4.5456670864174036E-2</v>
      </c>
      <c r="Q133" s="1">
        <f>(Main_L[[#This Row],[ROE]]-VLOOKUP(Main_L[[#This Row],[Industry]], Mean_ROE_L, 2, FALSE))/(VLOOKUP(Main_L[[#This Row],[Industry]], Mean_ROE_L, 3, FALSE))</f>
        <v>0.68652352024869101</v>
      </c>
      <c r="R133" s="1">
        <f>(Main_L[[#This Row],[ROA]]-VLOOKUP(Main_L[[#This Row],[Industry]], Mean_ROA_L, 2, FALSE))/(VLOOKUP(Main_L[[#This Row],[Industry]], Mean_ROA_L, 3, FALSE))</f>
        <v>0.40497907904126718</v>
      </c>
      <c r="S133" s="1">
        <f>(Main_L[[#This Row],[A/E]]-VLOOKUP(Main_L[[#This Row],[Industry]], Mean_AE_L, 2, FALSE))/(VLOOKUP(Main_L[[#This Row],[Industry]], Mean_AE_L, 3, FALSE))</f>
        <v>-0.31795203072980488</v>
      </c>
      <c r="T133" s="1">
        <f>(Main_L[[#This Row],[P/E]]-VLOOKUP(Main_L[[#This Row],[Industry]], Mean_PE_L, 2, FALSE))/(VLOOKUP(Main_L[[#This Row],[Industry]], Mean_PE_L, 3, FALSE))</f>
        <v>-0.56273115676781527</v>
      </c>
      <c r="U1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4" spans="1:26" x14ac:dyDescent="0.25">
      <c r="A134" s="68" t="s">
        <v>215</v>
      </c>
      <c r="B134" s="68" t="s">
        <v>242</v>
      </c>
      <c r="C134" s="2">
        <v>10725</v>
      </c>
      <c r="D134">
        <f>RTD("tos.rtd", , "LAST", Main_L[[#This Row],[Symbol]])</f>
        <v>446.34</v>
      </c>
      <c r="E134">
        <v>41.57</v>
      </c>
      <c r="F134">
        <v>67.92</v>
      </c>
      <c r="G134">
        <v>17.37</v>
      </c>
      <c r="H134" s="1">
        <f>IF(ISNUMBER(Main_L[[#This Row],[Free CF]]),IF(Main_L[[#This Row],[Free CF]]&lt;&gt;0,Main_L[[#This Row],[Current Price]]/Main_L[[#This Row],[Free CF]],""),"")</f>
        <v>10.737070002405581</v>
      </c>
      <c r="I134" s="1">
        <f>IF(ISNUMBER(Main_L[[#This Row],[BVPS]]),IF(Main_L[[#This Row],[BVPS]]&lt;&gt;0,Main_L[[#This Row],[Current Price]]/Main_L[[#This Row],[BVPS]],""),"")</f>
        <v>6.5715547703180208</v>
      </c>
      <c r="J134">
        <v>29.42</v>
      </c>
      <c r="K134">
        <v>7.05</v>
      </c>
      <c r="L134">
        <v>3.29</v>
      </c>
      <c r="M134" s="1">
        <f>IF(ISNUMBER(Main_L[[#This Row],[EPS]]),IF(Main_L[[#This Row],[EPS]]&lt;&gt;0,Main_L[[#This Row],[Current Price]]/Main_L[[#This Row],[EPS]],""),"")</f>
        <v>25.696027633851465</v>
      </c>
      <c r="N1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4" s="1">
        <f>(Main_L[[#This Row],[P/FCF]]-VLOOKUP(Main_L[[#This Row],[Industry]], Mean_PFCF_L, 2, FALSE))/(VLOOKUP(Main_L[[#This Row],[Industry]], Mean_PFCF_L, 3, FALSE))</f>
        <v>-0.18773071650051174</v>
      </c>
      <c r="P134" s="1">
        <f>(Main_L[[#This Row],[P/B]]-VLOOKUP(Main_L[[#This Row],[Industry]], Mean_PB_L, 2, FALSE))/(VLOOKUP(Main_L[[#This Row],[Industry]], Mean_PB_L, 3, FALSE))</f>
        <v>4.0876454541435736</v>
      </c>
      <c r="Q134" s="1">
        <f>(Main_L[[#This Row],[ROE]]-VLOOKUP(Main_L[[#This Row],[Industry]], Mean_ROE_L, 2, FALSE))/(VLOOKUP(Main_L[[#This Row],[Industry]], Mean_ROE_L, 3, FALSE))</f>
        <v>2.4084498690550555</v>
      </c>
      <c r="R134" s="1">
        <f>(Main_L[[#This Row],[ROA]]-VLOOKUP(Main_L[[#This Row],[Industry]], Mean_ROA_L, 2, FALSE))/(VLOOKUP(Main_L[[#This Row],[Industry]], Mean_ROA_L, 3, FALSE))</f>
        <v>2.7747875636751962</v>
      </c>
      <c r="S134" s="1">
        <f>(Main_L[[#This Row],[A/E]]-VLOOKUP(Main_L[[#This Row],[Industry]], Mean_AE_L, 2, FALSE))/(VLOOKUP(Main_L[[#This Row],[Industry]], Mean_AE_L, 3, FALSE))</f>
        <v>-0.7392764466076196</v>
      </c>
      <c r="T134" s="1">
        <f>(Main_L[[#This Row],[P/E]]-VLOOKUP(Main_L[[#This Row],[Industry]], Mean_PE_L, 2, FALSE))/(VLOOKUP(Main_L[[#This Row],[Industry]], Mean_PE_L, 3, FALSE))</f>
        <v>2.9488453385374473</v>
      </c>
      <c r="U1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5" spans="1:26" x14ac:dyDescent="0.25">
      <c r="A135" s="68" t="s">
        <v>215</v>
      </c>
      <c r="B135" s="68" t="s">
        <v>243</v>
      </c>
      <c r="C135" s="2">
        <v>18418</v>
      </c>
      <c r="D135">
        <f>RTD("tos.rtd", , "LAST", Main_L[[#This Row],[Symbol]])</f>
        <v>88.59</v>
      </c>
      <c r="E135">
        <v>10.86</v>
      </c>
      <c r="F135">
        <v>79.489999999999995</v>
      </c>
      <c r="G135">
        <v>6.09</v>
      </c>
      <c r="H135" s="1">
        <f>IF(ISNUMBER(Main_L[[#This Row],[Free CF]]),IF(Main_L[[#This Row],[Free CF]]&lt;&gt;0,Main_L[[#This Row],[Current Price]]/Main_L[[#This Row],[Free CF]],""),"")</f>
        <v>8.1574585635359131</v>
      </c>
      <c r="I135" s="1">
        <f>IF(ISNUMBER(Main_L[[#This Row],[BVPS]]),IF(Main_L[[#This Row],[BVPS]]&lt;&gt;0,Main_L[[#This Row],[Current Price]]/Main_L[[#This Row],[BVPS]],""),"")</f>
        <v>1.1144798087809789</v>
      </c>
      <c r="J135">
        <v>8.67</v>
      </c>
      <c r="K135">
        <v>1.75</v>
      </c>
      <c r="L135">
        <v>4.8</v>
      </c>
      <c r="M135" s="1">
        <f>IF(ISNUMBER(Main_L[[#This Row],[EPS]]),IF(Main_L[[#This Row],[EPS]]&lt;&gt;0,Main_L[[#This Row],[Current Price]]/Main_L[[#This Row],[EPS]],""),"")</f>
        <v>14.546798029556651</v>
      </c>
      <c r="N1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5" s="1">
        <f>(Main_L[[#This Row],[P/FCF]]-VLOOKUP(Main_L[[#This Row],[Industry]], Mean_PFCF_L, 2, FALSE))/(VLOOKUP(Main_L[[#This Row],[Industry]], Mean_PFCF_L, 3, FALSE))</f>
        <v>-0.46818947840721015</v>
      </c>
      <c r="P135" s="1">
        <f>(Main_L[[#This Row],[P/B]]-VLOOKUP(Main_L[[#This Row],[Industry]], Mean_PB_L, 2, FALSE))/(VLOOKUP(Main_L[[#This Row],[Industry]], Mean_PB_L, 3, FALSE))</f>
        <v>-0.96882328545585072</v>
      </c>
      <c r="Q135" s="1">
        <f>(Main_L[[#This Row],[ROE]]-VLOOKUP(Main_L[[#This Row],[Industry]], Mean_ROE_L, 2, FALSE))/(VLOOKUP(Main_L[[#This Row],[Industry]], Mean_ROE_L, 3, FALSE))</f>
        <v>-0.86352556480319198</v>
      </c>
      <c r="R135" s="1">
        <f>(Main_L[[#This Row],[ROA]]-VLOOKUP(Main_L[[#This Row],[Industry]], Mean_ROA_L, 2, FALSE))/(VLOOKUP(Main_L[[#This Row],[Industry]], Mean_ROA_L, 3, FALSE))</f>
        <v>-0.38893660976556549</v>
      </c>
      <c r="S135" s="1">
        <f>(Main_L[[#This Row],[A/E]]-VLOOKUP(Main_L[[#This Row],[Industry]], Mean_AE_L, 2, FALSE))/(VLOOKUP(Main_L[[#This Row],[Industry]], Mean_AE_L, 3, FALSE))</f>
        <v>-0.36504123015144307</v>
      </c>
      <c r="T135" s="1">
        <f>(Main_L[[#This Row],[P/E]]-VLOOKUP(Main_L[[#This Row],[Industry]], Mean_PE_L, 2, FALSE))/(VLOOKUP(Main_L[[#This Row],[Industry]], Mean_PE_L, 3, FALSE))</f>
        <v>-7.3494126482478273E-2</v>
      </c>
      <c r="U1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6" spans="1:26" x14ac:dyDescent="0.25">
      <c r="A136" s="68" t="s">
        <v>215</v>
      </c>
      <c r="B136" s="68" t="s">
        <v>244</v>
      </c>
      <c r="C136" s="2">
        <v>23815</v>
      </c>
      <c r="D136">
        <f>RTD("tos.rtd", , "LAST", Main_L[[#This Row],[Symbol]])</f>
        <v>1913.55</v>
      </c>
      <c r="E136">
        <v>160.80000000000001</v>
      </c>
      <c r="F136">
        <v>1303.4000000000001</v>
      </c>
      <c r="G136">
        <v>135.94</v>
      </c>
      <c r="H136" s="1">
        <f>IF(ISNUMBER(Main_L[[#This Row],[Free CF]]),IF(Main_L[[#This Row],[Free CF]]&lt;&gt;0,Main_L[[#This Row],[Current Price]]/Main_L[[#This Row],[Free CF]],""),"")</f>
        <v>11.900186567164178</v>
      </c>
      <c r="I136" s="1">
        <f>IF(ISNUMBER(Main_L[[#This Row],[BVPS]]),IF(Main_L[[#This Row],[BVPS]]&lt;&gt;0,Main_L[[#This Row],[Current Price]]/Main_L[[#This Row],[BVPS]],""),"")</f>
        <v>1.4681218352002454</v>
      </c>
      <c r="J136">
        <v>11.32</v>
      </c>
      <c r="K136">
        <v>2.73</v>
      </c>
      <c r="L136">
        <v>3.9</v>
      </c>
      <c r="M136" s="1">
        <f>IF(ISNUMBER(Main_L[[#This Row],[EPS]]),IF(Main_L[[#This Row],[EPS]]&lt;&gt;0,Main_L[[#This Row],[Current Price]]/Main_L[[#This Row],[EPS]],""),"")</f>
        <v>14.076430778284537</v>
      </c>
      <c r="N1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6" s="1">
        <f>(Main_L[[#This Row],[P/FCF]]-VLOOKUP(Main_L[[#This Row],[Industry]], Mean_PFCF_L, 2, FALSE))/(VLOOKUP(Main_L[[#This Row],[Industry]], Mean_PFCF_L, 3, FALSE))</f>
        <v>-6.1275147731478317E-2</v>
      </c>
      <c r="P136" s="1">
        <f>(Main_L[[#This Row],[P/B]]-VLOOKUP(Main_L[[#This Row],[Industry]], Mean_PB_L, 2, FALSE))/(VLOOKUP(Main_L[[#This Row],[Industry]], Mean_PB_L, 3, FALSE))</f>
        <v>-0.64114227242209243</v>
      </c>
      <c r="Q136" s="1">
        <f>(Main_L[[#This Row],[ROE]]-VLOOKUP(Main_L[[#This Row],[Industry]], Mean_ROE_L, 2, FALSE))/(VLOOKUP(Main_L[[#This Row],[Industry]], Mean_ROE_L, 3, FALSE))</f>
        <v>-0.44565882264780132</v>
      </c>
      <c r="R136" s="1">
        <f>(Main_L[[#This Row],[ROA]]-VLOOKUP(Main_L[[#This Row],[Industry]], Mean_ROA_L, 2, FALSE))/(VLOOKUP(Main_L[[#This Row],[Industry]], Mean_ROA_L, 3, FALSE))</f>
        <v>0.19605389777631116</v>
      </c>
      <c r="S136" s="1">
        <f>(Main_L[[#This Row],[A/E]]-VLOOKUP(Main_L[[#This Row],[Industry]], Mean_AE_L, 2, FALSE))/(VLOOKUP(Main_L[[#This Row],[Industry]], Mean_AE_L, 3, FALSE))</f>
        <v>-0.58809533267499203</v>
      </c>
      <c r="T136" s="1">
        <f>(Main_L[[#This Row],[P/E]]-VLOOKUP(Main_L[[#This Row],[Industry]], Mean_PE_L, 2, FALSE))/(VLOOKUP(Main_L[[#This Row],[Industry]], Mean_PE_L, 3, FALSE))</f>
        <v>-0.20100154690774538</v>
      </c>
      <c r="U1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7" spans="1:26" x14ac:dyDescent="0.25">
      <c r="A137" s="68" t="s">
        <v>215</v>
      </c>
      <c r="B137" s="68" t="s">
        <v>245</v>
      </c>
      <c r="C137" s="2">
        <v>167883</v>
      </c>
      <c r="D137">
        <f>RTD("tos.rtd", , "LAST", Main_L[[#This Row],[Symbol]])</f>
        <v>282.58999999999997</v>
      </c>
      <c r="E137">
        <v>25.32</v>
      </c>
      <c r="F137">
        <v>49.39</v>
      </c>
      <c r="G137">
        <v>14.83</v>
      </c>
      <c r="H137" s="1">
        <f>IF(ISNUMBER(Main_L[[#This Row],[Free CF]]),IF(Main_L[[#This Row],[Free CF]]&lt;&gt;0,Main_L[[#This Row],[Current Price]]/Main_L[[#This Row],[Free CF]],""),"")</f>
        <v>11.160742496050553</v>
      </c>
      <c r="I137" s="1">
        <f>IF(ISNUMBER(Main_L[[#This Row],[BVPS]]),IF(Main_L[[#This Row],[BVPS]]&lt;&gt;0,Main_L[[#This Row],[Current Price]]/Main_L[[#This Row],[BVPS]],""),"")</f>
        <v>5.7216035634743871</v>
      </c>
      <c r="J137">
        <v>34.340000000000003</v>
      </c>
      <c r="K137">
        <v>6.86</v>
      </c>
      <c r="L137">
        <v>3.85</v>
      </c>
      <c r="M137" s="1">
        <f>IF(ISNUMBER(Main_L[[#This Row],[EPS]]),IF(Main_L[[#This Row],[EPS]]&lt;&gt;0,Main_L[[#This Row],[Current Price]]/Main_L[[#This Row],[EPS]],""),"")</f>
        <v>19.055293324342546</v>
      </c>
      <c r="N1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7" s="1">
        <f>(Main_L[[#This Row],[P/FCF]]-VLOOKUP(Main_L[[#This Row],[Industry]], Mean_PFCF_L, 2, FALSE))/(VLOOKUP(Main_L[[#This Row],[Industry]], Mean_PFCF_L, 3, FALSE))</f>
        <v>-0.14166848354900258</v>
      </c>
      <c r="P137" s="1">
        <f>(Main_L[[#This Row],[P/B]]-VLOOKUP(Main_L[[#This Row],[Industry]], Mean_PB_L, 2, FALSE))/(VLOOKUP(Main_L[[#This Row],[Industry]], Mean_PB_L, 3, FALSE))</f>
        <v>3.3000895312578948</v>
      </c>
      <c r="Q137" s="1">
        <f>(Main_L[[#This Row],[ROE]]-VLOOKUP(Main_L[[#This Row],[Industry]], Mean_ROE_L, 2, FALSE))/(VLOOKUP(Main_L[[#This Row],[Industry]], Mean_ROE_L, 3, FALSE))</f>
        <v>3.1842628393963848</v>
      </c>
      <c r="R137" s="1">
        <f>(Main_L[[#This Row],[ROA]]-VLOOKUP(Main_L[[#This Row],[Industry]], Mean_ROA_L, 2, FALSE))/(VLOOKUP(Main_L[[#This Row],[Industry]], Mean_ROA_L, 3, FALSE))</f>
        <v>2.6613710367027918</v>
      </c>
      <c r="S137" s="1">
        <f>(Main_L[[#This Row],[A/E]]-VLOOKUP(Main_L[[#This Row],[Industry]], Mean_AE_L, 2, FALSE))/(VLOOKUP(Main_L[[#This Row],[Industry]], Mean_AE_L, 3, FALSE))</f>
        <v>-0.60048722725963355</v>
      </c>
      <c r="T137" s="1">
        <f>(Main_L[[#This Row],[P/E]]-VLOOKUP(Main_L[[#This Row],[Industry]], Mean_PE_L, 2, FALSE))/(VLOOKUP(Main_L[[#This Row],[Industry]], Mean_PE_L, 3, FALSE))</f>
        <v>1.1486713271771254</v>
      </c>
      <c r="U1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8" spans="1:26" x14ac:dyDescent="0.25">
      <c r="A138" s="68" t="s">
        <v>215</v>
      </c>
      <c r="B138" s="68" t="s">
        <v>246</v>
      </c>
      <c r="C138" s="2">
        <v>60915</v>
      </c>
      <c r="D138">
        <f>RTD("tos.rtd", , "LAST", Main_L[[#This Row],[Symbol]])</f>
        <v>264.92</v>
      </c>
      <c r="E138">
        <v>39.46</v>
      </c>
      <c r="F138">
        <v>124.41</v>
      </c>
      <c r="G138">
        <v>18.38</v>
      </c>
      <c r="H138" s="1">
        <f>IF(ISNUMBER(Main_L[[#This Row],[Free CF]]),IF(Main_L[[#This Row],[Free CF]]&lt;&gt;0,Main_L[[#This Row],[Current Price]]/Main_L[[#This Row],[Free CF]],""),"")</f>
        <v>6.7136340598073998</v>
      </c>
      <c r="I138" s="1">
        <f>IF(ISNUMBER(Main_L[[#This Row],[BVPS]]),IF(Main_L[[#This Row],[BVPS]]&lt;&gt;0,Main_L[[#This Row],[Current Price]]/Main_L[[#This Row],[BVPS]],""),"")</f>
        <v>2.1294108190659915</v>
      </c>
      <c r="J138">
        <v>16.05</v>
      </c>
      <c r="K138">
        <v>2.69</v>
      </c>
      <c r="L138">
        <v>4.82</v>
      </c>
      <c r="M138" s="1">
        <f>IF(ISNUMBER(Main_L[[#This Row],[EPS]]),IF(Main_L[[#This Row],[EPS]]&lt;&gt;0,Main_L[[#This Row],[Current Price]]/Main_L[[#This Row],[EPS]],""),"")</f>
        <v>14.413492927094669</v>
      </c>
      <c r="N1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8" s="1">
        <f>(Main_L[[#This Row],[P/FCF]]-VLOOKUP(Main_L[[#This Row],[Industry]], Mean_PFCF_L, 2, FALSE))/(VLOOKUP(Main_L[[#This Row],[Industry]], Mean_PFCF_L, 3, FALSE))</f>
        <v>-0.62516398496455639</v>
      </c>
      <c r="P138" s="1">
        <f>(Main_L[[#This Row],[P/B]]-VLOOKUP(Main_L[[#This Row],[Industry]], Mean_PB_L, 2, FALSE))/(VLOOKUP(Main_L[[#This Row],[Industry]], Mean_PB_L, 3, FALSE))</f>
        <v>-2.8398797515381366E-2</v>
      </c>
      <c r="Q138" s="1">
        <f>(Main_L[[#This Row],[ROE]]-VLOOKUP(Main_L[[#This Row],[Industry]], Mean_ROE_L, 2, FALSE))/(VLOOKUP(Main_L[[#This Row],[Industry]], Mean_ROE_L, 3, FALSE))</f>
        <v>0.30019389070880165</v>
      </c>
      <c r="R138" s="1">
        <f>(Main_L[[#This Row],[ROA]]-VLOOKUP(Main_L[[#This Row],[Industry]], Mean_ROA_L, 2, FALSE))/(VLOOKUP(Main_L[[#This Row],[Industry]], Mean_ROA_L, 3, FALSE))</f>
        <v>0.17217673420317334</v>
      </c>
      <c r="S138" s="1">
        <f>(Main_L[[#This Row],[A/E]]-VLOOKUP(Main_L[[#This Row],[Industry]], Mean_AE_L, 2, FALSE))/(VLOOKUP(Main_L[[#This Row],[Industry]], Mean_AE_L, 3, FALSE))</f>
        <v>-0.36008447231758633</v>
      </c>
      <c r="T138" s="1">
        <f>(Main_L[[#This Row],[P/E]]-VLOOKUP(Main_L[[#This Row],[Industry]], Mean_PE_L, 2, FALSE))/(VLOOKUP(Main_L[[#This Row],[Industry]], Mean_PE_L, 3, FALSE))</f>
        <v>-0.10963054902993159</v>
      </c>
      <c r="U1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9" spans="1:26" x14ac:dyDescent="0.25">
      <c r="A139" s="68" t="s">
        <v>215</v>
      </c>
      <c r="B139" s="68" t="s">
        <v>247</v>
      </c>
      <c r="C139" s="2">
        <v>27723</v>
      </c>
      <c r="D139">
        <f>RTD("tos.rtd", , "LAST", Main_L[[#This Row],[Symbol]])</f>
        <v>71.680000000000007</v>
      </c>
      <c r="E139">
        <v>9.06</v>
      </c>
      <c r="F139">
        <v>23.5</v>
      </c>
      <c r="G139">
        <v>4.3099999999999996</v>
      </c>
      <c r="H139" s="1">
        <f>IF(ISNUMBER(Main_L[[#This Row],[Free CF]]),IF(Main_L[[#This Row],[Free CF]]&lt;&gt;0,Main_L[[#This Row],[Current Price]]/Main_L[[#This Row],[Free CF]],""),"")</f>
        <v>7.9116997792494486</v>
      </c>
      <c r="I139" s="1">
        <f>IF(ISNUMBER(Main_L[[#This Row],[BVPS]]),IF(Main_L[[#This Row],[BVPS]]&lt;&gt;0,Main_L[[#This Row],[Current Price]]/Main_L[[#This Row],[BVPS]],""),"")</f>
        <v>3.0502127659574469</v>
      </c>
      <c r="J139">
        <v>20.69</v>
      </c>
      <c r="K139">
        <v>3.69</v>
      </c>
      <c r="L139">
        <v>4.6399999999999997</v>
      </c>
      <c r="M139" s="1">
        <f>IF(ISNUMBER(Main_L[[#This Row],[EPS]]),IF(Main_L[[#This Row],[EPS]]&lt;&gt;0,Main_L[[#This Row],[Current Price]]/Main_L[[#This Row],[EPS]],""),"")</f>
        <v>16.631090487238982</v>
      </c>
      <c r="N1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9" s="1">
        <f>(Main_L[[#This Row],[P/FCF]]-VLOOKUP(Main_L[[#This Row],[Industry]], Mean_PFCF_L, 2, FALSE))/(VLOOKUP(Main_L[[#This Row],[Industry]], Mean_PFCF_L, 3, FALSE))</f>
        <v>-0.49490869794939008</v>
      </c>
      <c r="P139" s="1">
        <f>(Main_L[[#This Row],[P/B]]-VLOOKUP(Main_L[[#This Row],[Industry]], Mean_PB_L, 2, FALSE))/(VLOOKUP(Main_L[[#This Row],[Industry]], Mean_PB_L, 3, FALSE))</f>
        <v>0.82480668209333596</v>
      </c>
      <c r="Q139" s="1">
        <f>(Main_L[[#This Row],[ROE]]-VLOOKUP(Main_L[[#This Row],[Industry]], Mean_ROE_L, 2, FALSE))/(VLOOKUP(Main_L[[#This Row],[Industry]], Mean_ROE_L, 3, FALSE))</f>
        <v>1.031854903388429</v>
      </c>
      <c r="R139" s="1">
        <f>(Main_L[[#This Row],[ROA]]-VLOOKUP(Main_L[[#This Row],[Industry]], Mean_ROA_L, 2, FALSE))/(VLOOKUP(Main_L[[#This Row],[Industry]], Mean_ROA_L, 3, FALSE))</f>
        <v>0.76910582353161894</v>
      </c>
      <c r="S139" s="1">
        <f>(Main_L[[#This Row],[A/E]]-VLOOKUP(Main_L[[#This Row],[Industry]], Mean_AE_L, 2, FALSE))/(VLOOKUP(Main_L[[#This Row],[Industry]], Mean_AE_L, 3, FALSE))</f>
        <v>-0.40469529282229627</v>
      </c>
      <c r="T139" s="1">
        <f>(Main_L[[#This Row],[P/E]]-VLOOKUP(Main_L[[#This Row],[Industry]], Mean_PE_L, 2, FALSE))/(VLOOKUP(Main_L[[#This Row],[Industry]], Mean_PE_L, 3, FALSE))</f>
        <v>0.49151705142617863</v>
      </c>
      <c r="U1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0" spans="1:26" x14ac:dyDescent="0.25">
      <c r="A140" s="68" t="s">
        <v>215</v>
      </c>
      <c r="B140" s="68" t="s">
        <v>248</v>
      </c>
      <c r="C140" s="2">
        <v>13524</v>
      </c>
      <c r="D140">
        <f>RTD("tos.rtd", , "LAST", Main_L[[#This Row],[Symbol]])</f>
        <v>59.46</v>
      </c>
      <c r="E140">
        <v>18.670000000000002</v>
      </c>
      <c r="F140">
        <v>50.4</v>
      </c>
      <c r="G140">
        <v>5</v>
      </c>
      <c r="H140" s="1">
        <f>IF(ISNUMBER(Main_L[[#This Row],[Free CF]]),IF(Main_L[[#This Row],[Free CF]]&lt;&gt;0,Main_L[[#This Row],[Current Price]]/Main_L[[#This Row],[Free CF]],""),"")</f>
        <v>3.1847884306373859</v>
      </c>
      <c r="I140" s="1">
        <f>IF(ISNUMBER(Main_L[[#This Row],[BVPS]]),IF(Main_L[[#This Row],[BVPS]]&lt;&gt;0,Main_L[[#This Row],[Current Price]]/Main_L[[#This Row],[BVPS]],""),"")</f>
        <v>1.1797619047619048</v>
      </c>
      <c r="J140">
        <v>11.38</v>
      </c>
      <c r="K140">
        <v>0.98</v>
      </c>
      <c r="L140">
        <v>11.45</v>
      </c>
      <c r="M140" s="1">
        <f>IF(ISNUMBER(Main_L[[#This Row],[EPS]]),IF(Main_L[[#This Row],[EPS]]&lt;&gt;0,Main_L[[#This Row],[Current Price]]/Main_L[[#This Row],[EPS]],""),"")</f>
        <v>11.891999999999999</v>
      </c>
      <c r="N1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0" s="1">
        <f>(Main_L[[#This Row],[P/FCF]]-VLOOKUP(Main_L[[#This Row],[Industry]], Mean_PFCF_L, 2, FALSE))/(VLOOKUP(Main_L[[#This Row],[Industry]], Mean_PFCF_L, 3, FALSE))</f>
        <v>-1.0088247414661442</v>
      </c>
      <c r="P140" s="1">
        <f>(Main_L[[#This Row],[P/B]]-VLOOKUP(Main_L[[#This Row],[Industry]], Mean_PB_L, 2, FALSE))/(VLOOKUP(Main_L[[#This Row],[Industry]], Mean_PB_L, 3, FALSE))</f>
        <v>-0.9083335762417214</v>
      </c>
      <c r="Q140" s="1">
        <f>(Main_L[[#This Row],[ROE]]-VLOOKUP(Main_L[[#This Row],[Industry]], Mean_ROE_L, 2, FALSE))/(VLOOKUP(Main_L[[#This Row],[Industry]], Mean_ROE_L, 3, FALSE))</f>
        <v>-0.43619768886315086</v>
      </c>
      <c r="R140" s="1">
        <f>(Main_L[[#This Row],[ROA]]-VLOOKUP(Main_L[[#This Row],[Industry]], Mean_ROA_L, 2, FALSE))/(VLOOKUP(Main_L[[#This Row],[Industry]], Mean_ROA_L, 3, FALSE))</f>
        <v>-0.84857200854846859</v>
      </c>
      <c r="S140" s="1">
        <f>(Main_L[[#This Row],[A/E]]-VLOOKUP(Main_L[[#This Row],[Industry]], Mean_AE_L, 2, FALSE))/(VLOOKUP(Main_L[[#This Row],[Industry]], Mean_AE_L, 3, FALSE))</f>
        <v>1.2830807496058907</v>
      </c>
      <c r="T140" s="1">
        <f>(Main_L[[#This Row],[P/E]]-VLOOKUP(Main_L[[#This Row],[Industry]], Mean_PE_L, 2, FALSE))/(VLOOKUP(Main_L[[#This Row],[Industry]], Mean_PE_L, 3, FALSE))</f>
        <v>-0.79315827738447242</v>
      </c>
      <c r="U1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1" spans="1:26" x14ac:dyDescent="0.25">
      <c r="A141" s="68" t="s">
        <v>215</v>
      </c>
      <c r="B141" s="68" t="s">
        <v>249</v>
      </c>
      <c r="C141" s="2">
        <v>13170</v>
      </c>
      <c r="D141">
        <f>RTD("tos.rtd", , "LAST", Main_L[[#This Row],[Symbol]])</f>
        <v>206.41</v>
      </c>
      <c r="E141">
        <v>76.95</v>
      </c>
      <c r="F141">
        <v>172.53</v>
      </c>
      <c r="G141">
        <v>11.84</v>
      </c>
      <c r="H141" s="1">
        <f>IF(ISNUMBER(Main_L[[#This Row],[Free CF]]),IF(Main_L[[#This Row],[Free CF]]&lt;&gt;0,Main_L[[#This Row],[Current Price]]/Main_L[[#This Row],[Free CF]],""),"")</f>
        <v>2.6823911630929174</v>
      </c>
      <c r="I141" s="1">
        <f>IF(ISNUMBER(Main_L[[#This Row],[BVPS]]),IF(Main_L[[#This Row],[BVPS]]&lt;&gt;0,Main_L[[#This Row],[Current Price]]/Main_L[[#This Row],[BVPS]],""),"")</f>
        <v>1.1963716455109257</v>
      </c>
      <c r="J141">
        <v>7.6</v>
      </c>
      <c r="K141">
        <v>0.74</v>
      </c>
      <c r="L141">
        <v>11.24</v>
      </c>
      <c r="M141" s="1">
        <f>IF(ISNUMBER(Main_L[[#This Row],[EPS]]),IF(Main_L[[#This Row],[EPS]]&lt;&gt;0,Main_L[[#This Row],[Current Price]]/Main_L[[#This Row],[EPS]],""),"")</f>
        <v>17.433277027027028</v>
      </c>
      <c r="N1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1" s="1">
        <f>(Main_L[[#This Row],[P/FCF]]-VLOOKUP(Main_L[[#This Row],[Industry]], Mean_PFCF_L, 2, FALSE))/(VLOOKUP(Main_L[[#This Row],[Industry]], Mean_PFCF_L, 3, FALSE))</f>
        <v>-1.0634460357888933</v>
      </c>
      <c r="P141" s="1">
        <f>(Main_L[[#This Row],[P/B]]-VLOOKUP(Main_L[[#This Row],[Industry]], Mean_PB_L, 2, FALSE))/(VLOOKUP(Main_L[[#This Row],[Industry]], Mean_PB_L, 3, FALSE))</f>
        <v>-0.89294316371078952</v>
      </c>
      <c r="Q141" s="1">
        <f>(Main_L[[#This Row],[ROE]]-VLOOKUP(Main_L[[#This Row],[Industry]], Mean_ROE_L, 2, FALSE))/(VLOOKUP(Main_L[[#This Row],[Industry]], Mean_ROE_L, 3, FALSE))</f>
        <v>-1.0322491172961235</v>
      </c>
      <c r="R141" s="1">
        <f>(Main_L[[#This Row],[ROA]]-VLOOKUP(Main_L[[#This Row],[Industry]], Mean_ROA_L, 2, FALSE))/(VLOOKUP(Main_L[[#This Row],[Industry]], Mean_ROA_L, 3, FALSE))</f>
        <v>-0.99183498998729547</v>
      </c>
      <c r="S141" s="1">
        <f>(Main_L[[#This Row],[A/E]]-VLOOKUP(Main_L[[#This Row],[Industry]], Mean_AE_L, 2, FALSE))/(VLOOKUP(Main_L[[#This Row],[Industry]], Mean_AE_L, 3, FALSE))</f>
        <v>1.2310347923503961</v>
      </c>
      <c r="T141" s="1">
        <f>(Main_L[[#This Row],[P/E]]-VLOOKUP(Main_L[[#This Row],[Industry]], Mean_PE_L, 2, FALSE))/(VLOOKUP(Main_L[[#This Row],[Industry]], Mean_PE_L, 3, FALSE))</f>
        <v>0.70897423219634148</v>
      </c>
      <c r="U1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2" spans="1:26" x14ac:dyDescent="0.25">
      <c r="A142" s="68" t="s">
        <v>215</v>
      </c>
      <c r="B142" s="68" t="s">
        <v>250</v>
      </c>
      <c r="C142" s="2">
        <v>12072</v>
      </c>
      <c r="D142">
        <f>RTD("tos.rtd", , "LAST", Main_L[[#This Row],[Symbol]])</f>
        <v>243.44</v>
      </c>
      <c r="E142">
        <v>71.569999999999993</v>
      </c>
      <c r="F142">
        <v>196.17</v>
      </c>
      <c r="G142">
        <v>31.81</v>
      </c>
      <c r="H142" s="1">
        <f>IF(ISNUMBER(Main_L[[#This Row],[Free CF]]),IF(Main_L[[#This Row],[Free CF]]&lt;&gt;0,Main_L[[#This Row],[Current Price]]/Main_L[[#This Row],[Free CF]],""),"")</f>
        <v>3.4014251781472686</v>
      </c>
      <c r="I142" s="1">
        <f>IF(ISNUMBER(Main_L[[#This Row],[BVPS]]),IF(Main_L[[#This Row],[BVPS]]&lt;&gt;0,Main_L[[#This Row],[Current Price]]/Main_L[[#This Row],[BVPS]],""),"")</f>
        <v>1.2409644695927002</v>
      </c>
      <c r="J142">
        <v>13.99</v>
      </c>
      <c r="K142">
        <v>2.91</v>
      </c>
      <c r="L142">
        <v>5.59</v>
      </c>
      <c r="M142" s="1">
        <f>IF(ISNUMBER(Main_L[[#This Row],[EPS]]),IF(Main_L[[#This Row],[EPS]]&lt;&gt;0,Main_L[[#This Row],[Current Price]]/Main_L[[#This Row],[EPS]],""),"")</f>
        <v>7.6529393272555799</v>
      </c>
      <c r="N1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2" s="1">
        <f>(Main_L[[#This Row],[P/FCF]]-VLOOKUP(Main_L[[#This Row],[Industry]], Mean_PFCF_L, 2, FALSE))/(VLOOKUP(Main_L[[#This Row],[Industry]], Mean_PFCF_L, 3, FALSE))</f>
        <v>-0.98527170821678856</v>
      </c>
      <c r="P142" s="1">
        <f>(Main_L[[#This Row],[P/B]]-VLOOKUP(Main_L[[#This Row],[Industry]], Mean_PB_L, 2, FALSE))/(VLOOKUP(Main_L[[#This Row],[Industry]], Mean_PB_L, 3, FALSE))</f>
        <v>-0.85162391803994753</v>
      </c>
      <c r="Q142" s="1">
        <f>(Main_L[[#This Row],[ROE]]-VLOOKUP(Main_L[[#This Row],[Industry]], Mean_ROE_L, 2, FALSE))/(VLOOKUP(Main_L[[#This Row],[Industry]], Mean_ROE_L, 3, FALSE))</f>
        <v>-2.4638369230860577E-2</v>
      </c>
      <c r="R142" s="1">
        <f>(Main_L[[#This Row],[ROA]]-VLOOKUP(Main_L[[#This Row],[Industry]], Mean_ROA_L, 2, FALSE))/(VLOOKUP(Main_L[[#This Row],[Industry]], Mean_ROA_L, 3, FALSE))</f>
        <v>0.30350113385543148</v>
      </c>
      <c r="S142" s="1">
        <f>(Main_L[[#This Row],[A/E]]-VLOOKUP(Main_L[[#This Row],[Industry]], Mean_AE_L, 2, FALSE))/(VLOOKUP(Main_L[[#This Row],[Industry]], Mean_AE_L, 3, FALSE))</f>
        <v>-0.16924929571410566</v>
      </c>
      <c r="T142" s="1">
        <f>(Main_L[[#This Row],[P/E]]-VLOOKUP(Main_L[[#This Row],[Industry]], Mean_PE_L, 2, FALSE))/(VLOOKUP(Main_L[[#This Row],[Industry]], Mean_PE_L, 3, FALSE))</f>
        <v>-1.9422852413600002</v>
      </c>
      <c r="U1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3" spans="1:26" x14ac:dyDescent="0.25">
      <c r="A143" s="68" t="s">
        <v>251</v>
      </c>
      <c r="B143" s="68" t="s">
        <v>252</v>
      </c>
      <c r="C143" s="2">
        <v>11523</v>
      </c>
      <c r="D143">
        <f>RTD("tos.rtd", , "LAST", Main_L[[#This Row],[Symbol]])</f>
        <v>19.559999999999999</v>
      </c>
      <c r="E143">
        <v>4.82</v>
      </c>
      <c r="F143">
        <v>19.809999999999999</v>
      </c>
      <c r="G143">
        <v>0.93</v>
      </c>
      <c r="H143" s="1">
        <f>IF(ISNUMBER(Main_L[[#This Row],[Free CF]]),IF(Main_L[[#This Row],[Free CF]]&lt;&gt;0,Main_L[[#This Row],[Current Price]]/Main_L[[#This Row],[Free CF]],""),"")</f>
        <v>4.0580912863070537</v>
      </c>
      <c r="I143" s="1">
        <f>IF(ISNUMBER(Main_L[[#This Row],[BVPS]]),IF(Main_L[[#This Row],[BVPS]]&lt;&gt;0,Main_L[[#This Row],[Current Price]]/Main_L[[#This Row],[BVPS]],""),"")</f>
        <v>0.98738011105502277</v>
      </c>
      <c r="J143">
        <v>5.51</v>
      </c>
      <c r="K143">
        <v>0.69</v>
      </c>
      <c r="L143">
        <v>9.17</v>
      </c>
      <c r="M143" s="1">
        <f>IF(ISNUMBER(Main_L[[#This Row],[EPS]]),IF(Main_L[[#This Row],[EPS]]&lt;&gt;0,Main_L[[#This Row],[Current Price]]/Main_L[[#This Row],[EPS]],""),"")</f>
        <v>21.032258064516128</v>
      </c>
      <c r="N1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3" s="1" t="e">
        <f>(Main_L[[#This Row],[P/FCF]]-VLOOKUP(Main_L[[#This Row],[Industry]], Mean_PFCF_L, 2, FALSE))/(VLOOKUP(Main_L[[#This Row],[Industry]], Mean_PFCF_L, 3, FALSE))</f>
        <v>#DIV/0!</v>
      </c>
      <c r="P143" s="1" t="e">
        <f>(Main_L[[#This Row],[P/B]]-VLOOKUP(Main_L[[#This Row],[Industry]], Mean_PB_L, 2, FALSE))/(VLOOKUP(Main_L[[#This Row],[Industry]], Mean_PB_L, 3, FALSE))</f>
        <v>#DIV/0!</v>
      </c>
      <c r="Q143" s="1" t="e">
        <f>(Main_L[[#This Row],[ROE]]-VLOOKUP(Main_L[[#This Row],[Industry]], Mean_ROE_L, 2, FALSE))/(VLOOKUP(Main_L[[#This Row],[Industry]], Mean_ROE_L, 3, FALSE))</f>
        <v>#DIV/0!</v>
      </c>
      <c r="R143" s="1" t="e">
        <f>(Main_L[[#This Row],[ROA]]-VLOOKUP(Main_L[[#This Row],[Industry]], Mean_ROA_L, 2, FALSE))/(VLOOKUP(Main_L[[#This Row],[Industry]], Mean_ROA_L, 3, FALSE))</f>
        <v>#DIV/0!</v>
      </c>
      <c r="S143" s="1" t="e">
        <f>(Main_L[[#This Row],[A/E]]-VLOOKUP(Main_L[[#This Row],[Industry]], Mean_AE_L, 2, FALSE))/(VLOOKUP(Main_L[[#This Row],[Industry]], Mean_AE_L, 3, FALSE))</f>
        <v>#DIV/0!</v>
      </c>
      <c r="T143" s="1" t="e">
        <f>(Main_L[[#This Row],[P/E]]-VLOOKUP(Main_L[[#This Row],[Industry]], Mean_PE_L, 2, FALSE))/(VLOOKUP(Main_L[[#This Row],[Industry]], Mean_PE_L, 3, FALSE))</f>
        <v>#DIV/0!</v>
      </c>
      <c r="U1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75"/>
  <sheetViews>
    <sheetView topLeftCell="H1" workbookViewId="0">
      <selection activeCell="B24" sqref="B24"/>
    </sheetView>
  </sheetViews>
  <sheetFormatPr defaultRowHeight="15" x14ac:dyDescent="0.25"/>
  <cols>
    <col min="1" max="1" width="42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253</v>
      </c>
      <c r="C2" s="2">
        <v>3324</v>
      </c>
      <c r="D2">
        <f>RTD("tos.rtd", , "LAST", Main_M[[#This Row],[Symbol]])</f>
        <v>2.8</v>
      </c>
      <c r="E2">
        <v>-0.14000000000000001</v>
      </c>
      <c r="F2">
        <v>0.17</v>
      </c>
      <c r="G2">
        <v>0.01</v>
      </c>
      <c r="H2" s="1">
        <f>IF(ISNUMBER(Main_M[[#This Row],[Free CF]]),IF(Main_M[[#This Row],[Free CF]]&lt;&gt;0,Main_M[[#This Row],[Current Price]]/Main_M[[#This Row],[Free CF]],""),"")</f>
        <v>-19.999999999999996</v>
      </c>
      <c r="I2" s="1">
        <f>IF(ISNUMBER(Main_M[[#This Row],[BVPS]]),IF(Main_M[[#This Row],[BVPS]]&lt;&gt;0,Main_M[[#This Row],[Current Price]]/Main_M[[#This Row],[BVPS]],""),"")</f>
        <v>16.470588235294116</v>
      </c>
      <c r="J2">
        <v>6.78</v>
      </c>
      <c r="K2">
        <v>0.7</v>
      </c>
      <c r="L2">
        <v>18.79</v>
      </c>
      <c r="M2" s="1">
        <f>IF(ISNUMBER(Main_M[[#This Row],[EPS]]),IF(Main_M[[#This Row],[EPS]]&lt;&gt;0,Main_M[[#This Row],[Current Price]]/Main_M[[#This Row],[EPS]],""),"")</f>
        <v>280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-5.8214252306940368</v>
      </c>
      <c r="P2" s="1">
        <f>(Main_M[[#This Row],[P/B]]-VLOOKUP(Main_M[[#This Row],[Industry]], Mean_PB_M, 2, FALSE))/(VLOOKUP(Main_M[[#This Row],[Industry]], Mean_PB_M, 3, FALSE))</f>
        <v>43.052369393892469</v>
      </c>
      <c r="Q2" s="1">
        <f>(Main_M[[#This Row],[ROE]]-VLOOKUP(Main_M[[#This Row],[Industry]], Mean_ROE_M, 2, FALSE))/(VLOOKUP(Main_M[[#This Row],[Industry]], Mean_ROE_M, 3, FALSE))</f>
        <v>-0.77284847916513155</v>
      </c>
      <c r="R2" s="1">
        <f>(Main_M[[#This Row],[ROA]]-VLOOKUP(Main_M[[#This Row],[Industry]], Mean_ROA_M, 2, FALSE))/(VLOOKUP(Main_M[[#This Row],[Industry]], Mean_ROA_M, 3, FALSE))</f>
        <v>-0.88894291579516871</v>
      </c>
      <c r="S2" s="1">
        <f>(Main_M[[#This Row],[A/E]]-VLOOKUP(Main_M[[#This Row],[Industry]], Mean_AE_M, 2, FALSE))/(VLOOKUP(Main_M[[#This Row],[Industry]], Mean_AE_M, 3, FALSE))</f>
        <v>5.3120026253010746</v>
      </c>
      <c r="T2" s="1">
        <f>(Main_M[[#This Row],[P/E]]-VLOOKUP(Main_M[[#This Row],[Industry]], Mean_PE_M, 2, FALSE))/(VLOOKUP(Main_M[[#This Row],[Industry]], Mean_PE_M, 3, FALSE))</f>
        <v>69.643966307985266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" spans="1:26" x14ac:dyDescent="0.25">
      <c r="A3" s="68" t="s">
        <v>105</v>
      </c>
      <c r="B3" s="68" t="s">
        <v>254</v>
      </c>
      <c r="C3" s="2">
        <v>4062</v>
      </c>
      <c r="D3">
        <f>RTD("tos.rtd", , "LAST", Main_M[[#This Row],[Symbol]])</f>
        <v>21.94</v>
      </c>
      <c r="E3">
        <v>-8.4499999999999993</v>
      </c>
      <c r="F3">
        <v>4.08</v>
      </c>
      <c r="G3">
        <v>0.56000000000000005</v>
      </c>
      <c r="H3" s="1">
        <f>IF(ISNUMBER(Main_M[[#This Row],[Free CF]]),IF(Main_M[[#This Row],[Free CF]]&lt;&gt;0,Main_M[[#This Row],[Current Price]]/Main_M[[#This Row],[Free CF]],""),"")</f>
        <v>-2.596449704142012</v>
      </c>
      <c r="I3" s="1">
        <f>IF(ISNUMBER(Main_M[[#This Row],[BVPS]]),IF(Main_M[[#This Row],[BVPS]]&lt;&gt;0,Main_M[[#This Row],[Current Price]]/Main_M[[#This Row],[BVPS]],""),"")</f>
        <v>5.3774509803921573</v>
      </c>
      <c r="J3">
        <v>12.5</v>
      </c>
      <c r="K3">
        <v>2.5499999999999998</v>
      </c>
      <c r="L3">
        <v>5.71</v>
      </c>
      <c r="M3" s="1">
        <f>IF(ISNUMBER(Main_M[[#This Row],[EPS]]),IF(Main_M[[#This Row],[EPS]]&lt;&gt;0,Main_M[[#This Row],[Current Price]]/Main_M[[#This Row],[EPS]],""),"")</f>
        <v>39.178571428571431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-2.5568734674526605</v>
      </c>
      <c r="P3" s="1">
        <f>(Main_M[[#This Row],[P/B]]-VLOOKUP(Main_M[[#This Row],[Industry]], Mean_PB_M, 2, FALSE))/(VLOOKUP(Main_M[[#This Row],[Industry]], Mean_PB_M, 3, FALSE))</f>
        <v>11.782152629807143</v>
      </c>
      <c r="Q3" s="1">
        <f>(Main_M[[#This Row],[ROE]]-VLOOKUP(Main_M[[#This Row],[Industry]], Mean_ROE_M, 2, FALSE))/(VLOOKUP(Main_M[[#This Row],[Industry]], Mean_ROE_M, 3, FALSE))</f>
        <v>0.84784994900000632</v>
      </c>
      <c r="R3" s="1">
        <f>(Main_M[[#This Row],[ROA]]-VLOOKUP(Main_M[[#This Row],[Industry]], Mean_ROA_M, 2, FALSE))/(VLOOKUP(Main_M[[#This Row],[Industry]], Mean_ROA_M, 3, FALSE))</f>
        <v>3.0413441308239624</v>
      </c>
      <c r="S3" s="1">
        <f>(Main_M[[#This Row],[A/E]]-VLOOKUP(Main_M[[#This Row],[Industry]], Mean_AE_M, 2, FALSE))/(VLOOKUP(Main_M[[#This Row],[Industry]], Mean_AE_M, 3, FALSE))</f>
        <v>-1.6330772086649206</v>
      </c>
      <c r="T3" s="1">
        <f>(Main_M[[#This Row],[P/E]]-VLOOKUP(Main_M[[#This Row],[Industry]], Mean_PE_M, 2, FALSE))/(VLOOKUP(Main_M[[#This Row],[Industry]], Mean_PE_M, 3, FALSE))</f>
        <v>6.5108009930722002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" spans="1:26" x14ac:dyDescent="0.25">
      <c r="A4" s="68" t="s">
        <v>105</v>
      </c>
      <c r="B4" s="68" t="s">
        <v>255</v>
      </c>
      <c r="C4" s="2">
        <v>5427</v>
      </c>
      <c r="D4">
        <f>RTD("tos.rtd", , "LAST", Main_M[[#This Row],[Symbol]])</f>
        <v>93</v>
      </c>
      <c r="E4">
        <v>1.21</v>
      </c>
      <c r="F4">
        <v>6.15</v>
      </c>
      <c r="G4">
        <v>0.49</v>
      </c>
      <c r="H4" s="1">
        <f>IF(ISNUMBER(Main_M[[#This Row],[Free CF]]),IF(Main_M[[#This Row],[Free CF]]&lt;&gt;0,Main_M[[#This Row],[Current Price]]/Main_M[[#This Row],[Free CF]],""),"")</f>
        <v>76.859504132231407</v>
      </c>
      <c r="I4" s="1">
        <f>IF(ISNUMBER(Main_M[[#This Row],[BVPS]]),IF(Main_M[[#This Row],[BVPS]]&lt;&gt;0,Main_M[[#This Row],[Current Price]]/Main_M[[#This Row],[BVPS]],""),"")</f>
        <v>15.121951219512194</v>
      </c>
      <c r="J4">
        <v>7.66</v>
      </c>
      <c r="K4">
        <v>2.23</v>
      </c>
      <c r="L4">
        <v>3.58</v>
      </c>
      <c r="M4" s="1">
        <f>IF(ISNUMBER(Main_M[[#This Row],[EPS]]),IF(Main_M[[#This Row],[EPS]]&lt;&gt;0,Main_M[[#This Row],[Current Price]]/Main_M[[#This Row],[EPS]],""),"")</f>
        <v>189.79591836734693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12.347446041325512</v>
      </c>
      <c r="P4" s="1">
        <f>(Main_M[[#This Row],[P/B]]-VLOOKUP(Main_M[[#This Row],[Industry]], Mean_PB_M, 2, FALSE))/(VLOOKUP(Main_M[[#This Row],[Industry]], Mean_PB_M, 3, FALSE))</f>
        <v>39.250724209980739</v>
      </c>
      <c r="Q4" s="1">
        <f>(Main_M[[#This Row],[ROE]]-VLOOKUP(Main_M[[#This Row],[Industry]], Mean_ROE_M, 2, FALSE))/(VLOOKUP(Main_M[[#This Row],[Industry]], Mean_ROE_M, 3, FALSE))</f>
        <v>-0.52351025944741802</v>
      </c>
      <c r="R4" s="1">
        <f>(Main_M[[#This Row],[ROA]]-VLOOKUP(Main_M[[#This Row],[Industry]], Mean_ROA_M, 2, FALSE))/(VLOOKUP(Main_M[[#This Row],[Industry]], Mean_ROA_M, 3, FALSE))</f>
        <v>2.3615106957330863</v>
      </c>
      <c r="S4" s="1">
        <f>(Main_M[[#This Row],[A/E]]-VLOOKUP(Main_M[[#This Row],[Industry]], Mean_AE_M, 2, FALSE))/(VLOOKUP(Main_M[[#This Row],[Industry]], Mean_AE_M, 3, FALSE))</f>
        <v>-2.7640420440125939</v>
      </c>
      <c r="T4" s="1">
        <f>(Main_M[[#This Row],[P/E]]-VLOOKUP(Main_M[[#This Row],[Industry]], Mean_PE_M, 2, FALSE))/(VLOOKUP(Main_M[[#This Row],[Industry]], Mean_PE_M, 3, FALSE))</f>
        <v>45.996281666395831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" spans="1:26" x14ac:dyDescent="0.25">
      <c r="A5" s="68" t="s">
        <v>105</v>
      </c>
      <c r="B5" s="68" t="s">
        <v>256</v>
      </c>
      <c r="C5" s="2">
        <v>9791</v>
      </c>
      <c r="D5">
        <f>RTD("tos.rtd", , "LAST", Main_M[[#This Row],[Symbol]])</f>
        <v>41.77</v>
      </c>
      <c r="E5">
        <v>-4.71</v>
      </c>
      <c r="F5">
        <v>10.119999999999999</v>
      </c>
      <c r="G5">
        <v>1.58</v>
      </c>
      <c r="H5" s="1">
        <f>IF(ISNUMBER(Main_M[[#This Row],[Free CF]]),IF(Main_M[[#This Row],[Free CF]]&lt;&gt;0,Main_M[[#This Row],[Current Price]]/Main_M[[#This Row],[Free CF]],""),"")</f>
        <v>-8.8683651804670927</v>
      </c>
      <c r="I5" s="1">
        <f>IF(ISNUMBER(Main_M[[#This Row],[BVPS]]),IF(Main_M[[#This Row],[BVPS]]&lt;&gt;0,Main_M[[#This Row],[Current Price]]/Main_M[[#This Row],[BVPS]],""),"")</f>
        <v>4.1274703557312256</v>
      </c>
      <c r="J5">
        <v>16.29</v>
      </c>
      <c r="K5">
        <v>1.84</v>
      </c>
      <c r="L5">
        <v>8.9600000000000009</v>
      </c>
      <c r="M5" s="1">
        <f>IF(ISNUMBER(Main_M[[#This Row],[EPS]]),IF(Main_M[[#This Row],[EPS]]&lt;&gt;0,Main_M[[#This Row],[Current Price]]/Main_M[[#This Row],[EPS]],""),"")</f>
        <v>26.436708860759495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-3.7333571376846439</v>
      </c>
      <c r="P5" s="1">
        <f>(Main_M[[#This Row],[P/B]]-VLOOKUP(Main_M[[#This Row],[Industry]], Mean_PB_M, 2, FALSE))/(VLOOKUP(Main_M[[#This Row],[Industry]], Mean_PB_M, 3, FALSE))</f>
        <v>8.2586079205066394</v>
      </c>
      <c r="Q5" s="1">
        <f>(Main_M[[#This Row],[ROE]]-VLOOKUP(Main_M[[#This Row],[Industry]], Mean_ROE_M, 2, FALSE))/(VLOOKUP(Main_M[[#This Row],[Industry]], Mean_ROE_M, 3, FALSE))</f>
        <v>1.9217043271024312</v>
      </c>
      <c r="R5" s="1">
        <f>(Main_M[[#This Row],[ROA]]-VLOOKUP(Main_M[[#This Row],[Industry]], Mean_ROA_M, 2, FALSE))/(VLOOKUP(Main_M[[#This Row],[Industry]], Mean_ROA_M, 3, FALSE))</f>
        <v>1.5329636967160802</v>
      </c>
      <c r="S5" s="1">
        <f>(Main_M[[#This Row],[A/E]]-VLOOKUP(Main_M[[#This Row],[Industry]], Mean_AE_M, 2, FALSE))/(VLOOKUP(Main_M[[#This Row],[Industry]], Mean_AE_M, 3, FALSE))</f>
        <v>9.2573361701248469E-2</v>
      </c>
      <c r="T5" s="1">
        <f>(Main_M[[#This Row],[P/E]]-VLOOKUP(Main_M[[#This Row],[Industry]], Mean_PE_M, 2, FALSE))/(VLOOKUP(Main_M[[#This Row],[Industry]], Mean_PE_M, 3, FALSE))</f>
        <v>3.170425011227314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8" t="s">
        <v>105</v>
      </c>
      <c r="B6" s="68" t="s">
        <v>257</v>
      </c>
      <c r="C6" s="2">
        <v>7187</v>
      </c>
      <c r="D6">
        <f>RTD("tos.rtd", , "LAST", Main_M[[#This Row],[Symbol]])</f>
        <v>58.57</v>
      </c>
      <c r="E6">
        <v>7.04</v>
      </c>
      <c r="F6">
        <v>50.74</v>
      </c>
      <c r="G6">
        <v>5.29</v>
      </c>
      <c r="H6" s="1">
        <f>IF(ISNUMBER(Main_M[[#This Row],[Free CF]]),IF(Main_M[[#This Row],[Free CF]]&lt;&gt;0,Main_M[[#This Row],[Current Price]]/Main_M[[#This Row],[Free CF]],""),"")</f>
        <v>8.3196022727272734</v>
      </c>
      <c r="I6" s="1">
        <f>IF(ISNUMBER(Main_M[[#This Row],[BVPS]]),IF(Main_M[[#This Row],[BVPS]]&lt;&gt;0,Main_M[[#This Row],[Current Price]]/Main_M[[#This Row],[BVPS]],""),"")</f>
        <v>1.154316121403232</v>
      </c>
      <c r="J6">
        <v>11.17</v>
      </c>
      <c r="K6">
        <v>0.93</v>
      </c>
      <c r="L6">
        <v>11.66</v>
      </c>
      <c r="M6" s="1">
        <f>IF(ISNUMBER(Main_M[[#This Row],[EPS]]),IF(Main_M[[#This Row],[EPS]]&lt;&gt;0,Main_M[[#This Row],[Current Price]]/Main_M[[#This Row],[EPS]],""),"")</f>
        <v>11.071833648393195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-0.50924432725335</v>
      </c>
      <c r="P6" s="1">
        <f>(Main_M[[#This Row],[P/B]]-VLOOKUP(Main_M[[#This Row],[Industry]], Mean_PB_M, 2, FALSE))/(VLOOKUP(Main_M[[#This Row],[Industry]], Mean_PB_M, 3, FALSE))</f>
        <v>-0.12235548454014726</v>
      </c>
      <c r="Q6" s="1">
        <f>(Main_M[[#This Row],[ROE]]-VLOOKUP(Main_M[[#This Row],[Industry]], Mean_ROE_M, 2, FALSE))/(VLOOKUP(Main_M[[#This Row],[Industry]], Mean_ROE_M, 3, FALSE))</f>
        <v>0.47100923056300742</v>
      </c>
      <c r="R6" s="1">
        <f>(Main_M[[#This Row],[ROA]]-VLOOKUP(Main_M[[#This Row],[Industry]], Mean_ROA_M, 2, FALSE))/(VLOOKUP(Main_M[[#This Row],[Industry]], Mean_ROA_M, 3, FALSE))</f>
        <v>-0.40031263432360081</v>
      </c>
      <c r="S6" s="1">
        <f>(Main_M[[#This Row],[A/E]]-VLOOKUP(Main_M[[#This Row],[Industry]], Mean_AE_M, 2, FALSE))/(VLOOKUP(Main_M[[#This Row],[Industry]], Mean_AE_M, 3, FALSE))</f>
        <v>1.5261907586208343</v>
      </c>
      <c r="T6" s="1">
        <f>(Main_M[[#This Row],[P/E]]-VLOOKUP(Main_M[[#This Row],[Industry]], Mean_PE_M, 2, FALSE))/(VLOOKUP(Main_M[[#This Row],[Industry]], Mean_PE_M, 3, FALSE))</f>
        <v>-0.85759364383857484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8" t="s">
        <v>105</v>
      </c>
      <c r="B7" s="68" t="s">
        <v>258</v>
      </c>
      <c r="C7" s="2">
        <v>9372</v>
      </c>
      <c r="D7">
        <f>RTD("tos.rtd", , "LAST", Main_M[[#This Row],[Symbol]])</f>
        <v>62.47</v>
      </c>
      <c r="E7">
        <v>-1.91</v>
      </c>
      <c r="F7">
        <v>3.7</v>
      </c>
      <c r="G7">
        <v>1.06</v>
      </c>
      <c r="H7" s="1">
        <f>IF(ISNUMBER(Main_M[[#This Row],[Free CF]]),IF(Main_M[[#This Row],[Free CF]]&lt;&gt;0,Main_M[[#This Row],[Current Price]]/Main_M[[#This Row],[Free CF]],""),"")</f>
        <v>-32.706806282722511</v>
      </c>
      <c r="I7" s="1">
        <f>IF(ISNUMBER(Main_M[[#This Row],[BVPS]]),IF(Main_M[[#This Row],[BVPS]]&lt;&gt;0,Main_M[[#This Row],[Current Price]]/Main_M[[#This Row],[BVPS]],""),"")</f>
        <v>16.883783783783784</v>
      </c>
      <c r="J7">
        <v>31.07</v>
      </c>
      <c r="K7">
        <v>5.93</v>
      </c>
      <c r="L7">
        <v>5.36</v>
      </c>
      <c r="M7" s="1">
        <f>IF(ISNUMBER(Main_M[[#This Row],[EPS]]),IF(Main_M[[#This Row],[EPS]]&lt;&gt;0,Main_M[[#This Row],[Current Price]]/Main_M[[#This Row],[EPS]],""),"")</f>
        <v>58.933962264150942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-8.2049634255013952</v>
      </c>
      <c r="P7" s="1">
        <f>(Main_M[[#This Row],[P/B]]-VLOOKUP(Main_M[[#This Row],[Industry]], Mean_PB_M, 2, FALSE))/(VLOOKUP(Main_M[[#This Row],[Industry]], Mean_PB_M, 3, FALSE))</f>
        <v>44.217117838839144</v>
      </c>
      <c r="Q7" s="1">
        <f>(Main_M[[#This Row],[ROE]]-VLOOKUP(Main_M[[#This Row],[Industry]], Mean_ROE_M, 2, FALSE))/(VLOOKUP(Main_M[[#This Row],[Industry]], Mean_ROE_M, 3, FALSE))</f>
        <v>6.109453062815847</v>
      </c>
      <c r="R7" s="1">
        <f>(Main_M[[#This Row],[ROA]]-VLOOKUP(Main_M[[#This Row],[Industry]], Mean_ROA_M, 2, FALSE))/(VLOOKUP(Main_M[[#This Row],[Industry]], Mean_ROA_M, 3, FALSE))</f>
        <v>10.222084788971348</v>
      </c>
      <c r="S7" s="1">
        <f>(Main_M[[#This Row],[A/E]]-VLOOKUP(Main_M[[#This Row],[Industry]], Mean_AE_M, 2, FALSE))/(VLOOKUP(Main_M[[#This Row],[Industry]], Mean_AE_M, 3, FALSE))</f>
        <v>-1.8189165008582</v>
      </c>
      <c r="T7" s="1">
        <f>(Main_M[[#This Row],[P/E]]-VLOOKUP(Main_M[[#This Row],[Industry]], Mean_PE_M, 2, FALSE))/(VLOOKUP(Main_M[[#This Row],[Industry]], Mean_PE_M, 3, FALSE))</f>
        <v>11.689826642417311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" spans="1:26" x14ac:dyDescent="0.25">
      <c r="A8" s="68" t="s">
        <v>105</v>
      </c>
      <c r="B8" s="68" t="s">
        <v>259</v>
      </c>
      <c r="C8" s="2">
        <v>3925</v>
      </c>
      <c r="D8">
        <f>RTD("tos.rtd", , "LAST", Main_M[[#This Row],[Symbol]])</f>
        <v>34.9</v>
      </c>
      <c r="E8">
        <v>-4.9400000000000004</v>
      </c>
      <c r="F8">
        <v>25.55</v>
      </c>
      <c r="G8">
        <v>3.02</v>
      </c>
      <c r="H8" s="1">
        <f>IF(ISNUMBER(Main_M[[#This Row],[Free CF]]),IF(Main_M[[#This Row],[Free CF]]&lt;&gt;0,Main_M[[#This Row],[Current Price]]/Main_M[[#This Row],[Free CF]],""),"")</f>
        <v>-7.0647773279352215</v>
      </c>
      <c r="I8" s="1">
        <f>IF(ISNUMBER(Main_M[[#This Row],[BVPS]]),IF(Main_M[[#This Row],[BVPS]]&lt;&gt;0,Main_M[[#This Row],[Current Price]]/Main_M[[#This Row],[BVPS]],""),"")</f>
        <v>1.3659491193737767</v>
      </c>
      <c r="J8">
        <v>12.46</v>
      </c>
      <c r="K8">
        <v>1.41</v>
      </c>
      <c r="L8">
        <v>8.75</v>
      </c>
      <c r="M8" s="1">
        <f>IF(ISNUMBER(Main_M[[#This Row],[EPS]]),IF(Main_M[[#This Row],[EPS]]&lt;&gt;0,Main_M[[#This Row],[Current Price]]/Main_M[[#This Row],[EPS]],""),"")</f>
        <v>11.556291390728477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-3.3950407709634831</v>
      </c>
      <c r="P8" s="1">
        <f>(Main_M[[#This Row],[P/B]]-VLOOKUP(Main_M[[#This Row],[Industry]], Mean_PB_M, 2, FALSE))/(VLOOKUP(Main_M[[#This Row],[Industry]], Mean_PB_M, 3, FALSE))</f>
        <v>0.47421242667431202</v>
      </c>
      <c r="Q8" s="1">
        <f>(Main_M[[#This Row],[ROE]]-VLOOKUP(Main_M[[#This Row],[Industry]], Mean_ROE_M, 2, FALSE))/(VLOOKUP(Main_M[[#This Row],[Industry]], Mean_ROE_M, 3, FALSE))</f>
        <v>0.83651639355829222</v>
      </c>
      <c r="R8" s="1">
        <f>(Main_M[[#This Row],[ROA]]-VLOOKUP(Main_M[[#This Row],[Industry]], Mean_ROA_M, 2, FALSE))/(VLOOKUP(Main_M[[#This Row],[Industry]], Mean_ROA_M, 3, FALSE))</f>
        <v>0.6194375183127141</v>
      </c>
      <c r="S8" s="1">
        <f>(Main_M[[#This Row],[A/E]]-VLOOKUP(Main_M[[#This Row],[Industry]], Mean_AE_M, 2, FALSE))/(VLOOKUP(Main_M[[#This Row],[Industry]], Mean_AE_M, 3, FALSE))</f>
        <v>-1.8930213614719794E-2</v>
      </c>
      <c r="T8" s="1">
        <f>(Main_M[[#This Row],[P/E]]-VLOOKUP(Main_M[[#This Row],[Industry]], Mean_PE_M, 2, FALSE))/(VLOOKUP(Main_M[[#This Row],[Industry]], Mean_PE_M, 3, FALSE))</f>
        <v>-0.73058936969080646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8" t="s">
        <v>105</v>
      </c>
      <c r="B9" s="68" t="s">
        <v>260</v>
      </c>
      <c r="C9" s="2">
        <v>2968</v>
      </c>
      <c r="D9">
        <f>RTD("tos.rtd", , "LAST", Main_M[[#This Row],[Symbol]])</f>
        <v>7.08</v>
      </c>
      <c r="E9">
        <v>-2.56</v>
      </c>
      <c r="F9">
        <v>3.27</v>
      </c>
      <c r="G9">
        <v>0.33</v>
      </c>
      <c r="H9" s="1">
        <f>IF(ISNUMBER(Main_M[[#This Row],[Free CF]]),IF(Main_M[[#This Row],[Free CF]]&lt;&gt;0,Main_M[[#This Row],[Current Price]]/Main_M[[#This Row],[Free CF]],""),"")</f>
        <v>-2.765625</v>
      </c>
      <c r="I9" s="1">
        <f>IF(ISNUMBER(Main_M[[#This Row],[BVPS]]),IF(Main_M[[#This Row],[BVPS]]&lt;&gt;0,Main_M[[#This Row],[Current Price]]/Main_M[[#This Row],[BVPS]],""),"")</f>
        <v>2.165137614678899</v>
      </c>
      <c r="J9">
        <v>11.67</v>
      </c>
      <c r="K9">
        <v>1.42</v>
      </c>
      <c r="L9">
        <v>8.6</v>
      </c>
      <c r="M9" s="1">
        <f>IF(ISNUMBER(Main_M[[#This Row],[EPS]]),IF(Main_M[[#This Row],[EPS]]&lt;&gt;0,Main_M[[#This Row],[Current Price]]/Main_M[[#This Row],[EPS]],""),"")</f>
        <v>21.454545454545453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-2.5886073091689408</v>
      </c>
      <c r="P9" s="1">
        <f>(Main_M[[#This Row],[P/B]]-VLOOKUP(Main_M[[#This Row],[Industry]], Mean_PB_M, 2, FALSE))/(VLOOKUP(Main_M[[#This Row],[Industry]], Mean_PB_M, 3, FALSE))</f>
        <v>2.7270284614268929</v>
      </c>
      <c r="Q9" s="1">
        <f>(Main_M[[#This Row],[ROE]]-VLOOKUP(Main_M[[#This Row],[Industry]], Mean_ROE_M, 2, FALSE))/(VLOOKUP(Main_M[[#This Row],[Industry]], Mean_ROE_M, 3, FALSE))</f>
        <v>0.61267867358443551</v>
      </c>
      <c r="R9" s="1">
        <f>(Main_M[[#This Row],[ROA]]-VLOOKUP(Main_M[[#This Row],[Industry]], Mean_ROA_M, 2, FALSE))/(VLOOKUP(Main_M[[#This Row],[Industry]], Mean_ROA_M, 3, FALSE))</f>
        <v>0.64068231315930402</v>
      </c>
      <c r="S9" s="1">
        <f>(Main_M[[#This Row],[A/E]]-VLOOKUP(Main_M[[#This Row],[Industry]], Mean_AE_M, 2, FALSE))/(VLOOKUP(Main_M[[#This Row],[Industry]], Mean_AE_M, 3, FALSE))</f>
        <v>-9.8575624554696997E-2</v>
      </c>
      <c r="T9" s="1">
        <f>(Main_M[[#This Row],[P/E]]-VLOOKUP(Main_M[[#This Row],[Industry]], Mean_PE_M, 2, FALSE))/(VLOOKUP(Main_M[[#This Row],[Industry]], Mean_PE_M, 3, FALSE))</f>
        <v>1.8643130600762239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8" t="s">
        <v>105</v>
      </c>
      <c r="B10" s="68" t="s">
        <v>261</v>
      </c>
      <c r="C10" s="2">
        <v>9385</v>
      </c>
      <c r="D10">
        <f>RTD("tos.rtd", , "LAST", Main_M[[#This Row],[Symbol]])</f>
        <v>37.869999999999997</v>
      </c>
      <c r="E10">
        <v>-9.09</v>
      </c>
      <c r="F10">
        <v>26.07</v>
      </c>
      <c r="G10">
        <v>2.48</v>
      </c>
      <c r="H10" s="1">
        <f>IF(ISNUMBER(Main_M[[#This Row],[Free CF]]),IF(Main_M[[#This Row],[Free CF]]&lt;&gt;0,Main_M[[#This Row],[Current Price]]/Main_M[[#This Row],[Free CF]],""),"")</f>
        <v>-4.1661166116611659</v>
      </c>
      <c r="I10" s="1">
        <f>IF(ISNUMBER(Main_M[[#This Row],[BVPS]]),IF(Main_M[[#This Row],[BVPS]]&lt;&gt;0,Main_M[[#This Row],[Current Price]]/Main_M[[#This Row],[BVPS]],""),"")</f>
        <v>1.4526275412351362</v>
      </c>
      <c r="J10">
        <v>8.6</v>
      </c>
      <c r="K10">
        <v>0.57999999999999996</v>
      </c>
      <c r="L10">
        <v>15.8</v>
      </c>
      <c r="M10" s="1">
        <f>IF(ISNUMBER(Main_M[[#This Row],[EPS]]),IF(Main_M[[#This Row],[EPS]]&lt;&gt;0,Main_M[[#This Row],[Current Price]]/Main_M[[#This Row],[EPS]],""),"")</f>
        <v>15.27016129032258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-2.8513110266593507</v>
      </c>
      <c r="P10" s="1">
        <f>(Main_M[[#This Row],[P/B]]-VLOOKUP(Main_M[[#This Row],[Industry]], Mean_PB_M, 2, FALSE))/(VLOOKUP(Main_M[[#This Row],[Industry]], Mean_PB_M, 3, FALSE))</f>
        <v>0.71854844975703525</v>
      </c>
      <c r="Q10" s="1">
        <f>(Main_M[[#This Row],[ROE]]-VLOOKUP(Main_M[[#This Row],[Industry]], Mean_ROE_M, 2, FALSE))/(VLOOKUP(Main_M[[#This Row],[Industry]], Mean_ROE_M, 3, FALSE))</f>
        <v>-0.25717170656713328</v>
      </c>
      <c r="R10" s="1">
        <f>(Main_M[[#This Row],[ROA]]-VLOOKUP(Main_M[[#This Row],[Industry]], Mean_ROA_M, 2, FALSE))/(VLOOKUP(Main_M[[#This Row],[Industry]], Mean_ROA_M, 3, FALSE))</f>
        <v>-1.1438804539542475</v>
      </c>
      <c r="S10" s="1">
        <f>(Main_M[[#This Row],[A/E]]-VLOOKUP(Main_M[[#This Row],[Industry]], Mean_AE_M, 2, FALSE))/(VLOOKUP(Main_M[[#This Row],[Industry]], Mean_AE_M, 3, FALSE))</f>
        <v>3.7244041005641999</v>
      </c>
      <c r="T10" s="1">
        <f>(Main_M[[#This Row],[P/E]]-VLOOKUP(Main_M[[#This Row],[Industry]], Mean_PE_M, 2, FALSE))/(VLOOKUP(Main_M[[#This Row],[Industry]], Mean_PE_M, 3, FALSE))</f>
        <v>0.24302981245605929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8" t="s">
        <v>105</v>
      </c>
      <c r="B11" s="68" t="s">
        <v>262</v>
      </c>
      <c r="C11" s="2">
        <v>4095</v>
      </c>
      <c r="D11">
        <f>RTD("tos.rtd", , "LAST", Main_M[[#This Row],[Symbol]])</f>
        <v>63.58</v>
      </c>
      <c r="E11">
        <v>3.24</v>
      </c>
      <c r="F11">
        <v>54.53</v>
      </c>
      <c r="G11">
        <v>5.38</v>
      </c>
      <c r="H11" s="1">
        <f>IF(ISNUMBER(Main_M[[#This Row],[Free CF]]),IF(Main_M[[#This Row],[Free CF]]&lt;&gt;0,Main_M[[#This Row],[Current Price]]/Main_M[[#This Row],[Free CF]],""),"")</f>
        <v>19.623456790123456</v>
      </c>
      <c r="I11" s="1">
        <f>IF(ISNUMBER(Main_M[[#This Row],[BVPS]]),IF(Main_M[[#This Row],[BVPS]]&lt;&gt;0,Main_M[[#This Row],[Current Price]]/Main_M[[#This Row],[BVPS]],""),"")</f>
        <v>1.1659636897120851</v>
      </c>
      <c r="J11">
        <v>10.19</v>
      </c>
      <c r="K11">
        <v>1.43</v>
      </c>
      <c r="L11">
        <v>6.93</v>
      </c>
      <c r="M11" s="1">
        <f>IF(ISNUMBER(Main_M[[#This Row],[EPS]]),IF(Main_M[[#This Row],[EPS]]&lt;&gt;0,Main_M[[#This Row],[Current Price]]/Main_M[[#This Row],[EPS]],""),"")</f>
        <v>11.817843866171003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1.6111286753156906</v>
      </c>
      <c r="P11" s="1">
        <f>(Main_M[[#This Row],[P/B]]-VLOOKUP(Main_M[[#This Row],[Industry]], Mean_PB_M, 2, FALSE))/(VLOOKUP(Main_M[[#This Row],[Industry]], Mean_PB_M, 3, FALSE))</f>
        <v>-8.9522393465629166E-2</v>
      </c>
      <c r="Q11" s="1">
        <f>(Main_M[[#This Row],[ROE]]-VLOOKUP(Main_M[[#This Row],[Industry]], Mean_ROE_M, 2, FALSE))/(VLOOKUP(Main_M[[#This Row],[Industry]], Mean_ROE_M, 3, FALSE))</f>
        <v>0.19333712224100813</v>
      </c>
      <c r="R11" s="1">
        <f>(Main_M[[#This Row],[ROA]]-VLOOKUP(Main_M[[#This Row],[Industry]], Mean_ROA_M, 2, FALSE))/(VLOOKUP(Main_M[[#This Row],[Industry]], Mean_ROA_M, 3, FALSE))</f>
        <v>0.66192710800589394</v>
      </c>
      <c r="S11" s="1">
        <f>(Main_M[[#This Row],[A/E]]-VLOOKUP(Main_M[[#This Row],[Industry]], Mean_AE_M, 2, FALSE))/(VLOOKUP(Main_M[[#This Row],[Industry]], Mean_AE_M, 3, FALSE))</f>
        <v>-0.98529453301977432</v>
      </c>
      <c r="T11" s="1">
        <f>(Main_M[[#This Row],[P/E]]-VLOOKUP(Main_M[[#This Row],[Industry]], Mean_PE_M, 2, FALSE))/(VLOOKUP(Main_M[[#This Row],[Industry]], Mean_PE_M, 3, FALSE))</f>
        <v>-0.66202140309168778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8" t="s">
        <v>105</v>
      </c>
      <c r="B12" s="68" t="s">
        <v>263</v>
      </c>
      <c r="C12" s="2">
        <v>3726</v>
      </c>
      <c r="D12">
        <f>RTD("tos.rtd", , "LAST", Main_M[[#This Row],[Symbol]])</f>
        <v>24.56</v>
      </c>
      <c r="E12">
        <v>3.01</v>
      </c>
      <c r="F12">
        <v>27.5</v>
      </c>
      <c r="G12">
        <v>0.83</v>
      </c>
      <c r="H12" s="1">
        <f>IF(ISNUMBER(Main_M[[#This Row],[Free CF]]),IF(Main_M[[#This Row],[Free CF]]&lt;&gt;0,Main_M[[#This Row],[Current Price]]/Main_M[[#This Row],[Free CF]],""),"")</f>
        <v>8.1594684385382052</v>
      </c>
      <c r="I12" s="1">
        <f>IF(ISNUMBER(Main_M[[#This Row],[BVPS]]),IF(Main_M[[#This Row],[BVPS]]&lt;&gt;0,Main_M[[#This Row],[Current Price]]/Main_M[[#This Row],[BVPS]],""),"")</f>
        <v>0.89309090909090905</v>
      </c>
      <c r="J12">
        <v>3.24</v>
      </c>
      <c r="K12">
        <v>0.34</v>
      </c>
      <c r="L12">
        <v>9.64</v>
      </c>
      <c r="M12" s="1">
        <f>IF(ISNUMBER(Main_M[[#This Row],[EPS]]),IF(Main_M[[#This Row],[EPS]]&lt;&gt;0,Main_M[[#This Row],[Current Price]]/Main_M[[#This Row],[EPS]],""),"")</f>
        <v>29.590361445783131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-0.53928217481143936</v>
      </c>
      <c r="P12" s="1">
        <f>(Main_M[[#This Row],[P/B]]-VLOOKUP(Main_M[[#This Row],[Industry]], Mean_PB_M, 2, FALSE))/(VLOOKUP(Main_M[[#This Row],[Industry]], Mean_PB_M, 3, FALSE))</f>
        <v>-0.85871787018005563</v>
      </c>
      <c r="Q12" s="1">
        <f>(Main_M[[#This Row],[ROE]]-VLOOKUP(Main_M[[#This Row],[Industry]], Mean_ROE_M, 2, FALSE))/(VLOOKUP(Main_M[[#This Row],[Industry]], Mean_ROE_M, 3, FALSE))</f>
        <v>-1.7758681357568429</v>
      </c>
      <c r="R12" s="1">
        <f>(Main_M[[#This Row],[ROA]]-VLOOKUP(Main_M[[#This Row],[Industry]], Mean_ROA_M, 2, FALSE))/(VLOOKUP(Main_M[[#This Row],[Industry]], Mean_ROA_M, 3, FALSE))</f>
        <v>-1.653755530272405</v>
      </c>
      <c r="S12" s="1">
        <f>(Main_M[[#This Row],[A/E]]-VLOOKUP(Main_M[[#This Row],[Industry]], Mean_AE_M, 2, FALSE))/(VLOOKUP(Main_M[[#This Row],[Industry]], Mean_AE_M, 3, FALSE))</f>
        <v>0.45363255796247742</v>
      </c>
      <c r="T12" s="1">
        <f>(Main_M[[#This Row],[P/E]]-VLOOKUP(Main_M[[#This Row],[Industry]], Mean_PE_M, 2, FALSE))/(VLOOKUP(Main_M[[#This Row],[Industry]], Mean_PE_M, 3, FALSE))</f>
        <v>3.9971789723560112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" spans="1:26" x14ac:dyDescent="0.25">
      <c r="A13" s="68" t="s">
        <v>105</v>
      </c>
      <c r="B13" s="68" t="s">
        <v>264</v>
      </c>
      <c r="C13" s="2">
        <v>3783</v>
      </c>
      <c r="D13">
        <f>RTD("tos.rtd", , "LAST", Main_M[[#This Row],[Symbol]])</f>
        <v>73.59</v>
      </c>
      <c r="E13">
        <v>6.56</v>
      </c>
      <c r="F13">
        <v>45.79</v>
      </c>
      <c r="G13">
        <v>7.33</v>
      </c>
      <c r="H13" s="1">
        <f>IF(ISNUMBER(Main_M[[#This Row],[Free CF]]),IF(Main_M[[#This Row],[Free CF]]&lt;&gt;0,Main_M[[#This Row],[Current Price]]/Main_M[[#This Row],[Free CF]],""),"")</f>
        <v>11.217987804878049</v>
      </c>
      <c r="I13" s="1">
        <f>IF(ISNUMBER(Main_M[[#This Row],[BVPS]]),IF(Main_M[[#This Row],[BVPS]]&lt;&gt;0,Main_M[[#This Row],[Current Price]]/Main_M[[#This Row],[BVPS]],""),"")</f>
        <v>1.6071194583970301</v>
      </c>
      <c r="J13">
        <v>17.8</v>
      </c>
      <c r="K13">
        <v>1.83</v>
      </c>
      <c r="L13">
        <v>9.2100000000000009</v>
      </c>
      <c r="M13" s="1">
        <f>IF(ISNUMBER(Main_M[[#This Row],[EPS]]),IF(Main_M[[#This Row],[EPS]]&lt;&gt;0,Main_M[[#This Row],[Current Price]]/Main_M[[#This Row],[EPS]],""),"")</f>
        <v>10.039563437926331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3.4433798110992245E-2</v>
      </c>
      <c r="P13" s="1">
        <f>(Main_M[[#This Row],[P/B]]-VLOOKUP(Main_M[[#This Row],[Industry]], Mean_PB_M, 2, FALSE))/(VLOOKUP(Main_M[[#This Row],[Industry]], Mean_PB_M, 3, FALSE))</f>
        <v>1.1540425419099798</v>
      </c>
      <c r="Q13" s="1">
        <f>(Main_M[[#This Row],[ROE]]-VLOOKUP(Main_M[[#This Row],[Industry]], Mean_ROE_M, 2, FALSE))/(VLOOKUP(Main_M[[#This Row],[Industry]], Mean_ROE_M, 3, FALSE))</f>
        <v>2.3495460450271448</v>
      </c>
      <c r="R13" s="1">
        <f>(Main_M[[#This Row],[ROA]]-VLOOKUP(Main_M[[#This Row],[Industry]], Mean_ROA_M, 2, FALSE))/(VLOOKUP(Main_M[[#This Row],[Industry]], Mean_ROA_M, 3, FALSE))</f>
        <v>1.5117189018694903</v>
      </c>
      <c r="S13" s="1">
        <f>(Main_M[[#This Row],[A/E]]-VLOOKUP(Main_M[[#This Row],[Industry]], Mean_AE_M, 2, FALSE))/(VLOOKUP(Main_M[[#This Row],[Industry]], Mean_AE_M, 3, FALSE))</f>
        <v>0.22531571326787683</v>
      </c>
      <c r="T13" s="1">
        <f>(Main_M[[#This Row],[P/E]]-VLOOKUP(Main_M[[#This Row],[Industry]], Mean_PE_M, 2, FALSE))/(VLOOKUP(Main_M[[#This Row],[Industry]], Mean_PE_M, 3, FALSE))</f>
        <v>-1.1282111143587898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8" t="s">
        <v>105</v>
      </c>
      <c r="B14" s="68" t="s">
        <v>265</v>
      </c>
      <c r="C14" s="2">
        <v>2150</v>
      </c>
      <c r="D14">
        <f>RTD("tos.rtd", , "LAST", Main_M[[#This Row],[Symbol]])</f>
        <v>14.62</v>
      </c>
      <c r="E14">
        <v>0.15</v>
      </c>
      <c r="F14">
        <v>18.190000000000001</v>
      </c>
      <c r="G14">
        <v>0.65</v>
      </c>
      <c r="H14" s="1">
        <f>IF(ISNUMBER(Main_M[[#This Row],[Free CF]]),IF(Main_M[[#This Row],[Free CF]]&lt;&gt;0,Main_M[[#This Row],[Current Price]]/Main_M[[#This Row],[Free CF]],""),"")</f>
        <v>97.466666666666669</v>
      </c>
      <c r="I14" s="1">
        <f>IF(ISNUMBER(Main_M[[#This Row],[BVPS]]),IF(Main_M[[#This Row],[BVPS]]&lt;&gt;0,Main_M[[#This Row],[Current Price]]/Main_M[[#This Row],[BVPS]],""),"")</f>
        <v>0.80373831775700921</v>
      </c>
      <c r="J14">
        <v>4.33</v>
      </c>
      <c r="K14">
        <v>0.43</v>
      </c>
      <c r="L14">
        <v>11.17</v>
      </c>
      <c r="M14" s="1">
        <f>IF(ISNUMBER(Main_M[[#This Row],[EPS]]),IF(Main_M[[#This Row],[EPS]]&lt;&gt;0,Main_M[[#This Row],[Current Price]]/Main_M[[#This Row],[EPS]],""),"")</f>
        <v>22.492307692307691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16.212930246763936</v>
      </c>
      <c r="P14" s="1">
        <f>(Main_M[[#This Row],[P/B]]-VLOOKUP(Main_M[[#This Row],[Industry]], Mean_PB_M, 2, FALSE))/(VLOOKUP(Main_M[[#This Row],[Industry]], Mean_PB_M, 3, FALSE))</f>
        <v>-1.1105920546637194</v>
      </c>
      <c r="Q14" s="1">
        <f>(Main_M[[#This Row],[ROE]]-VLOOKUP(Main_M[[#This Row],[Industry]], Mean_ROE_M, 2, FALSE))/(VLOOKUP(Main_M[[#This Row],[Industry]], Mean_ROE_M, 3, FALSE))</f>
        <v>-1.4670287499701296</v>
      </c>
      <c r="R14" s="1">
        <f>(Main_M[[#This Row],[ROA]]-VLOOKUP(Main_M[[#This Row],[Industry]], Mean_ROA_M, 2, FALSE))/(VLOOKUP(Main_M[[#This Row],[Industry]], Mean_ROA_M, 3, FALSE))</f>
        <v>-1.4625523766530961</v>
      </c>
      <c r="S14" s="1">
        <f>(Main_M[[#This Row],[A/E]]-VLOOKUP(Main_M[[#This Row],[Industry]], Mean_AE_M, 2, FALSE))/(VLOOKUP(Main_M[[#This Row],[Industry]], Mean_AE_M, 3, FALSE))</f>
        <v>1.2660157495502427</v>
      </c>
      <c r="T14" s="1">
        <f>(Main_M[[#This Row],[P/E]]-VLOOKUP(Main_M[[#This Row],[Industry]], Mean_PE_M, 2, FALSE))/(VLOOKUP(Main_M[[#This Row],[Industry]], Mean_PE_M, 3, FALSE))</f>
        <v>2.1363703072359583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s="68" t="s">
        <v>105</v>
      </c>
      <c r="B15" s="68" t="s">
        <v>266</v>
      </c>
      <c r="C15" s="2">
        <v>4024</v>
      </c>
      <c r="D15">
        <f>RTD("tos.rtd", , "LAST", Main_M[[#This Row],[Symbol]])</f>
        <v>128.43</v>
      </c>
      <c r="E15">
        <v>6.79</v>
      </c>
      <c r="F15">
        <v>48.81</v>
      </c>
      <c r="G15">
        <v>6.61</v>
      </c>
      <c r="H15" s="1">
        <f>IF(ISNUMBER(Main_M[[#This Row],[Free CF]]),IF(Main_M[[#This Row],[Free CF]]&lt;&gt;0,Main_M[[#This Row],[Current Price]]/Main_M[[#This Row],[Free CF]],""),"")</f>
        <v>18.914580265095729</v>
      </c>
      <c r="I15" s="1">
        <f>IF(ISNUMBER(Main_M[[#This Row],[BVPS]]),IF(Main_M[[#This Row],[BVPS]]&lt;&gt;0,Main_M[[#This Row],[Current Price]]/Main_M[[#This Row],[BVPS]],""),"")</f>
        <v>2.6312231100184387</v>
      </c>
      <c r="J15">
        <v>14.16</v>
      </c>
      <c r="K15">
        <v>1.67</v>
      </c>
      <c r="L15">
        <v>8.36</v>
      </c>
      <c r="M15" s="1">
        <f>IF(ISNUMBER(Main_M[[#This Row],[EPS]]),IF(Main_M[[#This Row],[EPS]]&lt;&gt;0,Main_M[[#This Row],[Current Price]]/Main_M[[#This Row],[EPS]],""),"")</f>
        <v>19.429652042360061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1.4781578693387947</v>
      </c>
      <c r="P15" s="1">
        <f>(Main_M[[#This Row],[P/B]]-VLOOKUP(Main_M[[#This Row],[Industry]], Mean_PB_M, 2, FALSE))/(VLOOKUP(Main_M[[#This Row],[Industry]], Mean_PB_M, 3, FALSE))</f>
        <v>4.0408672912334112</v>
      </c>
      <c r="Q15" s="1">
        <f>(Main_M[[#This Row],[ROE]]-VLOOKUP(Main_M[[#This Row],[Industry]], Mean_ROE_M, 2, FALSE))/(VLOOKUP(Main_M[[#This Row],[Industry]], Mean_ROE_M, 3, FALSE))</f>
        <v>1.3181924998311476</v>
      </c>
      <c r="R15" s="1">
        <f>(Main_M[[#This Row],[ROA]]-VLOOKUP(Main_M[[#This Row],[Industry]], Mean_ROA_M, 2, FALSE))/(VLOOKUP(Main_M[[#This Row],[Industry]], Mean_ROA_M, 3, FALSE))</f>
        <v>1.1718021843240516</v>
      </c>
      <c r="S15" s="1">
        <f>(Main_M[[#This Row],[A/E]]-VLOOKUP(Main_M[[#This Row],[Industry]], Mean_AE_M, 2, FALSE))/(VLOOKUP(Main_M[[#This Row],[Industry]], Mean_AE_M, 3, FALSE))</f>
        <v>-0.22600828205866033</v>
      </c>
      <c r="T15" s="1">
        <f>(Main_M[[#This Row],[P/E]]-VLOOKUP(Main_M[[#This Row],[Industry]], Mean_PE_M, 2, FALSE))/(VLOOKUP(Main_M[[#This Row],[Industry]], Mean_PE_M, 3, FALSE))</f>
        <v>1.3334718832967183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8" t="s">
        <v>105</v>
      </c>
      <c r="B16" s="68" t="s">
        <v>267</v>
      </c>
      <c r="C16" s="2">
        <v>2137</v>
      </c>
      <c r="D16">
        <f>RTD("tos.rtd", , "LAST", Main_M[[#This Row],[Symbol]])</f>
        <v>65.09</v>
      </c>
      <c r="E16">
        <v>8.11</v>
      </c>
      <c r="F16">
        <v>53.16</v>
      </c>
      <c r="G16">
        <v>5.09</v>
      </c>
      <c r="H16" s="1">
        <f>IF(ISNUMBER(Main_M[[#This Row],[Free CF]]),IF(Main_M[[#This Row],[Free CF]]&lt;&gt;0,Main_M[[#This Row],[Current Price]]/Main_M[[#This Row],[Free CF]],""),"")</f>
        <v>8.0258939580764501</v>
      </c>
      <c r="I16" s="1">
        <f>IF(ISNUMBER(Main_M[[#This Row],[BVPS]]),IF(Main_M[[#This Row],[BVPS]]&lt;&gt;0,Main_M[[#This Row],[Current Price]]/Main_M[[#This Row],[BVPS]],""),"")</f>
        <v>1.2244168547780288</v>
      </c>
      <c r="J16">
        <v>10.09</v>
      </c>
      <c r="K16">
        <v>1.1100000000000001</v>
      </c>
      <c r="L16">
        <v>8.82</v>
      </c>
      <c r="M16" s="1">
        <f>IF(ISNUMBER(Main_M[[#This Row],[EPS]]),IF(Main_M[[#This Row],[EPS]]&lt;&gt;0,Main_M[[#This Row],[Current Price]]/Main_M[[#This Row],[EPS]],""),"")</f>
        <v>12.787819253438116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-0.56433802826102297</v>
      </c>
      <c r="P16" s="1">
        <f>(Main_M[[#This Row],[P/B]]-VLOOKUP(Main_M[[#This Row],[Industry]], Mean_PB_M, 2, FALSE))/(VLOOKUP(Main_M[[#This Row],[Industry]], Mean_PB_M, 3, FALSE))</f>
        <v>7.5250032959655599E-2</v>
      </c>
      <c r="Q16" s="1">
        <f>(Main_M[[#This Row],[ROE]]-VLOOKUP(Main_M[[#This Row],[Industry]], Mean_ROE_M, 2, FALSE))/(VLOOKUP(Main_M[[#This Row],[Industry]], Mean_ROE_M, 3, FALSE))</f>
        <v>0.16500323363672259</v>
      </c>
      <c r="R16" s="1">
        <f>(Main_M[[#This Row],[ROA]]-VLOOKUP(Main_M[[#This Row],[Industry]], Mean_ROA_M, 2, FALSE))/(VLOOKUP(Main_M[[#This Row],[Industry]], Mean_ROA_M, 3, FALSE))</f>
        <v>-1.7906327084982493E-2</v>
      </c>
      <c r="S16" s="1">
        <f>(Main_M[[#This Row],[A/E]]-VLOOKUP(Main_M[[#This Row],[Industry]], Mean_AE_M, 2, FALSE))/(VLOOKUP(Main_M[[#This Row],[Industry]], Mean_AE_M, 3, FALSE))</f>
        <v>1.8237644823936295E-2</v>
      </c>
      <c r="T16" s="1">
        <f>(Main_M[[#This Row],[P/E]]-VLOOKUP(Main_M[[#This Row],[Industry]], Mean_PE_M, 2, FALSE))/(VLOOKUP(Main_M[[#This Row],[Industry]], Mean_PE_M, 3, FALSE))</f>
        <v>-0.40773499328589213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8" t="s">
        <v>105</v>
      </c>
      <c r="B17" s="68" t="s">
        <v>268</v>
      </c>
      <c r="C17" s="2">
        <v>2492</v>
      </c>
      <c r="D17">
        <f>RTD("tos.rtd", , "LAST", Main_M[[#This Row],[Symbol]])</f>
        <v>35.799999999999997</v>
      </c>
      <c r="E17">
        <v>5.89</v>
      </c>
      <c r="F17">
        <v>38.51</v>
      </c>
      <c r="G17">
        <v>3.21</v>
      </c>
      <c r="H17" s="1">
        <f>IF(ISNUMBER(Main_M[[#This Row],[Free CF]]),IF(Main_M[[#This Row],[Free CF]]&lt;&gt;0,Main_M[[#This Row],[Current Price]]/Main_M[[#This Row],[Free CF]],""),"")</f>
        <v>6.0780984719864177</v>
      </c>
      <c r="I17" s="1">
        <f>IF(ISNUMBER(Main_M[[#This Row],[BVPS]]),IF(Main_M[[#This Row],[BVPS]]&lt;&gt;0,Main_M[[#This Row],[Current Price]]/Main_M[[#This Row],[BVPS]],""),"")</f>
        <v>0.92962866787847309</v>
      </c>
      <c r="J17">
        <v>8.77</v>
      </c>
      <c r="K17">
        <v>0.69</v>
      </c>
      <c r="L17">
        <v>12.02</v>
      </c>
      <c r="M17" s="1">
        <f>IF(ISNUMBER(Main_M[[#This Row],[EPS]]),IF(Main_M[[#This Row],[EPS]]&lt;&gt;0,Main_M[[#This Row],[Current Price]]/Main_M[[#This Row],[EPS]],""),"")</f>
        <v>11.152647975077882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-0.92970481150077167</v>
      </c>
      <c r="P17" s="1">
        <f>(Main_M[[#This Row],[P/B]]-VLOOKUP(Main_M[[#This Row],[Industry]], Mean_PB_M, 2, FALSE))/(VLOOKUP(Main_M[[#This Row],[Industry]], Mean_PB_M, 3, FALSE))</f>
        <v>-0.75572233238878639</v>
      </c>
      <c r="Q17" s="1">
        <f>(Main_M[[#This Row],[ROE]]-VLOOKUP(Main_M[[#This Row],[Industry]], Mean_ROE_M, 2, FALSE))/(VLOOKUP(Main_M[[#This Row],[Industry]], Mean_ROE_M, 3, FALSE))</f>
        <v>-0.20900409593984776</v>
      </c>
      <c r="R17" s="1">
        <f>(Main_M[[#This Row],[ROA]]-VLOOKUP(Main_M[[#This Row],[Industry]], Mean_ROA_M, 2, FALSE))/(VLOOKUP(Main_M[[#This Row],[Industry]], Mean_ROA_M, 3, FALSE))</f>
        <v>-0.91018771064175863</v>
      </c>
      <c r="S17" s="1">
        <f>(Main_M[[#This Row],[A/E]]-VLOOKUP(Main_M[[#This Row],[Industry]], Mean_AE_M, 2, FALSE))/(VLOOKUP(Main_M[[#This Row],[Industry]], Mean_AE_M, 3, FALSE))</f>
        <v>1.7173397448767789</v>
      </c>
      <c r="T17" s="1">
        <f>(Main_M[[#This Row],[P/E]]-VLOOKUP(Main_M[[#This Row],[Industry]], Mean_PE_M, 2, FALSE))/(VLOOKUP(Main_M[[#This Row],[Industry]], Mean_PE_M, 3, FALSE))</f>
        <v>-0.83640755472406558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8" t="s">
        <v>105</v>
      </c>
      <c r="B18" s="68" t="s">
        <v>269</v>
      </c>
      <c r="C18" s="2">
        <v>2659</v>
      </c>
      <c r="D18">
        <f>RTD("tos.rtd", , "LAST", Main_M[[#This Row],[Symbol]])</f>
        <v>70.44</v>
      </c>
      <c r="E18">
        <v>2.8</v>
      </c>
      <c r="F18">
        <v>34.229999999999997</v>
      </c>
      <c r="G18">
        <v>3.56</v>
      </c>
      <c r="H18" s="1">
        <f>IF(ISNUMBER(Main_M[[#This Row],[Free CF]]),IF(Main_M[[#This Row],[Free CF]]&lt;&gt;0,Main_M[[#This Row],[Current Price]]/Main_M[[#This Row],[Free CF]],""),"")</f>
        <v>25.157142857142858</v>
      </c>
      <c r="I18" s="1">
        <f>IF(ISNUMBER(Main_M[[#This Row],[BVPS]]),IF(Main_M[[#This Row],[BVPS]]&lt;&gt;0,Main_M[[#This Row],[Current Price]]/Main_M[[#This Row],[BVPS]],""),"")</f>
        <v>2.0578439964943032</v>
      </c>
      <c r="J18">
        <v>10.039999999999999</v>
      </c>
      <c r="K18">
        <v>0.67</v>
      </c>
      <c r="L18">
        <v>17.559999999999999</v>
      </c>
      <c r="M18" s="1">
        <f>IF(ISNUMBER(Main_M[[#This Row],[EPS]]),IF(Main_M[[#This Row],[EPS]]&lt;&gt;0,Main_M[[#This Row],[Current Price]]/Main_M[[#This Row],[EPS]],""),"")</f>
        <v>19.786516853932582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2.6491355359969777</v>
      </c>
      <c r="P18" s="1">
        <f>(Main_M[[#This Row],[P/B]]-VLOOKUP(Main_M[[#This Row],[Industry]], Mean_PB_M, 2, FALSE))/(VLOOKUP(Main_M[[#This Row],[Industry]], Mean_PB_M, 3, FALSE))</f>
        <v>2.4245806848474829</v>
      </c>
      <c r="Q18" s="1">
        <f>(Main_M[[#This Row],[ROE]]-VLOOKUP(Main_M[[#This Row],[Industry]], Mean_ROE_M, 2, FALSE))/(VLOOKUP(Main_M[[#This Row],[Industry]], Mean_ROE_M, 3, FALSE))</f>
        <v>0.1508362893345796</v>
      </c>
      <c r="R18" s="1">
        <f>(Main_M[[#This Row],[ROA]]-VLOOKUP(Main_M[[#This Row],[Industry]], Mean_ROA_M, 2, FALSE))/(VLOOKUP(Main_M[[#This Row],[Industry]], Mean_ROA_M, 3, FALSE))</f>
        <v>-0.95267730033493825</v>
      </c>
      <c r="S18" s="1">
        <f>(Main_M[[#This Row],[A/E]]-VLOOKUP(Main_M[[#This Row],[Industry]], Mean_AE_M, 2, FALSE))/(VLOOKUP(Main_M[[#This Row],[Industry]], Mean_AE_M, 3, FALSE))</f>
        <v>4.6589102555932627</v>
      </c>
      <c r="T18" s="1">
        <f>(Main_M[[#This Row],[P/E]]-VLOOKUP(Main_M[[#This Row],[Industry]], Mean_PE_M, 2, FALSE))/(VLOOKUP(Main_M[[#This Row],[Industry]], Mean_PE_M, 3, FALSE))</f>
        <v>1.4270267022251375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s="68" t="s">
        <v>105</v>
      </c>
      <c r="B19" s="68" t="s">
        <v>270</v>
      </c>
      <c r="C19" s="2">
        <v>6031</v>
      </c>
      <c r="D19">
        <f>RTD("tos.rtd", , "LAST", Main_M[[#This Row],[Symbol]])</f>
        <v>98.56</v>
      </c>
      <c r="E19">
        <v>17.190000000000001</v>
      </c>
      <c r="F19">
        <v>89.82</v>
      </c>
      <c r="G19">
        <v>8.7200000000000006</v>
      </c>
      <c r="H19" s="1">
        <f>IF(ISNUMBER(Main_M[[#This Row],[Free CF]]),IF(Main_M[[#This Row],[Free CF]]&lt;&gt;0,Main_M[[#This Row],[Current Price]]/Main_M[[#This Row],[Free CF]],""),"")</f>
        <v>5.7335660267597435</v>
      </c>
      <c r="I19" s="1">
        <f>IF(ISNUMBER(Main_M[[#This Row],[BVPS]]),IF(Main_M[[#This Row],[BVPS]]&lt;&gt;0,Main_M[[#This Row],[Current Price]]/Main_M[[#This Row],[BVPS]],""),"")</f>
        <v>1.0973057225562237</v>
      </c>
      <c r="J19">
        <v>10.26</v>
      </c>
      <c r="K19">
        <v>1.1100000000000001</v>
      </c>
      <c r="L19">
        <v>8.74</v>
      </c>
      <c r="M19" s="1">
        <f>IF(ISNUMBER(Main_M[[#This Row],[EPS]]),IF(Main_M[[#This Row],[EPS]]&lt;&gt;0,Main_M[[#This Row],[Current Price]]/Main_M[[#This Row],[EPS]],""),"")</f>
        <v>11.302752293577981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-0.99433208481214252</v>
      </c>
      <c r="P19" s="1">
        <f>(Main_M[[#This Row],[P/B]]-VLOOKUP(Main_M[[#This Row],[Industry]], Mean_PB_M, 2, FALSE))/(VLOOKUP(Main_M[[#This Row],[Industry]], Mean_PB_M, 3, FALSE))</f>
        <v>-0.28306092690408613</v>
      </c>
      <c r="Q19" s="1">
        <f>(Main_M[[#This Row],[ROE]]-VLOOKUP(Main_M[[#This Row],[Industry]], Mean_ROE_M, 2, FALSE))/(VLOOKUP(Main_M[[#This Row],[Industry]], Mean_ROE_M, 3, FALSE))</f>
        <v>0.21317084426400815</v>
      </c>
      <c r="R19" s="1">
        <f>(Main_M[[#This Row],[ROA]]-VLOOKUP(Main_M[[#This Row],[Industry]], Mean_ROA_M, 2, FALSE))/(VLOOKUP(Main_M[[#This Row],[Industry]], Mean_ROA_M, 3, FALSE))</f>
        <v>-1.7906327084982493E-2</v>
      </c>
      <c r="S19" s="1">
        <f>(Main_M[[#This Row],[A/E]]-VLOOKUP(Main_M[[#This Row],[Industry]], Mean_AE_M, 2, FALSE))/(VLOOKUP(Main_M[[#This Row],[Industry]], Mean_AE_M, 3, FALSE))</f>
        <v>-2.4239907677384816E-2</v>
      </c>
      <c r="T19" s="1">
        <f>(Main_M[[#This Row],[P/E]]-VLOOKUP(Main_M[[#This Row],[Industry]], Mean_PE_M, 2, FALSE))/(VLOOKUP(Main_M[[#This Row],[Industry]], Mean_PE_M, 3, FALSE))</f>
        <v>-0.79705656834978456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8" t="s">
        <v>105</v>
      </c>
      <c r="B20" s="68" t="s">
        <v>271</v>
      </c>
      <c r="C20" s="2">
        <v>6832</v>
      </c>
      <c r="D20">
        <f>RTD("tos.rtd", , "LAST", Main_M[[#This Row],[Symbol]])</f>
        <v>104.07</v>
      </c>
      <c r="E20">
        <v>6.44</v>
      </c>
      <c r="F20">
        <v>83.75</v>
      </c>
      <c r="G20">
        <v>9.68</v>
      </c>
      <c r="H20" s="1">
        <f>IF(ISNUMBER(Main_M[[#This Row],[Free CF]]),IF(Main_M[[#This Row],[Free CF]]&lt;&gt;0,Main_M[[#This Row],[Current Price]]/Main_M[[#This Row],[Free CF]],""),"")</f>
        <v>16.159937888198755</v>
      </c>
      <c r="I20" s="1">
        <f>IF(ISNUMBER(Main_M[[#This Row],[BVPS]]),IF(Main_M[[#This Row],[BVPS]]&lt;&gt;0,Main_M[[#This Row],[Current Price]]/Main_M[[#This Row],[BVPS]],""),"")</f>
        <v>1.2426268656716417</v>
      </c>
      <c r="J20">
        <v>12.54</v>
      </c>
      <c r="K20">
        <v>0.95</v>
      </c>
      <c r="L20">
        <v>12.82</v>
      </c>
      <c r="M20" s="1">
        <f>IF(ISNUMBER(Main_M[[#This Row],[EPS]]),IF(Main_M[[#This Row],[EPS]]&lt;&gt;0,Main_M[[#This Row],[Current Price]]/Main_M[[#This Row],[EPS]],""),"")</f>
        <v>10.75103305785124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0.9614430338182125</v>
      </c>
      <c r="P20" s="1">
        <f>(Main_M[[#This Row],[P/B]]-VLOOKUP(Main_M[[#This Row],[Industry]], Mean_PB_M, 2, FALSE))/(VLOOKUP(Main_M[[#This Row],[Industry]], Mean_PB_M, 3, FALSE))</f>
        <v>0.12658185864927338</v>
      </c>
      <c r="Q20" s="1">
        <f>(Main_M[[#This Row],[ROE]]-VLOOKUP(Main_M[[#This Row],[Industry]], Mean_ROE_M, 2, FALSE))/(VLOOKUP(Main_M[[#This Row],[Industry]], Mean_ROE_M, 3, FALSE))</f>
        <v>0.85918350444172031</v>
      </c>
      <c r="R20" s="1">
        <f>(Main_M[[#This Row],[ROA]]-VLOOKUP(Main_M[[#This Row],[Industry]], Mean_ROA_M, 2, FALSE))/(VLOOKUP(Main_M[[#This Row],[Industry]], Mean_ROA_M, 3, FALSE))</f>
        <v>-0.35782304463042119</v>
      </c>
      <c r="S20" s="1">
        <f>(Main_M[[#This Row],[A/E]]-VLOOKUP(Main_M[[#This Row],[Industry]], Mean_AE_M, 2, FALSE))/(VLOOKUP(Main_M[[#This Row],[Industry]], Mean_AE_M, 3, FALSE))</f>
        <v>2.1421152698899899</v>
      </c>
      <c r="T20" s="1">
        <f>(Main_M[[#This Row],[P/E]]-VLOOKUP(Main_M[[#This Row],[Industry]], Mean_PE_M, 2, FALSE))/(VLOOKUP(Main_M[[#This Row],[Industry]], Mean_PE_M, 3, FALSE))</f>
        <v>-0.94169395349934826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8" t="s">
        <v>105</v>
      </c>
      <c r="B21" s="68" t="s">
        <v>272</v>
      </c>
      <c r="C21" s="2">
        <v>5511</v>
      </c>
      <c r="D21">
        <f>RTD("tos.rtd", , "LAST", Main_M[[#This Row],[Symbol]])</f>
        <v>32.18</v>
      </c>
      <c r="E21">
        <v>4.2</v>
      </c>
      <c r="F21">
        <v>30.16</v>
      </c>
      <c r="G21">
        <v>2.85</v>
      </c>
      <c r="H21" s="1">
        <f>IF(ISNUMBER(Main_M[[#This Row],[Free CF]]),IF(Main_M[[#This Row],[Free CF]]&lt;&gt;0,Main_M[[#This Row],[Current Price]]/Main_M[[#This Row],[Free CF]],""),"")</f>
        <v>7.6619047619047613</v>
      </c>
      <c r="I21" s="1">
        <f>IF(ISNUMBER(Main_M[[#This Row],[BVPS]]),IF(Main_M[[#This Row],[BVPS]]&lt;&gt;0,Main_M[[#This Row],[Current Price]]/Main_M[[#This Row],[BVPS]],""),"")</f>
        <v>1.0669761273209548</v>
      </c>
      <c r="J21">
        <v>9.9</v>
      </c>
      <c r="K21">
        <v>1.1200000000000001</v>
      </c>
      <c r="L21">
        <v>8.6</v>
      </c>
      <c r="M21" s="1">
        <f>IF(ISNUMBER(Main_M[[#This Row],[EPS]]),IF(Main_M[[#This Row],[EPS]]&lt;&gt;0,Main_M[[#This Row],[Current Price]]/Main_M[[#This Row],[EPS]],""),"")</f>
        <v>11.291228070175437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-0.63261499198180482</v>
      </c>
      <c r="P21" s="1">
        <f>(Main_M[[#This Row],[P/B]]-VLOOKUP(Main_M[[#This Row],[Industry]], Mean_PB_M, 2, FALSE))/(VLOOKUP(Main_M[[#This Row],[Industry]], Mean_PB_M, 3, FALSE))</f>
        <v>-0.36855639996827572</v>
      </c>
      <c r="Q21" s="1">
        <f>(Main_M[[#This Row],[ROE]]-VLOOKUP(Main_M[[#This Row],[Industry]], Mean_ROE_M, 2, FALSE))/(VLOOKUP(Main_M[[#This Row],[Industry]], Mean_ROE_M, 3, FALSE))</f>
        <v>0.11116884528858005</v>
      </c>
      <c r="R21" s="1">
        <f>(Main_M[[#This Row],[ROA]]-VLOOKUP(Main_M[[#This Row],[Industry]], Mean_ROA_M, 2, FALSE))/(VLOOKUP(Main_M[[#This Row],[Industry]], Mean_ROA_M, 3, FALSE))</f>
        <v>3.3384677616074255E-3</v>
      </c>
      <c r="S21" s="1">
        <f>(Main_M[[#This Row],[A/E]]-VLOOKUP(Main_M[[#This Row],[Industry]], Mean_AE_M, 2, FALSE))/(VLOOKUP(Main_M[[#This Row],[Industry]], Mean_AE_M, 3, FALSE))</f>
        <v>-9.8575624554696997E-2</v>
      </c>
      <c r="T21" s="1">
        <f>(Main_M[[#This Row],[P/E]]-VLOOKUP(Main_M[[#This Row],[Industry]], Mean_PE_M, 2, FALSE))/(VLOOKUP(Main_M[[#This Row],[Industry]], Mean_PE_M, 3, FALSE))</f>
        <v>-0.80007773098267299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8" t="s">
        <v>105</v>
      </c>
      <c r="B22" s="68" t="s">
        <v>273</v>
      </c>
      <c r="C22" s="2">
        <v>2932</v>
      </c>
      <c r="D22">
        <f>RTD("tos.rtd", , "LAST", Main_M[[#This Row],[Symbol]])</f>
        <v>45.18</v>
      </c>
      <c r="E22">
        <v>4.5199999999999996</v>
      </c>
      <c r="F22">
        <v>40.909999999999997</v>
      </c>
      <c r="G22">
        <v>3.95</v>
      </c>
      <c r="H22" s="1">
        <f>IF(ISNUMBER(Main_M[[#This Row],[Free CF]]),IF(Main_M[[#This Row],[Free CF]]&lt;&gt;0,Main_M[[#This Row],[Current Price]]/Main_M[[#This Row],[Free CF]],""),"")</f>
        <v>9.9955752212389388</v>
      </c>
      <c r="I22" s="1">
        <f>IF(ISNUMBER(Main_M[[#This Row],[BVPS]]),IF(Main_M[[#This Row],[BVPS]]&lt;&gt;0,Main_M[[#This Row],[Current Price]]/Main_M[[#This Row],[BVPS]],""),"")</f>
        <v>1.1043754583231484</v>
      </c>
      <c r="J22">
        <v>10.07</v>
      </c>
      <c r="K22">
        <v>1.22</v>
      </c>
      <c r="L22">
        <v>8.1</v>
      </c>
      <c r="M22" s="1">
        <f>IF(ISNUMBER(Main_M[[#This Row],[EPS]]),IF(Main_M[[#This Row],[EPS]]&lt;&gt;0,Main_M[[#This Row],[Current Price]]/Main_M[[#This Row],[EPS]],""),"")</f>
        <v>11.437974683544303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-0.19486591875639134</v>
      </c>
      <c r="P22" s="1">
        <f>(Main_M[[#This Row],[P/B]]-VLOOKUP(Main_M[[#This Row],[Industry]], Mean_PB_M, 2, FALSE))/(VLOOKUP(Main_M[[#This Row],[Industry]], Mean_PB_M, 3, FALSE))</f>
        <v>-0.26313219395715964</v>
      </c>
      <c r="Q22" s="1">
        <f>(Main_M[[#This Row],[ROE]]-VLOOKUP(Main_M[[#This Row],[Industry]], Mean_ROE_M, 2, FALSE))/(VLOOKUP(Main_M[[#This Row],[Industry]], Mean_ROE_M, 3, FALSE))</f>
        <v>0.15933645591586559</v>
      </c>
      <c r="R22" s="1">
        <f>(Main_M[[#This Row],[ROA]]-VLOOKUP(Main_M[[#This Row],[Industry]], Mean_ROA_M, 2, FALSE))/(VLOOKUP(Main_M[[#This Row],[Industry]], Mean_ROA_M, 3, FALSE))</f>
        <v>0.21578641622750613</v>
      </c>
      <c r="S22" s="1">
        <f>(Main_M[[#This Row],[A/E]]-VLOOKUP(Main_M[[#This Row],[Industry]], Mean_AE_M, 2, FALSE))/(VLOOKUP(Main_M[[#This Row],[Industry]], Mean_AE_M, 3, FALSE))</f>
        <v>-0.36406032768795371</v>
      </c>
      <c r="T22" s="1">
        <f>(Main_M[[#This Row],[P/E]]-VLOOKUP(Main_M[[#This Row],[Industry]], Mean_PE_M, 2, FALSE))/(VLOOKUP(Main_M[[#This Row],[Industry]], Mean_PE_M, 3, FALSE))</f>
        <v>-0.76160699249325192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8" t="s">
        <v>105</v>
      </c>
      <c r="B23" s="68" t="s">
        <v>274</v>
      </c>
      <c r="C23" s="2">
        <v>8307</v>
      </c>
      <c r="D23">
        <f>RTD("tos.rtd", , "LAST", Main_M[[#This Row],[Symbol]])</f>
        <v>65.45</v>
      </c>
      <c r="E23">
        <v>3.95</v>
      </c>
      <c r="F23">
        <v>26.03</v>
      </c>
      <c r="G23">
        <v>4.04</v>
      </c>
      <c r="H23" s="1">
        <f>IF(ISNUMBER(Main_M[[#This Row],[Free CF]]),IF(Main_M[[#This Row],[Free CF]]&lt;&gt;0,Main_M[[#This Row],[Current Price]]/Main_M[[#This Row],[Free CF]],""),"")</f>
        <v>16.569620253164558</v>
      </c>
      <c r="I23" s="1">
        <f>IF(ISNUMBER(Main_M[[#This Row],[BVPS]]),IF(Main_M[[#This Row],[BVPS]]&lt;&gt;0,Main_M[[#This Row],[Current Price]]/Main_M[[#This Row],[BVPS]],""),"")</f>
        <v>2.514406454091433</v>
      </c>
      <c r="J23">
        <v>17.010000000000002</v>
      </c>
      <c r="K23">
        <v>1.75</v>
      </c>
      <c r="L23">
        <v>9.31</v>
      </c>
      <c r="M23" s="1">
        <f>IF(ISNUMBER(Main_M[[#This Row],[EPS]]),IF(Main_M[[#This Row],[EPS]]&lt;&gt;0,Main_M[[#This Row],[Current Price]]/Main_M[[#This Row],[EPS]],""),"")</f>
        <v>16.200495049504951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1.0382911058599451</v>
      </c>
      <c r="P23" s="1">
        <f>(Main_M[[#This Row],[P/B]]-VLOOKUP(Main_M[[#This Row],[Industry]], Mean_PB_M, 2, FALSE))/(VLOOKUP(Main_M[[#This Row],[Industry]], Mean_PB_M, 3, FALSE))</f>
        <v>3.7115752191571501</v>
      </c>
      <c r="Q23" s="1">
        <f>(Main_M[[#This Row],[ROE]]-VLOOKUP(Main_M[[#This Row],[Industry]], Mean_ROE_M, 2, FALSE))/(VLOOKUP(Main_M[[#This Row],[Industry]], Mean_ROE_M, 3, FALSE))</f>
        <v>2.1257083250532887</v>
      </c>
      <c r="R23" s="1">
        <f>(Main_M[[#This Row],[ROA]]-VLOOKUP(Main_M[[#This Row],[Industry]], Mean_ROA_M, 2, FALSE))/(VLOOKUP(Main_M[[#This Row],[Industry]], Mean_ROA_M, 3, FALSE))</f>
        <v>1.341760543096771</v>
      </c>
      <c r="S23" s="1">
        <f>(Main_M[[#This Row],[A/E]]-VLOOKUP(Main_M[[#This Row],[Industry]], Mean_AE_M, 2, FALSE))/(VLOOKUP(Main_M[[#This Row],[Industry]], Mean_AE_M, 3, FALSE))</f>
        <v>0.27841265389452796</v>
      </c>
      <c r="T23" s="1">
        <f>(Main_M[[#This Row],[P/E]]-VLOOKUP(Main_M[[#This Row],[Industry]], Mean_PE_M, 2, FALSE))/(VLOOKUP(Main_M[[#This Row],[Industry]], Mean_PE_M, 3, FALSE))</f>
        <v>0.48692386858273062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8" t="s">
        <v>105</v>
      </c>
      <c r="B24" s="68" t="s">
        <v>275</v>
      </c>
      <c r="C24" s="2">
        <v>2952</v>
      </c>
      <c r="D24">
        <f>RTD("tos.rtd", , "LAST", Main_M[[#This Row],[Symbol]])</f>
        <v>57.78</v>
      </c>
      <c r="E24">
        <v>4.2</v>
      </c>
      <c r="F24">
        <v>34.71</v>
      </c>
      <c r="G24">
        <v>3.61</v>
      </c>
      <c r="H24" s="1">
        <f>IF(ISNUMBER(Main_M[[#This Row],[Free CF]]),IF(Main_M[[#This Row],[Free CF]]&lt;&gt;0,Main_M[[#This Row],[Current Price]]/Main_M[[#This Row],[Free CF]],""),"")</f>
        <v>13.757142857142856</v>
      </c>
      <c r="I24" s="1">
        <f>IF(ISNUMBER(Main_M[[#This Row],[BVPS]]),IF(Main_M[[#This Row],[BVPS]]&lt;&gt;0,Main_M[[#This Row],[Current Price]]/Main_M[[#This Row],[BVPS]],""),"")</f>
        <v>1.6646499567847883</v>
      </c>
      <c r="J24">
        <v>10.96</v>
      </c>
      <c r="K24">
        <v>1.17</v>
      </c>
      <c r="L24">
        <v>9.14</v>
      </c>
      <c r="M24" s="1">
        <f>IF(ISNUMBER(Main_M[[#This Row],[EPS]]),IF(Main_M[[#This Row],[EPS]]&lt;&gt;0,Main_M[[#This Row],[Current Price]]/Main_M[[#This Row],[EPS]],""),"")</f>
        <v>16.005540166204987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0.51072759805979584</v>
      </c>
      <c r="P24" s="1">
        <f>(Main_M[[#This Row],[P/B]]-VLOOKUP(Main_M[[#This Row],[Industry]], Mean_PB_M, 2, FALSE))/(VLOOKUP(Main_M[[#This Row],[Industry]], Mean_PB_M, 3, FALSE))</f>
        <v>1.3162140821869293</v>
      </c>
      <c r="Q24" s="1">
        <f>(Main_M[[#This Row],[ROE]]-VLOOKUP(Main_M[[#This Row],[Industry]], Mean_ROE_M, 2, FALSE))/(VLOOKUP(Main_M[[#This Row],[Industry]], Mean_ROE_M, 3, FALSE))</f>
        <v>0.41150806449400784</v>
      </c>
      <c r="R24" s="1">
        <f>(Main_M[[#This Row],[ROA]]-VLOOKUP(Main_M[[#This Row],[Industry]], Mean_ROA_M, 2, FALSE))/(VLOOKUP(Main_M[[#This Row],[Industry]], Mean_ROA_M, 3, FALSE))</f>
        <v>0.10956244199455654</v>
      </c>
      <c r="S24" s="1">
        <f>(Main_M[[#This Row],[A/E]]-VLOOKUP(Main_M[[#This Row],[Industry]], Mean_AE_M, 2, FALSE))/(VLOOKUP(Main_M[[#This Row],[Industry]], Mean_AE_M, 3, FALSE))</f>
        <v>0.18814785482922072</v>
      </c>
      <c r="T24" s="1">
        <f>(Main_M[[#This Row],[P/E]]-VLOOKUP(Main_M[[#This Row],[Industry]], Mean_PE_M, 2, FALSE))/(VLOOKUP(Main_M[[#This Row],[Industry]], Mean_PE_M, 3, FALSE))</f>
        <v>0.43581496623405291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8" t="s">
        <v>105</v>
      </c>
      <c r="B25" s="68" t="s">
        <v>276</v>
      </c>
      <c r="C25" s="2">
        <v>7881</v>
      </c>
      <c r="D25">
        <f>RTD("tos.rtd", , "LAST", Main_M[[#This Row],[Symbol]])</f>
        <v>130.49</v>
      </c>
      <c r="E25">
        <v>1.06</v>
      </c>
      <c r="F25">
        <v>61.74</v>
      </c>
      <c r="G25">
        <v>9.11</v>
      </c>
      <c r="H25" s="1">
        <f>IF(ISNUMBER(Main_M[[#This Row],[Free CF]]),IF(Main_M[[#This Row],[Free CF]]&lt;&gt;0,Main_M[[#This Row],[Current Price]]/Main_M[[#This Row],[Free CF]],""),"")</f>
        <v>123.10377358490567</v>
      </c>
      <c r="I25" s="1">
        <f>IF(ISNUMBER(Main_M[[#This Row],[BVPS]]),IF(Main_M[[#This Row],[BVPS]]&lt;&gt;0,Main_M[[#This Row],[Current Price]]/Main_M[[#This Row],[BVPS]],""),"")</f>
        <v>2.113540654356981</v>
      </c>
      <c r="J25">
        <v>15.42</v>
      </c>
      <c r="K25">
        <v>1.18</v>
      </c>
      <c r="L25">
        <v>13.1</v>
      </c>
      <c r="M25" s="1">
        <f>IF(ISNUMBER(Main_M[[#This Row],[EPS]]),IF(Main_M[[#This Row],[EPS]]&lt;&gt;0,Main_M[[#This Row],[Current Price]]/Main_M[[#This Row],[EPS]],""),"")</f>
        <v>14.323819978046105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21.021929627439945</v>
      </c>
      <c r="P25" s="1">
        <f>(Main_M[[#This Row],[P/B]]-VLOOKUP(Main_M[[#This Row],[Industry]], Mean_PB_M, 2, FALSE))/(VLOOKUP(Main_M[[#This Row],[Industry]], Mean_PB_M, 3, FALSE))</f>
        <v>2.5815828497338331</v>
      </c>
      <c r="Q25" s="1">
        <f>(Main_M[[#This Row],[ROE]]-VLOOKUP(Main_M[[#This Row],[Industry]], Mean_ROE_M, 2, FALSE))/(VLOOKUP(Main_M[[#This Row],[Industry]], Mean_ROE_M, 3, FALSE))</f>
        <v>1.6751994962451466</v>
      </c>
      <c r="R25" s="1">
        <f>(Main_M[[#This Row],[ROA]]-VLOOKUP(Main_M[[#This Row],[Industry]], Mean_ROA_M, 2, FALSE))/(VLOOKUP(Main_M[[#This Row],[Industry]], Mean_ROA_M, 3, FALSE))</f>
        <v>0.13080723684114648</v>
      </c>
      <c r="S25" s="1">
        <f>(Main_M[[#This Row],[A/E]]-VLOOKUP(Main_M[[#This Row],[Industry]], Mean_AE_M, 2, FALSE))/(VLOOKUP(Main_M[[#This Row],[Industry]], Mean_AE_M, 3, FALSE))</f>
        <v>2.2907867036446135</v>
      </c>
      <c r="T25" s="1">
        <f>(Main_M[[#This Row],[P/E]]-VLOOKUP(Main_M[[#This Row],[Industry]], Mean_PE_M, 2, FALSE))/(VLOOKUP(Main_M[[#This Row],[Industry]], Mean_PE_M, 3, FALSE))</f>
        <v>-5.0607452102479434E-3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8" t="s">
        <v>105</v>
      </c>
      <c r="B26" s="68" t="s">
        <v>277</v>
      </c>
      <c r="C26" s="2">
        <v>4917</v>
      </c>
      <c r="D26">
        <f>RTD("tos.rtd", , "LAST", Main_M[[#This Row],[Symbol]])</f>
        <v>25.61</v>
      </c>
      <c r="E26">
        <v>2.99</v>
      </c>
      <c r="F26">
        <v>24.93</v>
      </c>
      <c r="G26">
        <v>2.37</v>
      </c>
      <c r="H26" s="1">
        <f>IF(ISNUMBER(Main_M[[#This Row],[Free CF]]),IF(Main_M[[#This Row],[Free CF]]&lt;&gt;0,Main_M[[#This Row],[Current Price]]/Main_M[[#This Row],[Free CF]],""),"")</f>
        <v>8.5652173913043477</v>
      </c>
      <c r="I26" s="1">
        <f>IF(ISNUMBER(Main_M[[#This Row],[BVPS]]),IF(Main_M[[#This Row],[BVPS]]&lt;&gt;0,Main_M[[#This Row],[Current Price]]/Main_M[[#This Row],[BVPS]],""),"")</f>
        <v>1.027276373846771</v>
      </c>
      <c r="J26">
        <v>9.73</v>
      </c>
      <c r="K26">
        <v>0.96</v>
      </c>
      <c r="L26">
        <v>9.84</v>
      </c>
      <c r="M26" s="1">
        <f>IF(ISNUMBER(Main_M[[#This Row],[EPS]]),IF(Main_M[[#This Row],[EPS]]&lt;&gt;0,Main_M[[#This Row],[Current Price]]/Main_M[[#This Row],[EPS]],""),"")</f>
        <v>10.805907172995781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-0.46317193082856067</v>
      </c>
      <c r="P26" s="1">
        <f>(Main_M[[#This Row],[P/B]]-VLOOKUP(Main_M[[#This Row],[Industry]], Mean_PB_M, 2, FALSE))/(VLOOKUP(Main_M[[#This Row],[Industry]], Mean_PB_M, 3, FALSE))</f>
        <v>-0.48046521963693223</v>
      </c>
      <c r="Q26" s="1">
        <f>(Main_M[[#This Row],[ROE]]-VLOOKUP(Main_M[[#This Row],[Industry]], Mean_ROE_M, 2, FALSE))/(VLOOKUP(Main_M[[#This Row],[Industry]], Mean_ROE_M, 3, FALSE))</f>
        <v>6.3001234661294508E-2</v>
      </c>
      <c r="R26" s="1">
        <f>(Main_M[[#This Row],[ROA]]-VLOOKUP(Main_M[[#This Row],[Industry]], Mean_ROA_M, 2, FALSE))/(VLOOKUP(Main_M[[#This Row],[Industry]], Mean_ROA_M, 3, FALSE))</f>
        <v>-0.33657824978383127</v>
      </c>
      <c r="S26" s="1">
        <f>(Main_M[[#This Row],[A/E]]-VLOOKUP(Main_M[[#This Row],[Industry]], Mean_AE_M, 2, FALSE))/(VLOOKUP(Main_M[[#This Row],[Industry]], Mean_AE_M, 3, FALSE))</f>
        <v>0.55982643921577968</v>
      </c>
      <c r="T26" s="1">
        <f>(Main_M[[#This Row],[P/E]]-VLOOKUP(Main_M[[#This Row],[Industry]], Mean_PE_M, 2, FALSE))/(VLOOKUP(Main_M[[#This Row],[Industry]], Mean_PE_M, 3, FALSE))</f>
        <v>-0.92730828772416862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8" t="s">
        <v>105</v>
      </c>
      <c r="B27" s="68" t="s">
        <v>278</v>
      </c>
      <c r="C27" s="2">
        <v>2620</v>
      </c>
      <c r="D27">
        <f>RTD("tos.rtd", , "LAST", Main_M[[#This Row],[Symbol]])</f>
        <v>20</v>
      </c>
      <c r="E27">
        <v>1.77</v>
      </c>
      <c r="F27">
        <v>16.02</v>
      </c>
      <c r="G27">
        <v>1.45</v>
      </c>
      <c r="H27" s="1">
        <f>IF(ISNUMBER(Main_M[[#This Row],[Free CF]]),IF(Main_M[[#This Row],[Free CF]]&lt;&gt;0,Main_M[[#This Row],[Current Price]]/Main_M[[#This Row],[Free CF]],""),"")</f>
        <v>11.299435028248588</v>
      </c>
      <c r="I27" s="1">
        <f>IF(ISNUMBER(Main_M[[#This Row],[BVPS]]),IF(Main_M[[#This Row],[BVPS]]&lt;&gt;0,Main_M[[#This Row],[Current Price]]/Main_M[[#This Row],[BVPS]],""),"")</f>
        <v>1.2484394506866416</v>
      </c>
      <c r="J27">
        <v>9.42</v>
      </c>
      <c r="K27">
        <v>1.28</v>
      </c>
      <c r="L27">
        <v>6.85</v>
      </c>
      <c r="M27" s="1">
        <f>IF(ISNUMBER(Main_M[[#This Row],[EPS]]),IF(Main_M[[#This Row],[EPS]]&lt;&gt;0,Main_M[[#This Row],[Current Price]]/Main_M[[#This Row],[EPS]],""),"")</f>
        <v>13.793103448275863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4.9711639249457408E-2</v>
      </c>
      <c r="P27" s="1">
        <f>(Main_M[[#This Row],[P/B]]-VLOOKUP(Main_M[[#This Row],[Industry]], Mean_PB_M, 2, FALSE))/(VLOOKUP(Main_M[[#This Row],[Industry]], Mean_PB_M, 3, FALSE))</f>
        <v>0.14296683516242373</v>
      </c>
      <c r="Q27" s="1">
        <f>(Main_M[[#This Row],[ROE]]-VLOOKUP(Main_M[[#This Row],[Industry]], Mean_ROE_M, 2, FALSE))/(VLOOKUP(Main_M[[#This Row],[Industry]], Mean_ROE_M, 3, FALSE))</f>
        <v>-2.4833820011991081E-2</v>
      </c>
      <c r="R27" s="1">
        <f>(Main_M[[#This Row],[ROA]]-VLOOKUP(Main_M[[#This Row],[Industry]], Mean_ROA_M, 2, FALSE))/(VLOOKUP(Main_M[[#This Row],[Industry]], Mean_ROA_M, 3, FALSE))</f>
        <v>0.34325518530704568</v>
      </c>
      <c r="S27" s="1">
        <f>(Main_M[[#This Row],[A/E]]-VLOOKUP(Main_M[[#This Row],[Industry]], Mean_AE_M, 2, FALSE))/(VLOOKUP(Main_M[[#This Row],[Industry]], Mean_AE_M, 3, FALSE))</f>
        <v>-1.0277720855210954</v>
      </c>
      <c r="T27" s="1">
        <f>(Main_M[[#This Row],[P/E]]-VLOOKUP(Main_M[[#This Row],[Industry]], Mean_PE_M, 2, FALSE))/(VLOOKUP(Main_M[[#This Row],[Industry]], Mean_PE_M, 3, FALSE))</f>
        <v>-0.14419211158449777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8" t="s">
        <v>105</v>
      </c>
      <c r="B28" s="68" t="s">
        <v>279</v>
      </c>
      <c r="C28" s="2">
        <v>2917</v>
      </c>
      <c r="D28">
        <f>RTD("tos.rtd", , "LAST", Main_M[[#This Row],[Symbol]])</f>
        <v>15.7</v>
      </c>
      <c r="E28">
        <v>1.49</v>
      </c>
      <c r="F28">
        <v>17.91</v>
      </c>
      <c r="G28">
        <v>-0.72</v>
      </c>
      <c r="H28" s="1">
        <f>IF(ISNUMBER(Main_M[[#This Row],[Free CF]]),IF(Main_M[[#This Row],[Free CF]]&lt;&gt;0,Main_M[[#This Row],[Current Price]]/Main_M[[#This Row],[Free CF]],""),"")</f>
        <v>10.536912751677852</v>
      </c>
      <c r="I28" s="1">
        <f>IF(ISNUMBER(Main_M[[#This Row],[BVPS]]),IF(Main_M[[#This Row],[BVPS]]&lt;&gt;0,Main_M[[#This Row],[Current Price]]/Main_M[[#This Row],[BVPS]],""),"")</f>
        <v>0.87660524846454491</v>
      </c>
      <c r="J28">
        <v>-4.18</v>
      </c>
      <c r="K28">
        <v>-0.59</v>
      </c>
      <c r="L28">
        <v>6.97</v>
      </c>
      <c r="M28" s="1">
        <f>IF(ISNUMBER(Main_M[[#This Row],[EPS]]),IF(Main_M[[#This Row],[EPS]]&lt;&gt;0,Main_M[[#This Row],[Current Price]]/Main_M[[#This Row],[EPS]],""),"")</f>
        <v>-21.805555555555557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-9.3322017686752606E-2</v>
      </c>
      <c r="P28" s="1">
        <f>(Main_M[[#This Row],[P/B]]-VLOOKUP(Main_M[[#This Row],[Industry]], Mean_PB_M, 2, FALSE))/(VLOOKUP(Main_M[[#This Row],[Industry]], Mean_PB_M, 3, FALSE))</f>
        <v>-0.90518896031803742</v>
      </c>
      <c r="Q28" s="1">
        <f>(Main_M[[#This Row],[ROE]]-VLOOKUP(Main_M[[#This Row],[Industry]], Mean_ROE_M, 2, FALSE))/(VLOOKUP(Main_M[[#This Row],[Industry]], Mean_ROE_M, 3, FALSE))</f>
        <v>-3.8782426701948363</v>
      </c>
      <c r="R28" s="1">
        <f>(Main_M[[#This Row],[ROA]]-VLOOKUP(Main_M[[#This Row],[Industry]], Mean_ROA_M, 2, FALSE))/(VLOOKUP(Main_M[[#This Row],[Industry]], Mean_ROA_M, 3, FALSE))</f>
        <v>-3.6295214510052656</v>
      </c>
      <c r="S28" s="1">
        <f>(Main_M[[#This Row],[A/E]]-VLOOKUP(Main_M[[#This Row],[Industry]], Mean_AE_M, 2, FALSE))/(VLOOKUP(Main_M[[#This Row],[Industry]], Mean_AE_M, 3, FALSE))</f>
        <v>-0.96405575676911381</v>
      </c>
      <c r="T28" s="1">
        <f>(Main_M[[#This Row],[P/E]]-VLOOKUP(Main_M[[#This Row],[Industry]], Mean_PE_M, 2, FALSE))/(VLOOKUP(Main_M[[#This Row],[Industry]], Mean_PE_M, 3, FALSE))</f>
        <v>-9.4766507603442509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9" spans="1:26" x14ac:dyDescent="0.25">
      <c r="A29" s="68" t="s">
        <v>105</v>
      </c>
      <c r="B29" s="68" t="s">
        <v>280</v>
      </c>
      <c r="C29" s="2">
        <v>2018</v>
      </c>
      <c r="D29">
        <f>RTD("tos.rtd", , "LAST", Main_M[[#This Row],[Symbol]])</f>
        <v>46.41</v>
      </c>
      <c r="E29">
        <v>2.83</v>
      </c>
      <c r="F29">
        <v>34.44</v>
      </c>
      <c r="G29">
        <v>2.73</v>
      </c>
      <c r="H29" s="1">
        <f>IF(ISNUMBER(Main_M[[#This Row],[Free CF]]),IF(Main_M[[#This Row],[Free CF]]&lt;&gt;0,Main_M[[#This Row],[Current Price]]/Main_M[[#This Row],[Free CF]],""),"")</f>
        <v>16.399293286219081</v>
      </c>
      <c r="I29" s="1">
        <f>IF(ISNUMBER(Main_M[[#This Row],[BVPS]]),IF(Main_M[[#This Row],[BVPS]]&lt;&gt;0,Main_M[[#This Row],[Current Price]]/Main_M[[#This Row],[BVPS]],""),"")</f>
        <v>1.3475609756097562</v>
      </c>
      <c r="J29">
        <v>8.27</v>
      </c>
      <c r="K29">
        <v>0.99</v>
      </c>
      <c r="L29">
        <v>8.1999999999999993</v>
      </c>
      <c r="M29" s="1">
        <f>IF(ISNUMBER(Main_M[[#This Row],[EPS]]),IF(Main_M[[#This Row],[EPS]]&lt;&gt;0,Main_M[[#This Row],[Current Price]]/Main_M[[#This Row],[EPS]],""),"")</f>
        <v>17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1.0063412340914386</v>
      </c>
      <c r="P29" s="1">
        <f>(Main_M[[#This Row],[P/B]]-VLOOKUP(Main_M[[#This Row],[Industry]], Mean_PB_M, 2, FALSE))/(VLOOKUP(Main_M[[#This Row],[Industry]], Mean_PB_M, 3, FALSE))</f>
        <v>0.42237846589500244</v>
      </c>
      <c r="Q29" s="1">
        <f>(Main_M[[#This Row],[ROE]]-VLOOKUP(Main_M[[#This Row],[Industry]], Mean_ROE_M, 2, FALSE))/(VLOOKUP(Main_M[[#This Row],[Industry]], Mean_ROE_M, 3, FALSE))</f>
        <v>-0.3506735389612759</v>
      </c>
      <c r="R29" s="1">
        <f>(Main_M[[#This Row],[ROA]]-VLOOKUP(Main_M[[#This Row],[Industry]], Mean_ROA_M, 2, FALSE))/(VLOOKUP(Main_M[[#This Row],[Industry]], Mean_ROA_M, 3, FALSE))</f>
        <v>-0.27284386524406151</v>
      </c>
      <c r="S29" s="1">
        <f>(Main_M[[#This Row],[A/E]]-VLOOKUP(Main_M[[#This Row],[Industry]], Mean_AE_M, 2, FALSE))/(VLOOKUP(Main_M[[#This Row],[Industry]], Mean_AE_M, 3, FALSE))</f>
        <v>-0.31096338706130255</v>
      </c>
      <c r="T29" s="1">
        <f>(Main_M[[#This Row],[P/E]]-VLOOKUP(Main_M[[#This Row],[Industry]], Mean_PE_M, 2, FALSE))/(VLOOKUP(Main_M[[#This Row],[Industry]], Mean_PE_M, 3, FALSE))</f>
        <v>0.6965201595320808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8" t="s">
        <v>105</v>
      </c>
      <c r="B30" s="68" t="s">
        <v>281</v>
      </c>
      <c r="C30" s="2">
        <v>3282</v>
      </c>
      <c r="D30">
        <f>RTD("tos.rtd", , "LAST", Main_M[[#This Row],[Symbol]])</f>
        <v>20.93</v>
      </c>
      <c r="E30">
        <v>2.4</v>
      </c>
      <c r="F30">
        <v>10.98</v>
      </c>
      <c r="G30">
        <v>1.84</v>
      </c>
      <c r="H30" s="1">
        <f>IF(ISNUMBER(Main_M[[#This Row],[Free CF]]),IF(Main_M[[#This Row],[Free CF]]&lt;&gt;0,Main_M[[#This Row],[Current Price]]/Main_M[[#This Row],[Free CF]],""),"")</f>
        <v>8.7208333333333332</v>
      </c>
      <c r="I30" s="1">
        <f>IF(ISNUMBER(Main_M[[#This Row],[BVPS]]),IF(Main_M[[#This Row],[BVPS]]&lt;&gt;0,Main_M[[#This Row],[Current Price]]/Main_M[[#This Row],[BVPS]],""),"")</f>
        <v>1.9061930783242258</v>
      </c>
      <c r="J30">
        <v>18.55</v>
      </c>
      <c r="K30">
        <v>1.59</v>
      </c>
      <c r="L30">
        <v>10.74</v>
      </c>
      <c r="M30" s="1">
        <f>IF(ISNUMBER(Main_M[[#This Row],[EPS]]),IF(Main_M[[#This Row],[EPS]]&lt;&gt;0,Main_M[[#This Row],[Current Price]]/Main_M[[#This Row],[EPS]],""),"")</f>
        <v>11.375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-0.43398154787203835</v>
      </c>
      <c r="P30" s="1">
        <f>(Main_M[[#This Row],[P/B]]-VLOOKUP(Main_M[[#This Row],[Industry]], Mean_PB_M, 2, FALSE))/(VLOOKUP(Main_M[[#This Row],[Industry]], Mean_PB_M, 3, FALSE))</f>
        <v>1.9970950264008276</v>
      </c>
      <c r="Q30" s="1">
        <f>(Main_M[[#This Row],[ROE]]-VLOOKUP(Main_M[[#This Row],[Industry]], Mean_ROE_M, 2, FALSE))/(VLOOKUP(Main_M[[#This Row],[Industry]], Mean_ROE_M, 3, FALSE))</f>
        <v>2.562050209559287</v>
      </c>
      <c r="R30" s="1">
        <f>(Main_M[[#This Row],[ROA]]-VLOOKUP(Main_M[[#This Row],[Industry]], Mean_ROA_M, 2, FALSE))/(VLOOKUP(Main_M[[#This Row],[Industry]], Mean_ROA_M, 3, FALSE))</f>
        <v>1.0018438255513327</v>
      </c>
      <c r="S30" s="1">
        <f>(Main_M[[#This Row],[A/E]]-VLOOKUP(Main_M[[#This Row],[Industry]], Mean_AE_M, 2, FALSE))/(VLOOKUP(Main_M[[#This Row],[Industry]], Mean_AE_M, 3, FALSE))</f>
        <v>1.037698904855642</v>
      </c>
      <c r="T30" s="1">
        <f>(Main_M[[#This Row],[P/E]]-VLOOKUP(Main_M[[#This Row],[Industry]], Mean_PE_M, 2, FALSE))/(VLOOKUP(Main_M[[#This Row],[Industry]], Mean_PE_M, 3, FALSE))</f>
        <v>-0.77811628375707964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8" t="s">
        <v>105</v>
      </c>
      <c r="B31" s="68" t="s">
        <v>282</v>
      </c>
      <c r="C31" s="2">
        <v>2276</v>
      </c>
      <c r="D31">
        <f>RTD("tos.rtd", , "LAST", Main_M[[#This Row],[Symbol]])</f>
        <v>25.19</v>
      </c>
      <c r="E31">
        <v>2.5499999999999998</v>
      </c>
      <c r="F31">
        <v>26.13</v>
      </c>
      <c r="G31">
        <v>2.41</v>
      </c>
      <c r="H31" s="1">
        <f>IF(ISNUMBER(Main_M[[#This Row],[Free CF]]),IF(Main_M[[#This Row],[Free CF]]&lt;&gt;0,Main_M[[#This Row],[Current Price]]/Main_M[[#This Row],[Free CF]],""),"")</f>
        <v>9.87843137254902</v>
      </c>
      <c r="I31" s="1">
        <f>IF(ISNUMBER(Main_M[[#This Row],[BVPS]]),IF(Main_M[[#This Row],[BVPS]]&lt;&gt;0,Main_M[[#This Row],[Current Price]]/Main_M[[#This Row],[BVPS]],""),"")</f>
        <v>0.96402602372751633</v>
      </c>
      <c r="J31">
        <v>9.58</v>
      </c>
      <c r="K31">
        <v>1.27</v>
      </c>
      <c r="L31">
        <v>7.38</v>
      </c>
      <c r="M31" s="1">
        <f>IF(ISNUMBER(Main_M[[#This Row],[EPS]]),IF(Main_M[[#This Row],[EPS]]&lt;&gt;0,Main_M[[#This Row],[Current Price]]/Main_M[[#This Row],[EPS]],""),"")</f>
        <v>10.452282157676349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-0.21683972015279787</v>
      </c>
      <c r="P31" s="1">
        <f>(Main_M[[#This Row],[P/B]]-VLOOKUP(Main_M[[#This Row],[Industry]], Mean_PB_M, 2, FALSE))/(VLOOKUP(Main_M[[#This Row],[Industry]], Mean_PB_M, 3, FALSE))</f>
        <v>-0.65876033247882793</v>
      </c>
      <c r="Q31" s="1">
        <f>(Main_M[[#This Row],[ROE]]-VLOOKUP(Main_M[[#This Row],[Industry]], Mean_ROE_M, 2, FALSE))/(VLOOKUP(Main_M[[#This Row],[Industry]], Mean_ROE_M, 3, FALSE))</f>
        <v>2.0500401754865963E-2</v>
      </c>
      <c r="R31" s="1">
        <f>(Main_M[[#This Row],[ROA]]-VLOOKUP(Main_M[[#This Row],[Industry]], Mean_ROA_M, 2, FALSE))/(VLOOKUP(Main_M[[#This Row],[Industry]], Mean_ROA_M, 3, FALSE))</f>
        <v>0.32201039046045576</v>
      </c>
      <c r="S31" s="1">
        <f>(Main_M[[#This Row],[A/E]]-VLOOKUP(Main_M[[#This Row],[Industry]], Mean_AE_M, 2, FALSE))/(VLOOKUP(Main_M[[#This Row],[Industry]], Mean_AE_M, 3, FALSE))</f>
        <v>-0.74635830019984317</v>
      </c>
      <c r="T31" s="1">
        <f>(Main_M[[#This Row],[P/E]]-VLOOKUP(Main_M[[#This Row],[Industry]], Mean_PE_M, 2, FALSE))/(VLOOKUP(Main_M[[#This Row],[Industry]], Mean_PE_M, 3, FALSE))</f>
        <v>-1.0200137694750526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8" t="s">
        <v>105</v>
      </c>
      <c r="B32" s="68" t="s">
        <v>283</v>
      </c>
      <c r="C32" s="2">
        <v>4864</v>
      </c>
      <c r="D32">
        <f>RTD("tos.rtd", , "LAST", Main_M[[#This Row],[Symbol]])</f>
        <v>35.93</v>
      </c>
      <c r="E32">
        <v>2.0499999999999998</v>
      </c>
      <c r="F32">
        <v>11.75</v>
      </c>
      <c r="G32">
        <v>1.62</v>
      </c>
      <c r="H32" s="1">
        <f>IF(ISNUMBER(Main_M[[#This Row],[Free CF]]),IF(Main_M[[#This Row],[Free CF]]&lt;&gt;0,Main_M[[#This Row],[Current Price]]/Main_M[[#This Row],[Free CF]],""),"")</f>
        <v>17.526829268292683</v>
      </c>
      <c r="I32" s="1">
        <f>IF(ISNUMBER(Main_M[[#This Row],[BVPS]]),IF(Main_M[[#This Row],[BVPS]]&lt;&gt;0,Main_M[[#This Row],[Current Price]]/Main_M[[#This Row],[BVPS]],""),"")</f>
        <v>3.0578723404255319</v>
      </c>
      <c r="J32">
        <v>14.6</v>
      </c>
      <c r="K32">
        <v>1.68</v>
      </c>
      <c r="L32">
        <v>8.52</v>
      </c>
      <c r="M32" s="1">
        <f>IF(ISNUMBER(Main_M[[#This Row],[EPS]]),IF(Main_M[[#This Row],[EPS]]&lt;&gt;0,Main_M[[#This Row],[Current Price]]/Main_M[[#This Row],[EPS]],""),"")</f>
        <v>22.179012345679009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1.2178440318437183</v>
      </c>
      <c r="P32" s="1">
        <f>(Main_M[[#This Row],[P/B]]-VLOOKUP(Main_M[[#This Row],[Industry]], Mean_PB_M, 2, FALSE))/(VLOOKUP(Main_M[[#This Row],[Industry]], Mean_PB_M, 3, FALSE))</f>
        <v>5.2435400438097428</v>
      </c>
      <c r="Q32" s="1">
        <f>(Main_M[[#This Row],[ROE]]-VLOOKUP(Main_M[[#This Row],[Industry]], Mean_ROE_M, 2, FALSE))/(VLOOKUP(Main_M[[#This Row],[Industry]], Mean_ROE_M, 3, FALSE))</f>
        <v>1.4428616096900044</v>
      </c>
      <c r="R32" s="1">
        <f>(Main_M[[#This Row],[ROA]]-VLOOKUP(Main_M[[#This Row],[Industry]], Mean_ROA_M, 2, FALSE))/(VLOOKUP(Main_M[[#This Row],[Industry]], Mean_ROA_M, 3, FALSE))</f>
        <v>1.1930469791706415</v>
      </c>
      <c r="S32" s="1">
        <f>(Main_M[[#This Row],[A/E]]-VLOOKUP(Main_M[[#This Row],[Industry]], Mean_AE_M, 2, FALSE))/(VLOOKUP(Main_M[[#This Row],[Industry]], Mean_AE_M, 3, FALSE))</f>
        <v>-0.14105317705601811</v>
      </c>
      <c r="T32" s="1">
        <f>(Main_M[[#This Row],[P/E]]-VLOOKUP(Main_M[[#This Row],[Industry]], Mean_PE_M, 2, FALSE))/(VLOOKUP(Main_M[[#This Row],[Industry]], Mean_PE_M, 3, FALSE))</f>
        <v>2.0542375542312357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8" t="s">
        <v>105</v>
      </c>
      <c r="B33" s="68" t="s">
        <v>284</v>
      </c>
      <c r="C33" s="2">
        <v>2892</v>
      </c>
      <c r="D33">
        <f>RTD("tos.rtd", , "LAST", Main_M[[#This Row],[Symbol]])</f>
        <v>24.54</v>
      </c>
      <c r="E33">
        <v>2.2599999999999998</v>
      </c>
      <c r="F33">
        <v>21.07</v>
      </c>
      <c r="G33">
        <v>1.84</v>
      </c>
      <c r="H33" s="1">
        <f>IF(ISNUMBER(Main_M[[#This Row],[Free CF]]),IF(Main_M[[#This Row],[Free CF]]&lt;&gt;0,Main_M[[#This Row],[Current Price]]/Main_M[[#This Row],[Free CF]],""),"")</f>
        <v>10.858407079646017</v>
      </c>
      <c r="I33" s="1">
        <f>IF(ISNUMBER(Main_M[[#This Row],[BVPS]]),IF(Main_M[[#This Row],[BVPS]]&lt;&gt;0,Main_M[[#This Row],[Current Price]]/Main_M[[#This Row],[BVPS]],""),"")</f>
        <v>1.16468913146654</v>
      </c>
      <c r="J33">
        <v>9.11</v>
      </c>
      <c r="K33">
        <v>0.98</v>
      </c>
      <c r="L33">
        <v>8.9600000000000009</v>
      </c>
      <c r="M33" s="1">
        <f>IF(ISNUMBER(Main_M[[#This Row],[EPS]]),IF(Main_M[[#This Row],[EPS]]&lt;&gt;0,Main_M[[#This Row],[Current Price]]/Main_M[[#This Row],[EPS]],""),"")</f>
        <v>13.336956521739129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-3.3016226201760888E-2</v>
      </c>
      <c r="P33" s="1">
        <f>(Main_M[[#This Row],[P/B]]-VLOOKUP(Main_M[[#This Row],[Industry]], Mean_PB_M, 2, FALSE))/(VLOOKUP(Main_M[[#This Row],[Industry]], Mean_PB_M, 3, FALSE))</f>
        <v>-9.3115219525636339E-2</v>
      </c>
      <c r="Q33" s="1">
        <f>(Main_M[[#This Row],[ROE]]-VLOOKUP(Main_M[[#This Row],[Industry]], Mean_ROE_M, 2, FALSE))/(VLOOKUP(Main_M[[#This Row],[Industry]], Mean_ROE_M, 3, FALSE))</f>
        <v>-0.11266887468527667</v>
      </c>
      <c r="R33" s="1">
        <f>(Main_M[[#This Row],[ROA]]-VLOOKUP(Main_M[[#This Row],[Industry]], Mean_ROA_M, 2, FALSE))/(VLOOKUP(Main_M[[#This Row],[Industry]], Mean_ROA_M, 3, FALSE))</f>
        <v>-0.29408866009065143</v>
      </c>
      <c r="S33" s="1">
        <f>(Main_M[[#This Row],[A/E]]-VLOOKUP(Main_M[[#This Row],[Industry]], Mean_AE_M, 2, FALSE))/(VLOOKUP(Main_M[[#This Row],[Industry]], Mean_AE_M, 3, FALSE))</f>
        <v>9.2573361701248469E-2</v>
      </c>
      <c r="T33" s="1">
        <f>(Main_M[[#This Row],[P/E]]-VLOOKUP(Main_M[[#This Row],[Industry]], Mean_PE_M, 2, FALSE))/(VLOOKUP(Main_M[[#This Row],[Industry]], Mean_PE_M, 3, FALSE))</f>
        <v>-0.26377449049390422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8" t="s">
        <v>105</v>
      </c>
      <c r="B34" s="68" t="s">
        <v>285</v>
      </c>
      <c r="C34" s="2">
        <v>9430</v>
      </c>
      <c r="D34">
        <f>RTD("tos.rtd", , "LAST", Main_M[[#This Row],[Symbol]])</f>
        <v>20.2</v>
      </c>
      <c r="E34">
        <v>2.21</v>
      </c>
      <c r="F34">
        <v>16.41</v>
      </c>
      <c r="G34">
        <v>1.44</v>
      </c>
      <c r="H34" s="1">
        <f>IF(ISNUMBER(Main_M[[#This Row],[Free CF]]),IF(Main_M[[#This Row],[Free CF]]&lt;&gt;0,Main_M[[#This Row],[Current Price]]/Main_M[[#This Row],[Free CF]],""),"")</f>
        <v>9.1402714932126692</v>
      </c>
      <c r="I34" s="1">
        <f>IF(ISNUMBER(Main_M[[#This Row],[BVPS]]),IF(Main_M[[#This Row],[BVPS]]&lt;&gt;0,Main_M[[#This Row],[Current Price]]/Main_M[[#This Row],[BVPS]],""),"")</f>
        <v>1.230956733698964</v>
      </c>
      <c r="J34">
        <v>8.99</v>
      </c>
      <c r="K34">
        <v>1</v>
      </c>
      <c r="L34">
        <v>9.7899999999999991</v>
      </c>
      <c r="M34" s="1">
        <f>IF(ISNUMBER(Main_M[[#This Row],[EPS]]),IF(Main_M[[#This Row],[EPS]]&lt;&gt;0,Main_M[[#This Row],[Current Price]]/Main_M[[#This Row],[EPS]],""),"")</f>
        <v>14.027777777777779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-0.35530348729662281</v>
      </c>
      <c r="P34" s="1">
        <f>(Main_M[[#This Row],[P/B]]-VLOOKUP(Main_M[[#This Row],[Industry]], Mean_PB_M, 2, FALSE))/(VLOOKUP(Main_M[[#This Row],[Industry]], Mean_PB_M, 3, FALSE))</f>
        <v>9.3685163326238635E-2</v>
      </c>
      <c r="Q34" s="1">
        <f>(Main_M[[#This Row],[ROE]]-VLOOKUP(Main_M[[#This Row],[Industry]], Mean_ROE_M, 2, FALSE))/(VLOOKUP(Main_M[[#This Row],[Industry]], Mean_ROE_M, 3, FALSE))</f>
        <v>-0.14666954101041921</v>
      </c>
      <c r="R34" s="1">
        <f>(Main_M[[#This Row],[ROA]]-VLOOKUP(Main_M[[#This Row],[Industry]], Mean_ROA_M, 2, FALSE))/(VLOOKUP(Main_M[[#This Row],[Industry]], Mean_ROA_M, 3, FALSE))</f>
        <v>-0.25159907039747159</v>
      </c>
      <c r="S34" s="1">
        <f>(Main_M[[#This Row],[A/E]]-VLOOKUP(Main_M[[#This Row],[Industry]], Mean_AE_M, 2, FALSE))/(VLOOKUP(Main_M[[#This Row],[Industry]], Mean_AE_M, 3, FALSE))</f>
        <v>0.53327796890245371</v>
      </c>
      <c r="T34" s="1">
        <f>(Main_M[[#This Row],[P/E]]-VLOOKUP(Main_M[[#This Row],[Industry]], Mean_PE_M, 2, FALSE))/(VLOOKUP(Main_M[[#This Row],[Industry]], Mean_PE_M, 3, FALSE))</f>
        <v>-8.2670454946635857E-2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8" t="s">
        <v>105</v>
      </c>
      <c r="B35" s="68" t="s">
        <v>286</v>
      </c>
      <c r="C35" s="2">
        <v>2764</v>
      </c>
      <c r="D35">
        <f>RTD("tos.rtd", , "LAST", Main_M[[#This Row],[Symbol]])</f>
        <v>28.21</v>
      </c>
      <c r="E35">
        <v>3.22</v>
      </c>
      <c r="F35">
        <v>32.04</v>
      </c>
      <c r="G35">
        <v>2.11</v>
      </c>
      <c r="H35" s="1">
        <f>IF(ISNUMBER(Main_M[[#This Row],[Free CF]]),IF(Main_M[[#This Row],[Free CF]]&lt;&gt;0,Main_M[[#This Row],[Current Price]]/Main_M[[#This Row],[Free CF]],""),"")</f>
        <v>8.7608695652173907</v>
      </c>
      <c r="I35" s="1">
        <f>IF(ISNUMBER(Main_M[[#This Row],[BVPS]]),IF(Main_M[[#This Row],[BVPS]]&lt;&gt;0,Main_M[[#This Row],[Current Price]]/Main_M[[#This Row],[BVPS]],""),"")</f>
        <v>0.88046192259675415</v>
      </c>
      <c r="J35">
        <v>6.63</v>
      </c>
      <c r="K35">
        <v>0.75</v>
      </c>
      <c r="L35">
        <v>8.41</v>
      </c>
      <c r="M35" s="1">
        <f>IF(ISNUMBER(Main_M[[#This Row],[EPS]]),IF(Main_M[[#This Row],[EPS]]&lt;&gt;0,Main_M[[#This Row],[Current Price]]/Main_M[[#This Row],[EPS]],""),"")</f>
        <v>13.369668246445499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-0.42647156576098899</v>
      </c>
      <c r="P35" s="1">
        <f>(Main_M[[#This Row],[P/B]]-VLOOKUP(Main_M[[#This Row],[Industry]], Mean_PB_M, 2, FALSE))/(VLOOKUP(Main_M[[#This Row],[Industry]], Mean_PB_M, 3, FALSE))</f>
        <v>-0.89431746081961272</v>
      </c>
      <c r="Q35" s="1">
        <f>(Main_M[[#This Row],[ROE]]-VLOOKUP(Main_M[[#This Row],[Industry]], Mean_ROE_M, 2, FALSE))/(VLOOKUP(Main_M[[#This Row],[Industry]], Mean_ROE_M, 3, FALSE))</f>
        <v>-0.81534931207156014</v>
      </c>
      <c r="R35" s="1">
        <f>(Main_M[[#This Row],[ROA]]-VLOOKUP(Main_M[[#This Row],[Industry]], Mean_ROA_M, 2, FALSE))/(VLOOKUP(Main_M[[#This Row],[Industry]], Mean_ROA_M, 3, FALSE))</f>
        <v>-0.78271894156221911</v>
      </c>
      <c r="S35" s="1">
        <f>(Main_M[[#This Row],[A/E]]-VLOOKUP(Main_M[[#This Row],[Industry]], Mean_AE_M, 2, FALSE))/(VLOOKUP(Main_M[[#This Row],[Industry]], Mean_AE_M, 3, FALSE))</f>
        <v>-0.19945981174533428</v>
      </c>
      <c r="T35" s="1">
        <f>(Main_M[[#This Row],[P/E]]-VLOOKUP(Main_M[[#This Row],[Industry]], Mean_PE_M, 2, FALSE))/(VLOOKUP(Main_M[[#This Row],[Industry]], Mean_PE_M, 3, FALSE))</f>
        <v>-0.25519886358281868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8" t="s">
        <v>105</v>
      </c>
      <c r="B36" s="68" t="s">
        <v>287</v>
      </c>
      <c r="C36" s="2">
        <v>5006</v>
      </c>
      <c r="D36">
        <f>RTD("tos.rtd", , "LAST", Main_M[[#This Row],[Symbol]])</f>
        <v>12.44</v>
      </c>
      <c r="E36">
        <v>4.33</v>
      </c>
      <c r="F36">
        <v>18.43</v>
      </c>
      <c r="G36">
        <v>-2.4900000000000002</v>
      </c>
      <c r="H36" s="1">
        <f>IF(ISNUMBER(Main_M[[#This Row],[Free CF]]),IF(Main_M[[#This Row],[Free CF]]&lt;&gt;0,Main_M[[#This Row],[Current Price]]/Main_M[[#This Row],[Free CF]],""),"")</f>
        <v>2.8729792147806004</v>
      </c>
      <c r="I36" s="1">
        <f>IF(ISNUMBER(Main_M[[#This Row],[BVPS]]),IF(Main_M[[#This Row],[BVPS]]&lt;&gt;0,Main_M[[#This Row],[Current Price]]/Main_M[[#This Row],[BVPS]],""),"")</f>
        <v>0.67498643516006507</v>
      </c>
      <c r="J36">
        <v>-10.4</v>
      </c>
      <c r="K36">
        <v>-0.85</v>
      </c>
      <c r="L36">
        <v>12.76</v>
      </c>
      <c r="M36" s="1">
        <f>IF(ISNUMBER(Main_M[[#This Row],[EPS]]),IF(Main_M[[#This Row],[EPS]]&lt;&gt;0,Main_M[[#This Row],[Current Price]]/Main_M[[#This Row],[EPS]],""),"")</f>
        <v>-4.9959839357429709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-1.5309199397151787</v>
      </c>
      <c r="P36" s="1">
        <f>(Main_M[[#This Row],[P/B]]-VLOOKUP(Main_M[[#This Row],[Industry]], Mean_PB_M, 2, FALSE))/(VLOOKUP(Main_M[[#This Row],[Industry]], Mean_PB_M, 3, FALSE))</f>
        <v>-1.4735280920603009</v>
      </c>
      <c r="Q36" s="1">
        <f>(Main_M[[#This Row],[ROE]]-VLOOKUP(Main_M[[#This Row],[Industry]], Mean_ROE_M, 2, FALSE))/(VLOOKUP(Main_M[[#This Row],[Industry]], Mean_ROE_M, 3, FALSE))</f>
        <v>-5.6406105413814025</v>
      </c>
      <c r="R36" s="1">
        <f>(Main_M[[#This Row],[ROA]]-VLOOKUP(Main_M[[#This Row],[Industry]], Mean_ROA_M, 2, FALSE))/(VLOOKUP(Main_M[[#This Row],[Industry]], Mean_ROA_M, 3, FALSE))</f>
        <v>-4.1818861170166031</v>
      </c>
      <c r="S36" s="1">
        <f>(Main_M[[#This Row],[A/E]]-VLOOKUP(Main_M[[#This Row],[Industry]], Mean_AE_M, 2, FALSE))/(VLOOKUP(Main_M[[#This Row],[Industry]], Mean_AE_M, 3, FALSE))</f>
        <v>2.1102571055139987</v>
      </c>
      <c r="T36" s="1">
        <f>(Main_M[[#This Row],[P/E]]-VLOOKUP(Main_M[[#This Row],[Industry]], Mean_PE_M, 2, FALSE))/(VLOOKUP(Main_M[[#This Row],[Industry]], Mean_PE_M, 3, FALSE))</f>
        <v>-5.0698939769389462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7" spans="1:26" x14ac:dyDescent="0.25">
      <c r="A37" s="68" t="s">
        <v>105</v>
      </c>
      <c r="B37" s="68" t="s">
        <v>288</v>
      </c>
      <c r="C37" s="2">
        <v>4851</v>
      </c>
      <c r="D37">
        <f>RTD("tos.rtd", , "LAST", Main_M[[#This Row],[Symbol]])</f>
        <v>14.49</v>
      </c>
      <c r="E37">
        <v>1.39</v>
      </c>
      <c r="F37">
        <v>17.86</v>
      </c>
      <c r="G37">
        <v>1.27</v>
      </c>
      <c r="H37" s="1">
        <f>IF(ISNUMBER(Main_M[[#This Row],[Free CF]]),IF(Main_M[[#This Row],[Free CF]]&lt;&gt;0,Main_M[[#This Row],[Current Price]]/Main_M[[#This Row],[Free CF]],""),"")</f>
        <v>10.424460431654676</v>
      </c>
      <c r="I37" s="1">
        <f>IF(ISNUMBER(Main_M[[#This Row],[BVPS]]),IF(Main_M[[#This Row],[BVPS]]&lt;&gt;0,Main_M[[#This Row],[Current Price]]/Main_M[[#This Row],[BVPS]],""),"")</f>
        <v>0.81131019036954088</v>
      </c>
      <c r="J37">
        <v>7.39</v>
      </c>
      <c r="K37">
        <v>0.97</v>
      </c>
      <c r="L37">
        <v>7.64</v>
      </c>
      <c r="M37" s="1">
        <f>IF(ISNUMBER(Main_M[[#This Row],[EPS]]),IF(Main_M[[#This Row],[EPS]]&lt;&gt;0,Main_M[[#This Row],[Current Price]]/Main_M[[#This Row],[EPS]],""),"")</f>
        <v>11.409448818897637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-0.11441578380754298</v>
      </c>
      <c r="P37" s="1">
        <f>(Main_M[[#This Row],[P/B]]-VLOOKUP(Main_M[[#This Row],[Industry]], Mean_PB_M, 2, FALSE))/(VLOOKUP(Main_M[[#This Row],[Industry]], Mean_PB_M, 3, FALSE))</f>
        <v>-1.089247858476182</v>
      </c>
      <c r="Q37" s="1">
        <f>(Main_M[[#This Row],[ROE]]-VLOOKUP(Main_M[[#This Row],[Industry]], Mean_ROE_M, 2, FALSE))/(VLOOKUP(Main_M[[#This Row],[Industry]], Mean_ROE_M, 3, FALSE))</f>
        <v>-0.60001175867898937</v>
      </c>
      <c r="R37" s="1">
        <f>(Main_M[[#This Row],[ROA]]-VLOOKUP(Main_M[[#This Row],[Industry]], Mean_ROA_M, 2, FALSE))/(VLOOKUP(Main_M[[#This Row],[Industry]], Mean_ROA_M, 3, FALSE))</f>
        <v>-0.31533345493724135</v>
      </c>
      <c r="S37" s="1">
        <f>(Main_M[[#This Row],[A/E]]-VLOOKUP(Main_M[[#This Row],[Industry]], Mean_AE_M, 2, FALSE))/(VLOOKUP(Main_M[[#This Row],[Industry]], Mean_AE_M, 3, FALSE))</f>
        <v>-0.60830625457054988</v>
      </c>
      <c r="T37" s="1">
        <f>(Main_M[[#This Row],[P/E]]-VLOOKUP(Main_M[[#This Row],[Industry]], Mean_PE_M, 2, FALSE))/(VLOOKUP(Main_M[[#This Row],[Industry]], Mean_PE_M, 3, FALSE))</f>
        <v>-0.76908526441935099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8" t="s">
        <v>105</v>
      </c>
      <c r="B38" s="68" t="s">
        <v>289</v>
      </c>
      <c r="C38" s="2">
        <v>2167</v>
      </c>
      <c r="D38">
        <f>RTD("tos.rtd", , "LAST", Main_M[[#This Row],[Symbol]])</f>
        <v>39.340000000000003</v>
      </c>
      <c r="E38">
        <v>4.5999999999999996</v>
      </c>
      <c r="F38">
        <v>39.909999999999997</v>
      </c>
      <c r="G38">
        <v>3.55</v>
      </c>
      <c r="H38" s="1">
        <f>IF(ISNUMBER(Main_M[[#This Row],[Free CF]]),IF(Main_M[[#This Row],[Free CF]]&lt;&gt;0,Main_M[[#This Row],[Current Price]]/Main_M[[#This Row],[Free CF]],""),"")</f>
        <v>8.5521739130434788</v>
      </c>
      <c r="I38" s="1">
        <f>IF(ISNUMBER(Main_M[[#This Row],[BVPS]]),IF(Main_M[[#This Row],[BVPS]]&lt;&gt;0,Main_M[[#This Row],[Current Price]]/Main_M[[#This Row],[BVPS]],""),"")</f>
        <v>0.98571786519669269</v>
      </c>
      <c r="J38">
        <v>9.16</v>
      </c>
      <c r="K38">
        <v>1.1399999999999999</v>
      </c>
      <c r="L38">
        <v>7.99</v>
      </c>
      <c r="M38" s="1">
        <f>IF(ISNUMBER(Main_M[[#This Row],[EPS]]),IF(Main_M[[#This Row],[EPS]]&lt;&gt;0,Main_M[[#This Row],[Current Price]]/Main_M[[#This Row],[EPS]],""),"")</f>
        <v>11.081690140845073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-0.46561862183306535</v>
      </c>
      <c r="P38" s="1">
        <f>(Main_M[[#This Row],[P/B]]-VLOOKUP(Main_M[[#This Row],[Industry]], Mean_PB_M, 2, FALSE))/(VLOOKUP(Main_M[[#This Row],[Industry]], Mean_PB_M, 3, FALSE))</f>
        <v>-0.59761364609364132</v>
      </c>
      <c r="Q38" s="1">
        <f>(Main_M[[#This Row],[ROE]]-VLOOKUP(Main_M[[#This Row],[Industry]], Mean_ROE_M, 2, FALSE))/(VLOOKUP(Main_M[[#This Row],[Industry]], Mean_ROE_M, 3, FALSE))</f>
        <v>-9.8501930383133651E-2</v>
      </c>
      <c r="R38" s="1">
        <f>(Main_M[[#This Row],[ROA]]-VLOOKUP(Main_M[[#This Row],[Industry]], Mean_ROA_M, 2, FALSE))/(VLOOKUP(Main_M[[#This Row],[Industry]], Mean_ROA_M, 3, FALSE))</f>
        <v>4.582805745478679E-2</v>
      </c>
      <c r="S38" s="1">
        <f>(Main_M[[#This Row],[A/E]]-VLOOKUP(Main_M[[#This Row],[Industry]], Mean_AE_M, 2, FALSE))/(VLOOKUP(Main_M[[#This Row],[Industry]], Mean_AE_M, 3, FALSE))</f>
        <v>-0.42246696237726988</v>
      </c>
      <c r="T38" s="1">
        <f>(Main_M[[#This Row],[P/E]]-VLOOKUP(Main_M[[#This Row],[Industry]], Mean_PE_M, 2, FALSE))/(VLOOKUP(Main_M[[#This Row],[Industry]], Mean_PE_M, 3, FALSE))</f>
        <v>-0.85500968953234491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8" t="s">
        <v>105</v>
      </c>
      <c r="B39" s="68" t="s">
        <v>290</v>
      </c>
      <c r="C39" s="2">
        <v>3119</v>
      </c>
      <c r="D39">
        <f>RTD("tos.rtd", , "LAST", Main_M[[#This Row],[Symbol]])</f>
        <v>18.399999999999999</v>
      </c>
      <c r="E39">
        <v>2.13</v>
      </c>
      <c r="F39">
        <v>16.5</v>
      </c>
      <c r="G39">
        <v>1.57</v>
      </c>
      <c r="H39" s="1">
        <f>IF(ISNUMBER(Main_M[[#This Row],[Free CF]]),IF(Main_M[[#This Row],[Free CF]]&lt;&gt;0,Main_M[[#This Row],[Current Price]]/Main_M[[#This Row],[Free CF]],""),"")</f>
        <v>8.63849765258216</v>
      </c>
      <c r="I39" s="1">
        <f>IF(ISNUMBER(Main_M[[#This Row],[BVPS]]),IF(Main_M[[#This Row],[BVPS]]&lt;&gt;0,Main_M[[#This Row],[Current Price]]/Main_M[[#This Row],[BVPS]],""),"")</f>
        <v>1.115151515151515</v>
      </c>
      <c r="J39">
        <v>9.69</v>
      </c>
      <c r="K39">
        <v>0.97</v>
      </c>
      <c r="L39">
        <v>10.68</v>
      </c>
      <c r="M39" s="1">
        <f>IF(ISNUMBER(Main_M[[#This Row],[EPS]]),IF(Main_M[[#This Row],[EPS]]&lt;&gt;0,Main_M[[#This Row],[Current Price]]/Main_M[[#This Row],[EPS]],""),"")</f>
        <v>11.719745222929935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-0.44942604552938664</v>
      </c>
      <c r="P39" s="1">
        <f>(Main_M[[#This Row],[P/B]]-VLOOKUP(Main_M[[#This Row],[Industry]], Mean_PB_M, 2, FALSE))/(VLOOKUP(Main_M[[#This Row],[Industry]], Mean_PB_M, 3, FALSE))</f>
        <v>-0.23275578869486824</v>
      </c>
      <c r="Q39" s="1">
        <f>(Main_M[[#This Row],[ROE]]-VLOOKUP(Main_M[[#This Row],[Industry]], Mean_ROE_M, 2, FALSE))/(VLOOKUP(Main_M[[#This Row],[Industry]], Mean_ROE_M, 3, FALSE))</f>
        <v>5.1667679219579994E-2</v>
      </c>
      <c r="R39" s="1">
        <f>(Main_M[[#This Row],[ROA]]-VLOOKUP(Main_M[[#This Row],[Industry]], Mean_ROA_M, 2, FALSE))/(VLOOKUP(Main_M[[#This Row],[Industry]], Mean_ROA_M, 3, FALSE))</f>
        <v>-0.31533345493724135</v>
      </c>
      <c r="S39" s="1">
        <f>(Main_M[[#This Row],[A/E]]-VLOOKUP(Main_M[[#This Row],[Industry]], Mean_AE_M, 2, FALSE))/(VLOOKUP(Main_M[[#This Row],[Industry]], Mean_AE_M, 3, FALSE))</f>
        <v>1.005840740479651</v>
      </c>
      <c r="T39" s="1">
        <f>(Main_M[[#This Row],[P/E]]-VLOOKUP(Main_M[[#This Row],[Industry]], Mean_PE_M, 2, FALSE))/(VLOOKUP(Main_M[[#This Row],[Industry]], Mean_PE_M, 3, FALSE))</f>
        <v>-0.68773870697799899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8" t="s">
        <v>105</v>
      </c>
      <c r="B40" s="68" t="s">
        <v>291</v>
      </c>
      <c r="C40" s="2">
        <v>4671</v>
      </c>
      <c r="D40">
        <f>RTD("tos.rtd", , "LAST", Main_M[[#This Row],[Symbol]])</f>
        <v>44.03</v>
      </c>
      <c r="E40">
        <v>2.82</v>
      </c>
      <c r="F40">
        <v>28.96</v>
      </c>
      <c r="G40">
        <v>1.87</v>
      </c>
      <c r="H40" s="1">
        <f>IF(ISNUMBER(Main_M[[#This Row],[Free CF]]),IF(Main_M[[#This Row],[Free CF]]&lt;&gt;0,Main_M[[#This Row],[Current Price]]/Main_M[[#This Row],[Free CF]],""),"")</f>
        <v>15.613475177304966</v>
      </c>
      <c r="I40" s="1">
        <f>IF(ISNUMBER(Main_M[[#This Row],[BVPS]]),IF(Main_M[[#This Row],[BVPS]]&lt;&gt;0,Main_M[[#This Row],[Current Price]]/Main_M[[#This Row],[BVPS]],""),"")</f>
        <v>1.5203729281767955</v>
      </c>
      <c r="J40">
        <v>6.63</v>
      </c>
      <c r="K40">
        <v>0.76</v>
      </c>
      <c r="L40">
        <v>8.4700000000000006</v>
      </c>
      <c r="M40" s="1">
        <f>IF(ISNUMBER(Main_M[[#This Row],[EPS]]),IF(Main_M[[#This Row],[EPS]]&lt;&gt;0,Main_M[[#This Row],[Current Price]]/Main_M[[#This Row],[EPS]],""),"")</f>
        <v>23.545454545454543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0.85893775322505916</v>
      </c>
      <c r="P40" s="1">
        <f>(Main_M[[#This Row],[P/B]]-VLOOKUP(Main_M[[#This Row],[Industry]], Mean_PB_M, 2, FALSE))/(VLOOKUP(Main_M[[#This Row],[Industry]], Mean_PB_M, 3, FALSE))</f>
        <v>0.90951452957331214</v>
      </c>
      <c r="Q40" s="1">
        <f>(Main_M[[#This Row],[ROE]]-VLOOKUP(Main_M[[#This Row],[Industry]], Mean_ROE_M, 2, FALSE))/(VLOOKUP(Main_M[[#This Row],[Industry]], Mean_ROE_M, 3, FALSE))</f>
        <v>-0.81534931207156014</v>
      </c>
      <c r="R40" s="1">
        <f>(Main_M[[#This Row],[ROA]]-VLOOKUP(Main_M[[#This Row],[Industry]], Mean_ROA_M, 2, FALSE))/(VLOOKUP(Main_M[[#This Row],[Industry]], Mean_ROA_M, 3, FALSE))</f>
        <v>-0.76147414671562919</v>
      </c>
      <c r="S40" s="1">
        <f>(Main_M[[#This Row],[A/E]]-VLOOKUP(Main_M[[#This Row],[Industry]], Mean_AE_M, 2, FALSE))/(VLOOKUP(Main_M[[#This Row],[Industry]], Mean_AE_M, 3, FALSE))</f>
        <v>-0.16760164736934322</v>
      </c>
      <c r="T40" s="1">
        <f>(Main_M[[#This Row],[P/E]]-VLOOKUP(Main_M[[#This Row],[Industry]], Mean_PE_M, 2, FALSE))/(VLOOKUP(Main_M[[#This Row],[Industry]], Mean_PE_M, 3, FALSE))</f>
        <v>2.4124607480867399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8" t="s">
        <v>105</v>
      </c>
      <c r="B41" s="68" t="s">
        <v>292</v>
      </c>
      <c r="C41" s="2">
        <v>5572</v>
      </c>
      <c r="D41">
        <f>RTD("tos.rtd", , "LAST", Main_M[[#This Row],[Symbol]])</f>
        <v>29.62</v>
      </c>
      <c r="E41">
        <v>2.11</v>
      </c>
      <c r="F41">
        <v>20.399999999999999</v>
      </c>
      <c r="G41">
        <v>2.09</v>
      </c>
      <c r="H41" s="1">
        <f>IF(ISNUMBER(Main_M[[#This Row],[Free CF]]),IF(Main_M[[#This Row],[Free CF]]&lt;&gt;0,Main_M[[#This Row],[Current Price]]/Main_M[[#This Row],[Free CF]],""),"")</f>
        <v>14.037914691943129</v>
      </c>
      <c r="I41" s="1">
        <f>IF(ISNUMBER(Main_M[[#This Row],[BVPS]]),IF(Main_M[[#This Row],[BVPS]]&lt;&gt;0,Main_M[[#This Row],[Current Price]]/Main_M[[#This Row],[BVPS]],""),"")</f>
        <v>1.4519607843137257</v>
      </c>
      <c r="J41">
        <v>10.63</v>
      </c>
      <c r="K41">
        <v>1.82</v>
      </c>
      <c r="L41">
        <v>5.69</v>
      </c>
      <c r="M41" s="1">
        <f>IF(ISNUMBER(Main_M[[#This Row],[EPS]]),IF(Main_M[[#This Row],[EPS]]&lt;&gt;0,Main_M[[#This Row],[Current Price]]/Main_M[[#This Row],[EPS]],""),"")</f>
        <v>14.172248803827753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0.56339467878664595</v>
      </c>
      <c r="P41" s="1">
        <f>(Main_M[[#This Row],[P/B]]-VLOOKUP(Main_M[[#This Row],[Industry]], Mean_PB_M, 2, FALSE))/(VLOOKUP(Main_M[[#This Row],[Industry]], Mean_PB_M, 3, FALSE))</f>
        <v>0.71666894236590051</v>
      </c>
      <c r="Q41" s="1">
        <f>(Main_M[[#This Row],[ROE]]-VLOOKUP(Main_M[[#This Row],[Industry]], Mean_ROE_M, 2, FALSE))/(VLOOKUP(Main_M[[#This Row],[Industry]], Mean_ROE_M, 3, FALSE))</f>
        <v>0.31800623209986523</v>
      </c>
      <c r="R41" s="1">
        <f>(Main_M[[#This Row],[ROA]]-VLOOKUP(Main_M[[#This Row],[Industry]], Mean_ROA_M, 2, FALSE))/(VLOOKUP(Main_M[[#This Row],[Industry]], Mean_ROA_M, 3, FALSE))</f>
        <v>1.4904741070229004</v>
      </c>
      <c r="S41" s="1">
        <f>(Main_M[[#This Row],[A/E]]-VLOOKUP(Main_M[[#This Row],[Industry]], Mean_AE_M, 2, FALSE))/(VLOOKUP(Main_M[[#This Row],[Industry]], Mean_AE_M, 3, FALSE))</f>
        <v>-1.6436965967902506</v>
      </c>
      <c r="T41" s="1">
        <f>(Main_M[[#This Row],[P/E]]-VLOOKUP(Main_M[[#This Row],[Industry]], Mean_PE_M, 2, FALSE))/(VLOOKUP(Main_M[[#This Row],[Industry]], Mean_PE_M, 3, FALSE))</f>
        <v>-4.4796278944383545E-2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8" t="s">
        <v>105</v>
      </c>
      <c r="B42" s="68" t="s">
        <v>293</v>
      </c>
      <c r="C42" s="2">
        <v>4628</v>
      </c>
      <c r="D42">
        <f>RTD("tos.rtd", , "LAST", Main_M[[#This Row],[Symbol]])</f>
        <v>58.03</v>
      </c>
      <c r="E42">
        <v>7.13</v>
      </c>
      <c r="F42">
        <v>48.62</v>
      </c>
      <c r="G42">
        <v>5.42</v>
      </c>
      <c r="H42" s="1">
        <f>IF(ISNUMBER(Main_M[[#This Row],[Free CF]]),IF(Main_M[[#This Row],[Free CF]]&lt;&gt;0,Main_M[[#This Row],[Current Price]]/Main_M[[#This Row],[Free CF]],""),"")</f>
        <v>8.1388499298737731</v>
      </c>
      <c r="I42" s="1">
        <f>IF(ISNUMBER(Main_M[[#This Row],[BVPS]]),IF(Main_M[[#This Row],[BVPS]]&lt;&gt;0,Main_M[[#This Row],[Current Price]]/Main_M[[#This Row],[BVPS]],""),"")</f>
        <v>1.1935417523652818</v>
      </c>
      <c r="J42">
        <v>11.74</v>
      </c>
      <c r="K42">
        <v>1.36</v>
      </c>
      <c r="L42">
        <v>8.2100000000000009</v>
      </c>
      <c r="M42" s="1">
        <f>IF(ISNUMBER(Main_M[[#This Row],[EPS]]),IF(Main_M[[#This Row],[EPS]]&lt;&gt;0,Main_M[[#This Row],[Current Price]]/Main_M[[#This Row],[EPS]],""),"")</f>
        <v>10.706642066420665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-0.54314978731989982</v>
      </c>
      <c r="P42" s="1">
        <f>(Main_M[[#This Row],[P/B]]-VLOOKUP(Main_M[[#This Row],[Industry]], Mean_PB_M, 2, FALSE))/(VLOOKUP(Main_M[[#This Row],[Industry]], Mean_PB_M, 3, FALSE))</f>
        <v>-1.1783159082865769E-2</v>
      </c>
      <c r="Q42" s="1">
        <f>(Main_M[[#This Row],[ROE]]-VLOOKUP(Main_M[[#This Row],[Industry]], Mean_ROE_M, 2, FALSE))/(VLOOKUP(Main_M[[#This Row],[Industry]], Mean_ROE_M, 3, FALSE))</f>
        <v>0.63251239560743555</v>
      </c>
      <c r="R42" s="1">
        <f>(Main_M[[#This Row],[ROA]]-VLOOKUP(Main_M[[#This Row],[Industry]], Mean_ROA_M, 2, FALSE))/(VLOOKUP(Main_M[[#This Row],[Industry]], Mean_ROA_M, 3, FALSE))</f>
        <v>0.51321354407976505</v>
      </c>
      <c r="S42" s="1">
        <f>(Main_M[[#This Row],[A/E]]-VLOOKUP(Main_M[[#This Row],[Industry]], Mean_AE_M, 2, FALSE))/(VLOOKUP(Main_M[[#This Row],[Industry]], Mean_AE_M, 3, FALSE))</f>
        <v>-0.30565369299863659</v>
      </c>
      <c r="T42" s="1">
        <f>(Main_M[[#This Row],[P/E]]-VLOOKUP(Main_M[[#This Row],[Industry]], Mean_PE_M, 2, FALSE))/(VLOOKUP(Main_M[[#This Row],[Industry]], Mean_PE_M, 3, FALSE))</f>
        <v>-0.95333138882686164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8" t="s">
        <v>105</v>
      </c>
      <c r="B43" s="68" t="s">
        <v>294</v>
      </c>
      <c r="C43" s="2">
        <v>3865</v>
      </c>
      <c r="D43">
        <f>RTD("tos.rtd", , "LAST", Main_M[[#This Row],[Symbol]])</f>
        <v>65.260000000000005</v>
      </c>
      <c r="E43">
        <v>7.46</v>
      </c>
      <c r="F43">
        <v>46.53</v>
      </c>
      <c r="G43">
        <v>6.57</v>
      </c>
      <c r="H43" s="1">
        <f>IF(ISNUMBER(Main_M[[#This Row],[Free CF]]),IF(Main_M[[#This Row],[Free CF]]&lt;&gt;0,Main_M[[#This Row],[Current Price]]/Main_M[[#This Row],[Free CF]],""),"")</f>
        <v>8.7479892761394105</v>
      </c>
      <c r="I43" s="1">
        <f>IF(ISNUMBER(Main_M[[#This Row],[BVPS]]),IF(Main_M[[#This Row],[BVPS]]&lt;&gt;0,Main_M[[#This Row],[Current Price]]/Main_M[[#This Row],[BVPS]],""),"")</f>
        <v>1.4025359982806791</v>
      </c>
      <c r="J43">
        <v>15.2</v>
      </c>
      <c r="K43">
        <v>2.58</v>
      </c>
      <c r="L43">
        <v>5.62</v>
      </c>
      <c r="M43" s="1">
        <f>IF(ISNUMBER(Main_M[[#This Row],[EPS]]),IF(Main_M[[#This Row],[EPS]]&lt;&gt;0,Main_M[[#This Row],[Current Price]]/Main_M[[#This Row],[EPS]],""),"")</f>
        <v>9.9330289193302903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-0.42888764579671518</v>
      </c>
      <c r="P43" s="1">
        <f>(Main_M[[#This Row],[P/B]]-VLOOKUP(Main_M[[#This Row],[Industry]], Mean_PB_M, 2, FALSE))/(VLOOKUP(Main_M[[#This Row],[Industry]], Mean_PB_M, 3, FALSE))</f>
        <v>0.57734642816109794</v>
      </c>
      <c r="Q43" s="1">
        <f>(Main_M[[#This Row],[ROE]]-VLOOKUP(Main_M[[#This Row],[Industry]], Mean_ROE_M, 2, FALSE))/(VLOOKUP(Main_M[[#This Row],[Industry]], Mean_ROE_M, 3, FALSE))</f>
        <v>1.6128649413157181</v>
      </c>
      <c r="R43" s="1">
        <f>(Main_M[[#This Row],[ROA]]-VLOOKUP(Main_M[[#This Row],[Industry]], Mean_ROA_M, 2, FALSE))/(VLOOKUP(Main_M[[#This Row],[Industry]], Mean_ROA_M, 3, FALSE))</f>
        <v>3.1050785153637328</v>
      </c>
      <c r="S43" s="1">
        <f>(Main_M[[#This Row],[A/E]]-VLOOKUP(Main_M[[#This Row],[Industry]], Mean_AE_M, 2, FALSE))/(VLOOKUP(Main_M[[#This Row],[Industry]], Mean_AE_M, 3, FALSE))</f>
        <v>-1.6808644552289067</v>
      </c>
      <c r="T43" s="1">
        <f>(Main_M[[#This Row],[P/E]]-VLOOKUP(Main_M[[#This Row],[Industry]], Mean_PE_M, 2, FALSE))/(VLOOKUP(Main_M[[#This Row],[Industry]], Mean_PE_M, 3, FALSE))</f>
        <v>-1.1561399469970099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s="68" t="s">
        <v>105</v>
      </c>
      <c r="B44" s="68" t="s">
        <v>295</v>
      </c>
      <c r="C44" s="2">
        <v>2589</v>
      </c>
      <c r="D44">
        <f>RTD("tos.rtd", , "LAST", Main_M[[#This Row],[Symbol]])</f>
        <v>65.209999999999994</v>
      </c>
      <c r="E44">
        <v>4.93</v>
      </c>
      <c r="F44">
        <v>71.19</v>
      </c>
      <c r="G44">
        <v>4.4400000000000004</v>
      </c>
      <c r="H44" s="1">
        <f>IF(ISNUMBER(Main_M[[#This Row],[Free CF]]),IF(Main_M[[#This Row],[Free CF]]&lt;&gt;0,Main_M[[#This Row],[Current Price]]/Main_M[[#This Row],[Free CF]],""),"")</f>
        <v>13.227180527383366</v>
      </c>
      <c r="I44" s="1">
        <f>IF(ISNUMBER(Main_M[[#This Row],[BVPS]]),IF(Main_M[[#This Row],[BVPS]]&lt;&gt;0,Main_M[[#This Row],[Current Price]]/Main_M[[#This Row],[BVPS]],""),"")</f>
        <v>0.91599943812333184</v>
      </c>
      <c r="J44">
        <v>6.38</v>
      </c>
      <c r="K44">
        <v>0.96</v>
      </c>
      <c r="L44">
        <v>6.56</v>
      </c>
      <c r="M44" s="1">
        <f>IF(ISNUMBER(Main_M[[#This Row],[EPS]]),IF(Main_M[[#This Row],[EPS]]&lt;&gt;0,Main_M[[#This Row],[Current Price]]/Main_M[[#This Row],[EPS]],""),"")</f>
        <v>14.686936936936934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0.41131745308037693</v>
      </c>
      <c r="P44" s="1">
        <f>(Main_M[[#This Row],[P/B]]-VLOOKUP(Main_M[[#This Row],[Industry]], Mean_PB_M, 2, FALSE))/(VLOOKUP(Main_M[[#This Row],[Industry]], Mean_PB_M, 3, FALSE))</f>
        <v>-0.79414148821257824</v>
      </c>
      <c r="Q44" s="1">
        <f>(Main_M[[#This Row],[ROE]]-VLOOKUP(Main_M[[#This Row],[Industry]], Mean_ROE_M, 2, FALSE))/(VLOOKUP(Main_M[[#This Row],[Industry]], Mean_ROE_M, 3, FALSE))</f>
        <v>-0.88618403358227416</v>
      </c>
      <c r="R44" s="1">
        <f>(Main_M[[#This Row],[ROA]]-VLOOKUP(Main_M[[#This Row],[Industry]], Mean_ROA_M, 2, FALSE))/(VLOOKUP(Main_M[[#This Row],[Industry]], Mean_ROA_M, 3, FALSE))</f>
        <v>-0.33657824978383127</v>
      </c>
      <c r="S44" s="1">
        <f>(Main_M[[#This Row],[A/E]]-VLOOKUP(Main_M[[#This Row],[Industry]], Mean_AE_M, 2, FALSE))/(VLOOKUP(Main_M[[#This Row],[Industry]], Mean_AE_M, 3, FALSE))</f>
        <v>-1.1817532133383843</v>
      </c>
      <c r="T44" s="1">
        <f>(Main_M[[#This Row],[P/E]]-VLOOKUP(Main_M[[#This Row],[Industry]], Mean_PE_M, 2, FALSE))/(VLOOKUP(Main_M[[#This Row],[Industry]], Mean_PE_M, 3, FALSE))</f>
        <v>9.0133121590951937E-2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8" t="s">
        <v>105</v>
      </c>
      <c r="B45" s="68" t="s">
        <v>296</v>
      </c>
      <c r="C45" s="2">
        <v>2016</v>
      </c>
      <c r="D45">
        <f>RTD("tos.rtd", , "LAST", Main_M[[#This Row],[Symbol]])</f>
        <v>44.8</v>
      </c>
      <c r="E45">
        <v>3.75</v>
      </c>
      <c r="F45">
        <v>33.24</v>
      </c>
      <c r="G45">
        <v>3.03</v>
      </c>
      <c r="H45" s="1">
        <f>IF(ISNUMBER(Main_M[[#This Row],[Free CF]]),IF(Main_M[[#This Row],[Free CF]]&lt;&gt;0,Main_M[[#This Row],[Current Price]]/Main_M[[#This Row],[Free CF]],""),"")</f>
        <v>11.946666666666665</v>
      </c>
      <c r="I45" s="1">
        <f>IF(ISNUMBER(Main_M[[#This Row],[BVPS]]),IF(Main_M[[#This Row],[BVPS]]&lt;&gt;0,Main_M[[#This Row],[Current Price]]/Main_M[[#This Row],[BVPS]],""),"")</f>
        <v>1.3477737665463296</v>
      </c>
      <c r="J45">
        <v>9.5500000000000007</v>
      </c>
      <c r="K45">
        <v>1.05</v>
      </c>
      <c r="L45">
        <v>8.85</v>
      </c>
      <c r="M45" s="1">
        <f>IF(ISNUMBER(Main_M[[#This Row],[EPS]]),IF(Main_M[[#This Row],[EPS]]&lt;&gt;0,Main_M[[#This Row],[Current Price]]/Main_M[[#This Row],[EPS]],""),"")</f>
        <v>14.785478547854785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0.17111911936150159</v>
      </c>
      <c r="P45" s="1">
        <f>(Main_M[[#This Row],[P/B]]-VLOOKUP(Main_M[[#This Row],[Industry]], Mean_PB_M, 2, FALSE))/(VLOOKUP(Main_M[[#This Row],[Industry]], Mean_PB_M, 3, FALSE))</f>
        <v>0.42297829789556152</v>
      </c>
      <c r="Q45" s="1">
        <f>(Main_M[[#This Row],[ROE]]-VLOOKUP(Main_M[[#This Row],[Industry]], Mean_ROE_M, 2, FALSE))/(VLOOKUP(Main_M[[#This Row],[Industry]], Mean_ROE_M, 3, FALSE))</f>
        <v>1.2000235173580457E-2</v>
      </c>
      <c r="R45" s="1">
        <f>(Main_M[[#This Row],[ROA]]-VLOOKUP(Main_M[[#This Row],[Industry]], Mean_ROA_M, 2, FALSE))/(VLOOKUP(Main_M[[#This Row],[Industry]], Mean_ROA_M, 3, FALSE))</f>
        <v>-0.14537509616452202</v>
      </c>
      <c r="S45" s="1">
        <f>(Main_M[[#This Row],[A/E]]-VLOOKUP(Main_M[[#This Row],[Industry]], Mean_AE_M, 2, FALSE))/(VLOOKUP(Main_M[[#This Row],[Industry]], Mean_AE_M, 3, FALSE))</f>
        <v>3.416672701193136E-2</v>
      </c>
      <c r="T45" s="1">
        <f>(Main_M[[#This Row],[P/E]]-VLOOKUP(Main_M[[#This Row],[Industry]], Mean_PE_M, 2, FALSE))/(VLOOKUP(Main_M[[#This Row],[Industry]], Mean_PE_M, 3, FALSE))</f>
        <v>0.11596655281582009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8" t="s">
        <v>105</v>
      </c>
      <c r="B46" s="68" t="s">
        <v>297</v>
      </c>
      <c r="C46" s="2">
        <v>7857</v>
      </c>
      <c r="D46">
        <f>RTD("tos.rtd", , "LAST", Main_M[[#This Row],[Symbol]])</f>
        <v>22.45</v>
      </c>
      <c r="E46">
        <v>1.85</v>
      </c>
      <c r="F46">
        <v>19.75</v>
      </c>
      <c r="G46">
        <v>1.72</v>
      </c>
      <c r="H46" s="1">
        <f>IF(ISNUMBER(Main_M[[#This Row],[Free CF]]),IF(Main_M[[#This Row],[Free CF]]&lt;&gt;0,Main_M[[#This Row],[Current Price]]/Main_M[[#This Row],[Free CF]],""),"")</f>
        <v>12.135135135135133</v>
      </c>
      <c r="I46" s="1">
        <f>IF(ISNUMBER(Main_M[[#This Row],[BVPS]]),IF(Main_M[[#This Row],[BVPS]]&lt;&gt;0,Main_M[[#This Row],[Current Price]]/Main_M[[#This Row],[BVPS]],""),"")</f>
        <v>1.1367088607594937</v>
      </c>
      <c r="J46">
        <v>9.2899999999999991</v>
      </c>
      <c r="K46">
        <v>1.0900000000000001</v>
      </c>
      <c r="L46">
        <v>8.5500000000000007</v>
      </c>
      <c r="M46" s="1">
        <f>IF(ISNUMBER(Main_M[[#This Row],[EPS]]),IF(Main_M[[#This Row],[EPS]]&lt;&gt;0,Main_M[[#This Row],[Current Price]]/Main_M[[#This Row],[EPS]],""),"")</f>
        <v>13.052325581395349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0.20647196752148714</v>
      </c>
      <c r="P46" s="1">
        <f>(Main_M[[#This Row],[P/B]]-VLOOKUP(Main_M[[#This Row],[Industry]], Mean_PB_M, 2, FALSE))/(VLOOKUP(Main_M[[#This Row],[Industry]], Mean_PB_M, 3, FALSE))</f>
        <v>-0.17198822993037918</v>
      </c>
      <c r="Q46" s="1">
        <f>(Main_M[[#This Row],[ROE]]-VLOOKUP(Main_M[[#This Row],[Industry]], Mean_ROE_M, 2, FALSE))/(VLOOKUP(Main_M[[#This Row],[Industry]], Mean_ROE_M, 3, FALSE))</f>
        <v>-6.1667875197562616E-2</v>
      </c>
      <c r="R46" s="1">
        <f>(Main_M[[#This Row],[ROA]]-VLOOKUP(Main_M[[#This Row],[Industry]], Mean_ROA_M, 2, FALSE))/(VLOOKUP(Main_M[[#This Row],[Industry]], Mean_ROA_M, 3, FALSE))</f>
        <v>-6.0395916778162334E-2</v>
      </c>
      <c r="S46" s="1">
        <f>(Main_M[[#This Row],[A/E]]-VLOOKUP(Main_M[[#This Row],[Industry]], Mean_AE_M, 2, FALSE))/(VLOOKUP(Main_M[[#This Row],[Industry]], Mean_AE_M, 3, FALSE))</f>
        <v>-0.12512409486802209</v>
      </c>
      <c r="T46" s="1">
        <f>(Main_M[[#This Row],[P/E]]-VLOOKUP(Main_M[[#This Row],[Industry]], Mean_PE_M, 2, FALSE))/(VLOOKUP(Main_M[[#This Row],[Industry]], Mean_PE_M, 3, FALSE))</f>
        <v>-0.33839265183054434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8" t="s">
        <v>105</v>
      </c>
      <c r="B47" s="68" t="s">
        <v>298</v>
      </c>
      <c r="C47" s="2">
        <v>4938</v>
      </c>
      <c r="D47">
        <f>RTD("tos.rtd", , "LAST", Main_M[[#This Row],[Symbol]])</f>
        <v>46.87</v>
      </c>
      <c r="E47">
        <v>6.36</v>
      </c>
      <c r="F47">
        <v>48.29</v>
      </c>
      <c r="G47">
        <v>6.1</v>
      </c>
      <c r="H47" s="1">
        <f>IF(ISNUMBER(Main_M[[#This Row],[Free CF]]),IF(Main_M[[#This Row],[Free CF]]&lt;&gt;0,Main_M[[#This Row],[Current Price]]/Main_M[[#This Row],[Free CF]],""),"")</f>
        <v>7.3694968553459113</v>
      </c>
      <c r="I47" s="1">
        <f>IF(ISNUMBER(Main_M[[#This Row],[BVPS]]),IF(Main_M[[#This Row],[BVPS]]&lt;&gt;0,Main_M[[#This Row],[Current Price]]/Main_M[[#This Row],[BVPS]],""),"")</f>
        <v>0.97059432594740114</v>
      </c>
      <c r="J47">
        <v>12.85</v>
      </c>
      <c r="K47">
        <v>1.9</v>
      </c>
      <c r="L47">
        <v>7.13</v>
      </c>
      <c r="M47" s="1">
        <f>IF(ISNUMBER(Main_M[[#This Row],[EPS]]),IF(Main_M[[#This Row],[EPS]]&lt;&gt;0,Main_M[[#This Row],[Current Price]]/Main_M[[#This Row],[EPS]],""),"")</f>
        <v>7.6836065573770496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-0.68746476290294856</v>
      </c>
      <c r="P47" s="1">
        <f>(Main_M[[#This Row],[P/B]]-VLOOKUP(Main_M[[#This Row],[Industry]], Mean_PB_M, 2, FALSE))/(VLOOKUP(Main_M[[#This Row],[Industry]], Mean_PB_M, 3, FALSE))</f>
        <v>-0.6402450802586267</v>
      </c>
      <c r="Q47" s="1">
        <f>(Main_M[[#This Row],[ROE]]-VLOOKUP(Main_M[[#This Row],[Industry]], Mean_ROE_M, 2, FALSE))/(VLOOKUP(Main_M[[#This Row],[Industry]], Mean_ROE_M, 3, FALSE))</f>
        <v>0.94701855911500588</v>
      </c>
      <c r="R47" s="1">
        <f>(Main_M[[#This Row],[ROA]]-VLOOKUP(Main_M[[#This Row],[Industry]], Mean_ROA_M, 2, FALSE))/(VLOOKUP(Main_M[[#This Row],[Industry]], Mean_ROA_M, 3, FALSE))</f>
        <v>1.6604324657956193</v>
      </c>
      <c r="S47" s="1">
        <f>(Main_M[[#This Row],[A/E]]-VLOOKUP(Main_M[[#This Row],[Industry]], Mean_AE_M, 2, FALSE))/(VLOOKUP(Main_M[[#This Row],[Industry]], Mean_AE_M, 3, FALSE))</f>
        <v>-0.87910065176647156</v>
      </c>
      <c r="T47" s="1">
        <f>(Main_M[[#This Row],[P/E]]-VLOOKUP(Main_M[[#This Row],[Industry]], Mean_PE_M, 2, FALSE))/(VLOOKUP(Main_M[[#This Row],[Industry]], Mean_PE_M, 3, FALSE))</f>
        <v>-1.7458430921144907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8" t="s">
        <v>105</v>
      </c>
      <c r="B48" s="68" t="s">
        <v>299</v>
      </c>
      <c r="C48" s="2">
        <v>6602</v>
      </c>
      <c r="D48">
        <f>RTD("tos.rtd", , "LAST", Main_M[[#This Row],[Symbol]])</f>
        <v>73.349999999999994</v>
      </c>
      <c r="E48">
        <v>4.75</v>
      </c>
      <c r="F48">
        <v>78.91</v>
      </c>
      <c r="G48">
        <v>5.23</v>
      </c>
      <c r="H48" s="1">
        <f>IF(ISNUMBER(Main_M[[#This Row],[Free CF]]),IF(Main_M[[#This Row],[Free CF]]&lt;&gt;0,Main_M[[#This Row],[Current Price]]/Main_M[[#This Row],[Free CF]],""),"")</f>
        <v>15.442105263157893</v>
      </c>
      <c r="I48" s="1">
        <f>IF(ISNUMBER(Main_M[[#This Row],[BVPS]]),IF(Main_M[[#This Row],[BVPS]]&lt;&gt;0,Main_M[[#This Row],[Current Price]]/Main_M[[#This Row],[BVPS]],""),"")</f>
        <v>0.92953998225826884</v>
      </c>
      <c r="J48">
        <v>6.83</v>
      </c>
      <c r="K48">
        <v>1.29</v>
      </c>
      <c r="L48">
        <v>5.16</v>
      </c>
      <c r="M48" s="1">
        <f>IF(ISNUMBER(Main_M[[#This Row],[EPS]]),IF(Main_M[[#This Row],[EPS]]&lt;&gt;0,Main_M[[#This Row],[Current Price]]/Main_M[[#This Row],[EPS]],""),"")</f>
        <v>14.024856596558315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0.82679224579210175</v>
      </c>
      <c r="P48" s="1">
        <f>(Main_M[[#This Row],[P/B]]-VLOOKUP(Main_M[[#This Row],[Industry]], Mean_PB_M, 2, FALSE))/(VLOOKUP(Main_M[[#This Row],[Industry]], Mean_PB_M, 3, FALSE))</f>
        <v>-0.7559723264620517</v>
      </c>
      <c r="Q48" s="1">
        <f>(Main_M[[#This Row],[ROE]]-VLOOKUP(Main_M[[#This Row],[Industry]], Mean_ROE_M, 2, FALSE))/(VLOOKUP(Main_M[[#This Row],[Industry]], Mean_ROE_M, 3, FALSE))</f>
        <v>-0.75868153486298884</v>
      </c>
      <c r="R48" s="1">
        <f>(Main_M[[#This Row],[ROA]]-VLOOKUP(Main_M[[#This Row],[Industry]], Mean_ROA_M, 2, FALSE))/(VLOOKUP(Main_M[[#This Row],[Industry]], Mean_ROA_M, 3, FALSE))</f>
        <v>0.36449998015363561</v>
      </c>
      <c r="S48" s="1">
        <f>(Main_M[[#This Row],[A/E]]-VLOOKUP(Main_M[[#This Row],[Industry]], Mean_AE_M, 2, FALSE))/(VLOOKUP(Main_M[[#This Row],[Industry]], Mean_AE_M, 3, FALSE))</f>
        <v>-1.9251103821115028</v>
      </c>
      <c r="T48" s="1">
        <f>(Main_M[[#This Row],[P/E]]-VLOOKUP(Main_M[[#This Row],[Industry]], Mean_PE_M, 2, FALSE))/(VLOOKUP(Main_M[[#This Row],[Industry]], Mean_PE_M, 3, FALSE))</f>
        <v>-8.3436264774844254E-2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s="68" t="s">
        <v>105</v>
      </c>
      <c r="B49" s="68" t="s">
        <v>300</v>
      </c>
      <c r="C49" s="2">
        <v>2195</v>
      </c>
      <c r="D49">
        <f>RTD("tos.rtd", , "LAST", Main_M[[#This Row],[Symbol]])</f>
        <v>17.98</v>
      </c>
      <c r="E49">
        <v>3.88</v>
      </c>
      <c r="F49">
        <v>20.350000000000001</v>
      </c>
      <c r="G49">
        <v>1.19</v>
      </c>
      <c r="H49" s="1">
        <f>IF(ISNUMBER(Main_M[[#This Row],[Free CF]]),IF(Main_M[[#This Row],[Free CF]]&lt;&gt;0,Main_M[[#This Row],[Current Price]]/Main_M[[#This Row],[Free CF]],""),"")</f>
        <v>4.6340206185567014</v>
      </c>
      <c r="I49" s="1">
        <f>IF(ISNUMBER(Main_M[[#This Row],[BVPS]]),IF(Main_M[[#This Row],[BVPS]]&lt;&gt;0,Main_M[[#This Row],[Current Price]]/Main_M[[#This Row],[BVPS]],""),"")</f>
        <v>0.8835380835380835</v>
      </c>
      <c r="J49">
        <v>6.77</v>
      </c>
      <c r="K49">
        <v>0.77</v>
      </c>
      <c r="L49">
        <v>9.11</v>
      </c>
      <c r="M49" s="1">
        <f>IF(ISNUMBER(Main_M[[#This Row],[EPS]]),IF(Main_M[[#This Row],[EPS]]&lt;&gt;0,Main_M[[#This Row],[Current Price]]/Main_M[[#This Row],[EPS]],""),"")</f>
        <v>15.109243697478993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-1.20058442069142</v>
      </c>
      <c r="P49" s="1">
        <f>(Main_M[[#This Row],[P/B]]-VLOOKUP(Main_M[[#This Row],[Industry]], Mean_PB_M, 2, FALSE))/(VLOOKUP(Main_M[[#This Row],[Industry]], Mean_PB_M, 3, FALSE))</f>
        <v>-0.88564613392387137</v>
      </c>
      <c r="Q49" s="1">
        <f>(Main_M[[#This Row],[ROE]]-VLOOKUP(Main_M[[#This Row],[Industry]], Mean_ROE_M, 2, FALSE))/(VLOOKUP(Main_M[[#This Row],[Industry]], Mean_ROE_M, 3, FALSE))</f>
        <v>-0.77568186802556027</v>
      </c>
      <c r="R49" s="1">
        <f>(Main_M[[#This Row],[ROA]]-VLOOKUP(Main_M[[#This Row],[Industry]], Mean_ROA_M, 2, FALSE))/(VLOOKUP(Main_M[[#This Row],[Industry]], Mean_ROA_M, 3, FALSE))</f>
        <v>-0.74022935186903926</v>
      </c>
      <c r="S49" s="1">
        <f>(Main_M[[#This Row],[A/E]]-VLOOKUP(Main_M[[#This Row],[Industry]], Mean_AE_M, 2, FALSE))/(VLOOKUP(Main_M[[#This Row],[Industry]], Mean_AE_M, 3, FALSE))</f>
        <v>0.17221877264122473</v>
      </c>
      <c r="T49" s="1">
        <f>(Main_M[[#This Row],[P/E]]-VLOOKUP(Main_M[[#This Row],[Industry]], Mean_PE_M, 2, FALSE))/(VLOOKUP(Main_M[[#This Row],[Industry]], Mean_PE_M, 3, FALSE))</f>
        <v>0.20084404414076676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8" t="s">
        <v>105</v>
      </c>
      <c r="B50" s="68" t="s">
        <v>301</v>
      </c>
      <c r="C50" s="2">
        <v>8118</v>
      </c>
      <c r="D50">
        <f>RTD("tos.rtd", , "LAST", Main_M[[#This Row],[Symbol]])</f>
        <v>111.51</v>
      </c>
      <c r="E50">
        <v>10.36</v>
      </c>
      <c r="F50">
        <v>82.27</v>
      </c>
      <c r="G50">
        <v>6.16</v>
      </c>
      <c r="H50" s="1">
        <f>IF(ISNUMBER(Main_M[[#This Row],[Free CF]]),IF(Main_M[[#This Row],[Free CF]]&lt;&gt;0,Main_M[[#This Row],[Current Price]]/Main_M[[#This Row],[Free CF]],""),"")</f>
        <v>10.763513513513514</v>
      </c>
      <c r="I50" s="1">
        <f>IF(ISNUMBER(Main_M[[#This Row],[BVPS]]),IF(Main_M[[#This Row],[BVPS]]&lt;&gt;0,Main_M[[#This Row],[Current Price]]/Main_M[[#This Row],[BVPS]],""),"")</f>
        <v>1.3554150966330376</v>
      </c>
      <c r="J50">
        <v>7.77</v>
      </c>
      <c r="K50">
        <v>0.95</v>
      </c>
      <c r="L50">
        <v>8.58</v>
      </c>
      <c r="M50" s="1">
        <f>IF(ISNUMBER(Main_M[[#This Row],[EPS]]),IF(Main_M[[#This Row],[EPS]]&lt;&gt;0,Main_M[[#This Row],[Current Price]]/Main_M[[#This Row],[EPS]],""),"")</f>
        <v>18.102272727272727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-5.0816327524297052E-2</v>
      </c>
      <c r="P50" s="1">
        <f>(Main_M[[#This Row],[P/B]]-VLOOKUP(Main_M[[#This Row],[Industry]], Mean_PB_M, 2, FALSE))/(VLOOKUP(Main_M[[#This Row],[Industry]], Mean_PB_M, 3, FALSE))</f>
        <v>0.44451828633045604</v>
      </c>
      <c r="Q50" s="1">
        <f>(Main_M[[#This Row],[ROE]]-VLOOKUP(Main_M[[#This Row],[Industry]], Mean_ROE_M, 2, FALSE))/(VLOOKUP(Main_M[[#This Row],[Industry]], Mean_ROE_M, 3, FALSE))</f>
        <v>-0.49234298198270404</v>
      </c>
      <c r="R50" s="1">
        <f>(Main_M[[#This Row],[ROA]]-VLOOKUP(Main_M[[#This Row],[Industry]], Mean_ROA_M, 2, FALSE))/(VLOOKUP(Main_M[[#This Row],[Industry]], Mean_ROA_M, 3, FALSE))</f>
        <v>-0.35782304463042119</v>
      </c>
      <c r="S50" s="1">
        <f>(Main_M[[#This Row],[A/E]]-VLOOKUP(Main_M[[#This Row],[Industry]], Mean_AE_M, 2, FALSE))/(VLOOKUP(Main_M[[#This Row],[Industry]], Mean_AE_M, 3, FALSE))</f>
        <v>-0.10919501268002703</v>
      </c>
      <c r="T50" s="1">
        <f>(Main_M[[#This Row],[P/E]]-VLOOKUP(Main_M[[#This Row],[Industry]], Mean_PE_M, 2, FALSE))/(VLOOKUP(Main_M[[#This Row],[Industry]], Mean_PE_M, 3, FALSE))</f>
        <v>0.98548932114632026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s="68" t="s">
        <v>105</v>
      </c>
      <c r="B51" s="68" t="s">
        <v>302</v>
      </c>
      <c r="C51" s="2">
        <v>2014</v>
      </c>
      <c r="D51">
        <f>RTD("tos.rtd", , "LAST", Main_M[[#This Row],[Symbol]])</f>
        <v>22.87</v>
      </c>
      <c r="E51">
        <v>1.98</v>
      </c>
      <c r="F51">
        <v>30.57</v>
      </c>
      <c r="G51">
        <v>1.53</v>
      </c>
      <c r="H51" s="1">
        <f>IF(ISNUMBER(Main_M[[#This Row],[Free CF]]),IF(Main_M[[#This Row],[Free CF]]&lt;&gt;0,Main_M[[#This Row],[Current Price]]/Main_M[[#This Row],[Free CF]],""),"")</f>
        <v>11.550505050505052</v>
      </c>
      <c r="I51" s="1">
        <f>IF(ISNUMBER(Main_M[[#This Row],[BVPS]]),IF(Main_M[[#This Row],[BVPS]]&lt;&gt;0,Main_M[[#This Row],[Current Price]]/Main_M[[#This Row],[BVPS]],""),"")</f>
        <v>0.74811907098462549</v>
      </c>
      <c r="J51">
        <v>5.04</v>
      </c>
      <c r="K51">
        <v>0.8</v>
      </c>
      <c r="L51">
        <v>6.1</v>
      </c>
      <c r="M51" s="1">
        <f>IF(ISNUMBER(Main_M[[#This Row],[EPS]]),IF(Main_M[[#This Row],[EPS]]&lt;&gt;0,Main_M[[#This Row],[Current Price]]/Main_M[[#This Row],[EPS]],""),"")</f>
        <v>14.947712418300654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9.6807264562728174E-2</v>
      </c>
      <c r="P51" s="1">
        <f>(Main_M[[#This Row],[P/B]]-VLOOKUP(Main_M[[#This Row],[Industry]], Mean_PB_M, 2, FALSE))/(VLOOKUP(Main_M[[#This Row],[Industry]], Mean_PB_M, 3, FALSE))</f>
        <v>-1.2673760070175988</v>
      </c>
      <c r="Q51" s="1">
        <f>(Main_M[[#This Row],[ROE]]-VLOOKUP(Main_M[[#This Row],[Industry]], Mean_ROE_M, 2, FALSE))/(VLOOKUP(Main_M[[#This Row],[Industry]], Mean_ROE_M, 3, FALSE))</f>
        <v>-1.2658581408797016</v>
      </c>
      <c r="R51" s="1">
        <f>(Main_M[[#This Row],[ROA]]-VLOOKUP(Main_M[[#This Row],[Industry]], Mean_ROA_M, 2, FALSE))/(VLOOKUP(Main_M[[#This Row],[Industry]], Mean_ROA_M, 3, FALSE))</f>
        <v>-0.6764949673292695</v>
      </c>
      <c r="S51" s="1">
        <f>(Main_M[[#This Row],[A/E]]-VLOOKUP(Main_M[[#This Row],[Industry]], Mean_AE_M, 2, FALSE))/(VLOOKUP(Main_M[[#This Row],[Industry]], Mean_AE_M, 3, FALSE))</f>
        <v>-1.4259991402209804</v>
      </c>
      <c r="T51" s="1">
        <f>(Main_M[[#This Row],[P/E]]-VLOOKUP(Main_M[[#This Row],[Industry]], Mean_PE_M, 2, FALSE))/(VLOOKUP(Main_M[[#This Row],[Industry]], Mean_PE_M, 3, FALSE))</f>
        <v>0.15849739329498994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s="68" t="s">
        <v>105</v>
      </c>
      <c r="B52" s="68" t="s">
        <v>303</v>
      </c>
      <c r="C52" s="2">
        <v>2552</v>
      </c>
      <c r="D52">
        <f>RTD("tos.rtd", , "LAST", Main_M[[#This Row],[Symbol]])</f>
        <v>168.68</v>
      </c>
      <c r="E52">
        <v>10.81</v>
      </c>
      <c r="F52">
        <v>79</v>
      </c>
      <c r="G52">
        <v>9.75</v>
      </c>
      <c r="H52" s="1">
        <f>IF(ISNUMBER(Main_M[[#This Row],[Free CF]]),IF(Main_M[[#This Row],[Free CF]]&lt;&gt;0,Main_M[[#This Row],[Current Price]]/Main_M[[#This Row],[Free CF]],""),"")</f>
        <v>15.604070305272895</v>
      </c>
      <c r="I52" s="1">
        <f>IF(ISNUMBER(Main_M[[#This Row],[BVPS]]),IF(Main_M[[#This Row],[BVPS]]&lt;&gt;0,Main_M[[#This Row],[Current Price]]/Main_M[[#This Row],[BVPS]],""),"")</f>
        <v>2.1351898734177217</v>
      </c>
      <c r="J52">
        <v>12.98</v>
      </c>
      <c r="K52">
        <v>1.6</v>
      </c>
      <c r="L52">
        <v>7.73</v>
      </c>
      <c r="M52" s="1">
        <f>IF(ISNUMBER(Main_M[[#This Row],[EPS]]),IF(Main_M[[#This Row],[EPS]]&lt;&gt;0,Main_M[[#This Row],[Current Price]]/Main_M[[#This Row],[EPS]],""),"")</f>
        <v>17.300512820512822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0.85717359068043952</v>
      </c>
      <c r="P52" s="1">
        <f>(Main_M[[#This Row],[P/B]]-VLOOKUP(Main_M[[#This Row],[Industry]], Mean_PB_M, 2, FALSE))/(VLOOKUP(Main_M[[#This Row],[Industry]], Mean_PB_M, 3, FALSE))</f>
        <v>2.6426093886873092</v>
      </c>
      <c r="Q52" s="1">
        <f>(Main_M[[#This Row],[ROE]]-VLOOKUP(Main_M[[#This Row],[Industry]], Mean_ROE_M, 2, FALSE))/(VLOOKUP(Main_M[[#This Row],[Industry]], Mean_ROE_M, 3, FALSE))</f>
        <v>0.98385261430057735</v>
      </c>
      <c r="R52" s="1">
        <f>(Main_M[[#This Row],[ROA]]-VLOOKUP(Main_M[[#This Row],[Industry]], Mean_ROA_M, 2, FALSE))/(VLOOKUP(Main_M[[#This Row],[Industry]], Mean_ROA_M, 3, FALSE))</f>
        <v>1.0230886203979226</v>
      </c>
      <c r="S52" s="1">
        <f>(Main_M[[#This Row],[A/E]]-VLOOKUP(Main_M[[#This Row],[Industry]], Mean_AE_M, 2, FALSE))/(VLOOKUP(Main_M[[#This Row],[Industry]], Mean_AE_M, 3, FALSE))</f>
        <v>-0.56051900800656318</v>
      </c>
      <c r="T52" s="1">
        <f>(Main_M[[#This Row],[P/E]]-VLOOKUP(Main_M[[#This Row],[Industry]], Mean_PE_M, 2, FALSE))/(VLOOKUP(Main_M[[#This Row],[Industry]], Mean_PE_M, 3, FALSE))</f>
        <v>0.7753018762972046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8" t="s">
        <v>105</v>
      </c>
      <c r="B53" s="68" t="s">
        <v>304</v>
      </c>
      <c r="C53" s="2">
        <v>3128</v>
      </c>
      <c r="D53">
        <f>RTD("tos.rtd", , "LAST", Main_M[[#This Row],[Symbol]])</f>
        <v>35.89</v>
      </c>
      <c r="E53">
        <v>1.95</v>
      </c>
      <c r="F53">
        <v>42.79</v>
      </c>
      <c r="G53">
        <v>3.2</v>
      </c>
      <c r="H53" s="1">
        <f>IF(ISNUMBER(Main_M[[#This Row],[Free CF]]),IF(Main_M[[#This Row],[Free CF]]&lt;&gt;0,Main_M[[#This Row],[Current Price]]/Main_M[[#This Row],[Free CF]],""),"")</f>
        <v>18.405128205128207</v>
      </c>
      <c r="I53" s="1">
        <f>IF(ISNUMBER(Main_M[[#This Row],[BVPS]]),IF(Main_M[[#This Row],[BVPS]]&lt;&gt;0,Main_M[[#This Row],[Current Price]]/Main_M[[#This Row],[BVPS]],""),"")</f>
        <v>0.83874737088104701</v>
      </c>
      <c r="J53">
        <v>7.83</v>
      </c>
      <c r="K53">
        <v>1.1100000000000001</v>
      </c>
      <c r="L53">
        <v>6.7</v>
      </c>
      <c r="M53" s="1">
        <f>IF(ISNUMBER(Main_M[[#This Row],[EPS]]),IF(Main_M[[#This Row],[EPS]]&lt;&gt;0,Main_M[[#This Row],[Current Price]]/Main_M[[#This Row],[EPS]],""),"")</f>
        <v>11.215624999999999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1.3825950334587069</v>
      </c>
      <c r="P53" s="1">
        <f>(Main_M[[#This Row],[P/B]]-VLOOKUP(Main_M[[#This Row],[Industry]], Mean_PB_M, 2, FALSE))/(VLOOKUP(Main_M[[#This Row],[Industry]], Mean_PB_M, 3, FALSE))</f>
        <v>-1.011905753869029</v>
      </c>
      <c r="Q53" s="1">
        <f>(Main_M[[#This Row],[ROE]]-VLOOKUP(Main_M[[#This Row],[Industry]], Mean_ROE_M, 2, FALSE))/(VLOOKUP(Main_M[[#This Row],[Industry]], Mean_ROE_M, 3, FALSE))</f>
        <v>-0.4753426488201325</v>
      </c>
      <c r="R53" s="1">
        <f>(Main_M[[#This Row],[ROA]]-VLOOKUP(Main_M[[#This Row],[Industry]], Mean_ROA_M, 2, FALSE))/(VLOOKUP(Main_M[[#This Row],[Industry]], Mean_ROA_M, 3, FALSE))</f>
        <v>-1.7906327084982493E-2</v>
      </c>
      <c r="S53" s="1">
        <f>(Main_M[[#This Row],[A/E]]-VLOOKUP(Main_M[[#This Row],[Industry]], Mean_AE_M, 2, FALSE))/(VLOOKUP(Main_M[[#This Row],[Industry]], Mean_AE_M, 3, FALSE))</f>
        <v>-1.1074174964610721</v>
      </c>
      <c r="T53" s="1">
        <f>(Main_M[[#This Row],[P/E]]-VLOOKUP(Main_M[[#This Row],[Industry]], Mean_PE_M, 2, FALSE))/(VLOOKUP(Main_M[[#This Row],[Industry]], Mean_PE_M, 3, FALSE))</f>
        <v>-0.81989764965027279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8" t="s">
        <v>105</v>
      </c>
      <c r="B54" s="68" t="s">
        <v>305</v>
      </c>
      <c r="C54" s="2">
        <v>2069</v>
      </c>
      <c r="D54">
        <f>RTD("tos.rtd", , "LAST", Main_M[[#This Row],[Symbol]])</f>
        <v>25.87</v>
      </c>
      <c r="E54">
        <v>2.08</v>
      </c>
      <c r="F54">
        <v>26.34</v>
      </c>
      <c r="G54">
        <v>1.48</v>
      </c>
      <c r="H54" s="1">
        <f>IF(ISNUMBER(Main_M[[#This Row],[Free CF]]),IF(Main_M[[#This Row],[Free CF]]&lt;&gt;0,Main_M[[#This Row],[Current Price]]/Main_M[[#This Row],[Free CF]],""),"")</f>
        <v>12.4375</v>
      </c>
      <c r="I54" s="1">
        <f>IF(ISNUMBER(Main_M[[#This Row],[BVPS]]),IF(Main_M[[#This Row],[BVPS]]&lt;&gt;0,Main_M[[#This Row],[Current Price]]/Main_M[[#This Row],[BVPS]],""),"")</f>
        <v>0.98215641609719062</v>
      </c>
      <c r="J54">
        <v>5.82</v>
      </c>
      <c r="K54">
        <v>0.83</v>
      </c>
      <c r="L54">
        <v>7.06</v>
      </c>
      <c r="M54" s="1">
        <f>IF(ISNUMBER(Main_M[[#This Row],[EPS]]),IF(Main_M[[#This Row],[EPS]]&lt;&gt;0,Main_M[[#This Row],[Current Price]]/Main_M[[#This Row],[EPS]],""),"")</f>
        <v>17.47972972972973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0.26318946113379715</v>
      </c>
      <c r="P54" s="1">
        <f>(Main_M[[#This Row],[P/B]]-VLOOKUP(Main_M[[#This Row],[Industry]], Mean_PB_M, 2, FALSE))/(VLOOKUP(Main_M[[#This Row],[Industry]], Mean_PB_M, 3, FALSE))</f>
        <v>-0.60765294181104301</v>
      </c>
      <c r="Q54" s="1">
        <f>(Main_M[[#This Row],[ROE]]-VLOOKUP(Main_M[[#This Row],[Industry]], Mean_ROE_M, 2, FALSE))/(VLOOKUP(Main_M[[#This Row],[Industry]], Mean_ROE_M, 3, FALSE))</f>
        <v>-1.0448538097662736</v>
      </c>
      <c r="R54" s="1">
        <f>(Main_M[[#This Row],[ROA]]-VLOOKUP(Main_M[[#This Row],[Industry]], Mean_ROA_M, 2, FALSE))/(VLOOKUP(Main_M[[#This Row],[Industry]], Mean_ROA_M, 3, FALSE))</f>
        <v>-0.61276058278949996</v>
      </c>
      <c r="S54" s="1">
        <f>(Main_M[[#This Row],[A/E]]-VLOOKUP(Main_M[[#This Row],[Industry]], Mean_AE_M, 2, FALSE))/(VLOOKUP(Main_M[[#This Row],[Industry]], Mean_AE_M, 3, FALSE))</f>
        <v>-0.91626851020512767</v>
      </c>
      <c r="T54" s="1">
        <f>(Main_M[[#This Row],[P/E]]-VLOOKUP(Main_M[[#This Row],[Industry]], Mean_PE_M, 2, FALSE))/(VLOOKUP(Main_M[[#This Row],[Industry]], Mean_PE_M, 3, FALSE))</f>
        <v>0.82228494929007534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8" t="s">
        <v>105</v>
      </c>
      <c r="B55" s="68" t="s">
        <v>306</v>
      </c>
      <c r="C55" s="2">
        <v>3976</v>
      </c>
      <c r="D55">
        <f>RTD("tos.rtd", , "LAST", Main_M[[#This Row],[Symbol]])</f>
        <v>78.349999999999994</v>
      </c>
      <c r="E55">
        <v>4.55</v>
      </c>
      <c r="F55">
        <v>30.56</v>
      </c>
      <c r="G55">
        <v>4.4000000000000004</v>
      </c>
      <c r="H55" s="1">
        <f>IF(ISNUMBER(Main_M[[#This Row],[Free CF]]),IF(Main_M[[#This Row],[Free CF]]&lt;&gt;0,Main_M[[#This Row],[Current Price]]/Main_M[[#This Row],[Free CF]],""),"")</f>
        <v>17.219780219780219</v>
      </c>
      <c r="I55" s="1">
        <f>IF(ISNUMBER(Main_M[[#This Row],[BVPS]]),IF(Main_M[[#This Row],[BVPS]]&lt;&gt;0,Main_M[[#This Row],[Current Price]]/Main_M[[#This Row],[BVPS]],""),"")</f>
        <v>2.56380890052356</v>
      </c>
      <c r="J55">
        <v>15.29</v>
      </c>
      <c r="K55">
        <v>1.4</v>
      </c>
      <c r="L55">
        <v>11.17</v>
      </c>
      <c r="M55" s="1">
        <f>IF(ISNUMBER(Main_M[[#This Row],[EPS]]),IF(Main_M[[#This Row],[EPS]]&lt;&gt;0,Main_M[[#This Row],[Current Price]]/Main_M[[#This Row],[EPS]],""),"")</f>
        <v>17.80681818181818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1.1602478807318664</v>
      </c>
      <c r="P55" s="1">
        <f>(Main_M[[#This Row],[P/B]]-VLOOKUP(Main_M[[#This Row],[Industry]], Mean_PB_M, 2, FALSE))/(VLOOKUP(Main_M[[#This Row],[Industry]], Mean_PB_M, 3, FALSE))</f>
        <v>3.8508347607197568</v>
      </c>
      <c r="Q55" s="1">
        <f>(Main_M[[#This Row],[ROE]]-VLOOKUP(Main_M[[#This Row],[Industry]], Mean_ROE_M, 2, FALSE))/(VLOOKUP(Main_M[[#This Row],[Industry]], Mean_ROE_M, 3, FALSE))</f>
        <v>1.6383654410595749</v>
      </c>
      <c r="R55" s="1">
        <f>(Main_M[[#This Row],[ROA]]-VLOOKUP(Main_M[[#This Row],[Industry]], Mean_ROA_M, 2, FALSE))/(VLOOKUP(Main_M[[#This Row],[Industry]], Mean_ROA_M, 3, FALSE))</f>
        <v>0.59819272346612418</v>
      </c>
      <c r="S55" s="1">
        <f>(Main_M[[#This Row],[A/E]]-VLOOKUP(Main_M[[#This Row],[Industry]], Mean_AE_M, 2, FALSE))/(VLOOKUP(Main_M[[#This Row],[Industry]], Mean_AE_M, 3, FALSE))</f>
        <v>1.2660157495502427</v>
      </c>
      <c r="T55" s="1">
        <f>(Main_M[[#This Row],[P/E]]-VLOOKUP(Main_M[[#This Row],[Industry]], Mean_PE_M, 2, FALSE))/(VLOOKUP(Main_M[[#This Row],[Industry]], Mean_PE_M, 3, FALSE))</f>
        <v>0.90803366957961651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s="68" t="s">
        <v>105</v>
      </c>
      <c r="B56" s="68" t="s">
        <v>307</v>
      </c>
      <c r="C56" s="2">
        <v>2396</v>
      </c>
      <c r="D56">
        <f>RTD("tos.rtd", , "LAST", Main_M[[#This Row],[Symbol]])</f>
        <v>20.260000000000002</v>
      </c>
      <c r="E56">
        <v>3.03</v>
      </c>
      <c r="F56">
        <v>28.04</v>
      </c>
      <c r="G56">
        <v>1.1599999999999999</v>
      </c>
      <c r="H56" s="1">
        <f>IF(ISNUMBER(Main_M[[#This Row],[Free CF]]),IF(Main_M[[#This Row],[Free CF]]&lt;&gt;0,Main_M[[#This Row],[Current Price]]/Main_M[[#This Row],[Free CF]],""),"")</f>
        <v>6.6864686468646877</v>
      </c>
      <c r="I56" s="1">
        <f>IF(ISNUMBER(Main_M[[#This Row],[BVPS]]),IF(Main_M[[#This Row],[BVPS]]&lt;&gt;0,Main_M[[#This Row],[Current Price]]/Main_M[[#This Row],[BVPS]],""),"")</f>
        <v>0.72253922967189732</v>
      </c>
      <c r="J56">
        <v>4.2</v>
      </c>
      <c r="K56">
        <v>0.54</v>
      </c>
      <c r="L56">
        <v>7.59</v>
      </c>
      <c r="M56" s="1">
        <f>IF(ISNUMBER(Main_M[[#This Row],[EPS]]),IF(Main_M[[#This Row],[EPS]]&lt;&gt;0,Main_M[[#This Row],[Current Price]]/Main_M[[#This Row],[EPS]],""),"")</f>
        <v>17.465517241379313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-0.81558695087235733</v>
      </c>
      <c r="P56" s="1">
        <f>(Main_M[[#This Row],[P/B]]-VLOOKUP(Main_M[[#This Row],[Industry]], Mean_PB_M, 2, FALSE))/(VLOOKUP(Main_M[[#This Row],[Industry]], Mean_PB_M, 3, FALSE))</f>
        <v>-1.3394824963055096</v>
      </c>
      <c r="Q56" s="1">
        <f>(Main_M[[#This Row],[ROE]]-VLOOKUP(Main_M[[#This Row],[Industry]], Mean_ROE_M, 2, FALSE))/(VLOOKUP(Main_M[[#This Row],[Industry]], Mean_ROE_M, 3, FALSE))</f>
        <v>-1.5038628051557008</v>
      </c>
      <c r="R56" s="1">
        <f>(Main_M[[#This Row],[ROA]]-VLOOKUP(Main_M[[#This Row],[Industry]], Mean_ROA_M, 2, FALSE))/(VLOOKUP(Main_M[[#This Row],[Industry]], Mean_ROA_M, 3, FALSE))</f>
        <v>-1.228859633340607</v>
      </c>
      <c r="S56" s="1">
        <f>(Main_M[[#This Row],[A/E]]-VLOOKUP(Main_M[[#This Row],[Industry]], Mean_AE_M, 2, FALSE))/(VLOOKUP(Main_M[[#This Row],[Industry]], Mean_AE_M, 3, FALSE))</f>
        <v>-0.6348547248838754</v>
      </c>
      <c r="T56" s="1">
        <f>(Main_M[[#This Row],[P/E]]-VLOOKUP(Main_M[[#This Row],[Industry]], Mean_PE_M, 2, FALSE))/(VLOOKUP(Main_M[[#This Row],[Industry]], Mean_PE_M, 3, FALSE))</f>
        <v>0.81855903759739146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s="68" t="s">
        <v>105</v>
      </c>
      <c r="B57" s="68" t="s">
        <v>308</v>
      </c>
      <c r="C57" s="2">
        <v>6244</v>
      </c>
      <c r="D57">
        <f>RTD("tos.rtd", , "LAST", Main_M[[#This Row],[Symbol]])</f>
        <v>49.55</v>
      </c>
      <c r="E57">
        <v>5.33</v>
      </c>
      <c r="F57">
        <v>34.86</v>
      </c>
      <c r="G57">
        <v>3.54</v>
      </c>
      <c r="H57" s="1">
        <f>IF(ISNUMBER(Main_M[[#This Row],[Free CF]]),IF(Main_M[[#This Row],[Free CF]]&lt;&gt;0,Main_M[[#This Row],[Current Price]]/Main_M[[#This Row],[Free CF]],""),"")</f>
        <v>9.2964352720450272</v>
      </c>
      <c r="I57" s="1">
        <f>IF(ISNUMBER(Main_M[[#This Row],[BVPS]]),IF(Main_M[[#This Row],[BVPS]]&lt;&gt;0,Main_M[[#This Row],[Current Price]]/Main_M[[#This Row],[BVPS]],""),"")</f>
        <v>1.4213998852553069</v>
      </c>
      <c r="J57">
        <v>10.53</v>
      </c>
      <c r="K57">
        <v>0.92</v>
      </c>
      <c r="L57">
        <v>12.43</v>
      </c>
      <c r="M57" s="1">
        <f>IF(ISNUMBER(Main_M[[#This Row],[EPS]]),IF(Main_M[[#This Row],[EPS]]&lt;&gt;0,Main_M[[#This Row],[Current Price]]/Main_M[[#This Row],[EPS]],""),"")</f>
        <v>13.997175141242938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-0.32601034130772977</v>
      </c>
      <c r="P57" s="1">
        <f>(Main_M[[#This Row],[P/B]]-VLOOKUP(Main_M[[#This Row],[Industry]], Mean_PB_M, 2, FALSE))/(VLOOKUP(Main_M[[#This Row],[Industry]], Mean_PB_M, 3, FALSE))</f>
        <v>0.63052145170542084</v>
      </c>
      <c r="Q57" s="1">
        <f>(Main_M[[#This Row],[ROE]]-VLOOKUP(Main_M[[#This Row],[Industry]], Mean_ROE_M, 2, FALSE))/(VLOOKUP(Main_M[[#This Row],[Industry]], Mean_ROE_M, 3, FALSE))</f>
        <v>0.28967234349557924</v>
      </c>
      <c r="R57" s="1">
        <f>(Main_M[[#This Row],[ROA]]-VLOOKUP(Main_M[[#This Row],[Industry]], Mean_ROA_M, 2, FALSE))/(VLOOKUP(Main_M[[#This Row],[Industry]], Mean_ROA_M, 3, FALSE))</f>
        <v>-0.42155742917019073</v>
      </c>
      <c r="S57" s="1">
        <f>(Main_M[[#This Row],[A/E]]-VLOOKUP(Main_M[[#This Row],[Industry]], Mean_AE_M, 2, FALSE))/(VLOOKUP(Main_M[[#This Row],[Industry]], Mean_AE_M, 3, FALSE))</f>
        <v>1.9350372014460493</v>
      </c>
      <c r="T57" s="1">
        <f>(Main_M[[#This Row],[P/E]]-VLOOKUP(Main_M[[#This Row],[Industry]], Mean_PE_M, 2, FALSE))/(VLOOKUP(Main_M[[#This Row],[Industry]], Mean_PE_M, 3, FALSE))</f>
        <v>-9.0693168385748507E-2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8" t="s">
        <v>105</v>
      </c>
      <c r="B58" s="68" t="s">
        <v>309</v>
      </c>
      <c r="C58" s="2">
        <v>8856</v>
      </c>
      <c r="D58">
        <f>RTD("tos.rtd", , "LAST", Main_M[[#This Row],[Symbol]])</f>
        <v>91.64</v>
      </c>
      <c r="E58">
        <v>0.78</v>
      </c>
      <c r="F58">
        <v>84.99</v>
      </c>
      <c r="G58">
        <v>6.12</v>
      </c>
      <c r="H58" s="1">
        <f>IF(ISNUMBER(Main_M[[#This Row],[Free CF]]),IF(Main_M[[#This Row],[Free CF]]&lt;&gt;0,Main_M[[#This Row],[Current Price]]/Main_M[[#This Row],[Free CF]],""),"")</f>
        <v>117.48717948717949</v>
      </c>
      <c r="I58" s="1">
        <f>IF(ISNUMBER(Main_M[[#This Row],[BVPS]]),IF(Main_M[[#This Row],[BVPS]]&lt;&gt;0,Main_M[[#This Row],[Current Price]]/Main_M[[#This Row],[BVPS]],""),"")</f>
        <v>1.078244499352865</v>
      </c>
      <c r="J58">
        <v>7.18</v>
      </c>
      <c r="K58">
        <v>0.92</v>
      </c>
      <c r="L58">
        <v>7.55</v>
      </c>
      <c r="M58" s="1">
        <f>IF(ISNUMBER(Main_M[[#This Row],[EPS]]),IF(Main_M[[#This Row],[EPS]]&lt;&gt;0,Main_M[[#This Row],[Current Price]]/Main_M[[#This Row],[EPS]],""),"")</f>
        <v>14.973856209150327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19.968370907900578</v>
      </c>
      <c r="P58" s="1">
        <f>(Main_M[[#This Row],[P/B]]-VLOOKUP(Main_M[[#This Row],[Industry]], Mean_PB_M, 2, FALSE))/(VLOOKUP(Main_M[[#This Row],[Industry]], Mean_PB_M, 3, FALSE))</f>
        <v>-0.33679221749045751</v>
      </c>
      <c r="Q58" s="1">
        <f>(Main_M[[#This Row],[ROE]]-VLOOKUP(Main_M[[#This Row],[Industry]], Mean_ROE_M, 2, FALSE))/(VLOOKUP(Main_M[[#This Row],[Industry]], Mean_ROE_M, 3, FALSE))</f>
        <v>-0.65951292474798917</v>
      </c>
      <c r="R58" s="1">
        <f>(Main_M[[#This Row],[ROA]]-VLOOKUP(Main_M[[#This Row],[Industry]], Mean_ROA_M, 2, FALSE))/(VLOOKUP(Main_M[[#This Row],[Industry]], Mean_ROA_M, 3, FALSE))</f>
        <v>-0.42155742917019073</v>
      </c>
      <c r="S58" s="1">
        <f>(Main_M[[#This Row],[A/E]]-VLOOKUP(Main_M[[#This Row],[Industry]], Mean_AE_M, 2, FALSE))/(VLOOKUP(Main_M[[#This Row],[Industry]], Mean_AE_M, 3, FALSE))</f>
        <v>-0.65609350113453602</v>
      </c>
      <c r="T58" s="1">
        <f>(Main_M[[#This Row],[P/E]]-VLOOKUP(Main_M[[#This Row],[Industry]], Mean_PE_M, 2, FALSE))/(VLOOKUP(Main_M[[#This Row],[Industry]], Mean_PE_M, 3, FALSE))</f>
        <v>0.1653511864954624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s="68" t="s">
        <v>105</v>
      </c>
      <c r="B59" s="68" t="s">
        <v>310</v>
      </c>
      <c r="C59" s="2">
        <v>2164</v>
      </c>
      <c r="D59">
        <f>RTD("tos.rtd", , "LAST", Main_M[[#This Row],[Symbol]])</f>
        <v>77.11</v>
      </c>
      <c r="E59">
        <v>4.54</v>
      </c>
      <c r="F59">
        <v>30.39</v>
      </c>
      <c r="G59">
        <v>4.1399999999999997</v>
      </c>
      <c r="H59" s="1">
        <f>IF(ISNUMBER(Main_M[[#This Row],[Free CF]]),IF(Main_M[[#This Row],[Free CF]]&lt;&gt;0,Main_M[[#This Row],[Current Price]]/Main_M[[#This Row],[Free CF]],""),"")</f>
        <v>16.984581497797357</v>
      </c>
      <c r="I59" s="1">
        <f>IF(ISNUMBER(Main_M[[#This Row],[BVPS]]),IF(Main_M[[#This Row],[BVPS]]&lt;&gt;0,Main_M[[#This Row],[Current Price]]/Main_M[[#This Row],[BVPS]],""),"")</f>
        <v>2.5373478117801906</v>
      </c>
      <c r="J59">
        <v>13.77</v>
      </c>
      <c r="K59">
        <v>1.42</v>
      </c>
      <c r="L59">
        <v>10.050000000000001</v>
      </c>
      <c r="M59" s="1">
        <f>IF(ISNUMBER(Main_M[[#This Row],[EPS]]),IF(Main_M[[#This Row],[EPS]]&lt;&gt;0,Main_M[[#This Row],[Current Price]]/Main_M[[#This Row],[EPS]],""),"")</f>
        <v>18.625603864734302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1.1161293882686356</v>
      </c>
      <c r="P59" s="1">
        <f>(Main_M[[#This Row],[P/B]]-VLOOKUP(Main_M[[#This Row],[Industry]], Mean_PB_M, 2, FALSE))/(VLOOKUP(Main_M[[#This Row],[Industry]], Mean_PB_M, 3, FALSE))</f>
        <v>3.7762441411496965</v>
      </c>
      <c r="Q59" s="1">
        <f>(Main_M[[#This Row],[ROE]]-VLOOKUP(Main_M[[#This Row],[Industry]], Mean_ROE_M, 2, FALSE))/(VLOOKUP(Main_M[[#This Row],[Industry]], Mean_ROE_M, 3, FALSE))</f>
        <v>1.2076903342744336</v>
      </c>
      <c r="R59" s="1">
        <f>(Main_M[[#This Row],[ROA]]-VLOOKUP(Main_M[[#This Row],[Industry]], Mean_ROA_M, 2, FALSE))/(VLOOKUP(Main_M[[#This Row],[Industry]], Mean_ROA_M, 3, FALSE))</f>
        <v>0.64068231315930402</v>
      </c>
      <c r="S59" s="1">
        <f>(Main_M[[#This Row],[A/E]]-VLOOKUP(Main_M[[#This Row],[Industry]], Mean_AE_M, 2, FALSE))/(VLOOKUP(Main_M[[#This Row],[Industry]], Mean_AE_M, 3, FALSE))</f>
        <v>0.67133001453174801</v>
      </c>
      <c r="T59" s="1">
        <f>(Main_M[[#This Row],[P/E]]-VLOOKUP(Main_M[[#This Row],[Industry]], Mean_PE_M, 2, FALSE))/(VLOOKUP(Main_M[[#This Row],[Industry]], Mean_PE_M, 3, FALSE))</f>
        <v>1.1226845508723304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s="68" t="s">
        <v>105</v>
      </c>
      <c r="B60" s="68" t="s">
        <v>311</v>
      </c>
      <c r="C60" s="2">
        <v>2459</v>
      </c>
      <c r="D60">
        <f>RTD("tos.rtd", , "LAST", Main_M[[#This Row],[Symbol]])</f>
        <v>54.66</v>
      </c>
      <c r="E60">
        <v>4.45</v>
      </c>
      <c r="F60">
        <v>17.66</v>
      </c>
      <c r="G60">
        <v>4.42</v>
      </c>
      <c r="H60" s="1">
        <f>IF(ISNUMBER(Main_M[[#This Row],[Free CF]]),IF(Main_M[[#This Row],[Free CF]]&lt;&gt;0,Main_M[[#This Row],[Current Price]]/Main_M[[#This Row],[Free CF]],""),"")</f>
        <v>12.283146067415728</v>
      </c>
      <c r="I60" s="1">
        <f>IF(ISNUMBER(Main_M[[#This Row],[BVPS]]),IF(Main_M[[#This Row],[BVPS]]&lt;&gt;0,Main_M[[#This Row],[Current Price]]/Main_M[[#This Row],[BVPS]],""),"")</f>
        <v>3.0951302378255945</v>
      </c>
      <c r="J60">
        <v>26.52</v>
      </c>
      <c r="K60">
        <v>2.52</v>
      </c>
      <c r="L60">
        <v>11.31</v>
      </c>
      <c r="M60" s="1">
        <f>IF(ISNUMBER(Main_M[[#This Row],[EPS]]),IF(Main_M[[#This Row],[EPS]]&lt;&gt;0,Main_M[[#This Row],[Current Price]]/Main_M[[#This Row],[EPS]],""),"")</f>
        <v>12.366515837104071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0.23423580545923339</v>
      </c>
      <c r="P60" s="1">
        <f>(Main_M[[#This Row],[P/B]]-VLOOKUP(Main_M[[#This Row],[Industry]], Mean_PB_M, 2, FALSE))/(VLOOKUP(Main_M[[#This Row],[Industry]], Mean_PB_M, 3, FALSE))</f>
        <v>5.3485655655447397</v>
      </c>
      <c r="Q60" s="1">
        <f>(Main_M[[#This Row],[ROE]]-VLOOKUP(Main_M[[#This Row],[Industry]], Mean_ROE_M, 2, FALSE))/(VLOOKUP(Main_M[[#This Row],[Industry]], Mean_ROE_M, 3, FALSE))</f>
        <v>4.8202611313208514</v>
      </c>
      <c r="R60" s="1">
        <f>(Main_M[[#This Row],[ROA]]-VLOOKUP(Main_M[[#This Row],[Industry]], Mean_ROA_M, 2, FALSE))/(VLOOKUP(Main_M[[#This Row],[Industry]], Mean_ROA_M, 3, FALSE))</f>
        <v>2.9776097462841933</v>
      </c>
      <c r="S60" s="1">
        <f>(Main_M[[#This Row],[A/E]]-VLOOKUP(Main_M[[#This Row],[Industry]], Mean_AE_M, 2, FALSE))/(VLOOKUP(Main_M[[#This Row],[Industry]], Mean_AE_M, 3, FALSE))</f>
        <v>1.3403514664275549</v>
      </c>
      <c r="T60" s="1">
        <f>(Main_M[[#This Row],[P/E]]-VLOOKUP(Main_M[[#This Row],[Industry]], Mean_PE_M, 2, FALSE))/(VLOOKUP(Main_M[[#This Row],[Industry]], Mean_PE_M, 3, FALSE))</f>
        <v>-0.51818288153627579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s="68" t="s">
        <v>105</v>
      </c>
      <c r="B61" s="68" t="s">
        <v>312</v>
      </c>
      <c r="C61" s="2">
        <v>3216</v>
      </c>
      <c r="D61">
        <f>RTD("tos.rtd", , "LAST", Main_M[[#This Row],[Symbol]])</f>
        <v>76.02</v>
      </c>
      <c r="E61">
        <v>6.94</v>
      </c>
      <c r="F61">
        <v>68</v>
      </c>
      <c r="G61">
        <v>1.74</v>
      </c>
      <c r="H61" s="1">
        <f>IF(ISNUMBER(Main_M[[#This Row],[Free CF]]),IF(Main_M[[#This Row],[Free CF]]&lt;&gt;0,Main_M[[#This Row],[Current Price]]/Main_M[[#This Row],[Free CF]],""),"")</f>
        <v>10.953890489913544</v>
      </c>
      <c r="I61" s="1">
        <f>IF(ISNUMBER(Main_M[[#This Row],[BVPS]]),IF(Main_M[[#This Row],[BVPS]]&lt;&gt;0,Main_M[[#This Row],[Current Price]]/Main_M[[#This Row],[BVPS]],""),"")</f>
        <v>1.1179411764705882</v>
      </c>
      <c r="J61">
        <v>2.98</v>
      </c>
      <c r="K61">
        <v>0.32</v>
      </c>
      <c r="L61">
        <v>10.02</v>
      </c>
      <c r="M61" s="1">
        <f>IF(ISNUMBER(Main_M[[#This Row],[EPS]]),IF(Main_M[[#This Row],[EPS]]&lt;&gt;0,Main_M[[#This Row],[Current Price]]/Main_M[[#This Row],[EPS]],""),"")</f>
        <v>43.689655172413794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-1.5105482126551153E-2</v>
      </c>
      <c r="P61" s="1">
        <f>(Main_M[[#This Row],[P/B]]-VLOOKUP(Main_M[[#This Row],[Industry]], Mean_PB_M, 2, FALSE))/(VLOOKUP(Main_M[[#This Row],[Industry]], Mean_PB_M, 3, FALSE))</f>
        <v>-0.22489206969984218</v>
      </c>
      <c r="Q61" s="1">
        <f>(Main_M[[#This Row],[ROE]]-VLOOKUP(Main_M[[#This Row],[Industry]], Mean_ROE_M, 2, FALSE))/(VLOOKUP(Main_M[[#This Row],[Industry]], Mean_ROE_M, 3, FALSE))</f>
        <v>-1.8495362461279854</v>
      </c>
      <c r="R61" s="1">
        <f>(Main_M[[#This Row],[ROA]]-VLOOKUP(Main_M[[#This Row],[Industry]], Mean_ROA_M, 2, FALSE))/(VLOOKUP(Main_M[[#This Row],[Industry]], Mean_ROA_M, 3, FALSE))</f>
        <v>-1.6962451199655846</v>
      </c>
      <c r="S61" s="1">
        <f>(Main_M[[#This Row],[A/E]]-VLOOKUP(Main_M[[#This Row],[Industry]], Mean_AE_M, 2, FALSE))/(VLOOKUP(Main_M[[#This Row],[Industry]], Mean_AE_M, 3, FALSE))</f>
        <v>0.65540093234375196</v>
      </c>
      <c r="T61" s="1">
        <f>(Main_M[[#This Row],[P/E]]-VLOOKUP(Main_M[[#This Row],[Industry]], Mean_PE_M, 2, FALSE))/(VLOOKUP(Main_M[[#This Row],[Industry]], Mean_PE_M, 3, FALSE))</f>
        <v>7.6934158352765118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2" spans="1:26" x14ac:dyDescent="0.25">
      <c r="A62" s="68" t="s">
        <v>105</v>
      </c>
      <c r="B62" s="68" t="s">
        <v>313</v>
      </c>
      <c r="C62" s="2">
        <v>3760</v>
      </c>
      <c r="D62">
        <f>RTD("tos.rtd", , "LAST", Main_M[[#This Row],[Symbol]])</f>
        <v>13.31</v>
      </c>
      <c r="E62">
        <v>0.34</v>
      </c>
      <c r="F62">
        <v>6.8</v>
      </c>
      <c r="G62">
        <v>0.28000000000000003</v>
      </c>
      <c r="H62" s="1">
        <f>IF(ISNUMBER(Main_M[[#This Row],[Free CF]]),IF(Main_M[[#This Row],[Free CF]]&lt;&gt;0,Main_M[[#This Row],[Current Price]]/Main_M[[#This Row],[Free CF]],""),"")</f>
        <v>39.147058823529413</v>
      </c>
      <c r="I62" s="1">
        <f>IF(ISNUMBER(Main_M[[#This Row],[BVPS]]),IF(Main_M[[#This Row],[BVPS]]&lt;&gt;0,Main_M[[#This Row],[Current Price]]/Main_M[[#This Row],[BVPS]],""),"")</f>
        <v>1.9573529411764707</v>
      </c>
      <c r="J62">
        <v>4.29</v>
      </c>
      <c r="K62">
        <v>0.48</v>
      </c>
      <c r="L62">
        <v>9.02</v>
      </c>
      <c r="M62" s="1">
        <f>IF(ISNUMBER(Main_M[[#This Row],[EPS]]),IF(Main_M[[#This Row],[EPS]]&lt;&gt;0,Main_M[[#This Row],[Current Price]]/Main_M[[#This Row],[EPS]],""),"")</f>
        <v>47.535714285714285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5.2733589880667253</v>
      </c>
      <c r="P62" s="1">
        <f>(Main_M[[#This Row],[P/B]]-VLOOKUP(Main_M[[#This Row],[Industry]], Mean_PB_M, 2, FALSE))/(VLOOKUP(Main_M[[#This Row],[Industry]], Mean_PB_M, 3, FALSE))</f>
        <v>2.1413085130142422</v>
      </c>
      <c r="Q62" s="1">
        <f>(Main_M[[#This Row],[ROE]]-VLOOKUP(Main_M[[#This Row],[Industry]], Mean_ROE_M, 2, FALSE))/(VLOOKUP(Main_M[[#This Row],[Industry]], Mean_ROE_M, 3, FALSE))</f>
        <v>-1.4783623054118438</v>
      </c>
      <c r="R62" s="1">
        <f>(Main_M[[#This Row],[ROA]]-VLOOKUP(Main_M[[#This Row],[Industry]], Mean_ROA_M, 2, FALSE))/(VLOOKUP(Main_M[[#This Row],[Industry]], Mean_ROA_M, 3, FALSE))</f>
        <v>-1.3563284024201465</v>
      </c>
      <c r="S62" s="1">
        <f>(Main_M[[#This Row],[A/E]]-VLOOKUP(Main_M[[#This Row],[Industry]], Mean_AE_M, 2, FALSE))/(VLOOKUP(Main_M[[#This Row],[Industry]], Mean_AE_M, 3, FALSE))</f>
        <v>0.12443152607723859</v>
      </c>
      <c r="T62" s="1">
        <f>(Main_M[[#This Row],[P/E]]-VLOOKUP(Main_M[[#This Row],[Industry]], Mean_PE_M, 2, FALSE))/(VLOOKUP(Main_M[[#This Row],[Industry]], Mean_PE_M, 3, FALSE))</f>
        <v>8.7016894231018096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3" spans="1:26" x14ac:dyDescent="0.25">
      <c r="A63" s="68" t="s">
        <v>105</v>
      </c>
      <c r="B63" s="68" t="s">
        <v>314</v>
      </c>
      <c r="C63" s="2">
        <v>2488</v>
      </c>
      <c r="D63">
        <f>RTD("tos.rtd", , "LAST", Main_M[[#This Row],[Symbol]])</f>
        <v>34.880000000000003</v>
      </c>
      <c r="E63">
        <v>1.08</v>
      </c>
      <c r="F63">
        <v>29.6</v>
      </c>
      <c r="G63">
        <v>2.36</v>
      </c>
      <c r="H63" s="1">
        <f>IF(ISNUMBER(Main_M[[#This Row],[Free CF]]),IF(Main_M[[#This Row],[Free CF]]&lt;&gt;0,Main_M[[#This Row],[Current Price]]/Main_M[[#This Row],[Free CF]],""),"")</f>
        <v>32.296296296296298</v>
      </c>
      <c r="I63" s="1">
        <f>IF(ISNUMBER(Main_M[[#This Row],[BVPS]]),IF(Main_M[[#This Row],[BVPS]]&lt;&gt;0,Main_M[[#This Row],[Current Price]]/Main_M[[#This Row],[BVPS]],""),"")</f>
        <v>1.1783783783783783</v>
      </c>
      <c r="J63">
        <v>8.34</v>
      </c>
      <c r="K63">
        <v>1.04</v>
      </c>
      <c r="L63">
        <v>7.96</v>
      </c>
      <c r="M63" s="1">
        <f>IF(ISNUMBER(Main_M[[#This Row],[EPS]]),IF(Main_M[[#This Row],[EPS]]&lt;&gt;0,Main_M[[#This Row],[Current Price]]/Main_M[[#This Row],[EPS]],""),"")</f>
        <v>14.779661016949154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3.988295394280946</v>
      </c>
      <c r="P63" s="1">
        <f>(Main_M[[#This Row],[P/B]]-VLOOKUP(Main_M[[#This Row],[Industry]], Mean_PB_M, 2, FALSE))/(VLOOKUP(Main_M[[#This Row],[Industry]], Mean_PB_M, 3, FALSE))</f>
        <v>-5.4526882571533201E-2</v>
      </c>
      <c r="Q63" s="1">
        <f>(Main_M[[#This Row],[ROE]]-VLOOKUP(Main_M[[#This Row],[Industry]], Mean_ROE_M, 2, FALSE))/(VLOOKUP(Main_M[[#This Row],[Industry]], Mean_ROE_M, 3, FALSE))</f>
        <v>-0.33083981693827585</v>
      </c>
      <c r="R63" s="1">
        <f>(Main_M[[#This Row],[ROA]]-VLOOKUP(Main_M[[#This Row],[Industry]], Mean_ROA_M, 2, FALSE))/(VLOOKUP(Main_M[[#This Row],[Industry]], Mean_ROA_M, 3, FALSE))</f>
        <v>-0.16661989101111194</v>
      </c>
      <c r="S63" s="1">
        <f>(Main_M[[#This Row],[A/E]]-VLOOKUP(Main_M[[#This Row],[Industry]], Mean_AE_M, 2, FALSE))/(VLOOKUP(Main_M[[#This Row],[Industry]], Mean_AE_M, 3, FALSE))</f>
        <v>-0.43839604456526537</v>
      </c>
      <c r="T63" s="1">
        <f>(Main_M[[#This Row],[P/E]]-VLOOKUP(Main_M[[#This Row],[Industry]], Mean_PE_M, 2, FALSE))/(VLOOKUP(Main_M[[#This Row],[Industry]], Mean_PE_M, 3, FALSE))</f>
        <v>0.11444144293432597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s="68" t="s">
        <v>105</v>
      </c>
      <c r="B64" s="68" t="s">
        <v>315</v>
      </c>
      <c r="C64" s="2">
        <v>2101</v>
      </c>
      <c r="D64">
        <f>RTD("tos.rtd", , "LAST", Main_M[[#This Row],[Symbol]])</f>
        <v>36.25</v>
      </c>
      <c r="E64">
        <v>1.44</v>
      </c>
      <c r="F64">
        <v>33.29</v>
      </c>
      <c r="G64">
        <v>0.99</v>
      </c>
      <c r="H64" s="1">
        <f>IF(ISNUMBER(Main_M[[#This Row],[Free CF]]),IF(Main_M[[#This Row],[Free CF]]&lt;&gt;0,Main_M[[#This Row],[Current Price]]/Main_M[[#This Row],[Free CF]],""),"")</f>
        <v>25.173611111111111</v>
      </c>
      <c r="I64" s="1">
        <f>IF(ISNUMBER(Main_M[[#This Row],[BVPS]]),IF(Main_M[[#This Row],[BVPS]]&lt;&gt;0,Main_M[[#This Row],[Current Price]]/Main_M[[#This Row],[BVPS]],""),"")</f>
        <v>1.0889155902673475</v>
      </c>
      <c r="J64">
        <v>3.28</v>
      </c>
      <c r="K64">
        <v>0.33</v>
      </c>
      <c r="L64">
        <v>9.0500000000000007</v>
      </c>
      <c r="M64" s="1">
        <f>IF(ISNUMBER(Main_M[[#This Row],[EPS]]),IF(Main_M[[#This Row],[EPS]]&lt;&gt;0,Main_M[[#This Row],[Current Price]]/Main_M[[#This Row],[EPS]],""),"")</f>
        <v>36.616161616161619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2.6522246452083529</v>
      </c>
      <c r="P64" s="1">
        <f>(Main_M[[#This Row],[P/B]]-VLOOKUP(Main_M[[#This Row],[Industry]], Mean_PB_M, 2, FALSE))/(VLOOKUP(Main_M[[#This Row],[Industry]], Mean_PB_M, 3, FALSE))</f>
        <v>-0.30671169848690188</v>
      </c>
      <c r="Q64" s="1">
        <f>(Main_M[[#This Row],[ROE]]-VLOOKUP(Main_M[[#This Row],[Industry]], Mean_ROE_M, 2, FALSE))/(VLOOKUP(Main_M[[#This Row],[Industry]], Mean_ROE_M, 3, FALSE))</f>
        <v>-1.7645345803151287</v>
      </c>
      <c r="R64" s="1">
        <f>(Main_M[[#This Row],[ROA]]-VLOOKUP(Main_M[[#This Row],[Industry]], Mean_ROA_M, 2, FALSE))/(VLOOKUP(Main_M[[#This Row],[Industry]], Mean_ROA_M, 3, FALSE))</f>
        <v>-1.6750003251189949</v>
      </c>
      <c r="S64" s="1">
        <f>(Main_M[[#This Row],[A/E]]-VLOOKUP(Main_M[[#This Row],[Industry]], Mean_AE_M, 2, FALSE))/(VLOOKUP(Main_M[[#This Row],[Industry]], Mean_AE_M, 3, FALSE))</f>
        <v>0.14036060826523461</v>
      </c>
      <c r="T64" s="1">
        <f>(Main_M[[#This Row],[P/E]]-VLOOKUP(Main_M[[#This Row],[Industry]], Mean_PE_M, 2, FALSE))/(VLOOKUP(Main_M[[#This Row],[Industry]], Mean_PE_M, 3, FALSE))</f>
        <v>5.8390458122684228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5" spans="1:26" x14ac:dyDescent="0.25">
      <c r="A65" s="68" t="s">
        <v>105</v>
      </c>
      <c r="B65" s="68" t="s">
        <v>316</v>
      </c>
      <c r="C65" s="2">
        <v>4976</v>
      </c>
      <c r="D65">
        <f>RTD("tos.rtd", , "LAST", Main_M[[#This Row],[Symbol]])</f>
        <v>37.24</v>
      </c>
      <c r="E65">
        <v>3.3</v>
      </c>
      <c r="F65">
        <v>36.979999999999997</v>
      </c>
      <c r="G65">
        <v>2.7</v>
      </c>
      <c r="H65" s="1">
        <f>IF(ISNUMBER(Main_M[[#This Row],[Free CF]]),IF(Main_M[[#This Row],[Free CF]]&lt;&gt;0,Main_M[[#This Row],[Current Price]]/Main_M[[#This Row],[Free CF]],""),"")</f>
        <v>11.284848484848487</v>
      </c>
      <c r="I65" s="1">
        <f>IF(ISNUMBER(Main_M[[#This Row],[BVPS]]),IF(Main_M[[#This Row],[BVPS]]&lt;&gt;0,Main_M[[#This Row],[Current Price]]/Main_M[[#This Row],[BVPS]],""),"")</f>
        <v>1.0070308274743105</v>
      </c>
      <c r="J65">
        <v>7.64</v>
      </c>
      <c r="K65">
        <v>1.24</v>
      </c>
      <c r="L65">
        <v>6.01</v>
      </c>
      <c r="M65" s="1">
        <f>IF(ISNUMBER(Main_M[[#This Row],[EPS]]),IF(Main_M[[#This Row],[EPS]]&lt;&gt;0,Main_M[[#This Row],[Current Price]]/Main_M[[#This Row],[EPS]],""),"")</f>
        <v>13.792592592592593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4.6975500635962501E-2</v>
      </c>
      <c r="P65" s="1">
        <f>(Main_M[[#This Row],[P/B]]-VLOOKUP(Main_M[[#This Row],[Industry]], Mean_PB_M, 2, FALSE))/(VLOOKUP(Main_M[[#This Row],[Industry]], Mean_PB_M, 3, FALSE))</f>
        <v>-0.53753497447967757</v>
      </c>
      <c r="Q65" s="1">
        <f>(Main_M[[#This Row],[ROE]]-VLOOKUP(Main_M[[#This Row],[Industry]], Mean_ROE_M, 2, FALSE))/(VLOOKUP(Main_M[[#This Row],[Industry]], Mean_ROE_M, 3, FALSE))</f>
        <v>-0.52917703716827535</v>
      </c>
      <c r="R65" s="1">
        <f>(Main_M[[#This Row],[ROA]]-VLOOKUP(Main_M[[#This Row],[Industry]], Mean_ROA_M, 2, FALSE))/(VLOOKUP(Main_M[[#This Row],[Industry]], Mean_ROA_M, 3, FALSE))</f>
        <v>0.258276005920686</v>
      </c>
      <c r="S65" s="1">
        <f>(Main_M[[#This Row],[A/E]]-VLOOKUP(Main_M[[#This Row],[Industry]], Mean_AE_M, 2, FALSE))/(VLOOKUP(Main_M[[#This Row],[Industry]], Mean_AE_M, 3, FALSE))</f>
        <v>-1.4737863867849665</v>
      </c>
      <c r="T65" s="1">
        <f>(Main_M[[#This Row],[P/E]]-VLOOKUP(Main_M[[#This Row],[Industry]], Mean_PE_M, 2, FALSE))/(VLOOKUP(Main_M[[#This Row],[Industry]], Mean_PE_M, 3, FALSE))</f>
        <v>-0.14432603627921986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s="68" t="s">
        <v>105</v>
      </c>
      <c r="B66" s="68" t="s">
        <v>317</v>
      </c>
      <c r="C66" s="2">
        <v>3349</v>
      </c>
      <c r="D66">
        <f>RTD("tos.rtd", , "LAST", Main_M[[#This Row],[Symbol]])</f>
        <v>29.77</v>
      </c>
      <c r="E66">
        <v>2.4700000000000002</v>
      </c>
      <c r="F66">
        <v>28.55</v>
      </c>
      <c r="G66">
        <v>2.11</v>
      </c>
      <c r="H66" s="1">
        <f>IF(ISNUMBER(Main_M[[#This Row],[Free CF]]),IF(Main_M[[#This Row],[Free CF]]&lt;&gt;0,Main_M[[#This Row],[Current Price]]/Main_M[[#This Row],[Free CF]],""),"")</f>
        <v>12.052631578947368</v>
      </c>
      <c r="I66" s="1">
        <f>IF(ISNUMBER(Main_M[[#This Row],[BVPS]]),IF(Main_M[[#This Row],[BVPS]]&lt;&gt;0,Main_M[[#This Row],[Current Price]]/Main_M[[#This Row],[BVPS]],""),"")</f>
        <v>1.0427320490367775</v>
      </c>
      <c r="J66">
        <v>7.68</v>
      </c>
      <c r="K66">
        <v>0.95</v>
      </c>
      <c r="L66">
        <v>8.17</v>
      </c>
      <c r="M66" s="1">
        <f>IF(ISNUMBER(Main_M[[#This Row],[EPS]]),IF(Main_M[[#This Row],[EPS]]&lt;&gt;0,Main_M[[#This Row],[Current Price]]/Main_M[[#This Row],[EPS]],""),"")</f>
        <v>14.109004739336493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0.19099597984956054</v>
      </c>
      <c r="P66" s="1">
        <f>(Main_M[[#This Row],[P/B]]-VLOOKUP(Main_M[[#This Row],[Industry]], Mean_PB_M, 2, FALSE))/(VLOOKUP(Main_M[[#This Row],[Industry]], Mean_PB_M, 3, FALSE))</f>
        <v>-0.43689753429045969</v>
      </c>
      <c r="Q66" s="1">
        <f>(Main_M[[#This Row],[ROE]]-VLOOKUP(Main_M[[#This Row],[Industry]], Mean_ROE_M, 2, FALSE))/(VLOOKUP(Main_M[[#This Row],[Industry]], Mean_ROE_M, 3, FALSE))</f>
        <v>-0.51784348172656103</v>
      </c>
      <c r="R66" s="1">
        <f>(Main_M[[#This Row],[ROA]]-VLOOKUP(Main_M[[#This Row],[Industry]], Mean_ROA_M, 2, FALSE))/(VLOOKUP(Main_M[[#This Row],[Industry]], Mean_ROA_M, 3, FALSE))</f>
        <v>-0.35782304463042119</v>
      </c>
      <c r="S66" s="1">
        <f>(Main_M[[#This Row],[A/E]]-VLOOKUP(Main_M[[#This Row],[Industry]], Mean_AE_M, 2, FALSE))/(VLOOKUP(Main_M[[#This Row],[Industry]], Mean_AE_M, 3, FALSE))</f>
        <v>-0.3268924692492976</v>
      </c>
      <c r="T66" s="1">
        <f>(Main_M[[#This Row],[P/E]]-VLOOKUP(Main_M[[#This Row],[Industry]], Mean_PE_M, 2, FALSE))/(VLOOKUP(Main_M[[#This Row],[Industry]], Mean_PE_M, 3, FALSE))</f>
        <v>-6.1376190468035316E-2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s="68" t="s">
        <v>105</v>
      </c>
      <c r="B67" s="68" t="s">
        <v>318</v>
      </c>
      <c r="C67" s="2">
        <v>7694</v>
      </c>
      <c r="D67">
        <f>RTD("tos.rtd", , "LAST", Main_M[[#This Row],[Symbol]])</f>
        <v>107.99</v>
      </c>
      <c r="E67">
        <v>9.49</v>
      </c>
      <c r="F67">
        <v>87.43</v>
      </c>
      <c r="G67">
        <v>7.71</v>
      </c>
      <c r="H67" s="1">
        <f>IF(ISNUMBER(Main_M[[#This Row],[Free CF]]),IF(Main_M[[#This Row],[Free CF]]&lt;&gt;0,Main_M[[#This Row],[Current Price]]/Main_M[[#This Row],[Free CF]],""),"")</f>
        <v>11.379346680716543</v>
      </c>
      <c r="I67" s="1">
        <f>IF(ISNUMBER(Main_M[[#This Row],[BVPS]]),IF(Main_M[[#This Row],[BVPS]]&lt;&gt;0,Main_M[[#This Row],[Current Price]]/Main_M[[#This Row],[BVPS]],""),"")</f>
        <v>1.2351595562164015</v>
      </c>
      <c r="J67">
        <v>8.33</v>
      </c>
      <c r="K67">
        <v>0.72</v>
      </c>
      <c r="L67">
        <v>10.45</v>
      </c>
      <c r="M67" s="1">
        <f>IF(ISNUMBER(Main_M[[#This Row],[EPS]]),IF(Main_M[[#This Row],[EPS]]&lt;&gt;0,Main_M[[#This Row],[Current Price]]/Main_M[[#This Row],[EPS]],""),"")</f>
        <v>14.006485084306096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6.4701438545172407E-2</v>
      </c>
      <c r="P67" s="1">
        <f>(Main_M[[#This Row],[P/B]]-VLOOKUP(Main_M[[#This Row],[Industry]], Mean_PB_M, 2, FALSE))/(VLOOKUP(Main_M[[#This Row],[Industry]], Mean_PB_M, 3, FALSE))</f>
        <v>0.1055324133981852</v>
      </c>
      <c r="Q67" s="1">
        <f>(Main_M[[#This Row],[ROE]]-VLOOKUP(Main_M[[#This Row],[Industry]], Mean_ROE_M, 2, FALSE))/(VLOOKUP(Main_M[[#This Row],[Industry]], Mean_ROE_M, 3, FALSE))</f>
        <v>-0.33367320579870435</v>
      </c>
      <c r="R67" s="1">
        <f>(Main_M[[#This Row],[ROA]]-VLOOKUP(Main_M[[#This Row],[Industry]], Mean_ROA_M, 2, FALSE))/(VLOOKUP(Main_M[[#This Row],[Industry]], Mean_ROA_M, 3, FALSE))</f>
        <v>-0.84645332610198887</v>
      </c>
      <c r="S67" s="1">
        <f>(Main_M[[#This Row],[A/E]]-VLOOKUP(Main_M[[#This Row],[Industry]], Mean_AE_M, 2, FALSE))/(VLOOKUP(Main_M[[#This Row],[Industry]], Mean_AE_M, 3, FALSE))</f>
        <v>0.88371777703835264</v>
      </c>
      <c r="T67" s="1">
        <f>(Main_M[[#This Row],[P/E]]-VLOOKUP(Main_M[[#This Row],[Industry]], Mean_PE_M, 2, FALSE))/(VLOOKUP(Main_M[[#This Row],[Industry]], Mean_PE_M, 3, FALSE))</f>
        <v>-8.8252496150036455E-2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s="68" t="s">
        <v>105</v>
      </c>
      <c r="B68" s="68" t="s">
        <v>319</v>
      </c>
      <c r="C68" s="2">
        <v>4861</v>
      </c>
      <c r="D68">
        <f>RTD("tos.rtd", , "LAST", Main_M[[#This Row],[Symbol]])</f>
        <v>9.1999999999999993</v>
      </c>
      <c r="E68">
        <v>1.02</v>
      </c>
      <c r="F68">
        <v>12.76</v>
      </c>
      <c r="G68">
        <v>0.69</v>
      </c>
      <c r="H68" s="1">
        <f>IF(ISNUMBER(Main_M[[#This Row],[Free CF]]),IF(Main_M[[#This Row],[Free CF]]&lt;&gt;0,Main_M[[#This Row],[Current Price]]/Main_M[[#This Row],[Free CF]],""),"")</f>
        <v>9.0196078431372548</v>
      </c>
      <c r="I68" s="1">
        <f>IF(ISNUMBER(Main_M[[#This Row],[BVPS]]),IF(Main_M[[#This Row],[BVPS]]&lt;&gt;0,Main_M[[#This Row],[Current Price]]/Main_M[[#This Row],[BVPS]],""),"")</f>
        <v>0.72100313479623823</v>
      </c>
      <c r="J68">
        <v>5.48</v>
      </c>
      <c r="K68">
        <v>0.63</v>
      </c>
      <c r="L68">
        <v>8.66</v>
      </c>
      <c r="M68" s="1">
        <f>IF(ISNUMBER(Main_M[[#This Row],[EPS]]),IF(Main_M[[#This Row],[EPS]]&lt;&gt;0,Main_M[[#This Row],[Current Price]]/Main_M[[#This Row],[EPS]],""),"")</f>
        <v>13.333333333333334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-0.37793753178274042</v>
      </c>
      <c r="P68" s="1">
        <f>(Main_M[[#This Row],[P/B]]-VLOOKUP(Main_M[[#This Row],[Industry]], Mean_PB_M, 2, FALSE))/(VLOOKUP(Main_M[[#This Row],[Industry]], Mean_PB_M, 3, FALSE))</f>
        <v>-1.3438125626004016</v>
      </c>
      <c r="Q68" s="1">
        <f>(Main_M[[#This Row],[ROE]]-VLOOKUP(Main_M[[#This Row],[Industry]], Mean_ROE_M, 2, FALSE))/(VLOOKUP(Main_M[[#This Row],[Industry]], Mean_ROE_M, 3, FALSE))</f>
        <v>-1.1411890310208446</v>
      </c>
      <c r="R68" s="1">
        <f>(Main_M[[#This Row],[ROA]]-VLOOKUP(Main_M[[#This Row],[Industry]], Mean_ROA_M, 2, FALSE))/(VLOOKUP(Main_M[[#This Row],[Industry]], Mean_ROA_M, 3, FALSE))</f>
        <v>-1.0376564797212979</v>
      </c>
      <c r="S68" s="1">
        <f>(Main_M[[#This Row],[A/E]]-VLOOKUP(Main_M[[#This Row],[Industry]], Mean_AE_M, 2, FALSE))/(VLOOKUP(Main_M[[#This Row],[Industry]], Mean_AE_M, 3, FALSE))</f>
        <v>-6.6717460178705931E-2</v>
      </c>
      <c r="T68" s="1">
        <f>(Main_M[[#This Row],[P/E]]-VLOOKUP(Main_M[[#This Row],[Industry]], Mean_PE_M, 2, FALSE))/(VLOOKUP(Main_M[[#This Row],[Industry]], Mean_PE_M, 3, FALSE))</f>
        <v>-0.26472433683418661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s="68" t="s">
        <v>105</v>
      </c>
      <c r="B69" s="68" t="s">
        <v>320</v>
      </c>
      <c r="C69" s="2">
        <v>2293</v>
      </c>
      <c r="D69">
        <f>RTD("tos.rtd", , "LAST", Main_M[[#This Row],[Symbol]])</f>
        <v>29.77</v>
      </c>
      <c r="E69">
        <v>2.99</v>
      </c>
      <c r="F69">
        <v>33.840000000000003</v>
      </c>
      <c r="G69">
        <v>2.64</v>
      </c>
      <c r="H69" s="1">
        <f>IF(ISNUMBER(Main_M[[#This Row],[Free CF]]),IF(Main_M[[#This Row],[Free CF]]&lt;&gt;0,Main_M[[#This Row],[Current Price]]/Main_M[[#This Row],[Free CF]],""),"")</f>
        <v>9.9565217391304337</v>
      </c>
      <c r="I69" s="1">
        <f>IF(ISNUMBER(Main_M[[#This Row],[BVPS]]),IF(Main_M[[#This Row],[BVPS]]&lt;&gt;0,Main_M[[#This Row],[Current Price]]/Main_M[[#This Row],[BVPS]],""),"")</f>
        <v>0.87972813238770675</v>
      </c>
      <c r="J69">
        <v>7.7</v>
      </c>
      <c r="K69">
        <v>0.79</v>
      </c>
      <c r="L69">
        <v>10.119999999999999</v>
      </c>
      <c r="M69" s="1">
        <f>IF(ISNUMBER(Main_M[[#This Row],[EPS]]),IF(Main_M[[#This Row],[EPS]]&lt;&gt;0,Main_M[[#This Row],[Current Price]]/Main_M[[#This Row],[EPS]],""),"")</f>
        <v>11.27651515151515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-0.20219155701471722</v>
      </c>
      <c r="P69" s="1">
        <f>(Main_M[[#This Row],[P/B]]-VLOOKUP(Main_M[[#This Row],[Industry]], Mean_PB_M, 2, FALSE))/(VLOOKUP(Main_M[[#This Row],[Industry]], Mean_PB_M, 3, FALSE))</f>
        <v>-0.89638592696845942</v>
      </c>
      <c r="Q69" s="1">
        <f>(Main_M[[#This Row],[ROE]]-VLOOKUP(Main_M[[#This Row],[Industry]], Mean_ROE_M, 2, FALSE))/(VLOOKUP(Main_M[[#This Row],[Industry]], Mean_ROE_M, 3, FALSE))</f>
        <v>-0.51217670400570381</v>
      </c>
      <c r="R69" s="1">
        <f>(Main_M[[#This Row],[ROA]]-VLOOKUP(Main_M[[#This Row],[Industry]], Mean_ROA_M, 2, FALSE))/(VLOOKUP(Main_M[[#This Row],[Industry]], Mean_ROA_M, 3, FALSE))</f>
        <v>-0.69773976217585942</v>
      </c>
      <c r="S69" s="1">
        <f>(Main_M[[#This Row],[A/E]]-VLOOKUP(Main_M[[#This Row],[Industry]], Mean_AE_M, 2, FALSE))/(VLOOKUP(Main_M[[#This Row],[Industry]], Mean_AE_M, 3, FALSE))</f>
        <v>0.70849787297040312</v>
      </c>
      <c r="T69" s="1">
        <f>(Main_M[[#This Row],[P/E]]-VLOOKUP(Main_M[[#This Row],[Industry]], Mean_PE_M, 2, FALSE))/(VLOOKUP(Main_M[[#This Row],[Industry]], Mean_PE_M, 3, FALSE))</f>
        <v>-0.80393483427931445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s="68" t="s">
        <v>105</v>
      </c>
      <c r="B70" s="68" t="s">
        <v>321</v>
      </c>
      <c r="C70" s="2">
        <v>7884</v>
      </c>
      <c r="D70">
        <f>RTD("tos.rtd", , "LAST", Main_M[[#This Row],[Symbol]])</f>
        <v>79.67</v>
      </c>
      <c r="E70">
        <v>-30.64</v>
      </c>
      <c r="F70">
        <v>60.78</v>
      </c>
      <c r="G70">
        <v>7.28</v>
      </c>
      <c r="H70" s="1">
        <f>IF(ISNUMBER(Main_M[[#This Row],[Free CF]]),IF(Main_M[[#This Row],[Free CF]]&lt;&gt;0,Main_M[[#This Row],[Current Price]]/Main_M[[#This Row],[Free CF]],""),"")</f>
        <v>-2.600195822454308</v>
      </c>
      <c r="I70" s="1">
        <f>IF(ISNUMBER(Main_M[[#This Row],[BVPS]]),IF(Main_M[[#This Row],[BVPS]]&lt;&gt;0,Main_M[[#This Row],[Current Price]]/Main_M[[#This Row],[BVPS]],""),"")</f>
        <v>1.3107930240210595</v>
      </c>
      <c r="J70">
        <v>12.09</v>
      </c>
      <c r="K70">
        <v>1.01</v>
      </c>
      <c r="L70">
        <v>12.53</v>
      </c>
      <c r="M70" s="1">
        <f>IF(ISNUMBER(Main_M[[#This Row],[EPS]]),IF(Main_M[[#This Row],[EPS]]&lt;&gt;0,Main_M[[#This Row],[Current Price]]/Main_M[[#This Row],[EPS]],""),"")</f>
        <v>10.943681318681319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-2.5575761629908595</v>
      </c>
      <c r="P70" s="1">
        <f>(Main_M[[#This Row],[P/B]]-VLOOKUP(Main_M[[#This Row],[Industry]], Mean_PB_M, 2, FALSE))/(VLOOKUP(Main_M[[#This Row],[Industry]], Mean_PB_M, 3, FALSE))</f>
        <v>0.31873404234458785</v>
      </c>
      <c r="Q70" s="1">
        <f>(Main_M[[#This Row],[ROE]]-VLOOKUP(Main_M[[#This Row],[Industry]], Mean_ROE_M, 2, FALSE))/(VLOOKUP(Main_M[[#This Row],[Industry]], Mean_ROE_M, 3, FALSE))</f>
        <v>0.73168100572243511</v>
      </c>
      <c r="R70" s="1">
        <f>(Main_M[[#This Row],[ROA]]-VLOOKUP(Main_M[[#This Row],[Industry]], Mean_ROA_M, 2, FALSE))/(VLOOKUP(Main_M[[#This Row],[Industry]], Mean_ROA_M, 3, FALSE))</f>
        <v>-0.2303542755508817</v>
      </c>
      <c r="S70" s="1">
        <f>(Main_M[[#This Row],[A/E]]-VLOOKUP(Main_M[[#This Row],[Industry]], Mean_AE_M, 2, FALSE))/(VLOOKUP(Main_M[[#This Row],[Industry]], Mean_AE_M, 3, FALSE))</f>
        <v>1.9881341420727006</v>
      </c>
      <c r="T70" s="1">
        <f>(Main_M[[#This Row],[P/E]]-VLOOKUP(Main_M[[#This Row],[Industry]], Mean_PE_M, 2, FALSE))/(VLOOKUP(Main_M[[#This Row],[Industry]], Mean_PE_M, 3, FALSE))</f>
        <v>-0.8911897497382264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s="68" t="s">
        <v>105</v>
      </c>
      <c r="B71" s="68" t="s">
        <v>322</v>
      </c>
      <c r="C71" s="2">
        <v>8198</v>
      </c>
      <c r="D71">
        <f>RTD("tos.rtd", , "LAST", Main_M[[#This Row],[Symbol]])</f>
        <v>52.88</v>
      </c>
      <c r="E71">
        <v>8.07</v>
      </c>
      <c r="F71">
        <v>52.73</v>
      </c>
      <c r="G71">
        <v>4.4400000000000004</v>
      </c>
      <c r="H71" s="1">
        <f>IF(ISNUMBER(Main_M[[#This Row],[Free CF]]),IF(Main_M[[#This Row],[Free CF]]&lt;&gt;0,Main_M[[#This Row],[Current Price]]/Main_M[[#This Row],[Free CF]],""),"")</f>
        <v>6.5526641883519208</v>
      </c>
      <c r="I71" s="1">
        <f>IF(ISNUMBER(Main_M[[#This Row],[BVPS]]),IF(Main_M[[#This Row],[BVPS]]&lt;&gt;0,Main_M[[#This Row],[Current Price]]/Main_M[[#This Row],[BVPS]],""),"")</f>
        <v>1.0028446804475633</v>
      </c>
      <c r="J71">
        <v>8.68</v>
      </c>
      <c r="K71">
        <v>1</v>
      </c>
      <c r="L71">
        <v>9</v>
      </c>
      <c r="M71" s="1">
        <f>IF(ISNUMBER(Main_M[[#This Row],[EPS]]),IF(Main_M[[#This Row],[EPS]]&lt;&gt;0,Main_M[[#This Row],[Current Price]]/Main_M[[#This Row],[EPS]],""),"")</f>
        <v>11.90990990990991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-0.84068594352280357</v>
      </c>
      <c r="P71" s="1">
        <f>(Main_M[[#This Row],[P/B]]-VLOOKUP(Main_M[[#This Row],[Industry]], Mean_PB_M, 2, FALSE))/(VLOOKUP(Main_M[[#This Row],[Industry]], Mean_PB_M, 3, FALSE))</f>
        <v>-0.54933521835341792</v>
      </c>
      <c r="Q71" s="1">
        <f>(Main_M[[#This Row],[ROE]]-VLOOKUP(Main_M[[#This Row],[Industry]], Mean_ROE_M, 2, FALSE))/(VLOOKUP(Main_M[[#This Row],[Industry]], Mean_ROE_M, 3, FALSE))</f>
        <v>-0.23450459568370477</v>
      </c>
      <c r="R71" s="1">
        <f>(Main_M[[#This Row],[ROA]]-VLOOKUP(Main_M[[#This Row],[Industry]], Mean_ROA_M, 2, FALSE))/(VLOOKUP(Main_M[[#This Row],[Industry]], Mean_ROA_M, 3, FALSE))</f>
        <v>-0.25159907039747159</v>
      </c>
      <c r="S71" s="1">
        <f>(Main_M[[#This Row],[A/E]]-VLOOKUP(Main_M[[#This Row],[Industry]], Mean_AE_M, 2, FALSE))/(VLOOKUP(Main_M[[#This Row],[Industry]], Mean_AE_M, 3, FALSE))</f>
        <v>0.11381213795190856</v>
      </c>
      <c r="T71" s="1">
        <f>(Main_M[[#This Row],[P/E]]-VLOOKUP(Main_M[[#This Row],[Industry]], Mean_PE_M, 2, FALSE))/(VLOOKUP(Main_M[[#This Row],[Industry]], Mean_PE_M, 3, FALSE))</f>
        <v>-0.63788559095180408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s="68" t="s">
        <v>105</v>
      </c>
      <c r="B72" s="68" t="s">
        <v>323</v>
      </c>
      <c r="C72" s="2">
        <v>2896</v>
      </c>
      <c r="D72">
        <f>RTD("tos.rtd", , "LAST", Main_M[[#This Row],[Symbol]])</f>
        <v>32.33</v>
      </c>
      <c r="E72">
        <v>3.04</v>
      </c>
      <c r="F72">
        <v>38.020000000000003</v>
      </c>
      <c r="G72">
        <v>1.44</v>
      </c>
      <c r="H72" s="1">
        <f>IF(ISNUMBER(Main_M[[#This Row],[Free CF]]),IF(Main_M[[#This Row],[Free CF]]&lt;&gt;0,Main_M[[#This Row],[Current Price]]/Main_M[[#This Row],[Free CF]],""),"")</f>
        <v>10.63486842105263</v>
      </c>
      <c r="I72" s="1">
        <f>IF(ISNUMBER(Main_M[[#This Row],[BVPS]]),IF(Main_M[[#This Row],[BVPS]]&lt;&gt;0,Main_M[[#This Row],[Current Price]]/Main_M[[#This Row],[BVPS]],""),"")</f>
        <v>0.85034192530247232</v>
      </c>
      <c r="J72">
        <v>3.38</v>
      </c>
      <c r="K72">
        <v>0.47</v>
      </c>
      <c r="L72">
        <v>7.54</v>
      </c>
      <c r="M72" s="1">
        <f>IF(ISNUMBER(Main_M[[#This Row],[EPS]]),IF(Main_M[[#This Row],[EPS]]&lt;&gt;0,Main_M[[#This Row],[Current Price]]/Main_M[[#This Row],[EPS]],""),"")</f>
        <v>22.451388888888889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-7.4947528129123087E-2</v>
      </c>
      <c r="P72" s="1">
        <f>(Main_M[[#This Row],[P/B]]-VLOOKUP(Main_M[[#This Row],[Industry]], Mean_PB_M, 2, FALSE))/(VLOOKUP(Main_M[[#This Row],[Industry]], Mean_PB_M, 3, FALSE))</f>
        <v>-0.97922210255292008</v>
      </c>
      <c r="Q72" s="1">
        <f>(Main_M[[#This Row],[ROE]]-VLOOKUP(Main_M[[#This Row],[Industry]], Mean_ROE_M, 2, FALSE))/(VLOOKUP(Main_M[[#This Row],[Industry]], Mean_ROE_M, 3, FALSE))</f>
        <v>-1.736200691710843</v>
      </c>
      <c r="R72" s="1">
        <f>(Main_M[[#This Row],[ROA]]-VLOOKUP(Main_M[[#This Row],[Industry]], Mean_ROA_M, 2, FALSE))/(VLOOKUP(Main_M[[#This Row],[Industry]], Mean_ROA_M, 3, FALSE))</f>
        <v>-1.3775731972667364</v>
      </c>
      <c r="S72" s="1">
        <f>(Main_M[[#This Row],[A/E]]-VLOOKUP(Main_M[[#This Row],[Industry]], Mean_AE_M, 2, FALSE))/(VLOOKUP(Main_M[[#This Row],[Industry]], Mean_AE_M, 3, FALSE))</f>
        <v>-0.66140319519720103</v>
      </c>
      <c r="T72" s="1">
        <f>(Main_M[[#This Row],[P/E]]-VLOOKUP(Main_M[[#This Row],[Industry]], Mean_PE_M, 2, FALSE))/(VLOOKUP(Main_M[[#This Row],[Industry]], Mean_PE_M, 3, FALSE))</f>
        <v>2.1256431323493539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s="68" t="s">
        <v>105</v>
      </c>
      <c r="B73" s="68" t="s">
        <v>324</v>
      </c>
      <c r="C73" s="2">
        <v>3047</v>
      </c>
      <c r="D73">
        <f>RTD("tos.rtd", , "LAST", Main_M[[#This Row],[Symbol]])</f>
        <v>55.09</v>
      </c>
      <c r="E73">
        <v>3.45</v>
      </c>
      <c r="F73">
        <v>46.31</v>
      </c>
      <c r="G73">
        <v>4.4400000000000004</v>
      </c>
      <c r="H73" s="1">
        <f>IF(ISNUMBER(Main_M[[#This Row],[Free CF]]),IF(Main_M[[#This Row],[Free CF]]&lt;&gt;0,Main_M[[#This Row],[Current Price]]/Main_M[[#This Row],[Free CF]],""),"")</f>
        <v>15.968115942028986</v>
      </c>
      <c r="I73" s="1">
        <f>IF(ISNUMBER(Main_M[[#This Row],[BVPS]]),IF(Main_M[[#This Row],[BVPS]]&lt;&gt;0,Main_M[[#This Row],[Current Price]]/Main_M[[#This Row],[BVPS]],""),"")</f>
        <v>1.1895918808032822</v>
      </c>
      <c r="J73">
        <v>10.28</v>
      </c>
      <c r="K73">
        <v>1.28</v>
      </c>
      <c r="L73">
        <v>7.69</v>
      </c>
      <c r="M73" s="1">
        <f>IF(ISNUMBER(Main_M[[#This Row],[EPS]]),IF(Main_M[[#This Row],[EPS]]&lt;&gt;0,Main_M[[#This Row],[Current Price]]/Main_M[[#This Row],[EPS]],""),"")</f>
        <v>12.407657657657657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0.92546114150593239</v>
      </c>
      <c r="P73" s="1">
        <f>(Main_M[[#This Row],[P/B]]-VLOOKUP(Main_M[[#This Row],[Industry]], Mean_PB_M, 2, FALSE))/(VLOOKUP(Main_M[[#This Row],[Industry]], Mean_PB_M, 3, FALSE))</f>
        <v>-2.2917370901929517E-2</v>
      </c>
      <c r="Q73" s="1">
        <f>(Main_M[[#This Row],[ROE]]-VLOOKUP(Main_M[[#This Row],[Industry]], Mean_ROE_M, 2, FALSE))/(VLOOKUP(Main_M[[#This Row],[Industry]], Mean_ROE_M, 3, FALSE))</f>
        <v>0.21883762198486514</v>
      </c>
      <c r="R73" s="1">
        <f>(Main_M[[#This Row],[ROA]]-VLOOKUP(Main_M[[#This Row],[Industry]], Mean_ROA_M, 2, FALSE))/(VLOOKUP(Main_M[[#This Row],[Industry]], Mean_ROA_M, 3, FALSE))</f>
        <v>0.34325518530704568</v>
      </c>
      <c r="S73" s="1">
        <f>(Main_M[[#This Row],[A/E]]-VLOOKUP(Main_M[[#This Row],[Industry]], Mean_AE_M, 2, FALSE))/(VLOOKUP(Main_M[[#This Row],[Industry]], Mean_AE_M, 3, FALSE))</f>
        <v>-0.5817577842572238</v>
      </c>
      <c r="T73" s="1">
        <f>(Main_M[[#This Row],[P/E]]-VLOOKUP(Main_M[[#This Row],[Industry]], Mean_PE_M, 2, FALSE))/(VLOOKUP(Main_M[[#This Row],[Industry]], Mean_PE_M, 3, FALSE))</f>
        <v>-0.50739724101510586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s="68" t="s">
        <v>105</v>
      </c>
      <c r="B74" s="68" t="s">
        <v>325</v>
      </c>
      <c r="C74" s="2">
        <v>7655</v>
      </c>
      <c r="D74">
        <f>RTD("tos.rtd", , "LAST", Main_M[[#This Row],[Symbol]])</f>
        <v>122.16</v>
      </c>
      <c r="E74">
        <v>9.5399999999999991</v>
      </c>
      <c r="F74">
        <v>92.47</v>
      </c>
      <c r="G74">
        <v>10.130000000000001</v>
      </c>
      <c r="H74" s="1">
        <f>IF(ISNUMBER(Main_M[[#This Row],[Free CF]]),IF(Main_M[[#This Row],[Free CF]]&lt;&gt;0,Main_M[[#This Row],[Current Price]]/Main_M[[#This Row],[Free CF]],""),"")</f>
        <v>12.805031446540882</v>
      </c>
      <c r="I74" s="1">
        <f>IF(ISNUMBER(Main_M[[#This Row],[BVPS]]),IF(Main_M[[#This Row],[BVPS]]&lt;&gt;0,Main_M[[#This Row],[Current Price]]/Main_M[[#This Row],[BVPS]],""),"")</f>
        <v>1.3210771060884612</v>
      </c>
      <c r="J74">
        <v>11.58</v>
      </c>
      <c r="K74">
        <v>1.1299999999999999</v>
      </c>
      <c r="L74">
        <v>10.64</v>
      </c>
      <c r="M74" s="1">
        <f>IF(ISNUMBER(Main_M[[#This Row],[EPS]]),IF(Main_M[[#This Row],[EPS]]&lt;&gt;0,Main_M[[#This Row],[Current Price]]/Main_M[[#This Row],[EPS]],""),"")</f>
        <v>12.059230009871667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0.33213087891665305</v>
      </c>
      <c r="P74" s="1">
        <f>(Main_M[[#This Row],[P/B]]-VLOOKUP(Main_M[[#This Row],[Industry]], Mean_PB_M, 2, FALSE))/(VLOOKUP(Main_M[[#This Row],[Industry]], Mean_PB_M, 3, FALSE))</f>
        <v>0.34772363005794538</v>
      </c>
      <c r="Q74" s="1">
        <f>(Main_M[[#This Row],[ROE]]-VLOOKUP(Main_M[[#This Row],[Industry]], Mean_ROE_M, 2, FALSE))/(VLOOKUP(Main_M[[#This Row],[Industry]], Mean_ROE_M, 3, FALSE))</f>
        <v>0.58717817384057847</v>
      </c>
      <c r="R74" s="1">
        <f>(Main_M[[#This Row],[ROA]]-VLOOKUP(Main_M[[#This Row],[Industry]], Mean_ROA_M, 2, FALSE))/(VLOOKUP(Main_M[[#This Row],[Industry]], Mean_ROA_M, 3, FALSE))</f>
        <v>2.4583262608196873E-2</v>
      </c>
      <c r="S74" s="1">
        <f>(Main_M[[#This Row],[A/E]]-VLOOKUP(Main_M[[#This Row],[Industry]], Mean_AE_M, 2, FALSE))/(VLOOKUP(Main_M[[#This Row],[Industry]], Mean_AE_M, 3, FALSE))</f>
        <v>0.98460196422899082</v>
      </c>
      <c r="T74" s="1">
        <f>(Main_M[[#This Row],[P/E]]-VLOOKUP(Main_M[[#This Row],[Industry]], Mean_PE_M, 2, FALSE))/(VLOOKUP(Main_M[[#This Row],[Industry]], Mean_PE_M, 3, FALSE))</f>
        <v>-0.59874019341950402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s="68" t="s">
        <v>105</v>
      </c>
      <c r="B75" s="68" t="s">
        <v>326</v>
      </c>
      <c r="C75" s="2">
        <v>6698</v>
      </c>
      <c r="D75">
        <f>RTD("tos.rtd", , "LAST", Main_M[[#This Row],[Symbol]])</f>
        <v>49.92</v>
      </c>
      <c r="E75">
        <v>6.86</v>
      </c>
      <c r="F75">
        <v>42.43</v>
      </c>
      <c r="G75">
        <v>5.12</v>
      </c>
      <c r="H75" s="1">
        <f>IF(ISNUMBER(Main_M[[#This Row],[Free CF]]),IF(Main_M[[#This Row],[Free CF]]&lt;&gt;0,Main_M[[#This Row],[Current Price]]/Main_M[[#This Row],[Free CF]],""),"")</f>
        <v>7.2769679300291541</v>
      </c>
      <c r="I75" s="1">
        <f>IF(ISNUMBER(Main_M[[#This Row],[BVPS]]),IF(Main_M[[#This Row],[BVPS]]&lt;&gt;0,Main_M[[#This Row],[Current Price]]/Main_M[[#This Row],[BVPS]],""),"")</f>
        <v>1.1765260428941786</v>
      </c>
      <c r="J75">
        <v>13.18</v>
      </c>
      <c r="K75">
        <v>0.92</v>
      </c>
      <c r="L75">
        <v>14.05</v>
      </c>
      <c r="M75" s="1">
        <f>IF(ISNUMBER(Main_M[[#This Row],[EPS]]),IF(Main_M[[#This Row],[EPS]]&lt;&gt;0,Main_M[[#This Row],[Current Price]]/Main_M[[#This Row],[EPS]],""),"")</f>
        <v>9.75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-0.70482130574383894</v>
      </c>
      <c r="P75" s="1">
        <f>(Main_M[[#This Row],[P/B]]-VLOOKUP(Main_M[[#This Row],[Industry]], Mean_PB_M, 2, FALSE))/(VLOOKUP(Main_M[[#This Row],[Industry]], Mean_PB_M, 3, FALSE))</f>
        <v>-5.9748393022522758E-2</v>
      </c>
      <c r="Q75" s="1">
        <f>(Main_M[[#This Row],[ROE]]-VLOOKUP(Main_M[[#This Row],[Industry]], Mean_ROE_M, 2, FALSE))/(VLOOKUP(Main_M[[#This Row],[Industry]], Mean_ROE_M, 3, FALSE))</f>
        <v>1.0405203915091485</v>
      </c>
      <c r="R75" s="1">
        <f>(Main_M[[#This Row],[ROA]]-VLOOKUP(Main_M[[#This Row],[Industry]], Mean_ROA_M, 2, FALSE))/(VLOOKUP(Main_M[[#This Row],[Industry]], Mean_ROA_M, 3, FALSE))</f>
        <v>-0.42155742917019073</v>
      </c>
      <c r="S75" s="1">
        <f>(Main_M[[#This Row],[A/E]]-VLOOKUP(Main_M[[#This Row],[Industry]], Mean_AE_M, 2, FALSE))/(VLOOKUP(Main_M[[#This Row],[Industry]], Mean_AE_M, 3, FALSE))</f>
        <v>2.7952076395978014</v>
      </c>
      <c r="T75" s="1">
        <f>(Main_M[[#This Row],[P/E]]-VLOOKUP(Main_M[[#This Row],[Industry]], Mean_PE_M, 2, FALSE))/(VLOOKUP(Main_M[[#This Row],[Industry]], Mean_PE_M, 3, FALSE))</f>
        <v>-1.2041223673739483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s="68" t="s">
        <v>173</v>
      </c>
      <c r="B76" s="68" t="s">
        <v>364</v>
      </c>
      <c r="C76" s="2">
        <v>4546</v>
      </c>
      <c r="D76">
        <f>RTD("tos.rtd", , "LAST", Main_M[[#This Row],[Symbol]])</f>
        <v>40.909999999999997</v>
      </c>
      <c r="E76">
        <v>3.25</v>
      </c>
      <c r="F76">
        <v>18.04</v>
      </c>
      <c r="G76">
        <v>3.72</v>
      </c>
      <c r="H76" s="1">
        <f>IF(ISNUMBER(Main_M[[#This Row],[Free CF]]),IF(Main_M[[#This Row],[Free CF]]&lt;&gt;0,Main_M[[#This Row],[Current Price]]/Main_M[[#This Row],[Free CF]],""),"")</f>
        <v>12.587692307692306</v>
      </c>
      <c r="I76" s="1">
        <f>IF(ISNUMBER(Main_M[[#This Row],[BVPS]]),IF(Main_M[[#This Row],[BVPS]]&lt;&gt;0,Main_M[[#This Row],[Current Price]]/Main_M[[#This Row],[BVPS]],""),"")</f>
        <v>2.2677383592017737</v>
      </c>
      <c r="J76">
        <v>20.67</v>
      </c>
      <c r="K76">
        <v>4.12</v>
      </c>
      <c r="L76">
        <v>1</v>
      </c>
      <c r="M76" s="1">
        <f>IF(ISNUMBER(Main_M[[#This Row],[EPS]]),IF(Main_M[[#This Row],[EPS]]&lt;&gt;0,Main_M[[#This Row],[Current Price]]/Main_M[[#This Row],[EPS]],""),"")</f>
        <v>10.997311827956988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0.11473331930480378</v>
      </c>
      <c r="P76" s="1">
        <f>(Main_M[[#This Row],[P/B]]-VLOOKUP(Main_M[[#This Row],[Industry]], Mean_PB_M, 2, FALSE))/(VLOOKUP(Main_M[[#This Row],[Industry]], Mean_PB_M, 3, FALSE))</f>
        <v>-0.55628753990715918</v>
      </c>
      <c r="Q76" s="1">
        <f>(Main_M[[#This Row],[ROE]]-VLOOKUP(Main_M[[#This Row],[Industry]], Mean_ROE_M, 2, FALSE))/(VLOOKUP(Main_M[[#This Row],[Industry]], Mean_ROE_M, 3, FALSE))</f>
        <v>1.198820547590917E-2</v>
      </c>
      <c r="R76" s="1">
        <f>(Main_M[[#This Row],[ROA]]-VLOOKUP(Main_M[[#This Row],[Industry]], Mean_ROA_M, 2, FALSE))/(VLOOKUP(Main_M[[#This Row],[Industry]], Mean_ROA_M, 3, FALSE))</f>
        <v>-0.45572967009381188</v>
      </c>
      <c r="S76" s="1">
        <f>(Main_M[[#This Row],[A/E]]-VLOOKUP(Main_M[[#This Row],[Industry]], Mean_AE_M, 2, FALSE))/(VLOOKUP(Main_M[[#This Row],[Industry]], Mean_AE_M, 3, FALSE))</f>
        <v>-0.83820603507152647</v>
      </c>
      <c r="T76" s="1">
        <f>(Main_M[[#This Row],[P/E]]-VLOOKUP(Main_M[[#This Row],[Industry]], Mean_PE_M, 2, FALSE))/(VLOOKUP(Main_M[[#This Row],[Industry]], Mean_PE_M, 3, FALSE))</f>
        <v>-0.89255955680273646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s="68" t="s">
        <v>173</v>
      </c>
      <c r="B77" s="68" t="s">
        <v>365</v>
      </c>
      <c r="C77" s="2">
        <v>5044</v>
      </c>
      <c r="D77">
        <f>RTD("tos.rtd", , "LAST", Main_M[[#This Row],[Symbol]])</f>
        <v>182.46</v>
      </c>
      <c r="E77">
        <v>29.86</v>
      </c>
      <c r="F77">
        <v>113.02</v>
      </c>
      <c r="G77">
        <v>15.11</v>
      </c>
      <c r="H77" s="1">
        <f>IF(ISNUMBER(Main_M[[#This Row],[Free CF]]),IF(Main_M[[#This Row],[Free CF]]&lt;&gt;0,Main_M[[#This Row],[Current Price]]/Main_M[[#This Row],[Free CF]],""),"")</f>
        <v>6.1105157401205634</v>
      </c>
      <c r="I77" s="1">
        <f>IF(ISNUMBER(Main_M[[#This Row],[BVPS]]),IF(Main_M[[#This Row],[BVPS]]&lt;&gt;0,Main_M[[#This Row],[Current Price]]/Main_M[[#This Row],[BVPS]],""),"")</f>
        <v>1.6144045301716512</v>
      </c>
      <c r="J77">
        <v>15.41</v>
      </c>
      <c r="K77">
        <v>4.66</v>
      </c>
      <c r="L77">
        <v>2.64</v>
      </c>
      <c r="M77" s="1">
        <f>IF(ISNUMBER(Main_M[[#This Row],[EPS]]),IF(Main_M[[#This Row],[EPS]]&lt;&gt;0,Main_M[[#This Row],[Current Price]]/Main_M[[#This Row],[EPS]],""),"")</f>
        <v>12.075446724023827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-0.69412636896416979</v>
      </c>
      <c r="P77" s="1">
        <f>(Main_M[[#This Row],[P/B]]-VLOOKUP(Main_M[[#This Row],[Industry]], Mean_PB_M, 2, FALSE))/(VLOOKUP(Main_M[[#This Row],[Industry]], Mean_PB_M, 3, FALSE))</f>
        <v>-0.77533833429537691</v>
      </c>
      <c r="Q77" s="1">
        <f>(Main_M[[#This Row],[ROE]]-VLOOKUP(Main_M[[#This Row],[Industry]], Mean_ROE_M, 2, FALSE))/(VLOOKUP(Main_M[[#This Row],[Industry]], Mean_ROE_M, 3, FALSE))</f>
        <v>-0.34603318370024339</v>
      </c>
      <c r="R77" s="1">
        <f>(Main_M[[#This Row],[ROA]]-VLOOKUP(Main_M[[#This Row],[Industry]], Mean_ROA_M, 2, FALSE))/(VLOOKUP(Main_M[[#This Row],[Industry]], Mean_ROA_M, 3, FALSE))</f>
        <v>-0.35165833297061266</v>
      </c>
      <c r="S77" s="1">
        <f>(Main_M[[#This Row],[A/E]]-VLOOKUP(Main_M[[#This Row],[Industry]], Mean_AE_M, 2, FALSE))/(VLOOKUP(Main_M[[#This Row],[Industry]], Mean_AE_M, 3, FALSE))</f>
        <v>-0.36132355745406286</v>
      </c>
      <c r="T77" s="1">
        <f>(Main_M[[#This Row],[P/E]]-VLOOKUP(Main_M[[#This Row],[Industry]], Mean_PE_M, 2, FALSE))/(VLOOKUP(Main_M[[#This Row],[Industry]], Mean_PE_M, 3, FALSE))</f>
        <v>-0.75450132600998276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8" spans="1:26" x14ac:dyDescent="0.25">
      <c r="A78" s="68" t="s">
        <v>173</v>
      </c>
      <c r="B78" s="68" t="s">
        <v>366</v>
      </c>
      <c r="C78" s="2">
        <v>2810</v>
      </c>
      <c r="D78">
        <f>RTD("tos.rtd", , "LAST", Main_M[[#This Row],[Symbol]])</f>
        <v>43.3</v>
      </c>
      <c r="E78">
        <v>5.84</v>
      </c>
      <c r="F78">
        <v>5.0599999999999996</v>
      </c>
      <c r="G78">
        <v>3.64</v>
      </c>
      <c r="H78" s="1">
        <f>IF(ISNUMBER(Main_M[[#This Row],[Free CF]]),IF(Main_M[[#This Row],[Free CF]]&lt;&gt;0,Main_M[[#This Row],[Current Price]]/Main_M[[#This Row],[Free CF]],""),"")</f>
        <v>7.4143835616438354</v>
      </c>
      <c r="I78" s="1">
        <f>IF(ISNUMBER(Main_M[[#This Row],[BVPS]]),IF(Main_M[[#This Row],[BVPS]]&lt;&gt;0,Main_M[[#This Row],[Current Price]]/Main_M[[#This Row],[BVPS]],""),"")</f>
        <v>8.5573122529644277</v>
      </c>
      <c r="J78">
        <v>60.8</v>
      </c>
      <c r="K78">
        <v>16.3</v>
      </c>
      <c r="L78">
        <v>3.84</v>
      </c>
      <c r="M78" s="1">
        <f>IF(ISNUMBER(Main_M[[#This Row],[EPS]]),IF(Main_M[[#This Row],[EPS]]&lt;&gt;0,Main_M[[#This Row],[Current Price]]/Main_M[[#This Row],[EPS]],""),"")</f>
        <v>11.895604395604394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-0.53130139288718747</v>
      </c>
      <c r="P78" s="1">
        <f>(Main_M[[#This Row],[P/B]]-VLOOKUP(Main_M[[#This Row],[Industry]], Mean_PB_M, 2, FALSE))/(VLOOKUP(Main_M[[#This Row],[Industry]], Mean_PB_M, 3, FALSE))</f>
        <v>1.5524906934767775</v>
      </c>
      <c r="Q78" s="1">
        <f>(Main_M[[#This Row],[ROE]]-VLOOKUP(Main_M[[#This Row],[Industry]], Mean_ROE_M, 2, FALSE))/(VLOOKUP(Main_M[[#This Row],[Industry]], Mean_ROE_M, 3, FALSE))</f>
        <v>2.7434327582589884</v>
      </c>
      <c r="R78" s="1">
        <f>(Main_M[[#This Row],[ROA]]-VLOOKUP(Main_M[[#This Row],[Industry]], Mean_ROA_M, 2, FALSE))/(VLOOKUP(Main_M[[#This Row],[Industry]], Mean_ROA_M, 3, FALSE))</f>
        <v>1.8916571561294588</v>
      </c>
      <c r="S78" s="1">
        <f>(Main_M[[#This Row],[A/E]]-VLOOKUP(Main_M[[#This Row],[Industry]], Mean_AE_M, 2, FALSE))/(VLOOKUP(Main_M[[#This Row],[Industry]], Mean_AE_M, 3, FALSE))</f>
        <v>-1.2385159197382227E-2</v>
      </c>
      <c r="T78" s="1">
        <f>(Main_M[[#This Row],[P/E]]-VLOOKUP(Main_M[[#This Row],[Industry]], Mean_PE_M, 2, FALSE))/(VLOOKUP(Main_M[[#This Row],[Industry]], Mean_PE_M, 3, FALSE))</f>
        <v>-0.77753064615703882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s="68" t="s">
        <v>173</v>
      </c>
      <c r="B79" s="68" t="s">
        <v>367</v>
      </c>
      <c r="C79" s="2">
        <v>6769</v>
      </c>
      <c r="D79">
        <f>RTD("tos.rtd", , "LAST", Main_M[[#This Row],[Symbol]])</f>
        <v>31.12</v>
      </c>
      <c r="E79">
        <v>-12.55</v>
      </c>
      <c r="F79">
        <v>27.39</v>
      </c>
      <c r="G79">
        <v>3.45</v>
      </c>
      <c r="H79" s="1">
        <f>IF(ISNUMBER(Main_M[[#This Row],[Free CF]]),IF(Main_M[[#This Row],[Free CF]]&lt;&gt;0,Main_M[[#This Row],[Current Price]]/Main_M[[#This Row],[Free CF]],""),"")</f>
        <v>-2.4796812749003982</v>
      </c>
      <c r="I79" s="1">
        <f>IF(ISNUMBER(Main_M[[#This Row],[BVPS]]),IF(Main_M[[#This Row],[BVPS]]&lt;&gt;0,Main_M[[#This Row],[Current Price]]/Main_M[[#This Row],[BVPS]],""),"")</f>
        <v>1.136181087988317</v>
      </c>
      <c r="J79">
        <v>12.59</v>
      </c>
      <c r="K79">
        <v>5.55</v>
      </c>
      <c r="L79">
        <v>2.2200000000000002</v>
      </c>
      <c r="M79" s="1">
        <f>IF(ISNUMBER(Main_M[[#This Row],[EPS]]),IF(Main_M[[#This Row],[EPS]]&lt;&gt;0,Main_M[[#This Row],[Current Price]]/Main_M[[#This Row],[EPS]],""),"")</f>
        <v>9.0202898550724644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-1.766856748822224</v>
      </c>
      <c r="P79" s="1">
        <f>(Main_M[[#This Row],[P/B]]-VLOOKUP(Main_M[[#This Row],[Industry]], Mean_PB_M, 2, FALSE))/(VLOOKUP(Main_M[[#This Row],[Industry]], Mean_PB_M, 3, FALSE))</f>
        <v>-0.93567784259978681</v>
      </c>
      <c r="Q79" s="1">
        <f>(Main_M[[#This Row],[ROE]]-VLOOKUP(Main_M[[#This Row],[Industry]], Mean_ROE_M, 2, FALSE))/(VLOOKUP(Main_M[[#This Row],[Industry]], Mean_ROE_M, 3, FALSE))</f>
        <v>-0.53797620983650762</v>
      </c>
      <c r="R79" s="1">
        <f>(Main_M[[#This Row],[ROA]]-VLOOKUP(Main_M[[#This Row],[Industry]], Mean_ROA_M, 2, FALSE))/(VLOOKUP(Main_M[[#This Row],[Industry]], Mean_ROA_M, 3, FALSE))</f>
        <v>-0.18013335141571038</v>
      </c>
      <c r="S79" s="1">
        <f>(Main_M[[#This Row],[A/E]]-VLOOKUP(Main_M[[#This Row],[Industry]], Mean_AE_M, 2, FALSE))/(VLOOKUP(Main_M[[#This Row],[Industry]], Mean_AE_M, 3, FALSE))</f>
        <v>-0.48345199684390106</v>
      </c>
      <c r="T79" s="1">
        <f>(Main_M[[#This Row],[P/E]]-VLOOKUP(Main_M[[#This Row],[Industry]], Mean_PE_M, 2, FALSE))/(VLOOKUP(Main_M[[#This Row],[Industry]], Mean_PE_M, 3, FALSE))</f>
        <v>-1.1457228268263382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s="68" t="s">
        <v>173</v>
      </c>
      <c r="B80" s="68" t="s">
        <v>368</v>
      </c>
      <c r="C80" s="2">
        <v>3960</v>
      </c>
      <c r="D80">
        <f>RTD("tos.rtd", , "LAST", Main_M[[#This Row],[Symbol]])</f>
        <v>81.95</v>
      </c>
      <c r="E80">
        <v>-0.5</v>
      </c>
      <c r="F80">
        <v>9.9600000000000009</v>
      </c>
      <c r="G80">
        <v>3.06</v>
      </c>
      <c r="H80" s="1">
        <f>IF(ISNUMBER(Main_M[[#This Row],[Free CF]]),IF(Main_M[[#This Row],[Free CF]]&lt;&gt;0,Main_M[[#This Row],[Current Price]]/Main_M[[#This Row],[Free CF]],""),"")</f>
        <v>-163.9</v>
      </c>
      <c r="I80" s="1">
        <f>IF(ISNUMBER(Main_M[[#This Row],[BVPS]]),IF(Main_M[[#This Row],[BVPS]]&lt;&gt;0,Main_M[[#This Row],[Current Price]]/Main_M[[#This Row],[BVPS]],""),"")</f>
        <v>8.2279116465863442</v>
      </c>
      <c r="J80">
        <v>30.76</v>
      </c>
      <c r="K80">
        <v>14.72</v>
      </c>
      <c r="L80">
        <v>1.64</v>
      </c>
      <c r="M80" s="1">
        <f>IF(ISNUMBER(Main_M[[#This Row],[EPS]]),IF(Main_M[[#This Row],[EPS]]&lt;&gt;0,Main_M[[#This Row],[Current Price]]/Main_M[[#This Row],[EPS]],""),"")</f>
        <v>26.781045751633986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-21.924773909510503</v>
      </c>
      <c r="P80" s="1">
        <f>(Main_M[[#This Row],[P/B]]-VLOOKUP(Main_M[[#This Row],[Industry]], Mean_PB_M, 2, FALSE))/(VLOOKUP(Main_M[[#This Row],[Industry]], Mean_PB_M, 3, FALSE))</f>
        <v>1.4420487397726582</v>
      </c>
      <c r="Q80" s="1">
        <f>(Main_M[[#This Row],[ROE]]-VLOOKUP(Main_M[[#This Row],[Industry]], Mean_ROE_M, 2, FALSE))/(VLOOKUP(Main_M[[#This Row],[Industry]], Mean_ROE_M, 3, FALSE))</f>
        <v>0.698763075587578</v>
      </c>
      <c r="R80" s="1">
        <f>(Main_M[[#This Row],[ROA]]-VLOOKUP(Main_M[[#This Row],[Industry]], Mean_ROA_M, 2, FALSE))/(VLOOKUP(Main_M[[#This Row],[Industry]], Mean_ROA_M, 3, FALSE))</f>
        <v>1.587152132694913</v>
      </c>
      <c r="S80" s="1">
        <f>(Main_M[[#This Row],[A/E]]-VLOOKUP(Main_M[[#This Row],[Industry]], Mean_AE_M, 2, FALSE))/(VLOOKUP(Main_M[[#This Row],[Industry]], Mean_AE_M, 3, FALSE))</f>
        <v>-0.65210555600129683</v>
      </c>
      <c r="T80" s="1">
        <f>(Main_M[[#This Row],[P/E]]-VLOOKUP(Main_M[[#This Row],[Industry]], Mean_PE_M, 2, FALSE))/(VLOOKUP(Main_M[[#This Row],[Industry]], Mean_PE_M, 3, FALSE))</f>
        <v>1.1285923312920938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s="68" t="s">
        <v>173</v>
      </c>
      <c r="B81" s="68" t="s">
        <v>369</v>
      </c>
      <c r="C81" s="2">
        <v>3429</v>
      </c>
      <c r="D81">
        <f>RTD("tos.rtd", , "LAST", Main_M[[#This Row],[Symbol]])</f>
        <v>42.82</v>
      </c>
      <c r="E81">
        <v>4.3499999999999996</v>
      </c>
      <c r="F81">
        <v>14.26</v>
      </c>
      <c r="G81">
        <v>3.58</v>
      </c>
      <c r="H81" s="1">
        <f>IF(ISNUMBER(Main_M[[#This Row],[Free CF]]),IF(Main_M[[#This Row],[Free CF]]&lt;&gt;0,Main_M[[#This Row],[Current Price]]/Main_M[[#This Row],[Free CF]],""),"")</f>
        <v>9.8436781609195414</v>
      </c>
      <c r="I81" s="1">
        <f>IF(ISNUMBER(Main_M[[#This Row],[BVPS]]),IF(Main_M[[#This Row],[BVPS]]&lt;&gt;0,Main_M[[#This Row],[Current Price]]/Main_M[[#This Row],[BVPS]],""),"")</f>
        <v>3.0028050490883591</v>
      </c>
      <c r="J81">
        <v>25.15</v>
      </c>
      <c r="K81">
        <v>14.02</v>
      </c>
      <c r="L81">
        <v>1.86</v>
      </c>
      <c r="M81" s="1">
        <f>IF(ISNUMBER(Main_M[[#This Row],[EPS]]),IF(Main_M[[#This Row],[EPS]]&lt;&gt;0,Main_M[[#This Row],[Current Price]]/Main_M[[#This Row],[EPS]],""),"")</f>
        <v>11.960893854748603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81" s="1">
        <f>(Main_M[[#This Row],[P/FCF]]-VLOOKUP(Main_M[[#This Row],[Industry]], Mean_PFCF_M, 2, FALSE))/(VLOOKUP(Main_M[[#This Row],[Industry]], Mean_PFCF_M, 3, FALSE))</f>
        <v>-0.22793487944037241</v>
      </c>
      <c r="P81" s="1">
        <f>(Main_M[[#This Row],[P/B]]-VLOOKUP(Main_M[[#This Row],[Industry]], Mean_PB_M, 2, FALSE))/(VLOOKUP(Main_M[[#This Row],[Industry]], Mean_PB_M, 3, FALSE))</f>
        <v>-0.30983322330303559</v>
      </c>
      <c r="Q81" s="1">
        <f>(Main_M[[#This Row],[ROE]]-VLOOKUP(Main_M[[#This Row],[Industry]], Mean_ROE_M, 2, FALSE))/(VLOOKUP(Main_M[[#This Row],[Industry]], Mean_ROE_M, 3, FALSE))</f>
        <v>0.31691897040160533</v>
      </c>
      <c r="R81" s="1">
        <f>(Main_M[[#This Row],[ROA]]-VLOOKUP(Main_M[[#This Row],[Industry]], Mean_ROA_M, 2, FALSE))/(VLOOKUP(Main_M[[#This Row],[Industry]], Mean_ROA_M, 3, FALSE))</f>
        <v>1.4522448438315063</v>
      </c>
      <c r="S81" s="1">
        <f>(Main_M[[#This Row],[A/E]]-VLOOKUP(Main_M[[#This Row],[Industry]], Mean_AE_M, 2, FALSE))/(VLOOKUP(Main_M[[#This Row],[Industry]], Mean_AE_M, 3, FALSE))</f>
        <v>-0.58813351632090527</v>
      </c>
      <c r="T81" s="1">
        <f>(Main_M[[#This Row],[P/E]]-VLOOKUP(Main_M[[#This Row],[Industry]], Mean_PE_M, 2, FALSE))/(VLOOKUP(Main_M[[#This Row],[Industry]], Mean_PE_M, 3, FALSE))</f>
        <v>-0.76917014576720044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s="68" t="s">
        <v>173</v>
      </c>
      <c r="B82" s="68" t="s">
        <v>370</v>
      </c>
      <c r="C82" s="2">
        <v>5447</v>
      </c>
      <c r="D82">
        <f>RTD("tos.rtd", , "LAST", Main_M[[#This Row],[Symbol]])</f>
        <v>20.79</v>
      </c>
      <c r="E82">
        <v>6.79</v>
      </c>
      <c r="F82">
        <v>23.64</v>
      </c>
      <c r="G82">
        <v>2.09</v>
      </c>
      <c r="H82" s="1">
        <f>IF(ISNUMBER(Main_M[[#This Row],[Free CF]]),IF(Main_M[[#This Row],[Free CF]]&lt;&gt;0,Main_M[[#This Row],[Current Price]]/Main_M[[#This Row],[Free CF]],""),"")</f>
        <v>3.0618556701030926</v>
      </c>
      <c r="I82" s="1">
        <f>IF(ISNUMBER(Main_M[[#This Row],[BVPS]]),IF(Main_M[[#This Row],[BVPS]]&lt;&gt;0,Main_M[[#This Row],[Current Price]]/Main_M[[#This Row],[BVPS]],""),"")</f>
        <v>0.87944162436548212</v>
      </c>
      <c r="J82">
        <v>8.69</v>
      </c>
      <c r="K82">
        <v>5.48</v>
      </c>
      <c r="L82">
        <v>2.15</v>
      </c>
      <c r="M82" s="1">
        <f>IF(ISNUMBER(Main_M[[#This Row],[EPS]]),IF(Main_M[[#This Row],[EPS]]&lt;&gt;0,Main_M[[#This Row],[Current Price]]/Main_M[[#This Row],[EPS]],""),"")</f>
        <v>9.9473684210526319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-1.0748382745525125</v>
      </c>
      <c r="P82" s="1">
        <f>(Main_M[[#This Row],[P/B]]-VLOOKUP(Main_M[[#This Row],[Industry]], Mean_PB_M, 2, FALSE))/(VLOOKUP(Main_M[[#This Row],[Industry]], Mean_PB_M, 3, FALSE))</f>
        <v>-1.0217578540096872</v>
      </c>
      <c r="Q82" s="1">
        <f>(Main_M[[#This Row],[ROE]]-VLOOKUP(Main_M[[#This Row],[Industry]], Mean_ROE_M, 2, FALSE))/(VLOOKUP(Main_M[[#This Row],[Industry]], Mean_ROE_M, 3, FALSE))</f>
        <v>-0.803429331088788</v>
      </c>
      <c r="R82" s="1">
        <f>(Main_M[[#This Row],[ROA]]-VLOOKUP(Main_M[[#This Row],[Industry]], Mean_ROA_M, 2, FALSE))/(VLOOKUP(Main_M[[#This Row],[Industry]], Mean_ROA_M, 3, FALSE))</f>
        <v>-0.19362408030205089</v>
      </c>
      <c r="S82" s="1">
        <f>(Main_M[[#This Row],[A/E]]-VLOOKUP(Main_M[[#This Row],[Industry]], Mean_AE_M, 2, FALSE))/(VLOOKUP(Main_M[[#This Row],[Industry]], Mean_AE_M, 3, FALSE))</f>
        <v>-0.50380673674220755</v>
      </c>
      <c r="T82" s="1">
        <f>(Main_M[[#This Row],[P/E]]-VLOOKUP(Main_M[[#This Row],[Industry]], Mean_PE_M, 2, FALSE))/(VLOOKUP(Main_M[[#This Row],[Industry]], Mean_PE_M, 3, FALSE))</f>
        <v>-1.0270077874634249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s="68" t="s">
        <v>173</v>
      </c>
      <c r="B83" s="68" t="s">
        <v>371</v>
      </c>
      <c r="C83" s="2">
        <v>3765</v>
      </c>
      <c r="D83">
        <f>RTD("tos.rtd", , "LAST", Main_M[[#This Row],[Symbol]])</f>
        <v>14.87</v>
      </c>
      <c r="E83">
        <v>-0.86</v>
      </c>
      <c r="F83">
        <v>15.13</v>
      </c>
      <c r="G83">
        <v>1.38</v>
      </c>
      <c r="H83" s="1">
        <f>IF(ISNUMBER(Main_M[[#This Row],[Free CF]]),IF(Main_M[[#This Row],[Free CF]]&lt;&gt;0,Main_M[[#This Row],[Current Price]]/Main_M[[#This Row],[Free CF]],""),"")</f>
        <v>-17.290697674418603</v>
      </c>
      <c r="I83" s="1">
        <f>IF(ISNUMBER(Main_M[[#This Row],[BVPS]]),IF(Main_M[[#This Row],[BVPS]]&lt;&gt;0,Main_M[[#This Row],[Current Price]]/Main_M[[#This Row],[BVPS]],""),"")</f>
        <v>0.98281559814937203</v>
      </c>
      <c r="J83">
        <v>9.4</v>
      </c>
      <c r="K83">
        <v>5.49</v>
      </c>
      <c r="L83">
        <v>2.2400000000000002</v>
      </c>
      <c r="M83" s="1">
        <f>IF(ISNUMBER(Main_M[[#This Row],[EPS]]),IF(Main_M[[#This Row],[EPS]]&lt;&gt;0,Main_M[[#This Row],[Current Price]]/Main_M[[#This Row],[EPS]],""),"")</f>
        <v>10.77536231884058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-3.6164333325206672</v>
      </c>
      <c r="P83" s="1">
        <f>(Main_M[[#This Row],[P/B]]-VLOOKUP(Main_M[[#This Row],[Industry]], Mean_PB_M, 2, FALSE))/(VLOOKUP(Main_M[[#This Row],[Industry]], Mean_PB_M, 3, FALSE))</f>
        <v>-0.98709846539354396</v>
      </c>
      <c r="Q83" s="1">
        <f>(Main_M[[#This Row],[ROE]]-VLOOKUP(Main_M[[#This Row],[Industry]], Mean_ROE_M, 2, FALSE))/(VLOOKUP(Main_M[[#This Row],[Industry]], Mean_ROE_M, 3, FALSE))</f>
        <v>-0.75510325004029588</v>
      </c>
      <c r="R83" s="1">
        <f>(Main_M[[#This Row],[ROA]]-VLOOKUP(Main_M[[#This Row],[Industry]], Mean_ROA_M, 2, FALSE))/(VLOOKUP(Main_M[[#This Row],[Industry]], Mean_ROA_M, 3, FALSE))</f>
        <v>-0.19169683331828799</v>
      </c>
      <c r="S83" s="1">
        <f>(Main_M[[#This Row],[A/E]]-VLOOKUP(Main_M[[#This Row],[Industry]], Mean_AE_M, 2, FALSE))/(VLOOKUP(Main_M[[#This Row],[Industry]], Mean_AE_M, 3, FALSE))</f>
        <v>-0.47763635687295636</v>
      </c>
      <c r="T83" s="1">
        <f>(Main_M[[#This Row],[P/E]]-VLOOKUP(Main_M[[#This Row],[Industry]], Mean_PE_M, 2, FALSE))/(VLOOKUP(Main_M[[#This Row],[Industry]], Mean_PE_M, 3, FALSE))</f>
        <v>-0.92098082084466382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s="68" t="s">
        <v>173</v>
      </c>
      <c r="B84" s="68" t="s">
        <v>372</v>
      </c>
      <c r="C84" s="2">
        <v>6874</v>
      </c>
      <c r="D84">
        <f>RTD("tos.rtd", , "LAST", Main_M[[#This Row],[Symbol]])</f>
        <v>174.04</v>
      </c>
      <c r="E84">
        <v>7</v>
      </c>
      <c r="F84">
        <v>15.54</v>
      </c>
      <c r="G84">
        <v>5.42</v>
      </c>
      <c r="H84" s="1">
        <f>IF(ISNUMBER(Main_M[[#This Row],[Free CF]]),IF(Main_M[[#This Row],[Free CF]]&lt;&gt;0,Main_M[[#This Row],[Current Price]]/Main_M[[#This Row],[Free CF]],""),"")</f>
        <v>24.862857142857141</v>
      </c>
      <c r="I84" s="1">
        <f>IF(ISNUMBER(Main_M[[#This Row],[BVPS]]),IF(Main_M[[#This Row],[BVPS]]&lt;&gt;0,Main_M[[#This Row],[Current Price]]/Main_M[[#This Row],[BVPS]],""),"")</f>
        <v>11.199485199485199</v>
      </c>
      <c r="J84">
        <v>42.7</v>
      </c>
      <c r="K84">
        <v>14.13</v>
      </c>
      <c r="L84">
        <v>2.4500000000000002</v>
      </c>
      <c r="M84" s="1">
        <f>IF(ISNUMBER(Main_M[[#This Row],[EPS]]),IF(Main_M[[#This Row],[EPS]]&lt;&gt;0,Main_M[[#This Row],[Current Price]]/Main_M[[#This Row],[EPS]],""),"")</f>
        <v>32.110701107011067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1.6476367222676136</v>
      </c>
      <c r="P84" s="1">
        <f>(Main_M[[#This Row],[P/B]]-VLOOKUP(Main_M[[#This Row],[Industry]], Mean_PB_M, 2, FALSE))/(VLOOKUP(Main_M[[#This Row],[Industry]], Mean_PB_M, 3, FALSE))</f>
        <v>2.4383625971337795</v>
      </c>
      <c r="Q84" s="1">
        <f>(Main_M[[#This Row],[ROE]]-VLOOKUP(Main_M[[#This Row],[Industry]], Mean_ROE_M, 2, FALSE))/(VLOOKUP(Main_M[[#This Row],[Industry]], Mean_ROE_M, 3, FALSE))</f>
        <v>1.5114580160368671</v>
      </c>
      <c r="R84" s="1">
        <f>(Main_M[[#This Row],[ROA]]-VLOOKUP(Main_M[[#This Row],[Industry]], Mean_ROA_M, 2, FALSE))/(VLOOKUP(Main_M[[#This Row],[Industry]], Mean_ROA_M, 3, FALSE))</f>
        <v>1.473444560652899</v>
      </c>
      <c r="S84" s="1">
        <f>(Main_M[[#This Row],[A/E]]-VLOOKUP(Main_M[[#This Row],[Industry]], Mean_AE_M, 2, FALSE))/(VLOOKUP(Main_M[[#This Row],[Industry]], Mean_AE_M, 3, FALSE))</f>
        <v>-0.41657213717803726</v>
      </c>
      <c r="T84" s="1">
        <f>(Main_M[[#This Row],[P/E]]-VLOOKUP(Main_M[[#This Row],[Industry]], Mean_PE_M, 2, FALSE))/(VLOOKUP(Main_M[[#This Row],[Industry]], Mean_PE_M, 3, FALSE))</f>
        <v>1.8110698132684018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s="68" t="s">
        <v>173</v>
      </c>
      <c r="B85" s="68" t="s">
        <v>373</v>
      </c>
      <c r="C85" s="2">
        <v>3031</v>
      </c>
      <c r="D85">
        <f>RTD("tos.rtd", , "LAST", Main_M[[#This Row],[Symbol]])</f>
        <v>17.71</v>
      </c>
      <c r="E85">
        <v>-0.61</v>
      </c>
      <c r="F85">
        <v>11.71</v>
      </c>
      <c r="G85">
        <v>1.33</v>
      </c>
      <c r="H85" s="1">
        <f>IF(ISNUMBER(Main_M[[#This Row],[Free CF]]),IF(Main_M[[#This Row],[Free CF]]&lt;&gt;0,Main_M[[#This Row],[Current Price]]/Main_M[[#This Row],[Free CF]],""),"")</f>
        <v>-29.032786885245905</v>
      </c>
      <c r="I85" s="1">
        <f>IF(ISNUMBER(Main_M[[#This Row],[BVPS]]),IF(Main_M[[#This Row],[BVPS]]&lt;&gt;0,Main_M[[#This Row],[Current Price]]/Main_M[[#This Row],[BVPS]],""),"")</f>
        <v>1.5123825789923142</v>
      </c>
      <c r="J85">
        <v>11.44</v>
      </c>
      <c r="K85">
        <v>6.67</v>
      </c>
      <c r="L85">
        <v>2.02</v>
      </c>
      <c r="M85" s="1">
        <f>IF(ISNUMBER(Main_M[[#This Row],[EPS]]),IF(Main_M[[#This Row],[EPS]]&lt;&gt;0,Main_M[[#This Row],[Current Price]]/Main_M[[#This Row],[EPS]],""),"")</f>
        <v>13.315789473684211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-5.0827670845210218</v>
      </c>
      <c r="P85" s="1">
        <f>(Main_M[[#This Row],[P/B]]-VLOOKUP(Main_M[[#This Row],[Industry]], Mean_PB_M, 2, FALSE))/(VLOOKUP(Main_M[[#This Row],[Industry]], Mean_PB_M, 3, FALSE))</f>
        <v>-0.80954441464490579</v>
      </c>
      <c r="Q85" s="1">
        <f>(Main_M[[#This Row],[ROE]]-VLOOKUP(Main_M[[#This Row],[Industry]], Mean_ROE_M, 2, FALSE))/(VLOOKUP(Main_M[[#This Row],[Industry]], Mean_ROE_M, 3, FALSE))</f>
        <v>-0.61625084815448772</v>
      </c>
      <c r="R85" s="1">
        <f>(Main_M[[#This Row],[ROA]]-VLOOKUP(Main_M[[#This Row],[Industry]], Mean_ROA_M, 2, FALSE))/(VLOOKUP(Main_M[[#This Row],[Industry]], Mean_ROA_M, 3, FALSE))</f>
        <v>3.5718310765739801E-2</v>
      </c>
      <c r="S85" s="1">
        <f>(Main_M[[#This Row],[A/E]]-VLOOKUP(Main_M[[#This Row],[Industry]], Mean_AE_M, 2, FALSE))/(VLOOKUP(Main_M[[#This Row],[Industry]], Mean_AE_M, 3, FALSE))</f>
        <v>-0.54160839655334791</v>
      </c>
      <c r="T85" s="1">
        <f>(Main_M[[#This Row],[P/E]]-VLOOKUP(Main_M[[#This Row],[Industry]], Mean_PE_M, 2, FALSE))/(VLOOKUP(Main_M[[#This Row],[Industry]], Mean_PE_M, 3, FALSE))</f>
        <v>-0.59567191957908661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s="68" t="s">
        <v>173</v>
      </c>
      <c r="B86" s="68" t="s">
        <v>374</v>
      </c>
      <c r="C86" s="2">
        <v>6413</v>
      </c>
      <c r="D86">
        <f>RTD("tos.rtd", , "LAST", Main_M[[#This Row],[Symbol]])</f>
        <v>15.65</v>
      </c>
      <c r="E86">
        <v>1.86</v>
      </c>
      <c r="F86">
        <v>23.88</v>
      </c>
      <c r="G86">
        <v>1.24</v>
      </c>
      <c r="H86" s="1">
        <f>IF(ISNUMBER(Main_M[[#This Row],[Free CF]]),IF(Main_M[[#This Row],[Free CF]]&lt;&gt;0,Main_M[[#This Row],[Current Price]]/Main_M[[#This Row],[Free CF]],""),"")</f>
        <v>8.413978494623656</v>
      </c>
      <c r="I86" s="1">
        <f>IF(ISNUMBER(Main_M[[#This Row],[BVPS]]),IF(Main_M[[#This Row],[BVPS]]&lt;&gt;0,Main_M[[#This Row],[Current Price]]/Main_M[[#This Row],[BVPS]],""),"")</f>
        <v>0.65536013400335014</v>
      </c>
      <c r="J86">
        <v>5.09</v>
      </c>
      <c r="K86">
        <v>2.44</v>
      </c>
      <c r="L86">
        <v>2.63</v>
      </c>
      <c r="M86" s="1">
        <f>IF(ISNUMBER(Main_M[[#This Row],[EPS]]),IF(Main_M[[#This Row],[EPS]]&lt;&gt;0,Main_M[[#This Row],[Current Price]]/Main_M[[#This Row],[EPS]],""),"")</f>
        <v>12.620967741935484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-0.40647353966279759</v>
      </c>
      <c r="P86" s="1">
        <f>(Main_M[[#This Row],[P/B]]-VLOOKUP(Main_M[[#This Row],[Industry]], Mean_PB_M, 2, FALSE))/(VLOOKUP(Main_M[[#This Row],[Industry]], Mean_PB_M, 3, FALSE))</f>
        <v>-1.0968882487489096</v>
      </c>
      <c r="Q86" s="1">
        <f>(Main_M[[#This Row],[ROE]]-VLOOKUP(Main_M[[#This Row],[Industry]], Mean_ROE_M, 2, FALSE))/(VLOOKUP(Main_M[[#This Row],[Industry]], Mean_ROE_M, 3, FALSE))</f>
        <v>-1.0484629814755082</v>
      </c>
      <c r="R86" s="1">
        <f>(Main_M[[#This Row],[ROA]]-VLOOKUP(Main_M[[#This Row],[Industry]], Mean_ROA_M, 2, FALSE))/(VLOOKUP(Main_M[[#This Row],[Industry]], Mean_ROA_M, 3, FALSE))</f>
        <v>-0.77950716336598724</v>
      </c>
      <c r="S86" s="1">
        <f>(Main_M[[#This Row],[A/E]]-VLOOKUP(Main_M[[#This Row],[Industry]], Mean_AE_M, 2, FALSE))/(VLOOKUP(Main_M[[#This Row],[Industry]], Mean_AE_M, 3, FALSE))</f>
        <v>-0.36423137743953526</v>
      </c>
      <c r="T86" s="1">
        <f>(Main_M[[#This Row],[P/E]]-VLOOKUP(Main_M[[#This Row],[Industry]], Mean_PE_M, 2, FALSE))/(VLOOKUP(Main_M[[#This Row],[Industry]], Mean_PE_M, 3, FALSE))</f>
        <v>-0.68464581268980507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s="68" t="s">
        <v>173</v>
      </c>
      <c r="B87" s="68" t="s">
        <v>375</v>
      </c>
      <c r="C87" s="2">
        <v>5606</v>
      </c>
      <c r="D87">
        <f>RTD("tos.rtd", , "LAST", Main_M[[#This Row],[Symbol]])</f>
        <v>38.24</v>
      </c>
      <c r="E87">
        <v>4.4800000000000004</v>
      </c>
      <c r="F87">
        <v>29.81</v>
      </c>
      <c r="G87">
        <v>2.52</v>
      </c>
      <c r="H87" s="1">
        <f>IF(ISNUMBER(Main_M[[#This Row],[Free CF]]),IF(Main_M[[#This Row],[Free CF]]&lt;&gt;0,Main_M[[#This Row],[Current Price]]/Main_M[[#This Row],[Free CF]],""),"")</f>
        <v>8.5357142857142847</v>
      </c>
      <c r="I87" s="1">
        <f>IF(ISNUMBER(Main_M[[#This Row],[BVPS]]),IF(Main_M[[#This Row],[BVPS]]&lt;&gt;0,Main_M[[#This Row],[Current Price]]/Main_M[[#This Row],[BVPS]],""),"")</f>
        <v>1.2827910097282793</v>
      </c>
      <c r="J87">
        <v>8.3699999999999992</v>
      </c>
      <c r="K87">
        <v>6.31</v>
      </c>
      <c r="L87">
        <v>1.52</v>
      </c>
      <c r="M87" s="1">
        <f>IF(ISNUMBER(Main_M[[#This Row],[EPS]]),IF(Main_M[[#This Row],[EPS]]&lt;&gt;0,Main_M[[#This Row],[Current Price]]/Main_M[[#This Row],[EPS]],""),"")</f>
        <v>15.174603174603176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-0.39127136430050735</v>
      </c>
      <c r="P87" s="1">
        <f>(Main_M[[#This Row],[P/B]]-VLOOKUP(Main_M[[#This Row],[Industry]], Mean_PB_M, 2, FALSE))/(VLOOKUP(Main_M[[#This Row],[Industry]], Mean_PB_M, 3, FALSE))</f>
        <v>-0.88652223730990298</v>
      </c>
      <c r="Q87" s="1">
        <f>(Main_M[[#This Row],[ROE]]-VLOOKUP(Main_M[[#This Row],[Industry]], Mean_ROE_M, 2, FALSE))/(VLOOKUP(Main_M[[#This Row],[Industry]], Mean_ROE_M, 3, FALSE))</f>
        <v>-0.82521010001205197</v>
      </c>
      <c r="R87" s="1">
        <f>(Main_M[[#This Row],[ROA]]-VLOOKUP(Main_M[[#This Row],[Industry]], Mean_ROA_M, 2, FALSE))/(VLOOKUP(Main_M[[#This Row],[Industry]], Mean_ROA_M, 3, FALSE))</f>
        <v>-3.3662580649726388E-2</v>
      </c>
      <c r="S87" s="1">
        <f>(Main_M[[#This Row],[A/E]]-VLOOKUP(Main_M[[#This Row],[Industry]], Mean_AE_M, 2, FALSE))/(VLOOKUP(Main_M[[#This Row],[Industry]], Mean_AE_M, 3, FALSE))</f>
        <v>-0.6869993958269649</v>
      </c>
      <c r="T87" s="1">
        <f>(Main_M[[#This Row],[P/E]]-VLOOKUP(Main_M[[#This Row],[Industry]], Mean_PE_M, 2, FALSE))/(VLOOKUP(Main_M[[#This Row],[Industry]], Mean_PE_M, 3, FALSE))</f>
        <v>-0.35764555399311104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s="68" t="s">
        <v>173</v>
      </c>
      <c r="B88" s="68" t="s">
        <v>376</v>
      </c>
      <c r="C88" s="2">
        <v>4728</v>
      </c>
      <c r="D88">
        <f>RTD("tos.rtd", , "LAST", Main_M[[#This Row],[Symbol]])</f>
        <v>53.97</v>
      </c>
      <c r="E88">
        <v>-1</v>
      </c>
      <c r="F88">
        <v>31.65</v>
      </c>
      <c r="G88">
        <v>5.85</v>
      </c>
      <c r="H88" s="1">
        <f>IF(ISNUMBER(Main_M[[#This Row],[Free CF]]),IF(Main_M[[#This Row],[Free CF]]&lt;&gt;0,Main_M[[#This Row],[Current Price]]/Main_M[[#This Row],[Free CF]],""),"")</f>
        <v>-53.97</v>
      </c>
      <c r="I88" s="1">
        <f>IF(ISNUMBER(Main_M[[#This Row],[BVPS]]),IF(Main_M[[#This Row],[BVPS]]&lt;&gt;0,Main_M[[#This Row],[Current Price]]/Main_M[[#This Row],[BVPS]],""),"")</f>
        <v>1.70521327014218</v>
      </c>
      <c r="J88">
        <v>19.260000000000002</v>
      </c>
      <c r="K88">
        <v>6.25</v>
      </c>
      <c r="L88">
        <v>1.83</v>
      </c>
      <c r="M88" s="1">
        <f>IF(ISNUMBER(Main_M[[#This Row],[EPS]]),IF(Main_M[[#This Row],[EPS]]&lt;&gt;0,Main_M[[#This Row],[Current Price]]/Main_M[[#This Row],[EPS]],""),"")</f>
        <v>9.2256410256410266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-8.1968872904271635</v>
      </c>
      <c r="P88" s="1">
        <f>(Main_M[[#This Row],[P/B]]-VLOOKUP(Main_M[[#This Row],[Industry]], Mean_PB_M, 2, FALSE))/(VLOOKUP(Main_M[[#This Row],[Industry]], Mean_PB_M, 3, FALSE))</f>
        <v>-0.74489183704684647</v>
      </c>
      <c r="Q88" s="1">
        <f>(Main_M[[#This Row],[ROE]]-VLOOKUP(Main_M[[#This Row],[Industry]], Mean_ROE_M, 2, FALSE))/(VLOOKUP(Main_M[[#This Row],[Industry]], Mean_ROE_M, 3, FALSE))</f>
        <v>-8.3983307592222958E-2</v>
      </c>
      <c r="R88" s="1">
        <f>(Main_M[[#This Row],[ROA]]-VLOOKUP(Main_M[[#This Row],[Industry]], Mean_ROA_M, 2, FALSE))/(VLOOKUP(Main_M[[#This Row],[Industry]], Mean_ROA_M, 3, FALSE))</f>
        <v>-4.5226062552303999E-2</v>
      </c>
      <c r="S88" s="1">
        <f>(Main_M[[#This Row],[A/E]]-VLOOKUP(Main_M[[#This Row],[Industry]], Mean_AE_M, 2, FALSE))/(VLOOKUP(Main_M[[#This Row],[Industry]], Mean_AE_M, 3, FALSE))</f>
        <v>-0.59685697627732237</v>
      </c>
      <c r="T88" s="1">
        <f>(Main_M[[#This Row],[P/E]]-VLOOKUP(Main_M[[#This Row],[Industry]], Mean_PE_M, 2, FALSE))/(VLOOKUP(Main_M[[#This Row],[Industry]], Mean_PE_M, 3, FALSE))</f>
        <v>-1.1194270271046685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s="68" t="s">
        <v>173</v>
      </c>
      <c r="B89" s="68" t="s">
        <v>377</v>
      </c>
      <c r="C89" s="2">
        <v>7006</v>
      </c>
      <c r="D89">
        <f>RTD("tos.rtd", , "LAST", Main_M[[#This Row],[Symbol]])</f>
        <v>14.58</v>
      </c>
      <c r="E89">
        <v>0.41</v>
      </c>
      <c r="F89">
        <v>15.26</v>
      </c>
      <c r="G89">
        <v>1.53</v>
      </c>
      <c r="H89" s="1">
        <f>IF(ISNUMBER(Main_M[[#This Row],[Free CF]]),IF(Main_M[[#This Row],[Free CF]]&lt;&gt;0,Main_M[[#This Row],[Current Price]]/Main_M[[#This Row],[Free CF]],""),"")</f>
        <v>35.560975609756099</v>
      </c>
      <c r="I89" s="1">
        <f>IF(ISNUMBER(Main_M[[#This Row],[BVPS]]),IF(Main_M[[#This Row],[BVPS]]&lt;&gt;0,Main_M[[#This Row],[Current Price]]/Main_M[[#This Row],[BVPS]],""),"")</f>
        <v>0.95543905635648751</v>
      </c>
      <c r="J89">
        <v>9.94</v>
      </c>
      <c r="K89">
        <v>5.56</v>
      </c>
      <c r="L89">
        <v>2.33</v>
      </c>
      <c r="M89" s="1">
        <f>IF(ISNUMBER(Main_M[[#This Row],[EPS]]),IF(Main_M[[#This Row],[EPS]]&lt;&gt;0,Main_M[[#This Row],[Current Price]]/Main_M[[#This Row],[EPS]],""),"")</f>
        <v>9.5294117647058822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2.9836010391157037</v>
      </c>
      <c r="P89" s="1">
        <f>(Main_M[[#This Row],[P/B]]-VLOOKUP(Main_M[[#This Row],[Industry]], Mean_PB_M, 2, FALSE))/(VLOOKUP(Main_M[[#This Row],[Industry]], Mean_PB_M, 3, FALSE))</f>
        <v>-0.99627731540998343</v>
      </c>
      <c r="Q89" s="1">
        <f>(Main_M[[#This Row],[ROE]]-VLOOKUP(Main_M[[#This Row],[Industry]], Mean_ROE_M, 2, FALSE))/(VLOOKUP(Main_M[[#This Row],[Industry]], Mean_ROE_M, 3, FALSE))</f>
        <v>-0.71834820248228792</v>
      </c>
      <c r="R89" s="1">
        <f>(Main_M[[#This Row],[ROA]]-VLOOKUP(Main_M[[#This Row],[Industry]], Mean_ROA_M, 2, FALSE))/(VLOOKUP(Main_M[[#This Row],[Industry]], Mean_ROA_M, 3, FALSE))</f>
        <v>-0.17820610443194748</v>
      </c>
      <c r="S89" s="1">
        <f>(Main_M[[#This Row],[A/E]]-VLOOKUP(Main_M[[#This Row],[Industry]], Mean_AE_M, 2, FALSE))/(VLOOKUP(Main_M[[#This Row],[Industry]], Mean_AE_M, 3, FALSE))</f>
        <v>-0.45146597700370539</v>
      </c>
      <c r="T89" s="1">
        <f>(Main_M[[#This Row],[P/E]]-VLOOKUP(Main_M[[#This Row],[Industry]], Mean_PE_M, 2, FALSE))/(VLOOKUP(Main_M[[#This Row],[Industry]], Mean_PE_M, 3, FALSE))</f>
        <v>-1.0805283225409854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s="68" t="s">
        <v>173</v>
      </c>
      <c r="B90" s="68" t="s">
        <v>378</v>
      </c>
      <c r="C90" s="2">
        <v>5098</v>
      </c>
      <c r="D90">
        <f>RTD("tos.rtd", , "LAST", Main_M[[#This Row],[Symbol]])</f>
        <v>77.36</v>
      </c>
      <c r="E90">
        <v>2.29</v>
      </c>
      <c r="F90">
        <v>117.39</v>
      </c>
      <c r="G90">
        <v>3.99</v>
      </c>
      <c r="H90" s="1">
        <f>IF(ISNUMBER(Main_M[[#This Row],[Free CF]]),IF(Main_M[[#This Row],[Free CF]]&lt;&gt;0,Main_M[[#This Row],[Current Price]]/Main_M[[#This Row],[Free CF]],""),"")</f>
        <v>33.78165938864629</v>
      </c>
      <c r="I90" s="1">
        <f>IF(ISNUMBER(Main_M[[#This Row],[BVPS]]),IF(Main_M[[#This Row],[BVPS]]&lt;&gt;0,Main_M[[#This Row],[Current Price]]/Main_M[[#This Row],[BVPS]],""),"")</f>
        <v>0.65899991481386833</v>
      </c>
      <c r="J90">
        <v>3.57</v>
      </c>
      <c r="K90">
        <v>1.7</v>
      </c>
      <c r="L90">
        <v>1.66</v>
      </c>
      <c r="M90" s="1">
        <f>IF(ISNUMBER(Main_M[[#This Row],[EPS]]),IF(Main_M[[#This Row],[EPS]]&lt;&gt;0,Main_M[[#This Row],[Current Price]]/Main_M[[#This Row],[EPS]],""),"")</f>
        <v>19.388471177944862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2.7614028098526155</v>
      </c>
      <c r="P90" s="1">
        <f>(Main_M[[#This Row],[P/B]]-VLOOKUP(Main_M[[#This Row],[Industry]], Mean_PB_M, 2, FALSE))/(VLOOKUP(Main_M[[#This Row],[Industry]], Mean_PB_M, 3, FALSE))</f>
        <v>-1.0956678973106158</v>
      </c>
      <c r="Q90" s="1">
        <f>(Main_M[[#This Row],[ROE]]-VLOOKUP(Main_M[[#This Row],[Industry]], Mean_ROE_M, 2, FALSE))/(VLOOKUP(Main_M[[#This Row],[Industry]], Mean_ROE_M, 3, FALSE))</f>
        <v>-1.1519216338610123</v>
      </c>
      <c r="R90" s="1">
        <f>(Main_M[[#This Row],[ROA]]-VLOOKUP(Main_M[[#This Row],[Industry]], Mean_ROA_M, 2, FALSE))/(VLOOKUP(Main_M[[#This Row],[Industry]], Mean_ROA_M, 3, FALSE))</f>
        <v>-0.92212344016444525</v>
      </c>
      <c r="S90" s="1">
        <f>(Main_M[[#This Row],[A/E]]-VLOOKUP(Main_M[[#This Row],[Industry]], Mean_AE_M, 2, FALSE))/(VLOOKUP(Main_M[[#This Row],[Industry]], Mean_AE_M, 3, FALSE))</f>
        <v>-0.64628991603035202</v>
      </c>
      <c r="T90" s="1">
        <f>(Main_M[[#This Row],[P/E]]-VLOOKUP(Main_M[[#This Row],[Industry]], Mean_PE_M, 2, FALSE))/(VLOOKUP(Main_M[[#This Row],[Industry]], Mean_PE_M, 3, FALSE))</f>
        <v>0.18195219342965727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s="68" t="s">
        <v>173</v>
      </c>
      <c r="B91" s="68" t="s">
        <v>379</v>
      </c>
      <c r="C91" s="2">
        <v>4063</v>
      </c>
      <c r="D91">
        <f>RTD("tos.rtd", , "LAST", Main_M[[#This Row],[Symbol]])</f>
        <v>59.25</v>
      </c>
      <c r="E91">
        <v>1.99</v>
      </c>
      <c r="F91">
        <v>2.77</v>
      </c>
      <c r="G91">
        <v>-1.91</v>
      </c>
      <c r="H91" s="1">
        <f>IF(ISNUMBER(Main_M[[#This Row],[Free CF]]),IF(Main_M[[#This Row],[Free CF]]&lt;&gt;0,Main_M[[#This Row],[Current Price]]/Main_M[[#This Row],[Free CF]],""),"")</f>
        <v>29.773869346733669</v>
      </c>
      <c r="I91" s="1">
        <f>IF(ISNUMBER(Main_M[[#This Row],[BVPS]]),IF(Main_M[[#This Row],[BVPS]]&lt;&gt;0,Main_M[[#This Row],[Current Price]]/Main_M[[#This Row],[BVPS]],""),"")</f>
        <v>21.389891696750901</v>
      </c>
      <c r="J91">
        <v>-6.07</v>
      </c>
      <c r="K91">
        <v>-2.33</v>
      </c>
      <c r="L91">
        <v>20.73</v>
      </c>
      <c r="M91" s="1">
        <f>IF(ISNUMBER(Main_M[[#This Row],[EPS]]),IF(Main_M[[#This Row],[EPS]]&lt;&gt;0,Main_M[[#This Row],[Current Price]]/Main_M[[#This Row],[EPS]],""),"")</f>
        <v>-31.020942408376964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2.260916252148006</v>
      </c>
      <c r="P91" s="1">
        <f>(Main_M[[#This Row],[P/B]]-VLOOKUP(Main_M[[#This Row],[Industry]], Mean_PB_M, 2, FALSE))/(VLOOKUP(Main_M[[#This Row],[Industry]], Mean_PB_M, 3, FALSE))</f>
        <v>5.8550181247966346</v>
      </c>
      <c r="Q91" s="1">
        <f>(Main_M[[#This Row],[ROE]]-VLOOKUP(Main_M[[#This Row],[Industry]], Mean_ROE_M, 2, FALSE))/(VLOOKUP(Main_M[[#This Row],[Industry]], Mean_ROE_M, 3, FALSE))</f>
        <v>-1.8080672976743413</v>
      </c>
      <c r="R91" s="1">
        <f>(Main_M[[#This Row],[ROA]]-VLOOKUP(Main_M[[#This Row],[Industry]], Mean_ROA_M, 2, FALSE))/(VLOOKUP(Main_M[[#This Row],[Industry]], Mean_ROA_M, 3, FALSE))</f>
        <v>-1.6988039746209134</v>
      </c>
      <c r="S91" s="1">
        <f>(Main_M[[#This Row],[A/E]]-VLOOKUP(Main_M[[#This Row],[Industry]], Mean_AE_M, 2, FALSE))/(VLOOKUP(Main_M[[#This Row],[Industry]], Mean_AE_M, 3, FALSE))</f>
        <v>4.8989227962653992</v>
      </c>
      <c r="T91" s="1">
        <f>(Main_M[[#This Row],[P/E]]-VLOOKUP(Main_M[[#This Row],[Industry]], Mean_PE_M, 2, FALSE))/(VLOOKUP(Main_M[[#This Row],[Industry]], Mean_PE_M, 3, FALSE))</f>
        <v>-6.2731161662131081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2" spans="1:26" x14ac:dyDescent="0.25">
      <c r="A92" s="68" t="s">
        <v>173</v>
      </c>
      <c r="B92" s="68" t="s">
        <v>380</v>
      </c>
      <c r="C92" s="2">
        <v>5410</v>
      </c>
      <c r="D92">
        <f>RTD("tos.rtd", , "LAST", Main_M[[#This Row],[Symbol]])</f>
        <v>52.85</v>
      </c>
      <c r="E92">
        <v>5.03</v>
      </c>
      <c r="F92">
        <v>7.18</v>
      </c>
      <c r="G92">
        <v>-0.42</v>
      </c>
      <c r="H92" s="1">
        <f>IF(ISNUMBER(Main_M[[#This Row],[Free CF]]),IF(Main_M[[#This Row],[Free CF]]&lt;&gt;0,Main_M[[#This Row],[Current Price]]/Main_M[[#This Row],[Free CF]],""),"")</f>
        <v>10.506958250497018</v>
      </c>
      <c r="I92" s="1">
        <f>IF(ISNUMBER(Main_M[[#This Row],[BVPS]]),IF(Main_M[[#This Row],[BVPS]]&lt;&gt;0,Main_M[[#This Row],[Current Price]]/Main_M[[#This Row],[BVPS]],""),"")</f>
        <v>7.3607242339832872</v>
      </c>
      <c r="J92">
        <v>-2.21</v>
      </c>
      <c r="K92">
        <v>0.06</v>
      </c>
      <c r="L92">
        <v>13.44</v>
      </c>
      <c r="M92" s="1">
        <f>IF(ISNUMBER(Main_M[[#This Row],[EPS]]),IF(Main_M[[#This Row],[EPS]]&lt;&gt;0,Main_M[[#This Row],[Current Price]]/Main_M[[#This Row],[EPS]],""),"")</f>
        <v>-125.83333333333334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-0.14510549832134179</v>
      </c>
      <c r="P92" s="1">
        <f>(Main_M[[#This Row],[P/B]]-VLOOKUP(Main_M[[#This Row],[Industry]], Mean_PB_M, 2, FALSE))/(VLOOKUP(Main_M[[#This Row],[Industry]], Mean_PB_M, 3, FALSE))</f>
        <v>1.1512967793297764</v>
      </c>
      <c r="Q92" s="1">
        <f>(Main_M[[#This Row],[ROE]]-VLOOKUP(Main_M[[#This Row],[Industry]], Mean_ROE_M, 2, FALSE))/(VLOOKUP(Main_M[[#This Row],[Industry]], Mean_ROE_M, 3, FALSE))</f>
        <v>-1.5453367725374689</v>
      </c>
      <c r="R92" s="1">
        <f>(Main_M[[#This Row],[ROA]]-VLOOKUP(Main_M[[#This Row],[Industry]], Mean_ROA_M, 2, FALSE))/(VLOOKUP(Main_M[[#This Row],[Industry]], Mean_ROA_M, 3, FALSE))</f>
        <v>-1.2381919455015689</v>
      </c>
      <c r="S92" s="1">
        <f>(Main_M[[#This Row],[A/E]]-VLOOKUP(Main_M[[#This Row],[Industry]], Mean_AE_M, 2, FALSE))/(VLOOKUP(Main_M[[#This Row],[Industry]], Mean_AE_M, 3, FALSE))</f>
        <v>2.7791220268560632</v>
      </c>
      <c r="T92" s="1">
        <f>(Main_M[[#This Row],[P/E]]-VLOOKUP(Main_M[[#This Row],[Industry]], Mean_PE_M, 2, FALSE))/(VLOOKUP(Main_M[[#This Row],[Industry]], Mean_PE_M, 3, FALSE))</f>
        <v>-18.414111691061535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3" spans="1:26" x14ac:dyDescent="0.25">
      <c r="A93" s="68" t="s">
        <v>173</v>
      </c>
      <c r="B93" s="68" t="s">
        <v>381</v>
      </c>
      <c r="C93" s="2">
        <v>3940</v>
      </c>
      <c r="D93">
        <f>RTD("tos.rtd", , "LAST", Main_M[[#This Row],[Symbol]])</f>
        <v>64.760000000000005</v>
      </c>
      <c r="E93">
        <v>5.24</v>
      </c>
      <c r="F93">
        <v>17.62</v>
      </c>
      <c r="G93">
        <v>4.38</v>
      </c>
      <c r="H93" s="1">
        <f>IF(ISNUMBER(Main_M[[#This Row],[Free CF]]),IF(Main_M[[#This Row],[Free CF]]&lt;&gt;0,Main_M[[#This Row],[Current Price]]/Main_M[[#This Row],[Free CF]],""),"")</f>
        <v>12.3587786259542</v>
      </c>
      <c r="I93" s="1">
        <f>IF(ISNUMBER(Main_M[[#This Row],[BVPS]]),IF(Main_M[[#This Row],[BVPS]]&lt;&gt;0,Main_M[[#This Row],[Current Price]]/Main_M[[#This Row],[BVPS]],""),"")</f>
        <v>3.6753688989784337</v>
      </c>
      <c r="J93">
        <v>26.57</v>
      </c>
      <c r="K93">
        <v>10.54</v>
      </c>
      <c r="L93">
        <v>2.27</v>
      </c>
      <c r="M93" s="1">
        <f>IF(ISNUMBER(Main_M[[#This Row],[EPS]]),IF(Main_M[[#This Row],[EPS]]&lt;&gt;0,Main_M[[#This Row],[Current Price]]/Main_M[[#This Row],[EPS]],""),"")</f>
        <v>14.785388127853883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8.6146936438819502E-2</v>
      </c>
      <c r="P93" s="1">
        <f>(Main_M[[#This Row],[P/B]]-VLOOKUP(Main_M[[#This Row],[Industry]], Mean_PB_M, 2, FALSE))/(VLOOKUP(Main_M[[#This Row],[Industry]], Mean_PB_M, 3, FALSE))</f>
        <v>-8.4334957257445234E-2</v>
      </c>
      <c r="Q93" s="1">
        <f>(Main_M[[#This Row],[ROE]]-VLOOKUP(Main_M[[#This Row],[Industry]], Mean_ROE_M, 2, FALSE))/(VLOOKUP(Main_M[[#This Row],[Industry]], Mean_ROE_M, 3, FALSE))</f>
        <v>0.41357113249858957</v>
      </c>
      <c r="R93" s="1">
        <f>(Main_M[[#This Row],[ROA]]-VLOOKUP(Main_M[[#This Row],[Industry]], Mean_ROA_M, 2, FALSE))/(VLOOKUP(Main_M[[#This Row],[Industry]], Mean_ROA_M, 3, FALSE))</f>
        <v>0.78156289348200048</v>
      </c>
      <c r="S93" s="1">
        <f>(Main_M[[#This Row],[A/E]]-VLOOKUP(Main_M[[#This Row],[Industry]], Mean_AE_M, 2, FALSE))/(VLOOKUP(Main_M[[#This Row],[Industry]], Mean_AE_M, 3, FALSE))</f>
        <v>-0.46891289691653942</v>
      </c>
      <c r="T93" s="1">
        <f>(Main_M[[#This Row],[P/E]]-VLOOKUP(Main_M[[#This Row],[Industry]], Mean_PE_M, 2, FALSE))/(VLOOKUP(Main_M[[#This Row],[Industry]], Mean_PE_M, 3, FALSE))</f>
        <v>-0.40748564445688823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s="68" t="s">
        <v>173</v>
      </c>
      <c r="B94" s="68" t="s">
        <v>382</v>
      </c>
      <c r="C94" s="2">
        <v>4543</v>
      </c>
      <c r="D94">
        <f>RTD("tos.rtd", , "LAST", Main_M[[#This Row],[Symbol]])</f>
        <v>9.34</v>
      </c>
      <c r="E94">
        <v>0.51</v>
      </c>
      <c r="F94">
        <v>1.86</v>
      </c>
      <c r="G94">
        <v>0.25</v>
      </c>
      <c r="H94" s="1">
        <f>IF(ISNUMBER(Main_M[[#This Row],[Free CF]]),IF(Main_M[[#This Row],[Free CF]]&lt;&gt;0,Main_M[[#This Row],[Current Price]]/Main_M[[#This Row],[Free CF]],""),"")</f>
        <v>18.313725490196077</v>
      </c>
      <c r="I94" s="1">
        <f>IF(ISNUMBER(Main_M[[#This Row],[BVPS]]),IF(Main_M[[#This Row],[BVPS]]&lt;&gt;0,Main_M[[#This Row],[Current Price]]/Main_M[[#This Row],[BVPS]],""),"")</f>
        <v>5.021505376344086</v>
      </c>
      <c r="J94">
        <v>12.46</v>
      </c>
      <c r="K94">
        <v>3.64</v>
      </c>
      <c r="L94">
        <v>4</v>
      </c>
      <c r="M94" s="1">
        <f>IF(ISNUMBER(Main_M[[#This Row],[EPS]]),IF(Main_M[[#This Row],[EPS]]&lt;&gt;0,Main_M[[#This Row],[Current Price]]/Main_M[[#This Row],[EPS]],""),"")</f>
        <v>37.36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0.82979139541251512</v>
      </c>
      <c r="P94" s="1">
        <f>(Main_M[[#This Row],[P/B]]-VLOOKUP(Main_M[[#This Row],[Industry]], Mean_PB_M, 2, FALSE))/(VLOOKUP(Main_M[[#This Row],[Industry]], Mean_PB_M, 3, FALSE))</f>
        <v>0.36699979937017735</v>
      </c>
      <c r="Q94" s="1">
        <f>(Main_M[[#This Row],[ROE]]-VLOOKUP(Main_M[[#This Row],[Industry]], Mean_ROE_M, 2, FALSE))/(VLOOKUP(Main_M[[#This Row],[Industry]], Mean_ROE_M, 3, FALSE))</f>
        <v>-0.54682464721158353</v>
      </c>
      <c r="R94" s="1">
        <f>(Main_M[[#This Row],[ROA]]-VLOOKUP(Main_M[[#This Row],[Industry]], Mean_ROA_M, 2, FALSE))/(VLOOKUP(Main_M[[#This Row],[Industry]], Mean_ROA_M, 3, FALSE))</f>
        <v>-0.54823752531443337</v>
      </c>
      <c r="S94" s="1">
        <f>(Main_M[[#This Row],[A/E]]-VLOOKUP(Main_M[[#This Row],[Industry]], Mean_AE_M, 2, FALSE))/(VLOOKUP(Main_M[[#This Row],[Industry]], Mean_AE_M, 3, FALSE))</f>
        <v>3.4139960570175237E-2</v>
      </c>
      <c r="T94" s="1">
        <f>(Main_M[[#This Row],[P/E]]-VLOOKUP(Main_M[[#This Row],[Industry]], Mean_PE_M, 2, FALSE))/(VLOOKUP(Main_M[[#This Row],[Industry]], Mean_PE_M, 3, FALSE))</f>
        <v>2.4832574223628061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5" spans="1:26" x14ac:dyDescent="0.25">
      <c r="A95" s="68" t="s">
        <v>173</v>
      </c>
      <c r="B95" s="68" t="s">
        <v>383</v>
      </c>
      <c r="C95" s="2">
        <v>8033</v>
      </c>
      <c r="D95">
        <f>RTD("tos.rtd", , "LAST", Main_M[[#This Row],[Symbol]])</f>
        <v>236.15</v>
      </c>
      <c r="E95">
        <v>24.97</v>
      </c>
      <c r="F95">
        <v>44.8</v>
      </c>
      <c r="G95">
        <v>10.47</v>
      </c>
      <c r="H95" s="1">
        <f>IF(ISNUMBER(Main_M[[#This Row],[Free CF]]),IF(Main_M[[#This Row],[Free CF]]&lt;&gt;0,Main_M[[#This Row],[Current Price]]/Main_M[[#This Row],[Free CF]],""),"")</f>
        <v>9.4573488185823003</v>
      </c>
      <c r="I95" s="1">
        <f>IF(ISNUMBER(Main_M[[#This Row],[BVPS]]),IF(Main_M[[#This Row],[BVPS]]&lt;&gt;0,Main_M[[#This Row],[Current Price]]/Main_M[[#This Row],[BVPS]],""),"")</f>
        <v>5.2712053571428577</v>
      </c>
      <c r="J95">
        <v>22.43</v>
      </c>
      <c r="K95">
        <v>10.61</v>
      </c>
      <c r="L95">
        <v>2.44</v>
      </c>
      <c r="M95" s="1">
        <f>IF(ISNUMBER(Main_M[[#This Row],[EPS]]),IF(Main_M[[#This Row],[EPS]]&lt;&gt;0,Main_M[[#This Row],[Current Price]]/Main_M[[#This Row],[EPS]],""),"")</f>
        <v>22.5549188156638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-0.27617908401810987</v>
      </c>
      <c r="P95" s="1">
        <f>(Main_M[[#This Row],[P/B]]-VLOOKUP(Main_M[[#This Row],[Industry]], Mean_PB_M, 2, FALSE))/(VLOOKUP(Main_M[[#This Row],[Industry]], Mean_PB_M, 3, FALSE))</f>
        <v>0.45071960190036564</v>
      </c>
      <c r="Q95" s="1">
        <f>(Main_M[[#This Row],[ROE]]-VLOOKUP(Main_M[[#This Row],[Industry]], Mean_ROE_M, 2, FALSE))/(VLOOKUP(Main_M[[#This Row],[Industry]], Mean_ROE_M, 3, FALSE))</f>
        <v>0.13178243455386118</v>
      </c>
      <c r="R95" s="1">
        <f>(Main_M[[#This Row],[ROA]]-VLOOKUP(Main_M[[#This Row],[Industry]], Mean_ROA_M, 2, FALSE))/(VLOOKUP(Main_M[[#This Row],[Industry]], Mean_ROA_M, 3, FALSE))</f>
        <v>0.79505362236834121</v>
      </c>
      <c r="S95" s="1">
        <f>(Main_M[[#This Row],[A/E]]-VLOOKUP(Main_M[[#This Row],[Industry]], Mean_AE_M, 2, FALSE))/(VLOOKUP(Main_M[[#This Row],[Industry]], Mean_AE_M, 3, FALSE))</f>
        <v>-0.41947995716350966</v>
      </c>
      <c r="T95" s="1">
        <f>(Main_M[[#This Row],[P/E]]-VLOOKUP(Main_M[[#This Row],[Industry]], Mean_PE_M, 2, FALSE))/(VLOOKUP(Main_M[[#This Row],[Industry]], Mean_PE_M, 3, FALSE))</f>
        <v>0.5874247927826326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s="68" t="s">
        <v>173</v>
      </c>
      <c r="B96" s="68" t="s">
        <v>384</v>
      </c>
      <c r="C96" s="2">
        <v>9160</v>
      </c>
      <c r="D96">
        <f>RTD("tos.rtd", , "LAST", Main_M[[#This Row],[Symbol]])</f>
        <v>163.61000000000001</v>
      </c>
      <c r="E96">
        <v>9.93</v>
      </c>
      <c r="F96">
        <v>20.78</v>
      </c>
      <c r="G96">
        <v>5.36</v>
      </c>
      <c r="H96" s="1">
        <f>IF(ISNUMBER(Main_M[[#This Row],[Free CF]]),IF(Main_M[[#This Row],[Free CF]]&lt;&gt;0,Main_M[[#This Row],[Current Price]]/Main_M[[#This Row],[Free CF]],""),"")</f>
        <v>16.476334340382682</v>
      </c>
      <c r="I96" s="1">
        <f>IF(ISNUMBER(Main_M[[#This Row],[BVPS]]),IF(Main_M[[#This Row],[BVPS]]&lt;&gt;0,Main_M[[#This Row],[Current Price]]/Main_M[[#This Row],[BVPS]],""),"")</f>
        <v>7.8734359961501443</v>
      </c>
      <c r="J96">
        <v>28.01</v>
      </c>
      <c r="K96">
        <v>3.89</v>
      </c>
      <c r="L96">
        <v>7.25</v>
      </c>
      <c r="M96" s="1">
        <f>IF(ISNUMBER(Main_M[[#This Row],[EPS]]),IF(Main_M[[#This Row],[EPS]]&lt;&gt;0,Main_M[[#This Row],[Current Price]]/Main_M[[#This Row],[EPS]],""),"")</f>
        <v>30.524253731343283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0.60034085980307761</v>
      </c>
      <c r="P96" s="1">
        <f>(Main_M[[#This Row],[P/B]]-VLOOKUP(Main_M[[#This Row],[Industry]], Mean_PB_M, 2, FALSE))/(VLOOKUP(Main_M[[#This Row],[Industry]], Mean_PB_M, 3, FALSE))</f>
        <v>1.3231995858346188</v>
      </c>
      <c r="Q96" s="1">
        <f>(Main_M[[#This Row],[ROE]]-VLOOKUP(Main_M[[#This Row],[Industry]], Mean_ROE_M, 2, FALSE))/(VLOOKUP(Main_M[[#This Row],[Industry]], Mean_ROE_M, 3, FALSE))</f>
        <v>0.51158459265327771</v>
      </c>
      <c r="R96" s="1">
        <f>(Main_M[[#This Row],[ROA]]-VLOOKUP(Main_M[[#This Row],[Industry]], Mean_ROA_M, 2, FALSE))/(VLOOKUP(Main_M[[#This Row],[Industry]], Mean_ROA_M, 3, FALSE))</f>
        <v>-0.5000563507203597</v>
      </c>
      <c r="S96" s="1">
        <f>(Main_M[[#This Row],[A/E]]-VLOOKUP(Main_M[[#This Row],[Industry]], Mean_AE_M, 2, FALSE))/(VLOOKUP(Main_M[[#This Row],[Industry]], Mean_AE_M, 3, FALSE))</f>
        <v>0.97918145584868543</v>
      </c>
      <c r="T96" s="1">
        <f>(Main_M[[#This Row],[P/E]]-VLOOKUP(Main_M[[#This Row],[Industry]], Mean_PE_M, 2, FALSE))/(VLOOKUP(Main_M[[#This Row],[Industry]], Mean_PE_M, 3, FALSE))</f>
        <v>1.6079207280013175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s="68" t="s">
        <v>173</v>
      </c>
      <c r="B97" s="68" t="s">
        <v>385</v>
      </c>
      <c r="C97" s="2">
        <v>3830</v>
      </c>
      <c r="D97">
        <f>RTD("tos.rtd", , "LAST", Main_M[[#This Row],[Symbol]])</f>
        <v>46.38</v>
      </c>
      <c r="E97">
        <v>5.98</v>
      </c>
      <c r="F97">
        <v>6.41</v>
      </c>
      <c r="G97">
        <v>2.87</v>
      </c>
      <c r="H97" s="1">
        <f>IF(ISNUMBER(Main_M[[#This Row],[Free CF]]),IF(Main_M[[#This Row],[Free CF]]&lt;&gt;0,Main_M[[#This Row],[Current Price]]/Main_M[[#This Row],[Free CF]],""),"")</f>
        <v>7.7558528428093645</v>
      </c>
      <c r="I97" s="1">
        <f>IF(ISNUMBER(Main_M[[#This Row],[BVPS]]),IF(Main_M[[#This Row],[BVPS]]&lt;&gt;0,Main_M[[#This Row],[Current Price]]/Main_M[[#This Row],[BVPS]],""),"")</f>
        <v>7.2355694227769112</v>
      </c>
      <c r="J97">
        <v>48.6</v>
      </c>
      <c r="K97">
        <v>7</v>
      </c>
      <c r="L97">
        <v>7.02</v>
      </c>
      <c r="M97" s="1">
        <f>IF(ISNUMBER(Main_M[[#This Row],[EPS]]),IF(Main_M[[#This Row],[EPS]]&lt;&gt;0,Main_M[[#This Row],[Current Price]]/Main_M[[#This Row],[EPS]],""),"")</f>
        <v>16.1602787456446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-0.4886592426484877</v>
      </c>
      <c r="P97" s="1">
        <f>(Main_M[[#This Row],[P/B]]-VLOOKUP(Main_M[[#This Row],[Industry]], Mean_PB_M, 2, FALSE))/(VLOOKUP(Main_M[[#This Row],[Industry]], Mean_PB_M, 3, FALSE))</f>
        <v>1.1093346772647996</v>
      </c>
      <c r="Q97" s="1">
        <f>(Main_M[[#This Row],[ROE]]-VLOOKUP(Main_M[[#This Row],[Industry]], Mean_ROE_M, 2, FALSE))/(VLOOKUP(Main_M[[#This Row],[Industry]], Mean_ROE_M, 3, FALSE))</f>
        <v>1.9130409430595474</v>
      </c>
      <c r="R97" s="1">
        <f>(Main_M[[#This Row],[ROA]]-VLOOKUP(Main_M[[#This Row],[Industry]], Mean_ROA_M, 2, FALSE))/(VLOOKUP(Main_M[[#This Row],[Industry]], Mean_ROA_M, 3, FALSE))</f>
        <v>9.9317461229917095E-2</v>
      </c>
      <c r="S97" s="1">
        <f>(Main_M[[#This Row],[A/E]]-VLOOKUP(Main_M[[#This Row],[Industry]], Mean_AE_M, 2, FALSE))/(VLOOKUP(Main_M[[#This Row],[Industry]], Mean_AE_M, 3, FALSE))</f>
        <v>0.91230159618282147</v>
      </c>
      <c r="T97" s="1">
        <f>(Main_M[[#This Row],[P/E]]-VLOOKUP(Main_M[[#This Row],[Industry]], Mean_PE_M, 2, FALSE))/(VLOOKUP(Main_M[[#This Row],[Industry]], Mean_PE_M, 3, FALSE))</f>
        <v>-0.23142700196399651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s="68" t="s">
        <v>173</v>
      </c>
      <c r="B98" s="68" t="s">
        <v>386</v>
      </c>
      <c r="C98" s="2">
        <v>3928</v>
      </c>
      <c r="D98">
        <f>RTD("tos.rtd", , "LAST", Main_M[[#This Row],[Symbol]])</f>
        <v>61.14</v>
      </c>
      <c r="E98">
        <v>5.62</v>
      </c>
      <c r="F98">
        <v>6.53</v>
      </c>
      <c r="G98">
        <v>2.29</v>
      </c>
      <c r="H98" s="1">
        <f>IF(ISNUMBER(Main_M[[#This Row],[Free CF]]),IF(Main_M[[#This Row],[Free CF]]&lt;&gt;0,Main_M[[#This Row],[Current Price]]/Main_M[[#This Row],[Free CF]],""),"")</f>
        <v>10.87900355871886</v>
      </c>
      <c r="I98" s="1">
        <f>IF(ISNUMBER(Main_M[[#This Row],[BVPS]]),IF(Main_M[[#This Row],[BVPS]]&lt;&gt;0,Main_M[[#This Row],[Current Price]]/Main_M[[#This Row],[BVPS]],""),"")</f>
        <v>9.3629402756508426</v>
      </c>
      <c r="J98">
        <v>39.17</v>
      </c>
      <c r="K98">
        <v>16.93</v>
      </c>
      <c r="L98">
        <v>2.4900000000000002</v>
      </c>
      <c r="M98" s="1">
        <f>IF(ISNUMBER(Main_M[[#This Row],[EPS]]),IF(Main_M[[#This Row],[EPS]]&lt;&gt;0,Main_M[[#This Row],[Current Price]]/Main_M[[#This Row],[EPS]],""),"")</f>
        <v>26.698689956331876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-9.8645061603145012E-2</v>
      </c>
      <c r="P98" s="1">
        <f>(Main_M[[#This Row],[P/B]]-VLOOKUP(Main_M[[#This Row],[Industry]], Mean_PB_M, 2, FALSE))/(VLOOKUP(Main_M[[#This Row],[Industry]], Mean_PB_M, 3, FALSE))</f>
        <v>1.822602924788669</v>
      </c>
      <c r="Q98" s="1">
        <f>(Main_M[[#This Row],[ROE]]-VLOOKUP(Main_M[[#This Row],[Industry]], Mean_ROE_M, 2, FALSE))/(VLOOKUP(Main_M[[#This Row],[Industry]], Mean_ROE_M, 3, FALSE))</f>
        <v>1.2711889088521107</v>
      </c>
      <c r="R98" s="1">
        <f>(Main_M[[#This Row],[ROA]]-VLOOKUP(Main_M[[#This Row],[Industry]], Mean_ROA_M, 2, FALSE))/(VLOOKUP(Main_M[[#This Row],[Industry]], Mean_ROA_M, 3, FALSE))</f>
        <v>2.0130737161065242</v>
      </c>
      <c r="S98" s="1">
        <f>(Main_M[[#This Row],[A/E]]-VLOOKUP(Main_M[[#This Row],[Industry]], Mean_AE_M, 2, FALSE))/(VLOOKUP(Main_M[[#This Row],[Industry]], Mean_AE_M, 3, FALSE))</f>
        <v>-0.40494085723614792</v>
      </c>
      <c r="T98" s="1">
        <f>(Main_M[[#This Row],[P/E]]-VLOOKUP(Main_M[[#This Row],[Industry]], Mean_PE_M, 2, FALSE))/(VLOOKUP(Main_M[[#This Row],[Industry]], Mean_PE_M, 3, FALSE))</f>
        <v>1.1180464381608926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s="68" t="s">
        <v>173</v>
      </c>
      <c r="B99" s="68" t="s">
        <v>387</v>
      </c>
      <c r="C99" s="2">
        <v>3492</v>
      </c>
      <c r="D99">
        <f>RTD("tos.rtd", , "LAST", Main_M[[#This Row],[Symbol]])</f>
        <v>48.33</v>
      </c>
      <c r="E99">
        <v>16.52</v>
      </c>
      <c r="F99">
        <v>12.51</v>
      </c>
      <c r="G99">
        <v>2.72</v>
      </c>
      <c r="H99" s="1">
        <f>IF(ISNUMBER(Main_M[[#This Row],[Free CF]]),IF(Main_M[[#This Row],[Free CF]]&lt;&gt;0,Main_M[[#This Row],[Current Price]]/Main_M[[#This Row],[Free CF]],""),"")</f>
        <v>2.9255447941888622</v>
      </c>
      <c r="I99" s="1">
        <f>IF(ISNUMBER(Main_M[[#This Row],[BVPS]]),IF(Main_M[[#This Row],[BVPS]]&lt;&gt;0,Main_M[[#This Row],[Current Price]]/Main_M[[#This Row],[BVPS]],""),"")</f>
        <v>3.8633093525179856</v>
      </c>
      <c r="J99">
        <v>24.87</v>
      </c>
      <c r="K99">
        <v>1.04</v>
      </c>
      <c r="L99">
        <v>24.89</v>
      </c>
      <c r="M99" s="1">
        <f>IF(ISNUMBER(Main_M[[#This Row],[EPS]]),IF(Main_M[[#This Row],[EPS]]&lt;&gt;0,Main_M[[#This Row],[Current Price]]/Main_M[[#This Row],[EPS]],""),"")</f>
        <v>17.768382352941174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-1.0918605637319767</v>
      </c>
      <c r="P99" s="1">
        <f>(Main_M[[#This Row],[P/B]]-VLOOKUP(Main_M[[#This Row],[Industry]], Mean_PB_M, 2, FALSE))/(VLOOKUP(Main_M[[#This Row],[Industry]], Mean_PB_M, 3, FALSE))</f>
        <v>-2.1321986221435017E-2</v>
      </c>
      <c r="Q99" s="1">
        <f>(Main_M[[#This Row],[ROE]]-VLOOKUP(Main_M[[#This Row],[Industry]], Mean_ROE_M, 2, FALSE))/(VLOOKUP(Main_M[[#This Row],[Industry]], Mean_ROE_M, 3, FALSE))</f>
        <v>0.29786079759374945</v>
      </c>
      <c r="R99" s="1">
        <f>(Main_M[[#This Row],[ROA]]-VLOOKUP(Main_M[[#This Row],[Industry]], Mean_ROA_M, 2, FALSE))/(VLOOKUP(Main_M[[#This Row],[Industry]], Mean_ROA_M, 3, FALSE))</f>
        <v>-1.0493217410927997</v>
      </c>
      <c r="S99" s="1">
        <f>(Main_M[[#This Row],[A/E]]-VLOOKUP(Main_M[[#This Row],[Industry]], Mean_AE_M, 2, FALSE))/(VLOOKUP(Main_M[[#This Row],[Industry]], Mean_AE_M, 3, FALSE))</f>
        <v>6.1085759102218908</v>
      </c>
      <c r="T99" s="1">
        <f>(Main_M[[#This Row],[P/E]]-VLOOKUP(Main_M[[#This Row],[Industry]], Mean_PE_M, 2, FALSE))/(VLOOKUP(Main_M[[#This Row],[Industry]], Mean_PE_M, 3, FALSE))</f>
        <v>-2.5504774824576918E-2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s="68" t="s">
        <v>173</v>
      </c>
      <c r="B100" s="68" t="s">
        <v>388</v>
      </c>
      <c r="C100" s="2">
        <v>4121</v>
      </c>
      <c r="D100">
        <f>RTD("tos.rtd", , "LAST", Main_M[[#This Row],[Symbol]])</f>
        <v>267.49</v>
      </c>
      <c r="E100">
        <v>18.8</v>
      </c>
      <c r="F100">
        <v>76.209999999999994</v>
      </c>
      <c r="G100">
        <v>11.46</v>
      </c>
      <c r="H100" s="1">
        <f>IF(ISNUMBER(Main_M[[#This Row],[Free CF]]),IF(Main_M[[#This Row],[Free CF]]&lt;&gt;0,Main_M[[#This Row],[Current Price]]/Main_M[[#This Row],[Free CF]],""),"")</f>
        <v>14.228191489361702</v>
      </c>
      <c r="I100" s="1">
        <f>IF(ISNUMBER(Main_M[[#This Row],[BVPS]]),IF(Main_M[[#This Row],[BVPS]]&lt;&gt;0,Main_M[[#This Row],[Current Price]]/Main_M[[#This Row],[BVPS]],""),"")</f>
        <v>3.5099068363731796</v>
      </c>
      <c r="J100">
        <v>11.6</v>
      </c>
      <c r="K100">
        <v>7.16</v>
      </c>
      <c r="L100">
        <v>1.84</v>
      </c>
      <c r="M100" s="1">
        <f>IF(ISNUMBER(Main_M[[#This Row],[EPS]]),IF(Main_M[[#This Row],[EPS]]&lt;&gt;0,Main_M[[#This Row],[Current Price]]/Main_M[[#This Row],[EPS]],""),"")</f>
        <v>23.341186736474693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0.31959629360350722</v>
      </c>
      <c r="P100" s="1">
        <f>(Main_M[[#This Row],[P/B]]-VLOOKUP(Main_M[[#This Row],[Industry]], Mean_PB_M, 2, FALSE))/(VLOOKUP(Main_M[[#This Row],[Industry]], Mean_PB_M, 3, FALSE))</f>
        <v>-0.13981133800539947</v>
      </c>
      <c r="Q100" s="1">
        <f>(Main_M[[#This Row],[ROE]]-VLOOKUP(Main_M[[#This Row],[Industry]], Mean_ROE_M, 2, FALSE))/(VLOOKUP(Main_M[[#This Row],[Industry]], Mean_ROE_M, 3, FALSE))</f>
        <v>-0.60536046369285568</v>
      </c>
      <c r="R100" s="1">
        <f>(Main_M[[#This Row],[ROA]]-VLOOKUP(Main_M[[#This Row],[Industry]], Mean_ROA_M, 2, FALSE))/(VLOOKUP(Main_M[[#This Row],[Industry]], Mean_ROA_M, 3, FALSE))</f>
        <v>0.13015341297012428</v>
      </c>
      <c r="S100" s="1">
        <f>(Main_M[[#This Row],[A/E]]-VLOOKUP(Main_M[[#This Row],[Industry]], Mean_AE_M, 2, FALSE))/(VLOOKUP(Main_M[[#This Row],[Industry]], Mean_AE_M, 3, FALSE))</f>
        <v>-0.59394915629185008</v>
      </c>
      <c r="T100" s="1">
        <f>(Main_M[[#This Row],[P/E]]-VLOOKUP(Main_M[[#This Row],[Industry]], Mean_PE_M, 2, FALSE))/(VLOOKUP(Main_M[[#This Row],[Industry]], Mean_PE_M, 3, FALSE))</f>
        <v>0.68810862972386744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s="68" t="s">
        <v>173</v>
      </c>
      <c r="B101" s="68" t="s">
        <v>389</v>
      </c>
      <c r="C101" s="2">
        <v>3477</v>
      </c>
      <c r="D101">
        <f>RTD("tos.rtd", , "LAST", Main_M[[#This Row],[Symbol]])</f>
        <v>150.06</v>
      </c>
      <c r="E101">
        <v>19.239999999999998</v>
      </c>
      <c r="F101">
        <v>6.01</v>
      </c>
      <c r="G101">
        <v>5.63</v>
      </c>
      <c r="H101" s="1">
        <f>IF(ISNUMBER(Main_M[[#This Row],[Free CF]]),IF(Main_M[[#This Row],[Free CF]]&lt;&gt;0,Main_M[[#This Row],[Current Price]]/Main_M[[#This Row],[Free CF]],""),"")</f>
        <v>7.7993762993763003</v>
      </c>
      <c r="I101" s="1">
        <f>IF(ISNUMBER(Main_M[[#This Row],[BVPS]]),IF(Main_M[[#This Row],[BVPS]]&lt;&gt;0,Main_M[[#This Row],[Current Price]]/Main_M[[#This Row],[BVPS]],""),"")</f>
        <v>24.96838602329451</v>
      </c>
      <c r="J101">
        <v>31.38</v>
      </c>
      <c r="K101">
        <v>19.22</v>
      </c>
      <c r="L101">
        <v>9.3800000000000008</v>
      </c>
      <c r="M101" s="1">
        <f>IF(ISNUMBER(Main_M[[#This Row],[EPS]]),IF(Main_M[[#This Row],[EPS]]&lt;&gt;0,Main_M[[#This Row],[Current Price]]/Main_M[[#This Row],[EPS]],""),"")</f>
        <v>26.653641207815276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-0.4832241014038639</v>
      </c>
      <c r="P101" s="1">
        <f>(Main_M[[#This Row],[P/B]]-VLOOKUP(Main_M[[#This Row],[Industry]], Mean_PB_M, 2, FALSE))/(VLOOKUP(Main_M[[#This Row],[Industry]], Mean_PB_M, 3, FALSE))</f>
        <v>7.0548213342933321</v>
      </c>
      <c r="Q101" s="1">
        <f>(Main_M[[#This Row],[ROE]]-VLOOKUP(Main_M[[#This Row],[Industry]], Mean_ROE_M, 2, FALSE))/(VLOOKUP(Main_M[[#This Row],[Industry]], Mean_ROE_M, 3, FALSE))</f>
        <v>0.74096331537640192</v>
      </c>
      <c r="R101" s="1">
        <f>(Main_M[[#This Row],[ROA]]-VLOOKUP(Main_M[[#This Row],[Industry]], Mean_ROA_M, 2, FALSE))/(VLOOKUP(Main_M[[#This Row],[Industry]], Mean_ROA_M, 3, FALSE))</f>
        <v>2.4544132753882391</v>
      </c>
      <c r="S101" s="1">
        <f>(Main_M[[#This Row],[A/E]]-VLOOKUP(Main_M[[#This Row],[Industry]], Mean_AE_M, 2, FALSE))/(VLOOKUP(Main_M[[#This Row],[Industry]], Mean_AE_M, 3, FALSE))</f>
        <v>1.5985471127542938</v>
      </c>
      <c r="T101" s="1">
        <f>(Main_M[[#This Row],[P/E]]-VLOOKUP(Main_M[[#This Row],[Industry]], Mean_PE_M, 2, FALSE))/(VLOOKUP(Main_M[[#This Row],[Industry]], Mean_PE_M, 3, FALSE))</f>
        <v>1.1122778181650848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s="68" t="s">
        <v>173</v>
      </c>
      <c r="B102" s="68" t="s">
        <v>390</v>
      </c>
      <c r="C102" s="2">
        <v>9169</v>
      </c>
      <c r="D102">
        <f>RTD("tos.rtd", , "LAST", Main_M[[#This Row],[Symbol]])</f>
        <v>99.52</v>
      </c>
      <c r="E102">
        <v>3.65</v>
      </c>
      <c r="F102">
        <v>48.95</v>
      </c>
      <c r="G102">
        <v>5.24</v>
      </c>
      <c r="H102" s="1">
        <f>IF(ISNUMBER(Main_M[[#This Row],[Free CF]]),IF(Main_M[[#This Row],[Free CF]]&lt;&gt;0,Main_M[[#This Row],[Current Price]]/Main_M[[#This Row],[Free CF]],""),"")</f>
        <v>27.265753424657532</v>
      </c>
      <c r="I102" s="1">
        <f>IF(ISNUMBER(Main_M[[#This Row],[BVPS]]),IF(Main_M[[#This Row],[BVPS]]&lt;&gt;0,Main_M[[#This Row],[Current Price]]/Main_M[[#This Row],[BVPS]],""),"")</f>
        <v>2.0330949948927475</v>
      </c>
      <c r="J102">
        <v>13.32</v>
      </c>
      <c r="K102">
        <v>1.88</v>
      </c>
      <c r="L102">
        <v>7.98</v>
      </c>
      <c r="M102" s="1">
        <f>IF(ISNUMBER(Main_M[[#This Row],[EPS]]),IF(Main_M[[#This Row],[EPS]]&lt;&gt;0,Main_M[[#This Row],[Current Price]]/Main_M[[#This Row],[EPS]],""),"")</f>
        <v>18.992366412213737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1.9477066550791544</v>
      </c>
      <c r="P102" s="1">
        <f>(Main_M[[#This Row],[P/B]]-VLOOKUP(Main_M[[#This Row],[Industry]], Mean_PB_M, 2, FALSE))/(VLOOKUP(Main_M[[#This Row],[Industry]], Mean_PB_M, 3, FALSE))</f>
        <v>-0.63495913636515677</v>
      </c>
      <c r="Q102" s="1">
        <f>(Main_M[[#This Row],[ROE]]-VLOOKUP(Main_M[[#This Row],[Industry]], Mean_ROE_M, 2, FALSE))/(VLOOKUP(Main_M[[#This Row],[Industry]], Mean_ROE_M, 3, FALSE))</f>
        <v>-0.48828883073031154</v>
      </c>
      <c r="R102" s="1">
        <f>(Main_M[[#This Row],[ROA]]-VLOOKUP(Main_M[[#This Row],[Industry]], Mean_ROA_M, 2, FALSE))/(VLOOKUP(Main_M[[#This Row],[Industry]], Mean_ROA_M, 3, FALSE))</f>
        <v>-0.8874329944567122</v>
      </c>
      <c r="S102" s="1">
        <f>(Main_M[[#This Row],[A/E]]-VLOOKUP(Main_M[[#This Row],[Industry]], Mean_AE_M, 2, FALSE))/(VLOOKUP(Main_M[[#This Row],[Industry]], Mean_AE_M, 3, FALSE))</f>
        <v>1.1914523147881664</v>
      </c>
      <c r="T102" s="1">
        <f>(Main_M[[#This Row],[P/E]]-VLOOKUP(Main_M[[#This Row],[Industry]], Mean_PE_M, 2, FALSE))/(VLOOKUP(Main_M[[#This Row],[Industry]], Mean_PE_M, 3, FALSE))</f>
        <v>0.13122985491254194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s="68" t="s">
        <v>173</v>
      </c>
      <c r="B103" s="68" t="s">
        <v>391</v>
      </c>
      <c r="C103" s="2">
        <v>4531</v>
      </c>
      <c r="D103">
        <f>RTD("tos.rtd", , "LAST", Main_M[[#This Row],[Symbol]])</f>
        <v>89.16</v>
      </c>
      <c r="E103">
        <v>-4.1399999999999997</v>
      </c>
      <c r="F103">
        <v>36.99</v>
      </c>
      <c r="G103">
        <v>5.59</v>
      </c>
      <c r="H103" s="1">
        <f>IF(ISNUMBER(Main_M[[#This Row],[Free CF]]),IF(Main_M[[#This Row],[Free CF]]&lt;&gt;0,Main_M[[#This Row],[Current Price]]/Main_M[[#This Row],[Free CF]],""),"")</f>
        <v>-21.536231884057973</v>
      </c>
      <c r="I103" s="1">
        <f>IF(ISNUMBER(Main_M[[#This Row],[BVPS]]),IF(Main_M[[#This Row],[BVPS]]&lt;&gt;0,Main_M[[#This Row],[Current Price]]/Main_M[[#This Row],[BVPS]],""),"")</f>
        <v>2.4103811841038114</v>
      </c>
      <c r="J103">
        <v>16.98</v>
      </c>
      <c r="K103">
        <v>1.05</v>
      </c>
      <c r="L103">
        <v>16.64</v>
      </c>
      <c r="M103" s="1">
        <f>IF(ISNUMBER(Main_M[[#This Row],[EPS]]),IF(Main_M[[#This Row],[EPS]]&lt;&gt;0,Main_M[[#This Row],[Current Price]]/Main_M[[#This Row],[EPS]],""),"")</f>
        <v>15.949910554561717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-4.1466090103826598</v>
      </c>
      <c r="P103" s="1">
        <f>(Main_M[[#This Row],[P/B]]-VLOOKUP(Main_M[[#This Row],[Industry]], Mean_PB_M, 2, FALSE))/(VLOOKUP(Main_M[[#This Row],[Industry]], Mean_PB_M, 3, FALSE))</f>
        <v>-0.50846202908835514</v>
      </c>
      <c r="Q103" s="1">
        <f>(Main_M[[#This Row],[ROE]]-VLOOKUP(Main_M[[#This Row],[Industry]], Mean_ROE_M, 2, FALSE))/(VLOOKUP(Main_M[[#This Row],[Industry]], Mean_ROE_M, 3, FALSE))</f>
        <v>-0.23917128617047922</v>
      </c>
      <c r="R103" s="1">
        <f>(Main_M[[#This Row],[ROA]]-VLOOKUP(Main_M[[#This Row],[Industry]], Mean_ROA_M, 2, FALSE))/(VLOOKUP(Main_M[[#This Row],[Industry]], Mean_ROA_M, 3, FALSE))</f>
        <v>-1.047394494109037</v>
      </c>
      <c r="S103" s="1">
        <f>(Main_M[[#This Row],[A/E]]-VLOOKUP(Main_M[[#This Row],[Industry]], Mean_AE_M, 2, FALSE))/(VLOOKUP(Main_M[[#This Row],[Industry]], Mean_AE_M, 3, FALSE))</f>
        <v>3.7096244222072121</v>
      </c>
      <c r="T103" s="1">
        <f>(Main_M[[#This Row],[P/E]]-VLOOKUP(Main_M[[#This Row],[Industry]], Mean_PE_M, 2, FALSE))/(VLOOKUP(Main_M[[#This Row],[Industry]], Mean_PE_M, 3, FALSE))</f>
        <v>-0.25836524538968225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s="68" t="s">
        <v>173</v>
      </c>
      <c r="B104" s="68" t="s">
        <v>392</v>
      </c>
      <c r="C104" s="2">
        <v>3576</v>
      </c>
      <c r="D104">
        <f>RTD("tos.rtd", , "LAST", Main_M[[#This Row],[Symbol]])</f>
        <v>42.36</v>
      </c>
      <c r="E104">
        <v>10.98</v>
      </c>
      <c r="F104">
        <v>15.27</v>
      </c>
      <c r="G104">
        <v>3.46</v>
      </c>
      <c r="H104" s="1">
        <f>IF(ISNUMBER(Main_M[[#This Row],[Free CF]]),IF(Main_M[[#This Row],[Free CF]]&lt;&gt;0,Main_M[[#This Row],[Current Price]]/Main_M[[#This Row],[Free CF]],""),"")</f>
        <v>3.8579234972677594</v>
      </c>
      <c r="I104" s="1">
        <f>IF(ISNUMBER(Main_M[[#This Row],[BVPS]]),IF(Main_M[[#This Row],[BVPS]]&lt;&gt;0,Main_M[[#This Row],[Current Price]]/Main_M[[#This Row],[BVPS]],""),"")</f>
        <v>2.774066797642436</v>
      </c>
      <c r="J104">
        <v>41.05</v>
      </c>
      <c r="K104">
        <v>4.04</v>
      </c>
      <c r="L104">
        <v>13.4</v>
      </c>
      <c r="M104" s="1">
        <f>IF(ISNUMBER(Main_M[[#This Row],[EPS]]),IF(Main_M[[#This Row],[EPS]]&lt;&gt;0,Main_M[[#This Row],[Current Price]]/Main_M[[#This Row],[EPS]],""),"")</f>
        <v>12.242774566473988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-0.97542656826290486</v>
      </c>
      <c r="P104" s="1">
        <f>(Main_M[[#This Row],[P/B]]-VLOOKUP(Main_M[[#This Row],[Industry]], Mean_PB_M, 2, FALSE))/(VLOOKUP(Main_M[[#This Row],[Industry]], Mean_PB_M, 3, FALSE))</f>
        <v>-0.3865249442270583</v>
      </c>
      <c r="Q104" s="1">
        <f>(Main_M[[#This Row],[ROE]]-VLOOKUP(Main_M[[#This Row],[Industry]], Mean_ROE_M, 2, FALSE))/(VLOOKUP(Main_M[[#This Row],[Industry]], Mean_ROE_M, 3, FALSE))</f>
        <v>1.3991509262762865</v>
      </c>
      <c r="R104" s="1">
        <f>(Main_M[[#This Row],[ROA]]-VLOOKUP(Main_M[[#This Row],[Industry]], Mean_ROA_M, 2, FALSE))/(VLOOKUP(Main_M[[#This Row],[Industry]], Mean_ROA_M, 3, FALSE))</f>
        <v>-0.47114764596391545</v>
      </c>
      <c r="S104" s="1">
        <f>(Main_M[[#This Row],[A/E]]-VLOOKUP(Main_M[[#This Row],[Industry]], Mean_AE_M, 2, FALSE))/(VLOOKUP(Main_M[[#This Row],[Industry]], Mean_AE_M, 3, FALSE))</f>
        <v>2.7674907469141741</v>
      </c>
      <c r="T104" s="1">
        <f>(Main_M[[#This Row],[P/E]]-VLOOKUP(Main_M[[#This Row],[Industry]], Mean_PE_M, 2, FALSE))/(VLOOKUP(Main_M[[#This Row],[Industry]], Mean_PE_M, 3, FALSE))</f>
        <v>-0.73307452127959793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s="68" t="s">
        <v>173</v>
      </c>
      <c r="B105" s="68" t="s">
        <v>393</v>
      </c>
      <c r="C105" s="2">
        <v>8513</v>
      </c>
      <c r="D105">
        <f>RTD("tos.rtd", , "LAST", Main_M[[#This Row],[Symbol]])</f>
        <v>18.53</v>
      </c>
      <c r="E105">
        <v>3.24</v>
      </c>
      <c r="F105">
        <v>6.03</v>
      </c>
      <c r="G105">
        <v>1.33</v>
      </c>
      <c r="H105" s="1">
        <f>IF(ISNUMBER(Main_M[[#This Row],[Free CF]]),IF(Main_M[[#This Row],[Free CF]]&lt;&gt;0,Main_M[[#This Row],[Current Price]]/Main_M[[#This Row],[Free CF]],""),"")</f>
        <v>5.7191358024691361</v>
      </c>
      <c r="I105" s="1">
        <f>IF(ISNUMBER(Main_M[[#This Row],[BVPS]]),IF(Main_M[[#This Row],[BVPS]]&lt;&gt;0,Main_M[[#This Row],[Current Price]]/Main_M[[#This Row],[BVPS]],""),"")</f>
        <v>3.0729684908789388</v>
      </c>
      <c r="J105">
        <v>22.86</v>
      </c>
      <c r="K105">
        <v>1.51</v>
      </c>
      <c r="L105">
        <v>17.34</v>
      </c>
      <c r="M105" s="1">
        <f>IF(ISNUMBER(Main_M[[#This Row],[EPS]]),IF(Main_M[[#This Row],[EPS]]&lt;&gt;0,Main_M[[#This Row],[Current Price]]/Main_M[[#This Row],[EPS]],""),"")</f>
        <v>13.93233082706767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-0.74300128399248511</v>
      </c>
      <c r="P105" s="1">
        <f>(Main_M[[#This Row],[P/B]]-VLOOKUP(Main_M[[#This Row],[Industry]], Mean_PB_M, 2, FALSE))/(VLOOKUP(Main_M[[#This Row],[Industry]], Mean_PB_M, 3, FALSE))</f>
        <v>-0.28630871411903414</v>
      </c>
      <c r="Q105" s="1">
        <f>(Main_M[[#This Row],[ROE]]-VLOOKUP(Main_M[[#This Row],[Industry]], Mean_ROE_M, 2, FALSE))/(VLOOKUP(Main_M[[#This Row],[Industry]], Mean_ROE_M, 3, FALSE))</f>
        <v>0.1610503427944972</v>
      </c>
      <c r="R105" s="1">
        <f>(Main_M[[#This Row],[ROA]]-VLOOKUP(Main_M[[#This Row],[Industry]], Mean_ROA_M, 2, FALSE))/(VLOOKUP(Main_M[[#This Row],[Industry]], Mean_ROA_M, 3, FALSE))</f>
        <v>-0.95874113285594131</v>
      </c>
      <c r="S105" s="1">
        <f>(Main_M[[#This Row],[A/E]]-VLOOKUP(Main_M[[#This Row],[Industry]], Mean_AE_M, 2, FALSE))/(VLOOKUP(Main_M[[#This Row],[Industry]], Mean_AE_M, 3, FALSE))</f>
        <v>3.9131718211902755</v>
      </c>
      <c r="T105" s="1">
        <f>(Main_M[[#This Row],[P/E]]-VLOOKUP(Main_M[[#This Row],[Industry]], Mean_PE_M, 2, FALSE))/(VLOOKUP(Main_M[[#This Row],[Industry]], Mean_PE_M, 3, FALSE))</f>
        <v>-0.51672205090382817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s="68" t="s">
        <v>173</v>
      </c>
      <c r="B106" s="68" t="s">
        <v>394</v>
      </c>
      <c r="C106" s="2">
        <v>8487</v>
      </c>
      <c r="D106">
        <f>RTD("tos.rtd", , "LAST", Main_M[[#This Row],[Symbol]])</f>
        <v>213.13</v>
      </c>
      <c r="E106">
        <v>8.74</v>
      </c>
      <c r="F106">
        <v>36.89</v>
      </c>
      <c r="G106">
        <v>7.28</v>
      </c>
      <c r="H106" s="1">
        <f>IF(ISNUMBER(Main_M[[#This Row],[Free CF]]),IF(Main_M[[#This Row],[Free CF]]&lt;&gt;0,Main_M[[#This Row],[Current Price]]/Main_M[[#This Row],[Free CF]],""),"")</f>
        <v>24.38558352402746</v>
      </c>
      <c r="I106" s="1">
        <f>IF(ISNUMBER(Main_M[[#This Row],[BVPS]]),IF(Main_M[[#This Row],[BVPS]]&lt;&gt;0,Main_M[[#This Row],[Current Price]]/Main_M[[#This Row],[BVPS]],""),"")</f>
        <v>5.7774464624559503</v>
      </c>
      <c r="J106">
        <v>20.45</v>
      </c>
      <c r="K106">
        <v>11.2</v>
      </c>
      <c r="L106">
        <v>1.29</v>
      </c>
      <c r="M106" s="1">
        <f>IF(ISNUMBER(Main_M[[#This Row],[EPS]]),IF(Main_M[[#This Row],[EPS]]&lt;&gt;0,Main_M[[#This Row],[Current Price]]/Main_M[[#This Row],[EPS]],""),"")</f>
        <v>29.276098901098898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1.5880355385545828</v>
      </c>
      <c r="P106" s="1">
        <f>(Main_M[[#This Row],[P/B]]-VLOOKUP(Main_M[[#This Row],[Industry]], Mean_PB_M, 2, FALSE))/(VLOOKUP(Main_M[[#This Row],[Industry]], Mean_PB_M, 3, FALSE))</f>
        <v>0.6204529163920135</v>
      </c>
      <c r="Q106" s="1">
        <f>(Main_M[[#This Row],[ROE]]-VLOOKUP(Main_M[[#This Row],[Industry]], Mean_ROE_M, 2, FALSE))/(VLOOKUP(Main_M[[#This Row],[Industry]], Mean_ROE_M, 3, FALSE))</f>
        <v>-2.9860731588350121E-3</v>
      </c>
      <c r="R106" s="1">
        <f>(Main_M[[#This Row],[ROA]]-VLOOKUP(Main_M[[#This Row],[Industry]], Mean_ROA_M, 2, FALSE))/(VLOOKUP(Main_M[[#This Row],[Industry]], Mean_ROA_M, 3, FALSE))</f>
        <v>0.90876119441035508</v>
      </c>
      <c r="S106" s="1">
        <f>(Main_M[[#This Row],[A/E]]-VLOOKUP(Main_M[[#This Row],[Industry]], Mean_AE_M, 2, FALSE))/(VLOOKUP(Main_M[[#This Row],[Industry]], Mean_AE_M, 3, FALSE))</f>
        <v>-0.75387925549282864</v>
      </c>
      <c r="T106" s="1">
        <f>(Main_M[[#This Row],[P/E]]-VLOOKUP(Main_M[[#This Row],[Industry]], Mean_PE_M, 2, FALSE))/(VLOOKUP(Main_M[[#This Row],[Industry]], Mean_PE_M, 3, FALSE))</f>
        <v>1.4480909624983125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s="68" t="s">
        <v>166</v>
      </c>
      <c r="B107" s="68" t="s">
        <v>352</v>
      </c>
      <c r="C107" s="2">
        <v>9986</v>
      </c>
      <c r="D107">
        <f>RTD("tos.rtd", , "LAST", Main_M[[#This Row],[Symbol]])</f>
        <v>36.65</v>
      </c>
      <c r="E107">
        <v>3.12</v>
      </c>
      <c r="F107">
        <v>38.770000000000003</v>
      </c>
      <c r="G107">
        <v>0.61</v>
      </c>
      <c r="H107" s="1">
        <f>IF(ISNUMBER(Main_M[[#This Row],[Free CF]]),IF(Main_M[[#This Row],[Free CF]]&lt;&gt;0,Main_M[[#This Row],[Current Price]]/Main_M[[#This Row],[Free CF]],""),"")</f>
        <v>11.74679487179487</v>
      </c>
      <c r="I107" s="1">
        <f>IF(ISNUMBER(Main_M[[#This Row],[BVPS]]),IF(Main_M[[#This Row],[BVPS]]&lt;&gt;0,Main_M[[#This Row],[Current Price]]/Main_M[[#This Row],[BVPS]],""),"")</f>
        <v>0.94531854526695891</v>
      </c>
      <c r="J107">
        <v>2.16</v>
      </c>
      <c r="K107">
        <v>0.16</v>
      </c>
      <c r="L107">
        <v>16.239999999999998</v>
      </c>
      <c r="M107" s="1">
        <f>IF(ISNUMBER(Main_M[[#This Row],[EPS]]),IF(Main_M[[#This Row],[EPS]]&lt;&gt;0,Main_M[[#This Row],[Current Price]]/Main_M[[#This Row],[EPS]],""),"")</f>
        <v>60.081967213114751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1.7143901836189259</v>
      </c>
      <c r="P107" s="1">
        <f>(Main_M[[#This Row],[P/B]]-VLOOKUP(Main_M[[#This Row],[Industry]], Mean_PB_M, 2, FALSE))/(VLOOKUP(Main_M[[#This Row],[Industry]], Mean_PB_M, 3, FALSE))</f>
        <v>-0.85585316003432454</v>
      </c>
      <c r="Q107" s="1">
        <f>(Main_M[[#This Row],[ROE]]-VLOOKUP(Main_M[[#This Row],[Industry]], Mean_ROE_M, 2, FALSE))/(VLOOKUP(Main_M[[#This Row],[Industry]], Mean_ROE_M, 3, FALSE))</f>
        <v>-0.62369120191895921</v>
      </c>
      <c r="R107" s="1">
        <f>(Main_M[[#This Row],[ROA]]-VLOOKUP(Main_M[[#This Row],[Industry]], Mean_ROA_M, 2, FALSE))/(VLOOKUP(Main_M[[#This Row],[Industry]], Mean_ROA_M, 3, FALSE))</f>
        <v>-0.8920257698776205</v>
      </c>
      <c r="S107" s="1">
        <f>(Main_M[[#This Row],[A/E]]-VLOOKUP(Main_M[[#This Row],[Industry]], Mean_AE_M, 2, FALSE))/(VLOOKUP(Main_M[[#This Row],[Industry]], Mean_AE_M, 3, FALSE))</f>
        <v>3.3640745449110692</v>
      </c>
      <c r="T107" s="1">
        <f>(Main_M[[#This Row],[P/E]]-VLOOKUP(Main_M[[#This Row],[Industry]], Mean_PE_M, 2, FALSE))/(VLOOKUP(Main_M[[#This Row],[Industry]], Mean_PE_M, 3, FALSE))</f>
        <v>6.2945919032678974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8" spans="1:26" x14ac:dyDescent="0.25">
      <c r="A108" s="68" t="s">
        <v>166</v>
      </c>
      <c r="B108" s="68" t="s">
        <v>353</v>
      </c>
      <c r="C108" s="2">
        <v>2262</v>
      </c>
      <c r="D108">
        <f>RTD("tos.rtd", , "LAST", Main_M[[#This Row],[Symbol]])</f>
        <v>55.13</v>
      </c>
      <c r="E108">
        <v>36.479999999999997</v>
      </c>
      <c r="F108">
        <v>64.45</v>
      </c>
      <c r="G108">
        <v>5.67</v>
      </c>
      <c r="H108" s="1">
        <f>IF(ISNUMBER(Main_M[[#This Row],[Free CF]]),IF(Main_M[[#This Row],[Free CF]]&lt;&gt;0,Main_M[[#This Row],[Current Price]]/Main_M[[#This Row],[Free CF]],""),"")</f>
        <v>1.5112390350877194</v>
      </c>
      <c r="I108" s="1">
        <f>IF(ISNUMBER(Main_M[[#This Row],[BVPS]]),IF(Main_M[[#This Row],[BVPS]]&lt;&gt;0,Main_M[[#This Row],[Current Price]]/Main_M[[#This Row],[BVPS]],""),"")</f>
        <v>0.85539177657098531</v>
      </c>
      <c r="J108">
        <v>9.3800000000000008</v>
      </c>
      <c r="K108">
        <v>1.28</v>
      </c>
      <c r="L108">
        <v>7.3</v>
      </c>
      <c r="M108" s="1">
        <f>IF(ISNUMBER(Main_M[[#This Row],[EPS]]),IF(Main_M[[#This Row],[EPS]]&lt;&gt;0,Main_M[[#This Row],[Current Price]]/Main_M[[#This Row],[EPS]],""),"")</f>
        <v>9.723104056437391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-1.034832929465259</v>
      </c>
      <c r="P108" s="1">
        <f>(Main_M[[#This Row],[P/B]]-VLOOKUP(Main_M[[#This Row],[Industry]], Mean_PB_M, 2, FALSE))/(VLOOKUP(Main_M[[#This Row],[Industry]], Mean_PB_M, 3, FALSE))</f>
        <v>-0.94550210158336123</v>
      </c>
      <c r="Q108" s="1">
        <f>(Main_M[[#This Row],[ROE]]-VLOOKUP(Main_M[[#This Row],[Industry]], Mean_ROE_M, 2, FALSE))/(VLOOKUP(Main_M[[#This Row],[Industry]], Mean_ROE_M, 3, FALSE))</f>
        <v>-8.7787758703512533E-2</v>
      </c>
      <c r="R108" s="1">
        <f>(Main_M[[#This Row],[ROA]]-VLOOKUP(Main_M[[#This Row],[Industry]], Mean_ROA_M, 2, FALSE))/(VLOOKUP(Main_M[[#This Row],[Industry]], Mean_ROA_M, 3, FALSE))</f>
        <v>-0.68786902670666961</v>
      </c>
      <c r="S108" s="1">
        <f>(Main_M[[#This Row],[A/E]]-VLOOKUP(Main_M[[#This Row],[Industry]], Mean_AE_M, 2, FALSE))/(VLOOKUP(Main_M[[#This Row],[Industry]], Mean_AE_M, 3, FALSE))</f>
        <v>0.69636153187539018</v>
      </c>
      <c r="T108" s="1">
        <f>(Main_M[[#This Row],[P/E]]-VLOOKUP(Main_M[[#This Row],[Industry]], Mean_PE_M, 2, FALSE))/(VLOOKUP(Main_M[[#This Row],[Industry]], Mean_PE_M, 3, FALSE))</f>
        <v>-0.31643881437367838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s="68" t="s">
        <v>166</v>
      </c>
      <c r="B109" s="68" t="s">
        <v>354</v>
      </c>
      <c r="C109" s="2">
        <v>5624</v>
      </c>
      <c r="D109">
        <f>RTD("tos.rtd", , "LAST", Main_M[[#This Row],[Symbol]])</f>
        <v>498</v>
      </c>
      <c r="E109">
        <v>95.89</v>
      </c>
      <c r="F109">
        <v>145.63999999999999</v>
      </c>
      <c r="G109">
        <v>23.43</v>
      </c>
      <c r="H109" s="1">
        <f>IF(ISNUMBER(Main_M[[#This Row],[Free CF]]),IF(Main_M[[#This Row],[Free CF]]&lt;&gt;0,Main_M[[#This Row],[Current Price]]/Main_M[[#This Row],[Free CF]],""),"")</f>
        <v>5.1934508290749815</v>
      </c>
      <c r="I109" s="1">
        <f>IF(ISNUMBER(Main_M[[#This Row],[BVPS]]),IF(Main_M[[#This Row],[BVPS]]&lt;&gt;0,Main_M[[#This Row],[Current Price]]/Main_M[[#This Row],[BVPS]],""),"")</f>
        <v>3.4193902773963201</v>
      </c>
      <c r="J109">
        <v>17.239999999999998</v>
      </c>
      <c r="K109">
        <v>3.34</v>
      </c>
      <c r="L109">
        <v>5.41</v>
      </c>
      <c r="M109" s="1">
        <f>IF(ISNUMBER(Main_M[[#This Row],[EPS]]),IF(Main_M[[#This Row],[EPS]]&lt;&gt;0,Main_M[[#This Row],[Current Price]]/Main_M[[#This Row],[EPS]],""),"")</f>
        <v>21.254801536491676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-4.580781614442999E-2</v>
      </c>
      <c r="P109" s="1">
        <f>(Main_M[[#This Row],[P/B]]-VLOOKUP(Main_M[[#This Row],[Industry]], Mean_PB_M, 2, FALSE))/(VLOOKUP(Main_M[[#This Row],[Industry]], Mean_PB_M, 3, FALSE))</f>
        <v>1.6105749716341047</v>
      </c>
      <c r="Q109" s="1">
        <f>(Main_M[[#This Row],[ROE]]-VLOOKUP(Main_M[[#This Row],[Industry]], Mean_ROE_M, 2, FALSE))/(VLOOKUP(Main_M[[#This Row],[Industry]], Mean_ROE_M, 3, FALSE))</f>
        <v>0.49561959083574086</v>
      </c>
      <c r="R109" s="1">
        <f>(Main_M[[#This Row],[ROA]]-VLOOKUP(Main_M[[#This Row],[Industry]], Mean_ROA_M, 2, FALSE))/(VLOOKUP(Main_M[[#This Row],[Industry]], Mean_ROA_M, 3, FALSE))</f>
        <v>-0.31236644551724219</v>
      </c>
      <c r="S109" s="1">
        <f>(Main_M[[#This Row],[A/E]]-VLOOKUP(Main_M[[#This Row],[Industry]], Mean_AE_M, 2, FALSE))/(VLOOKUP(Main_M[[#This Row],[Industry]], Mean_AE_M, 3, FALSE))</f>
        <v>0.13238193515979366</v>
      </c>
      <c r="T109" s="1">
        <f>(Main_M[[#This Row],[P/E]]-VLOOKUP(Main_M[[#This Row],[Industry]], Mean_PE_M, 2, FALSE))/(VLOOKUP(Main_M[[#This Row],[Industry]], Mean_PE_M, 3, FALSE))</f>
        <v>1.1974239197790131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s="68" t="s">
        <v>166</v>
      </c>
      <c r="B110" s="68" t="s">
        <v>355</v>
      </c>
      <c r="C110" s="2">
        <v>2330</v>
      </c>
      <c r="D110">
        <f>RTD("tos.rtd", , "LAST", Main_M[[#This Row],[Symbol]])</f>
        <v>99.22</v>
      </c>
      <c r="E110">
        <v>58.43</v>
      </c>
      <c r="F110">
        <v>46.82</v>
      </c>
      <c r="G110">
        <v>8.48</v>
      </c>
      <c r="H110" s="1">
        <f>IF(ISNUMBER(Main_M[[#This Row],[Free CF]]),IF(Main_M[[#This Row],[Free CF]]&lt;&gt;0,Main_M[[#This Row],[Current Price]]/Main_M[[#This Row],[Free CF]],""),"")</f>
        <v>1.6981002909464316</v>
      </c>
      <c r="I110" s="1">
        <f>IF(ISNUMBER(Main_M[[#This Row],[BVPS]]),IF(Main_M[[#This Row],[BVPS]]&lt;&gt;0,Main_M[[#This Row],[Current Price]]/Main_M[[#This Row],[BVPS]],""),"")</f>
        <v>2.1191798376762065</v>
      </c>
      <c r="J110">
        <v>19.940000000000001</v>
      </c>
      <c r="K110">
        <v>4.6399999999999997</v>
      </c>
      <c r="L110">
        <v>4.5599999999999996</v>
      </c>
      <c r="M110" s="1">
        <f>IF(ISNUMBER(Main_M[[#This Row],[EPS]]),IF(Main_M[[#This Row],[EPS]]&lt;&gt;0,Main_M[[#This Row],[Current Price]]/Main_M[[#This Row],[EPS]],""),"")</f>
        <v>11.700471698113207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-0.98464285754904946</v>
      </c>
      <c r="P110" s="1">
        <f>(Main_M[[#This Row],[P/B]]-VLOOKUP(Main_M[[#This Row],[Industry]], Mean_PB_M, 2, FALSE))/(VLOOKUP(Main_M[[#This Row],[Industry]], Mean_PB_M, 3, FALSE))</f>
        <v>0.31438150886227056</v>
      </c>
      <c r="Q110" s="1">
        <f>(Main_M[[#This Row],[ROE]]-VLOOKUP(Main_M[[#This Row],[Industry]], Mean_ROE_M, 2, FALSE))/(VLOOKUP(Main_M[[#This Row],[Industry]], Mean_ROE_M, 3, FALSE))</f>
        <v>0.69602669563930142</v>
      </c>
      <c r="R110" s="1">
        <f>(Main_M[[#This Row],[ROA]]-VLOOKUP(Main_M[[#This Row],[Industry]], Mean_ROA_M, 2, FALSE))/(VLOOKUP(Main_M[[#This Row],[Industry]], Mean_ROA_M, 3, FALSE))</f>
        <v>-7.5398797193817146E-2</v>
      </c>
      <c r="S110" s="1">
        <f>(Main_M[[#This Row],[A/E]]-VLOOKUP(Main_M[[#This Row],[Industry]], Mean_AE_M, 2, FALSE))/(VLOOKUP(Main_M[[#This Row],[Industry]], Mean_AE_M, 3, FALSE))</f>
        <v>-0.12125968241071293</v>
      </c>
      <c r="T110" s="1">
        <f>(Main_M[[#This Row],[P/E]]-VLOOKUP(Main_M[[#This Row],[Industry]], Mean_PE_M, 2, FALSE))/(VLOOKUP(Main_M[[#This Row],[Industry]], Mean_PE_M, 3, FALSE))</f>
        <v>-5.6853164504694978E-2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s="68" t="s">
        <v>166</v>
      </c>
      <c r="B111" s="68" t="s">
        <v>356</v>
      </c>
      <c r="C111" s="2">
        <v>5920</v>
      </c>
      <c r="D111">
        <f>RTD("tos.rtd", , "LAST", Main_M[[#This Row],[Symbol]])</f>
        <v>129.91</v>
      </c>
      <c r="E111">
        <v>10.92</v>
      </c>
      <c r="F111">
        <v>46.4</v>
      </c>
      <c r="G111">
        <v>6.25</v>
      </c>
      <c r="H111" s="1">
        <f>IF(ISNUMBER(Main_M[[#This Row],[Free CF]]),IF(Main_M[[#This Row],[Free CF]]&lt;&gt;0,Main_M[[#This Row],[Current Price]]/Main_M[[#This Row],[Free CF]],""),"")</f>
        <v>11.896520146520146</v>
      </c>
      <c r="I111" s="1">
        <f>IF(ISNUMBER(Main_M[[#This Row],[BVPS]]),IF(Main_M[[#This Row],[BVPS]]&lt;&gt;0,Main_M[[#This Row],[Current Price]]/Main_M[[#This Row],[BVPS]],""),"")</f>
        <v>2.7997844827586209</v>
      </c>
      <c r="J111">
        <v>13.7</v>
      </c>
      <c r="K111">
        <v>6.94</v>
      </c>
      <c r="L111">
        <v>2.15</v>
      </c>
      <c r="M111" s="1">
        <f>IF(ISNUMBER(Main_M[[#This Row],[EPS]]),IF(Main_M[[#This Row],[EPS]]&lt;&gt;0,Main_M[[#This Row],[Current Price]]/Main_M[[#This Row],[EPS]],""),"")</f>
        <v>20.785599999999999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1.7546057021950066</v>
      </c>
      <c r="P111" s="1">
        <f>(Main_M[[#This Row],[P/B]]-VLOOKUP(Main_M[[#This Row],[Industry]], Mean_PB_M, 2, FALSE))/(VLOOKUP(Main_M[[#This Row],[Industry]], Mean_PB_M, 3, FALSE))</f>
        <v>0.99288343804065293</v>
      </c>
      <c r="Q111" s="1">
        <f>(Main_M[[#This Row],[ROE]]-VLOOKUP(Main_M[[#This Row],[Industry]], Mean_ROE_M, 2, FALSE))/(VLOOKUP(Main_M[[#This Row],[Industry]], Mean_ROE_M, 3, FALSE))</f>
        <v>0.23286360898218397</v>
      </c>
      <c r="R111" s="1">
        <f>(Main_M[[#This Row],[ROA]]-VLOOKUP(Main_M[[#This Row],[Industry]], Mean_ROA_M, 2, FALSE))/(VLOOKUP(Main_M[[#This Row],[Industry]], Mean_ROA_M, 3, FALSE))</f>
        <v>0.34385165753224278</v>
      </c>
      <c r="S111" s="1">
        <f>(Main_M[[#This Row],[A/E]]-VLOOKUP(Main_M[[#This Row],[Industry]], Mean_AE_M, 2, FALSE))/(VLOOKUP(Main_M[[#This Row],[Industry]], Mean_AE_M, 3, FALSE))</f>
        <v>-0.84040826869885465</v>
      </c>
      <c r="T111" s="1">
        <f>(Main_M[[#This Row],[P/E]]-VLOOKUP(Main_M[[#This Row],[Industry]], Mean_PE_M, 2, FALSE))/(VLOOKUP(Main_M[[#This Row],[Industry]], Mean_PE_M, 3, FALSE))</f>
        <v>1.1358278952448531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s="68" t="s">
        <v>166</v>
      </c>
      <c r="B112" s="68" t="s">
        <v>357</v>
      </c>
      <c r="C112" s="2">
        <v>2119</v>
      </c>
      <c r="D112">
        <f>RTD("tos.rtd", , "LAST", Main_M[[#This Row],[Symbol]])</f>
        <v>8.84</v>
      </c>
      <c r="E112">
        <v>1.52</v>
      </c>
      <c r="F112">
        <v>8.23</v>
      </c>
      <c r="G112">
        <v>1.24</v>
      </c>
      <c r="H112" s="1">
        <f>IF(ISNUMBER(Main_M[[#This Row],[Free CF]]),IF(Main_M[[#This Row],[Free CF]]&lt;&gt;0,Main_M[[#This Row],[Current Price]]/Main_M[[#This Row],[Free CF]],""),"")</f>
        <v>5.8157894736842106</v>
      </c>
      <c r="I112" s="1">
        <f>IF(ISNUMBER(Main_M[[#This Row],[BVPS]]),IF(Main_M[[#This Row],[BVPS]]&lt;&gt;0,Main_M[[#This Row],[Current Price]]/Main_M[[#This Row],[BVPS]],""),"")</f>
        <v>1.0741190765492101</v>
      </c>
      <c r="J112">
        <v>16.23</v>
      </c>
      <c r="K112">
        <v>19.88</v>
      </c>
      <c r="L112">
        <v>1.55</v>
      </c>
      <c r="M112" s="1">
        <f>IF(ISNUMBER(Main_M[[#This Row],[EPS]]),IF(Main_M[[#This Row],[EPS]]&lt;&gt;0,Main_M[[#This Row],[Current Price]]/Main_M[[#This Row],[EPS]],""),"")</f>
        <v>7.129032258064516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0.1213494748928881</v>
      </c>
      <c r="P112" s="1">
        <f>(Main_M[[#This Row],[P/B]]-VLOOKUP(Main_M[[#This Row],[Industry]], Mean_PB_M, 2, FALSE))/(VLOOKUP(Main_M[[#This Row],[Industry]], Mean_PB_M, 3, FALSE))</f>
        <v>-0.72745055569472905</v>
      </c>
      <c r="Q112" s="1">
        <f>(Main_M[[#This Row],[ROE]]-VLOOKUP(Main_M[[#This Row],[Industry]], Mean_ROE_M, 2, FALSE))/(VLOOKUP(Main_M[[#This Row],[Industry]], Mean_ROE_M, 3, FALSE))</f>
        <v>0.4206524886684832</v>
      </c>
      <c r="R112" s="1">
        <f>(Main_M[[#This Row],[ROA]]-VLOOKUP(Main_M[[#This Row],[Industry]], Mean_ROA_M, 2, FALSE))/(VLOOKUP(Main_M[[#This Row],[Industry]], Mean_ROA_M, 3, FALSE))</f>
        <v>2.702591172382335</v>
      </c>
      <c r="S112" s="1">
        <f>(Main_M[[#This Row],[A/E]]-VLOOKUP(Main_M[[#This Row],[Industry]], Mean_AE_M, 2, FALSE))/(VLOOKUP(Main_M[[#This Row],[Industry]], Mean_AE_M, 3, FALSE))</f>
        <v>-1.0194494105133298</v>
      </c>
      <c r="T112" s="1">
        <f>(Main_M[[#This Row],[P/E]]-VLOOKUP(Main_M[[#This Row],[Industry]], Mean_PE_M, 2, FALSE))/(VLOOKUP(Main_M[[#This Row],[Industry]], Mean_PE_M, 3, FALSE))</f>
        <v>-0.65698439598172653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s="68" t="s">
        <v>166</v>
      </c>
      <c r="B113" s="68" t="s">
        <v>358</v>
      </c>
      <c r="C113" s="2">
        <v>2392</v>
      </c>
      <c r="D113">
        <f>RTD("tos.rtd", , "LAST", Main_M[[#This Row],[Symbol]])</f>
        <v>2.89</v>
      </c>
      <c r="E113">
        <v>1.98</v>
      </c>
      <c r="F113">
        <v>15.42</v>
      </c>
      <c r="G113">
        <v>-0.77</v>
      </c>
      <c r="H113" s="1">
        <f>IF(ISNUMBER(Main_M[[#This Row],[Free CF]]),IF(Main_M[[#This Row],[Free CF]]&lt;&gt;0,Main_M[[#This Row],[Current Price]]/Main_M[[#This Row],[Free CF]],""),"")</f>
        <v>1.4595959595959598</v>
      </c>
      <c r="I113" s="1">
        <f>IF(ISNUMBER(Main_M[[#This Row],[BVPS]]),IF(Main_M[[#This Row],[BVPS]]&lt;&gt;0,Main_M[[#This Row],[Current Price]]/Main_M[[#This Row],[BVPS]],""),"")</f>
        <v>0.1874189364461738</v>
      </c>
      <c r="J113">
        <v>-3.45</v>
      </c>
      <c r="K113">
        <v>3.1</v>
      </c>
      <c r="L113">
        <v>2.44</v>
      </c>
      <c r="M113" s="1">
        <f>IF(ISNUMBER(Main_M[[#This Row],[EPS]]),IF(Main_M[[#This Row],[EPS]]&lt;&gt;0,Main_M[[#This Row],[Current Price]]/Main_M[[#This Row],[EPS]],""),"")</f>
        <v>-3.7532467532467533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-1.0487040214741099</v>
      </c>
      <c r="P113" s="1">
        <f>(Main_M[[#This Row],[P/B]]-VLOOKUP(Main_M[[#This Row],[Industry]], Mean_PB_M, 2, FALSE))/(VLOOKUP(Main_M[[#This Row],[Industry]], Mean_PB_M, 3, FALSE))</f>
        <v>-1.6114112515401138</v>
      </c>
      <c r="Q113" s="1">
        <f>(Main_M[[#This Row],[ROE]]-VLOOKUP(Main_M[[#This Row],[Industry]], Mean_ROE_M, 2, FALSE))/(VLOOKUP(Main_M[[#This Row],[Industry]], Mean_ROE_M, 3, FALSE))</f>
        <v>-1.0400926307885792</v>
      </c>
      <c r="R113" s="1">
        <f>(Main_M[[#This Row],[ROA]]-VLOOKUP(Main_M[[#This Row],[Industry]], Mean_ROA_M, 2, FALSE))/(VLOOKUP(Main_M[[#This Row],[Industry]], Mean_ROA_M, 3, FALSE))</f>
        <v>-0.35611431905387447</v>
      </c>
      <c r="S113" s="1">
        <f>(Main_M[[#This Row],[A/E]]-VLOOKUP(Main_M[[#This Row],[Industry]], Mean_AE_M, 2, FALSE))/(VLOOKUP(Main_M[[#This Row],[Industry]], Mean_AE_M, 3, FALSE))</f>
        <v>-0.75387171682185827</v>
      </c>
      <c r="T113" s="1">
        <f>(Main_M[[#This Row],[P/E]]-VLOOKUP(Main_M[[#This Row],[Industry]], Mean_PE_M, 2, FALSE))/(VLOOKUP(Main_M[[#This Row],[Industry]], Mean_PE_M, 3, FALSE))</f>
        <v>-2.085592516023961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s="68" t="s">
        <v>166</v>
      </c>
      <c r="B114" s="68" t="s">
        <v>359</v>
      </c>
      <c r="C114" s="2">
        <v>3836</v>
      </c>
      <c r="D114">
        <f>RTD("tos.rtd", , "LAST", Main_M[[#This Row],[Symbol]])</f>
        <v>116.28</v>
      </c>
      <c r="E114">
        <v>17.52</v>
      </c>
      <c r="F114">
        <v>92.3</v>
      </c>
      <c r="G114">
        <v>5.0199999999999996</v>
      </c>
      <c r="H114" s="1">
        <f>IF(ISNUMBER(Main_M[[#This Row],[Free CF]]),IF(Main_M[[#This Row],[Free CF]]&lt;&gt;0,Main_M[[#This Row],[Current Price]]/Main_M[[#This Row],[Free CF]],""),"")</f>
        <v>6.6369863013698636</v>
      </c>
      <c r="I114" s="1">
        <f>IF(ISNUMBER(Main_M[[#This Row],[BVPS]]),IF(Main_M[[#This Row],[BVPS]]&lt;&gt;0,Main_M[[#This Row],[Current Price]]/Main_M[[#This Row],[BVPS]],""),"")</f>
        <v>1.2598049837486458</v>
      </c>
      <c r="J114">
        <v>5.41</v>
      </c>
      <c r="K114">
        <v>1.1499999999999999</v>
      </c>
      <c r="L114">
        <v>4.1100000000000003</v>
      </c>
      <c r="M114" s="1">
        <f>IF(ISNUMBER(Main_M[[#This Row],[EPS]]),IF(Main_M[[#This Row],[EPS]]&lt;&gt;0,Main_M[[#This Row],[Current Price]]/Main_M[[#This Row],[EPS]],""),"")</f>
        <v>23.163346613545819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0.34191915719273186</v>
      </c>
      <c r="P114" s="1">
        <f>(Main_M[[#This Row],[P/B]]-VLOOKUP(Main_M[[#This Row],[Industry]], Mean_PB_M, 2, FALSE))/(VLOOKUP(Main_M[[#This Row],[Industry]], Mean_PB_M, 3, FALSE))</f>
        <v>-0.54233832179159536</v>
      </c>
      <c r="Q114" s="1">
        <f>(Main_M[[#This Row],[ROE]]-VLOOKUP(Main_M[[#This Row],[Industry]], Mean_ROE_M, 2, FALSE))/(VLOOKUP(Main_M[[#This Row],[Industry]], Mean_ROE_M, 3, FALSE))</f>
        <v>-0.38246042761837729</v>
      </c>
      <c r="R114" s="1">
        <f>(Main_M[[#This Row],[ROA]]-VLOOKUP(Main_M[[#This Row],[Industry]], Mean_ROA_M, 2, FALSE))/(VLOOKUP(Main_M[[#This Row],[Industry]], Mean_ROA_M, 3, FALSE))</f>
        <v>-0.71156579153901223</v>
      </c>
      <c r="S114" s="1">
        <f>(Main_M[[#This Row],[A/E]]-VLOOKUP(Main_M[[#This Row],[Industry]], Mean_AE_M, 2, FALSE))/(VLOOKUP(Main_M[[#This Row],[Industry]], Mean_AE_M, 3, FALSE))</f>
        <v>-0.25554053877156907</v>
      </c>
      <c r="T114" s="1">
        <f>(Main_M[[#This Row],[P/E]]-VLOOKUP(Main_M[[#This Row],[Industry]], Mean_PE_M, 2, FALSE))/(VLOOKUP(Main_M[[#This Row],[Industry]], Mean_PE_M, 3, FALSE))</f>
        <v>1.4479746538405212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s="68" t="s">
        <v>166</v>
      </c>
      <c r="B115" s="68" t="s">
        <v>360</v>
      </c>
      <c r="C115" s="2">
        <v>5794</v>
      </c>
      <c r="D115">
        <f>RTD("tos.rtd", , "LAST", Main_M[[#This Row],[Symbol]])</f>
        <v>52.38</v>
      </c>
      <c r="E115">
        <v>23.47</v>
      </c>
      <c r="F115">
        <v>27.5</v>
      </c>
      <c r="G115">
        <v>4.7300000000000004</v>
      </c>
      <c r="H115" s="1">
        <f>IF(ISNUMBER(Main_M[[#This Row],[Free CF]]),IF(Main_M[[#This Row],[Free CF]]&lt;&gt;0,Main_M[[#This Row],[Current Price]]/Main_M[[#This Row],[Free CF]],""),"")</f>
        <v>2.2317852577758845</v>
      </c>
      <c r="I115" s="1">
        <f>IF(ISNUMBER(Main_M[[#This Row],[BVPS]]),IF(Main_M[[#This Row],[BVPS]]&lt;&gt;0,Main_M[[#This Row],[Current Price]]/Main_M[[#This Row],[BVPS]],""),"")</f>
        <v>1.9047272727272728</v>
      </c>
      <c r="J115">
        <v>17.46</v>
      </c>
      <c r="K115">
        <v>2.27</v>
      </c>
      <c r="L115">
        <v>7.94</v>
      </c>
      <c r="M115" s="1">
        <f>IF(ISNUMBER(Main_M[[#This Row],[EPS]]),IF(Main_M[[#This Row],[EPS]]&lt;&gt;0,Main_M[[#This Row],[Current Price]]/Main_M[[#This Row],[EPS]],""),"")</f>
        <v>11.073995771670189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-0.84129753568081245</v>
      </c>
      <c r="P115" s="1">
        <f>(Main_M[[#This Row],[P/B]]-VLOOKUP(Main_M[[#This Row],[Industry]], Mean_PB_M, 2, FALSE))/(VLOOKUP(Main_M[[#This Row],[Industry]], Mean_PB_M, 3, FALSE))</f>
        <v>0.10059149128534892</v>
      </c>
      <c r="Q115" s="1">
        <f>(Main_M[[#This Row],[ROE]]-VLOOKUP(Main_M[[#This Row],[Industry]], Mean_ROE_M, 2, FALSE))/(VLOOKUP(Main_M[[#This Row],[Industry]], Mean_ROE_M, 3, FALSE))</f>
        <v>0.51194905863454965</v>
      </c>
      <c r="R115" s="1">
        <f>(Main_M[[#This Row],[ROA]]-VLOOKUP(Main_M[[#This Row],[Industry]], Mean_ROA_M, 2, FALSE))/(VLOOKUP(Main_M[[#This Row],[Industry]], Mean_ROA_M, 3, FALSE))</f>
        <v>-0.50740904836806133</v>
      </c>
      <c r="S115" s="1">
        <f>(Main_M[[#This Row],[A/E]]-VLOOKUP(Main_M[[#This Row],[Industry]], Mean_AE_M, 2, FALSE))/(VLOOKUP(Main_M[[#This Row],[Industry]], Mean_AE_M, 3, FALSE))</f>
        <v>0.8873387498108305</v>
      </c>
      <c r="T115" s="1">
        <f>(Main_M[[#This Row],[P/E]]-VLOOKUP(Main_M[[#This Row],[Industry]], Mean_PE_M, 2, FALSE))/(VLOOKUP(Main_M[[#This Row],[Industry]], Mean_PE_M, 3, FALSE))</f>
        <v>-0.13909591849006941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s="68" t="s">
        <v>166</v>
      </c>
      <c r="B116" s="68" t="s">
        <v>361</v>
      </c>
      <c r="C116" s="2">
        <v>5983</v>
      </c>
      <c r="D116">
        <f>RTD("tos.rtd", , "LAST", Main_M[[#This Row],[Symbol]])</f>
        <v>46.05</v>
      </c>
      <c r="E116">
        <v>8.4499999999999993</v>
      </c>
      <c r="F116">
        <v>23.34</v>
      </c>
      <c r="G116">
        <v>5.66</v>
      </c>
      <c r="H116" s="1">
        <f>IF(ISNUMBER(Main_M[[#This Row],[Free CF]]),IF(Main_M[[#This Row],[Free CF]]&lt;&gt;0,Main_M[[#This Row],[Current Price]]/Main_M[[#This Row],[Free CF]],""),"")</f>
        <v>5.4497041420118348</v>
      </c>
      <c r="I116" s="1">
        <f>IF(ISNUMBER(Main_M[[#This Row],[BVPS]]),IF(Main_M[[#This Row],[BVPS]]&lt;&gt;0,Main_M[[#This Row],[Current Price]]/Main_M[[#This Row],[BVPS]],""),"")</f>
        <v>1.973007712082262</v>
      </c>
      <c r="J116">
        <v>27.02</v>
      </c>
      <c r="K116">
        <v>10.65</v>
      </c>
      <c r="L116">
        <v>1.99</v>
      </c>
      <c r="M116" s="1">
        <f>IF(ISNUMBER(Main_M[[#This Row],[EPS]]),IF(Main_M[[#This Row],[EPS]]&lt;&gt;0,Main_M[[#This Row],[Current Price]]/Main_M[[#This Row],[EPS]],""),"")</f>
        <v>8.1360424028268543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2.3020642414107222E-2</v>
      </c>
      <c r="P116" s="1">
        <f>(Main_M[[#This Row],[P/B]]-VLOOKUP(Main_M[[#This Row],[Industry]], Mean_PB_M, 2, FALSE))/(VLOOKUP(Main_M[[#This Row],[Industry]], Mean_PB_M, 3, FALSE))</f>
        <v>0.16866097944157182</v>
      </c>
      <c r="Q116" s="1">
        <f>(Main_M[[#This Row],[ROE]]-VLOOKUP(Main_M[[#This Row],[Industry]], Mean_ROE_M, 2, FALSE))/(VLOOKUP(Main_M[[#This Row],[Industry]], Mean_ROE_M, 3, FALSE))</f>
        <v>1.221538659346415</v>
      </c>
      <c r="R116" s="1">
        <f>(Main_M[[#This Row],[ROA]]-VLOOKUP(Main_M[[#This Row],[Industry]], Mean_ROA_M, 2, FALSE))/(VLOOKUP(Main_M[[#This Row],[Industry]], Mean_ROA_M, 3, FALSE))</f>
        <v>1.0201208692860175</v>
      </c>
      <c r="S116" s="1">
        <f>(Main_M[[#This Row],[A/E]]-VLOOKUP(Main_M[[#This Row],[Industry]], Mean_AE_M, 2, FALSE))/(VLOOKUP(Main_M[[#This Row],[Industry]], Mean_AE_M, 3, FALSE))</f>
        <v>-0.88815257318271457</v>
      </c>
      <c r="T116" s="1">
        <f>(Main_M[[#This Row],[P/E]]-VLOOKUP(Main_M[[#This Row],[Industry]], Mean_PE_M, 2, FALSE))/(VLOOKUP(Main_M[[#This Row],[Industry]], Mean_PE_M, 3, FALSE))</f>
        <v>-0.52478572066040385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s="68" t="s">
        <v>166</v>
      </c>
      <c r="B117" s="68" t="s">
        <v>362</v>
      </c>
      <c r="C117" s="2">
        <v>6615</v>
      </c>
      <c r="D117">
        <f>RTD("tos.rtd", , "LAST", Main_M[[#This Row],[Symbol]])</f>
        <v>33.700000000000003</v>
      </c>
      <c r="E117">
        <v>-1.95</v>
      </c>
      <c r="F117">
        <v>10.199999999999999</v>
      </c>
      <c r="G117">
        <v>2.78</v>
      </c>
      <c r="H117" s="1">
        <f>IF(ISNUMBER(Main_M[[#This Row],[Free CF]]),IF(Main_M[[#This Row],[Free CF]]&lt;&gt;0,Main_M[[#This Row],[Current Price]]/Main_M[[#This Row],[Free CF]],""),"")</f>
        <v>-17.282051282051285</v>
      </c>
      <c r="I117" s="1">
        <f>IF(ISNUMBER(Main_M[[#This Row],[BVPS]]),IF(Main_M[[#This Row],[BVPS]]&lt;&gt;0,Main_M[[#This Row],[Current Price]]/Main_M[[#This Row],[BVPS]],""),"")</f>
        <v>3.3039215686274517</v>
      </c>
      <c r="J117">
        <v>27.6</v>
      </c>
      <c r="K117">
        <v>2.1800000000000002</v>
      </c>
      <c r="L117">
        <v>13.44</v>
      </c>
      <c r="M117" s="1">
        <f>IF(ISNUMBER(Main_M[[#This Row],[EPS]]),IF(Main_M[[#This Row],[EPS]]&lt;&gt;0,Main_M[[#This Row],[Current Price]]/Main_M[[#This Row],[EPS]],""),"")</f>
        <v>12.122302158273383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-6.0826240738884785</v>
      </c>
      <c r="P117" s="1">
        <f>(Main_M[[#This Row],[P/B]]-VLOOKUP(Main_M[[#This Row],[Industry]], Mean_PB_M, 2, FALSE))/(VLOOKUP(Main_M[[#This Row],[Industry]], Mean_PB_M, 3, FALSE))</f>
        <v>1.495463001380174</v>
      </c>
      <c r="Q117" s="1">
        <f>(Main_M[[#This Row],[ROE]]-VLOOKUP(Main_M[[#This Row],[Industry]], Mean_ROE_M, 2, FALSE))/(VLOOKUP(Main_M[[#This Row],[Industry]], Mean_ROE_M, 3, FALSE))</f>
        <v>1.2645890744523656</v>
      </c>
      <c r="R117" s="1">
        <f>(Main_M[[#This Row],[ROA]]-VLOOKUP(Main_M[[#This Row],[Industry]], Mean_ROA_M, 2, FALSE))/(VLOOKUP(Main_M[[#This Row],[Industry]], Mean_ROA_M, 3, FALSE))</f>
        <v>-0.52381450094429838</v>
      </c>
      <c r="S117" s="1">
        <f>(Main_M[[#This Row],[A/E]]-VLOOKUP(Main_M[[#This Row],[Industry]], Mean_AE_M, 2, FALSE))/(VLOOKUP(Main_M[[#This Row],[Industry]], Mean_AE_M, 3, FALSE))</f>
        <v>2.528549216443519</v>
      </c>
      <c r="T117" s="1">
        <f>(Main_M[[#This Row],[P/E]]-VLOOKUP(Main_M[[#This Row],[Industry]], Mean_PE_M, 2, FALSE))/(VLOOKUP(Main_M[[#This Row],[Industry]], Mean_PE_M, 3, FALSE))</f>
        <v>-1.4759388298529836E-3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8" spans="1:26" x14ac:dyDescent="0.25">
      <c r="A118" s="68" t="s">
        <v>166</v>
      </c>
      <c r="B118" s="68" t="s">
        <v>363</v>
      </c>
      <c r="C118" s="2">
        <v>4415</v>
      </c>
      <c r="D118">
        <f>RTD("tos.rtd", , "LAST", Main_M[[#This Row],[Symbol]])</f>
        <v>53.68</v>
      </c>
      <c r="E118">
        <v>1.97</v>
      </c>
      <c r="F118">
        <v>6.77</v>
      </c>
      <c r="G118">
        <v>-1.44</v>
      </c>
      <c r="H118" s="1">
        <f>IF(ISNUMBER(Main_M[[#This Row],[Free CF]]),IF(Main_M[[#This Row],[Free CF]]&lt;&gt;0,Main_M[[#This Row],[Current Price]]/Main_M[[#This Row],[Free CF]],""),"")</f>
        <v>27.248730964467004</v>
      </c>
      <c r="I118" s="1">
        <f>IF(ISNUMBER(Main_M[[#This Row],[BVPS]]),IF(Main_M[[#This Row],[BVPS]]&lt;&gt;0,Main_M[[#This Row],[Current Price]]/Main_M[[#This Row],[BVPS]],""),"")</f>
        <v>7.9290989660265883</v>
      </c>
      <c r="J118">
        <v>-20.27</v>
      </c>
      <c r="K118">
        <v>-3.78</v>
      </c>
      <c r="L118">
        <v>3.74</v>
      </c>
      <c r="M118" s="1">
        <f>IF(ISNUMBER(Main_M[[#This Row],[EPS]]),IF(Main_M[[#This Row],[EPS]]&lt;&gt;0,Main_M[[#This Row],[Current Price]]/Main_M[[#This Row],[EPS]],""),"")</f>
        <v>-37.277777777777779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5.8781387560891005</v>
      </c>
      <c r="P118" s="1">
        <f>(Main_M[[#This Row],[P/B]]-VLOOKUP(Main_M[[#This Row],[Industry]], Mean_PB_M, 2, FALSE))/(VLOOKUP(Main_M[[#This Row],[Industry]], Mean_PB_M, 3, FALSE))</f>
        <v>6.1063509957569391</v>
      </c>
      <c r="Q118" s="1">
        <f>(Main_M[[#This Row],[ROE]]-VLOOKUP(Main_M[[#This Row],[Industry]], Mean_ROE_M, 2, FALSE))/(VLOOKUP(Main_M[[#This Row],[Industry]], Mean_ROE_M, 3, FALSE))</f>
        <v>-2.2885546688611296</v>
      </c>
      <c r="R118" s="1">
        <f>(Main_M[[#This Row],[ROA]]-VLOOKUP(Main_M[[#This Row],[Industry]], Mean_ROA_M, 2, FALSE))/(VLOOKUP(Main_M[[#This Row],[Industry]], Mean_ROA_M, 3, FALSE))</f>
        <v>-1.6102200271040013</v>
      </c>
      <c r="S118" s="1">
        <f>(Main_M[[#This Row],[A/E]]-VLOOKUP(Main_M[[#This Row],[Industry]], Mean_AE_M, 2, FALSE))/(VLOOKUP(Main_M[[#This Row],[Industry]], Mean_AE_M, 3, FALSE))</f>
        <v>-0.36594924289049541</v>
      </c>
      <c r="T118" s="1">
        <f>(Main_M[[#This Row],[P/E]]-VLOOKUP(Main_M[[#This Row],[Industry]], Mean_PE_M, 2, FALSE))/(VLOOKUP(Main_M[[#This Row],[Industry]], Mean_PE_M, 3, FALSE))</f>
        <v>-6.486639134335384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9" spans="1:26" x14ac:dyDescent="0.25">
      <c r="A119" s="68" t="s">
        <v>150</v>
      </c>
      <c r="B119" s="68" t="s">
        <v>327</v>
      </c>
      <c r="C119" s="2">
        <v>5989</v>
      </c>
      <c r="D119">
        <f>RTD("tos.rtd", , "LAST", Main_M[[#This Row],[Symbol]])</f>
        <v>89.23</v>
      </c>
      <c r="E119">
        <v>75.599999999999994</v>
      </c>
      <c r="F119">
        <v>125.8</v>
      </c>
      <c r="G119">
        <v>11.74</v>
      </c>
      <c r="H119" s="1">
        <f>IF(ISNUMBER(Main_M[[#This Row],[Free CF]]),IF(Main_M[[#This Row],[Free CF]]&lt;&gt;0,Main_M[[#This Row],[Current Price]]/Main_M[[#This Row],[Free CF]],""),"")</f>
        <v>1.1802910052910054</v>
      </c>
      <c r="I119" s="1">
        <f>IF(ISNUMBER(Main_M[[#This Row],[BVPS]]),IF(Main_M[[#This Row],[BVPS]]&lt;&gt;0,Main_M[[#This Row],[Current Price]]/Main_M[[#This Row],[BVPS]],""),"")</f>
        <v>0.70930047694753584</v>
      </c>
      <c r="J119">
        <v>9.61</v>
      </c>
      <c r="K119">
        <v>-0.49</v>
      </c>
      <c r="L119">
        <v>36.659999999999997</v>
      </c>
      <c r="M119" s="1">
        <f>IF(ISNUMBER(Main_M[[#This Row],[EPS]]),IF(Main_M[[#This Row],[EPS]]&lt;&gt;0,Main_M[[#This Row],[Current Price]]/Main_M[[#This Row],[EPS]],""),"")</f>
        <v>7.6005110732538332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-0.74789961499035307</v>
      </c>
      <c r="P119" s="1">
        <f>(Main_M[[#This Row],[P/B]]-VLOOKUP(Main_M[[#This Row],[Industry]], Mean_PB_M, 2, FALSE))/(VLOOKUP(Main_M[[#This Row],[Industry]], Mean_PB_M, 3, FALSE))</f>
        <v>-0.98194083061337467</v>
      </c>
      <c r="Q119" s="1">
        <f>(Main_M[[#This Row],[ROE]]-VLOOKUP(Main_M[[#This Row],[Industry]], Mean_ROE_M, 2, FALSE))/(VLOOKUP(Main_M[[#This Row],[Industry]], Mean_ROE_M, 3, FALSE))</f>
        <v>-0.33808422742183059</v>
      </c>
      <c r="R119" s="1">
        <f>(Main_M[[#This Row],[ROA]]-VLOOKUP(Main_M[[#This Row],[Industry]], Mean_ROA_M, 2, FALSE))/(VLOOKUP(Main_M[[#This Row],[Industry]], Mean_ROA_M, 3, FALSE))</f>
        <v>-1.4090867891805576</v>
      </c>
      <c r="S119" s="1">
        <f>(Main_M[[#This Row],[A/E]]-VLOOKUP(Main_M[[#This Row],[Industry]], Mean_AE_M, 2, FALSE))/(VLOOKUP(Main_M[[#This Row],[Industry]], Mean_AE_M, 3, FALSE))</f>
        <v>12.92363567045436</v>
      </c>
      <c r="T119" s="1">
        <f>(Main_M[[#This Row],[P/E]]-VLOOKUP(Main_M[[#This Row],[Industry]], Mean_PE_M, 2, FALSE))/(VLOOKUP(Main_M[[#This Row],[Industry]], Mean_PE_M, 3, FALSE))</f>
        <v>-1.0600038139729673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s="68" t="s">
        <v>150</v>
      </c>
      <c r="B120" s="68" t="s">
        <v>328</v>
      </c>
      <c r="C120" s="2">
        <v>6322</v>
      </c>
      <c r="D120">
        <f>RTD("tos.rtd", , "LAST", Main_M[[#This Row],[Symbol]])</f>
        <v>69.7</v>
      </c>
      <c r="E120">
        <v>13.15</v>
      </c>
      <c r="F120">
        <v>41.94</v>
      </c>
      <c r="G120">
        <v>6.17</v>
      </c>
      <c r="H120" s="1">
        <f>IF(ISNUMBER(Main_M[[#This Row],[Free CF]]),IF(Main_M[[#This Row],[Free CF]]&lt;&gt;0,Main_M[[#This Row],[Current Price]]/Main_M[[#This Row],[Free CF]],""),"")</f>
        <v>5.3003802281368824</v>
      </c>
      <c r="I120" s="1">
        <f>IF(ISNUMBER(Main_M[[#This Row],[BVPS]]),IF(Main_M[[#This Row],[BVPS]]&lt;&gt;0,Main_M[[#This Row],[Current Price]]/Main_M[[#This Row],[BVPS]],""),"")</f>
        <v>1.6618979494515977</v>
      </c>
      <c r="J120">
        <v>12.3</v>
      </c>
      <c r="K120">
        <v>0.43</v>
      </c>
      <c r="L120">
        <v>40.92</v>
      </c>
      <c r="M120" s="1">
        <f>IF(ISNUMBER(Main_M[[#This Row],[EPS]]),IF(Main_M[[#This Row],[EPS]]&lt;&gt;0,Main_M[[#This Row],[Current Price]]/Main_M[[#This Row],[EPS]],""),"")</f>
        <v>11.296596434359806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-0.38816228029016542</v>
      </c>
      <c r="P120" s="1">
        <f>(Main_M[[#This Row],[P/B]]-VLOOKUP(Main_M[[#This Row],[Industry]], Mean_PB_M, 2, FALSE))/(VLOOKUP(Main_M[[#This Row],[Industry]], Mean_PB_M, 3, FALSE))</f>
        <v>-0.61736285900806098</v>
      </c>
      <c r="Q120" s="1">
        <f>(Main_M[[#This Row],[ROE]]-VLOOKUP(Main_M[[#This Row],[Industry]], Mean_ROE_M, 2, FALSE))/(VLOOKUP(Main_M[[#This Row],[Industry]], Mean_ROE_M, 3, FALSE))</f>
        <v>-0.23544252143059713</v>
      </c>
      <c r="R120" s="1">
        <f>(Main_M[[#This Row],[ROA]]-VLOOKUP(Main_M[[#This Row],[Industry]], Mean_ROA_M, 2, FALSE))/(VLOOKUP(Main_M[[#This Row],[Industry]], Mean_ROA_M, 3, FALSE))</f>
        <v>-1.1359075112781198</v>
      </c>
      <c r="S120" s="1">
        <f>(Main_M[[#This Row],[A/E]]-VLOOKUP(Main_M[[#This Row],[Industry]], Mean_AE_M, 2, FALSE))/(VLOOKUP(Main_M[[#This Row],[Industry]], Mean_AE_M, 3, FALSE))</f>
        <v>14.59415315673338</v>
      </c>
      <c r="T120" s="1">
        <f>(Main_M[[#This Row],[P/E]]-VLOOKUP(Main_M[[#This Row],[Industry]], Mean_PE_M, 2, FALSE))/(VLOOKUP(Main_M[[#This Row],[Industry]], Mean_PE_M, 3, FALSE))</f>
        <v>-0.57292474933295723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1" spans="1:26" x14ac:dyDescent="0.25">
      <c r="A121" s="68" t="s">
        <v>150</v>
      </c>
      <c r="B121" s="68" t="s">
        <v>329</v>
      </c>
      <c r="C121" s="2">
        <v>3076</v>
      </c>
      <c r="D121">
        <f>RTD("tos.rtd", , "LAST", Main_M[[#This Row],[Symbol]])</f>
        <v>14.35</v>
      </c>
      <c r="E121">
        <v>0.99</v>
      </c>
      <c r="F121">
        <v>11.03</v>
      </c>
      <c r="G121">
        <v>0.66</v>
      </c>
      <c r="H121" s="1">
        <f>IF(ISNUMBER(Main_M[[#This Row],[Free CF]]),IF(Main_M[[#This Row],[Free CF]]&lt;&gt;0,Main_M[[#This Row],[Current Price]]/Main_M[[#This Row],[Free CF]],""),"")</f>
        <v>14.494949494949495</v>
      </c>
      <c r="I121" s="1">
        <f>IF(ISNUMBER(Main_M[[#This Row],[BVPS]]),IF(Main_M[[#This Row],[BVPS]]&lt;&gt;0,Main_M[[#This Row],[Current Price]]/Main_M[[#This Row],[BVPS]],""),"")</f>
        <v>1.3009972801450589</v>
      </c>
      <c r="J121">
        <v>7.1</v>
      </c>
      <c r="K121">
        <v>4.2300000000000004</v>
      </c>
      <c r="L121">
        <v>2.5499999999999998</v>
      </c>
      <c r="M121" s="1">
        <f>IF(ISNUMBER(Main_M[[#This Row],[EPS]]),IF(Main_M[[#This Row],[EPS]]&lt;&gt;0,Main_M[[#This Row],[Current Price]]/Main_M[[#This Row],[EPS]],""),"")</f>
        <v>21.742424242424242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0.41464311125782211</v>
      </c>
      <c r="P121" s="1">
        <f>(Main_M[[#This Row],[P/B]]-VLOOKUP(Main_M[[#This Row],[Industry]], Mean_PB_M, 2, FALSE))/(VLOOKUP(Main_M[[#This Row],[Industry]], Mean_PB_M, 3, FALSE))</f>
        <v>-0.75548671274967061</v>
      </c>
      <c r="Q121" s="1">
        <f>(Main_M[[#This Row],[ROE]]-VLOOKUP(Main_M[[#This Row],[Industry]], Mean_ROE_M, 2, FALSE))/(VLOOKUP(Main_M[[#This Row],[Industry]], Mean_ROE_M, 3, FALSE))</f>
        <v>-0.43385771516829741</v>
      </c>
      <c r="R121" s="1">
        <f>(Main_M[[#This Row],[ROA]]-VLOOKUP(Main_M[[#This Row],[Industry]], Mean_ROA_M, 2, FALSE))/(VLOOKUP(Main_M[[#This Row],[Industry]], Mean_ROA_M, 3, FALSE))</f>
        <v>-7.5583199419641343E-3</v>
      </c>
      <c r="S121" s="1">
        <f>(Main_M[[#This Row],[A/E]]-VLOOKUP(Main_M[[#This Row],[Industry]], Mean_AE_M, 2, FALSE))/(VLOOKUP(Main_M[[#This Row],[Industry]], Mean_AE_M, 3, FALSE))</f>
        <v>-0.45226842742765333</v>
      </c>
      <c r="T121" s="1">
        <f>(Main_M[[#This Row],[P/E]]-VLOOKUP(Main_M[[#This Row],[Industry]], Mean_PE_M, 2, FALSE))/(VLOOKUP(Main_M[[#This Row],[Industry]], Mean_PE_M, 3, FALSE))</f>
        <v>0.80365169332262498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2" spans="1:26" x14ac:dyDescent="0.25">
      <c r="A122" s="68" t="s">
        <v>150</v>
      </c>
      <c r="B122" s="68" t="s">
        <v>330</v>
      </c>
      <c r="C122" s="2">
        <v>3116</v>
      </c>
      <c r="D122">
        <f>RTD("tos.rtd", , "LAST", Main_M[[#This Row],[Symbol]])</f>
        <v>27.39</v>
      </c>
      <c r="E122">
        <v>0.05</v>
      </c>
      <c r="F122">
        <v>19.7</v>
      </c>
      <c r="G122">
        <v>1.62</v>
      </c>
      <c r="H122" s="1">
        <f>IF(ISNUMBER(Main_M[[#This Row],[Free CF]]),IF(Main_M[[#This Row],[Free CF]]&lt;&gt;0,Main_M[[#This Row],[Current Price]]/Main_M[[#This Row],[Free CF]],""),"")</f>
        <v>547.79999999999995</v>
      </c>
      <c r="I122" s="1">
        <f>IF(ISNUMBER(Main_M[[#This Row],[BVPS]]),IF(Main_M[[#This Row],[BVPS]]&lt;&gt;0,Main_M[[#This Row],[Current Price]]/Main_M[[#This Row],[BVPS]],""),"")</f>
        <v>1.3903553299492386</v>
      </c>
      <c r="J122">
        <v>8.9600000000000009</v>
      </c>
      <c r="K122">
        <v>2.99</v>
      </c>
      <c r="L122">
        <v>3.03</v>
      </c>
      <c r="M122" s="1">
        <f>IF(ISNUMBER(Main_M[[#This Row],[EPS]]),IF(Main_M[[#This Row],[EPS]]&lt;&gt;0,Main_M[[#This Row],[Current Price]]/Main_M[[#This Row],[EPS]],""),"")</f>
        <v>16.907407407407408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46.979104964906483</v>
      </c>
      <c r="P122" s="1">
        <f>(Main_M[[#This Row],[P/B]]-VLOOKUP(Main_M[[#This Row],[Industry]], Mean_PB_M, 2, FALSE))/(VLOOKUP(Main_M[[#This Row],[Industry]], Mean_PB_M, 3, FALSE))</f>
        <v>-0.72128761241133166</v>
      </c>
      <c r="Q122" s="1">
        <f>(Main_M[[#This Row],[ROE]]-VLOOKUP(Main_M[[#This Row],[Industry]], Mean_ROE_M, 2, FALSE))/(VLOOKUP(Main_M[[#This Row],[Industry]], Mean_ROE_M, 3, FALSE))</f>
        <v>-0.36288612663904307</v>
      </c>
      <c r="R122" s="1">
        <f>(Main_M[[#This Row],[ROA]]-VLOOKUP(Main_M[[#This Row],[Industry]], Mean_ROA_M, 2, FALSE))/(VLOOKUP(Main_M[[#This Row],[Industry]], Mean_ROA_M, 3, FALSE))</f>
        <v>-0.37575647711481497</v>
      </c>
      <c r="S122" s="1">
        <f>(Main_M[[#This Row],[A/E]]-VLOOKUP(Main_M[[#This Row],[Industry]], Mean_AE_M, 2, FALSE))/(VLOOKUP(Main_M[[#This Row],[Industry]], Mean_AE_M, 3, FALSE))</f>
        <v>-0.26404110503001726</v>
      </c>
      <c r="T122" s="1">
        <f>(Main_M[[#This Row],[P/E]]-VLOOKUP(Main_M[[#This Row],[Industry]], Mean_PE_M, 2, FALSE))/(VLOOKUP(Main_M[[#This Row],[Industry]], Mean_PE_M, 3, FALSE))</f>
        <v>0.1664814855398673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s="68" t="s">
        <v>150</v>
      </c>
      <c r="B123" s="68" t="s">
        <v>331</v>
      </c>
      <c r="C123" s="2">
        <v>5483</v>
      </c>
      <c r="D123">
        <f>RTD("tos.rtd", , "LAST", Main_M[[#This Row],[Symbol]])</f>
        <v>36.119999999999997</v>
      </c>
      <c r="E123">
        <v>4.7</v>
      </c>
      <c r="F123">
        <v>33.96</v>
      </c>
      <c r="G123">
        <v>4.4400000000000004</v>
      </c>
      <c r="H123" s="1">
        <f>IF(ISNUMBER(Main_M[[#This Row],[Free CF]]),IF(Main_M[[#This Row],[Free CF]]&lt;&gt;0,Main_M[[#This Row],[Current Price]]/Main_M[[#This Row],[Free CF]],""),"")</f>
        <v>7.6851063829787227</v>
      </c>
      <c r="I123" s="1">
        <f>IF(ISNUMBER(Main_M[[#This Row],[BVPS]]),IF(Main_M[[#This Row],[BVPS]]&lt;&gt;0,Main_M[[#This Row],[Current Price]]/Main_M[[#This Row],[BVPS]],""),"")</f>
        <v>1.0636042402826855</v>
      </c>
      <c r="J123">
        <v>14.09</v>
      </c>
      <c r="K123">
        <v>9.11</v>
      </c>
      <c r="L123">
        <v>1.31</v>
      </c>
      <c r="M123" s="1">
        <f>IF(ISNUMBER(Main_M[[#This Row],[EPS]]),IF(Main_M[[#This Row],[EPS]]&lt;&gt;0,Main_M[[#This Row],[Current Price]]/Main_M[[#This Row],[EPS]],""),"")</f>
        <v>8.1351351351351333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3" s="1">
        <f>(Main_M[[#This Row],[P/FCF]]-VLOOKUP(Main_M[[#This Row],[Industry]], Mean_PFCF_M, 2, FALSE))/(VLOOKUP(Main_M[[#This Row],[Industry]], Mean_PFCF_M, 3, FALSE))</f>
        <v>-0.17994469457000253</v>
      </c>
      <c r="P123" s="1">
        <f>(Main_M[[#This Row],[P/B]]-VLOOKUP(Main_M[[#This Row],[Industry]], Mean_PB_M, 2, FALSE))/(VLOOKUP(Main_M[[#This Row],[Industry]], Mean_PB_M, 3, FALSE))</f>
        <v>-0.84634174380359184</v>
      </c>
      <c r="Q123" s="1">
        <f>(Main_M[[#This Row],[ROE]]-VLOOKUP(Main_M[[#This Row],[Industry]], Mean_ROE_M, 2, FALSE))/(VLOOKUP(Main_M[[#This Row],[Industry]], Mean_ROE_M, 3, FALSE))</f>
        <v>-0.1671419066631965</v>
      </c>
      <c r="R123" s="1">
        <f>(Main_M[[#This Row],[ROA]]-VLOOKUP(Main_M[[#This Row],[Industry]], Mean_ROA_M, 2, FALSE))/(VLOOKUP(Main_M[[#This Row],[Industry]], Mean_ROA_M, 3, FALSE))</f>
        <v>1.4414795889318355</v>
      </c>
      <c r="S123" s="1">
        <f>(Main_M[[#This Row],[A/E]]-VLOOKUP(Main_M[[#This Row],[Industry]], Mean_AE_M, 2, FALSE))/(VLOOKUP(Main_M[[#This Row],[Industry]], Mean_AE_M, 3, FALSE))</f>
        <v>-0.93852234362154641</v>
      </c>
      <c r="T123" s="1">
        <f>(Main_M[[#This Row],[P/E]]-VLOOKUP(Main_M[[#This Row],[Industry]], Mean_PE_M, 2, FALSE))/(VLOOKUP(Main_M[[#This Row],[Industry]], Mean_PE_M, 3, FALSE))</f>
        <v>-0.98954976257701521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s="68" t="s">
        <v>150</v>
      </c>
      <c r="B124" s="68" t="s">
        <v>332</v>
      </c>
      <c r="C124" s="2">
        <v>7559</v>
      </c>
      <c r="D124">
        <f>RTD("tos.rtd", , "LAST", Main_M[[#This Row],[Symbol]])</f>
        <v>128.35</v>
      </c>
      <c r="E124">
        <v>-38.770000000000003</v>
      </c>
      <c r="F124">
        <v>76.430000000000007</v>
      </c>
      <c r="G124">
        <v>8.81</v>
      </c>
      <c r="H124" s="1">
        <f>IF(ISNUMBER(Main_M[[#This Row],[Free CF]]),IF(Main_M[[#This Row],[Free CF]]&lt;&gt;0,Main_M[[#This Row],[Current Price]]/Main_M[[#This Row],[Free CF]],""),"")</f>
        <v>-3.3105493938612325</v>
      </c>
      <c r="I124" s="1">
        <f>IF(ISNUMBER(Main_M[[#This Row],[BVPS]]),IF(Main_M[[#This Row],[BVPS]]&lt;&gt;0,Main_M[[#This Row],[Current Price]]/Main_M[[#This Row],[BVPS]],""),"")</f>
        <v>1.6793144053382179</v>
      </c>
      <c r="J124">
        <v>12.39</v>
      </c>
      <c r="K124">
        <v>3.11</v>
      </c>
      <c r="L124">
        <v>3.77</v>
      </c>
      <c r="M124" s="1">
        <f>IF(ISNUMBER(Main_M[[#This Row],[EPS]]),IF(Main_M[[#This Row],[EPS]]&lt;&gt;0,Main_M[[#This Row],[Current Price]]/Main_M[[#This Row],[EPS]],""),"")</f>
        <v>14.568671963677637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-1.1400083457423196</v>
      </c>
      <c r="P124" s="1">
        <f>(Main_M[[#This Row],[P/B]]-VLOOKUP(Main_M[[#This Row],[Industry]], Mean_PB_M, 2, FALSE))/(VLOOKUP(Main_M[[#This Row],[Industry]], Mean_PB_M, 3, FALSE))</f>
        <v>-0.61069723544409515</v>
      </c>
      <c r="Q124" s="1">
        <f>(Main_M[[#This Row],[ROE]]-VLOOKUP(Main_M[[#This Row],[Industry]], Mean_ROE_M, 2, FALSE))/(VLOOKUP(Main_M[[#This Row],[Industry]], Mean_ROE_M, 3, FALSE))</f>
        <v>-0.23200841230821387</v>
      </c>
      <c r="R124" s="1">
        <f>(Main_M[[#This Row],[ROA]]-VLOOKUP(Main_M[[#This Row],[Industry]], Mean_ROA_M, 2, FALSE))/(VLOOKUP(Main_M[[#This Row],[Industry]], Mean_ROA_M, 3, FALSE))</f>
        <v>-0.34012439738841016</v>
      </c>
      <c r="S124" s="1">
        <f>(Main_M[[#This Row],[A/E]]-VLOOKUP(Main_M[[#This Row],[Industry]], Mean_AE_M, 2, FALSE))/(VLOOKUP(Main_M[[#This Row],[Industry]], Mean_AE_M, 3, FALSE))</f>
        <v>2.6142683666338425E-2</v>
      </c>
      <c r="T124" s="1">
        <f>(Main_M[[#This Row],[P/E]]-VLOOKUP(Main_M[[#This Row],[Industry]], Mean_PE_M, 2, FALSE))/(VLOOKUP(Main_M[[#This Row],[Industry]], Mean_PE_M, 3, FALSE))</f>
        <v>-0.14172272542334227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s="68" t="s">
        <v>150</v>
      </c>
      <c r="B125" s="68" t="s">
        <v>333</v>
      </c>
      <c r="C125" s="2">
        <v>6035</v>
      </c>
      <c r="D125">
        <f>RTD("tos.rtd", , "LAST", Main_M[[#This Row],[Symbol]])</f>
        <v>59.47</v>
      </c>
      <c r="E125">
        <v>8.02</v>
      </c>
      <c r="F125">
        <v>53.36</v>
      </c>
      <c r="G125">
        <v>6.85</v>
      </c>
      <c r="H125" s="1">
        <f>IF(ISNUMBER(Main_M[[#This Row],[Free CF]]),IF(Main_M[[#This Row],[Free CF]]&lt;&gt;0,Main_M[[#This Row],[Current Price]]/Main_M[[#This Row],[Free CF]],""),"")</f>
        <v>7.4152119700748136</v>
      </c>
      <c r="I125" s="1">
        <f>IF(ISNUMBER(Main_M[[#This Row],[BVPS]]),IF(Main_M[[#This Row],[BVPS]]&lt;&gt;0,Main_M[[#This Row],[Current Price]]/Main_M[[#This Row],[BVPS]],""),"")</f>
        <v>1.1145052473763117</v>
      </c>
      <c r="J125">
        <v>13.63</v>
      </c>
      <c r="K125">
        <v>8.2200000000000006</v>
      </c>
      <c r="L125">
        <v>1.27</v>
      </c>
      <c r="M125" s="1">
        <f>IF(ISNUMBER(Main_M[[#This Row],[EPS]]),IF(Main_M[[#This Row],[EPS]]&lt;&gt;0,Main_M[[#This Row],[Current Price]]/Main_M[[#This Row],[EPS]],""),"")</f>
        <v>8.6817518248175194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5" s="1">
        <f>(Main_M[[#This Row],[P/FCF]]-VLOOKUP(Main_M[[#This Row],[Industry]], Mean_PFCF_M, 2, FALSE))/(VLOOKUP(Main_M[[#This Row],[Industry]], Mean_PFCF_M, 3, FALSE))</f>
        <v>-0.20350998442104618</v>
      </c>
      <c r="P125" s="1">
        <f>(Main_M[[#This Row],[P/B]]-VLOOKUP(Main_M[[#This Row],[Industry]], Mean_PB_M, 2, FALSE))/(VLOOKUP(Main_M[[#This Row],[Industry]], Mean_PB_M, 3, FALSE))</f>
        <v>-0.82686091747924662</v>
      </c>
      <c r="Q125" s="1">
        <f>(Main_M[[#This Row],[ROE]]-VLOOKUP(Main_M[[#This Row],[Industry]], Mean_ROE_M, 2, FALSE))/(VLOOKUP(Main_M[[#This Row],[Industry]], Mean_ROE_M, 3, FALSE))</f>
        <v>-0.18469401995537765</v>
      </c>
      <c r="R125" s="1">
        <f>(Main_M[[#This Row],[ROA]]-VLOOKUP(Main_M[[#This Row],[Industry]], Mean_ROA_M, 2, FALSE))/(VLOOKUP(Main_M[[#This Row],[Industry]], Mean_ROA_M, 3, FALSE))</f>
        <v>1.1772083309609993</v>
      </c>
      <c r="S125" s="1">
        <f>(Main_M[[#This Row],[A/E]]-VLOOKUP(Main_M[[#This Row],[Industry]], Mean_AE_M, 2, FALSE))/(VLOOKUP(Main_M[[#This Row],[Industry]], Mean_AE_M, 3, FALSE))</f>
        <v>-0.95420795382134949</v>
      </c>
      <c r="T125" s="1">
        <f>(Main_M[[#This Row],[P/E]]-VLOOKUP(Main_M[[#This Row],[Industry]], Mean_PE_M, 2, FALSE))/(VLOOKUP(Main_M[[#This Row],[Industry]], Mean_PE_M, 3, FALSE))</f>
        <v>-0.91751529369574258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6" spans="1:26" x14ac:dyDescent="0.25">
      <c r="A126" s="68" t="s">
        <v>150</v>
      </c>
      <c r="B126" s="68" t="s">
        <v>334</v>
      </c>
      <c r="C126" s="2">
        <v>6221</v>
      </c>
      <c r="D126">
        <f>RTD("tos.rtd", , "LAST", Main_M[[#This Row],[Symbol]])</f>
        <v>26.59</v>
      </c>
      <c r="E126">
        <v>2.97</v>
      </c>
      <c r="F126">
        <v>21.4</v>
      </c>
      <c r="G126">
        <v>3</v>
      </c>
      <c r="H126" s="1">
        <f>IF(ISNUMBER(Main_M[[#This Row],[Free CF]]),IF(Main_M[[#This Row],[Free CF]]&lt;&gt;0,Main_M[[#This Row],[Current Price]]/Main_M[[#This Row],[Free CF]],""),"")</f>
        <v>8.9528619528619515</v>
      </c>
      <c r="I126" s="1">
        <f>IF(ISNUMBER(Main_M[[#This Row],[BVPS]]),IF(Main_M[[#This Row],[BVPS]]&lt;&gt;0,Main_M[[#This Row],[Current Price]]/Main_M[[#This Row],[BVPS]],""),"")</f>
        <v>1.2425233644859814</v>
      </c>
      <c r="J126">
        <v>15.12</v>
      </c>
      <c r="K126">
        <v>9.75</v>
      </c>
      <c r="L126">
        <v>1.27</v>
      </c>
      <c r="M126" s="1">
        <f>IF(ISNUMBER(Main_M[[#This Row],[EPS]]),IF(Main_M[[#This Row],[EPS]]&lt;&gt;0,Main_M[[#This Row],[Current Price]]/Main_M[[#This Row],[EPS]],""),"")</f>
        <v>8.8633333333333333</v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6" s="1">
        <f>(Main_M[[#This Row],[P/FCF]]-VLOOKUP(Main_M[[#This Row],[Industry]], Mean_PFCF_M, 2, FALSE))/(VLOOKUP(Main_M[[#This Row],[Industry]], Mean_PFCF_M, 3, FALSE))</f>
        <v>-6.9253157301279081E-2</v>
      </c>
      <c r="P126" s="1">
        <f>(Main_M[[#This Row],[P/B]]-VLOOKUP(Main_M[[#This Row],[Industry]], Mean_PB_M, 2, FALSE))/(VLOOKUP(Main_M[[#This Row],[Industry]], Mean_PB_M, 3, FALSE))</f>
        <v>-0.7778658415823011</v>
      </c>
      <c r="Q126" s="1">
        <f>(Main_M[[#This Row],[ROE]]-VLOOKUP(Main_M[[#This Row],[Industry]], Mean_ROE_M, 2, FALSE))/(VLOOKUP(Main_M[[#This Row],[Industry]], Mean_ROE_M, 3, FALSE))</f>
        <v>-0.12784043559592129</v>
      </c>
      <c r="R126" s="1">
        <f>(Main_M[[#This Row],[ROA]]-VLOOKUP(Main_M[[#This Row],[Industry]], Mean_ROA_M, 2, FALSE))/(VLOOKUP(Main_M[[#This Row],[Industry]], Mean_ROA_M, 3, FALSE))</f>
        <v>1.6315173474726619</v>
      </c>
      <c r="S126" s="1">
        <f>(Main_M[[#This Row],[A/E]]-VLOOKUP(Main_M[[#This Row],[Industry]], Mean_AE_M, 2, FALSE))/(VLOOKUP(Main_M[[#This Row],[Industry]], Mean_AE_M, 3, FALSE))</f>
        <v>-0.95420795382134949</v>
      </c>
      <c r="T126" s="1">
        <f>(Main_M[[#This Row],[P/E]]-VLOOKUP(Main_M[[#This Row],[Industry]], Mean_PE_M, 2, FALSE))/(VLOOKUP(Main_M[[#This Row],[Industry]], Mean_PE_M, 3, FALSE))</f>
        <v>-0.89358604350728388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7" spans="1:26" x14ac:dyDescent="0.25">
      <c r="A127" s="68" t="s">
        <v>150</v>
      </c>
      <c r="B127" s="68" t="s">
        <v>335</v>
      </c>
      <c r="C127" s="2">
        <v>2987</v>
      </c>
      <c r="D127">
        <f>RTD("tos.rtd", , "LAST", Main_M[[#This Row],[Symbol]])</f>
        <v>38</v>
      </c>
      <c r="E127">
        <v>4.75</v>
      </c>
      <c r="F127">
        <v>29.65</v>
      </c>
      <c r="G127">
        <v>4.63</v>
      </c>
      <c r="H127" s="1">
        <f>IF(ISNUMBER(Main_M[[#This Row],[Free CF]]),IF(Main_M[[#This Row],[Free CF]]&lt;&gt;0,Main_M[[#This Row],[Current Price]]/Main_M[[#This Row],[Free CF]],""),"")</f>
        <v>8</v>
      </c>
      <c r="I127" s="1">
        <f>IF(ISNUMBER(Main_M[[#This Row],[BVPS]]),IF(Main_M[[#This Row],[BVPS]]&lt;&gt;0,Main_M[[#This Row],[Current Price]]/Main_M[[#This Row],[BVPS]],""),"")</f>
        <v>1.2816188870151772</v>
      </c>
      <c r="J127">
        <v>17.38</v>
      </c>
      <c r="K127">
        <v>9.98</v>
      </c>
      <c r="L127">
        <v>1.49</v>
      </c>
      <c r="M127" s="1">
        <f>IF(ISNUMBER(Main_M[[#This Row],[EPS]]),IF(Main_M[[#This Row],[EPS]]&lt;&gt;0,Main_M[[#This Row],[Current Price]]/Main_M[[#This Row],[EPS]],""),"")</f>
        <v>8.2073434125269973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7" s="1">
        <f>(Main_M[[#This Row],[P/FCF]]-VLOOKUP(Main_M[[#This Row],[Industry]], Mean_PFCF_M, 2, FALSE))/(VLOOKUP(Main_M[[#This Row],[Industry]], Mean_PFCF_M, 3, FALSE))</f>
        <v>-0.15245038938039537</v>
      </c>
      <c r="P127" s="1">
        <f>(Main_M[[#This Row],[P/B]]-VLOOKUP(Main_M[[#This Row],[Industry]], Mean_PB_M, 2, FALSE))/(VLOOKUP(Main_M[[#This Row],[Industry]], Mean_PB_M, 3, FALSE))</f>
        <v>-0.76290320866130812</v>
      </c>
      <c r="Q127" s="1">
        <f>(Main_M[[#This Row],[ROE]]-VLOOKUP(Main_M[[#This Row],[Industry]], Mean_ROE_M, 2, FALSE))/(VLOOKUP(Main_M[[#This Row],[Industry]], Mean_ROE_M, 3, FALSE))</f>
        <v>-4.1606139856074642E-2</v>
      </c>
      <c r="R127" s="1">
        <f>(Main_M[[#This Row],[ROA]]-VLOOKUP(Main_M[[#This Row],[Industry]], Mean_ROA_M, 2, FALSE))/(VLOOKUP(Main_M[[#This Row],[Industry]], Mean_ROA_M, 3, FALSE))</f>
        <v>1.6998121669482713</v>
      </c>
      <c r="S127" s="1">
        <f>(Main_M[[#This Row],[A/E]]-VLOOKUP(Main_M[[#This Row],[Industry]], Mean_AE_M, 2, FALSE))/(VLOOKUP(Main_M[[#This Row],[Industry]], Mean_AE_M, 3, FALSE))</f>
        <v>-0.86793709772243288</v>
      </c>
      <c r="T127" s="1">
        <f>(Main_M[[#This Row],[P/E]]-VLOOKUP(Main_M[[#This Row],[Industry]], Mean_PE_M, 2, FALSE))/(VLOOKUP(Main_M[[#This Row],[Industry]], Mean_PE_M, 3, FALSE))</f>
        <v>-0.98003398120967922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s="68" t="s">
        <v>150</v>
      </c>
      <c r="B128" s="68" t="s">
        <v>336</v>
      </c>
      <c r="C128" s="2">
        <v>5046</v>
      </c>
      <c r="D128">
        <f>RTD("tos.rtd", , "LAST", Main_M[[#This Row],[Symbol]])</f>
        <v>99.59</v>
      </c>
      <c r="E128">
        <v>-50.64</v>
      </c>
      <c r="F128">
        <v>75.569999999999993</v>
      </c>
      <c r="G128">
        <v>6.51</v>
      </c>
      <c r="H128" s="1">
        <f>IF(ISNUMBER(Main_M[[#This Row],[Free CF]]),IF(Main_M[[#This Row],[Free CF]]&lt;&gt;0,Main_M[[#This Row],[Current Price]]/Main_M[[#This Row],[Free CF]],""),"")</f>
        <v>-1.9666271721958926</v>
      </c>
      <c r="I128" s="1">
        <f>IF(ISNUMBER(Main_M[[#This Row],[BVPS]]),IF(Main_M[[#This Row],[BVPS]]&lt;&gt;0,Main_M[[#This Row],[Current Price]]/Main_M[[#This Row],[BVPS]],""),"")</f>
        <v>1.3178509990737066</v>
      </c>
      <c r="J128">
        <v>9.32</v>
      </c>
      <c r="K128">
        <v>1.6</v>
      </c>
      <c r="L128">
        <v>6.12</v>
      </c>
      <c r="M128" s="1">
        <f>IF(ISNUMBER(Main_M[[#This Row],[EPS]]),IF(Main_M[[#This Row],[EPS]]&lt;&gt;0,Main_M[[#This Row],[Current Price]]/Main_M[[#This Row],[EPS]],""),"")</f>
        <v>15.298003072196622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-1.0226664698951982</v>
      </c>
      <c r="P128" s="1">
        <f>(Main_M[[#This Row],[P/B]]-VLOOKUP(Main_M[[#This Row],[Industry]], Mean_PB_M, 2, FALSE))/(VLOOKUP(Main_M[[#This Row],[Industry]], Mean_PB_M, 3, FALSE))</f>
        <v>-0.74903645979564937</v>
      </c>
      <c r="Q128" s="1">
        <f>(Main_M[[#This Row],[ROE]]-VLOOKUP(Main_M[[#This Row],[Industry]], Mean_ROE_M, 2, FALSE))/(VLOOKUP(Main_M[[#This Row],[Industry]], Mean_ROE_M, 3, FALSE))</f>
        <v>-0.34914969014950997</v>
      </c>
      <c r="R128" s="1">
        <f>(Main_M[[#This Row],[ROA]]-VLOOKUP(Main_M[[#This Row],[Industry]], Mean_ROA_M, 2, FALSE))/(VLOOKUP(Main_M[[#This Row],[Industry]], Mean_ROA_M, 3, FALSE))</f>
        <v>-0.78849473394567193</v>
      </c>
      <c r="S128" s="1">
        <f>(Main_M[[#This Row],[A/E]]-VLOOKUP(Main_M[[#This Row],[Industry]], Mean_AE_M, 2, FALSE))/(VLOOKUP(Main_M[[#This Row],[Industry]], Mean_AE_M, 3, FALSE))</f>
        <v>0.94767228290476513</v>
      </c>
      <c r="T128" s="1">
        <f>(Main_M[[#This Row],[P/E]]-VLOOKUP(Main_M[[#This Row],[Industry]], Mean_PE_M, 2, FALSE))/(VLOOKUP(Main_M[[#This Row],[Industry]], Mean_PE_M, 3, FALSE))</f>
        <v>-4.5609708692584135E-2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s="68" t="s">
        <v>150</v>
      </c>
      <c r="B129" s="68" t="s">
        <v>337</v>
      </c>
      <c r="C129" s="2">
        <v>4543</v>
      </c>
      <c r="D129">
        <f>RTD("tos.rtd", , "LAST", Main_M[[#This Row],[Symbol]])</f>
        <v>34.020000000000003</v>
      </c>
      <c r="E129">
        <v>-4.32</v>
      </c>
      <c r="F129">
        <v>32.479999999999997</v>
      </c>
      <c r="G129">
        <v>3.92</v>
      </c>
      <c r="H129" s="1">
        <f>IF(ISNUMBER(Main_M[[#This Row],[Free CF]]),IF(Main_M[[#This Row],[Free CF]]&lt;&gt;0,Main_M[[#This Row],[Current Price]]/Main_M[[#This Row],[Free CF]],""),"")</f>
        <v>-7.875</v>
      </c>
      <c r="I129" s="1">
        <f>IF(ISNUMBER(Main_M[[#This Row],[BVPS]]),IF(Main_M[[#This Row],[BVPS]]&lt;&gt;0,Main_M[[#This Row],[Current Price]]/Main_M[[#This Row],[BVPS]],""),"")</f>
        <v>1.0474137931034484</v>
      </c>
      <c r="J129">
        <v>13.22</v>
      </c>
      <c r="K129">
        <v>6.73</v>
      </c>
      <c r="L129">
        <v>1.91</v>
      </c>
      <c r="M129" s="1">
        <f>IF(ISNUMBER(Main_M[[#This Row],[EPS]]),IF(Main_M[[#This Row],[EPS]]&lt;&gt;0,Main_M[[#This Row],[Current Price]]/Main_M[[#This Row],[EPS]],""),"")</f>
        <v>8.6785714285714288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-1.5385442042179358</v>
      </c>
      <c r="P129" s="1">
        <f>(Main_M[[#This Row],[P/B]]-VLOOKUP(Main_M[[#This Row],[Industry]], Mean_PB_M, 2, FALSE))/(VLOOKUP(Main_M[[#This Row],[Industry]], Mean_PB_M, 3, FALSE))</f>
        <v>-0.85253814948633322</v>
      </c>
      <c r="Q129" s="1">
        <f>(Main_M[[#This Row],[ROE]]-VLOOKUP(Main_M[[#This Row],[Industry]], Mean_ROE_M, 2, FALSE))/(VLOOKUP(Main_M[[#This Row],[Industry]], Mean_ROE_M, 3, FALSE))</f>
        <v>-0.20033829484623478</v>
      </c>
      <c r="R129" s="1">
        <f>(Main_M[[#This Row],[ROA]]-VLOOKUP(Main_M[[#This Row],[Industry]], Mean_ROA_M, 2, FALSE))/(VLOOKUP(Main_M[[#This Row],[Industry]], Mean_ROA_M, 3, FALSE))</f>
        <v>0.7347766743581382</v>
      </c>
      <c r="S129" s="1">
        <f>(Main_M[[#This Row],[A/E]]-VLOOKUP(Main_M[[#This Row],[Industry]], Mean_AE_M, 2, FALSE))/(VLOOKUP(Main_M[[#This Row],[Industry]], Mean_AE_M, 3, FALSE))</f>
        <v>-0.70323819062450144</v>
      </c>
      <c r="T129" s="1">
        <f>(Main_M[[#This Row],[P/E]]-VLOOKUP(Main_M[[#This Row],[Industry]], Mean_PE_M, 2, FALSE))/(VLOOKUP(Main_M[[#This Row],[Industry]], Mean_PE_M, 3, FALSE))</f>
        <v>-0.91793441400206233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0" spans="1:26" x14ac:dyDescent="0.25">
      <c r="A130" s="68" t="s">
        <v>150</v>
      </c>
      <c r="B130" s="68" t="s">
        <v>338</v>
      </c>
      <c r="C130" s="2">
        <v>2425</v>
      </c>
      <c r="D130">
        <f>RTD("tos.rtd", , "LAST", Main_M[[#This Row],[Symbol]])</f>
        <v>75.88</v>
      </c>
      <c r="E130">
        <v>3.51</v>
      </c>
      <c r="F130">
        <v>52.07</v>
      </c>
      <c r="G130">
        <v>2.91</v>
      </c>
      <c r="H130" s="1">
        <f>IF(ISNUMBER(Main_M[[#This Row],[Free CF]]),IF(Main_M[[#This Row],[Free CF]]&lt;&gt;0,Main_M[[#This Row],[Current Price]]/Main_M[[#This Row],[Free CF]],""),"")</f>
        <v>21.618233618233617</v>
      </c>
      <c r="I130" s="1">
        <f>IF(ISNUMBER(Main_M[[#This Row],[BVPS]]),IF(Main_M[[#This Row],[BVPS]]&lt;&gt;0,Main_M[[#This Row],[Current Price]]/Main_M[[#This Row],[BVPS]],""),"")</f>
        <v>1.4572690608795851</v>
      </c>
      <c r="J130">
        <v>5.34</v>
      </c>
      <c r="K130">
        <v>2.23</v>
      </c>
      <c r="L130">
        <v>2.6</v>
      </c>
      <c r="M130" s="1">
        <f>IF(ISNUMBER(Main_M[[#This Row],[EPS]]),IF(Main_M[[#This Row],[EPS]]&lt;&gt;0,Main_M[[#This Row],[Current Price]]/Main_M[[#This Row],[EPS]],""),"")</f>
        <v>26.075601374570443</v>
      </c>
      <c r="N1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0" s="1">
        <f>(Main_M[[#This Row],[P/FCF]]-VLOOKUP(Main_M[[#This Row],[Industry]], Mean_PFCF_M, 2, FALSE))/(VLOOKUP(Main_M[[#This Row],[Industry]], Mean_PFCF_M, 3, FALSE))</f>
        <v>1.0365983909185827</v>
      </c>
      <c r="P130" s="1">
        <f>(Main_M[[#This Row],[P/B]]-VLOOKUP(Main_M[[#This Row],[Industry]], Mean_PB_M, 2, FALSE))/(VLOOKUP(Main_M[[#This Row],[Industry]], Mean_PB_M, 3, FALSE))</f>
        <v>-0.69567839865706627</v>
      </c>
      <c r="Q130" s="1">
        <f>(Main_M[[#This Row],[ROE]]-VLOOKUP(Main_M[[#This Row],[Industry]], Mean_ROE_M, 2, FALSE))/(VLOOKUP(Main_M[[#This Row],[Industry]], Mean_ROE_M, 3, FALSE))</f>
        <v>-0.5010136268949037</v>
      </c>
      <c r="R130" s="1">
        <f>(Main_M[[#This Row],[ROA]]-VLOOKUP(Main_M[[#This Row],[Industry]], Mean_ROA_M, 2, FALSE))/(VLOOKUP(Main_M[[#This Row],[Industry]], Mean_ROA_M, 3, FALSE))</f>
        <v>-0.60142631538204616</v>
      </c>
      <c r="S130" s="1">
        <f>(Main_M[[#This Row],[A/E]]-VLOOKUP(Main_M[[#This Row],[Industry]], Mean_AE_M, 2, FALSE))/(VLOOKUP(Main_M[[#This Row],[Industry]], Mean_AE_M, 3, FALSE))</f>
        <v>-0.43266141467789948</v>
      </c>
      <c r="T130" s="1">
        <f>(Main_M[[#This Row],[P/E]]-VLOOKUP(Main_M[[#This Row],[Industry]], Mean_PE_M, 2, FALSE))/(VLOOKUP(Main_M[[#This Row],[Industry]], Mean_PE_M, 3, FALSE))</f>
        <v>1.3746882518001873</v>
      </c>
      <c r="U1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1" spans="1:26" x14ac:dyDescent="0.25">
      <c r="A131" s="68" t="s">
        <v>150</v>
      </c>
      <c r="B131" s="68" t="s">
        <v>339</v>
      </c>
      <c r="C131" s="2">
        <v>2009</v>
      </c>
      <c r="D131">
        <f>RTD("tos.rtd", , "LAST", Main_M[[#This Row],[Symbol]])</f>
        <v>9.7200000000000006</v>
      </c>
      <c r="E131">
        <v>0.25</v>
      </c>
      <c r="F131">
        <v>3.29</v>
      </c>
      <c r="G131">
        <v>0.04</v>
      </c>
      <c r="H131" s="1">
        <f>IF(ISNUMBER(Main_M[[#This Row],[Free CF]]),IF(Main_M[[#This Row],[Free CF]]&lt;&gt;0,Main_M[[#This Row],[Current Price]]/Main_M[[#This Row],[Free CF]],""),"")</f>
        <v>38.880000000000003</v>
      </c>
      <c r="I131" s="1">
        <f>IF(ISNUMBER(Main_M[[#This Row],[BVPS]]),IF(Main_M[[#This Row],[BVPS]]&lt;&gt;0,Main_M[[#This Row],[Current Price]]/Main_M[[#This Row],[BVPS]],""),"")</f>
        <v>2.9544072948328268</v>
      </c>
      <c r="J131">
        <v>1.23</v>
      </c>
      <c r="K131">
        <v>-0.06</v>
      </c>
      <c r="L131">
        <v>3.11</v>
      </c>
      <c r="M131" s="1">
        <f>IF(ISNUMBER(Main_M[[#This Row],[EPS]]),IF(Main_M[[#This Row],[EPS]]&lt;&gt;0,Main_M[[#This Row],[Current Price]]/Main_M[[#This Row],[EPS]],""),"")</f>
        <v>243</v>
      </c>
      <c r="N1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1" s="1">
        <f>(Main_M[[#This Row],[P/FCF]]-VLOOKUP(Main_M[[#This Row],[Industry]], Mean_PFCF_M, 2, FALSE))/(VLOOKUP(Main_M[[#This Row],[Industry]], Mean_PFCF_M, 3, FALSE))</f>
        <v>2.5437749335917781</v>
      </c>
      <c r="P131" s="1">
        <f>(Main_M[[#This Row],[P/B]]-VLOOKUP(Main_M[[#This Row],[Industry]], Mean_PB_M, 2, FALSE))/(VLOOKUP(Main_M[[#This Row],[Industry]], Mean_PB_M, 3, FALSE))</f>
        <v>-0.12269386289859348</v>
      </c>
      <c r="Q131" s="1">
        <f>(Main_M[[#This Row],[ROE]]-VLOOKUP(Main_M[[#This Row],[Industry]], Mean_ROE_M, 2, FALSE))/(VLOOKUP(Main_M[[#This Row],[Industry]], Mean_ROE_M, 3, FALSE))</f>
        <v>-0.65783794348373981</v>
      </c>
      <c r="R131" s="1">
        <f>(Main_M[[#This Row],[ROA]]-VLOOKUP(Main_M[[#This Row],[Industry]], Mean_ROA_M, 2, FALSE))/(VLOOKUP(Main_M[[#This Row],[Industry]], Mean_ROA_M, 3, FALSE))</f>
        <v>-1.2814051701609399</v>
      </c>
      <c r="S131" s="1">
        <f>(Main_M[[#This Row],[A/E]]-VLOOKUP(Main_M[[#This Row],[Industry]], Mean_AE_M, 2, FALSE))/(VLOOKUP(Main_M[[#This Row],[Industry]], Mean_AE_M, 3, FALSE))</f>
        <v>-0.23266988463041124</v>
      </c>
      <c r="T131" s="1">
        <f>(Main_M[[#This Row],[P/E]]-VLOOKUP(Main_M[[#This Row],[Industry]], Mean_PE_M, 2, FALSE))/(VLOOKUP(Main_M[[#This Row],[Industry]], Mean_PE_M, 3, FALSE))</f>
        <v>29.961509944807482</v>
      </c>
      <c r="U1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2" spans="1:26" x14ac:dyDescent="0.25">
      <c r="A132" s="68" t="s">
        <v>150</v>
      </c>
      <c r="B132" s="68" t="s">
        <v>340</v>
      </c>
      <c r="C132" s="2">
        <v>2535</v>
      </c>
      <c r="D132">
        <f>RTD("tos.rtd", , "LAST", Main_M[[#This Row],[Symbol]])</f>
        <v>9.85</v>
      </c>
      <c r="E132">
        <v>-0.19</v>
      </c>
      <c r="F132">
        <v>1.71</v>
      </c>
      <c r="G132">
        <v>0.39</v>
      </c>
      <c r="H132" s="1">
        <f>IF(ISNUMBER(Main_M[[#This Row],[Free CF]]),IF(Main_M[[#This Row],[Free CF]]&lt;&gt;0,Main_M[[#This Row],[Current Price]]/Main_M[[#This Row],[Free CF]],""),"")</f>
        <v>-51.84210526315789</v>
      </c>
      <c r="I132" s="1">
        <f>IF(ISNUMBER(Main_M[[#This Row],[BVPS]]),IF(Main_M[[#This Row],[BVPS]]&lt;&gt;0,Main_M[[#This Row],[Current Price]]/Main_M[[#This Row],[BVPS]],""),"")</f>
        <v>5.7602339181286553</v>
      </c>
      <c r="J132">
        <v>25.52</v>
      </c>
      <c r="K132">
        <v>7.79</v>
      </c>
      <c r="L132">
        <v>2.4</v>
      </c>
      <c r="M132" s="1">
        <f>IF(ISNUMBER(Main_M[[#This Row],[EPS]]),IF(Main_M[[#This Row],[EPS]]&lt;&gt;0,Main_M[[#This Row],[Current Price]]/Main_M[[#This Row],[EPS]],""),"")</f>
        <v>25.256410256410255</v>
      </c>
      <c r="N1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2" s="1">
        <f>(Main_M[[#This Row],[P/FCF]]-VLOOKUP(Main_M[[#This Row],[Industry]], Mean_PFCF_M, 2, FALSE))/(VLOOKUP(Main_M[[#This Row],[Industry]], Mean_PFCF_M, 3, FALSE))</f>
        <v>-5.3774438994352103</v>
      </c>
      <c r="P132" s="1">
        <f>(Main_M[[#This Row],[P/B]]-VLOOKUP(Main_M[[#This Row],[Industry]], Mean_PB_M, 2, FALSE))/(VLOOKUP(Main_M[[#This Row],[Industry]], Mean_PB_M, 3, FALSE))</f>
        <v>0.95115171041413438</v>
      </c>
      <c r="Q132" s="1">
        <f>(Main_M[[#This Row],[ROE]]-VLOOKUP(Main_M[[#This Row],[Industry]], Mean_ROE_M, 2, FALSE))/(VLOOKUP(Main_M[[#This Row],[Industry]], Mean_ROE_M, 3, FALSE))</f>
        <v>0.26898995187947922</v>
      </c>
      <c r="R132" s="1">
        <f>(Main_M[[#This Row],[ROA]]-VLOOKUP(Main_M[[#This Row],[Industry]], Mean_ROA_M, 2, FALSE))/(VLOOKUP(Main_M[[#This Row],[Industry]], Mean_ROA_M, 3, FALSE))</f>
        <v>1.0495267119413816</v>
      </c>
      <c r="S132" s="1">
        <f>(Main_M[[#This Row],[A/E]]-VLOOKUP(Main_M[[#This Row],[Industry]], Mean_AE_M, 2, FALSE))/(VLOOKUP(Main_M[[#This Row],[Industry]], Mean_AE_M, 3, FALSE))</f>
        <v>-0.5110894656769146</v>
      </c>
      <c r="T132" s="1">
        <f>(Main_M[[#This Row],[P/E]]-VLOOKUP(Main_M[[#This Row],[Industry]], Mean_PE_M, 2, FALSE))/(VLOOKUP(Main_M[[#This Row],[Industry]], Mean_PE_M, 3, FALSE))</f>
        <v>1.2667332657509818</v>
      </c>
      <c r="U1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3" spans="1:26" x14ac:dyDescent="0.25">
      <c r="A133" s="68" t="s">
        <v>150</v>
      </c>
      <c r="B133" s="68" t="s">
        <v>341</v>
      </c>
      <c r="C133" s="2">
        <v>4568</v>
      </c>
      <c r="D133">
        <f>RTD("tos.rtd", , "LAST", Main_M[[#This Row],[Symbol]])</f>
        <v>110.28</v>
      </c>
      <c r="E133">
        <v>13.71</v>
      </c>
      <c r="F133">
        <v>28.15</v>
      </c>
      <c r="G133">
        <v>6.8</v>
      </c>
      <c r="H133" s="1">
        <f>IF(ISNUMBER(Main_M[[#This Row],[Free CF]]),IF(Main_M[[#This Row],[Free CF]]&lt;&gt;0,Main_M[[#This Row],[Current Price]]/Main_M[[#This Row],[Free CF]],""),"")</f>
        <v>8.0437636761487958</v>
      </c>
      <c r="I133" s="1">
        <f>IF(ISNUMBER(Main_M[[#This Row],[BVPS]]),IF(Main_M[[#This Row],[BVPS]]&lt;&gt;0,Main_M[[#This Row],[Current Price]]/Main_M[[#This Row],[BVPS]],""),"")</f>
        <v>3.9175843694493784</v>
      </c>
      <c r="J133">
        <v>25.03</v>
      </c>
      <c r="K133">
        <v>5.47</v>
      </c>
      <c r="L133">
        <v>4.6500000000000004</v>
      </c>
      <c r="M133" s="1">
        <f>IF(ISNUMBER(Main_M[[#This Row],[EPS]]),IF(Main_M[[#This Row],[EPS]]&lt;&gt;0,Main_M[[#This Row],[Current Price]]/Main_M[[#This Row],[EPS]],""),"")</f>
        <v>16.21764705882353</v>
      </c>
      <c r="N1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3" s="1">
        <f>(Main_M[[#This Row],[P/FCF]]-VLOOKUP(Main_M[[#This Row],[Industry]], Mean_PFCF_M, 2, FALSE))/(VLOOKUP(Main_M[[#This Row],[Industry]], Mean_PFCF_M, 3, FALSE))</f>
        <v>-0.14862925169066943</v>
      </c>
      <c r="P133" s="1">
        <f>(Main_M[[#This Row],[P/B]]-VLOOKUP(Main_M[[#This Row],[Industry]], Mean_PB_M, 2, FALSE))/(VLOOKUP(Main_M[[#This Row],[Industry]], Mean_PB_M, 3, FALSE))</f>
        <v>0.24593313254931323</v>
      </c>
      <c r="Q133" s="1">
        <f>(Main_M[[#This Row],[ROE]]-VLOOKUP(Main_M[[#This Row],[Industry]], Mean_ROE_M, 2, FALSE))/(VLOOKUP(Main_M[[#This Row],[Industry]], Mean_ROE_M, 3, FALSE))</f>
        <v>0.25029313554650368</v>
      </c>
      <c r="R133" s="1">
        <f>(Main_M[[#This Row],[ROA]]-VLOOKUP(Main_M[[#This Row],[Industry]], Mean_ROA_M, 2, FALSE))/(VLOOKUP(Main_M[[#This Row],[Industry]], Mean_ROA_M, 3, FALSE))</f>
        <v>0.36063983723088644</v>
      </c>
      <c r="S133" s="1">
        <f>(Main_M[[#This Row],[A/E]]-VLOOKUP(Main_M[[#This Row],[Industry]], Mean_AE_M, 2, FALSE))/(VLOOKUP(Main_M[[#This Row],[Industry]], Mean_AE_M, 3, FALSE))</f>
        <v>0.37122610806200468</v>
      </c>
      <c r="T133" s="1">
        <f>(Main_M[[#This Row],[P/E]]-VLOOKUP(Main_M[[#This Row],[Industry]], Mean_PE_M, 2, FALSE))/(VLOOKUP(Main_M[[#This Row],[Industry]], Mean_PE_M, 3, FALSE))</f>
        <v>7.5583199220670513E-2</v>
      </c>
      <c r="U1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4" spans="1:26" x14ac:dyDescent="0.25">
      <c r="A134" s="68" t="s">
        <v>150</v>
      </c>
      <c r="B134" s="68" t="s">
        <v>342</v>
      </c>
      <c r="C134" s="2">
        <v>2216</v>
      </c>
      <c r="D134">
        <f>RTD("tos.rtd", , "LAST", Main_M[[#This Row],[Symbol]])</f>
        <v>36.51</v>
      </c>
      <c r="E134">
        <v>2.67</v>
      </c>
      <c r="F134">
        <v>7.43</v>
      </c>
      <c r="G134">
        <v>1.73</v>
      </c>
      <c r="H134" s="1">
        <f>IF(ISNUMBER(Main_M[[#This Row],[Free CF]]),IF(Main_M[[#This Row],[Free CF]]&lt;&gt;0,Main_M[[#This Row],[Current Price]]/Main_M[[#This Row],[Free CF]],""),"")</f>
        <v>13.674157303370785</v>
      </c>
      <c r="I134" s="1">
        <f>IF(ISNUMBER(Main_M[[#This Row],[BVPS]]),IF(Main_M[[#This Row],[BVPS]]&lt;&gt;0,Main_M[[#This Row],[Current Price]]/Main_M[[#This Row],[BVPS]],""),"")</f>
        <v>4.9138627187079411</v>
      </c>
      <c r="J134">
        <v>19.88</v>
      </c>
      <c r="K134">
        <v>5.29</v>
      </c>
      <c r="L134">
        <v>3.93</v>
      </c>
      <c r="M134" s="1">
        <f>IF(ISNUMBER(Main_M[[#This Row],[EPS]]),IF(Main_M[[#This Row],[EPS]]&lt;&gt;0,Main_M[[#This Row],[Current Price]]/Main_M[[#This Row],[EPS]],""),"")</f>
        <v>21.104046242774565</v>
      </c>
      <c r="N1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4" s="1">
        <f>(Main_M[[#This Row],[P/FCF]]-VLOOKUP(Main_M[[#This Row],[Industry]], Mean_PFCF_M, 2, FALSE))/(VLOOKUP(Main_M[[#This Row],[Industry]], Mean_PFCF_M, 3, FALSE))</f>
        <v>0.34297728574511666</v>
      </c>
      <c r="P134" s="1">
        <f>(Main_M[[#This Row],[P/B]]-VLOOKUP(Main_M[[#This Row],[Industry]], Mean_PB_M, 2, FALSE))/(VLOOKUP(Main_M[[#This Row],[Industry]], Mean_PB_M, 3, FALSE))</f>
        <v>0.6272286432041857</v>
      </c>
      <c r="Q134" s="1">
        <f>(Main_M[[#This Row],[ROE]]-VLOOKUP(Main_M[[#This Row],[Industry]], Mean_ROE_M, 2, FALSE))/(VLOOKUP(Main_M[[#This Row],[Industry]], Mean_ROE_M, 3, FALSE))</f>
        <v>5.37857802101274E-2</v>
      </c>
      <c r="R134" s="1">
        <f>(Main_M[[#This Row],[ROA]]-VLOOKUP(Main_M[[#This Row],[Industry]], Mean_ROA_M, 2, FALSE))/(VLOOKUP(Main_M[[#This Row],[Industry]], Mean_ROA_M, 3, FALSE))</f>
        <v>0.30719171764127917</v>
      </c>
      <c r="S134" s="1">
        <f>(Main_M[[#This Row],[A/E]]-VLOOKUP(Main_M[[#This Row],[Industry]], Mean_AE_M, 2, FALSE))/(VLOOKUP(Main_M[[#This Row],[Industry]], Mean_AE_M, 3, FALSE))</f>
        <v>8.8885124465550511E-2</v>
      </c>
      <c r="T134" s="1">
        <f>(Main_M[[#This Row],[P/E]]-VLOOKUP(Main_M[[#This Row],[Industry]], Mean_PE_M, 2, FALSE))/(VLOOKUP(Main_M[[#This Row],[Industry]], Mean_PE_M, 3, FALSE))</f>
        <v>0.71952469716929934</v>
      </c>
      <c r="U1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5" spans="1:26" x14ac:dyDescent="0.25">
      <c r="A135" s="68" t="s">
        <v>150</v>
      </c>
      <c r="B135" s="68" t="s">
        <v>343</v>
      </c>
      <c r="C135" s="2">
        <v>5730</v>
      </c>
      <c r="D135">
        <f>RTD("tos.rtd", , "LAST", Main_M[[#This Row],[Symbol]])</f>
        <v>92.1</v>
      </c>
      <c r="E135">
        <v>4.12</v>
      </c>
      <c r="F135">
        <v>11.7</v>
      </c>
      <c r="G135">
        <v>2.82</v>
      </c>
      <c r="H135" s="1">
        <f>IF(ISNUMBER(Main_M[[#This Row],[Free CF]]),IF(Main_M[[#This Row],[Free CF]]&lt;&gt;0,Main_M[[#This Row],[Current Price]]/Main_M[[#This Row],[Free CF]],""),"")</f>
        <v>22.354368932038835</v>
      </c>
      <c r="I135" s="1">
        <f>IF(ISNUMBER(Main_M[[#This Row],[BVPS]]),IF(Main_M[[#This Row],[BVPS]]&lt;&gt;0,Main_M[[#This Row],[Current Price]]/Main_M[[#This Row],[BVPS]],""),"")</f>
        <v>7.8717948717948714</v>
      </c>
      <c r="J135">
        <v>29.87</v>
      </c>
      <c r="K135">
        <v>4.16</v>
      </c>
      <c r="L135">
        <v>6.21</v>
      </c>
      <c r="M135" s="1">
        <f>IF(ISNUMBER(Main_M[[#This Row],[EPS]]),IF(Main_M[[#This Row],[EPS]]&lt;&gt;0,Main_M[[#This Row],[Current Price]]/Main_M[[#This Row],[EPS]],""),"")</f>
        <v>32.659574468085104</v>
      </c>
      <c r="N1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5" s="1">
        <f>(Main_M[[#This Row],[P/FCF]]-VLOOKUP(Main_M[[#This Row],[Industry]], Mean_PFCF_M, 2, FALSE))/(VLOOKUP(Main_M[[#This Row],[Industry]], Mean_PFCF_M, 3, FALSE))</f>
        <v>1.1008725707830807</v>
      </c>
      <c r="P135" s="1">
        <f>(Main_M[[#This Row],[P/B]]-VLOOKUP(Main_M[[#This Row],[Industry]], Mean_PB_M, 2, FALSE))/(VLOOKUP(Main_M[[#This Row],[Industry]], Mean_PB_M, 3, FALSE))</f>
        <v>1.7592880236304478</v>
      </c>
      <c r="Q135" s="1">
        <f>(Main_M[[#This Row],[ROE]]-VLOOKUP(Main_M[[#This Row],[Industry]], Mean_ROE_M, 2, FALSE))/(VLOOKUP(Main_M[[#This Row],[Industry]], Mean_ROE_M, 3, FALSE))</f>
        <v>0.43497189279467086</v>
      </c>
      <c r="R135" s="1">
        <f>(Main_M[[#This Row],[ROA]]-VLOOKUP(Main_M[[#This Row],[Industry]], Mean_ROA_M, 2, FALSE))/(VLOOKUP(Main_M[[#This Row],[Industry]], Mean_ROA_M, 3, FALSE))</f>
        <v>-2.8343699782367084E-2</v>
      </c>
      <c r="S135" s="1">
        <f>(Main_M[[#This Row],[A/E]]-VLOOKUP(Main_M[[#This Row],[Industry]], Mean_AE_M, 2, FALSE))/(VLOOKUP(Main_M[[#This Row],[Industry]], Mean_AE_M, 3, FALSE))</f>
        <v>0.98296490585432184</v>
      </c>
      <c r="T135" s="1">
        <f>(Main_M[[#This Row],[P/E]]-VLOOKUP(Main_M[[#This Row],[Industry]], Mean_PE_M, 2, FALSE))/(VLOOKUP(Main_M[[#This Row],[Industry]], Mean_PE_M, 3, FALSE))</f>
        <v>2.2423401436505737</v>
      </c>
      <c r="U1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6" spans="1:26" x14ac:dyDescent="0.25">
      <c r="A136" s="68" t="s">
        <v>150</v>
      </c>
      <c r="B136" s="68" t="s">
        <v>344</v>
      </c>
      <c r="C136" s="2">
        <v>2161</v>
      </c>
      <c r="D136">
        <f>RTD("tos.rtd", , "LAST", Main_M[[#This Row],[Symbol]])</f>
        <v>27.79</v>
      </c>
      <c r="E136">
        <v>2.84</v>
      </c>
      <c r="F136">
        <v>3.58</v>
      </c>
      <c r="G136">
        <v>1.23</v>
      </c>
      <c r="H136" s="1">
        <f>IF(ISNUMBER(Main_M[[#This Row],[Free CF]]),IF(Main_M[[#This Row],[Free CF]]&lt;&gt;0,Main_M[[#This Row],[Current Price]]/Main_M[[#This Row],[Free CF]],""),"")</f>
        <v>9.785211267605634</v>
      </c>
      <c r="I136" s="1">
        <f>IF(ISNUMBER(Main_M[[#This Row],[BVPS]]),IF(Main_M[[#This Row],[BVPS]]&lt;&gt;0,Main_M[[#This Row],[Current Price]]/Main_M[[#This Row],[BVPS]],""),"")</f>
        <v>7.7625698324022343</v>
      </c>
      <c r="J136">
        <v>35.869999999999997</v>
      </c>
      <c r="K136">
        <v>6.05</v>
      </c>
      <c r="L136">
        <v>21.35</v>
      </c>
      <c r="M136" s="1">
        <f>IF(ISNUMBER(Main_M[[#This Row],[EPS]]),IF(Main_M[[#This Row],[EPS]]&lt;&gt;0,Main_M[[#This Row],[Current Price]]/Main_M[[#This Row],[EPS]],""),"")</f>
        <v>22.59349593495935</v>
      </c>
      <c r="N1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6" s="1">
        <f>(Main_M[[#This Row],[P/FCF]]-VLOOKUP(Main_M[[#This Row],[Industry]], Mean_PFCF_M, 2, FALSE))/(VLOOKUP(Main_M[[#This Row],[Industry]], Mean_PFCF_M, 3, FALSE))</f>
        <v>3.4217552625309057E-3</v>
      </c>
      <c r="P136" s="1">
        <f>(Main_M[[#This Row],[P/B]]-VLOOKUP(Main_M[[#This Row],[Industry]], Mean_PB_M, 2, FALSE))/(VLOOKUP(Main_M[[#This Row],[Industry]], Mean_PB_M, 3, FALSE))</f>
        <v>1.7174854318120989</v>
      </c>
      <c r="Q136" s="1">
        <f>(Main_M[[#This Row],[ROE]]-VLOOKUP(Main_M[[#This Row],[Industry]], Mean_ROE_M, 2, FALSE))/(VLOOKUP(Main_M[[#This Row],[Industry]], Mean_ROE_M, 3, FALSE))</f>
        <v>0.66391250095355558</v>
      </c>
      <c r="R136" s="1">
        <f>(Main_M[[#This Row],[ROA]]-VLOOKUP(Main_M[[#This Row],[Industry]], Mean_ROA_M, 2, FALSE))/(VLOOKUP(Main_M[[#This Row],[Industry]], Mean_ROA_M, 3, FALSE))</f>
        <v>0.53286155590851025</v>
      </c>
      <c r="S136" s="1">
        <f>(Main_M[[#This Row],[A/E]]-VLOOKUP(Main_M[[#This Row],[Industry]], Mean_AE_M, 2, FALSE))/(VLOOKUP(Main_M[[#This Row],[Industry]], Mean_AE_M, 3, FALSE))</f>
        <v>6.9199683664797602</v>
      </c>
      <c r="T136" s="1">
        <f>(Main_M[[#This Row],[P/E]]-VLOOKUP(Main_M[[#This Row],[Industry]], Mean_PE_M, 2, FALSE))/(VLOOKUP(Main_M[[#This Row],[Industry]], Mean_PE_M, 3, FALSE))</f>
        <v>0.91580797853827511</v>
      </c>
      <c r="U1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7" spans="1:26" x14ac:dyDescent="0.25">
      <c r="A137" s="68" t="s">
        <v>150</v>
      </c>
      <c r="B137" s="68" t="s">
        <v>345</v>
      </c>
      <c r="C137" s="2">
        <v>2902</v>
      </c>
      <c r="D137">
        <f>RTD("tos.rtd", , "LAST", Main_M[[#This Row],[Symbol]])</f>
        <v>9.8699999999999992</v>
      </c>
      <c r="E137">
        <v>-2.93</v>
      </c>
      <c r="F137">
        <v>7.81</v>
      </c>
      <c r="G137">
        <v>1.07</v>
      </c>
      <c r="H137" s="1">
        <f>IF(ISNUMBER(Main_M[[#This Row],[Free CF]]),IF(Main_M[[#This Row],[Free CF]]&lt;&gt;0,Main_M[[#This Row],[Current Price]]/Main_M[[#This Row],[Free CF]],""),"")</f>
        <v>-3.3686006825938564</v>
      </c>
      <c r="I137" s="1">
        <f>IF(ISNUMBER(Main_M[[#This Row],[BVPS]]),IF(Main_M[[#This Row],[BVPS]]&lt;&gt;0,Main_M[[#This Row],[Current Price]]/Main_M[[#This Row],[BVPS]],""),"")</f>
        <v>1.2637644046094749</v>
      </c>
      <c r="J137">
        <v>15.17</v>
      </c>
      <c r="K137">
        <v>5.82</v>
      </c>
      <c r="L137">
        <v>4.97</v>
      </c>
      <c r="M137" s="1">
        <f>IF(ISNUMBER(Main_M[[#This Row],[EPS]]),IF(Main_M[[#This Row],[EPS]]&lt;&gt;0,Main_M[[#This Row],[Current Price]]/Main_M[[#This Row],[EPS]],""),"")</f>
        <v>9.2242990654205599</v>
      </c>
      <c r="N1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7" s="1">
        <f>(Main_M[[#This Row],[P/FCF]]-VLOOKUP(Main_M[[#This Row],[Industry]], Mean_PFCF_M, 2, FALSE))/(VLOOKUP(Main_M[[#This Row],[Industry]], Mean_PFCF_M, 3, FALSE))</f>
        <v>-1.1450769776954306</v>
      </c>
      <c r="P137" s="1">
        <f>(Main_M[[#This Row],[P/B]]-VLOOKUP(Main_M[[#This Row],[Industry]], Mean_PB_M, 2, FALSE))/(VLOOKUP(Main_M[[#This Row],[Industry]], Mean_PB_M, 3, FALSE))</f>
        <v>-0.76973647367346776</v>
      </c>
      <c r="Q137" s="1">
        <f>(Main_M[[#This Row],[ROE]]-VLOOKUP(Main_M[[#This Row],[Industry]], Mean_ROE_M, 2, FALSE))/(VLOOKUP(Main_M[[#This Row],[Industry]], Mean_ROE_M, 3, FALSE))</f>
        <v>-0.12593259719459721</v>
      </c>
      <c r="R137" s="1">
        <f>(Main_M[[#This Row],[ROA]]-VLOOKUP(Main_M[[#This Row],[Industry]], Mean_ROA_M, 2, FALSE))/(VLOOKUP(Main_M[[#This Row],[Industry]], Mean_ROA_M, 3, FALSE))</f>
        <v>0.46456673643290092</v>
      </c>
      <c r="S137" s="1">
        <f>(Main_M[[#This Row],[A/E]]-VLOOKUP(Main_M[[#This Row],[Industry]], Mean_AE_M, 2, FALSE))/(VLOOKUP(Main_M[[#This Row],[Industry]], Mean_AE_M, 3, FALSE))</f>
        <v>0.49671098966042854</v>
      </c>
      <c r="T137" s="1">
        <f>(Main_M[[#This Row],[P/E]]-VLOOKUP(Main_M[[#This Row],[Industry]], Mean_PE_M, 2, FALSE))/(VLOOKUP(Main_M[[#This Row],[Industry]], Mean_PE_M, 3, FALSE))</f>
        <v>-0.84601710665255359</v>
      </c>
      <c r="U1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8" spans="1:26" x14ac:dyDescent="0.25">
      <c r="A138" s="68" t="s">
        <v>150</v>
      </c>
      <c r="B138" s="68" t="s">
        <v>346</v>
      </c>
      <c r="C138" s="2">
        <v>4419</v>
      </c>
      <c r="D138">
        <f>RTD("tos.rtd", , "LAST", Main_M[[#This Row],[Symbol]])</f>
        <v>38.17</v>
      </c>
      <c r="E138">
        <v>0.22</v>
      </c>
      <c r="F138">
        <v>3.89</v>
      </c>
      <c r="G138">
        <v>0.35</v>
      </c>
      <c r="H138" s="1">
        <f>IF(ISNUMBER(Main_M[[#This Row],[Free CF]]),IF(Main_M[[#This Row],[Free CF]]&lt;&gt;0,Main_M[[#This Row],[Current Price]]/Main_M[[#This Row],[Free CF]],""),"")</f>
        <v>173.5</v>
      </c>
      <c r="I138" s="1">
        <f>IF(ISNUMBER(Main_M[[#This Row],[BVPS]]),IF(Main_M[[#This Row],[BVPS]]&lt;&gt;0,Main_M[[#This Row],[Current Price]]/Main_M[[#This Row],[BVPS]],""),"")</f>
        <v>9.8123393316195369</v>
      </c>
      <c r="J138">
        <v>9.65</v>
      </c>
      <c r="K138">
        <v>5.19</v>
      </c>
      <c r="L138">
        <v>1.19</v>
      </c>
      <c r="M138" s="1">
        <f>IF(ISNUMBER(Main_M[[#This Row],[EPS]]),IF(Main_M[[#This Row],[EPS]]&lt;&gt;0,Main_M[[#This Row],[Current Price]]/Main_M[[#This Row],[EPS]],""),"")</f>
        <v>109.05714285714286</v>
      </c>
      <c r="N1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8" s="1">
        <f>(Main_M[[#This Row],[P/FCF]]-VLOOKUP(Main_M[[#This Row],[Industry]], Mean_PFCF_M, 2, FALSE))/(VLOOKUP(Main_M[[#This Row],[Industry]], Mean_PFCF_M, 3, FALSE))</f>
        <v>14.297850483414123</v>
      </c>
      <c r="P138" s="1">
        <f>(Main_M[[#This Row],[P/B]]-VLOOKUP(Main_M[[#This Row],[Industry]], Mean_PB_M, 2, FALSE))/(VLOOKUP(Main_M[[#This Row],[Industry]], Mean_PB_M, 3, FALSE))</f>
        <v>2.501972928213573</v>
      </c>
      <c r="Q138" s="1">
        <f>(Main_M[[#This Row],[ROE]]-VLOOKUP(Main_M[[#This Row],[Industry]], Mean_ROE_M, 2, FALSE))/(VLOOKUP(Main_M[[#This Row],[Industry]], Mean_ROE_M, 3, FALSE))</f>
        <v>-0.33655795670077132</v>
      </c>
      <c r="R138" s="1">
        <f>(Main_M[[#This Row],[ROA]]-VLOOKUP(Main_M[[#This Row],[Industry]], Mean_ROA_M, 2, FALSE))/(VLOOKUP(Main_M[[#This Row],[Industry]], Mean_ROA_M, 3, FALSE))</f>
        <v>0.27749831786927515</v>
      </c>
      <c r="S138" s="1">
        <f>(Main_M[[#This Row],[A/E]]-VLOOKUP(Main_M[[#This Row],[Industry]], Mean_AE_M, 2, FALSE))/(VLOOKUP(Main_M[[#This Row],[Industry]], Mean_AE_M, 3, FALSE))</f>
        <v>-0.98557917422095553</v>
      </c>
      <c r="T138" s="1">
        <f>(Main_M[[#This Row],[P/E]]-VLOOKUP(Main_M[[#This Row],[Industry]], Mean_PE_M, 2, FALSE))/(VLOOKUP(Main_M[[#This Row],[Industry]], Mean_PE_M, 3, FALSE))</f>
        <v>12.310196406737171</v>
      </c>
      <c r="U1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9" spans="1:26" x14ac:dyDescent="0.25">
      <c r="A139" s="68" t="s">
        <v>150</v>
      </c>
      <c r="B139" s="68" t="s">
        <v>347</v>
      </c>
      <c r="C139" s="2">
        <v>2232</v>
      </c>
      <c r="D139">
        <f>RTD("tos.rtd", , "LAST", Main_M[[#This Row],[Symbol]])</f>
        <v>7.46</v>
      </c>
      <c r="E139">
        <v>0.33</v>
      </c>
      <c r="F139">
        <v>2.0099999999999998</v>
      </c>
      <c r="G139">
        <v>0.31</v>
      </c>
      <c r="H139" s="1">
        <f>IF(ISNUMBER(Main_M[[#This Row],[Free CF]]),IF(Main_M[[#This Row],[Free CF]]&lt;&gt;0,Main_M[[#This Row],[Current Price]]/Main_M[[#This Row],[Free CF]],""),"")</f>
        <v>22.606060606060606</v>
      </c>
      <c r="I139" s="1">
        <f>IF(ISNUMBER(Main_M[[#This Row],[BVPS]]),IF(Main_M[[#This Row],[BVPS]]&lt;&gt;0,Main_M[[#This Row],[Current Price]]/Main_M[[#This Row],[BVPS]],""),"")</f>
        <v>3.7114427860696519</v>
      </c>
      <c r="J139">
        <v>17.440000000000001</v>
      </c>
      <c r="K139">
        <v>1.32</v>
      </c>
      <c r="L139">
        <v>10.94</v>
      </c>
      <c r="M139" s="1">
        <f>IF(ISNUMBER(Main_M[[#This Row],[EPS]]),IF(Main_M[[#This Row],[EPS]]&lt;&gt;0,Main_M[[#This Row],[Current Price]]/Main_M[[#This Row],[EPS]],""),"")</f>
        <v>24.06451612903226</v>
      </c>
      <c r="N1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9" s="1">
        <f>(Main_M[[#This Row],[P/FCF]]-VLOOKUP(Main_M[[#This Row],[Industry]], Mean_PFCF_M, 2, FALSE))/(VLOOKUP(Main_M[[#This Row],[Industry]], Mean_PFCF_M, 3, FALSE))</f>
        <v>1.1228485249630922</v>
      </c>
      <c r="P139" s="1">
        <f>(Main_M[[#This Row],[P/B]]-VLOOKUP(Main_M[[#This Row],[Industry]], Mean_PB_M, 2, FALSE))/(VLOOKUP(Main_M[[#This Row],[Industry]], Mean_PB_M, 3, FALSE))</f>
        <v>0.16703865455481293</v>
      </c>
      <c r="Q139" s="1">
        <f>(Main_M[[#This Row],[ROE]]-VLOOKUP(Main_M[[#This Row],[Industry]], Mean_ROE_M, 2, FALSE))/(VLOOKUP(Main_M[[#This Row],[Industry]], Mean_ROE_M, 3, FALSE))</f>
        <v>-3.9316733774485704E-2</v>
      </c>
      <c r="R139" s="1">
        <f>(Main_M[[#This Row],[ROA]]-VLOOKUP(Main_M[[#This Row],[Industry]], Mean_ROA_M, 2, FALSE))/(VLOOKUP(Main_M[[#This Row],[Industry]], Mean_ROA_M, 3, FALSE))</f>
        <v>-0.87163625330728334</v>
      </c>
      <c r="S139" s="1">
        <f>(Main_M[[#This Row],[A/E]]-VLOOKUP(Main_M[[#This Row],[Industry]], Mean_AE_M, 2, FALSE))/(VLOOKUP(Main_M[[#This Row],[Industry]], Mean_AE_M, 3, FALSE))</f>
        <v>2.837788311981027</v>
      </c>
      <c r="T139" s="1">
        <f>(Main_M[[#This Row],[P/E]]-VLOOKUP(Main_M[[#This Row],[Industry]], Mean_PE_M, 2, FALSE))/(VLOOKUP(Main_M[[#This Row],[Industry]], Mean_PE_M, 3, FALSE))</f>
        <v>1.1096625760904273</v>
      </c>
      <c r="U1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0" spans="1:26" x14ac:dyDescent="0.25">
      <c r="A140" s="68" t="s">
        <v>150</v>
      </c>
      <c r="B140" s="68" t="s">
        <v>348</v>
      </c>
      <c r="C140" s="2">
        <v>4299</v>
      </c>
      <c r="D140">
        <f>RTD("tos.rtd", , "LAST", Main_M[[#This Row],[Symbol]])</f>
        <v>24.22</v>
      </c>
      <c r="E140">
        <v>0.91</v>
      </c>
      <c r="F140">
        <v>3.32</v>
      </c>
      <c r="G140">
        <v>-0.19</v>
      </c>
      <c r="H140" s="1">
        <f>IF(ISNUMBER(Main_M[[#This Row],[Free CF]]),IF(Main_M[[#This Row],[Free CF]]&lt;&gt;0,Main_M[[#This Row],[Current Price]]/Main_M[[#This Row],[Free CF]],""),"")</f>
        <v>26.615384615384613</v>
      </c>
      <c r="I140" s="1">
        <f>IF(ISNUMBER(Main_M[[#This Row],[BVPS]]),IF(Main_M[[#This Row],[BVPS]]&lt;&gt;0,Main_M[[#This Row],[Current Price]]/Main_M[[#This Row],[BVPS]],""),"")</f>
        <v>7.2951807228915664</v>
      </c>
      <c r="J140">
        <v>-6.19</v>
      </c>
      <c r="K140">
        <v>-2.29</v>
      </c>
      <c r="L140">
        <v>1.52</v>
      </c>
      <c r="M140" s="1">
        <f>IF(ISNUMBER(Main_M[[#This Row],[EPS]]),IF(Main_M[[#This Row],[EPS]]&lt;&gt;0,Main_M[[#This Row],[Current Price]]/Main_M[[#This Row],[EPS]],""),"")</f>
        <v>-127.47368421052632</v>
      </c>
      <c r="N1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0" s="1">
        <f>(Main_M[[#This Row],[P/FCF]]-VLOOKUP(Main_M[[#This Row],[Industry]], Mean_PFCF_M, 2, FALSE))/(VLOOKUP(Main_M[[#This Row],[Industry]], Mean_PFCF_M, 3, FALSE))</f>
        <v>1.4729146169948184</v>
      </c>
      <c r="P140" s="1">
        <f>(Main_M[[#This Row],[P/B]]-VLOOKUP(Main_M[[#This Row],[Industry]], Mean_PB_M, 2, FALSE))/(VLOOKUP(Main_M[[#This Row],[Industry]], Mean_PB_M, 3, FALSE))</f>
        <v>1.5386063371112817</v>
      </c>
      <c r="Q140" s="1">
        <f>(Main_M[[#This Row],[ROE]]-VLOOKUP(Main_M[[#This Row],[Industry]], Mean_ROE_M, 2, FALSE))/(VLOOKUP(Main_M[[#This Row],[Industry]], Mean_ROE_M, 3, FALSE))</f>
        <v>-0.94096116224022752</v>
      </c>
      <c r="R140" s="1">
        <f>(Main_M[[#This Row],[ROA]]-VLOOKUP(Main_M[[#This Row],[Industry]], Mean_ROA_M, 2, FALSE))/(VLOOKUP(Main_M[[#This Row],[Industry]], Mean_ROA_M, 3, FALSE))</f>
        <v>-1.9435679850766312</v>
      </c>
      <c r="S140" s="1">
        <f>(Main_M[[#This Row],[A/E]]-VLOOKUP(Main_M[[#This Row],[Industry]], Mean_AE_M, 2, FALSE))/(VLOOKUP(Main_M[[#This Row],[Industry]], Mean_AE_M, 3, FALSE))</f>
        <v>-0.85617289007258068</v>
      </c>
      <c r="T140" s="1">
        <f>(Main_M[[#This Row],[P/E]]-VLOOKUP(Main_M[[#This Row],[Industry]], Mean_PE_M, 2, FALSE))/(VLOOKUP(Main_M[[#This Row],[Industry]], Mean_PE_M, 3, FALSE))</f>
        <v>-18.860407827407045</v>
      </c>
      <c r="U1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1" spans="1:26" x14ac:dyDescent="0.25">
      <c r="A141" s="68" t="s">
        <v>150</v>
      </c>
      <c r="B141" s="68" t="s">
        <v>349</v>
      </c>
      <c r="C141" s="2">
        <v>3593</v>
      </c>
      <c r="D141">
        <f>RTD("tos.rtd", , "LAST", Main_M[[#This Row],[Symbol]])</f>
        <v>13.89</v>
      </c>
      <c r="E141">
        <v>-2.76</v>
      </c>
      <c r="F141">
        <v>6.66</v>
      </c>
      <c r="G141">
        <v>-0.81</v>
      </c>
      <c r="H141" s="1">
        <f>IF(ISNUMBER(Main_M[[#This Row],[Free CF]]),IF(Main_M[[#This Row],[Free CF]]&lt;&gt;0,Main_M[[#This Row],[Current Price]]/Main_M[[#This Row],[Free CF]],""),"")</f>
        <v>-5.0326086956521747</v>
      </c>
      <c r="I141" s="1">
        <f>IF(ISNUMBER(Main_M[[#This Row],[BVPS]]),IF(Main_M[[#This Row],[BVPS]]&lt;&gt;0,Main_M[[#This Row],[Current Price]]/Main_M[[#This Row],[BVPS]],""),"")</f>
        <v>2.0855855855855858</v>
      </c>
      <c r="J141">
        <v>-11.37</v>
      </c>
      <c r="K141">
        <v>6.9</v>
      </c>
      <c r="L141">
        <v>4.6500000000000004</v>
      </c>
      <c r="M141" s="1">
        <f>IF(ISNUMBER(Main_M[[#This Row],[EPS]]),IF(Main_M[[#This Row],[EPS]]&lt;&gt;0,Main_M[[#This Row],[Current Price]]/Main_M[[#This Row],[EPS]],""),"")</f>
        <v>-17.148148148148149</v>
      </c>
      <c r="N1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1" s="1">
        <f>(Main_M[[#This Row],[P/FCF]]-VLOOKUP(Main_M[[#This Row],[Industry]], Mean_PFCF_M, 2, FALSE))/(VLOOKUP(Main_M[[#This Row],[Industry]], Mean_PFCF_M, 3, FALSE))</f>
        <v>-1.2903665030333986</v>
      </c>
      <c r="P141" s="1">
        <f>(Main_M[[#This Row],[P/B]]-VLOOKUP(Main_M[[#This Row],[Industry]], Mean_PB_M, 2, FALSE))/(VLOOKUP(Main_M[[#This Row],[Industry]], Mean_PB_M, 3, FALSE))</f>
        <v>-0.45520918609316569</v>
      </c>
      <c r="Q141" s="1">
        <f>(Main_M[[#This Row],[ROE]]-VLOOKUP(Main_M[[#This Row],[Industry]], Mean_ROE_M, 2, FALSE))/(VLOOKUP(Main_M[[#This Row],[Industry]], Mean_ROE_M, 3, FALSE))</f>
        <v>-1.138613220617398</v>
      </c>
      <c r="R141" s="1">
        <f>(Main_M[[#This Row],[ROA]]-VLOOKUP(Main_M[[#This Row],[Industry]], Mean_ROA_M, 2, FALSE))/(VLOOKUP(Main_M[[#This Row],[Industry]], Mean_ROA_M, 3, FALSE))</f>
        <v>0.78525545397054519</v>
      </c>
      <c r="S141" s="1">
        <f>(Main_M[[#This Row],[A/E]]-VLOOKUP(Main_M[[#This Row],[Industry]], Mean_AE_M, 2, FALSE))/(VLOOKUP(Main_M[[#This Row],[Industry]], Mean_AE_M, 3, FALSE))</f>
        <v>0.37122610806200468</v>
      </c>
      <c r="T141" s="1">
        <f>(Main_M[[#This Row],[P/E]]-VLOOKUP(Main_M[[#This Row],[Industry]], Mean_PE_M, 2, FALSE))/(VLOOKUP(Main_M[[#This Row],[Industry]], Mean_PE_M, 3, FALSE))</f>
        <v>-4.321441959180679</v>
      </c>
      <c r="U1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2" spans="1:26" x14ac:dyDescent="0.25">
      <c r="A142" s="68" t="s">
        <v>150</v>
      </c>
      <c r="B142" s="68" t="s">
        <v>350</v>
      </c>
      <c r="C142" s="2">
        <v>4151</v>
      </c>
      <c r="D142">
        <f>RTD("tos.rtd", , "LAST", Main_M[[#This Row],[Symbol]])</f>
        <v>138.13</v>
      </c>
      <c r="E142">
        <v>-0.31</v>
      </c>
      <c r="F142">
        <v>23.7</v>
      </c>
      <c r="G142">
        <v>7.78</v>
      </c>
      <c r="H142" s="1">
        <f>IF(ISNUMBER(Main_M[[#This Row],[Free CF]]),IF(Main_M[[#This Row],[Free CF]]&lt;&gt;0,Main_M[[#This Row],[Current Price]]/Main_M[[#This Row],[Free CF]],""),"")</f>
        <v>-445.58064516129031</v>
      </c>
      <c r="I142" s="1">
        <f>IF(ISNUMBER(Main_M[[#This Row],[BVPS]]),IF(Main_M[[#This Row],[BVPS]]&lt;&gt;0,Main_M[[#This Row],[Current Price]]/Main_M[[#This Row],[BVPS]],""),"")</f>
        <v>5.8282700421940925</v>
      </c>
      <c r="J142">
        <v>24.36</v>
      </c>
      <c r="K142">
        <v>3.04</v>
      </c>
      <c r="L142">
        <v>17.23</v>
      </c>
      <c r="M142" s="1">
        <f>IF(ISNUMBER(Main_M[[#This Row],[EPS]]),IF(Main_M[[#This Row],[EPS]]&lt;&gt;0,Main_M[[#This Row],[Current Price]]/Main_M[[#This Row],[EPS]],""),"")</f>
        <v>17.754498714652954</v>
      </c>
      <c r="N1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2" s="1">
        <f>(Main_M[[#This Row],[P/FCF]]-VLOOKUP(Main_M[[#This Row],[Industry]], Mean_PFCF_M, 2, FALSE))/(VLOOKUP(Main_M[[#This Row],[Industry]], Mean_PFCF_M, 3, FALSE))</f>
        <v>-39.755935541385789</v>
      </c>
      <c r="P142" s="1">
        <f>(Main_M[[#This Row],[P/B]]-VLOOKUP(Main_M[[#This Row],[Industry]], Mean_PB_M, 2, FALSE))/(VLOOKUP(Main_M[[#This Row],[Industry]], Mean_PB_M, 3, FALSE))</f>
        <v>0.9771904863122709</v>
      </c>
      <c r="Q142" s="1">
        <f>(Main_M[[#This Row],[ROE]]-VLOOKUP(Main_M[[#This Row],[Industry]], Mean_ROE_M, 2, FALSE))/(VLOOKUP(Main_M[[#This Row],[Industry]], Mean_ROE_M, 3, FALSE))</f>
        <v>0.22472810096876147</v>
      </c>
      <c r="R142" s="1">
        <f>(Main_M[[#This Row],[ROA]]-VLOOKUP(Main_M[[#This Row],[Industry]], Mean_ROA_M, 2, FALSE))/(VLOOKUP(Main_M[[#This Row],[Industry]], Mean_ROA_M, 3, FALSE))</f>
        <v>-0.36090977722881296</v>
      </c>
      <c r="S142" s="1">
        <f>(Main_M[[#This Row],[A/E]]-VLOOKUP(Main_M[[#This Row],[Industry]], Mean_AE_M, 2, FALSE))/(VLOOKUP(Main_M[[#This Row],[Industry]], Mean_AE_M, 3, FALSE))</f>
        <v>5.3043505159000501</v>
      </c>
      <c r="T142" s="1">
        <f>(Main_M[[#This Row],[P/E]]-VLOOKUP(Main_M[[#This Row],[Industry]], Mean_PE_M, 2, FALSE))/(VLOOKUP(Main_M[[#This Row],[Industry]], Mean_PE_M, 3, FALSE))</f>
        <v>0.27811322595897442</v>
      </c>
      <c r="U1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3" spans="1:26" x14ac:dyDescent="0.25">
      <c r="A143" s="68" t="s">
        <v>150</v>
      </c>
      <c r="B143" s="68" t="s">
        <v>351</v>
      </c>
      <c r="C143" s="2">
        <v>3153</v>
      </c>
      <c r="D143">
        <f>RTD("tos.rtd", , "LAST", Main_M[[#This Row],[Symbol]])</f>
        <v>9.7100000000000009</v>
      </c>
      <c r="E143">
        <v>1.01</v>
      </c>
      <c r="F143">
        <v>2.83</v>
      </c>
      <c r="G143">
        <v>2.7</v>
      </c>
      <c r="H143" s="1">
        <f>IF(ISNUMBER(Main_M[[#This Row],[Free CF]]),IF(Main_M[[#This Row],[Free CF]]&lt;&gt;0,Main_M[[#This Row],[Current Price]]/Main_M[[#This Row],[Free CF]],""),"")</f>
        <v>9.6138613861386144</v>
      </c>
      <c r="I143" s="1">
        <f>IF(ISNUMBER(Main_M[[#This Row],[BVPS]]),IF(Main_M[[#This Row],[BVPS]]&lt;&gt;0,Main_M[[#This Row],[Current Price]]/Main_M[[#This Row],[BVPS]],""),"")</f>
        <v>3.4310954063604244</v>
      </c>
      <c r="J143">
        <v>136.84</v>
      </c>
      <c r="K143">
        <v>5.66</v>
      </c>
      <c r="L143">
        <v>8.8800000000000008</v>
      </c>
      <c r="M143" s="1">
        <f>IF(ISNUMBER(Main_M[[#This Row],[EPS]]),IF(Main_M[[#This Row],[EPS]]&lt;&gt;0,Main_M[[#This Row],[Current Price]]/Main_M[[#This Row],[EPS]],""),"")</f>
        <v>3.5962962962962965</v>
      </c>
      <c r="N1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3" s="1">
        <f>(Main_M[[#This Row],[P/FCF]]-VLOOKUP(Main_M[[#This Row],[Industry]], Mean_PFCF_M, 2, FALSE))/(VLOOKUP(Main_M[[#This Row],[Industry]], Mean_PFCF_M, 3, FALSE))</f>
        <v>-1.1539316288623837E-2</v>
      </c>
      <c r="P143" s="1">
        <f>(Main_M[[#This Row],[P/B]]-VLOOKUP(Main_M[[#This Row],[Industry]], Mean_PB_M, 2, FALSE))/(VLOOKUP(Main_M[[#This Row],[Industry]], Mean_PB_M, 3, FALSE))</f>
        <v>5.9744144555135152E-2</v>
      </c>
      <c r="Q143" s="1">
        <f>(Main_M[[#This Row],[ROE]]-VLOOKUP(Main_M[[#This Row],[Industry]], Mean_ROE_M, 2, FALSE))/(VLOOKUP(Main_M[[#This Row],[Industry]], Mean_ROE_M, 3, FALSE))</f>
        <v>4.5166013685873239</v>
      </c>
      <c r="R143" s="1">
        <f>(Main_M[[#This Row],[ROA]]-VLOOKUP(Main_M[[#This Row],[Industry]], Mean_ROA_M, 2, FALSE))/(VLOOKUP(Main_M[[#This Row],[Industry]], Mean_ROA_M, 3, FALSE))</f>
        <v>0.41705729679769432</v>
      </c>
      <c r="S143" s="1">
        <f>(Main_M[[#This Row],[A/E]]-VLOOKUP(Main_M[[#This Row],[Industry]], Mean_AE_M, 2, FALSE))/(VLOOKUP(Main_M[[#This Row],[Industry]], Mean_AE_M, 3, FALSE))</f>
        <v>2.0299793866911728</v>
      </c>
      <c r="T143" s="1">
        <f>(Main_M[[#This Row],[P/E]]-VLOOKUP(Main_M[[#This Row],[Industry]], Mean_PE_M, 2, FALSE))/(VLOOKUP(Main_M[[#This Row],[Industry]], Mean_PE_M, 3, FALSE))</f>
        <v>-1.5876889179757001</v>
      </c>
      <c r="U1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4" spans="1:26" x14ac:dyDescent="0.25">
      <c r="A144" s="68" t="s">
        <v>215</v>
      </c>
      <c r="B144" s="68" t="s">
        <v>395</v>
      </c>
      <c r="C144" s="2">
        <v>2753</v>
      </c>
      <c r="D144">
        <f>RTD("tos.rtd", , "LAST", Main_M[[#This Row],[Symbol]])</f>
        <v>38.5</v>
      </c>
      <c r="E144">
        <v>0.96</v>
      </c>
      <c r="F144">
        <v>8.58</v>
      </c>
      <c r="G144">
        <v>-0.39</v>
      </c>
      <c r="H144" s="1">
        <f>IF(ISNUMBER(Main_M[[#This Row],[Free CF]]),IF(Main_M[[#This Row],[Free CF]]&lt;&gt;0,Main_M[[#This Row],[Current Price]]/Main_M[[#This Row],[Free CF]],""),"")</f>
        <v>40.104166666666671</v>
      </c>
      <c r="I144" s="1">
        <f>IF(ISNUMBER(Main_M[[#This Row],[BVPS]]),IF(Main_M[[#This Row],[BVPS]]&lt;&gt;0,Main_M[[#This Row],[Current Price]]/Main_M[[#This Row],[BVPS]],""),"")</f>
        <v>4.4871794871794872</v>
      </c>
      <c r="J144">
        <v>-4.05</v>
      </c>
      <c r="K144">
        <v>1.0900000000000001</v>
      </c>
      <c r="L144">
        <v>6.06</v>
      </c>
      <c r="M144" s="1">
        <f>IF(ISNUMBER(Main_M[[#This Row],[EPS]]),IF(Main_M[[#This Row],[EPS]]&lt;&gt;0,Main_M[[#This Row],[Current Price]]/Main_M[[#This Row],[EPS]],""),"")</f>
        <v>-98.717948717948715</v>
      </c>
      <c r="N1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4" s="1">
        <f>(Main_M[[#This Row],[P/FCF]]-VLOOKUP(Main_M[[#This Row],[Industry]], Mean_PFCF_M, 2, FALSE))/(VLOOKUP(Main_M[[#This Row],[Industry]], Mean_PFCF_M, 3, FALSE))</f>
        <v>6.2532173216133362</v>
      </c>
      <c r="P144" s="1">
        <f>(Main_M[[#This Row],[P/B]]-VLOOKUP(Main_M[[#This Row],[Industry]], Mean_PB_M, 2, FALSE))/(VLOOKUP(Main_M[[#This Row],[Industry]], Mean_PB_M, 3, FALSE))</f>
        <v>1.6526584514347704</v>
      </c>
      <c r="Q144" s="1">
        <f>(Main_M[[#This Row],[ROE]]-VLOOKUP(Main_M[[#This Row],[Industry]], Mean_ROE_M, 2, FALSE))/(VLOOKUP(Main_M[[#This Row],[Industry]], Mean_ROE_M, 3, FALSE))</f>
        <v>-1.7944498482695732</v>
      </c>
      <c r="R144" s="1">
        <f>(Main_M[[#This Row],[ROA]]-VLOOKUP(Main_M[[#This Row],[Industry]], Mean_ROA_M, 2, FALSE))/(VLOOKUP(Main_M[[#This Row],[Industry]], Mean_ROA_M, 3, FALSE))</f>
        <v>-1.0369822013998935</v>
      </c>
      <c r="S144" s="1">
        <f>(Main_M[[#This Row],[A/E]]-VLOOKUP(Main_M[[#This Row],[Industry]], Mean_AE_M, 2, FALSE))/(VLOOKUP(Main_M[[#This Row],[Industry]], Mean_AE_M, 3, FALSE))</f>
        <v>0.71553982909826053</v>
      </c>
      <c r="T144" s="1">
        <f>(Main_M[[#This Row],[P/E]]-VLOOKUP(Main_M[[#This Row],[Industry]], Mean_PE_M, 2, FALSE))/(VLOOKUP(Main_M[[#This Row],[Industry]], Mean_PE_M, 3, FALSE))</f>
        <v>-13.705320391915647</v>
      </c>
      <c r="U1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5" spans="1:26" x14ac:dyDescent="0.25">
      <c r="A145" s="68" t="s">
        <v>215</v>
      </c>
      <c r="B145" s="68" t="s">
        <v>396</v>
      </c>
      <c r="C145" s="2">
        <v>2564</v>
      </c>
      <c r="D145">
        <f>RTD("tos.rtd", , "LAST", Main_M[[#This Row],[Symbol]])</f>
        <v>105.6</v>
      </c>
      <c r="E145">
        <v>2.5299999999999998</v>
      </c>
      <c r="F145">
        <v>-3.53</v>
      </c>
      <c r="G145">
        <v>1.26</v>
      </c>
      <c r="H145" s="1">
        <f>IF(ISNUMBER(Main_M[[#This Row],[Free CF]]),IF(Main_M[[#This Row],[Free CF]]&lt;&gt;0,Main_M[[#This Row],[Current Price]]/Main_M[[#This Row],[Free CF]],""),"")</f>
        <v>41.739130434782609</v>
      </c>
      <c r="I145" s="1">
        <f>IF(ISNUMBER(Main_M[[#This Row],[BVPS]]),IF(Main_M[[#This Row],[BVPS]]&lt;&gt;0,Main_M[[#This Row],[Current Price]]/Main_M[[#This Row],[BVPS]],""),"")</f>
        <v>-29.915014164305948</v>
      </c>
      <c r="J145">
        <v>-85.18</v>
      </c>
      <c r="K145">
        <v>10.5</v>
      </c>
      <c r="L145">
        <v>-4.66</v>
      </c>
      <c r="M145" s="1">
        <f>IF(ISNUMBER(Main_M[[#This Row],[EPS]]),IF(Main_M[[#This Row],[EPS]]&lt;&gt;0,Main_M[[#This Row],[Current Price]]/Main_M[[#This Row],[EPS]],""),"")</f>
        <v>83.80952380952381</v>
      </c>
      <c r="N1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5" s="1">
        <f>(Main_M[[#This Row],[P/FCF]]-VLOOKUP(Main_M[[#This Row],[Industry]], Mean_PFCF_M, 2, FALSE))/(VLOOKUP(Main_M[[#This Row],[Industry]], Mean_PFCF_M, 3, FALSE))</f>
        <v>6.5741939737060644</v>
      </c>
      <c r="P145" s="1">
        <f>(Main_M[[#This Row],[P/B]]-VLOOKUP(Main_M[[#This Row],[Industry]], Mean_PB_M, 2, FALSE))/(VLOOKUP(Main_M[[#This Row],[Industry]], Mean_PB_M, 3, FALSE))</f>
        <v>-22.563779687023523</v>
      </c>
      <c r="Q145" s="1">
        <f>(Main_M[[#This Row],[ROE]]-VLOOKUP(Main_M[[#This Row],[Industry]], Mean_ROE_M, 2, FALSE))/(VLOOKUP(Main_M[[#This Row],[Industry]], Mean_ROE_M, 3, FALSE))</f>
        <v>-9.9465640460762366</v>
      </c>
      <c r="R145" s="1">
        <f>(Main_M[[#This Row],[ROA]]-VLOOKUP(Main_M[[#This Row],[Industry]], Mean_ROA_M, 2, FALSE))/(VLOOKUP(Main_M[[#This Row],[Industry]], Mean_ROA_M, 3, FALSE))</f>
        <v>5.8348505557641888</v>
      </c>
      <c r="S145" s="1">
        <f>(Main_M[[#This Row],[A/E]]-VLOOKUP(Main_M[[#This Row],[Industry]], Mean_AE_M, 2, FALSE))/(VLOOKUP(Main_M[[#This Row],[Industry]], Mean_AE_M, 3, FALSE))</f>
        <v>-5.0250990278725336</v>
      </c>
      <c r="T145" s="1">
        <f>(Main_M[[#This Row],[P/E]]-VLOOKUP(Main_M[[#This Row],[Industry]], Mean_PE_M, 2, FALSE))/(VLOOKUP(Main_M[[#This Row],[Industry]], Mean_PE_M, 3, FALSE))</f>
        <v>8.0805499942580639</v>
      </c>
      <c r="U1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6" spans="1:26" x14ac:dyDescent="0.25">
      <c r="A146" s="68" t="s">
        <v>215</v>
      </c>
      <c r="B146" s="68" t="s">
        <v>397</v>
      </c>
      <c r="C146" s="2">
        <v>8983</v>
      </c>
      <c r="D146">
        <f>RTD("tos.rtd", , "LAST", Main_M[[#This Row],[Symbol]])</f>
        <v>68.16</v>
      </c>
      <c r="E146">
        <v>3.52</v>
      </c>
      <c r="F146">
        <v>4.3</v>
      </c>
      <c r="G146">
        <v>0.27</v>
      </c>
      <c r="H146" s="1">
        <f>IF(ISNUMBER(Main_M[[#This Row],[Free CF]]),IF(Main_M[[#This Row],[Free CF]]&lt;&gt;0,Main_M[[#This Row],[Current Price]]/Main_M[[#This Row],[Free CF]],""),"")</f>
        <v>19.363636363636363</v>
      </c>
      <c r="I146" s="1">
        <f>IF(ISNUMBER(Main_M[[#This Row],[BVPS]]),IF(Main_M[[#This Row],[BVPS]]&lt;&gt;0,Main_M[[#This Row],[Current Price]]/Main_M[[#This Row],[BVPS]],""),"")</f>
        <v>15.851162790697675</v>
      </c>
      <c r="J146">
        <v>18.190000000000001</v>
      </c>
      <c r="K146">
        <v>3.68</v>
      </c>
      <c r="L146">
        <v>18.23</v>
      </c>
      <c r="M146" s="1">
        <f>IF(ISNUMBER(Main_M[[#This Row],[EPS]]),IF(Main_M[[#This Row],[EPS]]&lt;&gt;0,Main_M[[#This Row],[Current Price]]/Main_M[[#This Row],[EPS]],""),"")</f>
        <v>252.44444444444443</v>
      </c>
      <c r="N1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6" s="1">
        <f>(Main_M[[#This Row],[P/FCF]]-VLOOKUP(Main_M[[#This Row],[Industry]], Mean_PFCF_M, 2, FALSE))/(VLOOKUP(Main_M[[#This Row],[Industry]], Mean_PFCF_M, 3, FALSE))</f>
        <v>2.1814292434188416</v>
      </c>
      <c r="P146" s="1">
        <f>(Main_M[[#This Row],[P/B]]-VLOOKUP(Main_M[[#This Row],[Industry]], Mean_PB_M, 2, FALSE))/(VLOOKUP(Main_M[[#This Row],[Industry]], Mean_PB_M, 3, FALSE))</f>
        <v>9.6520087679875815</v>
      </c>
      <c r="Q146" s="1">
        <f>(Main_M[[#This Row],[ROE]]-VLOOKUP(Main_M[[#This Row],[Industry]], Mean_ROE_M, 2, FALSE))/(VLOOKUP(Main_M[[#This Row],[Industry]], Mean_ROE_M, 3, FALSE))</f>
        <v>0.44027244630974594</v>
      </c>
      <c r="R146" s="1">
        <f>(Main_M[[#This Row],[ROA]]-VLOOKUP(Main_M[[#This Row],[Industry]], Mean_ROA_M, 2, FALSE))/(VLOOKUP(Main_M[[#This Row],[Industry]], Mean_ROA_M, 3, FALSE))</f>
        <v>0.85441491242103884</v>
      </c>
      <c r="S146" s="1">
        <f>(Main_M[[#This Row],[A/E]]-VLOOKUP(Main_M[[#This Row],[Industry]], Mean_AE_M, 2, FALSE))/(VLOOKUP(Main_M[[#This Row],[Industry]], Mean_AE_M, 3, FALSE))</f>
        <v>7.2326643523570819</v>
      </c>
      <c r="T146" s="1">
        <f>(Main_M[[#This Row],[P/E]]-VLOOKUP(Main_M[[#This Row],[Industry]], Mean_PE_M, 2, FALSE))/(VLOOKUP(Main_M[[#This Row],[Industry]], Mean_PE_M, 3, FALSE))</f>
        <v>28.208251718622389</v>
      </c>
      <c r="U1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7" spans="1:26" x14ac:dyDescent="0.25">
      <c r="A147" s="68" t="s">
        <v>215</v>
      </c>
      <c r="B147" s="68" t="s">
        <v>398</v>
      </c>
      <c r="C147" s="2">
        <v>3370</v>
      </c>
      <c r="D147">
        <f>RTD("tos.rtd", , "LAST", Main_M[[#This Row],[Symbol]])</f>
        <v>59.78</v>
      </c>
      <c r="E147">
        <v>-6.41</v>
      </c>
      <c r="F147">
        <v>84.58</v>
      </c>
      <c r="G147">
        <v>4.6399999999999997</v>
      </c>
      <c r="H147" s="1">
        <f>IF(ISNUMBER(Main_M[[#This Row],[Free CF]]),IF(Main_M[[#This Row],[Free CF]]&lt;&gt;0,Main_M[[#This Row],[Current Price]]/Main_M[[#This Row],[Free CF]],""),"")</f>
        <v>-9.3260530421216856</v>
      </c>
      <c r="I147" s="1">
        <f>IF(ISNUMBER(Main_M[[#This Row],[BVPS]]),IF(Main_M[[#This Row],[BVPS]]&lt;&gt;0,Main_M[[#This Row],[Current Price]]/Main_M[[#This Row],[BVPS]],""),"")</f>
        <v>0.70678647434381658</v>
      </c>
      <c r="J147">
        <v>7.83</v>
      </c>
      <c r="K147">
        <v>0.56000000000000005</v>
      </c>
      <c r="L147">
        <v>48.1</v>
      </c>
      <c r="M147" s="1">
        <f>IF(ISNUMBER(Main_M[[#This Row],[EPS]]),IF(Main_M[[#This Row],[EPS]]&lt;&gt;0,Main_M[[#This Row],[Current Price]]/Main_M[[#This Row],[EPS]],""),"")</f>
        <v>12.883620689655174</v>
      </c>
      <c r="N1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7" s="1">
        <f>(Main_M[[#This Row],[P/FCF]]-VLOOKUP(Main_M[[#This Row],[Industry]], Mean_PFCF_M, 2, FALSE))/(VLOOKUP(Main_M[[#This Row],[Industry]], Mean_PFCF_M, 3, FALSE))</f>
        <v>-3.450940497503391</v>
      </c>
      <c r="P147" s="1">
        <f>(Main_M[[#This Row],[P/B]]-VLOOKUP(Main_M[[#This Row],[Industry]], Mean_PB_M, 2, FALSE))/(VLOOKUP(Main_M[[#This Row],[Industry]], Mean_PB_M, 3, FALSE))</f>
        <v>-1.0084408511802565</v>
      </c>
      <c r="Q147" s="1">
        <f>(Main_M[[#This Row],[ROE]]-VLOOKUP(Main_M[[#This Row],[Industry]], Mean_ROE_M, 2, FALSE))/(VLOOKUP(Main_M[[#This Row],[Industry]], Mean_ROE_M, 3, FALSE))</f>
        <v>-0.60072229163277868</v>
      </c>
      <c r="R147" s="1">
        <f>(Main_M[[#This Row],[ROA]]-VLOOKUP(Main_M[[#This Row],[Industry]], Mean_ROA_M, 2, FALSE))/(VLOOKUP(Main_M[[#This Row],[Industry]], Mean_ROA_M, 3, FALSE))</f>
        <v>-1.4240248540350648</v>
      </c>
      <c r="S147" s="1">
        <f>(Main_M[[#This Row],[A/E]]-VLOOKUP(Main_M[[#This Row],[Industry]], Mean_AE_M, 2, FALSE))/(VLOOKUP(Main_M[[#This Row],[Industry]], Mean_AE_M, 3, FALSE))</f>
        <v>23.228269077890445</v>
      </c>
      <c r="T147" s="1">
        <f>(Main_M[[#This Row],[P/E]]-VLOOKUP(Main_M[[#This Row],[Industry]], Mean_PE_M, 2, FALSE))/(VLOOKUP(Main_M[[#This Row],[Industry]], Mean_PE_M, 3, FALSE))</f>
        <v>-0.38492926207253353</v>
      </c>
      <c r="U1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8" spans="1:26" x14ac:dyDescent="0.25">
      <c r="A148" s="68" t="s">
        <v>215</v>
      </c>
      <c r="B148" s="68" t="s">
        <v>399</v>
      </c>
      <c r="C148" s="2">
        <v>3769</v>
      </c>
      <c r="D148">
        <f>RTD("tos.rtd", , "LAST", Main_M[[#This Row],[Symbol]])</f>
        <v>38.659999999999997</v>
      </c>
      <c r="E148">
        <v>5.91</v>
      </c>
      <c r="F148">
        <v>24.59</v>
      </c>
      <c r="G148">
        <v>2.88</v>
      </c>
      <c r="H148" s="1">
        <f>IF(ISNUMBER(Main_M[[#This Row],[Free CF]]),IF(Main_M[[#This Row],[Free CF]]&lt;&gt;0,Main_M[[#This Row],[Current Price]]/Main_M[[#This Row],[Free CF]],""),"")</f>
        <v>6.5414551607445004</v>
      </c>
      <c r="I148" s="1">
        <f>IF(ISNUMBER(Main_M[[#This Row],[BVPS]]),IF(Main_M[[#This Row],[BVPS]]&lt;&gt;0,Main_M[[#This Row],[Current Price]]/Main_M[[#This Row],[BVPS]],""),"")</f>
        <v>1.5721838145587637</v>
      </c>
      <c r="J148">
        <v>17.14</v>
      </c>
      <c r="K148">
        <v>1.33</v>
      </c>
      <c r="L148">
        <v>15.15</v>
      </c>
      <c r="M148" s="1">
        <f>IF(ISNUMBER(Main_M[[#This Row],[EPS]]),IF(Main_M[[#This Row],[EPS]]&lt;&gt;0,Main_M[[#This Row],[Current Price]]/Main_M[[#This Row],[EPS]],""),"")</f>
        <v>13.423611111111111</v>
      </c>
      <c r="N1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8" s="1">
        <f>(Main_M[[#This Row],[P/FCF]]-VLOOKUP(Main_M[[#This Row],[Industry]], Mean_PFCF_M, 2, FALSE))/(VLOOKUP(Main_M[[#This Row],[Industry]], Mean_PFCF_M, 3, FALSE))</f>
        <v>-0.33582580240593091</v>
      </c>
      <c r="P148" s="1">
        <f>(Main_M[[#This Row],[P/B]]-VLOOKUP(Main_M[[#This Row],[Industry]], Mean_PB_M, 2, FALSE))/(VLOOKUP(Main_M[[#This Row],[Industry]], Mean_PB_M, 3, FALSE))</f>
        <v>-0.39926919873254313</v>
      </c>
      <c r="Q148" s="1">
        <f>(Main_M[[#This Row],[ROE]]-VLOOKUP(Main_M[[#This Row],[Industry]], Mean_ROE_M, 2, FALSE))/(VLOOKUP(Main_M[[#This Row],[Industry]], Mean_ROE_M, 3, FALSE))</f>
        <v>0.33476622286962515</v>
      </c>
      <c r="R148" s="1">
        <f>(Main_M[[#This Row],[ROA]]-VLOOKUP(Main_M[[#This Row],[Industry]], Mean_ROA_M, 2, FALSE))/(VLOOKUP(Main_M[[#This Row],[Industry]], Mean_ROA_M, 3, FALSE))</f>
        <v>-0.86171760398019315</v>
      </c>
      <c r="S148" s="1">
        <f>(Main_M[[#This Row],[A/E]]-VLOOKUP(Main_M[[#This Row],[Industry]], Mean_AE_M, 2, FALSE))/(VLOOKUP(Main_M[[#This Row],[Industry]], Mean_AE_M, 3, FALSE))</f>
        <v>5.5833016956901007</v>
      </c>
      <c r="T148" s="1">
        <f>(Main_M[[#This Row],[P/E]]-VLOOKUP(Main_M[[#This Row],[Industry]], Mean_PE_M, 2, FALSE))/(VLOOKUP(Main_M[[#This Row],[Industry]], Mean_PE_M, 3, FALSE))</f>
        <v>-0.32047780625212985</v>
      </c>
      <c r="U1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9" spans="1:26" x14ac:dyDescent="0.25">
      <c r="A149" s="68" t="s">
        <v>215</v>
      </c>
      <c r="B149" s="68" t="s">
        <v>400</v>
      </c>
      <c r="C149" s="2">
        <v>4843</v>
      </c>
      <c r="D149">
        <f>RTD("tos.rtd", , "LAST", Main_M[[#This Row],[Symbol]])</f>
        <v>31.17</v>
      </c>
      <c r="E149">
        <v>47.8</v>
      </c>
      <c r="F149">
        <v>31.16</v>
      </c>
      <c r="G149">
        <v>4.88</v>
      </c>
      <c r="H149" s="1">
        <f>IF(ISNUMBER(Main_M[[#This Row],[Free CF]]),IF(Main_M[[#This Row],[Free CF]]&lt;&gt;0,Main_M[[#This Row],[Current Price]]/Main_M[[#This Row],[Free CF]],""),"")</f>
        <v>0.65209205020920513</v>
      </c>
      <c r="I149" s="1">
        <f>IF(ISNUMBER(Main_M[[#This Row],[BVPS]]),IF(Main_M[[#This Row],[BVPS]]&lt;&gt;0,Main_M[[#This Row],[Current Price]]/Main_M[[#This Row],[BVPS]],""),"")</f>
        <v>1.0003209242618742</v>
      </c>
      <c r="J149">
        <v>17.88</v>
      </c>
      <c r="K149">
        <v>0.73</v>
      </c>
      <c r="L149">
        <v>21.52</v>
      </c>
      <c r="M149" s="1">
        <f>IF(ISNUMBER(Main_M[[#This Row],[EPS]]),IF(Main_M[[#This Row],[EPS]]&lt;&gt;0,Main_M[[#This Row],[Current Price]]/Main_M[[#This Row],[EPS]],""),"")</f>
        <v>6.3872950819672134</v>
      </c>
      <c r="N1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9" s="1">
        <f>(Main_M[[#This Row],[P/FCF]]-VLOOKUP(Main_M[[#This Row],[Industry]], Mean_PFCF_M, 2, FALSE))/(VLOOKUP(Main_M[[#This Row],[Industry]], Mean_PFCF_M, 3, FALSE))</f>
        <v>-1.49202760396413</v>
      </c>
      <c r="P149" s="1">
        <f>(Main_M[[#This Row],[P/B]]-VLOOKUP(Main_M[[#This Row],[Industry]], Mean_PB_M, 2, FALSE))/(VLOOKUP(Main_M[[#This Row],[Industry]], Mean_PB_M, 3, FALSE))</f>
        <v>-0.80181568884442089</v>
      </c>
      <c r="Q149" s="1">
        <f>(Main_M[[#This Row],[ROE]]-VLOOKUP(Main_M[[#This Row],[Industry]], Mean_ROE_M, 2, FALSE))/(VLOOKUP(Main_M[[#This Row],[Industry]], Mean_ROE_M, 3, FALSE))</f>
        <v>0.40912298986551959</v>
      </c>
      <c r="R149" s="1">
        <f>(Main_M[[#This Row],[ROA]]-VLOOKUP(Main_M[[#This Row],[Industry]], Mean_ROA_M, 2, FALSE))/(VLOOKUP(Main_M[[#This Row],[Industry]], Mean_ROA_M, 3, FALSE))</f>
        <v>-1.2998790975294439</v>
      </c>
      <c r="S149" s="1">
        <f>(Main_M[[#This Row],[A/E]]-VLOOKUP(Main_M[[#This Row],[Industry]], Mean_AE_M, 2, FALSE))/(VLOOKUP(Main_M[[#This Row],[Industry]], Mean_AE_M, 3, FALSE))</f>
        <v>8.9944835537968117</v>
      </c>
      <c r="T149" s="1">
        <f>(Main_M[[#This Row],[P/E]]-VLOOKUP(Main_M[[#This Row],[Industry]], Mean_PE_M, 2, FALSE))/(VLOOKUP(Main_M[[#This Row],[Industry]], Mean_PE_M, 3, FALSE))</f>
        <v>-1.1603090211615081</v>
      </c>
      <c r="U1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0" spans="1:26" x14ac:dyDescent="0.25">
      <c r="A150" s="68" t="s">
        <v>215</v>
      </c>
      <c r="B150" s="68" t="s">
        <v>401</v>
      </c>
      <c r="C150" s="2">
        <v>2864</v>
      </c>
      <c r="D150">
        <f>RTD("tos.rtd", , "LAST", Main_M[[#This Row],[Symbol]])</f>
        <v>7.06</v>
      </c>
      <c r="E150">
        <v>0.54</v>
      </c>
      <c r="F150">
        <v>20.94</v>
      </c>
      <c r="G150">
        <v>0.53</v>
      </c>
      <c r="H150" s="1">
        <f>IF(ISNUMBER(Main_M[[#This Row],[Free CF]]),IF(Main_M[[#This Row],[Free CF]]&lt;&gt;0,Main_M[[#This Row],[Current Price]]/Main_M[[#This Row],[Free CF]],""),"")</f>
        <v>13.074074074074073</v>
      </c>
      <c r="I150" s="1">
        <f>IF(ISNUMBER(Main_M[[#This Row],[BVPS]]),IF(Main_M[[#This Row],[BVPS]]&lt;&gt;0,Main_M[[#This Row],[Current Price]]/Main_M[[#This Row],[BVPS]],""),"")</f>
        <v>0.3371537726838586</v>
      </c>
      <c r="J150">
        <v>3.85</v>
      </c>
      <c r="K150">
        <v>0.43</v>
      </c>
      <c r="L150">
        <v>10.02</v>
      </c>
      <c r="M150" s="1">
        <f>IF(ISNUMBER(Main_M[[#This Row],[EPS]]),IF(Main_M[[#This Row],[EPS]]&lt;&gt;0,Main_M[[#This Row],[Current Price]]/Main_M[[#This Row],[EPS]],""),"")</f>
        <v>13.320754716981131</v>
      </c>
      <c r="N1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0" s="1">
        <f>(Main_M[[#This Row],[P/FCF]]-VLOOKUP(Main_M[[#This Row],[Industry]], Mean_PFCF_M, 2, FALSE))/(VLOOKUP(Main_M[[#This Row],[Industry]], Mean_PFCF_M, 3, FALSE))</f>
        <v>0.94666020070252876</v>
      </c>
      <c r="P150" s="1">
        <f>(Main_M[[#This Row],[P/B]]-VLOOKUP(Main_M[[#This Row],[Industry]], Mean_PB_M, 2, FALSE))/(VLOOKUP(Main_M[[#This Row],[Industry]], Mean_PB_M, 3, FALSE))</f>
        <v>-1.2686331965981217</v>
      </c>
      <c r="Q150" s="1">
        <f>(Main_M[[#This Row],[ROE]]-VLOOKUP(Main_M[[#This Row],[Industry]], Mean_ROE_M, 2, FALSE))/(VLOOKUP(Main_M[[#This Row],[Industry]], Mean_ROE_M, 3, FALSE))</f>
        <v>-1.0006411195296172</v>
      </c>
      <c r="R150" s="1">
        <f>(Main_M[[#This Row],[ROA]]-VLOOKUP(Main_M[[#This Row],[Industry]], Mean_ROA_M, 2, FALSE))/(VLOOKUP(Main_M[[#This Row],[Industry]], Mean_ROA_M, 3, FALSE))</f>
        <v>-1.5189598443040691</v>
      </c>
      <c r="S150" s="1">
        <f>(Main_M[[#This Row],[A/E]]-VLOOKUP(Main_M[[#This Row],[Industry]], Mean_AE_M, 2, FALSE))/(VLOOKUP(Main_M[[#This Row],[Industry]], Mean_AE_M, 3, FALSE))</f>
        <v>2.8361489590986659</v>
      </c>
      <c r="T150" s="1">
        <f>(Main_M[[#This Row],[P/E]]-VLOOKUP(Main_M[[#This Row],[Industry]], Mean_PE_M, 2, FALSE))/(VLOOKUP(Main_M[[#This Row],[Industry]], Mean_PE_M, 3, FALSE))</f>
        <v>-0.33275440242626281</v>
      </c>
      <c r="U1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1" spans="1:26" x14ac:dyDescent="0.25">
      <c r="A151" s="68" t="s">
        <v>215</v>
      </c>
      <c r="B151" s="68" t="s">
        <v>402</v>
      </c>
      <c r="C151" s="2">
        <v>5802</v>
      </c>
      <c r="D151">
        <f>RTD("tos.rtd", , "LAST", Main_M[[#This Row],[Symbol]])</f>
        <v>35.49</v>
      </c>
      <c r="E151">
        <v>-12.3</v>
      </c>
      <c r="F151">
        <v>42.75</v>
      </c>
      <c r="G151">
        <v>18.41</v>
      </c>
      <c r="H151" s="1">
        <f>IF(ISNUMBER(Main_M[[#This Row],[Free CF]]),IF(Main_M[[#This Row],[Free CF]]&lt;&gt;0,Main_M[[#This Row],[Current Price]]/Main_M[[#This Row],[Free CF]],""),"")</f>
        <v>-2.8853658536585365</v>
      </c>
      <c r="I151" s="1">
        <f>IF(ISNUMBER(Main_M[[#This Row],[BVPS]]),IF(Main_M[[#This Row],[BVPS]]&lt;&gt;0,Main_M[[#This Row],[Current Price]]/Main_M[[#This Row],[BVPS]],""),"")</f>
        <v>0.83017543859649123</v>
      </c>
      <c r="J151">
        <v>43.2</v>
      </c>
      <c r="K151">
        <v>0.16</v>
      </c>
      <c r="L151">
        <v>53.66</v>
      </c>
      <c r="M151" s="1">
        <f>IF(ISNUMBER(Main_M[[#This Row],[EPS]]),IF(Main_M[[#This Row],[EPS]]&lt;&gt;0,Main_M[[#This Row],[Current Price]]/Main_M[[#This Row],[EPS]],""),"")</f>
        <v>1.9277566539923956</v>
      </c>
      <c r="N1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1" s="1">
        <f>(Main_M[[#This Row],[P/FCF]]-VLOOKUP(Main_M[[#This Row],[Industry]], Mean_PFCF_M, 2, FALSE))/(VLOOKUP(Main_M[[#This Row],[Industry]], Mean_PFCF_M, 3, FALSE))</f>
        <v>-2.1865025623975258</v>
      </c>
      <c r="P151" s="1">
        <f>(Main_M[[#This Row],[P/B]]-VLOOKUP(Main_M[[#This Row],[Industry]], Mean_PB_M, 2, FALSE))/(VLOOKUP(Main_M[[#This Row],[Industry]], Mean_PB_M, 3, FALSE))</f>
        <v>-0.92158472653704437</v>
      </c>
      <c r="Q151" s="1">
        <f>(Main_M[[#This Row],[ROE]]-VLOOKUP(Main_M[[#This Row],[Industry]], Mean_ROE_M, 2, FALSE))/(VLOOKUP(Main_M[[#This Row],[Industry]], Mean_ROE_M, 3, FALSE))</f>
        <v>2.9533302065358598</v>
      </c>
      <c r="R151" s="1">
        <f>(Main_M[[#This Row],[ROA]]-VLOOKUP(Main_M[[#This Row],[Industry]], Mean_ROA_M, 2, FALSE))/(VLOOKUP(Main_M[[#This Row],[Industry]], Mean_ROA_M, 3, FALSE))</f>
        <v>-1.716132516401232</v>
      </c>
      <c r="S151" s="1">
        <f>(Main_M[[#This Row],[A/E]]-VLOOKUP(Main_M[[#This Row],[Industry]], Mean_AE_M, 2, FALSE))/(VLOOKUP(Main_M[[#This Row],[Industry]], Mean_AE_M, 3, FALSE))</f>
        <v>26.20568997758798</v>
      </c>
      <c r="T151" s="1">
        <f>(Main_M[[#This Row],[P/E]]-VLOOKUP(Main_M[[#This Row],[Industry]], Mean_PE_M, 2, FALSE))/(VLOOKUP(Main_M[[#This Row],[Industry]], Mean_PE_M, 3, FALSE))</f>
        <v>-1.6925846552274832</v>
      </c>
      <c r="U1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2" spans="1:26" x14ac:dyDescent="0.25">
      <c r="A152" s="68" t="s">
        <v>215</v>
      </c>
      <c r="B152" s="68" t="s">
        <v>403</v>
      </c>
      <c r="C152" s="2">
        <v>4332</v>
      </c>
      <c r="D152">
        <f>RTD("tos.rtd", , "LAST", Main_M[[#This Row],[Symbol]])</f>
        <v>16.920000000000002</v>
      </c>
      <c r="E152">
        <v>3.95</v>
      </c>
      <c r="F152">
        <v>4.05</v>
      </c>
      <c r="G152">
        <v>0.1</v>
      </c>
      <c r="H152" s="1">
        <f>IF(ISNUMBER(Main_M[[#This Row],[Free CF]]),IF(Main_M[[#This Row],[Free CF]]&lt;&gt;0,Main_M[[#This Row],[Current Price]]/Main_M[[#This Row],[Free CF]],""),"")</f>
        <v>4.283544303797469</v>
      </c>
      <c r="I152" s="1">
        <f>IF(ISNUMBER(Main_M[[#This Row],[BVPS]]),IF(Main_M[[#This Row],[BVPS]]&lt;&gt;0,Main_M[[#This Row],[Current Price]]/Main_M[[#This Row],[BVPS]],""),"")</f>
        <v>4.177777777777778</v>
      </c>
      <c r="J152">
        <v>2.87</v>
      </c>
      <c r="K152">
        <v>0.85</v>
      </c>
      <c r="L152">
        <v>4.78</v>
      </c>
      <c r="M152" s="1">
        <f>IF(ISNUMBER(Main_M[[#This Row],[EPS]]),IF(Main_M[[#This Row],[EPS]]&lt;&gt;0,Main_M[[#This Row],[Current Price]]/Main_M[[#This Row],[EPS]],""),"")</f>
        <v>169.20000000000002</v>
      </c>
      <c r="N1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2" s="1">
        <f>(Main_M[[#This Row],[P/FCF]]-VLOOKUP(Main_M[[#This Row],[Industry]], Mean_PFCF_M, 2, FALSE))/(VLOOKUP(Main_M[[#This Row],[Industry]], Mean_PFCF_M, 3, FALSE))</f>
        <v>-0.77909964230382311</v>
      </c>
      <c r="P152" s="1">
        <f>(Main_M[[#This Row],[P/B]]-VLOOKUP(Main_M[[#This Row],[Industry]], Mean_PB_M, 2, FALSE))/(VLOOKUP(Main_M[[#This Row],[Industry]], Mean_PB_M, 3, FALSE))</f>
        <v>1.4348639865944093</v>
      </c>
      <c r="Q152" s="1">
        <f>(Main_M[[#This Row],[ROE]]-VLOOKUP(Main_M[[#This Row],[Industry]], Mean_ROE_M, 2, FALSE))/(VLOOKUP(Main_M[[#This Row],[Industry]], Mean_ROE_M, 3, FALSE))</f>
        <v>-1.0991135947403965</v>
      </c>
      <c r="R152" s="1">
        <f>(Main_M[[#This Row],[ROA]]-VLOOKUP(Main_M[[#This Row],[Industry]], Mean_ROA_M, 2, FALSE))/(VLOOKUP(Main_M[[#This Row],[Industry]], Mean_ROA_M, 3, FALSE))</f>
        <v>-1.2122467988195937</v>
      </c>
      <c r="S152" s="1">
        <f>(Main_M[[#This Row],[A/E]]-VLOOKUP(Main_M[[#This Row],[Industry]], Mean_AE_M, 2, FALSE))/(VLOOKUP(Main_M[[#This Row],[Industry]], Mean_AE_M, 3, FALSE))</f>
        <v>3.0090413340554175E-2</v>
      </c>
      <c r="T152" s="1">
        <f>(Main_M[[#This Row],[P/E]]-VLOOKUP(Main_M[[#This Row],[Industry]], Mean_PE_M, 2, FALSE))/(VLOOKUP(Main_M[[#This Row],[Industry]], Mean_PE_M, 3, FALSE))</f>
        <v>18.272472452502637</v>
      </c>
      <c r="U1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3" spans="1:26" x14ac:dyDescent="0.25">
      <c r="A153" s="68" t="s">
        <v>215</v>
      </c>
      <c r="B153" s="68" t="s">
        <v>404</v>
      </c>
      <c r="C153" s="2">
        <v>8826</v>
      </c>
      <c r="D153">
        <f>RTD("tos.rtd", , "LAST", Main_M[[#This Row],[Symbol]])</f>
        <v>271.3</v>
      </c>
      <c r="E153">
        <v>24.39</v>
      </c>
      <c r="F153">
        <v>67.7</v>
      </c>
      <c r="G153">
        <v>21.01</v>
      </c>
      <c r="H153" s="1">
        <f>IF(ISNUMBER(Main_M[[#This Row],[Free CF]]),IF(Main_M[[#This Row],[Free CF]]&lt;&gt;0,Main_M[[#This Row],[Current Price]]/Main_M[[#This Row],[Free CF]],""),"")</f>
        <v>11.123411234112341</v>
      </c>
      <c r="I153" s="1">
        <f>IF(ISNUMBER(Main_M[[#This Row],[BVPS]]),IF(Main_M[[#This Row],[BVPS]]&lt;&gt;0,Main_M[[#This Row],[Current Price]]/Main_M[[#This Row],[BVPS]],""),"")</f>
        <v>4.0073855243722303</v>
      </c>
      <c r="J153">
        <v>33.299999999999997</v>
      </c>
      <c r="K153">
        <v>4.34</v>
      </c>
      <c r="L153">
        <v>6.46</v>
      </c>
      <c r="M153" s="1">
        <f>IF(ISNUMBER(Main_M[[#This Row],[EPS]]),IF(Main_M[[#This Row],[EPS]]&lt;&gt;0,Main_M[[#This Row],[Current Price]]/Main_M[[#This Row],[EPS]],""),"")</f>
        <v>12.912898619704903</v>
      </c>
      <c r="N1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3" s="1">
        <f>(Main_M[[#This Row],[P/FCF]]-VLOOKUP(Main_M[[#This Row],[Industry]], Mean_PFCF_M, 2, FALSE))/(VLOOKUP(Main_M[[#This Row],[Industry]], Mean_PFCF_M, 3, FALSE))</f>
        <v>0.56370539770153105</v>
      </c>
      <c r="P153" s="1">
        <f>(Main_M[[#This Row],[P/B]]-VLOOKUP(Main_M[[#This Row],[Industry]], Mean_PB_M, 2, FALSE))/(VLOOKUP(Main_M[[#This Row],[Industry]], Mean_PB_M, 3, FALSE))</f>
        <v>1.3149212438242897</v>
      </c>
      <c r="Q153" s="1">
        <f>(Main_M[[#This Row],[ROE]]-VLOOKUP(Main_M[[#This Row],[Industry]], Mean_ROE_M, 2, FALSE))/(VLOOKUP(Main_M[[#This Row],[Industry]], Mean_ROE_M, 3, FALSE))</f>
        <v>1.9585572426718638</v>
      </c>
      <c r="R153" s="1">
        <f>(Main_M[[#This Row],[ROA]]-VLOOKUP(Main_M[[#This Row],[Industry]], Mean_ROA_M, 2, FALSE))/(VLOOKUP(Main_M[[#This Row],[Industry]], Mean_ROA_M, 3, FALSE))</f>
        <v>1.3363925553252143</v>
      </c>
      <c r="S153" s="1">
        <f>(Main_M[[#This Row],[A/E]]-VLOOKUP(Main_M[[#This Row],[Industry]], Mean_AE_M, 2, FALSE))/(VLOOKUP(Main_M[[#This Row],[Industry]], Mean_AE_M, 3, FALSE))</f>
        <v>0.92974277152254414</v>
      </c>
      <c r="T153" s="1">
        <f>(Main_M[[#This Row],[P/E]]-VLOOKUP(Main_M[[#This Row],[Industry]], Mean_PE_M, 2, FALSE))/(VLOOKUP(Main_M[[#This Row],[Industry]], Mean_PE_M, 3, FALSE))</f>
        <v>-0.38143474598459048</v>
      </c>
      <c r="U1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4" spans="1:26" x14ac:dyDescent="0.25">
      <c r="A154" s="68" t="s">
        <v>215</v>
      </c>
      <c r="B154" s="68" t="s">
        <v>405</v>
      </c>
      <c r="C154" s="2">
        <v>4377</v>
      </c>
      <c r="D154">
        <f>RTD("tos.rtd", , "LAST", Main_M[[#This Row],[Symbol]])</f>
        <v>87.69</v>
      </c>
      <c r="E154">
        <v>0.88</v>
      </c>
      <c r="F154">
        <v>108.85</v>
      </c>
      <c r="G154">
        <v>6.87</v>
      </c>
      <c r="H154" s="1">
        <f>IF(ISNUMBER(Main_M[[#This Row],[Free CF]]),IF(Main_M[[#This Row],[Free CF]]&lt;&gt;0,Main_M[[#This Row],[Current Price]]/Main_M[[#This Row],[Free CF]],""),"")</f>
        <v>99.647727272727266</v>
      </c>
      <c r="I154" s="1">
        <f>IF(ISNUMBER(Main_M[[#This Row],[BVPS]]),IF(Main_M[[#This Row],[BVPS]]&lt;&gt;0,Main_M[[#This Row],[Current Price]]/Main_M[[#This Row],[BVPS]],""),"")</f>
        <v>0.80560404225999083</v>
      </c>
      <c r="J154">
        <v>6.93</v>
      </c>
      <c r="K154">
        <v>2.81</v>
      </c>
      <c r="L154">
        <v>2.17</v>
      </c>
      <c r="M154" s="1">
        <f>IF(ISNUMBER(Main_M[[#This Row],[EPS]]),IF(Main_M[[#This Row],[EPS]]&lt;&gt;0,Main_M[[#This Row],[Current Price]]/Main_M[[#This Row],[EPS]],""),"")</f>
        <v>12.764192139737991</v>
      </c>
      <c r="N1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4" s="1">
        <f>(Main_M[[#This Row],[P/FCF]]-VLOOKUP(Main_M[[#This Row],[Industry]], Mean_PFCF_M, 2, FALSE))/(VLOOKUP(Main_M[[#This Row],[Industry]], Mean_PFCF_M, 3, FALSE))</f>
        <v>17.942829721426751</v>
      </c>
      <c r="P154" s="1">
        <f>(Main_M[[#This Row],[P/B]]-VLOOKUP(Main_M[[#This Row],[Industry]], Mean_PB_M, 2, FALSE))/(VLOOKUP(Main_M[[#This Row],[Industry]], Mean_PB_M, 3, FALSE))</f>
        <v>-0.93888105668931388</v>
      </c>
      <c r="Q154" s="1">
        <f>(Main_M[[#This Row],[ROE]]-VLOOKUP(Main_M[[#This Row],[Industry]], Mean_ROE_M, 2, FALSE))/(VLOOKUP(Main_M[[#This Row],[Industry]], Mean_ROE_M, 3, FALSE))</f>
        <v>-0.69115619743859646</v>
      </c>
      <c r="R154" s="1">
        <f>(Main_M[[#This Row],[ROA]]-VLOOKUP(Main_M[[#This Row],[Industry]], Mean_ROA_M, 2, FALSE))/(VLOOKUP(Main_M[[#This Row],[Industry]], Mean_ROA_M, 3, FALSE))</f>
        <v>0.21908074677462522</v>
      </c>
      <c r="S154" s="1">
        <f>(Main_M[[#This Row],[A/E]]-VLOOKUP(Main_M[[#This Row],[Industry]], Mean_AE_M, 2, FALSE))/(VLOOKUP(Main_M[[#This Row],[Industry]], Mean_AE_M, 3, FALSE))</f>
        <v>-1.367583785977895</v>
      </c>
      <c r="T154" s="1">
        <f>(Main_M[[#This Row],[P/E]]-VLOOKUP(Main_M[[#This Row],[Industry]], Mean_PE_M, 2, FALSE))/(VLOOKUP(Main_M[[#This Row],[Industry]], Mean_PE_M, 3, FALSE))</f>
        <v>-0.39918385549278057</v>
      </c>
      <c r="U1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5" spans="1:26" x14ac:dyDescent="0.25">
      <c r="A155" s="68" t="s">
        <v>215</v>
      </c>
      <c r="B155" s="68" t="s">
        <v>406</v>
      </c>
      <c r="C155" s="2">
        <v>7868</v>
      </c>
      <c r="D155">
        <f>RTD("tos.rtd", , "LAST", Main_M[[#This Row],[Symbol]])</f>
        <v>99.94</v>
      </c>
      <c r="E155">
        <v>20.9</v>
      </c>
      <c r="F155">
        <v>68.06</v>
      </c>
      <c r="G155">
        <v>10.08</v>
      </c>
      <c r="H155" s="1">
        <f>IF(ISNUMBER(Main_M[[#This Row],[Free CF]]),IF(Main_M[[#This Row],[Free CF]]&lt;&gt;0,Main_M[[#This Row],[Current Price]]/Main_M[[#This Row],[Free CF]],""),"")</f>
        <v>4.7818181818181822</v>
      </c>
      <c r="I155" s="1">
        <f>IF(ISNUMBER(Main_M[[#This Row],[BVPS]]),IF(Main_M[[#This Row],[BVPS]]&lt;&gt;0,Main_M[[#This Row],[Current Price]]/Main_M[[#This Row],[BVPS]],""),"")</f>
        <v>1.4684102262709373</v>
      </c>
      <c r="J155">
        <v>15.44</v>
      </c>
      <c r="K155">
        <v>2.09</v>
      </c>
      <c r="L155">
        <v>6.21</v>
      </c>
      <c r="M155" s="1">
        <f>IF(ISNUMBER(Main_M[[#This Row],[EPS]]),IF(Main_M[[#This Row],[EPS]]&lt;&gt;0,Main_M[[#This Row],[Current Price]]/Main_M[[#This Row],[EPS]],""),"")</f>
        <v>9.9146825396825395</v>
      </c>
      <c r="N1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5" s="1">
        <f>(Main_M[[#This Row],[P/FCF]]-VLOOKUP(Main_M[[#This Row],[Industry]], Mean_PFCF_M, 2, FALSE))/(VLOOKUP(Main_M[[#This Row],[Industry]], Mean_PFCF_M, 3, FALSE))</f>
        <v>-0.68127834233908457</v>
      </c>
      <c r="P155" s="1">
        <f>(Main_M[[#This Row],[P/B]]-VLOOKUP(Main_M[[#This Row],[Industry]], Mean_PB_M, 2, FALSE))/(VLOOKUP(Main_M[[#This Row],[Industry]], Mean_PB_M, 3, FALSE))</f>
        <v>-0.47231764170790785</v>
      </c>
      <c r="Q155" s="1">
        <f>(Main_M[[#This Row],[ROE]]-VLOOKUP(Main_M[[#This Row],[Industry]], Mean_ROE_M, 2, FALSE))/(VLOOKUP(Main_M[[#This Row],[Industry]], Mean_ROE_M, 3, FALSE))</f>
        <v>0.16394662301419147</v>
      </c>
      <c r="R155" s="1">
        <f>(Main_M[[#This Row],[ROA]]-VLOOKUP(Main_M[[#This Row],[Industry]], Mean_ROA_M, 2, FALSE))/(VLOOKUP(Main_M[[#This Row],[Industry]], Mean_ROA_M, 3, FALSE))</f>
        <v>-0.30671304548447575</v>
      </c>
      <c r="S155" s="1">
        <f>(Main_M[[#This Row],[A/E]]-VLOOKUP(Main_M[[#This Row],[Industry]], Mean_AE_M, 2, FALSE))/(VLOOKUP(Main_M[[#This Row],[Industry]], Mean_AE_M, 3, FALSE))</f>
        <v>0.79586593250736704</v>
      </c>
      <c r="T155" s="1">
        <f>(Main_M[[#This Row],[P/E]]-VLOOKUP(Main_M[[#This Row],[Industry]], Mean_PE_M, 2, FALSE))/(VLOOKUP(Main_M[[#This Row],[Industry]], Mean_PE_M, 3, FALSE))</f>
        <v>-0.73929181815370071</v>
      </c>
      <c r="U1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6" spans="1:26" x14ac:dyDescent="0.25">
      <c r="A156" s="68" t="s">
        <v>215</v>
      </c>
      <c r="B156" s="68" t="s">
        <v>407</v>
      </c>
      <c r="C156" s="2">
        <v>6288</v>
      </c>
      <c r="D156">
        <f>RTD("tos.rtd", , "LAST", Main_M[[#This Row],[Symbol]])</f>
        <v>60.05</v>
      </c>
      <c r="E156">
        <v>5.46</v>
      </c>
      <c r="F156">
        <v>48.64</v>
      </c>
      <c r="G156">
        <v>1.52</v>
      </c>
      <c r="H156" s="1">
        <f>IF(ISNUMBER(Main_M[[#This Row],[Free CF]]),IF(Main_M[[#This Row],[Free CF]]&lt;&gt;0,Main_M[[#This Row],[Current Price]]/Main_M[[#This Row],[Free CF]],""),"")</f>
        <v>10.998168498168498</v>
      </c>
      <c r="I156" s="1">
        <f>IF(ISNUMBER(Main_M[[#This Row],[BVPS]]),IF(Main_M[[#This Row],[BVPS]]&lt;&gt;0,Main_M[[#This Row],[Current Price]]/Main_M[[#This Row],[BVPS]],""),"")</f>
        <v>1.2345805921052631</v>
      </c>
      <c r="J156">
        <v>3.26</v>
      </c>
      <c r="K156">
        <v>1.47</v>
      </c>
      <c r="L156">
        <v>3.09</v>
      </c>
      <c r="M156" s="1">
        <f>IF(ISNUMBER(Main_M[[#This Row],[EPS]]),IF(Main_M[[#This Row],[EPS]]&lt;&gt;0,Main_M[[#This Row],[Current Price]]/Main_M[[#This Row],[EPS]],""),"")</f>
        <v>39.506578947368418</v>
      </c>
      <c r="N1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6" s="1">
        <f>(Main_M[[#This Row],[P/FCF]]-VLOOKUP(Main_M[[#This Row],[Industry]], Mean_PFCF_M, 2, FALSE))/(VLOOKUP(Main_M[[#This Row],[Industry]], Mean_PFCF_M, 3, FALSE))</f>
        <v>0.53911770049004304</v>
      </c>
      <c r="P156" s="1">
        <f>(Main_M[[#This Row],[P/B]]-VLOOKUP(Main_M[[#This Row],[Industry]], Mean_PB_M, 2, FALSE))/(VLOOKUP(Main_M[[#This Row],[Industry]], Mean_PB_M, 3, FALSE))</f>
        <v>-0.63691531033555615</v>
      </c>
      <c r="Q156" s="1">
        <f>(Main_M[[#This Row],[ROE]]-VLOOKUP(Main_M[[#This Row],[Industry]], Mean_ROE_M, 2, FALSE))/(VLOOKUP(Main_M[[#This Row],[Industry]], Mean_ROE_M, 3, FALSE))</f>
        <v>-1.059925568891209</v>
      </c>
      <c r="R156" s="1">
        <f>(Main_M[[#This Row],[ROA]]-VLOOKUP(Main_M[[#This Row],[Industry]], Mean_ROA_M, 2, FALSE))/(VLOOKUP(Main_M[[#This Row],[Industry]], Mean_ROA_M, 3, FALSE))</f>
        <v>-0.75947992215203475</v>
      </c>
      <c r="S156" s="1">
        <f>(Main_M[[#This Row],[A/E]]-VLOOKUP(Main_M[[#This Row],[Industry]], Mean_AE_M, 2, FALSE))/(VLOOKUP(Main_M[[#This Row],[Industry]], Mean_AE_M, 3, FALSE))</f>
        <v>-0.87491701840204317</v>
      </c>
      <c r="T156" s="1">
        <f>(Main_M[[#This Row],[P/E]]-VLOOKUP(Main_M[[#This Row],[Industry]], Mean_PE_M, 2, FALSE))/(VLOOKUP(Main_M[[#This Row],[Industry]], Mean_PE_M, 3, FALSE))</f>
        <v>2.7926982471877855</v>
      </c>
      <c r="U1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7" spans="1:26" x14ac:dyDescent="0.25">
      <c r="A157" s="68" t="s">
        <v>215</v>
      </c>
      <c r="B157" s="68" t="s">
        <v>408</v>
      </c>
      <c r="C157" s="2">
        <v>5235</v>
      </c>
      <c r="D157">
        <f>RTD("tos.rtd", , "LAST", Main_M[[#This Row],[Symbol]])</f>
        <v>30.315000000000001</v>
      </c>
      <c r="E157">
        <v>0.22</v>
      </c>
      <c r="F157">
        <v>10.85</v>
      </c>
      <c r="G157">
        <v>1.78</v>
      </c>
      <c r="H157" s="1">
        <f>IF(ISNUMBER(Main_M[[#This Row],[Free CF]]),IF(Main_M[[#This Row],[Free CF]]&lt;&gt;0,Main_M[[#This Row],[Current Price]]/Main_M[[#This Row],[Free CF]],""),"")</f>
        <v>137.79545454545456</v>
      </c>
      <c r="I157" s="1">
        <f>IF(ISNUMBER(Main_M[[#This Row],[BVPS]]),IF(Main_M[[#This Row],[BVPS]]&lt;&gt;0,Main_M[[#This Row],[Current Price]]/Main_M[[#This Row],[BVPS]],""),"")</f>
        <v>2.794009216589862</v>
      </c>
      <c r="J157">
        <v>17.95</v>
      </c>
      <c r="K157">
        <v>4.2</v>
      </c>
      <c r="L157">
        <v>3.05</v>
      </c>
      <c r="M157" s="1">
        <f>IF(ISNUMBER(Main_M[[#This Row],[EPS]]),IF(Main_M[[#This Row],[EPS]]&lt;&gt;0,Main_M[[#This Row],[Current Price]]/Main_M[[#This Row],[EPS]],""),"")</f>
        <v>17.030898876404496</v>
      </c>
      <c r="N1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7" s="1">
        <f>(Main_M[[#This Row],[P/FCF]]-VLOOKUP(Main_M[[#This Row],[Industry]], Mean_PFCF_M, 2, FALSE))/(VLOOKUP(Main_M[[#This Row],[Industry]], Mean_PFCF_M, 3, FALSE))</f>
        <v>25.432004725626687</v>
      </c>
      <c r="P157" s="1">
        <f>(Main_M[[#This Row],[P/B]]-VLOOKUP(Main_M[[#This Row],[Industry]], Mean_PB_M, 2, FALSE))/(VLOOKUP(Main_M[[#This Row],[Industry]], Mean_PB_M, 3, FALSE))</f>
        <v>0.46079977140434969</v>
      </c>
      <c r="Q157" s="1">
        <f>(Main_M[[#This Row],[ROE]]-VLOOKUP(Main_M[[#This Row],[Industry]], Mean_ROE_M, 2, FALSE))/(VLOOKUP(Main_M[[#This Row],[Industry]], Mean_ROE_M, 3, FALSE))</f>
        <v>0.41615673809486098</v>
      </c>
      <c r="R157" s="1">
        <f>(Main_M[[#This Row],[ROA]]-VLOOKUP(Main_M[[#This Row],[Industry]], Mean_ROA_M, 2, FALSE))/(VLOOKUP(Main_M[[#This Row],[Industry]], Mean_ROA_M, 3, FALSE))</f>
        <v>1.234154873497056</v>
      </c>
      <c r="S157" s="1">
        <f>(Main_M[[#This Row],[A/E]]-VLOOKUP(Main_M[[#This Row],[Industry]], Mean_AE_M, 2, FALSE))/(VLOOKUP(Main_M[[#This Row],[Industry]], Mean_AE_M, 3, FALSE))</f>
        <v>-0.89633731264447158</v>
      </c>
      <c r="T157" s="1">
        <f>(Main_M[[#This Row],[P/E]]-VLOOKUP(Main_M[[#This Row],[Industry]], Mean_PE_M, 2, FALSE))/(VLOOKUP(Main_M[[#This Row],[Industry]], Mean_PE_M, 3, FALSE))</f>
        <v>0.1100760309982244</v>
      </c>
      <c r="U1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8" spans="1:26" x14ac:dyDescent="0.25">
      <c r="A158" s="68" t="s">
        <v>215</v>
      </c>
      <c r="B158" s="68" t="s">
        <v>409</v>
      </c>
      <c r="C158" s="2">
        <v>3944</v>
      </c>
      <c r="D158">
        <f>RTD("tos.rtd", , "LAST", Main_M[[#This Row],[Symbol]])</f>
        <v>64.959999999999994</v>
      </c>
      <c r="E158">
        <v>5.14</v>
      </c>
      <c r="F158">
        <v>43.68</v>
      </c>
      <c r="G158">
        <v>4.91</v>
      </c>
      <c r="H158" s="1">
        <f>IF(ISNUMBER(Main_M[[#This Row],[Free CF]]),IF(Main_M[[#This Row],[Free CF]]&lt;&gt;0,Main_M[[#This Row],[Current Price]]/Main_M[[#This Row],[Free CF]],""),"")</f>
        <v>12.638132295719844</v>
      </c>
      <c r="I158" s="1">
        <f>IF(ISNUMBER(Main_M[[#This Row],[BVPS]]),IF(Main_M[[#This Row],[BVPS]]&lt;&gt;0,Main_M[[#This Row],[Current Price]]/Main_M[[#This Row],[BVPS]],""),"")</f>
        <v>1.487179487179487</v>
      </c>
      <c r="J158">
        <v>11.82</v>
      </c>
      <c r="K158">
        <v>2.4</v>
      </c>
      <c r="L158">
        <v>4.53</v>
      </c>
      <c r="M158" s="1">
        <f>IF(ISNUMBER(Main_M[[#This Row],[EPS]]),IF(Main_M[[#This Row],[EPS]]&lt;&gt;0,Main_M[[#This Row],[Current Price]]/Main_M[[#This Row],[EPS]],""),"")</f>
        <v>13.230142566191445</v>
      </c>
      <c r="N1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8" s="1">
        <f>(Main_M[[#This Row],[P/FCF]]-VLOOKUP(Main_M[[#This Row],[Industry]], Mean_PFCF_M, 2, FALSE))/(VLOOKUP(Main_M[[#This Row],[Industry]], Mean_PFCF_M, 3, FALSE))</f>
        <v>0.86107596008982323</v>
      </c>
      <c r="P158" s="1">
        <f>(Main_M[[#This Row],[P/B]]-VLOOKUP(Main_M[[#This Row],[Industry]], Mean_PB_M, 2, FALSE))/(VLOOKUP(Main_M[[#This Row],[Industry]], Mean_PB_M, 3, FALSE))</f>
        <v>-0.45910555848144036</v>
      </c>
      <c r="Q158" s="1">
        <f>(Main_M[[#This Row],[ROE]]-VLOOKUP(Main_M[[#This Row],[Industry]], Mean_ROE_M, 2, FALSE))/(VLOOKUP(Main_M[[#This Row],[Industry]], Mean_ROE_M, 3, FALSE))</f>
        <v>-0.1997986425603199</v>
      </c>
      <c r="R158" s="1">
        <f>(Main_M[[#This Row],[ROA]]-VLOOKUP(Main_M[[#This Row],[Industry]], Mean_ROA_M, 2, FALSE))/(VLOOKUP(Main_M[[#This Row],[Industry]], Mean_ROA_M, 3, FALSE))</f>
        <v>-8.0329607150696189E-2</v>
      </c>
      <c r="S158" s="1">
        <f>(Main_M[[#This Row],[A/E]]-VLOOKUP(Main_M[[#This Row],[Industry]], Mean_AE_M, 2, FALSE))/(VLOOKUP(Main_M[[#This Row],[Industry]], Mean_AE_M, 3, FALSE))</f>
        <v>-0.10378642567462293</v>
      </c>
      <c r="T158" s="1">
        <f>(Main_M[[#This Row],[P/E]]-VLOOKUP(Main_M[[#This Row],[Industry]], Mean_PE_M, 2, FALSE))/(VLOOKUP(Main_M[[#This Row],[Industry]], Mean_PE_M, 3, FALSE))</f>
        <v>-0.34356956655022458</v>
      </c>
      <c r="U1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9" spans="1:26" x14ac:dyDescent="0.25">
      <c r="A159" s="68" t="s">
        <v>215</v>
      </c>
      <c r="B159" s="68" t="s">
        <v>410</v>
      </c>
      <c r="C159" s="2">
        <v>2238</v>
      </c>
      <c r="D159">
        <f>RTD("tos.rtd", , "LAST", Main_M[[#This Row],[Symbol]])</f>
        <v>32.6</v>
      </c>
      <c r="E159">
        <v>-0.28999999999999998</v>
      </c>
      <c r="F159">
        <v>8.16</v>
      </c>
      <c r="G159">
        <v>-2.85</v>
      </c>
      <c r="H159" s="1">
        <f>IF(ISNUMBER(Main_M[[#This Row],[Free CF]]),IF(Main_M[[#This Row],[Free CF]]&lt;&gt;0,Main_M[[#This Row],[Current Price]]/Main_M[[#This Row],[Free CF]],""),"")</f>
        <v>-112.41379310344828</v>
      </c>
      <c r="I159" s="1">
        <f>IF(ISNUMBER(Main_M[[#This Row],[BVPS]]),IF(Main_M[[#This Row],[BVPS]]&lt;&gt;0,Main_M[[#This Row],[Current Price]]/Main_M[[#This Row],[BVPS]],""),"")</f>
        <v>3.9950980392156863</v>
      </c>
      <c r="J159">
        <v>-31.05</v>
      </c>
      <c r="K159">
        <v>-7.1</v>
      </c>
      <c r="L159">
        <v>3.12</v>
      </c>
      <c r="M159" s="1">
        <f>IF(ISNUMBER(Main_M[[#This Row],[EPS]]),IF(Main_M[[#This Row],[EPS]]&lt;&gt;0,Main_M[[#This Row],[Current Price]]/Main_M[[#This Row],[EPS]],""),"")</f>
        <v>-11.43859649122807</v>
      </c>
      <c r="N1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9" s="1">
        <f>(Main_M[[#This Row],[P/FCF]]-VLOOKUP(Main_M[[#This Row],[Industry]], Mean_PFCF_M, 2, FALSE))/(VLOOKUP(Main_M[[#This Row],[Industry]], Mean_PFCF_M, 3, FALSE))</f>
        <v>-23.68916125931268</v>
      </c>
      <c r="P159" s="1">
        <f>(Main_M[[#This Row],[P/B]]-VLOOKUP(Main_M[[#This Row],[Industry]], Mean_PB_M, 2, FALSE))/(VLOOKUP(Main_M[[#This Row],[Industry]], Mean_PB_M, 3, FALSE))</f>
        <v>1.3062718208489668</v>
      </c>
      <c r="Q159" s="1">
        <f>(Main_M[[#This Row],[ROE]]-VLOOKUP(Main_M[[#This Row],[Industry]], Mean_ROE_M, 2, FALSE))/(VLOOKUP(Main_M[[#This Row],[Industry]], Mean_ROE_M, 3, FALSE))</f>
        <v>-4.5074670224441062</v>
      </c>
      <c r="R159" s="1">
        <f>(Main_M[[#This Row],[ROA]]-VLOOKUP(Main_M[[#This Row],[Industry]], Mean_ROA_M, 2, FALSE))/(VLOOKUP(Main_M[[#This Row],[Industry]], Mean_ROA_M, 3, FALSE))</f>
        <v>-7.0178865883471646</v>
      </c>
      <c r="S159" s="1">
        <f>(Main_M[[#This Row],[A/E]]-VLOOKUP(Main_M[[#This Row],[Industry]], Mean_AE_M, 2, FALSE))/(VLOOKUP(Main_M[[#This Row],[Industry]], Mean_AE_M, 3, FALSE))</f>
        <v>-0.8588517977202218</v>
      </c>
      <c r="T159" s="1">
        <f>(Main_M[[#This Row],[P/E]]-VLOOKUP(Main_M[[#This Row],[Industry]], Mean_PE_M, 2, FALSE))/(VLOOKUP(Main_M[[#This Row],[Industry]], Mean_PE_M, 3, FALSE))</f>
        <v>-3.2879479894443078</v>
      </c>
      <c r="U1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0" spans="1:26" x14ac:dyDescent="0.25">
      <c r="A160" s="68" t="s">
        <v>215</v>
      </c>
      <c r="B160" s="68" t="s">
        <v>411</v>
      </c>
      <c r="C160" s="2">
        <v>3156</v>
      </c>
      <c r="D160">
        <f>RTD("tos.rtd", , "LAST", Main_M[[#This Row],[Symbol]])</f>
        <v>62</v>
      </c>
      <c r="E160">
        <v>17.899999999999999</v>
      </c>
      <c r="F160">
        <v>35.14</v>
      </c>
      <c r="G160">
        <v>8.4499999999999993</v>
      </c>
      <c r="H160" s="1">
        <f>IF(ISNUMBER(Main_M[[#This Row],[Free CF]]),IF(Main_M[[#This Row],[Free CF]]&lt;&gt;0,Main_M[[#This Row],[Current Price]]/Main_M[[#This Row],[Free CF]],""),"")</f>
        <v>3.4636871508379889</v>
      </c>
      <c r="I160" s="1">
        <f>IF(ISNUMBER(Main_M[[#This Row],[BVPS]]),IF(Main_M[[#This Row],[BVPS]]&lt;&gt;0,Main_M[[#This Row],[Current Price]]/Main_M[[#This Row],[BVPS]],""),"")</f>
        <v>1.7643710870802505</v>
      </c>
      <c r="J160">
        <v>26.78</v>
      </c>
      <c r="K160">
        <v>4.91</v>
      </c>
      <c r="L160">
        <v>4.2699999999999996</v>
      </c>
      <c r="M160" s="1">
        <f>IF(ISNUMBER(Main_M[[#This Row],[EPS]]),IF(Main_M[[#This Row],[EPS]]&lt;&gt;0,Main_M[[#This Row],[Current Price]]/Main_M[[#This Row],[EPS]],""),"")</f>
        <v>7.3372781065088768</v>
      </c>
      <c r="N1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0" s="1">
        <f>(Main_M[[#This Row],[P/FCF]]-VLOOKUP(Main_M[[#This Row],[Industry]], Mean_PFCF_M, 2, FALSE))/(VLOOKUP(Main_M[[#This Row],[Industry]], Mean_PFCF_M, 3, FALSE))</f>
        <v>-0.94005428196195895</v>
      </c>
      <c r="P160" s="1">
        <f>(Main_M[[#This Row],[P/B]]-VLOOKUP(Main_M[[#This Row],[Industry]], Mean_PB_M, 2, FALSE))/(VLOOKUP(Main_M[[#This Row],[Industry]], Mean_PB_M, 3, FALSE))</f>
        <v>-0.26398447697426497</v>
      </c>
      <c r="Q160" s="1">
        <f>(Main_M[[#This Row],[ROE]]-VLOOKUP(Main_M[[#This Row],[Industry]], Mean_ROE_M, 2, FALSE))/(VLOOKUP(Main_M[[#This Row],[Industry]], Mean_ROE_M, 3, FALSE))</f>
        <v>1.3034138361674954</v>
      </c>
      <c r="R160" s="1">
        <f>(Main_M[[#This Row],[ROA]]-VLOOKUP(Main_M[[#This Row],[Industry]], Mean_ROA_M, 2, FALSE))/(VLOOKUP(Main_M[[#This Row],[Industry]], Mean_ROA_M, 3, FALSE))</f>
        <v>1.7526459741970026</v>
      </c>
      <c r="S160" s="1">
        <f>(Main_M[[#This Row],[A/E]]-VLOOKUP(Main_M[[#This Row],[Industry]], Mean_AE_M, 2, FALSE))/(VLOOKUP(Main_M[[#This Row],[Industry]], Mean_AE_M, 3, FALSE))</f>
        <v>-0.24301833825040747</v>
      </c>
      <c r="T160" s="1">
        <f>(Main_M[[#This Row],[P/E]]-VLOOKUP(Main_M[[#This Row],[Industry]], Mean_PE_M, 2, FALSE))/(VLOOKUP(Main_M[[#This Row],[Industry]], Mean_PE_M, 3, FALSE))</f>
        <v>-1.0469222155746674</v>
      </c>
      <c r="U1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1" spans="1:26" x14ac:dyDescent="0.25">
      <c r="A161" s="68" t="s">
        <v>215</v>
      </c>
      <c r="B161" s="68" t="s">
        <v>412</v>
      </c>
      <c r="C161" s="2">
        <v>9414</v>
      </c>
      <c r="D161">
        <f>RTD("tos.rtd", , "LAST", Main_M[[#This Row],[Symbol]])</f>
        <v>37.700000000000003</v>
      </c>
      <c r="E161">
        <v>5.2</v>
      </c>
      <c r="F161">
        <v>24.27</v>
      </c>
      <c r="G161">
        <v>3.04</v>
      </c>
      <c r="H161" s="1">
        <f>IF(ISNUMBER(Main_M[[#This Row],[Free CF]]),IF(Main_M[[#This Row],[Free CF]]&lt;&gt;0,Main_M[[#This Row],[Current Price]]/Main_M[[#This Row],[Free CF]],""),"")</f>
        <v>7.25</v>
      </c>
      <c r="I161" s="1">
        <f>IF(ISNUMBER(Main_M[[#This Row],[BVPS]]),IF(Main_M[[#This Row],[BVPS]]&lt;&gt;0,Main_M[[#This Row],[Current Price]]/Main_M[[#This Row],[BVPS]],""),"")</f>
        <v>1.5533580552121962</v>
      </c>
      <c r="J161">
        <v>12.67</v>
      </c>
      <c r="K161">
        <v>2.4</v>
      </c>
      <c r="L161">
        <v>4.74</v>
      </c>
      <c r="M161" s="1">
        <f>IF(ISNUMBER(Main_M[[#This Row],[EPS]]),IF(Main_M[[#This Row],[EPS]]&lt;&gt;0,Main_M[[#This Row],[Current Price]]/Main_M[[#This Row],[EPS]],""),"")</f>
        <v>12.401315789473685</v>
      </c>
      <c r="N1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1" s="1">
        <f>(Main_M[[#This Row],[P/FCF]]-VLOOKUP(Main_M[[#This Row],[Industry]], Mean_PFCF_M, 2, FALSE))/(VLOOKUP(Main_M[[#This Row],[Industry]], Mean_PFCF_M, 3, FALSE))</f>
        <v>-0.19672403465000923</v>
      </c>
      <c r="P161" s="1">
        <f>(Main_M[[#This Row],[P/B]]-VLOOKUP(Main_M[[#This Row],[Industry]], Mean_PB_M, 2, FALSE))/(VLOOKUP(Main_M[[#This Row],[Industry]], Mean_PB_M, 3, FALSE))</f>
        <v>-0.41252105241501813</v>
      </c>
      <c r="Q161" s="1">
        <f>(Main_M[[#This Row],[ROE]]-VLOOKUP(Main_M[[#This Row],[Industry]], Mean_ROE_M, 2, FALSE))/(VLOOKUP(Main_M[[#This Row],[Industry]], Mean_ROE_M, 3, FALSE))</f>
        <v>-0.11438884263260317</v>
      </c>
      <c r="R161" s="1">
        <f>(Main_M[[#This Row],[ROA]]-VLOOKUP(Main_M[[#This Row],[Industry]], Mean_ROA_M, 2, FALSE))/(VLOOKUP(Main_M[[#This Row],[Industry]], Mean_ROA_M, 3, FALSE))</f>
        <v>-8.0329607150696189E-2</v>
      </c>
      <c r="S161" s="1">
        <f>(Main_M[[#This Row],[A/E]]-VLOOKUP(Main_M[[#This Row],[Industry]], Mean_AE_M, 2, FALSE))/(VLOOKUP(Main_M[[#This Row],[Industry]], Mean_AE_M, 3, FALSE))</f>
        <v>8.6701190981258187E-3</v>
      </c>
      <c r="T161" s="1">
        <f>(Main_M[[#This Row],[P/E]]-VLOOKUP(Main_M[[#This Row],[Industry]], Mean_PE_M, 2, FALSE))/(VLOOKUP(Main_M[[#This Row],[Industry]], Mean_PE_M, 3, FALSE))</f>
        <v>-0.4424955664565976</v>
      </c>
      <c r="U1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2" spans="1:26" x14ac:dyDescent="0.25">
      <c r="A162" s="68" t="s">
        <v>215</v>
      </c>
      <c r="B162" s="68" t="s">
        <v>413</v>
      </c>
      <c r="C162" s="2">
        <v>4192</v>
      </c>
      <c r="D162">
        <f>RTD("tos.rtd", , "LAST", Main_M[[#This Row],[Symbol]])</f>
        <v>155.68</v>
      </c>
      <c r="E162">
        <v>9.9</v>
      </c>
      <c r="F162">
        <v>29.57</v>
      </c>
      <c r="G162">
        <v>5.0199999999999996</v>
      </c>
      <c r="H162" s="1">
        <f>IF(ISNUMBER(Main_M[[#This Row],[Free CF]]),IF(Main_M[[#This Row],[Free CF]]&lt;&gt;0,Main_M[[#This Row],[Current Price]]/Main_M[[#This Row],[Free CF]],""),"")</f>
        <v>15.725252525252525</v>
      </c>
      <c r="I162" s="1">
        <f>IF(ISNUMBER(Main_M[[#This Row],[BVPS]]),IF(Main_M[[#This Row],[BVPS]]&lt;&gt;0,Main_M[[#This Row],[Current Price]]/Main_M[[#This Row],[BVPS]],""),"")</f>
        <v>5.2647954007439974</v>
      </c>
      <c r="J162">
        <v>20.76</v>
      </c>
      <c r="K162">
        <v>4.96</v>
      </c>
      <c r="L162">
        <v>3.07</v>
      </c>
      <c r="M162" s="1">
        <f>IF(ISNUMBER(Main_M[[#This Row],[EPS]]),IF(Main_M[[#This Row],[EPS]]&lt;&gt;0,Main_M[[#This Row],[Current Price]]/Main_M[[#This Row],[EPS]],""),"")</f>
        <v>31.011952191235064</v>
      </c>
      <c r="N1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2" s="1">
        <f>(Main_M[[#This Row],[P/FCF]]-VLOOKUP(Main_M[[#This Row],[Industry]], Mean_PFCF_M, 2, FALSE))/(VLOOKUP(Main_M[[#This Row],[Industry]], Mean_PFCF_M, 3, FALSE))</f>
        <v>1.4671404706355187</v>
      </c>
      <c r="P162" s="1">
        <f>(Main_M[[#This Row],[P/B]]-VLOOKUP(Main_M[[#This Row],[Industry]], Mean_PB_M, 2, FALSE))/(VLOOKUP(Main_M[[#This Row],[Industry]], Mean_PB_M, 3, FALSE))</f>
        <v>2.2000388847026531</v>
      </c>
      <c r="Q162" s="1">
        <f>(Main_M[[#This Row],[ROE]]-VLOOKUP(Main_M[[#This Row],[Industry]], Mean_ROE_M, 2, FALSE))/(VLOOKUP(Main_M[[#This Row],[Industry]], Mean_ROE_M, 3, FALSE))</f>
        <v>0.69851148844413669</v>
      </c>
      <c r="R162" s="1">
        <f>(Main_M[[#This Row],[ROA]]-VLOOKUP(Main_M[[#This Row],[Industry]], Mean_ROA_M, 2, FALSE))/(VLOOKUP(Main_M[[#This Row],[Industry]], Mean_ROA_M, 3, FALSE))</f>
        <v>1.7891594319927735</v>
      </c>
      <c r="S162" s="1">
        <f>(Main_M[[#This Row],[A/E]]-VLOOKUP(Main_M[[#This Row],[Industry]], Mean_AE_M, 2, FALSE))/(VLOOKUP(Main_M[[#This Row],[Industry]], Mean_AE_M, 3, FALSE))</f>
        <v>-0.88562716552325738</v>
      </c>
      <c r="T162" s="1">
        <f>(Main_M[[#This Row],[P/E]]-VLOOKUP(Main_M[[#This Row],[Industry]], Mean_PE_M, 2, FALSE))/(VLOOKUP(Main_M[[#This Row],[Industry]], Mean_PE_M, 3, FALSE))</f>
        <v>1.7788079274158379</v>
      </c>
      <c r="U1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3" spans="1:26" x14ac:dyDescent="0.25">
      <c r="A163" s="68" t="s">
        <v>215</v>
      </c>
      <c r="B163" s="68" t="s">
        <v>414</v>
      </c>
      <c r="C163" s="2">
        <v>6788</v>
      </c>
      <c r="D163">
        <f>RTD("tos.rtd", , "LAST", Main_M[[#This Row],[Symbol]])</f>
        <v>74.36</v>
      </c>
      <c r="E163">
        <v>6.42</v>
      </c>
      <c r="F163">
        <v>17.48</v>
      </c>
      <c r="G163">
        <v>3.03</v>
      </c>
      <c r="H163" s="1">
        <f>IF(ISNUMBER(Main_M[[#This Row],[Free CF]]),IF(Main_M[[#This Row],[Free CF]]&lt;&gt;0,Main_M[[#This Row],[Current Price]]/Main_M[[#This Row],[Free CF]],""),"")</f>
        <v>11.582554517133957</v>
      </c>
      <c r="I163" s="1">
        <f>IF(ISNUMBER(Main_M[[#This Row],[BVPS]]),IF(Main_M[[#This Row],[BVPS]]&lt;&gt;0,Main_M[[#This Row],[Current Price]]/Main_M[[#This Row],[BVPS]],""),"")</f>
        <v>4.2540045766590389</v>
      </c>
      <c r="J163">
        <v>17.989999999999998</v>
      </c>
      <c r="K163">
        <v>4.05</v>
      </c>
      <c r="L163">
        <v>3.57</v>
      </c>
      <c r="M163" s="1">
        <f>IF(ISNUMBER(Main_M[[#This Row],[EPS]]),IF(Main_M[[#This Row],[EPS]]&lt;&gt;0,Main_M[[#This Row],[Current Price]]/Main_M[[#This Row],[EPS]],""),"")</f>
        <v>24.541254125412543</v>
      </c>
      <c r="N1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3" s="1">
        <f>(Main_M[[#This Row],[P/FCF]]-VLOOKUP(Main_M[[#This Row],[Industry]], Mean_PFCF_M, 2, FALSE))/(VLOOKUP(Main_M[[#This Row],[Industry]], Mean_PFCF_M, 3, FALSE))</f>
        <v>0.65384456573029393</v>
      </c>
      <c r="P163" s="1">
        <f>(Main_M[[#This Row],[P/B]]-VLOOKUP(Main_M[[#This Row],[Industry]], Mean_PB_M, 2, FALSE))/(VLOOKUP(Main_M[[#This Row],[Industry]], Mean_PB_M, 3, FALSE))</f>
        <v>1.4885216567505986</v>
      </c>
      <c r="Q163" s="1">
        <f>(Main_M[[#This Row],[ROE]]-VLOOKUP(Main_M[[#This Row],[Industry]], Mean_ROE_M, 2, FALSE))/(VLOOKUP(Main_M[[#This Row],[Industry]], Mean_ROE_M, 3, FALSE))</f>
        <v>0.42017602279734168</v>
      </c>
      <c r="R163" s="1">
        <f>(Main_M[[#This Row],[ROA]]-VLOOKUP(Main_M[[#This Row],[Industry]], Mean_ROA_M, 2, FALSE))/(VLOOKUP(Main_M[[#This Row],[Industry]], Mean_ROA_M, 3, FALSE))</f>
        <v>1.1246145001097432</v>
      </c>
      <c r="S163" s="1">
        <f>(Main_M[[#This Row],[A/E]]-VLOOKUP(Main_M[[#This Row],[Industry]], Mean_AE_M, 2, FALSE))/(VLOOKUP(Main_M[[#This Row],[Industry]], Mean_AE_M, 3, FALSE))</f>
        <v>-0.61787348749290316</v>
      </c>
      <c r="T163" s="1">
        <f>(Main_M[[#This Row],[P/E]]-VLOOKUP(Main_M[[#This Row],[Industry]], Mean_PE_M, 2, FALSE))/(VLOOKUP(Main_M[[#This Row],[Industry]], Mean_PE_M, 3, FALSE))</f>
        <v>1.0064869862552859</v>
      </c>
      <c r="U1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4" spans="1:26" x14ac:dyDescent="0.25">
      <c r="A164" s="68" t="s">
        <v>215</v>
      </c>
      <c r="B164" s="68" t="s">
        <v>415</v>
      </c>
      <c r="C164" s="2">
        <v>2150</v>
      </c>
      <c r="D164">
        <f>RTD("tos.rtd", , "LAST", Main_M[[#This Row],[Symbol]])</f>
        <v>150.24</v>
      </c>
      <c r="E164">
        <v>12.34</v>
      </c>
      <c r="F164">
        <v>13.49</v>
      </c>
      <c r="G164">
        <v>1.83</v>
      </c>
      <c r="H164" s="1">
        <f>IF(ISNUMBER(Main_M[[#This Row],[Free CF]]),IF(Main_M[[#This Row],[Free CF]]&lt;&gt;0,Main_M[[#This Row],[Current Price]]/Main_M[[#This Row],[Free CF]],""),"")</f>
        <v>12.175040518638575</v>
      </c>
      <c r="I164" s="1">
        <f>IF(ISNUMBER(Main_M[[#This Row],[BVPS]]),IF(Main_M[[#This Row],[BVPS]]&lt;&gt;0,Main_M[[#This Row],[Current Price]]/Main_M[[#This Row],[BVPS]],""),"")</f>
        <v>11.13713862120089</v>
      </c>
      <c r="J164">
        <v>10.42</v>
      </c>
      <c r="K164">
        <v>3.46</v>
      </c>
      <c r="L164">
        <v>7.34</v>
      </c>
      <c r="M164" s="1">
        <f>IF(ISNUMBER(Main_M[[#This Row],[EPS]]),IF(Main_M[[#This Row],[EPS]]&lt;&gt;0,Main_M[[#This Row],[Current Price]]/Main_M[[#This Row],[EPS]],""),"")</f>
        <v>82.098360655737707</v>
      </c>
      <c r="N1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4" s="1">
        <f>(Main_M[[#This Row],[P/FCF]]-VLOOKUP(Main_M[[#This Row],[Industry]], Mean_PFCF_M, 2, FALSE))/(VLOOKUP(Main_M[[#This Row],[Industry]], Mean_PFCF_M, 3, FALSE))</f>
        <v>0.77016162234244578</v>
      </c>
      <c r="P164" s="1">
        <f>(Main_M[[#This Row],[P/B]]-VLOOKUP(Main_M[[#This Row],[Industry]], Mean_PB_M, 2, FALSE))/(VLOOKUP(Main_M[[#This Row],[Industry]], Mean_PB_M, 3, FALSE))</f>
        <v>6.3337065736480938</v>
      </c>
      <c r="Q164" s="1">
        <f>(Main_M[[#This Row],[ROE]]-VLOOKUP(Main_M[[#This Row],[Industry]], Mean_ROE_M, 2, FALSE))/(VLOOKUP(Main_M[[#This Row],[Industry]], Mean_ROE_M, 3, FALSE))</f>
        <v>-0.34047360714714758</v>
      </c>
      <c r="R164" s="1">
        <f>(Main_M[[#This Row],[ROA]]-VLOOKUP(Main_M[[#This Row],[Industry]], Mean_ROA_M, 2, FALSE))/(VLOOKUP(Main_M[[#This Row],[Industry]], Mean_ROA_M, 3, FALSE))</f>
        <v>0.69375569811964677</v>
      </c>
      <c r="S164" s="1">
        <f>(Main_M[[#This Row],[A/E]]-VLOOKUP(Main_M[[#This Row],[Industry]], Mean_AE_M, 2, FALSE))/(VLOOKUP(Main_M[[#This Row],[Industry]], Mean_AE_M, 3, FALSE))</f>
        <v>1.4009892448559675</v>
      </c>
      <c r="T164" s="1">
        <f>(Main_M[[#This Row],[P/E]]-VLOOKUP(Main_M[[#This Row],[Industry]], Mean_PE_M, 2, FALSE))/(VLOOKUP(Main_M[[#This Row],[Industry]], Mean_PE_M, 3, FALSE))</f>
        <v>7.8763112670036275</v>
      </c>
      <c r="U1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5" spans="1:26" x14ac:dyDescent="0.25">
      <c r="A165" s="68" t="s">
        <v>215</v>
      </c>
      <c r="B165" s="68" t="s">
        <v>416</v>
      </c>
      <c r="C165" s="2">
        <v>5451</v>
      </c>
      <c r="D165">
        <f>RTD("tos.rtd", , "LAST", Main_M[[#This Row],[Symbol]])</f>
        <v>88.97</v>
      </c>
      <c r="E165">
        <v>20.09</v>
      </c>
      <c r="F165">
        <v>50.33</v>
      </c>
      <c r="G165">
        <v>3.68</v>
      </c>
      <c r="H165" s="1">
        <f>IF(ISNUMBER(Main_M[[#This Row],[Free CF]]),IF(Main_M[[#This Row],[Free CF]]&lt;&gt;0,Main_M[[#This Row],[Current Price]]/Main_M[[#This Row],[Free CF]],""),"")</f>
        <v>4.4285714285714288</v>
      </c>
      <c r="I165" s="1">
        <f>IF(ISNUMBER(Main_M[[#This Row],[BVPS]]),IF(Main_M[[#This Row],[BVPS]]&lt;&gt;0,Main_M[[#This Row],[Current Price]]/Main_M[[#This Row],[BVPS]],""),"")</f>
        <v>1.7677329624478442</v>
      </c>
      <c r="J165">
        <v>7.48</v>
      </c>
      <c r="K165">
        <v>1.71</v>
      </c>
      <c r="L165">
        <v>4.6399999999999997</v>
      </c>
      <c r="M165" s="1">
        <f>IF(ISNUMBER(Main_M[[#This Row],[EPS]]),IF(Main_M[[#This Row],[EPS]]&lt;&gt;0,Main_M[[#This Row],[Current Price]]/Main_M[[#This Row],[EPS]],""),"")</f>
        <v>24.176630434782606</v>
      </c>
      <c r="N1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5" s="1">
        <f>(Main_M[[#This Row],[P/FCF]]-VLOOKUP(Main_M[[#This Row],[Industry]], Mean_PFCF_M, 2, FALSE))/(VLOOKUP(Main_M[[#This Row],[Industry]], Mean_PFCF_M, 3, FALSE))</f>
        <v>-0.75062786703859974</v>
      </c>
      <c r="P165" s="1">
        <f>(Main_M[[#This Row],[P/B]]-VLOOKUP(Main_M[[#This Row],[Industry]], Mean_PB_M, 2, FALSE))/(VLOOKUP(Main_M[[#This Row],[Industry]], Mean_PB_M, 3, FALSE))</f>
        <v>-0.26161798117189555</v>
      </c>
      <c r="Q165" s="1">
        <f>(Main_M[[#This Row],[ROE]]-VLOOKUP(Main_M[[#This Row],[Industry]], Mean_ROE_M, 2, FALSE))/(VLOOKUP(Main_M[[#This Row],[Industry]], Mean_ROE_M, 3, FALSE))</f>
        <v>-0.63589103277948555</v>
      </c>
      <c r="R165" s="1">
        <f>(Main_M[[#This Row],[ROA]]-VLOOKUP(Main_M[[#This Row],[Industry]], Mean_ROA_M, 2, FALSE))/(VLOOKUP(Main_M[[#This Row],[Industry]], Mean_ROA_M, 3, FALSE))</f>
        <v>-0.5842153247323344</v>
      </c>
      <c r="S165" s="1">
        <f>(Main_M[[#This Row],[A/E]]-VLOOKUP(Main_M[[#This Row],[Industry]], Mean_AE_M, 2, FALSE))/(VLOOKUP(Main_M[[#This Row],[Industry]], Mean_AE_M, 3, FALSE))</f>
        <v>-4.4880616507945309E-2</v>
      </c>
      <c r="T165" s="1">
        <f>(Main_M[[#This Row],[P/E]]-VLOOKUP(Main_M[[#This Row],[Industry]], Mean_PE_M, 2, FALSE))/(VLOOKUP(Main_M[[#This Row],[Industry]], Mean_PE_M, 3, FALSE))</f>
        <v>0.96296671857286065</v>
      </c>
      <c r="U1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6" spans="1:26" x14ac:dyDescent="0.25">
      <c r="A166" s="68" t="s">
        <v>215</v>
      </c>
      <c r="B166" s="68" t="s">
        <v>417</v>
      </c>
      <c r="C166" s="2">
        <v>2378</v>
      </c>
      <c r="D166">
        <f>RTD("tos.rtd", , "LAST", Main_M[[#This Row],[Symbol]])</f>
        <v>59.75</v>
      </c>
      <c r="E166">
        <v>7.51</v>
      </c>
      <c r="F166">
        <v>21.06</v>
      </c>
      <c r="G166">
        <v>2.98</v>
      </c>
      <c r="H166" s="1">
        <f>IF(ISNUMBER(Main_M[[#This Row],[Free CF]]),IF(Main_M[[#This Row],[Free CF]]&lt;&gt;0,Main_M[[#This Row],[Current Price]]/Main_M[[#This Row],[Free CF]],""),"")</f>
        <v>7.9560585885486024</v>
      </c>
      <c r="I166" s="1">
        <f>IF(ISNUMBER(Main_M[[#This Row],[BVPS]]),IF(Main_M[[#This Row],[BVPS]]&lt;&gt;0,Main_M[[#This Row],[Current Price]]/Main_M[[#This Row],[BVPS]],""),"")</f>
        <v>2.8371320037986707</v>
      </c>
      <c r="J166">
        <v>16.09</v>
      </c>
      <c r="K166">
        <v>2.87</v>
      </c>
      <c r="L166">
        <v>4.74</v>
      </c>
      <c r="M166" s="1">
        <f>IF(ISNUMBER(Main_M[[#This Row],[EPS]]),IF(Main_M[[#This Row],[EPS]]&lt;&gt;0,Main_M[[#This Row],[Current Price]]/Main_M[[#This Row],[EPS]],""),"")</f>
        <v>20.050335570469798</v>
      </c>
      <c r="N1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6" s="1">
        <f>(Main_M[[#This Row],[P/FCF]]-VLOOKUP(Main_M[[#This Row],[Industry]], Mean_PFCF_M, 2, FALSE))/(VLOOKUP(Main_M[[#This Row],[Industry]], Mean_PFCF_M, 3, FALSE))</f>
        <v>-5.8110368492254851E-2</v>
      </c>
      <c r="P166" s="1">
        <f>(Main_M[[#This Row],[P/B]]-VLOOKUP(Main_M[[#This Row],[Industry]], Mean_PB_M, 2, FALSE))/(VLOOKUP(Main_M[[#This Row],[Industry]], Mean_PB_M, 3, FALSE))</f>
        <v>0.49115482141596212</v>
      </c>
      <c r="Q166" s="1">
        <f>(Main_M[[#This Row],[ROE]]-VLOOKUP(Main_M[[#This Row],[Industry]], Mean_ROE_M, 2, FALSE))/(VLOOKUP(Main_M[[#This Row],[Industry]], Mean_ROE_M, 3, FALSE))</f>
        <v>0.22925999942950434</v>
      </c>
      <c r="R166" s="1">
        <f>(Main_M[[#This Row],[ROA]]-VLOOKUP(Main_M[[#This Row],[Industry]], Mean_ROA_M, 2, FALSE))/(VLOOKUP(Main_M[[#This Row],[Industry]], Mean_ROA_M, 3, FALSE))</f>
        <v>0.26289689612955031</v>
      </c>
      <c r="S166" s="1">
        <f>(Main_M[[#This Row],[A/E]]-VLOOKUP(Main_M[[#This Row],[Industry]], Mean_AE_M, 2, FALSE))/(VLOOKUP(Main_M[[#This Row],[Industry]], Mean_AE_M, 3, FALSE))</f>
        <v>8.6701190981258187E-3</v>
      </c>
      <c r="T166" s="1">
        <f>(Main_M[[#This Row],[P/E]]-VLOOKUP(Main_M[[#This Row],[Industry]], Mean_PE_M, 2, FALSE))/(VLOOKUP(Main_M[[#This Row],[Industry]], Mean_PE_M, 3, FALSE))</f>
        <v>0.47046592488810274</v>
      </c>
      <c r="U1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7" spans="1:26" x14ac:dyDescent="0.25">
      <c r="A167" s="68" t="s">
        <v>215</v>
      </c>
      <c r="B167" s="68" t="s">
        <v>418</v>
      </c>
      <c r="C167" s="2">
        <v>5998</v>
      </c>
      <c r="D167">
        <f>RTD("tos.rtd", , "LAST", Main_M[[#This Row],[Symbol]])</f>
        <v>166.22</v>
      </c>
      <c r="E167">
        <v>21.62</v>
      </c>
      <c r="F167">
        <v>84.57</v>
      </c>
      <c r="G167">
        <v>12</v>
      </c>
      <c r="H167" s="1">
        <f>IF(ISNUMBER(Main_M[[#This Row],[Free CF]]),IF(Main_M[[#This Row],[Free CF]]&lt;&gt;0,Main_M[[#This Row],[Current Price]]/Main_M[[#This Row],[Free CF]],""),"")</f>
        <v>7.6882516188714147</v>
      </c>
      <c r="I167" s="1">
        <f>IF(ISNUMBER(Main_M[[#This Row],[BVPS]]),IF(Main_M[[#This Row],[BVPS]]&lt;&gt;0,Main_M[[#This Row],[Current Price]]/Main_M[[#This Row],[BVPS]],""),"")</f>
        <v>1.9654723897363133</v>
      </c>
      <c r="J167">
        <v>15.74</v>
      </c>
      <c r="K167">
        <v>2.44</v>
      </c>
      <c r="L167">
        <v>5.08</v>
      </c>
      <c r="M167" s="1">
        <f>IF(ISNUMBER(Main_M[[#This Row],[EPS]]),IF(Main_M[[#This Row],[EPS]]&lt;&gt;0,Main_M[[#This Row],[Current Price]]/Main_M[[#This Row],[EPS]],""),"")</f>
        <v>13.851666666666667</v>
      </c>
      <c r="N1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7" s="1">
        <f>(Main_M[[#This Row],[P/FCF]]-VLOOKUP(Main_M[[#This Row],[Industry]], Mean_PFCF_M, 2, FALSE))/(VLOOKUP(Main_M[[#This Row],[Industry]], Mean_PFCF_M, 3, FALSE))</f>
        <v>-0.11068632534855789</v>
      </c>
      <c r="P167" s="1">
        <f>(Main_M[[#This Row],[P/B]]-VLOOKUP(Main_M[[#This Row],[Industry]], Mean_PB_M, 2, FALSE))/(VLOOKUP(Main_M[[#This Row],[Industry]], Mean_PB_M, 3, FALSE))</f>
        <v>-0.12242497920881802</v>
      </c>
      <c r="Q167" s="1">
        <f>(Main_M[[#This Row],[ROE]]-VLOOKUP(Main_M[[#This Row],[Industry]], Mean_ROE_M, 2, FALSE))/(VLOOKUP(Main_M[[#This Row],[Industry]], Mean_ROE_M, 3, FALSE))</f>
        <v>0.19409125828279747</v>
      </c>
      <c r="R167" s="1">
        <f>(Main_M[[#This Row],[ROA]]-VLOOKUP(Main_M[[#This Row],[Industry]], Mean_ROA_M, 2, FALSE))/(VLOOKUP(Main_M[[#This Row],[Industry]], Mean_ROA_M, 3, FALSE))</f>
        <v>-5.1118840914079457E-2</v>
      </c>
      <c r="S167" s="1">
        <f>(Main_M[[#This Row],[A/E]]-VLOOKUP(Main_M[[#This Row],[Industry]], Mean_AE_M, 2, FALSE))/(VLOOKUP(Main_M[[#This Row],[Industry]], Mean_AE_M, 3, FALSE))</f>
        <v>0.19074262015876658</v>
      </c>
      <c r="T167" s="1">
        <f>(Main_M[[#This Row],[P/E]]-VLOOKUP(Main_M[[#This Row],[Industry]], Mean_PE_M, 2, FALSE))/(VLOOKUP(Main_M[[#This Row],[Industry]], Mean_PE_M, 3, FALSE))</f>
        <v>-0.26938652271939306</v>
      </c>
      <c r="U1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8" spans="1:26" x14ac:dyDescent="0.25">
      <c r="A168" s="68" t="s">
        <v>215</v>
      </c>
      <c r="B168" s="68" t="s">
        <v>419</v>
      </c>
      <c r="C168" s="2">
        <v>4597</v>
      </c>
      <c r="D168">
        <f>RTD("tos.rtd", , "LAST", Main_M[[#This Row],[Symbol]])</f>
        <v>1784.12</v>
      </c>
      <c r="E168">
        <v>231.74</v>
      </c>
      <c r="F168">
        <v>1770.28</v>
      </c>
      <c r="G168">
        <v>89.79</v>
      </c>
      <c r="H168" s="1">
        <f>IF(ISNUMBER(Main_M[[#This Row],[Free CF]]),IF(Main_M[[#This Row],[Free CF]]&lt;&gt;0,Main_M[[#This Row],[Current Price]]/Main_M[[#This Row],[Free CF]],""),"")</f>
        <v>7.6988003797359106</v>
      </c>
      <c r="I168" s="1">
        <f>IF(ISNUMBER(Main_M[[#This Row],[BVPS]]),IF(Main_M[[#This Row],[BVPS]]&lt;&gt;0,Main_M[[#This Row],[Current Price]]/Main_M[[#This Row],[BVPS]],""),"")</f>
        <v>1.0078179722981675</v>
      </c>
      <c r="J168">
        <v>5.86</v>
      </c>
      <c r="K168">
        <v>3.78</v>
      </c>
      <c r="L168">
        <v>2.21</v>
      </c>
      <c r="M168" s="1">
        <f>IF(ISNUMBER(Main_M[[#This Row],[EPS]]),IF(Main_M[[#This Row],[EPS]]&lt;&gt;0,Main_M[[#This Row],[Current Price]]/Main_M[[#This Row],[EPS]],""),"")</f>
        <v>19.869918699186989</v>
      </c>
      <c r="N1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8" s="1">
        <f>(Main_M[[#This Row],[P/FCF]]-VLOOKUP(Main_M[[#This Row],[Industry]], Mean_PFCF_M, 2, FALSE))/(VLOOKUP(Main_M[[#This Row],[Industry]], Mean_PFCF_M, 3, FALSE))</f>
        <v>-0.10861538896939003</v>
      </c>
      <c r="P168" s="1">
        <f>(Main_M[[#This Row],[P/B]]-VLOOKUP(Main_M[[#This Row],[Industry]], Mean_PB_M, 2, FALSE))/(VLOOKUP(Main_M[[#This Row],[Industry]], Mean_PB_M, 3, FALSE))</f>
        <v>-0.79653835676986851</v>
      </c>
      <c r="Q168" s="1">
        <f>(Main_M[[#This Row],[ROE]]-VLOOKUP(Main_M[[#This Row],[Industry]], Mean_ROE_M, 2, FALSE))/(VLOOKUP(Main_M[[#This Row],[Industry]], Mean_ROE_M, 3, FALSE))</f>
        <v>-0.79867206322995754</v>
      </c>
      <c r="R168" s="1">
        <f>(Main_M[[#This Row],[ROA]]-VLOOKUP(Main_M[[#This Row],[Industry]], Mean_ROA_M, 2, FALSE))/(VLOOKUP(Main_M[[#This Row],[Industry]], Mean_ROA_M, 3, FALSE))</f>
        <v>0.92744182801258035</v>
      </c>
      <c r="S168" s="1">
        <f>(Main_M[[#This Row],[A/E]]-VLOOKUP(Main_M[[#This Row],[Industry]], Mean_AE_M, 2, FALSE))/(VLOOKUP(Main_M[[#This Row],[Industry]], Mean_AE_M, 3, FALSE))</f>
        <v>-1.3461634917354666</v>
      </c>
      <c r="T168" s="1">
        <f>(Main_M[[#This Row],[P/E]]-VLOOKUP(Main_M[[#This Row],[Industry]], Mean_PE_M, 2, FALSE))/(VLOOKUP(Main_M[[#This Row],[Industry]], Mean_PE_M, 3, FALSE))</f>
        <v>0.44893196882757241</v>
      </c>
      <c r="U1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9" spans="1:26" x14ac:dyDescent="0.25">
      <c r="A169" s="68" t="s">
        <v>215</v>
      </c>
      <c r="B169" s="68" t="s">
        <v>420</v>
      </c>
      <c r="C169" s="2">
        <v>4982</v>
      </c>
      <c r="D169">
        <f>RTD("tos.rtd", , "LAST", Main_M[[#This Row],[Symbol]])</f>
        <v>334.72</v>
      </c>
      <c r="E169">
        <v>51.48</v>
      </c>
      <c r="F169">
        <v>426.59</v>
      </c>
      <c r="G169">
        <v>31.2</v>
      </c>
      <c r="H169" s="1">
        <f>IF(ISNUMBER(Main_M[[#This Row],[Free CF]]),IF(Main_M[[#This Row],[Free CF]]&lt;&gt;0,Main_M[[#This Row],[Current Price]]/Main_M[[#This Row],[Free CF]],""),"")</f>
        <v>6.5019425019425032</v>
      </c>
      <c r="I169" s="1">
        <f>IF(ISNUMBER(Main_M[[#This Row],[BVPS]]),IF(Main_M[[#This Row],[BVPS]]&lt;&gt;0,Main_M[[#This Row],[Current Price]]/Main_M[[#This Row],[BVPS]],""),"")</f>
        <v>0.78464099017792266</v>
      </c>
      <c r="J169">
        <v>8.56</v>
      </c>
      <c r="K169">
        <v>2.21</v>
      </c>
      <c r="L169">
        <v>3.32</v>
      </c>
      <c r="M169" s="1">
        <f>IF(ISNUMBER(Main_M[[#This Row],[EPS]]),IF(Main_M[[#This Row],[EPS]]&lt;&gt;0,Main_M[[#This Row],[Current Price]]/Main_M[[#This Row],[EPS]],""),"")</f>
        <v>10.728205128205129</v>
      </c>
      <c r="N1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9" s="1">
        <f>(Main_M[[#This Row],[P/FCF]]-VLOOKUP(Main_M[[#This Row],[Industry]], Mean_PFCF_M, 2, FALSE))/(VLOOKUP(Main_M[[#This Row],[Industry]], Mean_PFCF_M, 3, FALSE))</f>
        <v>-0.34358294123975486</v>
      </c>
      <c r="P169" s="1">
        <f>(Main_M[[#This Row],[P/B]]-VLOOKUP(Main_M[[#This Row],[Industry]], Mean_PB_M, 2, FALSE))/(VLOOKUP(Main_M[[#This Row],[Industry]], Mean_PB_M, 3, FALSE))</f>
        <v>-0.95363739633095068</v>
      </c>
      <c r="Q169" s="1">
        <f>(Main_M[[#This Row],[ROE]]-VLOOKUP(Main_M[[#This Row],[Industry]], Mean_ROE_M, 2, FALSE))/(VLOOKUP(Main_M[[#This Row],[Industry]], Mean_ROE_M, 3, FALSE))</f>
        <v>-0.52737034581250419</v>
      </c>
      <c r="R169" s="1">
        <f>(Main_M[[#This Row],[ROA]]-VLOOKUP(Main_M[[#This Row],[Industry]], Mean_ROA_M, 2, FALSE))/(VLOOKUP(Main_M[[#This Row],[Industry]], Mean_ROA_M, 3, FALSE))</f>
        <v>-0.21908074677462555</v>
      </c>
      <c r="S169" s="1">
        <f>(Main_M[[#This Row],[A/E]]-VLOOKUP(Main_M[[#This Row],[Industry]], Mean_AE_M, 2, FALSE))/(VLOOKUP(Main_M[[#This Row],[Industry]], Mean_AE_M, 3, FALSE))</f>
        <v>-0.75175032650808027</v>
      </c>
      <c r="T169" s="1">
        <f>(Main_M[[#This Row],[P/E]]-VLOOKUP(Main_M[[#This Row],[Industry]], Mean_PE_M, 2, FALSE))/(VLOOKUP(Main_M[[#This Row],[Industry]], Mean_PE_M, 3, FALSE))</f>
        <v>-0.64219247511036737</v>
      </c>
      <c r="U1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0" spans="1:26" x14ac:dyDescent="0.25">
      <c r="A170" s="68" t="s">
        <v>215</v>
      </c>
      <c r="B170" s="68" t="s">
        <v>421</v>
      </c>
      <c r="C170" s="2">
        <v>2248</v>
      </c>
      <c r="D170">
        <f>RTD("tos.rtd", , "LAST", Main_M[[#This Row],[Symbol]])</f>
        <v>19.54</v>
      </c>
      <c r="E170">
        <v>-0.57999999999999996</v>
      </c>
      <c r="F170">
        <v>15.73</v>
      </c>
      <c r="G170">
        <v>0.93</v>
      </c>
      <c r="H170" s="1">
        <f>IF(ISNUMBER(Main_M[[#This Row],[Free CF]]),IF(Main_M[[#This Row],[Free CF]]&lt;&gt;0,Main_M[[#This Row],[Current Price]]/Main_M[[#This Row],[Free CF]],""),"")</f>
        <v>-33.689655172413794</v>
      </c>
      <c r="I170" s="1">
        <f>IF(ISNUMBER(Main_M[[#This Row],[BVPS]]),IF(Main_M[[#This Row],[BVPS]]&lt;&gt;0,Main_M[[#This Row],[Current Price]]/Main_M[[#This Row],[BVPS]],""),"")</f>
        <v>1.2422123331214239</v>
      </c>
      <c r="J170">
        <v>7.25</v>
      </c>
      <c r="K170">
        <v>1.47</v>
      </c>
      <c r="L170">
        <v>6.73</v>
      </c>
      <c r="M170" s="1">
        <f>IF(ISNUMBER(Main_M[[#This Row],[EPS]]),IF(Main_M[[#This Row],[EPS]]&lt;&gt;0,Main_M[[#This Row],[Current Price]]/Main_M[[#This Row],[EPS]],""),"")</f>
        <v>21.01075268817204</v>
      </c>
      <c r="N1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0" s="1">
        <f>(Main_M[[#This Row],[P/FCF]]-VLOOKUP(Main_M[[#This Row],[Industry]], Mean_PFCF_M, 2, FALSE))/(VLOOKUP(Main_M[[#This Row],[Industry]], Mean_PFCF_M, 3, FALSE))</f>
        <v>-8.2340112891650303</v>
      </c>
      <c r="P170" s="1">
        <f>(Main_M[[#This Row],[P/B]]-VLOOKUP(Main_M[[#This Row],[Industry]], Mean_PB_M, 2, FALSE))/(VLOOKUP(Main_M[[#This Row],[Industry]], Mean_PB_M, 3, FALSE))</f>
        <v>-0.63154316499857954</v>
      </c>
      <c r="Q170" s="1">
        <f>(Main_M[[#This Row],[ROE]]-VLOOKUP(Main_M[[#This Row],[Industry]], Mean_ROE_M, 2, FALSE))/(VLOOKUP(Main_M[[#This Row],[Industry]], Mean_ROE_M, 3, FALSE))</f>
        <v>-0.65900191981875011</v>
      </c>
      <c r="R170" s="1">
        <f>(Main_M[[#This Row],[ROA]]-VLOOKUP(Main_M[[#This Row],[Industry]], Mean_ROA_M, 2, FALSE))/(VLOOKUP(Main_M[[#This Row],[Industry]], Mean_ROA_M, 3, FALSE))</f>
        <v>-0.75947992215203475</v>
      </c>
      <c r="S170" s="1">
        <f>(Main_M[[#This Row],[A/E]]-VLOOKUP(Main_M[[#This Row],[Industry]], Mean_AE_M, 2, FALSE))/(VLOOKUP(Main_M[[#This Row],[Industry]], Mean_AE_M, 3, FALSE))</f>
        <v>1.0743297576589357</v>
      </c>
      <c r="T170" s="1">
        <f>(Main_M[[#This Row],[P/E]]-VLOOKUP(Main_M[[#This Row],[Industry]], Mean_PE_M, 2, FALSE))/(VLOOKUP(Main_M[[#This Row],[Industry]], Mean_PE_M, 3, FALSE))</f>
        <v>0.58509810903657034</v>
      </c>
      <c r="U1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1" spans="1:26" x14ac:dyDescent="0.25">
      <c r="A171" s="68" t="s">
        <v>251</v>
      </c>
      <c r="B171" s="68" t="s">
        <v>422</v>
      </c>
      <c r="C171" s="2">
        <v>2006</v>
      </c>
      <c r="D171">
        <f>RTD("tos.rtd", , "LAST", Main_M[[#This Row],[Symbol]])</f>
        <v>11.09</v>
      </c>
      <c r="E171">
        <v>1.64</v>
      </c>
      <c r="F171">
        <v>12.35</v>
      </c>
      <c r="G171">
        <v>1.03</v>
      </c>
      <c r="H171" s="1">
        <f>IF(ISNUMBER(Main_M[[#This Row],[Free CF]]),IF(Main_M[[#This Row],[Free CF]]&lt;&gt;0,Main_M[[#This Row],[Current Price]]/Main_M[[#This Row],[Free CF]],""),"")</f>
        <v>6.76219512195122</v>
      </c>
      <c r="I171" s="1">
        <f>IF(ISNUMBER(Main_M[[#This Row],[BVPS]]),IF(Main_M[[#This Row],[BVPS]]&lt;&gt;0,Main_M[[#This Row],[Current Price]]/Main_M[[#This Row],[BVPS]],""),"")</f>
        <v>0.89797570850202435</v>
      </c>
      <c r="J171">
        <v>7.99</v>
      </c>
      <c r="K171">
        <v>1.78</v>
      </c>
      <c r="L171">
        <v>5.63</v>
      </c>
      <c r="M171" s="1">
        <f>IF(ISNUMBER(Main_M[[#This Row],[EPS]]),IF(Main_M[[#This Row],[EPS]]&lt;&gt;0,Main_M[[#This Row],[Current Price]]/Main_M[[#This Row],[EPS]],""),"")</f>
        <v>10.766990291262136</v>
      </c>
      <c r="N1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1" s="1">
        <f>(Main_M[[#This Row],[P/FCF]]-VLOOKUP(Main_M[[#This Row],[Industry]], Mean_PFCF_M, 2, FALSE))/(VLOOKUP(Main_M[[#This Row],[Industry]], Mean_PFCF_M, 3, FALSE))</f>
        <v>-1.4000174312757374</v>
      </c>
      <c r="P171" s="1">
        <f>(Main_M[[#This Row],[P/B]]-VLOOKUP(Main_M[[#This Row],[Industry]], Mean_PB_M, 2, FALSE))/(VLOOKUP(Main_M[[#This Row],[Industry]], Mean_PB_M, 3, FALSE))</f>
        <v>-1.0273651220610984</v>
      </c>
      <c r="Q171" s="1">
        <f>(Main_M[[#This Row],[ROE]]-VLOOKUP(Main_M[[#This Row],[Industry]], Mean_ROE_M, 2, FALSE))/(VLOOKUP(Main_M[[#This Row],[Industry]], Mean_ROE_M, 3, FALSE))</f>
        <v>0.7066101439375696</v>
      </c>
      <c r="R171" s="1">
        <f>(Main_M[[#This Row],[ROA]]-VLOOKUP(Main_M[[#This Row],[Industry]], Mean_ROA_M, 2, FALSE))/(VLOOKUP(Main_M[[#This Row],[Industry]], Mean_ROA_M, 3, FALSE))</f>
        <v>1.0841141654999835</v>
      </c>
      <c r="S171" s="1">
        <f>(Main_M[[#This Row],[A/E]]-VLOOKUP(Main_M[[#This Row],[Industry]], Mean_AE_M, 2, FALSE))/(VLOOKUP(Main_M[[#This Row],[Industry]], Mean_AE_M, 3, FALSE))</f>
        <v>-0.92574424445810977</v>
      </c>
      <c r="T171" s="1">
        <f>(Main_M[[#This Row],[P/E]]-VLOOKUP(Main_M[[#This Row],[Industry]], Mean_PE_M, 2, FALSE))/(VLOOKUP(Main_M[[#This Row],[Industry]], Mean_PE_M, 3, FALSE))</f>
        <v>-0.85290718960683409</v>
      </c>
      <c r="U1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2" spans="1:26" x14ac:dyDescent="0.25">
      <c r="A172" s="68" t="s">
        <v>251</v>
      </c>
      <c r="B172" s="68" t="s">
        <v>423</v>
      </c>
      <c r="C172" s="2">
        <v>8898</v>
      </c>
      <c r="D172">
        <f>RTD("tos.rtd", , "LAST", Main_M[[#This Row],[Symbol]])</f>
        <v>9.07</v>
      </c>
      <c r="E172">
        <v>0.3</v>
      </c>
      <c r="F172">
        <v>8.86</v>
      </c>
      <c r="G172">
        <v>0.4</v>
      </c>
      <c r="H172" s="1">
        <f>IF(ISNUMBER(Main_M[[#This Row],[Free CF]]),IF(Main_M[[#This Row],[Free CF]]&lt;&gt;0,Main_M[[#This Row],[Current Price]]/Main_M[[#This Row],[Free CF]],""),"")</f>
        <v>30.233333333333334</v>
      </c>
      <c r="I172" s="1">
        <f>IF(ISNUMBER(Main_M[[#This Row],[BVPS]]),IF(Main_M[[#This Row],[BVPS]]&lt;&gt;0,Main_M[[#This Row],[Current Price]]/Main_M[[#This Row],[BVPS]],""),"")</f>
        <v>1.023702031602709</v>
      </c>
      <c r="J172">
        <v>5.05</v>
      </c>
      <c r="K172">
        <v>0.56000000000000005</v>
      </c>
      <c r="L172">
        <v>11.4</v>
      </c>
      <c r="M172" s="1">
        <f>IF(ISNUMBER(Main_M[[#This Row],[EPS]]),IF(Main_M[[#This Row],[EPS]]&lt;&gt;0,Main_M[[#This Row],[Current Price]]/Main_M[[#This Row],[EPS]],""),"")</f>
        <v>22.675000000000001</v>
      </c>
      <c r="N1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2" s="1">
        <f>(Main_M[[#This Row],[P/FCF]]-VLOOKUP(Main_M[[#This Row],[Industry]], Mean_PFCF_M, 2, FALSE))/(VLOOKUP(Main_M[[#This Row],[Industry]], Mean_PFCF_M, 3, FALSE))</f>
        <v>9.5956162275622532</v>
      </c>
      <c r="P172" s="1">
        <f>(Main_M[[#This Row],[P/B]]-VLOOKUP(Main_M[[#This Row],[Industry]], Mean_PB_M, 2, FALSE))/(VLOOKUP(Main_M[[#This Row],[Industry]], Mean_PB_M, 3, FALSE))</f>
        <v>0.99029669688723776</v>
      </c>
      <c r="Q172" s="1">
        <f>(Main_M[[#This Row],[ROE]]-VLOOKUP(Main_M[[#This Row],[Industry]], Mean_ROE_M, 2, FALSE))/(VLOOKUP(Main_M[[#This Row],[Industry]], Mean_ROE_M, 3, FALSE))</f>
        <v>-3.427210398555975E-2</v>
      </c>
      <c r="R172" s="1">
        <f>(Main_M[[#This Row],[ROA]]-VLOOKUP(Main_M[[#This Row],[Industry]], Mean_ROA_M, 2, FALSE))/(VLOOKUP(Main_M[[#This Row],[Industry]], Mean_ROA_M, 3, FALSE))</f>
        <v>-1.0152815200714127</v>
      </c>
      <c r="S172" s="1">
        <f>(Main_M[[#This Row],[A/E]]-VLOOKUP(Main_M[[#This Row],[Industry]], Mean_AE_M, 2, FALSE))/(VLOOKUP(Main_M[[#This Row],[Industry]], Mean_AE_M, 3, FALSE))</f>
        <v>1.5200177933272809</v>
      </c>
      <c r="T172" s="1">
        <f>(Main_M[[#This Row],[P/E]]-VLOOKUP(Main_M[[#This Row],[Industry]], Mean_PE_M, 2, FALSE))/(VLOOKUP(Main_M[[#This Row],[Industry]], Mean_PE_M, 3, FALSE))</f>
        <v>1.3705386319431643</v>
      </c>
      <c r="U1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3" spans="1:26" x14ac:dyDescent="0.25">
      <c r="A173" s="68" t="s">
        <v>251</v>
      </c>
      <c r="B173" s="68" t="s">
        <v>424</v>
      </c>
      <c r="C173" s="2">
        <v>3219</v>
      </c>
      <c r="D173">
        <f>RTD("tos.rtd", , "LAST", Main_M[[#This Row],[Symbol]])</f>
        <v>19.75</v>
      </c>
      <c r="E173">
        <v>2.15</v>
      </c>
      <c r="F173">
        <v>21.76</v>
      </c>
      <c r="G173">
        <v>-0.47</v>
      </c>
      <c r="H173" s="1">
        <f>IF(ISNUMBER(Main_M[[#This Row],[Free CF]]),IF(Main_M[[#This Row],[Free CF]]&lt;&gt;0,Main_M[[#This Row],[Current Price]]/Main_M[[#This Row],[Free CF]],""),"")</f>
        <v>9.1860465116279073</v>
      </c>
      <c r="I173" s="1">
        <f>IF(ISNUMBER(Main_M[[#This Row],[BVPS]]),IF(Main_M[[#This Row],[BVPS]]&lt;&gt;0,Main_M[[#This Row],[Current Price]]/Main_M[[#This Row],[BVPS]],""),"")</f>
        <v>0.9076286764705882</v>
      </c>
      <c r="J173">
        <v>-2.0099999999999998</v>
      </c>
      <c r="K173">
        <v>-0.37</v>
      </c>
      <c r="L173">
        <v>5.42</v>
      </c>
      <c r="M173" s="1">
        <f>IF(ISNUMBER(Main_M[[#This Row],[EPS]]),IF(Main_M[[#This Row],[EPS]]&lt;&gt;0,Main_M[[#This Row],[Current Price]]/Main_M[[#This Row],[EPS]],""),"")</f>
        <v>-42.021276595744681</v>
      </c>
      <c r="N1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3" s="1">
        <f>(Main_M[[#This Row],[P/FCF]]-VLOOKUP(Main_M[[#This Row],[Industry]], Mean_PFCF_M, 2, FALSE))/(VLOOKUP(Main_M[[#This Row],[Industry]], Mean_PFCF_M, 3, FALSE))</f>
        <v>-0.2645044585207269</v>
      </c>
      <c r="P173" s="1">
        <f>(Main_M[[#This Row],[P/B]]-VLOOKUP(Main_M[[#This Row],[Industry]], Mean_PB_M, 2, FALSE))/(VLOOKUP(Main_M[[#This Row],[Industry]], Mean_PB_M, 3, FALSE))</f>
        <v>-0.87245384787943492</v>
      </c>
      <c r="Q173" s="1">
        <f>(Main_M[[#This Row],[ROE]]-VLOOKUP(Main_M[[#This Row],[Industry]], Mean_ROE_M, 2, FALSE))/(VLOOKUP(Main_M[[#This Row],[Industry]], Mean_ROE_M, 3, FALSE))</f>
        <v>-1.8133975020594686</v>
      </c>
      <c r="R173" s="1">
        <f>(Main_M[[#This Row],[ROA]]-VLOOKUP(Main_M[[#This Row],[Industry]], Mean_ROA_M, 2, FALSE))/(VLOOKUP(Main_M[[#This Row],[Industry]], Mean_ROA_M, 3, FALSE))</f>
        <v>-2.6156405262856741</v>
      </c>
      <c r="S173" s="1">
        <f>(Main_M[[#This Row],[A/E]]-VLOOKUP(Main_M[[#This Row],[Industry]], Mean_AE_M, 2, FALSE))/(VLOOKUP(Main_M[[#This Row],[Industry]], Mean_AE_M, 3, FALSE))</f>
        <v>-1.0147581141175435</v>
      </c>
      <c r="T173" s="1">
        <f>(Main_M[[#This Row],[P/E]]-VLOOKUP(Main_M[[#This Row],[Industry]], Mean_PE_M, 2, FALSE))/(VLOOKUP(Main_M[[#This Row],[Industry]], Mean_PE_M, 3, FALSE))</f>
        <v>-10.70945369129941</v>
      </c>
      <c r="U1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4" spans="1:26" x14ac:dyDescent="0.25">
      <c r="A174" s="68" t="s">
        <v>251</v>
      </c>
      <c r="B174" s="68" t="s">
        <v>425</v>
      </c>
      <c r="C174" s="2">
        <v>5974</v>
      </c>
      <c r="D174">
        <f>RTD("tos.rtd", , "LAST", Main_M[[#This Row],[Symbol]])</f>
        <v>11.54</v>
      </c>
      <c r="E174">
        <v>0.91</v>
      </c>
      <c r="F174">
        <v>12.39</v>
      </c>
      <c r="G174">
        <v>1.19</v>
      </c>
      <c r="H174" s="1">
        <f>IF(ISNUMBER(Main_M[[#This Row],[Free CF]]),IF(Main_M[[#This Row],[Free CF]]&lt;&gt;0,Main_M[[#This Row],[Current Price]]/Main_M[[#This Row],[Free CF]],""),"")</f>
        <v>12.681318681318681</v>
      </c>
      <c r="I174" s="1">
        <f>IF(ISNUMBER(Main_M[[#This Row],[BVPS]]),IF(Main_M[[#This Row],[BVPS]]&lt;&gt;0,Main_M[[#This Row],[Current Price]]/Main_M[[#This Row],[BVPS]],""),"")</f>
        <v>0.93139628732849056</v>
      </c>
      <c r="J174">
        <v>9.5500000000000007</v>
      </c>
      <c r="K174">
        <v>1.68</v>
      </c>
      <c r="L174">
        <v>6.9</v>
      </c>
      <c r="M174" s="1">
        <f>IF(ISNUMBER(Main_M[[#This Row],[EPS]]),IF(Main_M[[#This Row],[EPS]]&lt;&gt;0,Main_M[[#This Row],[Current Price]]/Main_M[[#This Row],[EPS]],""),"")</f>
        <v>9.697478991596638</v>
      </c>
      <c r="N1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4" s="1">
        <f>(Main_M[[#This Row],[P/FCF]]-VLOOKUP(Main_M[[#This Row],[Industry]], Mean_PFCF_M, 2, FALSE))/(VLOOKUP(Main_M[[#This Row],[Industry]], Mean_PFCF_M, 3, FALSE))</f>
        <v>1.3729420074207486</v>
      </c>
      <c r="P174" s="1">
        <f>(Main_M[[#This Row],[P/B]]-VLOOKUP(Main_M[[#This Row],[Industry]], Mean_PB_M, 2, FALSE))/(VLOOKUP(Main_M[[#This Row],[Industry]], Mean_PB_M, 3, FALSE))</f>
        <v>-0.49103013506467325</v>
      </c>
      <c r="Q174" s="1">
        <f>(Main_M[[#This Row],[ROE]]-VLOOKUP(Main_M[[#This Row],[Industry]], Mean_ROE_M, 2, FALSE))/(VLOOKUP(Main_M[[#This Row],[Industry]], Mean_ROE_M, 3, FALSE))</f>
        <v>1.0997313367131076</v>
      </c>
      <c r="R174" s="1">
        <f>(Main_M[[#This Row],[ROA]]-VLOOKUP(Main_M[[#This Row],[Industry]], Mean_ROA_M, 2, FALSE))/(VLOOKUP(Main_M[[#This Row],[Industry]], Mean_ROA_M, 3, FALSE))</f>
        <v>0.91203255192855748</v>
      </c>
      <c r="S174" s="1">
        <f>(Main_M[[#This Row],[A/E]]-VLOOKUP(Main_M[[#This Row],[Industry]], Mean_AE_M, 2, FALSE))/(VLOOKUP(Main_M[[#This Row],[Industry]], Mean_AE_M, 3, FALSE))</f>
        <v>-0.38742227080343955</v>
      </c>
      <c r="T174" s="1">
        <f>(Main_M[[#This Row],[P/E]]-VLOOKUP(Main_M[[#This Row],[Industry]], Mean_PE_M, 2, FALSE))/(VLOOKUP(Main_M[[#This Row],[Industry]], Mean_PE_M, 3, FALSE))</f>
        <v>-1.0526047451602889</v>
      </c>
      <c r="U1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5" spans="1:26" x14ac:dyDescent="0.25">
      <c r="A175" s="68" t="s">
        <v>251</v>
      </c>
      <c r="B175" s="68" t="s">
        <v>426</v>
      </c>
      <c r="C175" s="2">
        <v>6393</v>
      </c>
      <c r="D175">
        <f>RTD("tos.rtd", , "LAST", Main_M[[#This Row],[Symbol]])</f>
        <v>20.02</v>
      </c>
      <c r="E175">
        <v>1.93</v>
      </c>
      <c r="F175">
        <v>19.079999999999998</v>
      </c>
      <c r="G175">
        <v>1.1000000000000001</v>
      </c>
      <c r="H175" s="1">
        <f>IF(ISNUMBER(Main_M[[#This Row],[Free CF]]),IF(Main_M[[#This Row],[Free CF]]&lt;&gt;0,Main_M[[#This Row],[Current Price]]/Main_M[[#This Row],[Free CF]],""),"")</f>
        <v>10.373056994818652</v>
      </c>
      <c r="I175" s="1">
        <f>IF(ISNUMBER(Main_M[[#This Row],[BVPS]]),IF(Main_M[[#This Row],[BVPS]]&lt;&gt;0,Main_M[[#This Row],[Current Price]]/Main_M[[#This Row],[BVPS]],""),"")</f>
        <v>1.049266247379455</v>
      </c>
      <c r="J175">
        <v>5.35</v>
      </c>
      <c r="K175">
        <v>0.57999999999999996</v>
      </c>
      <c r="L175">
        <v>9.7200000000000006</v>
      </c>
      <c r="M175" s="1">
        <f>IF(ISNUMBER(Main_M[[#This Row],[EPS]]),IF(Main_M[[#This Row],[EPS]]&lt;&gt;0,Main_M[[#This Row],[Current Price]]/Main_M[[#This Row],[EPS]],""),"")</f>
        <v>18.2</v>
      </c>
      <c r="N1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5" s="1">
        <f>(Main_M[[#This Row],[P/FCF]]-VLOOKUP(Main_M[[#This Row],[Industry]], Mean_PFCF_M, 2, FALSE))/(VLOOKUP(Main_M[[#This Row],[Industry]], Mean_PFCF_M, 3, FALSE))</f>
        <v>0.29157988237571458</v>
      </c>
      <c r="P175" s="1">
        <f>(Main_M[[#This Row],[P/B]]-VLOOKUP(Main_M[[#This Row],[Industry]], Mean_PB_M, 2, FALSE))/(VLOOKUP(Main_M[[#This Row],[Industry]], Mean_PB_M, 3, FALSE))</f>
        <v>1.4005524081179761</v>
      </c>
      <c r="Q175" s="1">
        <f>(Main_M[[#This Row],[ROE]]-VLOOKUP(Main_M[[#This Row],[Industry]], Mean_ROE_M, 2, FALSE))/(VLOOKUP(Main_M[[#This Row],[Industry]], Mean_ROE_M, 3, FALSE))</f>
        <v>4.132812539435135E-2</v>
      </c>
      <c r="R175" s="1">
        <f>(Main_M[[#This Row],[ROA]]-VLOOKUP(Main_M[[#This Row],[Industry]], Mean_ROA_M, 2, FALSE))/(VLOOKUP(Main_M[[#This Row],[Industry]], Mean_ROA_M, 3, FALSE))</f>
        <v>-0.98086519735712774</v>
      </c>
      <c r="S175" s="1">
        <f>(Main_M[[#This Row],[A/E]]-VLOOKUP(Main_M[[#This Row],[Industry]], Mean_AE_M, 2, FALSE))/(VLOOKUP(Main_M[[#This Row],[Industry]], Mean_AE_M, 3, FALSE))</f>
        <v>0.80790683605181213</v>
      </c>
      <c r="T175" s="1">
        <f>(Main_M[[#This Row],[P/E]]-VLOOKUP(Main_M[[#This Row],[Industry]], Mean_PE_M, 2, FALSE))/(VLOOKUP(Main_M[[#This Row],[Industry]], Mean_PE_M, 3, FALSE))</f>
        <v>0.53497330282395905</v>
      </c>
      <c r="U1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286"/>
  <sheetViews>
    <sheetView workbookViewId="0">
      <selection activeCell="B24" sqref="B24"/>
    </sheetView>
  </sheetViews>
  <sheetFormatPr defaultRowHeight="15" x14ac:dyDescent="0.25"/>
  <cols>
    <col min="1" max="1" width="42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427</v>
      </c>
      <c r="C2" s="2">
        <v>1746</v>
      </c>
      <c r="D2">
        <f>RTD("tos.rtd", , "LAST", Main_S[[#This Row],[Symbol]])</f>
        <v>42.82</v>
      </c>
      <c r="E2">
        <v>6.2</v>
      </c>
      <c r="F2">
        <v>25.07</v>
      </c>
      <c r="G2">
        <v>4.8099999999999996</v>
      </c>
      <c r="H2" s="1">
        <f>IF(ISNUMBER(Main_S[[#This Row],[Free CF]]),IF(Main_S[[#This Row],[Free CF]]&lt;&gt;0,Main_S[[#This Row],[Current Price]]/Main_S[[#This Row],[Free CF]],""),"")</f>
        <v>6.9064516129032256</v>
      </c>
      <c r="I2" s="1">
        <f>IF(ISNUMBER(Main_S[[#This Row],[BVPS]]),IF(Main_S[[#This Row],[BVPS]]&lt;&gt;0,Main_S[[#This Row],[Current Price]]/Main_S[[#This Row],[BVPS]],""),"")</f>
        <v>1.7080175508575988</v>
      </c>
      <c r="J2">
        <v>21.11</v>
      </c>
      <c r="K2">
        <v>1.57</v>
      </c>
      <c r="L2">
        <v>13.25</v>
      </c>
      <c r="M2" s="1">
        <f>IF(ISNUMBER(Main_S[[#This Row],[EPS]]),IF(Main_S[[#This Row],[EPS]]&lt;&gt;0,Main_S[[#This Row],[Current Price]]/Main_S[[#This Row],[EPS]],""),"")</f>
        <v>8.9022869022869031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-1.0430943516764148</v>
      </c>
      <c r="P2" s="1">
        <f>(Main_S[[#This Row],[P/B]]-VLOOKUP(Main_S[[#This Row],[Industry]], Mean_PB_S, 2, FALSE))/(VLOOKUP(Main_S[[#This Row],[Industry]], Mean_PB_S, 3, FALSE))</f>
        <v>2.1740889219141422</v>
      </c>
      <c r="Q2" s="1">
        <f>(Main_S[[#This Row],[ROE]]-VLOOKUP(Main_S[[#This Row],[Industry]], Mean_ROE_S, 2, FALSE))/(VLOOKUP(Main_S[[#This Row],[Industry]], Mean_ROE_S, 3, FALSE))</f>
        <v>2.8471462129456775</v>
      </c>
      <c r="R2" s="1">
        <f>(Main_S[[#This Row],[ROA]]-VLOOKUP(Main_S[[#This Row],[Industry]], Mean_ROA_S, 2, FALSE))/(VLOOKUP(Main_S[[#This Row],[Industry]], Mean_ROA_S, 3, FALSE))</f>
        <v>1.3908575438624771</v>
      </c>
      <c r="S2" s="1">
        <f>(Main_S[[#This Row],[A/E]]-VLOOKUP(Main_S[[#This Row],[Industry]], Mean_AE_S, 2, FALSE))/(VLOOKUP(Main_S[[#This Row],[Industry]], Mean_AE_S, 3, FALSE))</f>
        <v>2.1303635794117977</v>
      </c>
      <c r="T2" s="1">
        <f>(Main_S[[#This Row],[P/E]]-VLOOKUP(Main_S[[#This Row],[Industry]], Mean_PE_S, 2, FALSE))/(VLOOKUP(Main_S[[#This Row],[Industry]], Mean_PE_S, 3, FALSE))</f>
        <v>-1.3049628223368532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8" t="s">
        <v>105</v>
      </c>
      <c r="B3" s="68" t="s">
        <v>428</v>
      </c>
      <c r="C3" s="2">
        <v>1278</v>
      </c>
      <c r="D3">
        <f>RTD("tos.rtd", , "LAST", Main_S[[#This Row],[Symbol]])</f>
        <v>15.95</v>
      </c>
      <c r="E3">
        <v>3.42</v>
      </c>
      <c r="F3">
        <v>1.82</v>
      </c>
      <c r="G3">
        <v>0.28000000000000003</v>
      </c>
      <c r="H3" s="1">
        <f>IF(ISNUMBER(Main_S[[#This Row],[Free CF]]),IF(Main_S[[#This Row],[Free CF]]&lt;&gt;0,Main_S[[#This Row],[Current Price]]/Main_S[[#This Row],[Free CF]],""),"")</f>
        <v>4.6637426900584797</v>
      </c>
      <c r="I3" s="1">
        <f>IF(ISNUMBER(Main_S[[#This Row],[BVPS]]),IF(Main_S[[#This Row],[BVPS]]&lt;&gt;0,Main_S[[#This Row],[Current Price]]/Main_S[[#This Row],[BVPS]],""),"")</f>
        <v>8.7637362637362628</v>
      </c>
      <c r="J3">
        <v>15.95</v>
      </c>
      <c r="K3">
        <v>2.78</v>
      </c>
      <c r="L3">
        <v>5.51</v>
      </c>
      <c r="M3" s="1">
        <f>IF(ISNUMBER(Main_S[[#This Row],[EPS]]),IF(Main_S[[#This Row],[EPS]]&lt;&gt;0,Main_S[[#This Row],[Current Price]]/Main_S[[#This Row],[EPS]],""),"")</f>
        <v>56.964285714285708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-1.6297276561677596</v>
      </c>
      <c r="P3" s="1">
        <f>(Main_S[[#This Row],[P/B]]-VLOOKUP(Main_S[[#This Row],[Industry]], Mean_PB_S, 2, FALSE))/(VLOOKUP(Main_S[[#This Row],[Industry]], Mean_PB_S, 3, FALSE))</f>
        <v>27.344416380814124</v>
      </c>
      <c r="Q3" s="1">
        <f>(Main_S[[#This Row],[ROE]]-VLOOKUP(Main_S[[#This Row],[Industry]], Mean_ROE_S, 2, FALSE))/(VLOOKUP(Main_S[[#This Row],[Industry]], Mean_ROE_S, 3, FALSE))</f>
        <v>1.590457209653078</v>
      </c>
      <c r="R3" s="1">
        <f>(Main_S[[#This Row],[ROA]]-VLOOKUP(Main_S[[#This Row],[Industry]], Mean_ROA_S, 2, FALSE))/(VLOOKUP(Main_S[[#This Row],[Industry]], Mean_ROA_S, 3, FALSE))</f>
        <v>4.2038115317629767</v>
      </c>
      <c r="S3" s="1">
        <f>(Main_S[[#This Row],[A/E]]-VLOOKUP(Main_S[[#This Row],[Industry]], Mean_AE_S, 2, FALSE))/(VLOOKUP(Main_S[[#This Row],[Industry]], Mean_AE_S, 3, FALSE))</f>
        <v>-2.3459156756940276</v>
      </c>
      <c r="T3" s="1">
        <f>(Main_S[[#This Row],[P/E]]-VLOOKUP(Main_S[[#This Row],[Industry]], Mean_PE_S, 2, FALSE))/(VLOOKUP(Main_S[[#This Row],[Industry]], Mean_PE_S, 3, FALSE))</f>
        <v>17.02390616175461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" spans="1:26" x14ac:dyDescent="0.25">
      <c r="A4" s="68" t="s">
        <v>105</v>
      </c>
      <c r="B4" s="68" t="s">
        <v>429</v>
      </c>
      <c r="C4" s="2">
        <v>446</v>
      </c>
      <c r="D4">
        <f>RTD("tos.rtd", , "LAST", Main_S[[#This Row],[Symbol]])</f>
        <v>43.99</v>
      </c>
      <c r="E4">
        <v>4.57</v>
      </c>
      <c r="F4">
        <v>36.69</v>
      </c>
      <c r="G4">
        <v>2.79</v>
      </c>
      <c r="H4" s="1">
        <f>IF(ISNUMBER(Main_S[[#This Row],[Free CF]]),IF(Main_S[[#This Row],[Free CF]]&lt;&gt;0,Main_S[[#This Row],[Current Price]]/Main_S[[#This Row],[Free CF]],""),"")</f>
        <v>9.6258205689277894</v>
      </c>
      <c r="I4" s="1">
        <f>IF(ISNUMBER(Main_S[[#This Row],[BVPS]]),IF(Main_S[[#This Row],[BVPS]]&lt;&gt;0,Main_S[[#This Row],[Current Price]]/Main_S[[#This Row],[BVPS]],""),"")</f>
        <v>1.1989642954483513</v>
      </c>
      <c r="J4">
        <v>7.44</v>
      </c>
      <c r="K4">
        <v>0.87</v>
      </c>
      <c r="L4">
        <v>8.4499999999999993</v>
      </c>
      <c r="M4" s="1">
        <f>IF(ISNUMBER(Main_S[[#This Row],[EPS]]),IF(Main_S[[#This Row],[EPS]]&lt;&gt;0,Main_S[[#This Row],[Current Price]]/Main_S[[#This Row],[EPS]],""),"")</f>
        <v>15.767025089605735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-0.33177939655492816</v>
      </c>
      <c r="P4" s="1">
        <f>(Main_S[[#This Row],[P/B]]-VLOOKUP(Main_S[[#This Row],[Industry]], Mean_PB_S, 2, FALSE))/(VLOOKUP(Main_S[[#This Row],[Industry]], Mean_PB_S, 3, FALSE))</f>
        <v>0.35810990488184108</v>
      </c>
      <c r="Q4" s="1">
        <f>(Main_S[[#This Row],[ROE]]-VLOOKUP(Main_S[[#This Row],[Industry]], Mean_ROE_S, 2, FALSE))/(VLOOKUP(Main_S[[#This Row],[Industry]], Mean_ROE_S, 3, FALSE))</f>
        <v>-0.4821054682577785</v>
      </c>
      <c r="R4" s="1">
        <f>(Main_S[[#This Row],[ROA]]-VLOOKUP(Main_S[[#This Row],[Industry]], Mean_ROA_S, 2, FALSE))/(VLOOKUP(Main_S[[#This Row],[Industry]], Mean_ROA_S, 3, FALSE))</f>
        <v>-0.23647120946839148</v>
      </c>
      <c r="S4" s="1">
        <f>(Main_S[[#This Row],[A/E]]-VLOOKUP(Main_S[[#This Row],[Industry]], Mean_AE_S, 2, FALSE))/(VLOOKUP(Main_S[[#This Row],[Industry]], Mean_AE_S, 3, FALSE))</f>
        <v>-0.64562355553755169</v>
      </c>
      <c r="T4" s="1">
        <f>(Main_S[[#This Row],[P/E]]-VLOOKUP(Main_S[[#This Row],[Industry]], Mean_PE_S, 2, FALSE))/(VLOOKUP(Main_S[[#This Row],[Industry]], Mean_PE_S, 3, FALSE))</f>
        <v>1.3129658938122633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8" t="s">
        <v>105</v>
      </c>
      <c r="B5" s="68" t="s">
        <v>430</v>
      </c>
      <c r="C5" s="2">
        <v>900</v>
      </c>
      <c r="D5">
        <f>RTD("tos.rtd", , "LAST", Main_S[[#This Row],[Symbol]])</f>
        <v>31.62</v>
      </c>
      <c r="E5">
        <v>4</v>
      </c>
      <c r="F5">
        <v>23.98</v>
      </c>
      <c r="G5">
        <v>3.36</v>
      </c>
      <c r="H5" s="1">
        <f>IF(ISNUMBER(Main_S[[#This Row],[Free CF]]),IF(Main_S[[#This Row],[Free CF]]&lt;&gt;0,Main_S[[#This Row],[Current Price]]/Main_S[[#This Row],[Free CF]],""),"")</f>
        <v>7.9050000000000002</v>
      </c>
      <c r="I5" s="1">
        <f>IF(ISNUMBER(Main_S[[#This Row],[BVPS]]),IF(Main_S[[#This Row],[BVPS]]&lt;&gt;0,Main_S[[#This Row],[Current Price]]/Main_S[[#This Row],[BVPS]],""),"")</f>
        <v>1.3185988323603002</v>
      </c>
      <c r="J5">
        <v>15.4</v>
      </c>
      <c r="K5">
        <v>1.27</v>
      </c>
      <c r="L5">
        <v>11.26</v>
      </c>
      <c r="M5" s="1">
        <f>IF(ISNUMBER(Main_S[[#This Row],[EPS]]),IF(Main_S[[#This Row],[EPS]]&lt;&gt;0,Main_S[[#This Row],[Current Price]]/Main_S[[#This Row],[EPS]],""),"")</f>
        <v>9.4107142857142865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-0.7819005186068726</v>
      </c>
      <c r="P5" s="1">
        <f>(Main_S[[#This Row],[P/B]]-VLOOKUP(Main_S[[#This Row],[Industry]], Mean_PB_S, 2, FALSE))/(VLOOKUP(Main_S[[#This Row],[Industry]], Mean_PB_S, 3, FALSE))</f>
        <v>0.78489002353527515</v>
      </c>
      <c r="Q5" s="1">
        <f>(Main_S[[#This Row],[ROE]]-VLOOKUP(Main_S[[#This Row],[Industry]], Mean_ROE_S, 2, FALSE))/(VLOOKUP(Main_S[[#This Row],[Industry]], Mean_ROE_S, 3, FALSE))</f>
        <v>1.4565078003873944</v>
      </c>
      <c r="R5" s="1">
        <f>(Main_S[[#This Row],[ROA]]-VLOOKUP(Main_S[[#This Row],[Industry]], Mean_ROA_S, 2, FALSE))/(VLOOKUP(Main_S[[#This Row],[Industry]], Mean_ROA_S, 3, FALSE))</f>
        <v>0.69343093529210476</v>
      </c>
      <c r="S5" s="1">
        <f>(Main_S[[#This Row],[A/E]]-VLOOKUP(Main_S[[#This Row],[Industry]], Mean_AE_S, 2, FALSE))/(VLOOKUP(Main_S[[#This Row],[Industry]], Mean_AE_S, 3, FALSE))</f>
        <v>0.97948557971404659</v>
      </c>
      <c r="T5" s="1">
        <f>(Main_S[[#This Row],[P/E]]-VLOOKUP(Main_S[[#This Row],[Industry]], Mean_PE_S, 2, FALSE))/(VLOOKUP(Main_S[[#This Row],[Industry]], Mean_PE_S, 3, FALSE))</f>
        <v>-1.1110695359752703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8" t="s">
        <v>105</v>
      </c>
      <c r="B6" s="68" t="s">
        <v>431</v>
      </c>
      <c r="C6" s="2">
        <v>723</v>
      </c>
      <c r="D6">
        <f>RTD("tos.rtd", , "LAST", Main_S[[#This Row],[Symbol]])</f>
        <v>18.309999999999999</v>
      </c>
      <c r="E6">
        <v>2.4700000000000002</v>
      </c>
      <c r="F6">
        <v>21.68</v>
      </c>
      <c r="G6">
        <v>-0.38</v>
      </c>
      <c r="H6" s="1">
        <f>IF(ISNUMBER(Main_S[[#This Row],[Free CF]]),IF(Main_S[[#This Row],[Free CF]]&lt;&gt;0,Main_S[[#This Row],[Current Price]]/Main_S[[#This Row],[Free CF]],""),"")</f>
        <v>7.4129554655870438</v>
      </c>
      <c r="I6" s="1">
        <f>IF(ISNUMBER(Main_S[[#This Row],[BVPS]]),IF(Main_S[[#This Row],[BVPS]]&lt;&gt;0,Main_S[[#This Row],[Current Price]]/Main_S[[#This Row],[BVPS]],""),"")</f>
        <v>0.84455719557195563</v>
      </c>
      <c r="J6">
        <v>-1.75</v>
      </c>
      <c r="K6">
        <v>-0.14000000000000001</v>
      </c>
      <c r="L6">
        <v>11.22</v>
      </c>
      <c r="M6" s="1">
        <f>IF(ISNUMBER(Main_S[[#This Row],[EPS]]),IF(Main_S[[#This Row],[EPS]]&lt;&gt;0,Main_S[[#This Row],[Current Price]]/Main_S[[#This Row],[EPS]],""),"")</f>
        <v>-48.184210526315788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-0.91060634763324599</v>
      </c>
      <c r="P6" s="1">
        <f>(Main_S[[#This Row],[P/B]]-VLOOKUP(Main_S[[#This Row],[Industry]], Mean_PB_S, 2, FALSE))/(VLOOKUP(Main_S[[#This Row],[Industry]], Mean_PB_S, 3, FALSE))</f>
        <v>-0.90618975340321195</v>
      </c>
      <c r="Q6" s="1">
        <f>(Main_S[[#This Row],[ROE]]-VLOOKUP(Main_S[[#This Row],[Industry]], Mean_ROE_S, 2, FALSE))/(VLOOKUP(Main_S[[#This Row],[Industry]], Mean_ROE_S, 3, FALSE))</f>
        <v>-2.7202783248971176</v>
      </c>
      <c r="R6" s="1">
        <f>(Main_S[[#This Row],[ROA]]-VLOOKUP(Main_S[[#This Row],[Industry]], Mean_ROA_S, 2, FALSE))/(VLOOKUP(Main_S[[#This Row],[Industry]], Mean_ROA_S, 3, FALSE))</f>
        <v>-2.5844741249886445</v>
      </c>
      <c r="S6" s="1">
        <f>(Main_S[[#This Row],[A/E]]-VLOOKUP(Main_S[[#This Row],[Industry]], Mean_AE_S, 2, FALSE))/(VLOOKUP(Main_S[[#This Row],[Industry]], Mean_AE_S, 3, FALSE))</f>
        <v>0.95635235358946913</v>
      </c>
      <c r="T6" s="1">
        <f>(Main_S[[#This Row],[P/E]]-VLOOKUP(Main_S[[#This Row],[Industry]], Mean_PE_S, 2, FALSE))/(VLOOKUP(Main_S[[#This Row],[Industry]], Mean_PE_S, 3, FALSE))</f>
        <v>-23.075404293620682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" spans="1:26" x14ac:dyDescent="0.25">
      <c r="A7" s="68" t="s">
        <v>105</v>
      </c>
      <c r="B7" s="68" t="s">
        <v>432</v>
      </c>
      <c r="C7" s="2">
        <v>425</v>
      </c>
      <c r="D7">
        <f>RTD("tos.rtd", , "LAST", Main_S[[#This Row],[Symbol]])</f>
        <v>26.59</v>
      </c>
      <c r="E7">
        <v>1.72</v>
      </c>
      <c r="F7">
        <v>24.26</v>
      </c>
      <c r="G7">
        <v>1.7</v>
      </c>
      <c r="H7" s="1">
        <f>IF(ISNUMBER(Main_S[[#This Row],[Free CF]]),IF(Main_S[[#This Row],[Free CF]]&lt;&gt;0,Main_S[[#This Row],[Current Price]]/Main_S[[#This Row],[Free CF]],""),"")</f>
        <v>15.459302325581396</v>
      </c>
      <c r="I7" s="1">
        <f>IF(ISNUMBER(Main_S[[#This Row],[BVPS]]),IF(Main_S[[#This Row],[BVPS]]&lt;&gt;0,Main_S[[#This Row],[Current Price]]/Main_S[[#This Row],[BVPS]],""),"")</f>
        <v>1.096042868920033</v>
      </c>
      <c r="J7">
        <v>7.25</v>
      </c>
      <c r="K7">
        <v>0.65</v>
      </c>
      <c r="L7">
        <v>11</v>
      </c>
      <c r="M7" s="1">
        <f>IF(ISNUMBER(Main_S[[#This Row],[EPS]]),IF(Main_S[[#This Row],[EPS]]&lt;&gt;0,Main_S[[#This Row],[Current Price]]/Main_S[[#This Row],[EPS]],""),"")</f>
        <v>15.641176470588235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1.1941050571685299</v>
      </c>
      <c r="P7" s="1">
        <f>(Main_S[[#This Row],[P/B]]-VLOOKUP(Main_S[[#This Row],[Industry]], Mean_PB_S, 2, FALSE))/(VLOOKUP(Main_S[[#This Row],[Industry]], Mean_PB_S, 3, FALSE))</f>
        <v>-9.0484405219201404E-3</v>
      </c>
      <c r="Q7" s="1">
        <f>(Main_S[[#This Row],[ROE]]-VLOOKUP(Main_S[[#This Row],[Industry]], Mean_ROE_S, 2, FALSE))/(VLOOKUP(Main_S[[#This Row],[Industry]], Mean_ROE_S, 3, FALSE))</f>
        <v>-0.52837890054956038</v>
      </c>
      <c r="R7" s="1">
        <f>(Main_S[[#This Row],[ROA]]-VLOOKUP(Main_S[[#This Row],[Industry]], Mean_ROA_S, 2, FALSE))/(VLOOKUP(Main_S[[#This Row],[Industry]], Mean_ROA_S, 3, FALSE))</f>
        <v>-0.74791738908666427</v>
      </c>
      <c r="S7" s="1">
        <f>(Main_S[[#This Row],[A/E]]-VLOOKUP(Main_S[[#This Row],[Industry]], Mean_AE_S, 2, FALSE))/(VLOOKUP(Main_S[[#This Row],[Industry]], Mean_AE_S, 3, FALSE))</f>
        <v>0.82911960990429023</v>
      </c>
      <c r="T7" s="1">
        <f>(Main_S[[#This Row],[P/E]]-VLOOKUP(Main_S[[#This Row],[Industry]], Mean_PE_S, 2, FALSE))/(VLOOKUP(Main_S[[#This Row],[Industry]], Mean_PE_S, 3, FALSE))</f>
        <v>1.2649724081725289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8" t="s">
        <v>105</v>
      </c>
      <c r="B8" s="68" t="s">
        <v>433</v>
      </c>
      <c r="C8" s="2">
        <v>470</v>
      </c>
      <c r="D8">
        <f>RTD("tos.rtd", , "LAST", Main_S[[#This Row],[Symbol]])</f>
        <v>15.25</v>
      </c>
      <c r="E8">
        <v>2.0499999999999998</v>
      </c>
      <c r="F8">
        <v>16.399999999999999</v>
      </c>
      <c r="G8">
        <v>0.62</v>
      </c>
      <c r="H8" s="1">
        <f>IF(ISNUMBER(Main_S[[#This Row],[Free CF]]),IF(Main_S[[#This Row],[Free CF]]&lt;&gt;0,Main_S[[#This Row],[Current Price]]/Main_S[[#This Row],[Free CF]],""),"")</f>
        <v>7.4390243902439028</v>
      </c>
      <c r="I8" s="1">
        <f>IF(ISNUMBER(Main_S[[#This Row],[BVPS]]),IF(Main_S[[#This Row],[BVPS]]&lt;&gt;0,Main_S[[#This Row],[Current Price]]/Main_S[[#This Row],[BVPS]],""),"")</f>
        <v>0.92987804878048785</v>
      </c>
      <c r="J8">
        <v>4.21</v>
      </c>
      <c r="K8">
        <v>0.55000000000000004</v>
      </c>
      <c r="L8">
        <v>7.5</v>
      </c>
      <c r="M8" s="1">
        <f>IF(ISNUMBER(Main_S[[#This Row],[EPS]]),IF(Main_S[[#This Row],[EPS]]&lt;&gt;0,Main_S[[#This Row],[Current Price]]/Main_S[[#This Row],[EPS]],""),"")</f>
        <v>24.596774193548388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-0.90378740681564274</v>
      </c>
      <c r="P8" s="1">
        <f>(Main_S[[#This Row],[P/B]]-VLOOKUP(Main_S[[#This Row],[Industry]], Mean_PB_S, 2, FALSE))/(VLOOKUP(Main_S[[#This Row],[Industry]], Mean_PB_S, 3, FALSE))</f>
        <v>-0.60181908590315902</v>
      </c>
      <c r="Q8" s="1">
        <f>(Main_S[[#This Row],[ROE]]-VLOOKUP(Main_S[[#This Row],[Industry]], Mean_ROE_S, 2, FALSE))/(VLOOKUP(Main_S[[#This Row],[Industry]], Mean_ROE_S, 3, FALSE))</f>
        <v>-1.2687538172180686</v>
      </c>
      <c r="R8" s="1">
        <f>(Main_S[[#This Row],[ROA]]-VLOOKUP(Main_S[[#This Row],[Industry]], Mean_ROA_S, 2, FALSE))/(VLOOKUP(Main_S[[#This Row],[Industry]], Mean_ROA_S, 3, FALSE))</f>
        <v>-0.98039292527678834</v>
      </c>
      <c r="S8" s="1">
        <f>(Main_S[[#This Row],[A/E]]-VLOOKUP(Main_S[[#This Row],[Industry]], Mean_AE_S, 2, FALSE))/(VLOOKUP(Main_S[[#This Row],[Industry]], Mean_AE_S, 3, FALSE))</f>
        <v>-1.1950376759962766</v>
      </c>
      <c r="T8" s="1">
        <f>(Main_S[[#This Row],[P/E]]-VLOOKUP(Main_S[[#This Row],[Industry]], Mean_PE_S, 2, FALSE))/(VLOOKUP(Main_S[[#This Row],[Industry]], Mean_PE_S, 3, FALSE))</f>
        <v>4.6802689292440789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" spans="1:26" x14ac:dyDescent="0.25">
      <c r="A9" s="68" t="s">
        <v>105</v>
      </c>
      <c r="B9" s="68" t="s">
        <v>434</v>
      </c>
      <c r="C9" s="2">
        <v>290</v>
      </c>
      <c r="D9">
        <f>RTD("tos.rtd", , "LAST", Main_S[[#This Row],[Symbol]])</f>
        <v>27.36</v>
      </c>
      <c r="E9">
        <v>2.54</v>
      </c>
      <c r="F9">
        <v>29.57</v>
      </c>
      <c r="G9">
        <v>2.1</v>
      </c>
      <c r="H9" s="1">
        <f>IF(ISNUMBER(Main_S[[#This Row],[Free CF]]),IF(Main_S[[#This Row],[Free CF]]&lt;&gt;0,Main_S[[#This Row],[Current Price]]/Main_S[[#This Row],[Free CF]],""),"")</f>
        <v>10.771653543307087</v>
      </c>
      <c r="I9" s="1">
        <f>IF(ISNUMBER(Main_S[[#This Row],[BVPS]]),IF(Main_S[[#This Row],[BVPS]]&lt;&gt;0,Main_S[[#This Row],[Current Price]]/Main_S[[#This Row],[BVPS]],""),"")</f>
        <v>0.92526208995603654</v>
      </c>
      <c r="J9">
        <v>7.28</v>
      </c>
      <c r="K9">
        <v>0.91</v>
      </c>
      <c r="L9">
        <v>7.78</v>
      </c>
      <c r="M9" s="1">
        <f>IF(ISNUMBER(Main_S[[#This Row],[EPS]]),IF(Main_S[[#This Row],[EPS]]&lt;&gt;0,Main_S[[#This Row],[Current Price]]/Main_S[[#This Row],[EPS]],""),"")</f>
        <v>13.028571428571428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-3.2059813104639054E-2</v>
      </c>
      <c r="P9" s="1">
        <f>(Main_S[[#This Row],[P/B]]-VLOOKUP(Main_S[[#This Row],[Industry]], Mean_PB_S, 2, FALSE))/(VLOOKUP(Main_S[[#This Row],[Industry]], Mean_PB_S, 3, FALSE))</f>
        <v>-0.61828589812686174</v>
      </c>
      <c r="Q9" s="1">
        <f>(Main_S[[#This Row],[ROE]]-VLOOKUP(Main_S[[#This Row],[Industry]], Mean_ROE_S, 2, FALSE))/(VLOOKUP(Main_S[[#This Row],[Industry]], Mean_ROE_S, 3, FALSE))</f>
        <v>-0.5210725691350685</v>
      </c>
      <c r="R9" s="1">
        <f>(Main_S[[#This Row],[ROA]]-VLOOKUP(Main_S[[#This Row],[Industry]], Mean_ROA_S, 2, FALSE))/(VLOOKUP(Main_S[[#This Row],[Industry]], Mean_ROA_S, 3, FALSE))</f>
        <v>-0.14348099499234176</v>
      </c>
      <c r="S9" s="1">
        <f>(Main_S[[#This Row],[A/E]]-VLOOKUP(Main_S[[#This Row],[Industry]], Mean_AE_S, 2, FALSE))/(VLOOKUP(Main_S[[#This Row],[Industry]], Mean_AE_S, 3, FALSE))</f>
        <v>-1.0331050931242312</v>
      </c>
      <c r="T9" s="1">
        <f>(Main_S[[#This Row],[P/E]]-VLOOKUP(Main_S[[#This Row],[Industry]], Mean_PE_S, 2, FALSE))/(VLOOKUP(Main_S[[#This Row],[Industry]], Mean_PE_S, 3, FALSE))</f>
        <v>0.26863233272922604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8" t="s">
        <v>105</v>
      </c>
      <c r="B10" s="68" t="s">
        <v>435</v>
      </c>
      <c r="C10" s="2">
        <v>1158</v>
      </c>
      <c r="D10">
        <f>RTD("tos.rtd", , "LAST", Main_S[[#This Row],[Symbol]])</f>
        <v>116.01</v>
      </c>
      <c r="E10">
        <v>5.84</v>
      </c>
      <c r="F10">
        <v>64.010000000000005</v>
      </c>
      <c r="G10">
        <v>6.82</v>
      </c>
      <c r="H10" s="1">
        <f>IF(ISNUMBER(Main_S[[#This Row],[Free CF]]),IF(Main_S[[#This Row],[Free CF]]&lt;&gt;0,Main_S[[#This Row],[Current Price]]/Main_S[[#This Row],[Free CF]],""),"")</f>
        <v>19.864726027397261</v>
      </c>
      <c r="I10" s="1">
        <f>IF(ISNUMBER(Main_S[[#This Row],[BVPS]]),IF(Main_S[[#This Row],[BVPS]]&lt;&gt;0,Main_S[[#This Row],[Current Price]]/Main_S[[#This Row],[BVPS]],""),"")</f>
        <v>1.8123730667083267</v>
      </c>
      <c r="J10">
        <v>10.88</v>
      </c>
      <c r="K10">
        <v>1.59</v>
      </c>
      <c r="L10">
        <v>6.95</v>
      </c>
      <c r="M10" s="1">
        <f>IF(ISNUMBER(Main_S[[#This Row],[EPS]]),IF(Main_S[[#This Row],[EPS]]&lt;&gt;0,Main_S[[#This Row],[Current Price]]/Main_S[[#This Row],[EPS]],""),"")</f>
        <v>17.01026392961877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2.3464473150316736</v>
      </c>
      <c r="P10" s="1">
        <f>(Main_S[[#This Row],[P/B]]-VLOOKUP(Main_S[[#This Row],[Industry]], Mean_PB_S, 2, FALSE))/(VLOOKUP(Main_S[[#This Row],[Industry]], Mean_PB_S, 3, FALSE))</f>
        <v>2.5463631880793809</v>
      </c>
      <c r="Q10" s="1">
        <f>(Main_S[[#This Row],[ROE]]-VLOOKUP(Main_S[[#This Row],[Industry]], Mean_ROE_S, 2, FALSE))/(VLOOKUP(Main_S[[#This Row],[Industry]], Mean_ROE_S, 3, FALSE))</f>
        <v>0.35568720060395453</v>
      </c>
      <c r="R10" s="1">
        <f>(Main_S[[#This Row],[ROA]]-VLOOKUP(Main_S[[#This Row],[Industry]], Mean_ROA_S, 2, FALSE))/(VLOOKUP(Main_S[[#This Row],[Industry]], Mean_ROA_S, 3, FALSE))</f>
        <v>1.4373526511005019</v>
      </c>
      <c r="S10" s="1">
        <f>(Main_S[[#This Row],[A/E]]-VLOOKUP(Main_S[[#This Row],[Industry]], Mean_AE_S, 2, FALSE))/(VLOOKUP(Main_S[[#This Row],[Industry]], Mean_AE_S, 3, FALSE))</f>
        <v>-1.5131195352092228</v>
      </c>
      <c r="T10" s="1">
        <f>(Main_S[[#This Row],[P/E]]-VLOOKUP(Main_S[[#This Row],[Industry]], Mean_PE_S, 2, FALSE))/(VLOOKUP(Main_S[[#This Row],[Industry]], Mean_PE_S, 3, FALSE))</f>
        <v>1.7870860381630616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8" t="s">
        <v>105</v>
      </c>
      <c r="B11" s="68" t="s">
        <v>436</v>
      </c>
      <c r="C11" s="2">
        <v>698</v>
      </c>
      <c r="D11">
        <f>RTD("tos.rtd", , "LAST", Main_S[[#This Row],[Symbol]])</f>
        <v>24.92</v>
      </c>
      <c r="E11">
        <v>2.74</v>
      </c>
      <c r="F11">
        <v>25.51</v>
      </c>
      <c r="G11">
        <v>2.4300000000000002</v>
      </c>
      <c r="H11" s="1">
        <f>IF(ISNUMBER(Main_S[[#This Row],[Free CF]]),IF(Main_S[[#This Row],[Free CF]]&lt;&gt;0,Main_S[[#This Row],[Current Price]]/Main_S[[#This Row],[Free CF]],""),"")</f>
        <v>9.0948905109489058</v>
      </c>
      <c r="I11" s="1">
        <f>IF(ISNUMBER(Main_S[[#This Row],[BVPS]]),IF(Main_S[[#This Row],[BVPS]]&lt;&gt;0,Main_S[[#This Row],[Current Price]]/Main_S[[#This Row],[BVPS]],""),"")</f>
        <v>0.9768718149745198</v>
      </c>
      <c r="J11">
        <v>9.77</v>
      </c>
      <c r="K11">
        <v>1</v>
      </c>
      <c r="L11">
        <v>10.32</v>
      </c>
      <c r="M11" s="1">
        <f>IF(ISNUMBER(Main_S[[#This Row],[EPS]]),IF(Main_S[[#This Row],[EPS]]&lt;&gt;0,Main_S[[#This Row],[Current Price]]/Main_S[[#This Row],[EPS]],""),"")</f>
        <v>10.255144032921811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-0.47065664950261038</v>
      </c>
      <c r="P11" s="1">
        <f>(Main_S[[#This Row],[P/B]]-VLOOKUP(Main_S[[#This Row],[Industry]], Mean_PB_S, 2, FALSE))/(VLOOKUP(Main_S[[#This Row],[Industry]], Mean_PB_S, 3, FALSE))</f>
        <v>-0.43417514603467505</v>
      </c>
      <c r="Q11" s="1">
        <f>(Main_S[[#This Row],[ROE]]-VLOOKUP(Main_S[[#This Row],[Industry]], Mean_ROE_S, 2, FALSE))/(VLOOKUP(Main_S[[#This Row],[Industry]], Mean_ROE_S, 3, FALSE))</f>
        <v>8.5352938267755543E-2</v>
      </c>
      <c r="R11" s="1">
        <f>(Main_S[[#This Row],[ROA]]-VLOOKUP(Main_S[[#This Row],[Industry]], Mean_ROA_S, 2, FALSE))/(VLOOKUP(Main_S[[#This Row],[Industry]], Mean_ROA_S, 3, FALSE))</f>
        <v>6.5746987578769803E-2</v>
      </c>
      <c r="S11" s="1">
        <f>(Main_S[[#This Row],[A/E]]-VLOOKUP(Main_S[[#This Row],[Industry]], Mean_AE_S, 2, FALSE))/(VLOOKUP(Main_S[[#This Row],[Industry]], Mean_AE_S, 3, FALSE))</f>
        <v>0.43585476578646604</v>
      </c>
      <c r="T11" s="1">
        <f>(Main_S[[#This Row],[P/E]]-VLOOKUP(Main_S[[#This Row],[Industry]], Mean_PE_S, 2, FALSE))/(VLOOKUP(Main_S[[#This Row],[Industry]], Mean_PE_S, 3, FALSE))</f>
        <v>-0.78903877184957594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8" t="s">
        <v>105</v>
      </c>
      <c r="B12" s="68" t="s">
        <v>437</v>
      </c>
      <c r="C12" s="2">
        <v>452</v>
      </c>
      <c r="D12">
        <f>RTD("tos.rtd", , "LAST", Main_S[[#This Row],[Symbol]])</f>
        <v>31.04</v>
      </c>
      <c r="E12">
        <v>2.95</v>
      </c>
      <c r="F12">
        <v>30.51</v>
      </c>
      <c r="G12">
        <v>2.84</v>
      </c>
      <c r="H12" s="1">
        <f>IF(ISNUMBER(Main_S[[#This Row],[Free CF]]),IF(Main_S[[#This Row],[Free CF]]&lt;&gt;0,Main_S[[#This Row],[Current Price]]/Main_S[[#This Row],[Free CF]],""),"")</f>
        <v>10.522033898305084</v>
      </c>
      <c r="I12" s="1">
        <f>IF(ISNUMBER(Main_S[[#This Row],[BVPS]]),IF(Main_S[[#This Row],[BVPS]]&lt;&gt;0,Main_S[[#This Row],[Current Price]]/Main_S[[#This Row],[BVPS]],""),"")</f>
        <v>1.0173713536545395</v>
      </c>
      <c r="J12">
        <v>9.67</v>
      </c>
      <c r="K12">
        <v>1.0900000000000001</v>
      </c>
      <c r="L12">
        <v>8.69</v>
      </c>
      <c r="M12" s="1">
        <f>IF(ISNUMBER(Main_S[[#This Row],[EPS]]),IF(Main_S[[#This Row],[EPS]]&lt;&gt;0,Main_S[[#This Row],[Current Price]]/Main_S[[#This Row],[EPS]],""),"")</f>
        <v>10.929577464788732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-9.7353706450252916E-2</v>
      </c>
      <c r="P12" s="1">
        <f>(Main_S[[#This Row],[P/B]]-VLOOKUP(Main_S[[#This Row],[Industry]], Mean_PB_S, 2, FALSE))/(VLOOKUP(Main_S[[#This Row],[Industry]], Mean_PB_S, 3, FALSE))</f>
        <v>-0.28969848929808856</v>
      </c>
      <c r="Q12" s="1">
        <f>(Main_S[[#This Row],[ROE]]-VLOOKUP(Main_S[[#This Row],[Industry]], Mean_ROE_S, 2, FALSE))/(VLOOKUP(Main_S[[#This Row],[Industry]], Mean_ROE_S, 3, FALSE))</f>
        <v>6.0998500219449442E-2</v>
      </c>
      <c r="R12" s="1">
        <f>(Main_S[[#This Row],[ROA]]-VLOOKUP(Main_S[[#This Row],[Industry]], Mean_ROA_S, 2, FALSE))/(VLOOKUP(Main_S[[#This Row],[Industry]], Mean_ROA_S, 3, FALSE))</f>
        <v>0.27497497014988165</v>
      </c>
      <c r="S12" s="1">
        <f>(Main_S[[#This Row],[A/E]]-VLOOKUP(Main_S[[#This Row],[Industry]], Mean_AE_S, 2, FALSE))/(VLOOKUP(Main_S[[#This Row],[Industry]], Mean_AE_S, 3, FALSE))</f>
        <v>-0.50682419879008411</v>
      </c>
      <c r="T12" s="1">
        <f>(Main_S[[#This Row],[P/E]]-VLOOKUP(Main_S[[#This Row],[Industry]], Mean_PE_S, 2, FALSE))/(VLOOKUP(Main_S[[#This Row],[Industry]], Mean_PE_S, 3, FALSE))</f>
        <v>-0.53183760842035388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8" t="s">
        <v>105</v>
      </c>
      <c r="B13" s="68" t="s">
        <v>438</v>
      </c>
      <c r="C13" s="2">
        <v>1173</v>
      </c>
      <c r="D13">
        <f>RTD("tos.rtd", , "LAST", Main_S[[#This Row],[Symbol]])</f>
        <v>26.78</v>
      </c>
      <c r="E13">
        <v>2.84</v>
      </c>
      <c r="F13">
        <v>26.26</v>
      </c>
      <c r="G13">
        <v>2.46</v>
      </c>
      <c r="H13" s="1">
        <f>IF(ISNUMBER(Main_S[[#This Row],[Free CF]]),IF(Main_S[[#This Row],[Free CF]]&lt;&gt;0,Main_S[[#This Row],[Current Price]]/Main_S[[#This Row],[Free CF]],""),"")</f>
        <v>9.4295774647887338</v>
      </c>
      <c r="I13" s="1">
        <f>IF(ISNUMBER(Main_S[[#This Row],[BVPS]]),IF(Main_S[[#This Row],[BVPS]]&lt;&gt;0,Main_S[[#This Row],[Current Price]]/Main_S[[#This Row],[BVPS]],""),"")</f>
        <v>1.0198019801980198</v>
      </c>
      <c r="J13">
        <v>9.69</v>
      </c>
      <c r="K13">
        <v>0.88</v>
      </c>
      <c r="L13">
        <v>10.039999999999999</v>
      </c>
      <c r="M13" s="1">
        <f>IF(ISNUMBER(Main_S[[#This Row],[EPS]]),IF(Main_S[[#This Row],[EPS]]&lt;&gt;0,Main_S[[#This Row],[Current Price]]/Main_S[[#This Row],[EPS]],""),"")</f>
        <v>10.886178861788618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-0.38311139933605892</v>
      </c>
      <c r="P13" s="1">
        <f>(Main_S[[#This Row],[P/B]]-VLOOKUP(Main_S[[#This Row],[Industry]], Mean_PB_S, 2, FALSE))/(VLOOKUP(Main_S[[#This Row],[Industry]], Mean_PB_S, 3, FALSE))</f>
        <v>-0.28102755604248342</v>
      </c>
      <c r="Q13" s="1">
        <f>(Main_S[[#This Row],[ROE]]-VLOOKUP(Main_S[[#This Row],[Industry]], Mean_ROE_S, 2, FALSE))/(VLOOKUP(Main_S[[#This Row],[Industry]], Mean_ROE_S, 3, FALSE))</f>
        <v>6.5869387829110573E-2</v>
      </c>
      <c r="R13" s="1">
        <f>(Main_S[[#This Row],[ROA]]-VLOOKUP(Main_S[[#This Row],[Industry]], Mean_ROA_S, 2, FALSE))/(VLOOKUP(Main_S[[#This Row],[Industry]], Mean_ROA_S, 3, FALSE))</f>
        <v>-0.21322365584937905</v>
      </c>
      <c r="S13" s="1">
        <f>(Main_S[[#This Row],[A/E]]-VLOOKUP(Main_S[[#This Row],[Industry]], Mean_AE_S, 2, FALSE))/(VLOOKUP(Main_S[[#This Row],[Industry]], Mean_AE_S, 3, FALSE))</f>
        <v>0.27392218291442</v>
      </c>
      <c r="T13" s="1">
        <f>(Main_S[[#This Row],[P/E]]-VLOOKUP(Main_S[[#This Row],[Industry]], Mean_PE_S, 2, FALSE))/(VLOOKUP(Main_S[[#This Row],[Industry]], Mean_PE_S, 3, FALSE))</f>
        <v>-0.54838805010283953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8" t="s">
        <v>105</v>
      </c>
      <c r="B14" s="68" t="s">
        <v>439</v>
      </c>
      <c r="C14" s="2">
        <v>842</v>
      </c>
      <c r="D14">
        <f>RTD("tos.rtd", , "LAST", Main_S[[#This Row],[Symbol]])</f>
        <v>59.03</v>
      </c>
      <c r="E14">
        <v>6.55</v>
      </c>
      <c r="F14">
        <v>49.9</v>
      </c>
      <c r="G14">
        <v>3.98</v>
      </c>
      <c r="H14" s="1">
        <f>IF(ISNUMBER(Main_S[[#This Row],[Free CF]]),IF(Main_S[[#This Row],[Free CF]]&lt;&gt;0,Main_S[[#This Row],[Current Price]]/Main_S[[#This Row],[Free CF]],""),"")</f>
        <v>9.0122137404580158</v>
      </c>
      <c r="I14" s="1">
        <f>IF(ISNUMBER(Main_S[[#This Row],[BVPS]]),IF(Main_S[[#This Row],[BVPS]]&lt;&gt;0,Main_S[[#This Row],[Current Price]]/Main_S[[#This Row],[BVPS]],""),"")</f>
        <v>1.1829659318637276</v>
      </c>
      <c r="J14">
        <v>10.71</v>
      </c>
      <c r="K14">
        <v>1</v>
      </c>
      <c r="L14">
        <v>10.48</v>
      </c>
      <c r="M14" s="1">
        <f>IF(ISNUMBER(Main_S[[#This Row],[EPS]]),IF(Main_S[[#This Row],[EPS]]&lt;&gt;0,Main_S[[#This Row],[Current Price]]/Main_S[[#This Row],[EPS]],""),"")</f>
        <v>14.831658291457288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-0.49228270475378522</v>
      </c>
      <c r="P14" s="1">
        <f>(Main_S[[#This Row],[P/B]]-VLOOKUP(Main_S[[#This Row],[Industry]], Mean_PB_S, 2, FALSE))/(VLOOKUP(Main_S[[#This Row],[Industry]], Mean_PB_S, 3, FALSE))</f>
        <v>0.30103789469859665</v>
      </c>
      <c r="Q14" s="1">
        <f>(Main_S[[#This Row],[ROE]]-VLOOKUP(Main_S[[#This Row],[Industry]], Mean_ROE_S, 2, FALSE))/(VLOOKUP(Main_S[[#This Row],[Industry]], Mean_ROE_S, 3, FALSE))</f>
        <v>0.31428465592183402</v>
      </c>
      <c r="R14" s="1">
        <f>(Main_S[[#This Row],[ROA]]-VLOOKUP(Main_S[[#This Row],[Industry]], Mean_ROA_S, 2, FALSE))/(VLOOKUP(Main_S[[#This Row],[Industry]], Mean_ROA_S, 3, FALSE))</f>
        <v>6.5746987578769803E-2</v>
      </c>
      <c r="S14" s="1">
        <f>(Main_S[[#This Row],[A/E]]-VLOOKUP(Main_S[[#This Row],[Industry]], Mean_AE_S, 2, FALSE))/(VLOOKUP(Main_S[[#This Row],[Industry]], Mean_AE_S, 3, FALSE))</f>
        <v>0.52838767028477773</v>
      </c>
      <c r="T14" s="1">
        <f>(Main_S[[#This Row],[P/E]]-VLOOKUP(Main_S[[#This Row],[Industry]], Mean_PE_S, 2, FALSE))/(VLOOKUP(Main_S[[#This Row],[Industry]], Mean_PE_S, 3, FALSE))</f>
        <v>0.95625547978237657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8" t="s">
        <v>105</v>
      </c>
      <c r="B15" s="68" t="s">
        <v>440</v>
      </c>
      <c r="C15" s="2">
        <v>341</v>
      </c>
      <c r="D15">
        <f>RTD("tos.rtd", , "LAST", Main_S[[#This Row],[Symbol]])</f>
        <v>21.58</v>
      </c>
      <c r="E15">
        <v>1.74</v>
      </c>
      <c r="F15">
        <v>27.38</v>
      </c>
      <c r="G15">
        <v>-0.4</v>
      </c>
      <c r="H15" s="1">
        <f>IF(ISNUMBER(Main_S[[#This Row],[Free CF]]),IF(Main_S[[#This Row],[Free CF]]&lt;&gt;0,Main_S[[#This Row],[Current Price]]/Main_S[[#This Row],[Free CF]],""),"")</f>
        <v>12.402298850574711</v>
      </c>
      <c r="I15" s="1">
        <f>IF(ISNUMBER(Main_S[[#This Row],[BVPS]]),IF(Main_S[[#This Row],[BVPS]]&lt;&gt;0,Main_S[[#This Row],[Current Price]]/Main_S[[#This Row],[BVPS]],""),"")</f>
        <v>0.78816654492330163</v>
      </c>
      <c r="J15">
        <v>-1.47</v>
      </c>
      <c r="K15">
        <v>-0.17</v>
      </c>
      <c r="L15">
        <v>8.61</v>
      </c>
      <c r="M15" s="1">
        <f>IF(ISNUMBER(Main_S[[#This Row],[EPS]]),IF(Main_S[[#This Row],[EPS]]&lt;&gt;0,Main_S[[#This Row],[Current Price]]/Main_S[[#This Row],[EPS]],""),"")</f>
        <v>-53.949999999999996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0.39447384684189146</v>
      </c>
      <c r="P15" s="1">
        <f>(Main_S[[#This Row],[P/B]]-VLOOKUP(Main_S[[#This Row],[Industry]], Mean_PB_S, 2, FALSE))/(VLOOKUP(Main_S[[#This Row],[Industry]], Mean_PB_S, 3, FALSE))</f>
        <v>-1.1073558146091813</v>
      </c>
      <c r="Q15" s="1">
        <f>(Main_S[[#This Row],[ROE]]-VLOOKUP(Main_S[[#This Row],[Industry]], Mean_ROE_S, 2, FALSE))/(VLOOKUP(Main_S[[#This Row],[Industry]], Mean_ROE_S, 3, FALSE))</f>
        <v>-2.6520858983618605</v>
      </c>
      <c r="R15" s="1">
        <f>(Main_S[[#This Row],[ROA]]-VLOOKUP(Main_S[[#This Row],[Industry]], Mean_ROA_S, 2, FALSE))/(VLOOKUP(Main_S[[#This Row],[Industry]], Mean_ROA_S, 3, FALSE))</f>
        <v>-2.6542167858456818</v>
      </c>
      <c r="S15" s="1">
        <f>(Main_S[[#This Row],[A/E]]-VLOOKUP(Main_S[[#This Row],[Industry]], Mean_AE_S, 2, FALSE))/(VLOOKUP(Main_S[[#This Row],[Industry]], Mean_AE_S, 3, FALSE))</f>
        <v>-0.55309065103924004</v>
      </c>
      <c r="T15" s="1">
        <f>(Main_S[[#This Row],[P/E]]-VLOOKUP(Main_S[[#This Row],[Industry]], Mean_PE_S, 2, FALSE))/(VLOOKUP(Main_S[[#This Row],[Industry]], Mean_PE_S, 3, FALSE))</f>
        <v>-25.274239183247204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" spans="1:26" x14ac:dyDescent="0.25">
      <c r="A16" s="68" t="s">
        <v>105</v>
      </c>
      <c r="B16" s="68" t="s">
        <v>441</v>
      </c>
      <c r="C16" s="2">
        <v>306</v>
      </c>
      <c r="D16">
        <f>RTD("tos.rtd", , "LAST", Main_S[[#This Row],[Symbol]])</f>
        <v>3.51</v>
      </c>
      <c r="E16">
        <v>-0.14000000000000001</v>
      </c>
      <c r="F16">
        <v>3.85</v>
      </c>
      <c r="G16">
        <v>-0.2</v>
      </c>
      <c r="H16" s="1">
        <f>IF(ISNUMBER(Main_S[[#This Row],[Free CF]]),IF(Main_S[[#This Row],[Free CF]]&lt;&gt;0,Main_S[[#This Row],[Current Price]]/Main_S[[#This Row],[Free CF]],""),"")</f>
        <v>-25.071428571428566</v>
      </c>
      <c r="I16" s="1">
        <f>IF(ISNUMBER(Main_S[[#This Row],[BVPS]]),IF(Main_S[[#This Row],[BVPS]]&lt;&gt;0,Main_S[[#This Row],[Current Price]]/Main_S[[#This Row],[BVPS]],""),"")</f>
        <v>0.91168831168831166</v>
      </c>
      <c r="J16">
        <v>-4.9800000000000004</v>
      </c>
      <c r="K16">
        <v>-0.45</v>
      </c>
      <c r="L16">
        <v>7.94</v>
      </c>
      <c r="M16" s="1">
        <f>IF(ISNUMBER(Main_S[[#This Row],[EPS]]),IF(Main_S[[#This Row],[EPS]]&lt;&gt;0,Main_S[[#This Row],[Current Price]]/Main_S[[#This Row],[EPS]],""),"")</f>
        <v>-17.549999999999997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-9.4076615641561272</v>
      </c>
      <c r="P16" s="1">
        <f>(Main_S[[#This Row],[P/B]]-VLOOKUP(Main_S[[#This Row],[Industry]], Mean_PB_S, 2, FALSE))/(VLOOKUP(Main_S[[#This Row],[Industry]], Mean_PB_S, 3, FALSE))</f>
        <v>-0.66670852631773858</v>
      </c>
      <c r="Q16" s="1">
        <f>(Main_S[[#This Row],[ROE]]-VLOOKUP(Main_S[[#This Row],[Industry]], Mean_ROE_S, 2, FALSE))/(VLOOKUP(Main_S[[#This Row],[Industry]], Mean_ROE_S, 3, FALSE))</f>
        <v>-3.5069266738574076</v>
      </c>
      <c r="R16" s="1">
        <f>(Main_S[[#This Row],[ROA]]-VLOOKUP(Main_S[[#This Row],[Industry]], Mean_ROA_S, 2, FALSE))/(VLOOKUP(Main_S[[#This Row],[Industry]], Mean_ROA_S, 3, FALSE))</f>
        <v>-3.3051482871780289</v>
      </c>
      <c r="S16" s="1">
        <f>(Main_S[[#This Row],[A/E]]-VLOOKUP(Main_S[[#This Row],[Industry]], Mean_AE_S, 2, FALSE))/(VLOOKUP(Main_S[[#This Row],[Industry]], Mean_AE_S, 3, FALSE))</f>
        <v>-0.9405721886259194</v>
      </c>
      <c r="T16" s="1">
        <f>(Main_S[[#This Row],[P/E]]-VLOOKUP(Main_S[[#This Row],[Industry]], Mean_PE_S, 2, FALSE))/(VLOOKUP(Main_S[[#This Row],[Industry]], Mean_PE_S, 3, FALSE))</f>
        <v>-11.392776749055471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s="68" t="s">
        <v>105</v>
      </c>
      <c r="B17" s="68" t="s">
        <v>442</v>
      </c>
      <c r="C17" s="2">
        <v>945</v>
      </c>
      <c r="D17">
        <f>RTD("tos.rtd", , "LAST", Main_S[[#This Row],[Symbol]])</f>
        <v>11.09</v>
      </c>
      <c r="E17">
        <v>1.1200000000000001</v>
      </c>
      <c r="F17">
        <v>13.92</v>
      </c>
      <c r="G17">
        <v>0.82</v>
      </c>
      <c r="H17" s="1">
        <f>IF(ISNUMBER(Main_S[[#This Row],[Free CF]]),IF(Main_S[[#This Row],[Free CF]]&lt;&gt;0,Main_S[[#This Row],[Current Price]]/Main_S[[#This Row],[Free CF]],""),"")</f>
        <v>9.9017857142857135</v>
      </c>
      <c r="I17" s="1">
        <f>IF(ISNUMBER(Main_S[[#This Row],[BVPS]]),IF(Main_S[[#This Row],[BVPS]]&lt;&gt;0,Main_S[[#This Row],[Current Price]]/Main_S[[#This Row],[BVPS]],""),"")</f>
        <v>0.79669540229885061</v>
      </c>
      <c r="J17">
        <v>6.01</v>
      </c>
      <c r="K17">
        <v>0.63</v>
      </c>
      <c r="L17">
        <v>9.2899999999999991</v>
      </c>
      <c r="M17" s="1">
        <f>IF(ISNUMBER(Main_S[[#This Row],[EPS]]),IF(Main_S[[#This Row],[EPS]]&lt;&gt;0,Main_S[[#This Row],[Current Price]]/Main_S[[#This Row],[EPS]],""),"")</f>
        <v>13.52439024390244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-0.25959421750797235</v>
      </c>
      <c r="P17" s="1">
        <f>(Main_S[[#This Row],[P/B]]-VLOOKUP(Main_S[[#This Row],[Industry]], Mean_PB_S, 2, FALSE))/(VLOOKUP(Main_S[[#This Row],[Industry]], Mean_PB_S, 3, FALSE))</f>
        <v>-1.076930263119865</v>
      </c>
      <c r="Q17" s="1">
        <f>(Main_S[[#This Row],[ROE]]-VLOOKUP(Main_S[[#This Row],[Industry]], Mean_ROE_S, 2, FALSE))/(VLOOKUP(Main_S[[#This Row],[Industry]], Mean_ROE_S, 3, FALSE))</f>
        <v>-0.83037393234855716</v>
      </c>
      <c r="R17" s="1">
        <f>(Main_S[[#This Row],[ROA]]-VLOOKUP(Main_S[[#This Row],[Industry]], Mean_ROA_S, 2, FALSE))/(VLOOKUP(Main_S[[#This Row],[Industry]], Mean_ROA_S, 3, FALSE))</f>
        <v>-0.79441249632468913</v>
      </c>
      <c r="S17" s="1">
        <f>(Main_S[[#This Row],[A/E]]-VLOOKUP(Main_S[[#This Row],[Industry]], Mean_AE_S, 2, FALSE))/(VLOOKUP(Main_S[[#This Row],[Industry]], Mean_AE_S, 3, FALSE))</f>
        <v>-0.15982580692141576</v>
      </c>
      <c r="T17" s="1">
        <f>(Main_S[[#This Row],[P/E]]-VLOOKUP(Main_S[[#This Row],[Industry]], Mean_PE_S, 2, FALSE))/(VLOOKUP(Main_S[[#This Row],[Industry]], Mean_PE_S, 3, FALSE))</f>
        <v>0.45771722995952513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8" t="s">
        <v>105</v>
      </c>
      <c r="B18" s="68" t="s">
        <v>443</v>
      </c>
      <c r="C18" s="2">
        <v>364</v>
      </c>
      <c r="D18">
        <f>RTD("tos.rtd", , "LAST", Main_S[[#This Row],[Symbol]])</f>
        <v>28.42</v>
      </c>
      <c r="E18">
        <v>6.35</v>
      </c>
      <c r="F18">
        <v>25.85</v>
      </c>
      <c r="G18">
        <v>2.83</v>
      </c>
      <c r="H18" s="1">
        <f>IF(ISNUMBER(Main_S[[#This Row],[Free CF]]),IF(Main_S[[#This Row],[Free CF]]&lt;&gt;0,Main_S[[#This Row],[Current Price]]/Main_S[[#This Row],[Free CF]],""),"")</f>
        <v>4.4755905511811029</v>
      </c>
      <c r="I18" s="1">
        <f>IF(ISNUMBER(Main_S[[#This Row],[BVPS]]),IF(Main_S[[#This Row],[BVPS]]&lt;&gt;0,Main_S[[#This Row],[Current Price]]/Main_S[[#This Row],[BVPS]],""),"")</f>
        <v>1.0994197292069632</v>
      </c>
      <c r="J18">
        <v>11.58</v>
      </c>
      <c r="K18">
        <v>1.1299999999999999</v>
      </c>
      <c r="L18">
        <v>10.25</v>
      </c>
      <c r="M18" s="1">
        <f>IF(ISNUMBER(Main_S[[#This Row],[EPS]]),IF(Main_S[[#This Row],[EPS]]&lt;&gt;0,Main_S[[#This Row],[Current Price]]/Main_S[[#This Row],[EPS]],""),"")</f>
        <v>10.042402826855124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-1.6789432765509631</v>
      </c>
      <c r="P18" s="1">
        <f>(Main_S[[#This Row],[P/B]]-VLOOKUP(Main_S[[#This Row],[Industry]], Mean_PB_S, 2, FALSE))/(VLOOKUP(Main_S[[#This Row],[Industry]], Mean_PB_S, 3, FALSE))</f>
        <v>2.9980543376105975E-3</v>
      </c>
      <c r="Q18" s="1">
        <f>(Main_S[[#This Row],[ROE]]-VLOOKUP(Main_S[[#This Row],[Industry]], Mean_ROE_S, 2, FALSE))/(VLOOKUP(Main_S[[#This Row],[Industry]], Mean_ROE_S, 3, FALSE))</f>
        <v>0.52616826694209773</v>
      </c>
      <c r="R18" s="1">
        <f>(Main_S[[#This Row],[ROA]]-VLOOKUP(Main_S[[#This Row],[Industry]], Mean_ROA_S, 2, FALSE))/(VLOOKUP(Main_S[[#This Row],[Industry]], Mean_ROA_S, 3, FALSE))</f>
        <v>0.36796518462593081</v>
      </c>
      <c r="S18" s="1">
        <f>(Main_S[[#This Row],[A/E]]-VLOOKUP(Main_S[[#This Row],[Industry]], Mean_AE_S, 2, FALSE))/(VLOOKUP(Main_S[[#This Row],[Industry]], Mean_AE_S, 3, FALSE))</f>
        <v>0.3953716200684545</v>
      </c>
      <c r="T18" s="1">
        <f>(Main_S[[#This Row],[P/E]]-VLOOKUP(Main_S[[#This Row],[Industry]], Mean_PE_S, 2, FALSE))/(VLOOKUP(Main_S[[#This Row],[Industry]], Mean_PE_S, 3, FALSE))</f>
        <v>-0.87016951526219555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8" t="s">
        <v>105</v>
      </c>
      <c r="B19" s="68" t="s">
        <v>444</v>
      </c>
      <c r="C19" s="2">
        <v>349</v>
      </c>
      <c r="D19">
        <f>RTD("tos.rtd", , "LAST", Main_S[[#This Row],[Symbol]])</f>
        <v>39.15</v>
      </c>
      <c r="E19">
        <v>5.47</v>
      </c>
      <c r="F19">
        <v>23.46</v>
      </c>
      <c r="G19">
        <v>4.71</v>
      </c>
      <c r="H19" s="1">
        <f>IF(ISNUMBER(Main_S[[#This Row],[Free CF]]),IF(Main_S[[#This Row],[Free CF]]&lt;&gt;0,Main_S[[#This Row],[Current Price]]/Main_S[[#This Row],[Free CF]],""),"")</f>
        <v>7.1572212065813527</v>
      </c>
      <c r="I19" s="1">
        <f>IF(ISNUMBER(Main_S[[#This Row],[BVPS]]),IF(Main_S[[#This Row],[BVPS]]&lt;&gt;0,Main_S[[#This Row],[Current Price]]/Main_S[[#This Row],[BVPS]],""),"")</f>
        <v>1.6687979539641942</v>
      </c>
      <c r="J19">
        <v>22.26</v>
      </c>
      <c r="K19">
        <v>2.5099999999999998</v>
      </c>
      <c r="L19">
        <v>8.06</v>
      </c>
      <c r="M19" s="1">
        <f>IF(ISNUMBER(Main_S[[#This Row],[EPS]]),IF(Main_S[[#This Row],[EPS]]&lt;&gt;0,Main_S[[#This Row],[Current Price]]/Main_S[[#This Row],[EPS]],""),"")</f>
        <v>8.3121019108280247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-0.97749966218868978</v>
      </c>
      <c r="P19" s="1">
        <f>(Main_S[[#This Row],[P/B]]-VLOOKUP(Main_S[[#This Row],[Industry]], Mean_PB_S, 2, FALSE))/(VLOOKUP(Main_S[[#This Row],[Industry]], Mean_PB_S, 3, FALSE))</f>
        <v>2.0341782853391339</v>
      </c>
      <c r="Q19" s="1">
        <f>(Main_S[[#This Row],[ROE]]-VLOOKUP(Main_S[[#This Row],[Industry]], Mean_ROE_S, 2, FALSE))/(VLOOKUP(Main_S[[#This Row],[Industry]], Mean_ROE_S, 3, FALSE))</f>
        <v>3.1272222505011991</v>
      </c>
      <c r="R19" s="1">
        <f>(Main_S[[#This Row],[ROA]]-VLOOKUP(Main_S[[#This Row],[Industry]], Mean_ROA_S, 2, FALSE))/(VLOOKUP(Main_S[[#This Row],[Industry]], Mean_ROA_S, 3, FALSE))</f>
        <v>3.576127584049642</v>
      </c>
      <c r="S19" s="1">
        <f>(Main_S[[#This Row],[A/E]]-VLOOKUP(Main_S[[#This Row],[Industry]], Mean_AE_S, 2, FALSE))/(VLOOKUP(Main_S[[#This Row],[Industry]], Mean_AE_S, 3, FALSE))</f>
        <v>-0.87117251025218567</v>
      </c>
      <c r="T19" s="1">
        <f>(Main_S[[#This Row],[P/E]]-VLOOKUP(Main_S[[#This Row],[Industry]], Mean_PE_S, 2, FALSE))/(VLOOKUP(Main_S[[#This Row],[Industry]], Mean_PE_S, 3, FALSE))</f>
        <v>-1.5300350967368583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8" t="s">
        <v>105</v>
      </c>
      <c r="B20" s="68" t="s">
        <v>445</v>
      </c>
      <c r="C20" s="2">
        <v>1947</v>
      </c>
      <c r="D20">
        <f>RTD("tos.rtd", , "LAST", Main_S[[#This Row],[Symbol]])</f>
        <v>22.52</v>
      </c>
      <c r="E20">
        <v>3.04</v>
      </c>
      <c r="F20">
        <v>24.22</v>
      </c>
      <c r="G20">
        <v>0.95</v>
      </c>
      <c r="H20" s="1">
        <f>IF(ISNUMBER(Main_S[[#This Row],[Free CF]]),IF(Main_S[[#This Row],[Free CF]]&lt;&gt;0,Main_S[[#This Row],[Current Price]]/Main_S[[#This Row],[Free CF]],""),"")</f>
        <v>7.4078947368421053</v>
      </c>
      <c r="I20" s="1">
        <f>IF(ISNUMBER(Main_S[[#This Row],[BVPS]]),IF(Main_S[[#This Row],[BVPS]]&lt;&gt;0,Main_S[[#This Row],[Current Price]]/Main_S[[#This Row],[BVPS]],""),"")</f>
        <v>0.92981007431874485</v>
      </c>
      <c r="J20">
        <v>3.32</v>
      </c>
      <c r="K20">
        <v>0.37</v>
      </c>
      <c r="L20">
        <v>8.93</v>
      </c>
      <c r="M20" s="1">
        <f>IF(ISNUMBER(Main_S[[#This Row],[EPS]]),IF(Main_S[[#This Row],[EPS]]&lt;&gt;0,Main_S[[#This Row],[Current Price]]/Main_S[[#This Row],[EPS]],""),"")</f>
        <v>23.705263157894738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-0.9119301003487843</v>
      </c>
      <c r="P20" s="1">
        <f>(Main_S[[#This Row],[P/B]]-VLOOKUP(Main_S[[#This Row],[Industry]], Mean_PB_S, 2, FALSE))/(VLOOKUP(Main_S[[#This Row],[Industry]], Mean_PB_S, 3, FALSE))</f>
        <v>-0.60206157565233098</v>
      </c>
      <c r="Q20" s="1">
        <f>(Main_S[[#This Row],[ROE]]-VLOOKUP(Main_S[[#This Row],[Industry]], Mean_ROE_S, 2, FALSE))/(VLOOKUP(Main_S[[#This Row],[Industry]], Mean_ROE_S, 3, FALSE))</f>
        <v>-1.4855083158479936</v>
      </c>
      <c r="R20" s="1">
        <f>(Main_S[[#This Row],[ROA]]-VLOOKUP(Main_S[[#This Row],[Industry]], Mean_ROA_S, 2, FALSE))/(VLOOKUP(Main_S[[#This Row],[Industry]], Mean_ROA_S, 3, FALSE))</f>
        <v>-1.3988488904190117</v>
      </c>
      <c r="S20" s="1">
        <f>(Main_S[[#This Row],[A/E]]-VLOOKUP(Main_S[[#This Row],[Industry]], Mean_AE_S, 2, FALSE))/(VLOOKUP(Main_S[[#This Row],[Industry]], Mean_AE_S, 3, FALSE))</f>
        <v>-0.3680248420426166</v>
      </c>
      <c r="T20" s="1">
        <f>(Main_S[[#This Row],[P/E]]-VLOOKUP(Main_S[[#This Row],[Industry]], Mean_PE_S, 2, FALSE))/(VLOOKUP(Main_S[[#This Row],[Industry]], Mean_PE_S, 3, FALSE))</f>
        <v>4.3402832987195321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" spans="1:26" x14ac:dyDescent="0.25">
      <c r="A21" s="68" t="s">
        <v>105</v>
      </c>
      <c r="B21" s="68" t="s">
        <v>446</v>
      </c>
      <c r="C21" s="2">
        <v>428</v>
      </c>
      <c r="D21">
        <f>RTD("tos.rtd", , "LAST", Main_S[[#This Row],[Symbol]])</f>
        <v>15.85</v>
      </c>
      <c r="E21">
        <v>1.38</v>
      </c>
      <c r="F21">
        <v>14.6</v>
      </c>
      <c r="G21">
        <v>1.1000000000000001</v>
      </c>
      <c r="H21" s="1">
        <f>IF(ISNUMBER(Main_S[[#This Row],[Free CF]]),IF(Main_S[[#This Row],[Free CF]]&lt;&gt;0,Main_S[[#This Row],[Current Price]]/Main_S[[#This Row],[Free CF]],""),"")</f>
        <v>11.485507246376812</v>
      </c>
      <c r="I21" s="1">
        <f>IF(ISNUMBER(Main_S[[#This Row],[BVPS]]),IF(Main_S[[#This Row],[BVPS]]&lt;&gt;0,Main_S[[#This Row],[Current Price]]/Main_S[[#This Row],[BVPS]],""),"")</f>
        <v>1.0856164383561644</v>
      </c>
      <c r="J21">
        <v>7.67</v>
      </c>
      <c r="K21">
        <v>0.7</v>
      </c>
      <c r="L21">
        <v>12.76</v>
      </c>
      <c r="M21" s="1">
        <f>IF(ISNUMBER(Main_S[[#This Row],[EPS]]),IF(Main_S[[#This Row],[EPS]]&lt;&gt;0,Main_S[[#This Row],[Current Price]]/Main_S[[#This Row],[EPS]],""),"")</f>
        <v>14.409090909090908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0.15466542461546168</v>
      </c>
      <c r="P21" s="1">
        <f>(Main_S[[#This Row],[P/B]]-VLOOKUP(Main_S[[#This Row],[Industry]], Mean_PB_S, 2, FALSE))/(VLOOKUP(Main_S[[#This Row],[Industry]], Mean_PB_S, 3, FALSE))</f>
        <v>-4.6243329122146723E-2</v>
      </c>
      <c r="Q21" s="1">
        <f>(Main_S[[#This Row],[ROE]]-VLOOKUP(Main_S[[#This Row],[Industry]], Mean_ROE_S, 2, FALSE))/(VLOOKUP(Main_S[[#This Row],[Industry]], Mean_ROE_S, 3, FALSE))</f>
        <v>-0.42609026074667439</v>
      </c>
      <c r="R21" s="1">
        <f>(Main_S[[#This Row],[ROA]]-VLOOKUP(Main_S[[#This Row],[Industry]], Mean_ROA_S, 2, FALSE))/(VLOOKUP(Main_S[[#This Row],[Industry]], Mean_ROA_S, 3, FALSE))</f>
        <v>-0.63167962099160246</v>
      </c>
      <c r="S21" s="1">
        <f>(Main_S[[#This Row],[A/E]]-VLOOKUP(Main_S[[#This Row],[Industry]], Mean_AE_S, 2, FALSE))/(VLOOKUP(Main_S[[#This Row],[Industry]], Mean_AE_S, 3, FALSE))</f>
        <v>1.8469815593857182</v>
      </c>
      <c r="T21" s="1">
        <f>(Main_S[[#This Row],[P/E]]-VLOOKUP(Main_S[[#This Row],[Industry]], Mean_PE_S, 2, FALSE))/(VLOOKUP(Main_S[[#This Row],[Industry]], Mean_PE_S, 3, FALSE))</f>
        <v>0.79510566538035377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8" t="s">
        <v>105</v>
      </c>
      <c r="B22" s="68" t="s">
        <v>447</v>
      </c>
      <c r="C22" s="2">
        <v>268</v>
      </c>
      <c r="D22">
        <f>RTD("tos.rtd", , "LAST", Main_S[[#This Row],[Symbol]])</f>
        <v>34.869999999999997</v>
      </c>
      <c r="E22">
        <v>3.8</v>
      </c>
      <c r="F22">
        <v>35.909999999999997</v>
      </c>
      <c r="G22">
        <v>1.62</v>
      </c>
      <c r="H22" s="1">
        <f>IF(ISNUMBER(Main_S[[#This Row],[Free CF]]),IF(Main_S[[#This Row],[Free CF]]&lt;&gt;0,Main_S[[#This Row],[Current Price]]/Main_S[[#This Row],[Free CF]],""),"")</f>
        <v>9.1763157894736835</v>
      </c>
      <c r="I22" s="1">
        <f>IF(ISNUMBER(Main_S[[#This Row],[BVPS]]),IF(Main_S[[#This Row],[BVPS]]&lt;&gt;0,Main_S[[#This Row],[Current Price]]/Main_S[[#This Row],[BVPS]],""),"")</f>
        <v>0.97103870788081315</v>
      </c>
      <c r="J22">
        <v>4.75</v>
      </c>
      <c r="K22">
        <v>0.41</v>
      </c>
      <c r="L22">
        <v>11.57</v>
      </c>
      <c r="M22" s="1">
        <f>IF(ISNUMBER(Main_S[[#This Row],[EPS]]),IF(Main_S[[#This Row],[EPS]]&lt;&gt;0,Main_S[[#This Row],[Current Price]]/Main_S[[#This Row],[EPS]],""),"")</f>
        <v>21.52469135802469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-0.44935795143102597</v>
      </c>
      <c r="P22" s="1">
        <f>(Main_S[[#This Row],[P/B]]-VLOOKUP(Main_S[[#This Row],[Industry]], Mean_PB_S, 2, FALSE))/(VLOOKUP(Main_S[[#This Row],[Industry]], Mean_PB_S, 3, FALSE))</f>
        <v>-0.45498397099299415</v>
      </c>
      <c r="Q22" s="1">
        <f>(Main_S[[#This Row],[ROE]]-VLOOKUP(Main_S[[#This Row],[Industry]], Mean_ROE_S, 2, FALSE))/(VLOOKUP(Main_S[[#This Row],[Industry]], Mean_ROE_S, 3, FALSE))</f>
        <v>-1.1372398517572151</v>
      </c>
      <c r="R22" s="1">
        <f>(Main_S[[#This Row],[ROA]]-VLOOKUP(Main_S[[#This Row],[Industry]], Mean_ROA_S, 2, FALSE))/(VLOOKUP(Main_S[[#This Row],[Industry]], Mean_ROA_S, 3, FALSE))</f>
        <v>-1.305858675942962</v>
      </c>
      <c r="S22" s="1">
        <f>(Main_S[[#This Row],[A/E]]-VLOOKUP(Main_S[[#This Row],[Industry]], Mean_AE_S, 2, FALSE))/(VLOOKUP(Main_S[[#This Row],[Industry]], Mean_AE_S, 3, FALSE))</f>
        <v>1.1587680821795256</v>
      </c>
      <c r="T22" s="1">
        <f>(Main_S[[#This Row],[P/E]]-VLOOKUP(Main_S[[#This Row],[Industry]], Mean_PE_S, 2, FALSE))/(VLOOKUP(Main_S[[#This Row],[Industry]], Mean_PE_S, 3, FALSE))</f>
        <v>3.5087029271548631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" spans="1:26" x14ac:dyDescent="0.25">
      <c r="A23" s="68" t="s">
        <v>105</v>
      </c>
      <c r="B23" s="68" t="s">
        <v>448</v>
      </c>
      <c r="C23" s="2">
        <v>1198</v>
      </c>
      <c r="D23">
        <f>RTD("tos.rtd", , "LAST", Main_S[[#This Row],[Symbol]])</f>
        <v>27.18</v>
      </c>
      <c r="E23">
        <v>3.08</v>
      </c>
      <c r="F23">
        <v>25.32</v>
      </c>
      <c r="G23">
        <v>2.69</v>
      </c>
      <c r="H23" s="1">
        <f>IF(ISNUMBER(Main_S[[#This Row],[Free CF]]),IF(Main_S[[#This Row],[Free CF]]&lt;&gt;0,Main_S[[#This Row],[Current Price]]/Main_S[[#This Row],[Free CF]],""),"")</f>
        <v>8.824675324675324</v>
      </c>
      <c r="I23" s="1">
        <f>IF(ISNUMBER(Main_S[[#This Row],[BVPS]]),IF(Main_S[[#This Row],[BVPS]]&lt;&gt;0,Main_S[[#This Row],[Current Price]]/Main_S[[#This Row],[BVPS]],""),"")</f>
        <v>1.0734597156398105</v>
      </c>
      <c r="J23">
        <v>11.08</v>
      </c>
      <c r="K23">
        <v>1.25</v>
      </c>
      <c r="L23">
        <v>8.4700000000000006</v>
      </c>
      <c r="M23" s="1">
        <f>IF(ISNUMBER(Main_S[[#This Row],[EPS]]),IF(Main_S[[#This Row],[EPS]]&lt;&gt;0,Main_S[[#This Row],[Current Price]]/Main_S[[#This Row],[EPS]],""),"")</f>
        <v>10.104089219330856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-0.54133779141662464</v>
      </c>
      <c r="P23" s="1">
        <f>(Main_S[[#This Row],[P/B]]-VLOOKUP(Main_S[[#This Row],[Industry]], Mean_PB_S, 2, FALSE))/(VLOOKUP(Main_S[[#This Row],[Industry]], Mean_PB_S, 3, FALSE))</f>
        <v>-8.9610802238551057E-2</v>
      </c>
      <c r="Q23" s="1">
        <f>(Main_S[[#This Row],[ROE]]-VLOOKUP(Main_S[[#This Row],[Industry]], Mean_ROE_S, 2, FALSE))/(VLOOKUP(Main_S[[#This Row],[Industry]], Mean_ROE_S, 3, FALSE))</f>
        <v>0.40439607670056676</v>
      </c>
      <c r="R23" s="1">
        <f>(Main_S[[#This Row],[ROA]]-VLOOKUP(Main_S[[#This Row],[Industry]], Mean_ROA_S, 2, FALSE))/(VLOOKUP(Main_S[[#This Row],[Industry]], Mean_ROA_S, 3, FALSE))</f>
        <v>0.6469358280540799</v>
      </c>
      <c r="S23" s="1">
        <f>(Main_S[[#This Row],[A/E]]-VLOOKUP(Main_S[[#This Row],[Industry]], Mean_AE_S, 2, FALSE))/(VLOOKUP(Main_S[[#This Row],[Industry]], Mean_AE_S, 3, FALSE))</f>
        <v>-0.63405694247526201</v>
      </c>
      <c r="T23" s="1">
        <f>(Main_S[[#This Row],[P/E]]-VLOOKUP(Main_S[[#This Row],[Industry]], Mean_PE_S, 2, FALSE))/(VLOOKUP(Main_S[[#This Row],[Industry]], Mean_PE_S, 3, FALSE))</f>
        <v>-0.84664486306844067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8" t="s">
        <v>105</v>
      </c>
      <c r="B24" s="68" t="s">
        <v>449</v>
      </c>
      <c r="C24" s="2">
        <v>663</v>
      </c>
      <c r="D24">
        <f>RTD("tos.rtd", , "LAST", Main_S[[#This Row],[Symbol]])</f>
        <v>41.31</v>
      </c>
      <c r="E24">
        <v>3.8</v>
      </c>
      <c r="F24">
        <v>36.44</v>
      </c>
      <c r="G24">
        <v>3.62</v>
      </c>
      <c r="H24" s="1">
        <f>IF(ISNUMBER(Main_S[[#This Row],[Free CF]]),IF(Main_S[[#This Row],[Free CF]]&lt;&gt;0,Main_S[[#This Row],[Current Price]]/Main_S[[#This Row],[Free CF]],""),"")</f>
        <v>10.871052631578948</v>
      </c>
      <c r="I24" s="1">
        <f>IF(ISNUMBER(Main_S[[#This Row],[BVPS]]),IF(Main_S[[#This Row],[BVPS]]&lt;&gt;0,Main_S[[#This Row],[Current Price]]/Main_S[[#This Row],[BVPS]],""),"")</f>
        <v>1.1336443468715698</v>
      </c>
      <c r="J24">
        <v>10.33</v>
      </c>
      <c r="K24">
        <v>0.92</v>
      </c>
      <c r="L24">
        <v>10.93</v>
      </c>
      <c r="M24" s="1">
        <f>IF(ISNUMBER(Main_S[[#This Row],[EPS]]),IF(Main_S[[#This Row],[EPS]]&lt;&gt;0,Main_S[[#This Row],[Current Price]]/Main_S[[#This Row],[EPS]],""),"")</f>
        <v>11.411602209944752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-6.0596420515071203E-3</v>
      </c>
      <c r="P24" s="1">
        <f>(Main_S[[#This Row],[P/B]]-VLOOKUP(Main_S[[#This Row],[Industry]], Mean_PB_S, 2, FALSE))/(VLOOKUP(Main_S[[#This Row],[Industry]], Mean_PB_S, 3, FALSE))</f>
        <v>0.12508977437761484</v>
      </c>
      <c r="Q24" s="1">
        <f>(Main_S[[#This Row],[ROE]]-VLOOKUP(Main_S[[#This Row],[Industry]], Mean_ROE_S, 2, FALSE))/(VLOOKUP(Main_S[[#This Row],[Industry]], Mean_ROE_S, 3, FALSE))</f>
        <v>0.22173779133827035</v>
      </c>
      <c r="R24" s="1">
        <f>(Main_S[[#This Row],[ROA]]-VLOOKUP(Main_S[[#This Row],[Industry]], Mean_ROA_S, 2, FALSE))/(VLOOKUP(Main_S[[#This Row],[Industry]], Mean_ROA_S, 3, FALSE))</f>
        <v>-0.12023344137332935</v>
      </c>
      <c r="S24" s="1">
        <f>(Main_S[[#This Row],[A/E]]-VLOOKUP(Main_S[[#This Row],[Industry]], Mean_AE_S, 2, FALSE))/(VLOOKUP(Main_S[[#This Row],[Industry]], Mean_AE_S, 3, FALSE))</f>
        <v>0.78863646418627875</v>
      </c>
      <c r="T24" s="1">
        <f>(Main_S[[#This Row],[P/E]]-VLOOKUP(Main_S[[#This Row],[Industry]], Mean_PE_S, 2, FALSE))/(VLOOKUP(Main_S[[#This Row],[Industry]], Mean_PE_S, 3, FALSE))</f>
        <v>-0.34801320204029534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8" t="s">
        <v>105</v>
      </c>
      <c r="B25" s="68" t="s">
        <v>450</v>
      </c>
      <c r="C25" s="2">
        <v>359</v>
      </c>
      <c r="D25">
        <f>RTD("tos.rtd", , "LAST", Main_S[[#This Row],[Symbol]])</f>
        <v>15.73</v>
      </c>
      <c r="E25">
        <v>1.26</v>
      </c>
      <c r="F25">
        <v>17.350000000000001</v>
      </c>
      <c r="G25">
        <v>1.2</v>
      </c>
      <c r="H25" s="1">
        <f>IF(ISNUMBER(Main_S[[#This Row],[Free CF]]),IF(Main_S[[#This Row],[Free CF]]&lt;&gt;0,Main_S[[#This Row],[Current Price]]/Main_S[[#This Row],[Free CF]],""),"")</f>
        <v>12.484126984126984</v>
      </c>
      <c r="I25" s="1">
        <f>IF(ISNUMBER(Main_S[[#This Row],[BVPS]]),IF(Main_S[[#This Row],[BVPS]]&lt;&gt;0,Main_S[[#This Row],[Current Price]]/Main_S[[#This Row],[BVPS]],""),"")</f>
        <v>0.90662824207492787</v>
      </c>
      <c r="J25">
        <v>7.27</v>
      </c>
      <c r="K25">
        <v>0.6</v>
      </c>
      <c r="L25">
        <v>11.7</v>
      </c>
      <c r="M25" s="1">
        <f>IF(ISNUMBER(Main_S[[#This Row],[EPS]]),IF(Main_S[[#This Row],[EPS]]&lt;&gt;0,Main_S[[#This Row],[Current Price]]/Main_S[[#This Row],[EPS]],""),"")</f>
        <v>13.108333333333334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0.41587792112775102</v>
      </c>
      <c r="P25" s="1">
        <f>(Main_S[[#This Row],[P/B]]-VLOOKUP(Main_S[[#This Row],[Industry]], Mean_PB_S, 2, FALSE))/(VLOOKUP(Main_S[[#This Row],[Industry]], Mean_PB_S, 3, FALSE))</f>
        <v>-0.68475964404458689</v>
      </c>
      <c r="Q25" s="1">
        <f>(Main_S[[#This Row],[ROE]]-VLOOKUP(Main_S[[#This Row],[Industry]], Mean_ROE_S, 2, FALSE))/(VLOOKUP(Main_S[[#This Row],[Industry]], Mean_ROE_S, 3, FALSE))</f>
        <v>-0.52350801293989924</v>
      </c>
      <c r="R25" s="1">
        <f>(Main_S[[#This Row],[ROA]]-VLOOKUP(Main_S[[#This Row],[Industry]], Mean_ROA_S, 2, FALSE))/(VLOOKUP(Main_S[[#This Row],[Industry]], Mean_ROA_S, 3, FALSE))</f>
        <v>-0.86415515718172642</v>
      </c>
      <c r="S25" s="1">
        <f>(Main_S[[#This Row],[A/E]]-VLOOKUP(Main_S[[#This Row],[Industry]], Mean_AE_S, 2, FALSE))/(VLOOKUP(Main_S[[#This Row],[Industry]], Mean_AE_S, 3, FALSE))</f>
        <v>1.2339510670844032</v>
      </c>
      <c r="T25" s="1">
        <f>(Main_S[[#This Row],[P/E]]-VLOOKUP(Main_S[[#This Row],[Industry]], Mean_PE_S, 2, FALSE))/(VLOOKUP(Main_S[[#This Row],[Industry]], Mean_PE_S, 3, FALSE))</f>
        <v>0.2990502416476869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8" t="s">
        <v>105</v>
      </c>
      <c r="B26" s="68" t="s">
        <v>451</v>
      </c>
      <c r="C26" s="2">
        <v>1932</v>
      </c>
      <c r="D26">
        <f>RTD("tos.rtd", , "LAST", Main_S[[#This Row],[Symbol]])</f>
        <v>82</v>
      </c>
      <c r="E26">
        <v>5.29</v>
      </c>
      <c r="F26">
        <v>35.35</v>
      </c>
      <c r="G26">
        <v>7.36</v>
      </c>
      <c r="H26" s="1">
        <f>IF(ISNUMBER(Main_S[[#This Row],[Free CF]]),IF(Main_S[[#This Row],[Free CF]]&lt;&gt;0,Main_S[[#This Row],[Current Price]]/Main_S[[#This Row],[Free CF]],""),"")</f>
        <v>15.500945179584122</v>
      </c>
      <c r="I26" s="1">
        <f>IF(ISNUMBER(Main_S[[#This Row],[BVPS]]),IF(Main_S[[#This Row],[BVPS]]&lt;&gt;0,Main_S[[#This Row],[Current Price]]/Main_S[[#This Row],[BVPS]],""),"")</f>
        <v>2.3196605374823194</v>
      </c>
      <c r="J26">
        <v>23.2</v>
      </c>
      <c r="K26">
        <v>2.52</v>
      </c>
      <c r="L26">
        <v>8.42</v>
      </c>
      <c r="M26" s="1">
        <f>IF(ISNUMBER(Main_S[[#This Row],[EPS]]),IF(Main_S[[#This Row],[EPS]]&lt;&gt;0,Main_S[[#This Row],[Current Price]]/Main_S[[#This Row],[EPS]],""),"")</f>
        <v>11.141304347826086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1.2049977257637405</v>
      </c>
      <c r="P26" s="1">
        <f>(Main_S[[#This Row],[P/B]]-VLOOKUP(Main_S[[#This Row],[Industry]], Mean_PB_S, 2, FALSE))/(VLOOKUP(Main_S[[#This Row],[Industry]], Mean_PB_S, 3, FALSE))</f>
        <v>4.3560430059372406</v>
      </c>
      <c r="Q26" s="1">
        <f>(Main_S[[#This Row],[ROE]]-VLOOKUP(Main_S[[#This Row],[Industry]], Mean_ROE_S, 2, FALSE))/(VLOOKUP(Main_S[[#This Row],[Industry]], Mean_ROE_S, 3, FALSE))</f>
        <v>3.3561539681552768</v>
      </c>
      <c r="R26" s="1">
        <f>(Main_S[[#This Row],[ROA]]-VLOOKUP(Main_S[[#This Row],[Industry]], Mean_ROA_S, 2, FALSE))/(VLOOKUP(Main_S[[#This Row],[Industry]], Mean_ROA_S, 3, FALSE))</f>
        <v>3.5993751376686549</v>
      </c>
      <c r="S26" s="1">
        <f>(Main_S[[#This Row],[A/E]]-VLOOKUP(Main_S[[#This Row],[Industry]], Mean_AE_S, 2, FALSE))/(VLOOKUP(Main_S[[#This Row],[Industry]], Mean_AE_S, 3, FALSE))</f>
        <v>-0.66297347513098481</v>
      </c>
      <c r="T26" s="1">
        <f>(Main_S[[#This Row],[P/E]]-VLOOKUP(Main_S[[#This Row],[Industry]], Mean_PE_S, 2, FALSE))/(VLOOKUP(Main_S[[#This Row],[Industry]], Mean_PE_S, 3, FALSE))</f>
        <v>-0.45109368607992706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8" t="s">
        <v>105</v>
      </c>
      <c r="B27" s="68" t="s">
        <v>452</v>
      </c>
      <c r="C27" s="2">
        <v>270</v>
      </c>
      <c r="D27">
        <f>RTD("tos.rtd", , "LAST", Main_S[[#This Row],[Symbol]])</f>
        <v>16.21</v>
      </c>
      <c r="E27">
        <v>1.27</v>
      </c>
      <c r="F27">
        <v>16.41</v>
      </c>
      <c r="G27">
        <v>1.43</v>
      </c>
      <c r="H27" s="1">
        <f>IF(ISNUMBER(Main_S[[#This Row],[Free CF]]),IF(Main_S[[#This Row],[Free CF]]&lt;&gt;0,Main_S[[#This Row],[Current Price]]/Main_S[[#This Row],[Free CF]],""),"")</f>
        <v>12.763779527559056</v>
      </c>
      <c r="I27" s="1">
        <f>IF(ISNUMBER(Main_S[[#This Row],[BVPS]]),IF(Main_S[[#This Row],[BVPS]]&lt;&gt;0,Main_S[[#This Row],[Current Price]]/Main_S[[#This Row],[BVPS]],""),"")</f>
        <v>0.98781230956733701</v>
      </c>
      <c r="J27">
        <v>9.1999999999999993</v>
      </c>
      <c r="K27">
        <v>0.81</v>
      </c>
      <c r="L27">
        <v>11.06</v>
      </c>
      <c r="M27" s="1">
        <f>IF(ISNUMBER(Main_S[[#This Row],[EPS]]),IF(Main_S[[#This Row],[EPS]]&lt;&gt;0,Main_S[[#This Row],[Current Price]]/Main_S[[#This Row],[EPS]],""),"")</f>
        <v>11.335664335664337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0.48902762592977811</v>
      </c>
      <c r="P27" s="1">
        <f>(Main_S[[#This Row],[P/B]]-VLOOKUP(Main_S[[#This Row],[Industry]], Mean_PB_S, 2, FALSE))/(VLOOKUP(Main_S[[#This Row],[Industry]], Mean_PB_S, 3, FALSE))</f>
        <v>-0.39514640315680272</v>
      </c>
      <c r="Q27" s="1">
        <f>(Main_S[[#This Row],[ROE]]-VLOOKUP(Main_S[[#This Row],[Industry]], Mean_ROE_S, 2, FALSE))/(VLOOKUP(Main_S[[#This Row],[Industry]], Mean_ROE_S, 3, FALSE))</f>
        <v>-5.3467358607589811E-2</v>
      </c>
      <c r="R27" s="1">
        <f>(Main_S[[#This Row],[ROA]]-VLOOKUP(Main_S[[#This Row],[Industry]], Mean_ROA_S, 2, FALSE))/(VLOOKUP(Main_S[[#This Row],[Industry]], Mean_ROA_S, 3, FALSE))</f>
        <v>-0.37595653118246575</v>
      </c>
      <c r="S27" s="1">
        <f>(Main_S[[#This Row],[A/E]]-VLOOKUP(Main_S[[#This Row],[Industry]], Mean_AE_S, 2, FALSE))/(VLOOKUP(Main_S[[#This Row],[Industry]], Mean_AE_S, 3, FALSE))</f>
        <v>0.86381944909115749</v>
      </c>
      <c r="T27" s="1">
        <f>(Main_S[[#This Row],[P/E]]-VLOOKUP(Main_S[[#This Row],[Industry]], Mean_PE_S, 2, FALSE))/(VLOOKUP(Main_S[[#This Row],[Industry]], Mean_PE_S, 3, FALSE))</f>
        <v>-0.37697278306106335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8" t="s">
        <v>105</v>
      </c>
      <c r="B28" s="68" t="s">
        <v>453</v>
      </c>
      <c r="C28" s="2">
        <v>528</v>
      </c>
      <c r="D28">
        <f>RTD("tos.rtd", , "LAST", Main_S[[#This Row],[Symbol]])</f>
        <v>33.325000000000003</v>
      </c>
      <c r="E28">
        <v>2.25</v>
      </c>
      <c r="F28">
        <v>22.19</v>
      </c>
      <c r="G28">
        <v>2.4900000000000002</v>
      </c>
      <c r="H28" s="1">
        <f>IF(ISNUMBER(Main_S[[#This Row],[Free CF]]),IF(Main_S[[#This Row],[Free CF]]&lt;&gt;0,Main_S[[#This Row],[Current Price]]/Main_S[[#This Row],[Free CF]],""),"")</f>
        <v>14.811111111111112</v>
      </c>
      <c r="I28" s="1">
        <f>IF(ISNUMBER(Main_S[[#This Row],[BVPS]]),IF(Main_S[[#This Row],[BVPS]]&lt;&gt;0,Main_S[[#This Row],[Current Price]]/Main_S[[#This Row],[BVPS]],""),"")</f>
        <v>1.5018026137899956</v>
      </c>
      <c r="J28">
        <v>12.19</v>
      </c>
      <c r="K28">
        <v>1.35</v>
      </c>
      <c r="L28">
        <v>9.06</v>
      </c>
      <c r="M28" s="1">
        <f>IF(ISNUMBER(Main_S[[#This Row],[EPS]]),IF(Main_S[[#This Row],[EPS]]&lt;&gt;0,Main_S[[#This Row],[Current Price]]/Main_S[[#This Row],[EPS]],""),"")</f>
        <v>13.383534136546185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1.0245553888127117</v>
      </c>
      <c r="P28" s="1">
        <f>(Main_S[[#This Row],[P/B]]-VLOOKUP(Main_S[[#This Row],[Industry]], Mean_PB_S, 2, FALSE))/(VLOOKUP(Main_S[[#This Row],[Industry]], Mean_PB_S, 3, FALSE))</f>
        <v>1.4384448714457028</v>
      </c>
      <c r="Q28" s="1">
        <f>(Main_S[[#This Row],[ROE]]-VLOOKUP(Main_S[[#This Row],[Industry]], Mean_ROE_S, 2, FALSE))/(VLOOKUP(Main_S[[#This Row],[Industry]], Mean_ROE_S, 3, FALSE))</f>
        <v>0.67473033903676538</v>
      </c>
      <c r="R28" s="1">
        <f>(Main_S[[#This Row],[ROA]]-VLOOKUP(Main_S[[#This Row],[Industry]], Mean_ROA_S, 2, FALSE))/(VLOOKUP(Main_S[[#This Row],[Industry]], Mean_ROA_S, 3, FALSE))</f>
        <v>0.87941136424420419</v>
      </c>
      <c r="S28" s="1">
        <f>(Main_S[[#This Row],[A/E]]-VLOOKUP(Main_S[[#This Row],[Industry]], Mean_AE_S, 2, FALSE))/(VLOOKUP(Main_S[[#This Row],[Industry]], Mean_AE_S, 3, FALSE))</f>
        <v>-0.29284185713773797</v>
      </c>
      <c r="T28" s="1">
        <f>(Main_S[[#This Row],[P/E]]-VLOOKUP(Main_S[[#This Row],[Industry]], Mean_PE_S, 2, FALSE))/(VLOOKUP(Main_S[[#This Row],[Industry]], Mean_PE_S, 3, FALSE))</f>
        <v>0.40400050570424129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8" t="s">
        <v>105</v>
      </c>
      <c r="B29" s="68" t="s">
        <v>454</v>
      </c>
      <c r="C29" s="2">
        <v>1186</v>
      </c>
      <c r="D29">
        <f>RTD("tos.rtd", , "LAST", Main_S[[#This Row],[Symbol]])</f>
        <v>86.6</v>
      </c>
      <c r="E29">
        <v>18.5</v>
      </c>
      <c r="F29">
        <v>29.98</v>
      </c>
      <c r="G29">
        <v>3.36</v>
      </c>
      <c r="H29" s="1">
        <f>IF(ISNUMBER(Main_S[[#This Row],[Free CF]]),IF(Main_S[[#This Row],[Free CF]]&lt;&gt;0,Main_S[[#This Row],[Current Price]]/Main_S[[#This Row],[Free CF]],""),"")</f>
        <v>4.6810810810810803</v>
      </c>
      <c r="I29" s="1">
        <f>IF(ISNUMBER(Main_S[[#This Row],[BVPS]]),IF(Main_S[[#This Row],[BVPS]]&lt;&gt;0,Main_S[[#This Row],[Current Price]]/Main_S[[#This Row],[BVPS]],""),"")</f>
        <v>2.8885923949299532</v>
      </c>
      <c r="J29">
        <v>12.78</v>
      </c>
      <c r="K29">
        <v>1.17</v>
      </c>
      <c r="L29">
        <v>9.64</v>
      </c>
      <c r="M29" s="1">
        <f>IF(ISNUMBER(Main_S[[#This Row],[EPS]]),IF(Main_S[[#This Row],[EPS]]&lt;&gt;0,Main_S[[#This Row],[Current Price]]/Main_S[[#This Row],[EPS]],""),"")</f>
        <v>25.773809523809522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-1.6251923919091908</v>
      </c>
      <c r="P29" s="1">
        <f>(Main_S[[#This Row],[P/B]]-VLOOKUP(Main_S[[#This Row],[Industry]], Mean_PB_S, 2, FALSE))/(VLOOKUP(Main_S[[#This Row],[Industry]], Mean_PB_S, 3, FALSE))</f>
        <v>6.3856308816016671</v>
      </c>
      <c r="Q29" s="1">
        <f>(Main_S[[#This Row],[ROE]]-VLOOKUP(Main_S[[#This Row],[Industry]], Mean_ROE_S, 2, FALSE))/(VLOOKUP(Main_S[[#This Row],[Industry]], Mean_ROE_S, 3, FALSE))</f>
        <v>0.81842152352177189</v>
      </c>
      <c r="R29" s="1">
        <f>(Main_S[[#This Row],[ROA]]-VLOOKUP(Main_S[[#This Row],[Industry]], Mean_ROA_S, 2, FALSE))/(VLOOKUP(Main_S[[#This Row],[Industry]], Mean_ROA_S, 3, FALSE))</f>
        <v>0.46095539910198052</v>
      </c>
      <c r="S29" s="1">
        <f>(Main_S[[#This Row],[A/E]]-VLOOKUP(Main_S[[#This Row],[Industry]], Mean_AE_S, 2, FALSE))/(VLOOKUP(Main_S[[#This Row],[Industry]], Mean_AE_S, 3, FALSE))</f>
        <v>4.2589921668641756E-2</v>
      </c>
      <c r="T29" s="1">
        <f>(Main_S[[#This Row],[P/E]]-VLOOKUP(Main_S[[#This Row],[Industry]], Mean_PE_S, 2, FALSE))/(VLOOKUP(Main_S[[#This Row],[Industry]], Mean_PE_S, 3, FALSE))</f>
        <v>5.1291417787148585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0" spans="1:26" x14ac:dyDescent="0.25">
      <c r="A30" s="68" t="s">
        <v>105</v>
      </c>
      <c r="B30" s="68" t="s">
        <v>455</v>
      </c>
      <c r="C30" s="2">
        <v>626</v>
      </c>
      <c r="D30">
        <f>RTD("tos.rtd", , "LAST", Main_S[[#This Row],[Symbol]])</f>
        <v>38.380000000000003</v>
      </c>
      <c r="E30">
        <v>3.65</v>
      </c>
      <c r="F30">
        <v>30.05</v>
      </c>
      <c r="G30">
        <v>3.37</v>
      </c>
      <c r="H30" s="1">
        <f>IF(ISNUMBER(Main_S[[#This Row],[Free CF]]),IF(Main_S[[#This Row],[Free CF]]&lt;&gt;0,Main_S[[#This Row],[Current Price]]/Main_S[[#This Row],[Free CF]],""),"")</f>
        <v>10.515068493150686</v>
      </c>
      <c r="I30" s="1">
        <f>IF(ISNUMBER(Main_S[[#This Row],[BVPS]]),IF(Main_S[[#This Row],[BVPS]]&lt;&gt;0,Main_S[[#This Row],[Current Price]]/Main_S[[#This Row],[BVPS]],""),"")</f>
        <v>1.2772046589018304</v>
      </c>
      <c r="J30">
        <v>11.8</v>
      </c>
      <c r="K30">
        <v>1.3</v>
      </c>
      <c r="L30">
        <v>8.6999999999999993</v>
      </c>
      <c r="M30" s="1">
        <f>IF(ISNUMBER(Main_S[[#This Row],[EPS]]),IF(Main_S[[#This Row],[EPS]]&lt;&gt;0,Main_S[[#This Row],[Current Price]]/Main_S[[#This Row],[EPS]],""),"")</f>
        <v>11.388724035608309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-9.9175672110273838E-2</v>
      </c>
      <c r="P30" s="1">
        <f>(Main_S[[#This Row],[P/B]]-VLOOKUP(Main_S[[#This Row],[Industry]], Mean_PB_S, 2, FALSE))/(VLOOKUP(Main_S[[#This Row],[Industry]], Mean_PB_S, 3, FALSE))</f>
        <v>0.6372218775619356</v>
      </c>
      <c r="Q30" s="1">
        <f>(Main_S[[#This Row],[ROE]]-VLOOKUP(Main_S[[#This Row],[Industry]], Mean_ROE_S, 2, FALSE))/(VLOOKUP(Main_S[[#This Row],[Industry]], Mean_ROE_S, 3, FALSE))</f>
        <v>0.57974803064837155</v>
      </c>
      <c r="R30" s="1">
        <f>(Main_S[[#This Row],[ROA]]-VLOOKUP(Main_S[[#This Row],[Industry]], Mean_ROA_S, 2, FALSE))/(VLOOKUP(Main_S[[#This Row],[Industry]], Mean_ROA_S, 3, FALSE))</f>
        <v>0.76317359614914204</v>
      </c>
      <c r="S30" s="1">
        <f>(Main_S[[#This Row],[A/E]]-VLOOKUP(Main_S[[#This Row],[Industry]], Mean_AE_S, 2, FALSE))/(VLOOKUP(Main_S[[#This Row],[Industry]], Mean_AE_S, 3, FALSE))</f>
        <v>-0.50104089225893977</v>
      </c>
      <c r="T30" s="1">
        <f>(Main_S[[#This Row],[P/E]]-VLOOKUP(Main_S[[#This Row],[Industry]], Mean_PE_S, 2, FALSE))/(VLOOKUP(Main_S[[#This Row],[Industry]], Mean_PE_S, 3, FALSE))</f>
        <v>-0.3567379964802464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8" t="s">
        <v>105</v>
      </c>
      <c r="B31" s="68" t="s">
        <v>456</v>
      </c>
      <c r="C31" s="2">
        <v>468</v>
      </c>
      <c r="D31">
        <f>RTD("tos.rtd", , "LAST", Main_S[[#This Row],[Symbol]])</f>
        <v>23.26</v>
      </c>
      <c r="E31">
        <v>2.44</v>
      </c>
      <c r="F31">
        <v>27.24</v>
      </c>
      <c r="G31">
        <v>2.34</v>
      </c>
      <c r="H31" s="1">
        <f>IF(ISNUMBER(Main_S[[#This Row],[Free CF]]),IF(Main_S[[#This Row],[Free CF]]&lt;&gt;0,Main_S[[#This Row],[Current Price]]/Main_S[[#This Row],[Free CF]],""),"")</f>
        <v>9.532786885245903</v>
      </c>
      <c r="I31" s="1">
        <f>IF(ISNUMBER(Main_S[[#This Row],[BVPS]]),IF(Main_S[[#This Row],[BVPS]]&lt;&gt;0,Main_S[[#This Row],[Current Price]]/Main_S[[#This Row],[BVPS]],""),"")</f>
        <v>0.85389133627019098</v>
      </c>
      <c r="J31">
        <v>8.89</v>
      </c>
      <c r="K31">
        <v>0.88</v>
      </c>
      <c r="L31">
        <v>11.11</v>
      </c>
      <c r="M31" s="1">
        <f>IF(ISNUMBER(Main_S[[#This Row],[EPS]]),IF(Main_S[[#This Row],[EPS]]&lt;&gt;0,Main_S[[#This Row],[Current Price]]/Main_S[[#This Row],[EPS]],""),"")</f>
        <v>9.9401709401709422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-0.35611454621763167</v>
      </c>
      <c r="P31" s="1">
        <f>(Main_S[[#This Row],[P/B]]-VLOOKUP(Main_S[[#This Row],[Industry]], Mean_PB_S, 2, FALSE))/(VLOOKUP(Main_S[[#This Row],[Industry]], Mean_PB_S, 3, FALSE))</f>
        <v>-0.87289146197711076</v>
      </c>
      <c r="Q31" s="1">
        <f>(Main_S[[#This Row],[ROE]]-VLOOKUP(Main_S[[#This Row],[Industry]], Mean_ROE_S, 2, FALSE))/(VLOOKUP(Main_S[[#This Row],[Industry]], Mean_ROE_S, 3, FALSE))</f>
        <v>-0.12896611655733869</v>
      </c>
      <c r="R31" s="1">
        <f>(Main_S[[#This Row],[ROA]]-VLOOKUP(Main_S[[#This Row],[Industry]], Mean_ROA_S, 2, FALSE))/(VLOOKUP(Main_S[[#This Row],[Industry]], Mean_ROA_S, 3, FALSE))</f>
        <v>-0.21322365584937905</v>
      </c>
      <c r="S31" s="1">
        <f>(Main_S[[#This Row],[A/E]]-VLOOKUP(Main_S[[#This Row],[Industry]], Mean_AE_S, 2, FALSE))/(VLOOKUP(Main_S[[#This Row],[Industry]], Mean_AE_S, 3, FALSE))</f>
        <v>0.89273598174687918</v>
      </c>
      <c r="T31" s="1">
        <f>(Main_S[[#This Row],[P/E]]-VLOOKUP(Main_S[[#This Row],[Industry]], Mean_PE_S, 2, FALSE))/(VLOOKUP(Main_S[[#This Row],[Industry]], Mean_PE_S, 3, FALSE))</f>
        <v>-0.909156550827663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8" t="s">
        <v>105</v>
      </c>
      <c r="B32" s="68" t="s">
        <v>457</v>
      </c>
      <c r="C32" s="2">
        <v>737</v>
      </c>
      <c r="D32">
        <f>RTD("tos.rtd", , "LAST", Main_S[[#This Row],[Symbol]])</f>
        <v>5.82</v>
      </c>
      <c r="E32">
        <v>0.27</v>
      </c>
      <c r="F32">
        <v>7.98</v>
      </c>
      <c r="G32">
        <v>0.41</v>
      </c>
      <c r="H32" s="1">
        <f>IF(ISNUMBER(Main_S[[#This Row],[Free CF]]),IF(Main_S[[#This Row],[Free CF]]&lt;&gt;0,Main_S[[#This Row],[Current Price]]/Main_S[[#This Row],[Free CF]],""),"")</f>
        <v>21.555555555555554</v>
      </c>
      <c r="I32" s="1">
        <f>IF(ISNUMBER(Main_S[[#This Row],[BVPS]]),IF(Main_S[[#This Row],[BVPS]]&lt;&gt;0,Main_S[[#This Row],[Current Price]]/Main_S[[#This Row],[BVPS]],""),"")</f>
        <v>0.72932330827067671</v>
      </c>
      <c r="J32">
        <v>5.0999999999999996</v>
      </c>
      <c r="K32">
        <v>0.54</v>
      </c>
      <c r="L32">
        <v>9.3699999999999992</v>
      </c>
      <c r="M32" s="1">
        <f>IF(ISNUMBER(Main_S[[#This Row],[EPS]]),IF(Main_S[[#This Row],[EPS]]&lt;&gt;0,Main_S[[#This Row],[Current Price]]/Main_S[[#This Row],[EPS]],""),"")</f>
        <v>14.195121951219514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2.7887235744835142</v>
      </c>
      <c r="P32" s="1">
        <f>(Main_S[[#This Row],[P/B]]-VLOOKUP(Main_S[[#This Row],[Industry]], Mean_PB_S, 2, FALSE))/(VLOOKUP(Main_S[[#This Row],[Industry]], Mean_PB_S, 3, FALSE))</f>
        <v>-1.3172711464923366</v>
      </c>
      <c r="Q32" s="1">
        <f>(Main_S[[#This Row],[ROE]]-VLOOKUP(Main_S[[#This Row],[Industry]], Mean_ROE_S, 2, FALSE))/(VLOOKUP(Main_S[[#This Row],[Industry]], Mean_ROE_S, 3, FALSE))</f>
        <v>-1.0519993185881436</v>
      </c>
      <c r="R32" s="1">
        <f>(Main_S[[#This Row],[ROA]]-VLOOKUP(Main_S[[#This Row],[Industry]], Mean_ROA_S, 2, FALSE))/(VLOOKUP(Main_S[[#This Row],[Industry]], Mean_ROA_S, 3, FALSE))</f>
        <v>-1.0036404788958007</v>
      </c>
      <c r="S32" s="1">
        <f>(Main_S[[#This Row],[A/E]]-VLOOKUP(Main_S[[#This Row],[Industry]], Mean_AE_S, 2, FALSE))/(VLOOKUP(Main_S[[#This Row],[Industry]], Mean_AE_S, 3, FALSE))</f>
        <v>-0.1135593546722599</v>
      </c>
      <c r="T32" s="1">
        <f>(Main_S[[#This Row],[P/E]]-VLOOKUP(Main_S[[#This Row],[Industry]], Mean_PE_S, 2, FALSE))/(VLOOKUP(Main_S[[#This Row],[Industry]], Mean_PE_S, 3, FALSE))</f>
        <v>0.71350670794148263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8" t="s">
        <v>105</v>
      </c>
      <c r="B33" s="68" t="s">
        <v>458</v>
      </c>
      <c r="C33" s="2">
        <v>1710</v>
      </c>
      <c r="D33">
        <f>RTD("tos.rtd", , "LAST", Main_S[[#This Row],[Symbol]])</f>
        <v>121.605</v>
      </c>
      <c r="E33">
        <v>8.8000000000000007</v>
      </c>
      <c r="F33">
        <v>51.63</v>
      </c>
      <c r="G33">
        <v>7.98</v>
      </c>
      <c r="H33" s="1">
        <f>IF(ISNUMBER(Main_S[[#This Row],[Free CF]]),IF(Main_S[[#This Row],[Free CF]]&lt;&gt;0,Main_S[[#This Row],[Current Price]]/Main_S[[#This Row],[Free CF]],""),"")</f>
        <v>13.81875</v>
      </c>
      <c r="I33" s="1">
        <f>IF(ISNUMBER(Main_S[[#This Row],[BVPS]]),IF(Main_S[[#This Row],[BVPS]]&lt;&gt;0,Main_S[[#This Row],[Current Price]]/Main_S[[#This Row],[BVPS]],""),"")</f>
        <v>2.3553166763509585</v>
      </c>
      <c r="J33">
        <v>16.39</v>
      </c>
      <c r="K33">
        <v>1.82</v>
      </c>
      <c r="L33">
        <v>8.76</v>
      </c>
      <c r="M33" s="1">
        <f>IF(ISNUMBER(Main_S[[#This Row],[EPS]]),IF(Main_S[[#This Row],[EPS]]&lt;&gt;0,Main_S[[#This Row],[Current Price]]/Main_S[[#This Row],[EPS]],""),"")</f>
        <v>15.238721804511277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0.76497998340460005</v>
      </c>
      <c r="P33" s="1">
        <f>(Main_S[[#This Row],[P/B]]-VLOOKUP(Main_S[[#This Row],[Industry]], Mean_PB_S, 2, FALSE))/(VLOOKUP(Main_S[[#This Row],[Industry]], Mean_PB_S, 3, FALSE))</f>
        <v>4.4832414853218436</v>
      </c>
      <c r="Q33" s="1">
        <f>(Main_S[[#This Row],[ROE]]-VLOOKUP(Main_S[[#This Row],[Industry]], Mean_ROE_S, 2, FALSE))/(VLOOKUP(Main_S[[#This Row],[Industry]], Mean_ROE_S, 3, FALSE))</f>
        <v>1.6976167370656257</v>
      </c>
      <c r="R33" s="1">
        <f>(Main_S[[#This Row],[ROA]]-VLOOKUP(Main_S[[#This Row],[Industry]], Mean_ROA_S, 2, FALSE))/(VLOOKUP(Main_S[[#This Row],[Industry]], Mean_ROA_S, 3, FALSE))</f>
        <v>1.9720463843377871</v>
      </c>
      <c r="S33" s="1">
        <f>(Main_S[[#This Row],[A/E]]-VLOOKUP(Main_S[[#This Row],[Industry]], Mean_AE_S, 2, FALSE))/(VLOOKUP(Main_S[[#This Row],[Industry]], Mean_AE_S, 3, FALSE))</f>
        <v>-0.46634105307207269</v>
      </c>
      <c r="T33" s="1">
        <f>(Main_S[[#This Row],[P/E]]-VLOOKUP(Main_S[[#This Row],[Industry]], Mean_PE_S, 2, FALSE))/(VLOOKUP(Main_S[[#This Row],[Industry]], Mean_PE_S, 3, FALSE))</f>
        <v>1.1114927562875709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8" t="s">
        <v>105</v>
      </c>
      <c r="B34" s="68" t="s">
        <v>459</v>
      </c>
      <c r="C34" s="2">
        <v>354</v>
      </c>
      <c r="D34">
        <f>RTD("tos.rtd", , "LAST", Main_S[[#This Row],[Symbol]])</f>
        <v>23.37</v>
      </c>
      <c r="E34">
        <v>2.86</v>
      </c>
      <c r="F34">
        <v>25.61</v>
      </c>
      <c r="G34">
        <v>2.2599999999999998</v>
      </c>
      <c r="H34" s="1">
        <f>IF(ISNUMBER(Main_S[[#This Row],[Free CF]]),IF(Main_S[[#This Row],[Free CF]]&lt;&gt;0,Main_S[[#This Row],[Current Price]]/Main_S[[#This Row],[Free CF]],""),"")</f>
        <v>8.1713286713286717</v>
      </c>
      <c r="I34" s="1">
        <f>IF(ISNUMBER(Main_S[[#This Row],[BVPS]]),IF(Main_S[[#This Row],[BVPS]]&lt;&gt;0,Main_S[[#This Row],[Current Price]]/Main_S[[#This Row],[BVPS]],""),"")</f>
        <v>0.91253416634127305</v>
      </c>
      <c r="J34">
        <v>9.25</v>
      </c>
      <c r="K34">
        <v>0.88</v>
      </c>
      <c r="L34">
        <v>10.43</v>
      </c>
      <c r="M34" s="1">
        <f>IF(ISNUMBER(Main_S[[#This Row],[EPS]]),IF(Main_S[[#This Row],[EPS]]&lt;&gt;0,Main_S[[#This Row],[Current Price]]/Main_S[[#This Row],[EPS]],""),"")</f>
        <v>10.340707964601771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-0.71223598615201</v>
      </c>
      <c r="P34" s="1">
        <f>(Main_S[[#This Row],[P/B]]-VLOOKUP(Main_S[[#This Row],[Industry]], Mean_PB_S, 2, FALSE))/(VLOOKUP(Main_S[[#This Row],[Industry]], Mean_PB_S, 3, FALSE))</f>
        <v>-0.66369105361735847</v>
      </c>
      <c r="Q34" s="1">
        <f>(Main_S[[#This Row],[ROE]]-VLOOKUP(Main_S[[#This Row],[Industry]], Mean_ROE_S, 2, FALSE))/(VLOOKUP(Main_S[[#This Row],[Industry]], Mean_ROE_S, 3, FALSE))</f>
        <v>-4.1290139583436546E-2</v>
      </c>
      <c r="R34" s="1">
        <f>(Main_S[[#This Row],[ROA]]-VLOOKUP(Main_S[[#This Row],[Industry]], Mean_ROA_S, 2, FALSE))/(VLOOKUP(Main_S[[#This Row],[Industry]], Mean_ROA_S, 3, FALSE))</f>
        <v>-0.21322365584937905</v>
      </c>
      <c r="S34" s="1">
        <f>(Main_S[[#This Row],[A/E]]-VLOOKUP(Main_S[[#This Row],[Industry]], Mean_AE_S, 2, FALSE))/(VLOOKUP(Main_S[[#This Row],[Industry]], Mean_AE_S, 3, FALSE))</f>
        <v>0.49947113762905493</v>
      </c>
      <c r="T34" s="1">
        <f>(Main_S[[#This Row],[P/E]]-VLOOKUP(Main_S[[#This Row],[Industry]], Mean_PE_S, 2, FALSE))/(VLOOKUP(Main_S[[#This Row],[Industry]], Mean_PE_S, 3, FALSE))</f>
        <v>-0.75640820857108371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8" t="s">
        <v>105</v>
      </c>
      <c r="B35" s="68" t="s">
        <v>460</v>
      </c>
      <c r="C35" s="2">
        <v>1604</v>
      </c>
      <c r="D35">
        <f>RTD("tos.rtd", , "LAST", Main_S[[#This Row],[Symbol]])</f>
        <v>15.154999999999999</v>
      </c>
      <c r="E35">
        <v>0.25</v>
      </c>
      <c r="F35">
        <v>10.49</v>
      </c>
      <c r="G35">
        <v>-0.02</v>
      </c>
      <c r="H35" s="1">
        <f>IF(ISNUMBER(Main_S[[#This Row],[Free CF]]),IF(Main_S[[#This Row],[Free CF]]&lt;&gt;0,Main_S[[#This Row],[Current Price]]/Main_S[[#This Row],[Free CF]],""),"")</f>
        <v>60.62</v>
      </c>
      <c r="I35" s="1">
        <f>IF(ISNUMBER(Main_S[[#This Row],[BVPS]]),IF(Main_S[[#This Row],[BVPS]]&lt;&gt;0,Main_S[[#This Row],[Current Price]]/Main_S[[#This Row],[BVPS]],""),"")</f>
        <v>1.4447092469018112</v>
      </c>
      <c r="J35">
        <v>-0.15</v>
      </c>
      <c r="K35">
        <v>-0.02</v>
      </c>
      <c r="L35">
        <v>9.64</v>
      </c>
      <c r="M35" s="1">
        <f>IF(ISNUMBER(Main_S[[#This Row],[EPS]]),IF(Main_S[[#This Row],[EPS]]&lt;&gt;0,Main_S[[#This Row],[Current Price]]/Main_S[[#This Row],[EPS]],""),"")</f>
        <v>-757.75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13.006948462756018</v>
      </c>
      <c r="P35" s="1">
        <f>(Main_S[[#This Row],[P/B]]-VLOOKUP(Main_S[[#This Row],[Industry]], Mean_PB_S, 2, FALSE))/(VLOOKUP(Main_S[[#This Row],[Industry]], Mean_PB_S, 3, FALSE))</f>
        <v>1.2347719645760336</v>
      </c>
      <c r="Q35" s="1">
        <f>(Main_S[[#This Row],[ROE]]-VLOOKUP(Main_S[[#This Row],[Industry]], Mean_ROE_S, 2, FALSE))/(VLOOKUP(Main_S[[#This Row],[Industry]], Mean_ROE_S, 3, FALSE))</f>
        <v>-2.3306073161242185</v>
      </c>
      <c r="R35" s="1">
        <f>(Main_S[[#This Row],[ROA]]-VLOOKUP(Main_S[[#This Row],[Industry]], Mean_ROA_S, 2, FALSE))/(VLOOKUP(Main_S[[#This Row],[Industry]], Mean_ROA_S, 3, FALSE))</f>
        <v>-2.3055034815604953</v>
      </c>
      <c r="S35" s="1">
        <f>(Main_S[[#This Row],[A/E]]-VLOOKUP(Main_S[[#This Row],[Industry]], Mean_AE_S, 2, FALSE))/(VLOOKUP(Main_S[[#This Row],[Industry]], Mean_AE_S, 3, FALSE))</f>
        <v>4.2589921668641756E-2</v>
      </c>
      <c r="T35" s="1">
        <f>(Main_S[[#This Row],[P/E]]-VLOOKUP(Main_S[[#This Row],[Industry]], Mean_PE_S, 2, FALSE))/(VLOOKUP(Main_S[[#This Row],[Industry]], Mean_PE_S, 3, FALSE))</f>
        <v>-293.67460350149292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6" spans="1:26" x14ac:dyDescent="0.25">
      <c r="A36" s="68" t="s">
        <v>105</v>
      </c>
      <c r="B36" s="68" t="s">
        <v>461</v>
      </c>
      <c r="C36" s="2">
        <v>902</v>
      </c>
      <c r="D36">
        <f>RTD("tos.rtd", , "LAST", Main_S[[#This Row],[Symbol]])</f>
        <v>24.78</v>
      </c>
      <c r="E36">
        <v>1.18</v>
      </c>
      <c r="F36">
        <v>29.77</v>
      </c>
      <c r="G36">
        <v>1.84</v>
      </c>
      <c r="H36" s="1">
        <f>IF(ISNUMBER(Main_S[[#This Row],[Free CF]]),IF(Main_S[[#This Row],[Free CF]]&lt;&gt;0,Main_S[[#This Row],[Current Price]]/Main_S[[#This Row],[Free CF]],""),"")</f>
        <v>21.000000000000004</v>
      </c>
      <c r="I36" s="1">
        <f>IF(ISNUMBER(Main_S[[#This Row],[BVPS]]),IF(Main_S[[#This Row],[BVPS]]&lt;&gt;0,Main_S[[#This Row],[Current Price]]/Main_S[[#This Row],[BVPS]],""),"")</f>
        <v>0.83238159220691976</v>
      </c>
      <c r="J36">
        <v>6.22</v>
      </c>
      <c r="K36">
        <v>0.78</v>
      </c>
      <c r="L36">
        <v>8.5500000000000007</v>
      </c>
      <c r="M36" s="1">
        <f>IF(ISNUMBER(Main_S[[#This Row],[EPS]]),IF(Main_S[[#This Row],[EPS]]&lt;&gt;0,Main_S[[#This Row],[Current Price]]/Main_S[[#This Row],[EPS]],""),"")</f>
        <v>13.467391304347826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2.6434049430444051</v>
      </c>
      <c r="P36" s="1">
        <f>(Main_S[[#This Row],[P/B]]-VLOOKUP(Main_S[[#This Row],[Industry]], Mean_PB_S, 2, FALSE))/(VLOOKUP(Main_S[[#This Row],[Industry]], Mean_PB_S, 3, FALSE))</f>
        <v>-0.94962458069419431</v>
      </c>
      <c r="Q36" s="1">
        <f>(Main_S[[#This Row],[ROE]]-VLOOKUP(Main_S[[#This Row],[Industry]], Mean_ROE_S, 2, FALSE))/(VLOOKUP(Main_S[[#This Row],[Industry]], Mean_ROE_S, 3, FALSE))</f>
        <v>-0.77922961244711419</v>
      </c>
      <c r="R36" s="1">
        <f>(Main_S[[#This Row],[ROA]]-VLOOKUP(Main_S[[#This Row],[Industry]], Mean_ROA_S, 2, FALSE))/(VLOOKUP(Main_S[[#This Row],[Industry]], Mean_ROA_S, 3, FALSE))</f>
        <v>-0.44569919203950303</v>
      </c>
      <c r="S36" s="1">
        <f>(Main_S[[#This Row],[A/E]]-VLOOKUP(Main_S[[#This Row],[Industry]], Mean_AE_S, 2, FALSE))/(VLOOKUP(Main_S[[#This Row],[Industry]], Mean_AE_S, 3, FALSE))</f>
        <v>-0.58779049022610619</v>
      </c>
      <c r="T36" s="1">
        <f>(Main_S[[#This Row],[P/E]]-VLOOKUP(Main_S[[#This Row],[Industry]], Mean_PE_S, 2, FALSE))/(VLOOKUP(Main_S[[#This Row],[Industry]], Mean_PE_S, 3, FALSE))</f>
        <v>0.4359801794590818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8" t="s">
        <v>105</v>
      </c>
      <c r="B37" s="68" t="s">
        <v>462</v>
      </c>
      <c r="C37" s="2">
        <v>425</v>
      </c>
      <c r="D37">
        <f>RTD("tos.rtd", , "LAST", Main_S[[#This Row],[Symbol]])</f>
        <v>30.25</v>
      </c>
      <c r="E37">
        <v>5.75</v>
      </c>
      <c r="F37">
        <v>28.5</v>
      </c>
      <c r="G37">
        <v>0.8</v>
      </c>
      <c r="H37" s="1">
        <f>IF(ISNUMBER(Main_S[[#This Row],[Free CF]]),IF(Main_S[[#This Row],[Free CF]]&lt;&gt;0,Main_S[[#This Row],[Current Price]]/Main_S[[#This Row],[Free CF]],""),"")</f>
        <v>5.2608695652173916</v>
      </c>
      <c r="I37" s="1">
        <f>IF(ISNUMBER(Main_S[[#This Row],[BVPS]]),IF(Main_S[[#This Row],[BVPS]]&lt;&gt;0,Main_S[[#This Row],[Current Price]]/Main_S[[#This Row],[BVPS]],""),"")</f>
        <v>1.0614035087719298</v>
      </c>
      <c r="J37">
        <v>2.27</v>
      </c>
      <c r="K37">
        <v>0.21</v>
      </c>
      <c r="L37">
        <v>10.09</v>
      </c>
      <c r="M37" s="1">
        <f>IF(ISNUMBER(Main_S[[#This Row],[EPS]]),IF(Main_S[[#This Row],[EPS]]&lt;&gt;0,Main_S[[#This Row],[Current Price]]/Main_S[[#This Row],[EPS]],""),"")</f>
        <v>37.8125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-1.4735350676392693</v>
      </c>
      <c r="P37" s="1">
        <f>(Main_S[[#This Row],[P/B]]-VLOOKUP(Main_S[[#This Row],[Industry]], Mean_PB_S, 2, FALSE))/(VLOOKUP(Main_S[[#This Row],[Industry]], Mean_PB_S, 3, FALSE))</f>
        <v>-0.132619698585694</v>
      </c>
      <c r="Q37" s="1">
        <f>(Main_S[[#This Row],[ROE]]-VLOOKUP(Main_S[[#This Row],[Industry]], Mean_ROE_S, 2, FALSE))/(VLOOKUP(Main_S[[#This Row],[Industry]], Mean_ROE_S, 3, FALSE))</f>
        <v>-1.7412299153552089</v>
      </c>
      <c r="R37" s="1">
        <f>(Main_S[[#This Row],[ROA]]-VLOOKUP(Main_S[[#This Row],[Industry]], Mean_ROA_S, 2, FALSE))/(VLOOKUP(Main_S[[#This Row],[Industry]], Mean_ROA_S, 3, FALSE))</f>
        <v>-1.7708097483232104</v>
      </c>
      <c r="S37" s="1">
        <f>(Main_S[[#This Row],[A/E]]-VLOOKUP(Main_S[[#This Row],[Industry]], Mean_AE_S, 2, FALSE))/(VLOOKUP(Main_S[[#This Row],[Industry]], Mean_AE_S, 3, FALSE))</f>
        <v>0.3028387155701428</v>
      </c>
      <c r="T37" s="1">
        <f>(Main_S[[#This Row],[P/E]]-VLOOKUP(Main_S[[#This Row],[Industry]], Mean_PE_S, 2, FALSE))/(VLOOKUP(Main_S[[#This Row],[Industry]], Mean_PE_S, 3, FALSE))</f>
        <v>9.7202030315198016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8" spans="1:26" x14ac:dyDescent="0.25">
      <c r="A38" s="68" t="s">
        <v>105</v>
      </c>
      <c r="B38" s="68" t="s">
        <v>463</v>
      </c>
      <c r="C38" s="2">
        <v>712</v>
      </c>
      <c r="D38">
        <f>RTD("tos.rtd", , "LAST", Main_S[[#This Row],[Symbol]])</f>
        <v>27.67</v>
      </c>
      <c r="E38">
        <v>3</v>
      </c>
      <c r="F38">
        <v>20.6</v>
      </c>
      <c r="G38">
        <v>2.14</v>
      </c>
      <c r="H38" s="1">
        <f>IF(ISNUMBER(Main_S[[#This Row],[Free CF]]),IF(Main_S[[#This Row],[Free CF]]&lt;&gt;0,Main_S[[#This Row],[Current Price]]/Main_S[[#This Row],[Free CF]],""),"")</f>
        <v>9.2233333333333345</v>
      </c>
      <c r="I38" s="1">
        <f>IF(ISNUMBER(Main_S[[#This Row],[BVPS]]),IF(Main_S[[#This Row],[BVPS]]&lt;&gt;0,Main_S[[#This Row],[Current Price]]/Main_S[[#This Row],[BVPS]],""),"")</f>
        <v>1.3432038834951456</v>
      </c>
      <c r="J38">
        <v>10.94</v>
      </c>
      <c r="K38">
        <v>0.79</v>
      </c>
      <c r="L38">
        <v>13.29</v>
      </c>
      <c r="M38" s="1">
        <f>IF(ISNUMBER(Main_S[[#This Row],[EPS]]),IF(Main_S[[#This Row],[EPS]]&lt;&gt;0,Main_S[[#This Row],[Current Price]]/Main_S[[#This Row],[EPS]],""),"")</f>
        <v>12.929906542056075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-0.4370594062018629</v>
      </c>
      <c r="P38" s="1">
        <f>(Main_S[[#This Row],[P/B]]-VLOOKUP(Main_S[[#This Row],[Industry]], Mean_PB_S, 2, FALSE))/(VLOOKUP(Main_S[[#This Row],[Industry]], Mean_PB_S, 3, FALSE))</f>
        <v>0.8726652338872144</v>
      </c>
      <c r="Q38" s="1">
        <f>(Main_S[[#This Row],[ROE]]-VLOOKUP(Main_S[[#This Row],[Industry]], Mean_ROE_S, 2, FALSE))/(VLOOKUP(Main_S[[#This Row],[Industry]], Mean_ROE_S, 3, FALSE))</f>
        <v>0.37029986343293797</v>
      </c>
      <c r="R38" s="1">
        <f>(Main_S[[#This Row],[ROA]]-VLOOKUP(Main_S[[#This Row],[Industry]], Mean_ROA_S, 2, FALSE))/(VLOOKUP(Main_S[[#This Row],[Industry]], Mean_ROA_S, 3, FALSE))</f>
        <v>-0.4224516384204906</v>
      </c>
      <c r="S38" s="1">
        <f>(Main_S[[#This Row],[A/E]]-VLOOKUP(Main_S[[#This Row],[Industry]], Mean_AE_S, 2, FALSE))/(VLOOKUP(Main_S[[#This Row],[Industry]], Mean_AE_S, 3, FALSE))</f>
        <v>2.153496805536375</v>
      </c>
      <c r="T38" s="1">
        <f>(Main_S[[#This Row],[P/E]]-VLOOKUP(Main_S[[#This Row],[Industry]], Mean_PE_S, 2, FALSE))/(VLOOKUP(Main_S[[#This Row],[Industry]], Mean_PE_S, 3, FALSE))</f>
        <v>0.23100560427492212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8" t="s">
        <v>105</v>
      </c>
      <c r="B39" s="68" t="s">
        <v>464</v>
      </c>
      <c r="C39" s="2">
        <v>907</v>
      </c>
      <c r="D39">
        <f>RTD("tos.rtd", , "LAST", Main_S[[#This Row],[Symbol]])</f>
        <v>52.71</v>
      </c>
      <c r="E39">
        <v>5.41</v>
      </c>
      <c r="F39">
        <v>43.32</v>
      </c>
      <c r="G39">
        <v>4.79</v>
      </c>
      <c r="H39" s="1">
        <f>IF(ISNUMBER(Main_S[[#This Row],[Free CF]]),IF(Main_S[[#This Row],[Free CF]]&lt;&gt;0,Main_S[[#This Row],[Current Price]]/Main_S[[#This Row],[Free CF]],""),"")</f>
        <v>9.7430683918669132</v>
      </c>
      <c r="I39" s="1">
        <f>IF(ISNUMBER(Main_S[[#This Row],[BVPS]]),IF(Main_S[[#This Row],[BVPS]]&lt;&gt;0,Main_S[[#This Row],[Current Price]]/Main_S[[#This Row],[BVPS]],""),"")</f>
        <v>1.2167590027700832</v>
      </c>
      <c r="J39">
        <v>11.54</v>
      </c>
      <c r="K39">
        <v>1.42</v>
      </c>
      <c r="L39">
        <v>8</v>
      </c>
      <c r="M39" s="1">
        <f>IF(ISNUMBER(Main_S[[#This Row],[EPS]]),IF(Main_S[[#This Row],[EPS]]&lt;&gt;0,Main_S[[#This Row],[Current Price]]/Main_S[[#This Row],[EPS]],""),"")</f>
        <v>11.004175365344468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-0.30111046885121662</v>
      </c>
      <c r="P39" s="1">
        <f>(Main_S[[#This Row],[P/B]]-VLOOKUP(Main_S[[#This Row],[Industry]], Mean_PB_S, 2, FALSE))/(VLOOKUP(Main_S[[#This Row],[Industry]], Mean_PB_S, 3, FALSE))</f>
        <v>0.42159012972495136</v>
      </c>
      <c r="Q39" s="1">
        <f>(Main_S[[#This Row],[ROE]]-VLOOKUP(Main_S[[#This Row],[Industry]], Mean_ROE_S, 2, FALSE))/(VLOOKUP(Main_S[[#This Row],[Industry]], Mean_ROE_S, 3, FALSE))</f>
        <v>0.51642649172277499</v>
      </c>
      <c r="R39" s="1">
        <f>(Main_S[[#This Row],[ROA]]-VLOOKUP(Main_S[[#This Row],[Industry]], Mean_ROA_S, 2, FALSE))/(VLOOKUP(Main_S[[#This Row],[Industry]], Mean_ROA_S, 3, FALSE))</f>
        <v>1.0421442395772906</v>
      </c>
      <c r="S39" s="1">
        <f>(Main_S[[#This Row],[A/E]]-VLOOKUP(Main_S[[#This Row],[Industry]], Mean_AE_S, 2, FALSE))/(VLOOKUP(Main_S[[#This Row],[Industry]], Mean_AE_S, 3, FALSE))</f>
        <v>-0.90587234943905282</v>
      </c>
      <c r="T39" s="1">
        <f>(Main_S[[#This Row],[P/E]]-VLOOKUP(Main_S[[#This Row],[Industry]], Mean_PE_S, 2, FALSE))/(VLOOKUP(Main_S[[#This Row],[Industry]], Mean_PE_S, 3, FALSE))</f>
        <v>-0.50338903824908976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8" t="s">
        <v>105</v>
      </c>
      <c r="B40" s="68" t="s">
        <v>465</v>
      </c>
      <c r="C40" s="2">
        <v>1586</v>
      </c>
      <c r="D40">
        <f>RTD("tos.rtd", , "LAST", Main_S[[#This Row],[Symbol]])</f>
        <v>54.5</v>
      </c>
      <c r="E40">
        <v>2.0499999999999998</v>
      </c>
      <c r="F40">
        <v>54.85</v>
      </c>
      <c r="G40">
        <v>3.98</v>
      </c>
      <c r="H40" s="1">
        <f>IF(ISNUMBER(Main_S[[#This Row],[Free CF]]),IF(Main_S[[#This Row],[Free CF]]&lt;&gt;0,Main_S[[#This Row],[Current Price]]/Main_S[[#This Row],[Free CF]],""),"")</f>
        <v>26.585365853658541</v>
      </c>
      <c r="I40" s="1">
        <f>IF(ISNUMBER(Main_S[[#This Row],[BVPS]]),IF(Main_S[[#This Row],[BVPS]]&lt;&gt;0,Main_S[[#This Row],[Current Price]]/Main_S[[#This Row],[BVPS]],""),"")</f>
        <v>0.99361896080218781</v>
      </c>
      <c r="J40">
        <v>8.14</v>
      </c>
      <c r="K40">
        <v>0.66</v>
      </c>
      <c r="L40">
        <v>12.99</v>
      </c>
      <c r="M40" s="1">
        <f>IF(ISNUMBER(Main_S[[#This Row],[EPS]]),IF(Main_S[[#This Row],[EPS]]&lt;&gt;0,Main_S[[#This Row],[Current Price]]/Main_S[[#This Row],[EPS]],""),"")</f>
        <v>13.693467336683417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4.104388842537122</v>
      </c>
      <c r="P40" s="1">
        <f>(Main_S[[#This Row],[P/B]]-VLOOKUP(Main_S[[#This Row],[Industry]], Mean_PB_S, 2, FALSE))/(VLOOKUP(Main_S[[#This Row],[Industry]], Mean_PB_S, 3, FALSE))</f>
        <v>-0.37443195591643208</v>
      </c>
      <c r="Q40" s="1">
        <f>(Main_S[[#This Row],[ROE]]-VLOOKUP(Main_S[[#This Row],[Industry]], Mean_ROE_S, 2, FALSE))/(VLOOKUP(Main_S[[#This Row],[Industry]], Mean_ROE_S, 3, FALSE))</f>
        <v>-0.31162440191963514</v>
      </c>
      <c r="R40" s="1">
        <f>(Main_S[[#This Row],[ROA]]-VLOOKUP(Main_S[[#This Row],[Industry]], Mean_ROA_S, 2, FALSE))/(VLOOKUP(Main_S[[#This Row],[Industry]], Mean_ROA_S, 3, FALSE))</f>
        <v>-0.72466983546765185</v>
      </c>
      <c r="S40" s="1">
        <f>(Main_S[[#This Row],[A/E]]-VLOOKUP(Main_S[[#This Row],[Industry]], Mean_AE_S, 2, FALSE))/(VLOOKUP(Main_S[[#This Row],[Industry]], Mean_AE_S, 3, FALSE))</f>
        <v>1.9799976096020413</v>
      </c>
      <c r="T40" s="1">
        <f>(Main_S[[#This Row],[P/E]]-VLOOKUP(Main_S[[#This Row],[Industry]], Mean_PE_S, 2, FALSE))/(VLOOKUP(Main_S[[#This Row],[Industry]], Mean_PE_S, 3, FALSE))</f>
        <v>0.52219627699033522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8" t="s">
        <v>105</v>
      </c>
      <c r="B41" s="68" t="s">
        <v>466</v>
      </c>
      <c r="C41" s="2">
        <v>335</v>
      </c>
      <c r="D41">
        <f>RTD("tos.rtd", , "LAST", Main_S[[#This Row],[Symbol]])</f>
        <v>18.5</v>
      </c>
      <c r="E41">
        <v>1.01</v>
      </c>
      <c r="F41">
        <v>19.510000000000002</v>
      </c>
      <c r="G41">
        <v>0.65</v>
      </c>
      <c r="H41" s="1">
        <f>IF(ISNUMBER(Main_S[[#This Row],[Free CF]]),IF(Main_S[[#This Row],[Free CF]]&lt;&gt;0,Main_S[[#This Row],[Current Price]]/Main_S[[#This Row],[Free CF]],""),"")</f>
        <v>18.316831683168317</v>
      </c>
      <c r="I41" s="1">
        <f>IF(ISNUMBER(Main_S[[#This Row],[BVPS]]),IF(Main_S[[#This Row],[BVPS]]&lt;&gt;0,Main_S[[#This Row],[Current Price]]/Main_S[[#This Row],[BVPS]],""),"")</f>
        <v>0.94823167606355707</v>
      </c>
      <c r="J41">
        <v>4.21</v>
      </c>
      <c r="K41">
        <v>0.41</v>
      </c>
      <c r="L41">
        <v>9.5500000000000007</v>
      </c>
      <c r="M41" s="1">
        <f>IF(ISNUMBER(Main_S[[#This Row],[EPS]]),IF(Main_S[[#This Row],[EPS]]&lt;&gt;0,Main_S[[#This Row],[Current Price]]/Main_S[[#This Row],[EPS]],""),"")</f>
        <v>28.46153846153846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1.9415591171434321</v>
      </c>
      <c r="P41" s="1">
        <f>(Main_S[[#This Row],[P/B]]-VLOOKUP(Main_S[[#This Row],[Industry]], Mean_PB_S, 2, FALSE))/(VLOOKUP(Main_S[[#This Row],[Industry]], Mean_PB_S, 3, FALSE))</f>
        <v>-0.53634498927707985</v>
      </c>
      <c r="Q41" s="1">
        <f>(Main_S[[#This Row],[ROE]]-VLOOKUP(Main_S[[#This Row],[Industry]], Mean_ROE_S, 2, FALSE))/(VLOOKUP(Main_S[[#This Row],[Industry]], Mean_ROE_S, 3, FALSE))</f>
        <v>-1.2687538172180686</v>
      </c>
      <c r="R41" s="1">
        <f>(Main_S[[#This Row],[ROA]]-VLOOKUP(Main_S[[#This Row],[Industry]], Mean_ROA_S, 2, FALSE))/(VLOOKUP(Main_S[[#This Row],[Industry]], Mean_ROA_S, 3, FALSE))</f>
        <v>-1.305858675942962</v>
      </c>
      <c r="S41" s="1">
        <f>(Main_S[[#This Row],[A/E]]-VLOOKUP(Main_S[[#This Row],[Industry]], Mean_AE_S, 2, FALSE))/(VLOOKUP(Main_S[[#This Row],[Industry]], Mean_AE_S, 3, FALSE))</f>
        <v>-9.459837111658452E-3</v>
      </c>
      <c r="T41" s="1">
        <f>(Main_S[[#This Row],[P/E]]-VLOOKUP(Main_S[[#This Row],[Industry]], Mean_PE_S, 2, FALSE))/(VLOOKUP(Main_S[[#This Row],[Industry]], Mean_PE_S, 3, FALSE))</f>
        <v>6.1541310172416255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2" spans="1:26" x14ac:dyDescent="0.25">
      <c r="A42" s="68" t="s">
        <v>105</v>
      </c>
      <c r="B42" s="68" t="s">
        <v>467</v>
      </c>
      <c r="C42" s="2">
        <v>275</v>
      </c>
      <c r="D42">
        <f>RTD("tos.rtd", , "LAST", Main_S[[#This Row],[Symbol]])</f>
        <v>59.49</v>
      </c>
      <c r="E42">
        <v>6.71</v>
      </c>
      <c r="F42">
        <v>64.77</v>
      </c>
      <c r="G42">
        <v>5.97</v>
      </c>
      <c r="H42" s="1">
        <f>IF(ISNUMBER(Main_S[[#This Row],[Free CF]]),IF(Main_S[[#This Row],[Free CF]]&lt;&gt;0,Main_S[[#This Row],[Current Price]]/Main_S[[#This Row],[Free CF]],""),"")</f>
        <v>8.8658718330849489</v>
      </c>
      <c r="I42" s="1">
        <f>IF(ISNUMBER(Main_S[[#This Row],[BVPS]]),IF(Main_S[[#This Row],[BVPS]]&lt;&gt;0,Main_S[[#This Row],[Current Price]]/Main_S[[#This Row],[BVPS]],""),"")</f>
        <v>0.91848077813802698</v>
      </c>
      <c r="J42">
        <v>9.6199999999999992</v>
      </c>
      <c r="K42">
        <v>0.96</v>
      </c>
      <c r="L42">
        <v>9.7799999999999994</v>
      </c>
      <c r="M42" s="1">
        <f>IF(ISNUMBER(Main_S[[#This Row],[EPS]]),IF(Main_S[[#This Row],[EPS]]&lt;&gt;0,Main_S[[#This Row],[Current Price]]/Main_S[[#This Row],[EPS]],""),"")</f>
        <v>9.9648241206030157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-0.5305618750167429</v>
      </c>
      <c r="P42" s="1">
        <f>(Main_S[[#This Row],[P/B]]-VLOOKUP(Main_S[[#This Row],[Industry]], Mean_PB_S, 2, FALSE))/(VLOOKUP(Main_S[[#This Row],[Industry]], Mean_PB_S, 3, FALSE))</f>
        <v>-0.64247731589818757</v>
      </c>
      <c r="Q42" s="1">
        <f>(Main_S[[#This Row],[ROE]]-VLOOKUP(Main_S[[#This Row],[Industry]], Mean_ROE_S, 2, FALSE))/(VLOOKUP(Main_S[[#This Row],[Industry]], Mean_ROE_S, 3, FALSE))</f>
        <v>4.8821281195296169E-2</v>
      </c>
      <c r="R42" s="1">
        <f>(Main_S[[#This Row],[ROA]]-VLOOKUP(Main_S[[#This Row],[Industry]], Mean_ROA_S, 2, FALSE))/(VLOOKUP(Main_S[[#This Row],[Industry]], Mean_ROA_S, 3, FALSE))</f>
        <v>-2.7243226897279905E-2</v>
      </c>
      <c r="S42" s="1">
        <f>(Main_S[[#This Row],[A/E]]-VLOOKUP(Main_S[[#This Row],[Industry]], Mean_AE_S, 2, FALSE))/(VLOOKUP(Main_S[[#This Row],[Industry]], Mean_AE_S, 3, FALSE))</f>
        <v>0.12355621310466373</v>
      </c>
      <c r="T42" s="1">
        <f>(Main_S[[#This Row],[P/E]]-VLOOKUP(Main_S[[#This Row],[Industry]], Mean_PE_S, 2, FALSE))/(VLOOKUP(Main_S[[#This Row],[Industry]], Mean_PE_S, 3, FALSE))</f>
        <v>-0.89975484208999323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8" t="s">
        <v>105</v>
      </c>
      <c r="B43" s="68" t="s">
        <v>468</v>
      </c>
      <c r="C43" s="2">
        <v>296</v>
      </c>
      <c r="D43">
        <f>RTD("tos.rtd", , "LAST", Main_S[[#This Row],[Symbol]])</f>
        <v>19.47</v>
      </c>
      <c r="E43">
        <v>2.04</v>
      </c>
      <c r="F43">
        <v>18.2</v>
      </c>
      <c r="G43">
        <v>1.75</v>
      </c>
      <c r="H43" s="1">
        <f>IF(ISNUMBER(Main_S[[#This Row],[Free CF]]),IF(Main_S[[#This Row],[Free CF]]&lt;&gt;0,Main_S[[#This Row],[Current Price]]/Main_S[[#This Row],[Free CF]],""),"")</f>
        <v>9.5441176470588225</v>
      </c>
      <c r="I43" s="1">
        <f>IF(ISNUMBER(Main_S[[#This Row],[BVPS]]),IF(Main_S[[#This Row],[BVPS]]&lt;&gt;0,Main_S[[#This Row],[Current Price]]/Main_S[[#This Row],[BVPS]],""),"")</f>
        <v>1.0697802197802198</v>
      </c>
      <c r="J43">
        <v>9.92</v>
      </c>
      <c r="K43">
        <v>1.05</v>
      </c>
      <c r="L43">
        <v>9.26</v>
      </c>
      <c r="M43" s="1">
        <f>IF(ISNUMBER(Main_S[[#This Row],[EPS]]),IF(Main_S[[#This Row],[EPS]]&lt;&gt;0,Main_S[[#This Row],[Current Price]]/Main_S[[#This Row],[EPS]],""),"")</f>
        <v>11.125714285714285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-0.35315071877796289</v>
      </c>
      <c r="P43" s="1">
        <f>(Main_S[[#This Row],[P/B]]-VLOOKUP(Main_S[[#This Row],[Industry]], Mean_PB_S, 2, FALSE))/(VLOOKUP(Main_S[[#This Row],[Industry]], Mean_PB_S, 3, FALSE))</f>
        <v>-0.10273690879669914</v>
      </c>
      <c r="Q43" s="1">
        <f>(Main_S[[#This Row],[ROE]]-VLOOKUP(Main_S[[#This Row],[Industry]], Mean_ROE_S, 2, FALSE))/(VLOOKUP(Main_S[[#This Row],[Industry]], Mean_ROE_S, 3, FALSE))</f>
        <v>0.12188459534021491</v>
      </c>
      <c r="R43" s="1">
        <f>(Main_S[[#This Row],[ROA]]-VLOOKUP(Main_S[[#This Row],[Industry]], Mean_ROA_S, 2, FALSE))/(VLOOKUP(Main_S[[#This Row],[Industry]], Mean_ROA_S, 3, FALSE))</f>
        <v>0.18198475567383193</v>
      </c>
      <c r="S43" s="1">
        <f>(Main_S[[#This Row],[A/E]]-VLOOKUP(Main_S[[#This Row],[Industry]], Mean_AE_S, 2, FALSE))/(VLOOKUP(Main_S[[#This Row],[Industry]], Mean_AE_S, 3, FALSE))</f>
        <v>-0.17717572651484881</v>
      </c>
      <c r="T43" s="1">
        <f>(Main_S[[#This Row],[P/E]]-VLOOKUP(Main_S[[#This Row],[Industry]], Mean_PE_S, 2, FALSE))/(VLOOKUP(Main_S[[#This Row],[Industry]], Mean_PE_S, 3, FALSE))</f>
        <v>-0.45703909436431411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8" t="s">
        <v>105</v>
      </c>
      <c r="B44" s="68" t="s">
        <v>469</v>
      </c>
      <c r="C44" s="2">
        <v>1144</v>
      </c>
      <c r="D44">
        <f>RTD("tos.rtd", , "LAST", Main_S[[#This Row],[Symbol]])</f>
        <v>27.51</v>
      </c>
      <c r="E44">
        <v>2.2000000000000002</v>
      </c>
      <c r="F44">
        <v>29.58</v>
      </c>
      <c r="G44">
        <v>0.62</v>
      </c>
      <c r="H44" s="1">
        <f>IF(ISNUMBER(Main_S[[#This Row],[Free CF]]),IF(Main_S[[#This Row],[Free CF]]&lt;&gt;0,Main_S[[#This Row],[Current Price]]/Main_S[[#This Row],[Free CF]],""),"")</f>
        <v>12.504545454545454</v>
      </c>
      <c r="I44" s="1">
        <f>IF(ISNUMBER(Main_S[[#This Row],[BVPS]]),IF(Main_S[[#This Row],[BVPS]]&lt;&gt;0,Main_S[[#This Row],[Current Price]]/Main_S[[#This Row],[BVPS]],""),"")</f>
        <v>0.93002028397565939</v>
      </c>
      <c r="J44">
        <v>2.48</v>
      </c>
      <c r="K44">
        <v>0.24</v>
      </c>
      <c r="L44">
        <v>10.88</v>
      </c>
      <c r="M44" s="1">
        <f>IF(ISNUMBER(Main_S[[#This Row],[EPS]]),IF(Main_S[[#This Row],[EPS]]&lt;&gt;0,Main_S[[#This Row],[Current Price]]/Main_S[[#This Row],[EPS]],""),"")</f>
        <v>44.370967741935488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0.42121885264687664</v>
      </c>
      <c r="P44" s="1">
        <f>(Main_S[[#This Row],[P/B]]-VLOOKUP(Main_S[[#This Row],[Industry]], Mean_PB_S, 2, FALSE))/(VLOOKUP(Main_S[[#This Row],[Industry]], Mean_PB_S, 3, FALSE))</f>
        <v>-0.60131168097612964</v>
      </c>
      <c r="Q44" s="1">
        <f>(Main_S[[#This Row],[ROE]]-VLOOKUP(Main_S[[#This Row],[Industry]], Mean_ROE_S, 2, FALSE))/(VLOOKUP(Main_S[[#This Row],[Industry]], Mean_ROE_S, 3, FALSE))</f>
        <v>-1.6900855954537655</v>
      </c>
      <c r="R44" s="1">
        <f>(Main_S[[#This Row],[ROA]]-VLOOKUP(Main_S[[#This Row],[Industry]], Mean_ROA_S, 2, FALSE))/(VLOOKUP(Main_S[[#This Row],[Industry]], Mean_ROA_S, 3, FALSE))</f>
        <v>-1.7010670874661731</v>
      </c>
      <c r="S44" s="1">
        <f>(Main_S[[#This Row],[A/E]]-VLOOKUP(Main_S[[#This Row],[Industry]], Mean_AE_S, 2, FALSE))/(VLOOKUP(Main_S[[#This Row],[Industry]], Mean_AE_S, 3, FALSE))</f>
        <v>0.75971993153055706</v>
      </c>
      <c r="T44" s="1">
        <f>(Main_S[[#This Row],[P/E]]-VLOOKUP(Main_S[[#This Row],[Industry]], Mean_PE_S, 2, FALSE))/(VLOOKUP(Main_S[[#This Row],[Industry]], Mean_PE_S, 3, FALSE))</f>
        <v>12.221332800353203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5" spans="1:26" x14ac:dyDescent="0.25">
      <c r="A45" s="68" t="s">
        <v>105</v>
      </c>
      <c r="B45" s="68" t="s">
        <v>470</v>
      </c>
      <c r="C45" s="2">
        <v>478</v>
      </c>
      <c r="D45">
        <f>RTD("tos.rtd", , "LAST", Main_S[[#This Row],[Symbol]])</f>
        <v>40.67</v>
      </c>
      <c r="E45">
        <v>3.56</v>
      </c>
      <c r="F45">
        <v>31.24</v>
      </c>
      <c r="G45">
        <v>3.27</v>
      </c>
      <c r="H45" s="1">
        <f>IF(ISNUMBER(Main_S[[#This Row],[Free CF]]),IF(Main_S[[#This Row],[Free CF]]&lt;&gt;0,Main_S[[#This Row],[Current Price]]/Main_S[[#This Row],[Free CF]],""),"")</f>
        <v>11.424157303370787</v>
      </c>
      <c r="I45" s="1">
        <f>IF(ISNUMBER(Main_S[[#This Row],[BVPS]]),IF(Main_S[[#This Row],[BVPS]]&lt;&gt;0,Main_S[[#This Row],[Current Price]]/Main_S[[#This Row],[BVPS]],""),"")</f>
        <v>1.3018565941101155</v>
      </c>
      <c r="J45">
        <v>11.31</v>
      </c>
      <c r="K45">
        <v>0.85</v>
      </c>
      <c r="L45">
        <v>12.72</v>
      </c>
      <c r="M45" s="1">
        <f>IF(ISNUMBER(Main_S[[#This Row],[EPS]]),IF(Main_S[[#This Row],[EPS]]&lt;&gt;0,Main_S[[#This Row],[Current Price]]/Main_S[[#This Row],[EPS]],""),"")</f>
        <v>12.43730886850153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0.13861790305375626</v>
      </c>
      <c r="P45" s="1">
        <f>(Main_S[[#This Row],[P/B]]-VLOOKUP(Main_S[[#This Row],[Industry]], Mean_PB_S, 2, FALSE))/(VLOOKUP(Main_S[[#This Row],[Industry]], Mean_PB_S, 3, FALSE))</f>
        <v>0.72516434053959633</v>
      </c>
      <c r="Q45" s="1">
        <f>(Main_S[[#This Row],[ROE]]-VLOOKUP(Main_S[[#This Row],[Industry]], Mean_ROE_S, 2, FALSE))/(VLOOKUP(Main_S[[#This Row],[Industry]], Mean_ROE_S, 3, FALSE))</f>
        <v>0.4604112842116711</v>
      </c>
      <c r="R45" s="1">
        <f>(Main_S[[#This Row],[ROA]]-VLOOKUP(Main_S[[#This Row],[Industry]], Mean_ROA_S, 2, FALSE))/(VLOOKUP(Main_S[[#This Row],[Industry]], Mean_ROA_S, 3, FALSE))</f>
        <v>-0.28296631670641631</v>
      </c>
      <c r="S45" s="1">
        <f>(Main_S[[#This Row],[A/E]]-VLOOKUP(Main_S[[#This Row],[Industry]], Mean_AE_S, 2, FALSE))/(VLOOKUP(Main_S[[#This Row],[Industry]], Mean_AE_S, 3, FALSE))</f>
        <v>1.8238483332611406</v>
      </c>
      <c r="T45" s="1">
        <f>(Main_S[[#This Row],[P/E]]-VLOOKUP(Main_S[[#This Row],[Industry]], Mean_PE_S, 2, FALSE))/(VLOOKUP(Main_S[[#This Row],[Industry]], Mean_PE_S, 3, FALSE))</f>
        <v>4.3149117994216994E-2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8" t="s">
        <v>105</v>
      </c>
      <c r="B46" s="68" t="s">
        <v>471</v>
      </c>
      <c r="C46" s="2">
        <v>1948</v>
      </c>
      <c r="D46">
        <f>RTD("tos.rtd", , "LAST", Main_S[[#This Row],[Symbol]])</f>
        <v>54.89</v>
      </c>
      <c r="E46">
        <v>6.58</v>
      </c>
      <c r="F46">
        <v>48.64</v>
      </c>
      <c r="G46">
        <v>5.09</v>
      </c>
      <c r="H46" s="1">
        <f>IF(ISNUMBER(Main_S[[#This Row],[Free CF]]),IF(Main_S[[#This Row],[Free CF]]&lt;&gt;0,Main_S[[#This Row],[Current Price]]/Main_S[[#This Row],[Free CF]],""),"")</f>
        <v>8.3419452887537986</v>
      </c>
      <c r="I46" s="1">
        <f>IF(ISNUMBER(Main_S[[#This Row],[BVPS]]),IF(Main_S[[#This Row],[BVPS]]&lt;&gt;0,Main_S[[#This Row],[Current Price]]/Main_S[[#This Row],[BVPS]],""),"")</f>
        <v>1.1284950657894737</v>
      </c>
      <c r="J46">
        <v>10.82</v>
      </c>
      <c r="K46">
        <v>1.29</v>
      </c>
      <c r="L46">
        <v>8.73</v>
      </c>
      <c r="M46" s="1">
        <f>IF(ISNUMBER(Main_S[[#This Row],[EPS]]),IF(Main_S[[#This Row],[EPS]]&lt;&gt;0,Main_S[[#This Row],[Current Price]]/Main_S[[#This Row],[EPS]],""),"")</f>
        <v>10.783889980353635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-0.66760719413102843</v>
      </c>
      <c r="P46" s="1">
        <f>(Main_S[[#This Row],[P/B]]-VLOOKUP(Main_S[[#This Row],[Industry]], Mean_PB_S, 2, FALSE))/(VLOOKUP(Main_S[[#This Row],[Industry]], Mean_PB_S, 3, FALSE))</f>
        <v>0.10672040673577489</v>
      </c>
      <c r="Q46" s="1">
        <f>(Main_S[[#This Row],[ROE]]-VLOOKUP(Main_S[[#This Row],[Industry]], Mean_ROE_S, 2, FALSE))/(VLOOKUP(Main_S[[#This Row],[Industry]], Mean_ROE_S, 3, FALSE))</f>
        <v>0.34107453777497071</v>
      </c>
      <c r="R46" s="1">
        <f>(Main_S[[#This Row],[ROA]]-VLOOKUP(Main_S[[#This Row],[Industry]], Mean_ROA_S, 2, FALSE))/(VLOOKUP(Main_S[[#This Row],[Industry]], Mean_ROA_S, 3, FALSE))</f>
        <v>0.73992604253012961</v>
      </c>
      <c r="S46" s="1">
        <f>(Main_S[[#This Row],[A/E]]-VLOOKUP(Main_S[[#This Row],[Industry]], Mean_AE_S, 2, FALSE))/(VLOOKUP(Main_S[[#This Row],[Industry]], Mean_AE_S, 3, FALSE))</f>
        <v>-0.4836909726655057</v>
      </c>
      <c r="T46" s="1">
        <f>(Main_S[[#This Row],[P/E]]-VLOOKUP(Main_S[[#This Row],[Industry]], Mean_PE_S, 2, FALSE))/(VLOOKUP(Main_S[[#This Row],[Industry]], Mean_PE_S, 3, FALSE))</f>
        <v>-0.58739682112138947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8" t="s">
        <v>105</v>
      </c>
      <c r="B47" s="68" t="s">
        <v>472</v>
      </c>
      <c r="C47" s="2">
        <v>547</v>
      </c>
      <c r="D47">
        <f>RTD("tos.rtd", , "LAST", Main_S[[#This Row],[Symbol]])</f>
        <v>19.350000000000001</v>
      </c>
      <c r="E47">
        <v>4.25</v>
      </c>
      <c r="F47">
        <v>40.99</v>
      </c>
      <c r="G47">
        <v>-1.49</v>
      </c>
      <c r="H47" s="1">
        <f>IF(ISNUMBER(Main_S[[#This Row],[Free CF]]),IF(Main_S[[#This Row],[Free CF]]&lt;&gt;0,Main_S[[#This Row],[Current Price]]/Main_S[[#This Row],[Free CF]],""),"")</f>
        <v>4.5529411764705889</v>
      </c>
      <c r="I47" s="1">
        <f>IF(ISNUMBER(Main_S[[#This Row],[BVPS]]),IF(Main_S[[#This Row],[BVPS]]&lt;&gt;0,Main_S[[#This Row],[Current Price]]/Main_S[[#This Row],[BVPS]],""),"")</f>
        <v>0.47206635764820687</v>
      </c>
      <c r="J47">
        <v>-3.6</v>
      </c>
      <c r="K47">
        <v>-0.39</v>
      </c>
      <c r="L47">
        <v>9.09</v>
      </c>
      <c r="M47" s="1">
        <f>IF(ISNUMBER(Main_S[[#This Row],[EPS]]),IF(Main_S[[#This Row],[EPS]]&lt;&gt;0,Main_S[[#This Row],[Current Price]]/Main_S[[#This Row],[EPS]],""),"")</f>
        <v>-12.986577181208055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-1.6587103999365134</v>
      </c>
      <c r="P47" s="1">
        <f>(Main_S[[#This Row],[P/B]]-VLOOKUP(Main_S[[#This Row],[Industry]], Mean_PB_S, 2, FALSE))/(VLOOKUP(Main_S[[#This Row],[Industry]], Mean_PB_S, 3, FALSE))</f>
        <v>-2.2350007147681379</v>
      </c>
      <c r="Q47" s="1">
        <f>(Main_S[[#This Row],[ROE]]-VLOOKUP(Main_S[[#This Row],[Industry]], Mean_ROE_S, 2, FALSE))/(VLOOKUP(Main_S[[#This Row],[Industry]], Mean_ROE_S, 3, FALSE))</f>
        <v>-3.1708354287907818</v>
      </c>
      <c r="R47" s="1">
        <f>(Main_S[[#This Row],[ROA]]-VLOOKUP(Main_S[[#This Row],[Industry]], Mean_ROA_S, 2, FALSE))/(VLOOKUP(Main_S[[#This Row],[Industry]], Mean_ROA_S, 3, FALSE))</f>
        <v>-3.1656629654639543</v>
      </c>
      <c r="S47" s="1">
        <f>(Main_S[[#This Row],[A/E]]-VLOOKUP(Main_S[[#This Row],[Industry]], Mean_AE_S, 2, FALSE))/(VLOOKUP(Main_S[[#This Row],[Industry]], Mean_AE_S, 3, FALSE))</f>
        <v>-0.2754919375443049</v>
      </c>
      <c r="T47" s="1">
        <f>(Main_S[[#This Row],[P/E]]-VLOOKUP(Main_S[[#This Row],[Industry]], Mean_PE_S, 2, FALSE))/(VLOOKUP(Main_S[[#This Row],[Industry]], Mean_PE_S, 3, FALSE))</f>
        <v>-9.6524750339347651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8" spans="1:26" x14ac:dyDescent="0.25">
      <c r="A48" s="68" t="s">
        <v>105</v>
      </c>
      <c r="B48" s="68" t="s">
        <v>473</v>
      </c>
      <c r="C48" s="2">
        <v>687</v>
      </c>
      <c r="D48">
        <f>RTD("tos.rtd", , "LAST", Main_S[[#This Row],[Symbol]])</f>
        <v>41.13</v>
      </c>
      <c r="E48">
        <v>4.22</v>
      </c>
      <c r="F48">
        <v>35.299999999999997</v>
      </c>
      <c r="G48">
        <v>3.93</v>
      </c>
      <c r="H48" s="1">
        <f>IF(ISNUMBER(Main_S[[#This Row],[Free CF]]),IF(Main_S[[#This Row],[Free CF]]&lt;&gt;0,Main_S[[#This Row],[Current Price]]/Main_S[[#This Row],[Free CF]],""),"")</f>
        <v>9.746445497630333</v>
      </c>
      <c r="I48" s="1">
        <f>IF(ISNUMBER(Main_S[[#This Row],[BVPS]]),IF(Main_S[[#This Row],[BVPS]]&lt;&gt;0,Main_S[[#This Row],[Current Price]]/Main_S[[#This Row],[BVPS]],""),"")</f>
        <v>1.1651558073654393</v>
      </c>
      <c r="J48">
        <v>11.84</v>
      </c>
      <c r="K48">
        <v>1.19</v>
      </c>
      <c r="L48">
        <v>8.82</v>
      </c>
      <c r="M48" s="1">
        <f>IF(ISNUMBER(Main_S[[#This Row],[EPS]]),IF(Main_S[[#This Row],[EPS]]&lt;&gt;0,Main_S[[#This Row],[Current Price]]/Main_S[[#This Row],[EPS]],""),"")</f>
        <v>10.465648854961833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-0.30022710735323904</v>
      </c>
      <c r="P48" s="1">
        <f>(Main_S[[#This Row],[P/B]]-VLOOKUP(Main_S[[#This Row],[Industry]], Mean_PB_S, 2, FALSE))/(VLOOKUP(Main_S[[#This Row],[Industry]], Mean_PB_S, 3, FALSE))</f>
        <v>0.23750267115185256</v>
      </c>
      <c r="Q48" s="1">
        <f>(Main_S[[#This Row],[ROE]]-VLOOKUP(Main_S[[#This Row],[Industry]], Mean_ROE_S, 2, FALSE))/(VLOOKUP(Main_S[[#This Row],[Industry]], Mean_ROE_S, 3, FALSE))</f>
        <v>0.58948980586769373</v>
      </c>
      <c r="R48" s="1">
        <f>(Main_S[[#This Row],[ROA]]-VLOOKUP(Main_S[[#This Row],[Industry]], Mean_ROA_S, 2, FALSE))/(VLOOKUP(Main_S[[#This Row],[Industry]], Mean_ROA_S, 3, FALSE))</f>
        <v>0.50745050634000533</v>
      </c>
      <c r="S48" s="1">
        <f>(Main_S[[#This Row],[A/E]]-VLOOKUP(Main_S[[#This Row],[Industry]], Mean_AE_S, 2, FALSE))/(VLOOKUP(Main_S[[#This Row],[Industry]], Mean_AE_S, 3, FALSE))</f>
        <v>-0.43164121388520549</v>
      </c>
      <c r="T48" s="1">
        <f>(Main_S[[#This Row],[P/E]]-VLOOKUP(Main_S[[#This Row],[Industry]], Mean_PE_S, 2, FALSE))/(VLOOKUP(Main_S[[#This Row],[Industry]], Mean_PE_S, 3, FALSE))</f>
        <v>-0.70876089329559833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8" t="s">
        <v>105</v>
      </c>
      <c r="B49" s="68" t="s">
        <v>474</v>
      </c>
      <c r="C49" s="2">
        <v>736</v>
      </c>
      <c r="D49">
        <f>RTD("tos.rtd", , "LAST", Main_S[[#This Row],[Symbol]])</f>
        <v>90.17</v>
      </c>
      <c r="E49">
        <v>5</v>
      </c>
      <c r="F49">
        <v>31.59</v>
      </c>
      <c r="G49">
        <v>5.27</v>
      </c>
      <c r="H49" s="1">
        <f>IF(ISNUMBER(Main_S[[#This Row],[Free CF]]),IF(Main_S[[#This Row],[Free CF]]&lt;&gt;0,Main_S[[#This Row],[Current Price]]/Main_S[[#This Row],[Free CF]],""),"")</f>
        <v>18.033999999999999</v>
      </c>
      <c r="I49" s="1">
        <f>IF(ISNUMBER(Main_S[[#This Row],[BVPS]]),IF(Main_S[[#This Row],[BVPS]]&lt;&gt;0,Main_S[[#This Row],[Current Price]]/Main_S[[#This Row],[BVPS]],""),"")</f>
        <v>2.8543842988287436</v>
      </c>
      <c r="J49">
        <v>19.66</v>
      </c>
      <c r="K49">
        <v>2.4900000000000002</v>
      </c>
      <c r="L49">
        <v>7.8</v>
      </c>
      <c r="M49" s="1">
        <f>IF(ISNUMBER(Main_S[[#This Row],[EPS]]),IF(Main_S[[#This Row],[EPS]]&lt;&gt;0,Main_S[[#This Row],[Current Price]]/Main_S[[#This Row],[EPS]],""),"")</f>
        <v>17.110056925996208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1.8675778335172799</v>
      </c>
      <c r="P49" s="1">
        <f>(Main_S[[#This Row],[P/B]]-VLOOKUP(Main_S[[#This Row],[Industry]], Mean_PB_S, 2, FALSE))/(VLOOKUP(Main_S[[#This Row],[Industry]], Mean_PB_S, 3, FALSE))</f>
        <v>6.263598100016802</v>
      </c>
      <c r="Q49" s="1">
        <f>(Main_S[[#This Row],[ROE]]-VLOOKUP(Main_S[[#This Row],[Industry]], Mean_ROE_S, 2, FALSE))/(VLOOKUP(Main_S[[#This Row],[Industry]], Mean_ROE_S, 3, FALSE))</f>
        <v>2.494006861245238</v>
      </c>
      <c r="R49" s="1">
        <f>(Main_S[[#This Row],[ROA]]-VLOOKUP(Main_S[[#This Row],[Industry]], Mean_ROA_S, 2, FALSE))/(VLOOKUP(Main_S[[#This Row],[Industry]], Mean_ROA_S, 3, FALSE))</f>
        <v>3.5296324768116185</v>
      </c>
      <c r="S49" s="1">
        <f>(Main_S[[#This Row],[A/E]]-VLOOKUP(Main_S[[#This Row],[Industry]], Mean_AE_S, 2, FALSE))/(VLOOKUP(Main_S[[#This Row],[Industry]], Mean_AE_S, 3, FALSE))</f>
        <v>-1.0215384800619425</v>
      </c>
      <c r="T49" s="1">
        <f>(Main_S[[#This Row],[P/E]]-VLOOKUP(Main_S[[#This Row],[Industry]], Mean_PE_S, 2, FALSE))/(VLOOKUP(Main_S[[#This Row],[Industry]], Mean_PE_S, 3, FALSE))</f>
        <v>1.8251429813061615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8" t="s">
        <v>105</v>
      </c>
      <c r="B50" s="68" t="s">
        <v>475</v>
      </c>
      <c r="C50" s="2">
        <v>400</v>
      </c>
      <c r="D50">
        <f>RTD("tos.rtd", , "LAST", Main_S[[#This Row],[Symbol]])</f>
        <v>49.29</v>
      </c>
      <c r="E50">
        <v>7.28</v>
      </c>
      <c r="F50">
        <v>39.04</v>
      </c>
      <c r="G50">
        <v>5.48</v>
      </c>
      <c r="H50" s="1">
        <f>IF(ISNUMBER(Main_S[[#This Row],[Free CF]]),IF(Main_S[[#This Row],[Free CF]]&lt;&gt;0,Main_S[[#This Row],[Current Price]]/Main_S[[#This Row],[Free CF]],""),"")</f>
        <v>6.7706043956043951</v>
      </c>
      <c r="I50" s="1">
        <f>IF(ISNUMBER(Main_S[[#This Row],[BVPS]]),IF(Main_S[[#This Row],[BVPS]]&lt;&gt;0,Main_S[[#This Row],[Current Price]]/Main_S[[#This Row],[BVPS]],""),"")</f>
        <v>1.2625512295081966</v>
      </c>
      <c r="J50">
        <v>14.69</v>
      </c>
      <c r="K50">
        <v>1.25</v>
      </c>
      <c r="L50">
        <v>12.17</v>
      </c>
      <c r="M50" s="1">
        <f>IF(ISNUMBER(Main_S[[#This Row],[EPS]]),IF(Main_S[[#This Row],[EPS]]&lt;&gt;0,Main_S[[#This Row],[Current Price]]/Main_S[[#This Row],[EPS]],""),"")</f>
        <v>8.9945255474452548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-1.0786283887412345</v>
      </c>
      <c r="P50" s="1">
        <f>(Main_S[[#This Row],[P/B]]-VLOOKUP(Main_S[[#This Row],[Industry]], Mean_PB_S, 2, FALSE))/(VLOOKUP(Main_S[[#This Row],[Industry]], Mean_PB_S, 3, FALSE))</f>
        <v>0.58494773920089083</v>
      </c>
      <c r="Q50" s="1">
        <f>(Main_S[[#This Row],[ROE]]-VLOOKUP(Main_S[[#This Row],[Industry]], Mean_ROE_S, 2, FALSE))/(VLOOKUP(Main_S[[#This Row],[Industry]], Mean_ROE_S, 3, FALSE))</f>
        <v>1.2835912902444202</v>
      </c>
      <c r="R50" s="1">
        <f>(Main_S[[#This Row],[ROA]]-VLOOKUP(Main_S[[#This Row],[Industry]], Mean_ROA_S, 2, FALSE))/(VLOOKUP(Main_S[[#This Row],[Industry]], Mean_ROA_S, 3, FALSE))</f>
        <v>0.6469358280540799</v>
      </c>
      <c r="S50" s="1">
        <f>(Main_S[[#This Row],[A/E]]-VLOOKUP(Main_S[[#This Row],[Industry]], Mean_AE_S, 2, FALSE))/(VLOOKUP(Main_S[[#This Row],[Industry]], Mean_AE_S, 3, FALSE))</f>
        <v>1.505766474048194</v>
      </c>
      <c r="T50" s="1">
        <f>(Main_S[[#This Row],[P/E]]-VLOOKUP(Main_S[[#This Row],[Industry]], Mean_PE_S, 2, FALSE))/(VLOOKUP(Main_S[[#This Row],[Industry]], Mean_PE_S, 3, FALSE))</f>
        <v>-1.2697867979482158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8" t="s">
        <v>105</v>
      </c>
      <c r="B51" s="68" t="s">
        <v>476</v>
      </c>
      <c r="C51" s="2">
        <v>1711</v>
      </c>
      <c r="D51">
        <f>RTD("tos.rtd", , "LAST", Main_S[[#This Row],[Symbol]])</f>
        <v>42.53</v>
      </c>
      <c r="E51">
        <v>4.2</v>
      </c>
      <c r="F51">
        <v>36.46</v>
      </c>
      <c r="G51">
        <v>2.12</v>
      </c>
      <c r="H51" s="1">
        <f>IF(ISNUMBER(Main_S[[#This Row],[Free CF]]),IF(Main_S[[#This Row],[Free CF]]&lt;&gt;0,Main_S[[#This Row],[Current Price]]/Main_S[[#This Row],[Free CF]],""),"")</f>
        <v>10.126190476190477</v>
      </c>
      <c r="I51" s="1">
        <f>IF(ISNUMBER(Main_S[[#This Row],[BVPS]]),IF(Main_S[[#This Row],[BVPS]]&lt;&gt;0,Main_S[[#This Row],[Current Price]]/Main_S[[#This Row],[BVPS]],""),"")</f>
        <v>1.1664838178826111</v>
      </c>
      <c r="J51">
        <v>6.06</v>
      </c>
      <c r="K51">
        <v>0.71</v>
      </c>
      <c r="L51">
        <v>8.25</v>
      </c>
      <c r="M51" s="1">
        <f>IF(ISNUMBER(Main_S[[#This Row],[EPS]]),IF(Main_S[[#This Row],[EPS]]&lt;&gt;0,Main_S[[#This Row],[Current Price]]/Main_S[[#This Row],[EPS]],""),"")</f>
        <v>20.061320754716981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-0.200895870308817</v>
      </c>
      <c r="P51" s="1">
        <f>(Main_S[[#This Row],[P/B]]-VLOOKUP(Main_S[[#This Row],[Industry]], Mean_PB_S, 2, FALSE))/(VLOOKUP(Main_S[[#This Row],[Industry]], Mean_PB_S, 3, FALSE))</f>
        <v>0.24224017004407236</v>
      </c>
      <c r="Q51" s="1">
        <f>(Main_S[[#This Row],[ROE]]-VLOOKUP(Main_S[[#This Row],[Industry]], Mean_ROE_S, 2, FALSE))/(VLOOKUP(Main_S[[#This Row],[Industry]], Mean_ROE_S, 3, FALSE))</f>
        <v>-0.81819671332440413</v>
      </c>
      <c r="R51" s="1">
        <f>(Main_S[[#This Row],[ROA]]-VLOOKUP(Main_S[[#This Row],[Industry]], Mean_ROA_S, 2, FALSE))/(VLOOKUP(Main_S[[#This Row],[Industry]], Mean_ROA_S, 3, FALSE))</f>
        <v>-0.60843206737259004</v>
      </c>
      <c r="S51" s="1">
        <f>(Main_S[[#This Row],[A/E]]-VLOOKUP(Main_S[[#This Row],[Industry]], Mean_AE_S, 2, FALSE))/(VLOOKUP(Main_S[[#This Row],[Industry]], Mean_AE_S, 3, FALSE))</f>
        <v>-0.7612896861604409</v>
      </c>
      <c r="T51" s="1">
        <f>(Main_S[[#This Row],[P/E]]-VLOOKUP(Main_S[[#This Row],[Industry]], Mean_PE_S, 2, FALSE))/(VLOOKUP(Main_S[[#This Row],[Industry]], Mean_PE_S, 3, FALSE))</f>
        <v>2.9506335849263889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8" t="s">
        <v>105</v>
      </c>
      <c r="B52" s="68" t="s">
        <v>477</v>
      </c>
      <c r="C52" s="2">
        <v>708</v>
      </c>
      <c r="D52">
        <f>RTD("tos.rtd", , "LAST", Main_S[[#This Row],[Symbol]])</f>
        <v>39.49</v>
      </c>
      <c r="E52">
        <v>2.83</v>
      </c>
      <c r="F52">
        <v>27.09</v>
      </c>
      <c r="G52">
        <v>2.74</v>
      </c>
      <c r="H52" s="1">
        <f>IF(ISNUMBER(Main_S[[#This Row],[Free CF]]),IF(Main_S[[#This Row],[Free CF]]&lt;&gt;0,Main_S[[#This Row],[Current Price]]/Main_S[[#This Row],[Free CF]],""),"")</f>
        <v>13.954063604240282</v>
      </c>
      <c r="I52" s="1">
        <f>IF(ISNUMBER(Main_S[[#This Row],[BVPS]]),IF(Main_S[[#This Row],[BVPS]]&lt;&gt;0,Main_S[[#This Row],[Current Price]]/Main_S[[#This Row],[BVPS]],""),"")</f>
        <v>1.457733480989295</v>
      </c>
      <c r="J52">
        <v>10.08</v>
      </c>
      <c r="K52">
        <v>1.57</v>
      </c>
      <c r="L52">
        <v>6.5</v>
      </c>
      <c r="M52" s="1">
        <f>IF(ISNUMBER(Main_S[[#This Row],[EPS]]),IF(Main_S[[#This Row],[EPS]]&lt;&gt;0,Main_S[[#This Row],[Current Price]]/Main_S[[#This Row],[EPS]],""),"")</f>
        <v>14.412408759124087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0.80037444141452441</v>
      </c>
      <c r="P52" s="1">
        <f>(Main_S[[#This Row],[P/B]]-VLOOKUP(Main_S[[#This Row],[Industry]], Mean_PB_S, 2, FALSE))/(VLOOKUP(Main_S[[#This Row],[Industry]], Mean_PB_S, 3, FALSE))</f>
        <v>1.2812341678218861</v>
      </c>
      <c r="Q52" s="1">
        <f>(Main_S[[#This Row],[ROE]]-VLOOKUP(Main_S[[#This Row],[Industry]], Mean_ROE_S, 2, FALSE))/(VLOOKUP(Main_S[[#This Row],[Industry]], Mean_ROE_S, 3, FALSE))</f>
        <v>0.16085169621750486</v>
      </c>
      <c r="R52" s="1">
        <f>(Main_S[[#This Row],[ROA]]-VLOOKUP(Main_S[[#This Row],[Industry]], Mean_ROA_S, 2, FALSE))/(VLOOKUP(Main_S[[#This Row],[Industry]], Mean_ROA_S, 3, FALSE))</f>
        <v>1.3908575438624771</v>
      </c>
      <c r="S52" s="1">
        <f>(Main_S[[#This Row],[A/E]]-VLOOKUP(Main_S[[#This Row],[Industry]], Mean_AE_S, 2, FALSE))/(VLOOKUP(Main_S[[#This Row],[Industry]], Mean_AE_S, 3, FALSE))</f>
        <v>-1.7733683291107243</v>
      </c>
      <c r="T52" s="1">
        <f>(Main_S[[#This Row],[P/E]]-VLOOKUP(Main_S[[#This Row],[Industry]], Mean_PE_S, 2, FALSE))/(VLOOKUP(Main_S[[#This Row],[Industry]], Mean_PE_S, 3, FALSE))</f>
        <v>0.79637095688029491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8" t="s">
        <v>105</v>
      </c>
      <c r="B53" s="68" t="s">
        <v>478</v>
      </c>
      <c r="C53" s="2">
        <v>1599</v>
      </c>
      <c r="D53">
        <f>RTD("tos.rtd", , "LAST", Main_S[[#This Row],[Symbol]])</f>
        <v>16.059999999999999</v>
      </c>
      <c r="E53">
        <v>1.1200000000000001</v>
      </c>
      <c r="F53">
        <v>14.24</v>
      </c>
      <c r="G53">
        <v>1.34</v>
      </c>
      <c r="H53" s="1">
        <f>IF(ISNUMBER(Main_S[[#This Row],[Free CF]]),IF(Main_S[[#This Row],[Free CF]]&lt;&gt;0,Main_S[[#This Row],[Current Price]]/Main_S[[#This Row],[Free CF]],""),"")</f>
        <v>14.339285714285712</v>
      </c>
      <c r="I53" s="1">
        <f>IF(ISNUMBER(Main_S[[#This Row],[BVPS]]),IF(Main_S[[#This Row],[BVPS]]&lt;&gt;0,Main_S[[#This Row],[Current Price]]/Main_S[[#This Row],[BVPS]],""),"")</f>
        <v>1.1278089887640448</v>
      </c>
      <c r="J53">
        <v>9.91</v>
      </c>
      <c r="K53">
        <v>1.17</v>
      </c>
      <c r="L53">
        <v>8.15</v>
      </c>
      <c r="M53" s="1">
        <f>IF(ISNUMBER(Main_S[[#This Row],[EPS]]),IF(Main_S[[#This Row],[EPS]]&lt;&gt;0,Main_S[[#This Row],[Current Price]]/Main_S[[#This Row],[EPS]],""),"")</f>
        <v>11.98507462686567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0.90113835111192331</v>
      </c>
      <c r="P53" s="1">
        <f>(Main_S[[#This Row],[P/B]]-VLOOKUP(Main_S[[#This Row],[Industry]], Mean_PB_S, 2, FALSE))/(VLOOKUP(Main_S[[#This Row],[Industry]], Mean_PB_S, 3, FALSE))</f>
        <v>0.10427291923027771</v>
      </c>
      <c r="Q53" s="1">
        <f>(Main_S[[#This Row],[ROE]]-VLOOKUP(Main_S[[#This Row],[Industry]], Mean_ROE_S, 2, FALSE))/(VLOOKUP(Main_S[[#This Row],[Industry]], Mean_ROE_S, 3, FALSE))</f>
        <v>0.11944915153538435</v>
      </c>
      <c r="R53" s="1">
        <f>(Main_S[[#This Row],[ROA]]-VLOOKUP(Main_S[[#This Row],[Industry]], Mean_ROA_S, 2, FALSE))/(VLOOKUP(Main_S[[#This Row],[Industry]], Mean_ROA_S, 3, FALSE))</f>
        <v>0.46095539910198052</v>
      </c>
      <c r="S53" s="1">
        <f>(Main_S[[#This Row],[A/E]]-VLOOKUP(Main_S[[#This Row],[Industry]], Mean_AE_S, 2, FALSE))/(VLOOKUP(Main_S[[#This Row],[Industry]], Mean_AE_S, 3, FALSE))</f>
        <v>-0.8191227514718854</v>
      </c>
      <c r="T53" s="1">
        <f>(Main_S[[#This Row],[P/E]]-VLOOKUP(Main_S[[#This Row],[Industry]], Mean_PE_S, 2, FALSE))/(VLOOKUP(Main_S[[#This Row],[Industry]], Mean_PE_S, 3, FALSE))</f>
        <v>-0.12931441598170018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8" t="s">
        <v>105</v>
      </c>
      <c r="B54" s="68" t="s">
        <v>479</v>
      </c>
      <c r="C54" s="2">
        <v>424</v>
      </c>
      <c r="D54">
        <f>RTD("tos.rtd", , "LAST", Main_S[[#This Row],[Symbol]])</f>
        <v>13.17</v>
      </c>
      <c r="E54">
        <v>0.34</v>
      </c>
      <c r="F54">
        <v>20.81</v>
      </c>
      <c r="G54">
        <v>-1.45</v>
      </c>
      <c r="H54" s="1">
        <f>IF(ISNUMBER(Main_S[[#This Row],[Free CF]]),IF(Main_S[[#This Row],[Free CF]]&lt;&gt;0,Main_S[[#This Row],[Current Price]]/Main_S[[#This Row],[Free CF]],""),"")</f>
        <v>38.735294117647058</v>
      </c>
      <c r="I54" s="1">
        <f>IF(ISNUMBER(Main_S[[#This Row],[BVPS]]),IF(Main_S[[#This Row],[BVPS]]&lt;&gt;0,Main_S[[#This Row],[Current Price]]/Main_S[[#This Row],[BVPS]],""),"")</f>
        <v>0.63286881307063914</v>
      </c>
      <c r="J54">
        <v>-6.53</v>
      </c>
      <c r="K54">
        <v>-0.5</v>
      </c>
      <c r="L54">
        <v>12.82</v>
      </c>
      <c r="M54" s="1">
        <f>IF(ISNUMBER(Main_S[[#This Row],[EPS]]),IF(Main_S[[#This Row],[EPS]]&lt;&gt;0,Main_S[[#This Row],[Current Price]]/Main_S[[#This Row],[EPS]],""),"")</f>
        <v>-9.0827586206896562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7.2824885478682475</v>
      </c>
      <c r="P54" s="1">
        <f>(Main_S[[#This Row],[P/B]]-VLOOKUP(Main_S[[#This Row],[Industry]], Mean_PB_S, 2, FALSE))/(VLOOKUP(Main_S[[#This Row],[Industry]], Mean_PB_S, 3, FALSE))</f>
        <v>-1.6613595842352475</v>
      </c>
      <c r="Q54" s="1">
        <f>(Main_S[[#This Row],[ROE]]-VLOOKUP(Main_S[[#This Row],[Industry]], Mean_ROE_S, 2, FALSE))/(VLOOKUP(Main_S[[#This Row],[Industry]], Mean_ROE_S, 3, FALSE))</f>
        <v>-3.8844204636061535</v>
      </c>
      <c r="R54" s="1">
        <f>(Main_S[[#This Row],[ROA]]-VLOOKUP(Main_S[[#This Row],[Industry]], Mean_ROA_S, 2, FALSE))/(VLOOKUP(Main_S[[#This Row],[Industry]], Mean_ROA_S, 3, FALSE))</f>
        <v>-3.421386055273091</v>
      </c>
      <c r="S54" s="1">
        <f>(Main_S[[#This Row],[A/E]]-VLOOKUP(Main_S[[#This Row],[Industry]], Mean_AE_S, 2, FALSE))/(VLOOKUP(Main_S[[#This Row],[Industry]], Mean_AE_S, 3, FALSE))</f>
        <v>1.8816813985725853</v>
      </c>
      <c r="T54" s="1">
        <f>(Main_S[[#This Row],[P/E]]-VLOOKUP(Main_S[[#This Row],[Industry]], Mean_PE_S, 2, FALSE))/(VLOOKUP(Main_S[[#This Row],[Industry]], Mean_PE_S, 3, FALSE))</f>
        <v>-8.1637192455354075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5" spans="1:26" x14ac:dyDescent="0.25">
      <c r="A55" s="68" t="s">
        <v>105</v>
      </c>
      <c r="B55" s="68" t="s">
        <v>480</v>
      </c>
      <c r="C55" s="2">
        <v>433</v>
      </c>
      <c r="D55">
        <f>RTD("tos.rtd", , "LAST", Main_S[[#This Row],[Symbol]])</f>
        <v>5.41</v>
      </c>
      <c r="E55">
        <v>-0.18</v>
      </c>
      <c r="F55">
        <v>11.81</v>
      </c>
      <c r="G55">
        <v>-1.2</v>
      </c>
      <c r="H55" s="1">
        <f>IF(ISNUMBER(Main_S[[#This Row],[Free CF]]),IF(Main_S[[#This Row],[Free CF]]&lt;&gt;0,Main_S[[#This Row],[Current Price]]/Main_S[[#This Row],[Free CF]],""),"")</f>
        <v>-30.055555555555557</v>
      </c>
      <c r="I55" s="1">
        <f>IF(ISNUMBER(Main_S[[#This Row],[BVPS]]),IF(Main_S[[#This Row],[BVPS]]&lt;&gt;0,Main_S[[#This Row],[Current Price]]/Main_S[[#This Row],[BVPS]],""),"")</f>
        <v>0.45808636748518206</v>
      </c>
      <c r="J55">
        <v>-8.68</v>
      </c>
      <c r="K55">
        <v>-0.66</v>
      </c>
      <c r="L55">
        <v>12.94</v>
      </c>
      <c r="M55" s="1">
        <f>IF(ISNUMBER(Main_S[[#This Row],[EPS]]),IF(Main_S[[#This Row],[EPS]]&lt;&gt;0,Main_S[[#This Row],[Current Price]]/Main_S[[#This Row],[EPS]],""),"")</f>
        <v>-4.5083333333333337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-10.711377286209864</v>
      </c>
      <c r="P55" s="1">
        <f>(Main_S[[#This Row],[P/B]]-VLOOKUP(Main_S[[#This Row],[Industry]], Mean_PB_S, 2, FALSE))/(VLOOKUP(Main_S[[#This Row],[Industry]], Mean_PB_S, 3, FALSE))</f>
        <v>-2.2848724492568238</v>
      </c>
      <c r="Q55" s="1">
        <f>(Main_S[[#This Row],[ROE]]-VLOOKUP(Main_S[[#This Row],[Industry]], Mean_ROE_S, 2, FALSE))/(VLOOKUP(Main_S[[#This Row],[Industry]], Mean_ROE_S, 3, FALSE))</f>
        <v>-4.4080408816447365</v>
      </c>
      <c r="R55" s="1">
        <f>(Main_S[[#This Row],[ROA]]-VLOOKUP(Main_S[[#This Row],[Industry]], Mean_ROA_S, 2, FALSE))/(VLOOKUP(Main_S[[#This Row],[Industry]], Mean_ROA_S, 3, FALSE))</f>
        <v>-3.7933469131772894</v>
      </c>
      <c r="S55" s="1">
        <f>(Main_S[[#This Row],[A/E]]-VLOOKUP(Main_S[[#This Row],[Industry]], Mean_AE_S, 2, FALSE))/(VLOOKUP(Main_S[[#This Row],[Industry]], Mean_AE_S, 3, FALSE))</f>
        <v>1.9510810769463185</v>
      </c>
      <c r="T55" s="1">
        <f>(Main_S[[#This Row],[P/E]]-VLOOKUP(Main_S[[#This Row],[Industry]], Mean_PE_S, 2, FALSE))/(VLOOKUP(Main_S[[#This Row],[Industry]], Mean_PE_S, 3, FALSE))</f>
        <v>-6.4192216415669048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s="68" t="s">
        <v>105</v>
      </c>
      <c r="B56" s="68" t="s">
        <v>481</v>
      </c>
      <c r="C56" s="2">
        <v>518</v>
      </c>
      <c r="D56">
        <f>RTD("tos.rtd", , "LAST", Main_S[[#This Row],[Symbol]])</f>
        <v>27.23</v>
      </c>
      <c r="E56">
        <v>4.51</v>
      </c>
      <c r="F56">
        <v>28.48</v>
      </c>
      <c r="G56">
        <v>-1.69</v>
      </c>
      <c r="H56" s="1">
        <f>IF(ISNUMBER(Main_S[[#This Row],[Free CF]]),IF(Main_S[[#This Row],[Free CF]]&lt;&gt;0,Main_S[[#This Row],[Current Price]]/Main_S[[#This Row],[Free CF]],""),"")</f>
        <v>6.0376940133037698</v>
      </c>
      <c r="I56" s="1">
        <f>IF(ISNUMBER(Main_S[[#This Row],[BVPS]]),IF(Main_S[[#This Row],[BVPS]]&lt;&gt;0,Main_S[[#This Row],[Current Price]]/Main_S[[#This Row],[BVPS]],""),"")</f>
        <v>0.95610955056179781</v>
      </c>
      <c r="J56">
        <v>-5.18</v>
      </c>
      <c r="K56">
        <v>-0.42</v>
      </c>
      <c r="L56">
        <v>11.07</v>
      </c>
      <c r="M56" s="1">
        <f>IF(ISNUMBER(Main_S[[#This Row],[EPS]]),IF(Main_S[[#This Row],[EPS]]&lt;&gt;0,Main_S[[#This Row],[Current Price]]/Main_S[[#This Row],[EPS]],""),"")</f>
        <v>-16.11242603550296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-1.2703383494434304</v>
      </c>
      <c r="P56" s="1">
        <f>(Main_S[[#This Row],[P/B]]-VLOOKUP(Main_S[[#This Row],[Industry]], Mean_PB_S, 2, FALSE))/(VLOOKUP(Main_S[[#This Row],[Industry]], Mean_PB_S, 3, FALSE))</f>
        <v>-0.50824173164027742</v>
      </c>
      <c r="Q56" s="1">
        <f>(Main_S[[#This Row],[ROE]]-VLOOKUP(Main_S[[#This Row],[Industry]], Mean_ROE_S, 2, FALSE))/(VLOOKUP(Main_S[[#This Row],[Industry]], Mean_ROE_S, 3, FALSE))</f>
        <v>-3.5556355499540198</v>
      </c>
      <c r="R56" s="1">
        <f>(Main_S[[#This Row],[ROA]]-VLOOKUP(Main_S[[#This Row],[Industry]], Mean_ROA_S, 2, FALSE))/(VLOOKUP(Main_S[[#This Row],[Industry]], Mean_ROA_S, 3, FALSE))</f>
        <v>-3.2354056263209916</v>
      </c>
      <c r="S56" s="1">
        <f>(Main_S[[#This Row],[A/E]]-VLOOKUP(Main_S[[#This Row],[Industry]], Mean_AE_S, 2, FALSE))/(VLOOKUP(Main_S[[#This Row],[Industry]], Mean_AE_S, 3, FALSE))</f>
        <v>0.86960275562230183</v>
      </c>
      <c r="T56" s="1">
        <f>(Main_S[[#This Row],[P/E]]-VLOOKUP(Main_S[[#This Row],[Industry]], Mean_PE_S, 2, FALSE))/(VLOOKUP(Main_S[[#This Row],[Industry]], Mean_PE_S, 3, FALSE))</f>
        <v>-10.844545183546193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s="68" t="s">
        <v>105</v>
      </c>
      <c r="B57" s="68" t="s">
        <v>482</v>
      </c>
      <c r="C57" s="2">
        <v>273</v>
      </c>
      <c r="D57">
        <f>RTD("tos.rtd", , "LAST", Main_S[[#This Row],[Symbol]])</f>
        <v>12.73</v>
      </c>
      <c r="E57">
        <v>0.61</v>
      </c>
      <c r="F57">
        <v>16.91</v>
      </c>
      <c r="G57">
        <v>0.72</v>
      </c>
      <c r="H57" s="1">
        <f>IF(ISNUMBER(Main_S[[#This Row],[Free CF]]),IF(Main_S[[#This Row],[Free CF]]&lt;&gt;0,Main_S[[#This Row],[Current Price]]/Main_S[[#This Row],[Free CF]],""),"")</f>
        <v>20.868852459016395</v>
      </c>
      <c r="I57" s="1">
        <f>IF(ISNUMBER(Main_S[[#This Row],[BVPS]]),IF(Main_S[[#This Row],[BVPS]]&lt;&gt;0,Main_S[[#This Row],[Current Price]]/Main_S[[#This Row],[BVPS]],""),"")</f>
        <v>0.75280898876404501</v>
      </c>
      <c r="J57">
        <v>4.32</v>
      </c>
      <c r="K57">
        <v>0.39</v>
      </c>
      <c r="L57">
        <v>10.65</v>
      </c>
      <c r="M57" s="1">
        <f>IF(ISNUMBER(Main_S[[#This Row],[EPS]]),IF(Main_S[[#This Row],[EPS]]&lt;&gt;0,Main_S[[#This Row],[Current Price]]/Main_S[[#This Row],[EPS]],""),"")</f>
        <v>17.680555555555557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2.6091002169341881</v>
      </c>
      <c r="P57" s="1">
        <f>(Main_S[[#This Row],[P/B]]-VLOOKUP(Main_S[[#This Row],[Industry]], Mean_PB_S, 2, FALSE))/(VLOOKUP(Main_S[[#This Row],[Industry]], Mean_PB_S, 3, FALSE))</f>
        <v>-1.2334891403397701</v>
      </c>
      <c r="Q57" s="1">
        <f>(Main_S[[#This Row],[ROE]]-VLOOKUP(Main_S[[#This Row],[Industry]], Mean_ROE_S, 2, FALSE))/(VLOOKUP(Main_S[[#This Row],[Industry]], Mean_ROE_S, 3, FALSE))</f>
        <v>-1.2419639353649317</v>
      </c>
      <c r="R57" s="1">
        <f>(Main_S[[#This Row],[ROA]]-VLOOKUP(Main_S[[#This Row],[Industry]], Mean_ROA_S, 2, FALSE))/(VLOOKUP(Main_S[[#This Row],[Industry]], Mean_ROA_S, 3, FALSE))</f>
        <v>-1.3523537831809869</v>
      </c>
      <c r="S57" s="1">
        <f>(Main_S[[#This Row],[A/E]]-VLOOKUP(Main_S[[#This Row],[Industry]], Mean_AE_S, 2, FALSE))/(VLOOKUP(Main_S[[#This Row],[Industry]], Mean_AE_S, 3, FALSE))</f>
        <v>0.62670388131423382</v>
      </c>
      <c r="T57" s="1">
        <f>(Main_S[[#This Row],[P/E]]-VLOOKUP(Main_S[[#This Row],[Industry]], Mean_PE_S, 2, FALSE))/(VLOOKUP(Main_S[[#This Row],[Industry]], Mean_PE_S, 3, FALSE))</f>
        <v>2.0427076872123697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8" t="s">
        <v>105</v>
      </c>
      <c r="B58" s="68" t="s">
        <v>483</v>
      </c>
      <c r="C58" s="2">
        <v>341</v>
      </c>
      <c r="D58">
        <f>RTD("tos.rtd", , "LAST", Main_S[[#This Row],[Symbol]])</f>
        <v>25.49</v>
      </c>
      <c r="E58">
        <v>2.2799999999999998</v>
      </c>
      <c r="F58">
        <v>25.41</v>
      </c>
      <c r="G58">
        <v>2.0099999999999998</v>
      </c>
      <c r="H58" s="1">
        <f>IF(ISNUMBER(Main_S[[#This Row],[Free CF]]),IF(Main_S[[#This Row],[Free CF]]&lt;&gt;0,Main_S[[#This Row],[Current Price]]/Main_S[[#This Row],[Free CF]],""),"")</f>
        <v>11.179824561403509</v>
      </c>
      <c r="I58" s="1">
        <f>IF(ISNUMBER(Main_S[[#This Row],[BVPS]]),IF(Main_S[[#This Row],[BVPS]]&lt;&gt;0,Main_S[[#This Row],[Current Price]]/Main_S[[#This Row],[BVPS]],""),"")</f>
        <v>1.0031483667847303</v>
      </c>
      <c r="J58">
        <v>8.31</v>
      </c>
      <c r="K58">
        <v>0.82</v>
      </c>
      <c r="L58">
        <v>9.83</v>
      </c>
      <c r="M58" s="1">
        <f>IF(ISNUMBER(Main_S[[#This Row],[EPS]]),IF(Main_S[[#This Row],[EPS]]&lt;&gt;0,Main_S[[#This Row],[Current Price]]/Main_S[[#This Row],[EPS]],""),"")</f>
        <v>12.681592039800996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7.4706923632545733E-2</v>
      </c>
      <c r="P58" s="1">
        <f>(Main_S[[#This Row],[P/B]]-VLOOKUP(Main_S[[#This Row],[Industry]], Mean_PB_S, 2, FALSE))/(VLOOKUP(Main_S[[#This Row],[Industry]], Mean_PB_S, 3, FALSE))</f>
        <v>-0.34043708185327165</v>
      </c>
      <c r="Q58" s="1">
        <f>(Main_S[[#This Row],[ROE]]-VLOOKUP(Main_S[[#This Row],[Industry]], Mean_ROE_S, 2, FALSE))/(VLOOKUP(Main_S[[#This Row],[Industry]], Mean_ROE_S, 3, FALSE))</f>
        <v>-0.27022185723751463</v>
      </c>
      <c r="R58" s="1">
        <f>(Main_S[[#This Row],[ROA]]-VLOOKUP(Main_S[[#This Row],[Industry]], Mean_ROA_S, 2, FALSE))/(VLOOKUP(Main_S[[#This Row],[Industry]], Mean_ROA_S, 3, FALSE))</f>
        <v>-0.3527089775634536</v>
      </c>
      <c r="S58" s="1">
        <f>(Main_S[[#This Row],[A/E]]-VLOOKUP(Main_S[[#This Row],[Industry]], Mean_AE_S, 2, FALSE))/(VLOOKUP(Main_S[[#This Row],[Industry]], Mean_AE_S, 3, FALSE))</f>
        <v>0.15247274576038652</v>
      </c>
      <c r="T58" s="1">
        <f>(Main_S[[#This Row],[P/E]]-VLOOKUP(Main_S[[#This Row],[Industry]], Mean_PE_S, 2, FALSE))/(VLOOKUP(Main_S[[#This Row],[Industry]], Mean_PE_S, 3, FALSE))</f>
        <v>0.13630866924967766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8" t="s">
        <v>105</v>
      </c>
      <c r="B59" s="68" t="s">
        <v>484</v>
      </c>
      <c r="C59" s="2">
        <v>860</v>
      </c>
      <c r="D59">
        <f>RTD("tos.rtd", , "LAST", Main_S[[#This Row],[Symbol]])</f>
        <v>37.32</v>
      </c>
      <c r="E59">
        <v>5.0199999999999996</v>
      </c>
      <c r="F59">
        <v>36.32</v>
      </c>
      <c r="G59">
        <v>3.37</v>
      </c>
      <c r="H59" s="1">
        <f>IF(ISNUMBER(Main_S[[#This Row],[Free CF]]),IF(Main_S[[#This Row],[Free CF]]&lt;&gt;0,Main_S[[#This Row],[Current Price]]/Main_S[[#This Row],[Free CF]],""),"")</f>
        <v>7.4342629482071718</v>
      </c>
      <c r="I59" s="1">
        <f>IF(ISNUMBER(Main_S[[#This Row],[BVPS]]),IF(Main_S[[#This Row],[BVPS]]&lt;&gt;0,Main_S[[#This Row],[Current Price]]/Main_S[[#This Row],[BVPS]],""),"")</f>
        <v>1.027533039647577</v>
      </c>
      <c r="J59">
        <v>9.65</v>
      </c>
      <c r="K59">
        <v>1.06</v>
      </c>
      <c r="L59">
        <v>8.69</v>
      </c>
      <c r="M59" s="1">
        <f>IF(ISNUMBER(Main_S[[#This Row],[EPS]]),IF(Main_S[[#This Row],[EPS]]&lt;&gt;0,Main_S[[#This Row],[Current Price]]/Main_S[[#This Row],[EPS]],""),"")</f>
        <v>11.074183976261127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-0.90503287404846067</v>
      </c>
      <c r="P59" s="1">
        <f>(Main_S[[#This Row],[P/B]]-VLOOKUP(Main_S[[#This Row],[Industry]], Mean_PB_S, 2, FALSE))/(VLOOKUP(Main_S[[#This Row],[Industry]], Mean_PB_S, 3, FALSE))</f>
        <v>-0.25344804134408838</v>
      </c>
      <c r="Q59" s="1">
        <f>(Main_S[[#This Row],[ROE]]-VLOOKUP(Main_S[[#This Row],[Industry]], Mean_ROE_S, 2, FALSE))/(VLOOKUP(Main_S[[#This Row],[Industry]], Mean_ROE_S, 3, FALSE))</f>
        <v>5.6127612609788304E-2</v>
      </c>
      <c r="R59" s="1">
        <f>(Main_S[[#This Row],[ROA]]-VLOOKUP(Main_S[[#This Row],[Industry]], Mean_ROA_S, 2, FALSE))/(VLOOKUP(Main_S[[#This Row],[Industry]], Mean_ROA_S, 3, FALSE))</f>
        <v>0.20523230929284436</v>
      </c>
      <c r="S59" s="1">
        <f>(Main_S[[#This Row],[A/E]]-VLOOKUP(Main_S[[#This Row],[Industry]], Mean_AE_S, 2, FALSE))/(VLOOKUP(Main_S[[#This Row],[Industry]], Mean_AE_S, 3, FALSE))</f>
        <v>-0.50682419879008411</v>
      </c>
      <c r="T59" s="1">
        <f>(Main_S[[#This Row],[P/E]]-VLOOKUP(Main_S[[#This Row],[Industry]], Mean_PE_S, 2, FALSE))/(VLOOKUP(Main_S[[#This Row],[Industry]], Mean_PE_S, 3, FALSE))</f>
        <v>-0.47669063433399228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8" t="s">
        <v>105</v>
      </c>
      <c r="B60" s="68" t="s">
        <v>485</v>
      </c>
      <c r="C60" s="2">
        <v>496</v>
      </c>
      <c r="D60">
        <f>RTD("tos.rtd", , "LAST", Main_S[[#This Row],[Symbol]])</f>
        <v>13.68</v>
      </c>
      <c r="E60">
        <v>1.47</v>
      </c>
      <c r="F60">
        <v>11.41</v>
      </c>
      <c r="G60">
        <v>1.28</v>
      </c>
      <c r="H60" s="1">
        <f>IF(ISNUMBER(Main_S[[#This Row],[Free CF]]),IF(Main_S[[#This Row],[Free CF]]&lt;&gt;0,Main_S[[#This Row],[Current Price]]/Main_S[[#This Row],[Free CF]],""),"")</f>
        <v>9.3061224489795915</v>
      </c>
      <c r="I60" s="1">
        <f>IF(ISNUMBER(Main_S[[#This Row],[BVPS]]),IF(Main_S[[#This Row],[BVPS]]&lt;&gt;0,Main_S[[#This Row],[Current Price]]/Main_S[[#This Row],[BVPS]],""),"")</f>
        <v>1.1989482909728308</v>
      </c>
      <c r="J60">
        <v>11.69</v>
      </c>
      <c r="K60">
        <v>0.94</v>
      </c>
      <c r="L60">
        <v>12.02</v>
      </c>
      <c r="M60" s="1">
        <f>IF(ISNUMBER(Main_S[[#This Row],[EPS]]),IF(Main_S[[#This Row],[EPS]]&lt;&gt;0,Main_S[[#This Row],[Current Price]]/Main_S[[#This Row],[EPS]],""),"")</f>
        <v>10.6875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-0.41540396443107991</v>
      </c>
      <c r="P60" s="1">
        <f>(Main_S[[#This Row],[P/B]]-VLOOKUP(Main_S[[#This Row],[Industry]], Mean_PB_S, 2, FALSE))/(VLOOKUP(Main_S[[#This Row],[Industry]], Mean_PB_S, 3, FALSE))</f>
        <v>0.35805281106814901</v>
      </c>
      <c r="Q60" s="1">
        <f>(Main_S[[#This Row],[ROE]]-VLOOKUP(Main_S[[#This Row],[Industry]], Mean_ROE_S, 2, FALSE))/(VLOOKUP(Main_S[[#This Row],[Industry]], Mean_ROE_S, 3, FALSE))</f>
        <v>0.55295814879523442</v>
      </c>
      <c r="R60" s="1">
        <f>(Main_S[[#This Row],[ROA]]-VLOOKUP(Main_S[[#This Row],[Industry]], Mean_ROA_S, 2, FALSE))/(VLOOKUP(Main_S[[#This Row],[Industry]], Mean_ROA_S, 3, FALSE))</f>
        <v>-7.3738334135304756E-2</v>
      </c>
      <c r="S60" s="1">
        <f>(Main_S[[#This Row],[A/E]]-VLOOKUP(Main_S[[#This Row],[Industry]], Mean_AE_S, 2, FALSE))/(VLOOKUP(Main_S[[#This Row],[Industry]], Mean_AE_S, 3, FALSE))</f>
        <v>1.4190168760810267</v>
      </c>
      <c r="T60" s="1">
        <f>(Main_S[[#This Row],[P/E]]-VLOOKUP(Main_S[[#This Row],[Industry]], Mean_PE_S, 2, FALSE))/(VLOOKUP(Main_S[[#This Row],[Industry]], Mean_PE_S, 3, FALSE))</f>
        <v>-0.62415599395961641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8" t="s">
        <v>105</v>
      </c>
      <c r="B61" s="68" t="s">
        <v>486</v>
      </c>
      <c r="C61" s="2">
        <v>275</v>
      </c>
      <c r="D61">
        <f>RTD("tos.rtd", , "LAST", Main_S[[#This Row],[Symbol]])</f>
        <v>24.7</v>
      </c>
      <c r="E61">
        <v>2.2200000000000002</v>
      </c>
      <c r="F61">
        <v>23.19</v>
      </c>
      <c r="G61">
        <v>2.52</v>
      </c>
      <c r="H61" s="1">
        <f>IF(ISNUMBER(Main_S[[#This Row],[Free CF]]),IF(Main_S[[#This Row],[Free CF]]&lt;&gt;0,Main_S[[#This Row],[Current Price]]/Main_S[[#This Row],[Free CF]],""),"")</f>
        <v>11.126126126126124</v>
      </c>
      <c r="I61" s="1">
        <f>IF(ISNUMBER(Main_S[[#This Row],[BVPS]]),IF(Main_S[[#This Row],[BVPS]]&lt;&gt;0,Main_S[[#This Row],[Current Price]]/Main_S[[#This Row],[BVPS]],""),"")</f>
        <v>1.065114273393704</v>
      </c>
      <c r="J61">
        <v>11.19</v>
      </c>
      <c r="K61">
        <v>0.91</v>
      </c>
      <c r="L61">
        <v>12.27</v>
      </c>
      <c r="M61" s="1">
        <f>IF(ISNUMBER(Main_S[[#This Row],[EPS]]),IF(Main_S[[#This Row],[EPS]]&lt;&gt;0,Main_S[[#This Row],[Current Price]]/Main_S[[#This Row],[EPS]],""),"")</f>
        <v>9.8015873015873005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6.0660834007669591E-2</v>
      </c>
      <c r="P61" s="1">
        <f>(Main_S[[#This Row],[P/B]]-VLOOKUP(Main_S[[#This Row],[Industry]], Mean_PB_S, 2, FALSE))/(VLOOKUP(Main_S[[#This Row],[Industry]], Mean_PB_S, 3, FALSE))</f>
        <v>-0.11938204492434908</v>
      </c>
      <c r="Q61" s="1">
        <f>(Main_S[[#This Row],[ROE]]-VLOOKUP(Main_S[[#This Row],[Industry]], Mean_ROE_S, 2, FALSE))/(VLOOKUP(Main_S[[#This Row],[Industry]], Mean_ROE_S, 3, FALSE))</f>
        <v>0.43118595855370345</v>
      </c>
      <c r="R61" s="1">
        <f>(Main_S[[#This Row],[ROA]]-VLOOKUP(Main_S[[#This Row],[Industry]], Mean_ROA_S, 2, FALSE))/(VLOOKUP(Main_S[[#This Row],[Industry]], Mean_ROA_S, 3, FALSE))</f>
        <v>-0.14348099499234176</v>
      </c>
      <c r="S61" s="1">
        <f>(Main_S[[#This Row],[A/E]]-VLOOKUP(Main_S[[#This Row],[Industry]], Mean_AE_S, 2, FALSE))/(VLOOKUP(Main_S[[#This Row],[Industry]], Mean_AE_S, 3, FALSE))</f>
        <v>1.5635995393596387</v>
      </c>
      <c r="T61" s="1">
        <f>(Main_S[[#This Row],[P/E]]-VLOOKUP(Main_S[[#This Row],[Industry]], Mean_PE_S, 2, FALSE))/(VLOOKUP(Main_S[[#This Row],[Industry]], Mean_PE_S, 3, FALSE))</f>
        <v>-0.96200664898679555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s="68" t="s">
        <v>105</v>
      </c>
      <c r="B62" s="68" t="s">
        <v>487</v>
      </c>
      <c r="C62" s="2">
        <v>363</v>
      </c>
      <c r="D62">
        <f>RTD("tos.rtd", , "LAST", Main_S[[#This Row],[Symbol]])</f>
        <v>15.24</v>
      </c>
      <c r="E62">
        <v>0.98</v>
      </c>
      <c r="F62">
        <v>16.57</v>
      </c>
      <c r="G62">
        <v>1.54</v>
      </c>
      <c r="H62" s="1">
        <f>IF(ISNUMBER(Main_S[[#This Row],[Free CF]]),IF(Main_S[[#This Row],[Free CF]]&lt;&gt;0,Main_S[[#This Row],[Current Price]]/Main_S[[#This Row],[Free CF]],""),"")</f>
        <v>15.551020408163266</v>
      </c>
      <c r="I62" s="1">
        <f>IF(ISNUMBER(Main_S[[#This Row],[BVPS]]),IF(Main_S[[#This Row],[BVPS]]&lt;&gt;0,Main_S[[#This Row],[Current Price]]/Main_S[[#This Row],[BVPS]],""),"")</f>
        <v>0.9197344598672299</v>
      </c>
      <c r="J62">
        <v>9.81</v>
      </c>
      <c r="K62">
        <v>1.05</v>
      </c>
      <c r="L62">
        <v>9.35</v>
      </c>
      <c r="M62" s="1">
        <f>IF(ISNUMBER(Main_S[[#This Row],[EPS]]),IF(Main_S[[#This Row],[EPS]]&lt;&gt;0,Main_S[[#This Row],[Current Price]]/Main_S[[#This Row],[EPS]],""),"")</f>
        <v>9.8961038961038952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1.2180960803987599</v>
      </c>
      <c r="P62" s="1">
        <f>(Main_S[[#This Row],[P/B]]-VLOOKUP(Main_S[[#This Row],[Industry]], Mean_PB_S, 2, FALSE))/(VLOOKUP(Main_S[[#This Row],[Industry]], Mean_PB_S, 3, FALSE))</f>
        <v>-0.63800497495924402</v>
      </c>
      <c r="Q62" s="1">
        <f>(Main_S[[#This Row],[ROE]]-VLOOKUP(Main_S[[#This Row],[Industry]], Mean_ROE_S, 2, FALSE))/(VLOOKUP(Main_S[[#This Row],[Industry]], Mean_ROE_S, 3, FALSE))</f>
        <v>9.509471348707825E-2</v>
      </c>
      <c r="R62" s="1">
        <f>(Main_S[[#This Row],[ROA]]-VLOOKUP(Main_S[[#This Row],[Industry]], Mean_ROA_S, 2, FALSE))/(VLOOKUP(Main_S[[#This Row],[Industry]], Mean_ROA_S, 3, FALSE))</f>
        <v>0.18198475567383193</v>
      </c>
      <c r="S62" s="1">
        <f>(Main_S[[#This Row],[A/E]]-VLOOKUP(Main_S[[#This Row],[Industry]], Mean_AE_S, 2, FALSE))/(VLOOKUP(Main_S[[#This Row],[Industry]], Mean_AE_S, 3, FALSE))</f>
        <v>-0.12512596773454859</v>
      </c>
      <c r="T62" s="1">
        <f>(Main_S[[#This Row],[P/E]]-VLOOKUP(Main_S[[#This Row],[Industry]], Mean_PE_S, 2, FALSE))/(VLOOKUP(Main_S[[#This Row],[Industry]], Mean_PE_S, 3, FALSE))</f>
        <v>-0.92596190843212967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8" t="s">
        <v>105</v>
      </c>
      <c r="B63" s="68" t="s">
        <v>488</v>
      </c>
      <c r="C63" s="2">
        <v>595</v>
      </c>
      <c r="D63">
        <f>RTD("tos.rtd", , "LAST", Main_S[[#This Row],[Symbol]])</f>
        <v>29.39</v>
      </c>
      <c r="E63">
        <v>2.54</v>
      </c>
      <c r="F63">
        <v>19.059999999999999</v>
      </c>
      <c r="G63">
        <v>2.27</v>
      </c>
      <c r="H63" s="1">
        <f>IF(ISNUMBER(Main_S[[#This Row],[Free CF]]),IF(Main_S[[#This Row],[Free CF]]&lt;&gt;0,Main_S[[#This Row],[Current Price]]/Main_S[[#This Row],[Free CF]],""),"")</f>
        <v>11.570866141732283</v>
      </c>
      <c r="I63" s="1">
        <f>IF(ISNUMBER(Main_S[[#This Row],[BVPS]]),IF(Main_S[[#This Row],[BVPS]]&lt;&gt;0,Main_S[[#This Row],[Current Price]]/Main_S[[#This Row],[BVPS]],""),"")</f>
        <v>1.5419727177334734</v>
      </c>
      <c r="J63">
        <v>13.78</v>
      </c>
      <c r="K63">
        <v>1.25</v>
      </c>
      <c r="L63">
        <v>10.44</v>
      </c>
      <c r="M63" s="1">
        <f>IF(ISNUMBER(Main_S[[#This Row],[EPS]]),IF(Main_S[[#This Row],[EPS]]&lt;&gt;0,Main_S[[#This Row],[Current Price]]/Main_S[[#This Row],[EPS]],""),"")</f>
        <v>12.947136563876652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0.176993052753042</v>
      </c>
      <c r="P63" s="1">
        <f>(Main_S[[#This Row],[P/B]]-VLOOKUP(Main_S[[#This Row],[Industry]], Mean_PB_S, 2, FALSE))/(VLOOKUP(Main_S[[#This Row],[Industry]], Mean_PB_S, 3, FALSE))</f>
        <v>1.5817463140712222</v>
      </c>
      <c r="Q63" s="1">
        <f>(Main_S[[#This Row],[ROE]]-VLOOKUP(Main_S[[#This Row],[Industry]], Mean_ROE_S, 2, FALSE))/(VLOOKUP(Main_S[[#This Row],[Industry]], Mean_ROE_S, 3, FALSE))</f>
        <v>1.0619659040048337</v>
      </c>
      <c r="R63" s="1">
        <f>(Main_S[[#This Row],[ROA]]-VLOOKUP(Main_S[[#This Row],[Industry]], Mean_ROA_S, 2, FALSE))/(VLOOKUP(Main_S[[#This Row],[Industry]], Mean_ROA_S, 3, FALSE))</f>
        <v>0.6469358280540799</v>
      </c>
      <c r="S63" s="1">
        <f>(Main_S[[#This Row],[A/E]]-VLOOKUP(Main_S[[#This Row],[Industry]], Mean_AE_S, 2, FALSE))/(VLOOKUP(Main_S[[#This Row],[Industry]], Mean_AE_S, 3, FALSE))</f>
        <v>0.50525444416019927</v>
      </c>
      <c r="T63" s="1">
        <f>(Main_S[[#This Row],[P/E]]-VLOOKUP(Main_S[[#This Row],[Industry]], Mean_PE_S, 2, FALSE))/(VLOOKUP(Main_S[[#This Row],[Industry]], Mean_PE_S, 3, FALSE))</f>
        <v>0.23757642572114859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s="68" t="s">
        <v>105</v>
      </c>
      <c r="B64" s="68" t="s">
        <v>489</v>
      </c>
      <c r="C64" s="2">
        <v>307</v>
      </c>
      <c r="D64">
        <f>RTD("tos.rtd", , "LAST", Main_S[[#This Row],[Symbol]])</f>
        <v>40.69</v>
      </c>
      <c r="E64">
        <v>8.51</v>
      </c>
      <c r="F64">
        <v>38.26</v>
      </c>
      <c r="G64">
        <v>4.3600000000000003</v>
      </c>
      <c r="H64" s="1">
        <f>IF(ISNUMBER(Main_S[[#This Row],[Free CF]]),IF(Main_S[[#This Row],[Free CF]]&lt;&gt;0,Main_S[[#This Row],[Current Price]]/Main_S[[#This Row],[Free CF]],""),"")</f>
        <v>4.7814336075205635</v>
      </c>
      <c r="I64" s="1">
        <f>IF(ISNUMBER(Main_S[[#This Row],[BVPS]]),IF(Main_S[[#This Row],[BVPS]]&lt;&gt;0,Main_S[[#This Row],[Current Price]]/Main_S[[#This Row],[BVPS]],""),"")</f>
        <v>1.0635128071092526</v>
      </c>
      <c r="J64">
        <v>12.5</v>
      </c>
      <c r="K64">
        <v>1.17</v>
      </c>
      <c r="L64">
        <v>10.24</v>
      </c>
      <c r="M64" s="1">
        <f>IF(ISNUMBER(Main_S[[#This Row],[EPS]]),IF(Main_S[[#This Row],[EPS]]&lt;&gt;0,Main_S[[#This Row],[Current Price]]/Main_S[[#This Row],[EPS]],""),"")</f>
        <v>9.3325688073394488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-1.5989428266626335</v>
      </c>
      <c r="P64" s="1">
        <f>(Main_S[[#This Row],[P/B]]-VLOOKUP(Main_S[[#This Row],[Industry]], Mean_PB_S, 2, FALSE))/(VLOOKUP(Main_S[[#This Row],[Industry]], Mean_PB_S, 3, FALSE))</f>
        <v>-0.1250950604844018</v>
      </c>
      <c r="Q64" s="1">
        <f>(Main_S[[#This Row],[ROE]]-VLOOKUP(Main_S[[#This Row],[Industry]], Mean_ROE_S, 2, FALSE))/(VLOOKUP(Main_S[[#This Row],[Industry]], Mean_ROE_S, 3, FALSE))</f>
        <v>0.75022909698651463</v>
      </c>
      <c r="R64" s="1">
        <f>(Main_S[[#This Row],[ROA]]-VLOOKUP(Main_S[[#This Row],[Industry]], Mean_ROA_S, 2, FALSE))/(VLOOKUP(Main_S[[#This Row],[Industry]], Mean_ROA_S, 3, FALSE))</f>
        <v>0.46095539910198052</v>
      </c>
      <c r="S64" s="1">
        <f>(Main_S[[#This Row],[A/E]]-VLOOKUP(Main_S[[#This Row],[Industry]], Mean_AE_S, 2, FALSE))/(VLOOKUP(Main_S[[#This Row],[Industry]], Mean_AE_S, 3, FALSE))</f>
        <v>0.38958831353731016</v>
      </c>
      <c r="T64" s="1">
        <f>(Main_S[[#This Row],[P/E]]-VLOOKUP(Main_S[[#This Row],[Industry]], Mean_PE_S, 2, FALSE))/(VLOOKUP(Main_S[[#This Row],[Industry]], Mean_PE_S, 3, FALSE))</f>
        <v>-1.1408710063725849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8" t="s">
        <v>105</v>
      </c>
      <c r="B65" s="68" t="s">
        <v>490</v>
      </c>
      <c r="C65" s="2">
        <v>981</v>
      </c>
      <c r="D65">
        <f>RTD("tos.rtd", , "LAST", Main_S[[#This Row],[Symbol]])</f>
        <v>36.83</v>
      </c>
      <c r="E65">
        <v>3.49</v>
      </c>
      <c r="F65">
        <v>38.49</v>
      </c>
      <c r="G65">
        <v>3.07</v>
      </c>
      <c r="H65" s="1">
        <f>IF(ISNUMBER(Main_S[[#This Row],[Free CF]]),IF(Main_S[[#This Row],[Free CF]]&lt;&gt;0,Main_S[[#This Row],[Current Price]]/Main_S[[#This Row],[Free CF]],""),"")</f>
        <v>10.553008595988537</v>
      </c>
      <c r="I65" s="1">
        <f>IF(ISNUMBER(Main_S[[#This Row],[BVPS]]),IF(Main_S[[#This Row],[BVPS]]&lt;&gt;0,Main_S[[#This Row],[Current Price]]/Main_S[[#This Row],[BVPS]],""),"")</f>
        <v>0.95687191478306044</v>
      </c>
      <c r="J65">
        <v>8.5500000000000007</v>
      </c>
      <c r="K65">
        <v>1.0900000000000001</v>
      </c>
      <c r="L65">
        <v>7.69</v>
      </c>
      <c r="M65" s="1">
        <f>IF(ISNUMBER(Main_S[[#This Row],[EPS]]),IF(Main_S[[#This Row],[EPS]]&lt;&gt;0,Main_S[[#This Row],[Current Price]]/Main_S[[#This Row],[EPS]],""),"")</f>
        <v>11.996742671009772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-8.9251545232373705E-2</v>
      </c>
      <c r="P65" s="1">
        <f>(Main_S[[#This Row],[P/B]]-VLOOKUP(Main_S[[#This Row],[Industry]], Mean_PB_S, 2, FALSE))/(VLOOKUP(Main_S[[#This Row],[Industry]], Mean_PB_S, 3, FALSE))</f>
        <v>-0.50552209982486729</v>
      </c>
      <c r="Q65" s="1">
        <f>(Main_S[[#This Row],[ROE]]-VLOOKUP(Main_S[[#This Row],[Industry]], Mean_ROE_S, 2, FALSE))/(VLOOKUP(Main_S[[#This Row],[Industry]], Mean_ROE_S, 3, FALSE))</f>
        <v>-0.21177120592157972</v>
      </c>
      <c r="R65" s="1">
        <f>(Main_S[[#This Row],[ROA]]-VLOOKUP(Main_S[[#This Row],[Industry]], Mean_ROA_S, 2, FALSE))/(VLOOKUP(Main_S[[#This Row],[Industry]], Mean_ROA_S, 3, FALSE))</f>
        <v>0.27497497014988165</v>
      </c>
      <c r="S65" s="1">
        <f>(Main_S[[#This Row],[A/E]]-VLOOKUP(Main_S[[#This Row],[Industry]], Mean_AE_S, 2, FALSE))/(VLOOKUP(Main_S[[#This Row],[Industry]], Mean_AE_S, 3, FALSE))</f>
        <v>-1.0851548519045313</v>
      </c>
      <c r="T65" s="1">
        <f>(Main_S[[#This Row],[P/E]]-VLOOKUP(Main_S[[#This Row],[Industry]], Mean_PE_S, 2, FALSE))/(VLOOKUP(Main_S[[#This Row],[Industry]], Mean_PE_S, 3, FALSE))</f>
        <v>-0.12486470399085288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8" t="s">
        <v>105</v>
      </c>
      <c r="B66" s="68" t="s">
        <v>491</v>
      </c>
      <c r="C66" s="2">
        <v>1440</v>
      </c>
      <c r="D66">
        <f>RTD("tos.rtd", , "LAST", Main_S[[#This Row],[Symbol]])</f>
        <v>39.71</v>
      </c>
      <c r="E66">
        <v>3.06</v>
      </c>
      <c r="F66">
        <v>27.91</v>
      </c>
      <c r="G66">
        <v>2.4300000000000002</v>
      </c>
      <c r="H66" s="1">
        <f>IF(ISNUMBER(Main_S[[#This Row],[Free CF]]),IF(Main_S[[#This Row],[Free CF]]&lt;&gt;0,Main_S[[#This Row],[Current Price]]/Main_S[[#This Row],[Free CF]],""),"")</f>
        <v>12.977124183006536</v>
      </c>
      <c r="I66" s="1">
        <f>IF(ISNUMBER(Main_S[[#This Row],[BVPS]]),IF(Main_S[[#This Row],[BVPS]]&lt;&gt;0,Main_S[[#This Row],[Current Price]]/Main_S[[#This Row],[BVPS]],""),"")</f>
        <v>1.4227875313507703</v>
      </c>
      <c r="J66">
        <v>8.85</v>
      </c>
      <c r="K66">
        <v>1.04</v>
      </c>
      <c r="L66">
        <v>8.0500000000000007</v>
      </c>
      <c r="M66" s="1">
        <f>IF(ISNUMBER(Main_S[[#This Row],[EPS]]),IF(Main_S[[#This Row],[EPS]]&lt;&gt;0,Main_S[[#This Row],[Current Price]]/Main_S[[#This Row],[EPS]],""),"")</f>
        <v>16.34156378600823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0.54483294196783572</v>
      </c>
      <c r="P66" s="1">
        <f>(Main_S[[#This Row],[P/B]]-VLOOKUP(Main_S[[#This Row],[Industry]], Mean_PB_S, 2, FALSE))/(VLOOKUP(Main_S[[#This Row],[Industry]], Mean_PB_S, 3, FALSE))</f>
        <v>1.1565691929897155</v>
      </c>
      <c r="Q66" s="1">
        <f>(Main_S[[#This Row],[ROE]]-VLOOKUP(Main_S[[#This Row],[Industry]], Mean_ROE_S, 2, FALSE))/(VLOOKUP(Main_S[[#This Row],[Industry]], Mean_ROE_S, 3, FALSE))</f>
        <v>-0.1387078917766614</v>
      </c>
      <c r="R66" s="1">
        <f>(Main_S[[#This Row],[ROA]]-VLOOKUP(Main_S[[#This Row],[Industry]], Mean_ROA_S, 2, FALSE))/(VLOOKUP(Main_S[[#This Row],[Industry]], Mean_ROA_S, 3, FALSE))</f>
        <v>0.1587372020548195</v>
      </c>
      <c r="S66" s="1">
        <f>(Main_S[[#This Row],[A/E]]-VLOOKUP(Main_S[[#This Row],[Industry]], Mean_AE_S, 2, FALSE))/(VLOOKUP(Main_S[[#This Row],[Industry]], Mean_AE_S, 3, FALSE))</f>
        <v>-0.87695581678333001</v>
      </c>
      <c r="T66" s="1">
        <f>(Main_S[[#This Row],[P/E]]-VLOOKUP(Main_S[[#This Row],[Industry]], Mean_PE_S, 2, FALSE))/(VLOOKUP(Main_S[[#This Row],[Industry]], Mean_PE_S, 3, FALSE))</f>
        <v>1.5320713149963492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8" t="s">
        <v>105</v>
      </c>
      <c r="B67" s="68" t="s">
        <v>492</v>
      </c>
      <c r="C67" s="2">
        <v>374</v>
      </c>
      <c r="D67">
        <f>RTD("tos.rtd", , "LAST", Main_S[[#This Row],[Symbol]])</f>
        <v>23.12</v>
      </c>
      <c r="E67">
        <v>1.35</v>
      </c>
      <c r="F67">
        <v>13.45</v>
      </c>
      <c r="G67">
        <v>1.67</v>
      </c>
      <c r="H67" s="1">
        <f>IF(ISNUMBER(Main_S[[#This Row],[Free CF]]),IF(Main_S[[#This Row],[Free CF]]&lt;&gt;0,Main_S[[#This Row],[Current Price]]/Main_S[[#This Row],[Free CF]],""),"")</f>
        <v>17.125925925925927</v>
      </c>
      <c r="I67" s="1">
        <f>IF(ISNUMBER(Main_S[[#This Row],[BVPS]]),IF(Main_S[[#This Row],[BVPS]]&lt;&gt;0,Main_S[[#This Row],[Current Price]]/Main_S[[#This Row],[BVPS]],""),"")</f>
        <v>1.7189591078066917</v>
      </c>
      <c r="J67">
        <v>13.33</v>
      </c>
      <c r="K67">
        <v>0.97</v>
      </c>
      <c r="L67">
        <v>13.13</v>
      </c>
      <c r="M67" s="1">
        <f>IF(ISNUMBER(Main_S[[#This Row],[EPS]]),IF(Main_S[[#This Row],[EPS]]&lt;&gt;0,Main_S[[#This Row],[Current Price]]/Main_S[[#This Row],[EPS]],""),"")</f>
        <v>13.844311377245511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1.6300496864756726</v>
      </c>
      <c r="P67" s="1">
        <f>(Main_S[[#This Row],[P/B]]-VLOOKUP(Main_S[[#This Row],[Industry]], Mean_PB_S, 2, FALSE))/(VLOOKUP(Main_S[[#This Row],[Industry]], Mean_PB_S, 3, FALSE))</f>
        <v>2.2131214546051328</v>
      </c>
      <c r="Q67" s="1">
        <f>(Main_S[[#This Row],[ROE]]-VLOOKUP(Main_S[[#This Row],[Industry]], Mean_ROE_S, 2, FALSE))/(VLOOKUP(Main_S[[#This Row],[Industry]], Mean_ROE_S, 3, FALSE))</f>
        <v>0.9523709327874561</v>
      </c>
      <c r="R67" s="1">
        <f>(Main_S[[#This Row],[ROA]]-VLOOKUP(Main_S[[#This Row],[Industry]], Mean_ROA_S, 2, FALSE))/(VLOOKUP(Main_S[[#This Row],[Industry]], Mean_ROA_S, 3, FALSE))</f>
        <v>-3.9956732782674784E-3</v>
      </c>
      <c r="S67" s="1">
        <f>(Main_S[[#This Row],[A/E]]-VLOOKUP(Main_S[[#This Row],[Industry]], Mean_AE_S, 2, FALSE))/(VLOOKUP(Main_S[[#This Row],[Industry]], Mean_AE_S, 3, FALSE))</f>
        <v>2.0609639010380643</v>
      </c>
      <c r="T67" s="1">
        <f>(Main_S[[#This Row],[P/E]]-VLOOKUP(Main_S[[#This Row],[Industry]], Mean_PE_S, 2, FALSE))/(VLOOKUP(Main_S[[#This Row],[Industry]], Mean_PE_S, 3, FALSE))</f>
        <v>0.57972198804759878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s="68" t="s">
        <v>105</v>
      </c>
      <c r="B68" s="68" t="s">
        <v>493</v>
      </c>
      <c r="C68" s="2">
        <v>447</v>
      </c>
      <c r="D68">
        <f>RTD("tos.rtd", , "LAST", Main_S[[#This Row],[Symbol]])</f>
        <v>41.82</v>
      </c>
      <c r="E68">
        <v>3.85</v>
      </c>
      <c r="F68">
        <v>28.64</v>
      </c>
      <c r="G68">
        <v>2.91</v>
      </c>
      <c r="H68" s="1">
        <f>IF(ISNUMBER(Main_S[[#This Row],[Free CF]]),IF(Main_S[[#This Row],[Free CF]]&lt;&gt;0,Main_S[[#This Row],[Current Price]]/Main_S[[#This Row],[Free CF]],""),"")</f>
        <v>10.862337662337662</v>
      </c>
      <c r="I68" s="1">
        <f>IF(ISNUMBER(Main_S[[#This Row],[BVPS]]),IF(Main_S[[#This Row],[BVPS]]&lt;&gt;0,Main_S[[#This Row],[Current Price]]/Main_S[[#This Row],[BVPS]],""),"")</f>
        <v>1.4601955307262571</v>
      </c>
      <c r="J68">
        <v>10.58</v>
      </c>
      <c r="K68">
        <v>1.06</v>
      </c>
      <c r="L68">
        <v>9.69</v>
      </c>
      <c r="M68" s="1">
        <f>IF(ISNUMBER(Main_S[[#This Row],[EPS]]),IF(Main_S[[#This Row],[EPS]]&lt;&gt;0,Main_S[[#This Row],[Current Price]]/Main_S[[#This Row],[EPS]],""),"")</f>
        <v>14.371134020618555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-8.3392473772267908E-3</v>
      </c>
      <c r="P68" s="1">
        <f>(Main_S[[#This Row],[P/B]]-VLOOKUP(Main_S[[#This Row],[Industry]], Mean_PB_S, 2, FALSE))/(VLOOKUP(Main_S[[#This Row],[Industry]], Mean_PB_S, 3, FALSE))</f>
        <v>1.2900171990935723</v>
      </c>
      <c r="Q68" s="1">
        <f>(Main_S[[#This Row],[ROE]]-VLOOKUP(Main_S[[#This Row],[Industry]], Mean_ROE_S, 2, FALSE))/(VLOOKUP(Main_S[[#This Row],[Industry]], Mean_ROE_S, 3, FALSE))</f>
        <v>0.2826238864590358</v>
      </c>
      <c r="R68" s="1">
        <f>(Main_S[[#This Row],[ROA]]-VLOOKUP(Main_S[[#This Row],[Industry]], Mean_ROA_S, 2, FALSE))/(VLOOKUP(Main_S[[#This Row],[Industry]], Mean_ROA_S, 3, FALSE))</f>
        <v>0.20523230929284436</v>
      </c>
      <c r="S68" s="1">
        <f>(Main_S[[#This Row],[A/E]]-VLOOKUP(Main_S[[#This Row],[Industry]], Mean_AE_S, 2, FALSE))/(VLOOKUP(Main_S[[#This Row],[Industry]], Mean_AE_S, 3, FALSE))</f>
        <v>7.1506454324363519E-2</v>
      </c>
      <c r="T68" s="1">
        <f>(Main_S[[#This Row],[P/E]]-VLOOKUP(Main_S[[#This Row],[Industry]], Mean_PE_S, 2, FALSE))/(VLOOKUP(Main_S[[#This Row],[Industry]], Mean_PE_S, 3, FALSE))</f>
        <v>0.78063046973618422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8" t="s">
        <v>105</v>
      </c>
      <c r="B69" s="68" t="s">
        <v>494</v>
      </c>
      <c r="C69" s="2">
        <v>650</v>
      </c>
      <c r="D69">
        <f>RTD("tos.rtd", , "LAST", Main_S[[#This Row],[Symbol]])</f>
        <v>58.86</v>
      </c>
      <c r="E69">
        <v>3.35</v>
      </c>
      <c r="F69">
        <v>53.03</v>
      </c>
      <c r="G69">
        <v>5.6</v>
      </c>
      <c r="H69" s="1">
        <f>IF(ISNUMBER(Main_S[[#This Row],[Free CF]]),IF(Main_S[[#This Row],[Free CF]]&lt;&gt;0,Main_S[[#This Row],[Current Price]]/Main_S[[#This Row],[Free CF]],""),"")</f>
        <v>17.570149253731344</v>
      </c>
      <c r="I69" s="1">
        <f>IF(ISNUMBER(Main_S[[#This Row],[BVPS]]),IF(Main_S[[#This Row],[BVPS]]&lt;&gt;0,Main_S[[#This Row],[Current Price]]/Main_S[[#This Row],[BVPS]],""),"")</f>
        <v>1.1099377710729774</v>
      </c>
      <c r="J69">
        <v>11.13</v>
      </c>
      <c r="K69">
        <v>1.1100000000000001</v>
      </c>
      <c r="L69">
        <v>9.77</v>
      </c>
      <c r="M69" s="1">
        <f>IF(ISNUMBER(Main_S[[#This Row],[EPS]]),IF(Main_S[[#This Row],[EPS]]&lt;&gt;0,Main_S[[#This Row],[Current Price]]/Main_S[[#This Row],[EPS]],""),"")</f>
        <v>10.510714285714286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1.746246753365692</v>
      </c>
      <c r="P69" s="1">
        <f>(Main_S[[#This Row],[P/B]]-VLOOKUP(Main_S[[#This Row],[Industry]], Mean_PB_S, 2, FALSE))/(VLOOKUP(Main_S[[#This Row],[Industry]], Mean_PB_S, 3, FALSE))</f>
        <v>4.0519753935805806E-2</v>
      </c>
      <c r="Q69" s="1">
        <f>(Main_S[[#This Row],[ROE]]-VLOOKUP(Main_S[[#This Row],[Industry]], Mean_ROE_S, 2, FALSE))/(VLOOKUP(Main_S[[#This Row],[Industry]], Mean_ROE_S, 3, FALSE))</f>
        <v>0.41657329572472002</v>
      </c>
      <c r="R69" s="1">
        <f>(Main_S[[#This Row],[ROA]]-VLOOKUP(Main_S[[#This Row],[Industry]], Mean_ROA_S, 2, FALSE))/(VLOOKUP(Main_S[[#This Row],[Industry]], Mean_ROA_S, 3, FALSE))</f>
        <v>0.32147007738790651</v>
      </c>
      <c r="S69" s="1">
        <f>(Main_S[[#This Row],[A/E]]-VLOOKUP(Main_S[[#This Row],[Industry]], Mean_AE_S, 2, FALSE))/(VLOOKUP(Main_S[[#This Row],[Industry]], Mean_AE_S, 3, FALSE))</f>
        <v>0.11777290657351938</v>
      </c>
      <c r="T69" s="1">
        <f>(Main_S[[#This Row],[P/E]]-VLOOKUP(Main_S[[#This Row],[Industry]], Mean_PE_S, 2, FALSE))/(VLOOKUP(Main_S[[#This Row],[Industry]], Mean_PE_S, 3, FALSE))</f>
        <v>-0.69157479208486072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8" t="s">
        <v>105</v>
      </c>
      <c r="B70" s="68" t="s">
        <v>495</v>
      </c>
      <c r="C70" s="2">
        <v>695</v>
      </c>
      <c r="D70">
        <f>RTD("tos.rtd", , "LAST", Main_S[[#This Row],[Symbol]])</f>
        <v>24.22</v>
      </c>
      <c r="E70">
        <v>1.71</v>
      </c>
      <c r="F70">
        <v>25.07</v>
      </c>
      <c r="G70">
        <v>2.13</v>
      </c>
      <c r="H70" s="1">
        <f>IF(ISNUMBER(Main_S[[#This Row],[Free CF]]),IF(Main_S[[#This Row],[Free CF]]&lt;&gt;0,Main_S[[#This Row],[Current Price]]/Main_S[[#This Row],[Free CF]],""),"")</f>
        <v>14.163742690058479</v>
      </c>
      <c r="I70" s="1">
        <f>IF(ISNUMBER(Main_S[[#This Row],[BVPS]]),IF(Main_S[[#This Row],[BVPS]]&lt;&gt;0,Main_S[[#This Row],[Current Price]]/Main_S[[#This Row],[BVPS]],""),"")</f>
        <v>0.96609493418428394</v>
      </c>
      <c r="J70">
        <v>8.9</v>
      </c>
      <c r="K70">
        <v>0.85</v>
      </c>
      <c r="L70">
        <v>10.28</v>
      </c>
      <c r="M70" s="1">
        <f>IF(ISNUMBER(Main_S[[#This Row],[EPS]]),IF(Main_S[[#This Row],[EPS]]&lt;&gt;0,Main_S[[#This Row],[Current Price]]/Main_S[[#This Row],[EPS]],""),"")</f>
        <v>11.370892018779342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0.85522094144103189</v>
      </c>
      <c r="P70" s="1">
        <f>(Main_S[[#This Row],[P/B]]-VLOOKUP(Main_S[[#This Row],[Industry]], Mean_PB_S, 2, FALSE))/(VLOOKUP(Main_S[[#This Row],[Industry]], Mean_PB_S, 3, FALSE))</f>
        <v>-0.4726202186791732</v>
      </c>
      <c r="Q70" s="1">
        <f>(Main_S[[#This Row],[ROE]]-VLOOKUP(Main_S[[#This Row],[Industry]], Mean_ROE_S, 2, FALSE))/(VLOOKUP(Main_S[[#This Row],[Industry]], Mean_ROE_S, 3, FALSE))</f>
        <v>-0.12653067275250812</v>
      </c>
      <c r="R70" s="1">
        <f>(Main_S[[#This Row],[ROA]]-VLOOKUP(Main_S[[#This Row],[Industry]], Mean_ROA_S, 2, FALSE))/(VLOOKUP(Main_S[[#This Row],[Industry]], Mean_ROA_S, 3, FALSE))</f>
        <v>-0.28296631670641631</v>
      </c>
      <c r="S70" s="1">
        <f>(Main_S[[#This Row],[A/E]]-VLOOKUP(Main_S[[#This Row],[Industry]], Mean_AE_S, 2, FALSE))/(VLOOKUP(Main_S[[#This Row],[Industry]], Mean_AE_S, 3, FALSE))</f>
        <v>0.41272153966188757</v>
      </c>
      <c r="T70" s="1">
        <f>(Main_S[[#This Row],[P/E]]-VLOOKUP(Main_S[[#This Row],[Industry]], Mean_PE_S, 2, FALSE))/(VLOOKUP(Main_S[[#This Row],[Industry]], Mean_PE_S, 3, FALSE))</f>
        <v>-0.36353839405544364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s="68" t="s">
        <v>105</v>
      </c>
      <c r="B71" s="68" t="s">
        <v>496</v>
      </c>
      <c r="C71" s="2">
        <v>390</v>
      </c>
      <c r="D71">
        <f>RTD("tos.rtd", , "LAST", Main_S[[#This Row],[Symbol]])</f>
        <v>51.47</v>
      </c>
      <c r="E71">
        <v>5.57</v>
      </c>
      <c r="F71">
        <v>50.82</v>
      </c>
      <c r="G71">
        <v>4.78</v>
      </c>
      <c r="H71" s="1">
        <f>IF(ISNUMBER(Main_S[[#This Row],[Free CF]]),IF(Main_S[[#This Row],[Free CF]]&lt;&gt;0,Main_S[[#This Row],[Current Price]]/Main_S[[#This Row],[Free CF]],""),"")</f>
        <v>9.2405745062836626</v>
      </c>
      <c r="I71" s="1">
        <f>IF(ISNUMBER(Main_S[[#This Row],[BVPS]]),IF(Main_S[[#This Row],[BVPS]]&lt;&gt;0,Main_S[[#This Row],[Current Price]]/Main_S[[#This Row],[BVPS]],""),"")</f>
        <v>1.0127902400629674</v>
      </c>
      <c r="J71">
        <v>9.85</v>
      </c>
      <c r="K71">
        <v>1.1200000000000001</v>
      </c>
      <c r="L71">
        <v>8.65</v>
      </c>
      <c r="M71" s="1">
        <f>IF(ISNUMBER(Main_S[[#This Row],[EPS]]),IF(Main_S[[#This Row],[EPS]]&lt;&gt;0,Main_S[[#This Row],[Current Price]]/Main_S[[#This Row],[EPS]],""),"")</f>
        <v>10.767782426778242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-0.43254957161827884</v>
      </c>
      <c r="P71" s="1">
        <f>(Main_S[[#This Row],[P/B]]-VLOOKUP(Main_S[[#This Row],[Industry]], Mean_PB_S, 2, FALSE))/(VLOOKUP(Main_S[[#This Row],[Industry]], Mean_PB_S, 3, FALSE))</f>
        <v>-0.30604099584045075</v>
      </c>
      <c r="Q71" s="1">
        <f>(Main_S[[#This Row],[ROE]]-VLOOKUP(Main_S[[#This Row],[Industry]], Mean_ROE_S, 2, FALSE))/(VLOOKUP(Main_S[[#This Row],[Industry]], Mean_ROE_S, 3, FALSE))</f>
        <v>0.10483648870640051</v>
      </c>
      <c r="R71" s="1">
        <f>(Main_S[[#This Row],[ROA]]-VLOOKUP(Main_S[[#This Row],[Industry]], Mean_ROA_S, 2, FALSE))/(VLOOKUP(Main_S[[#This Row],[Industry]], Mean_ROA_S, 3, FALSE))</f>
        <v>0.34471763100691888</v>
      </c>
      <c r="S71" s="1">
        <f>(Main_S[[#This Row],[A/E]]-VLOOKUP(Main_S[[#This Row],[Industry]], Mean_AE_S, 2, FALSE))/(VLOOKUP(Main_S[[#This Row],[Industry]], Mean_AE_S, 3, FALSE))</f>
        <v>-0.52995742491466158</v>
      </c>
      <c r="T71" s="1">
        <f>(Main_S[[#This Row],[P/E]]-VLOOKUP(Main_S[[#This Row],[Industry]], Mean_PE_S, 2, FALSE))/(VLOOKUP(Main_S[[#This Row],[Industry]], Mean_PE_S, 3, FALSE))</f>
        <v>-0.59353957935939916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s="68" t="s">
        <v>105</v>
      </c>
      <c r="B72" s="68" t="s">
        <v>497</v>
      </c>
      <c r="C72" s="2">
        <v>653</v>
      </c>
      <c r="D72">
        <f>RTD("tos.rtd", , "LAST", Main_S[[#This Row],[Symbol]])</f>
        <v>15.8</v>
      </c>
      <c r="E72">
        <v>0.03</v>
      </c>
      <c r="F72">
        <v>17.72</v>
      </c>
      <c r="G72">
        <v>1.02</v>
      </c>
      <c r="H72" s="1">
        <f>IF(ISNUMBER(Main_S[[#This Row],[Free CF]]),IF(Main_S[[#This Row],[Free CF]]&lt;&gt;0,Main_S[[#This Row],[Current Price]]/Main_S[[#This Row],[Free CF]],""),"")</f>
        <v>526.66666666666674</v>
      </c>
      <c r="I72" s="1">
        <f>IF(ISNUMBER(Main_S[[#This Row],[BVPS]]),IF(Main_S[[#This Row],[BVPS]]&lt;&gt;0,Main_S[[#This Row],[Current Price]]/Main_S[[#This Row],[BVPS]],""),"")</f>
        <v>0.8916478555304741</v>
      </c>
      <c r="J72">
        <v>6.06</v>
      </c>
      <c r="K72">
        <v>0.59</v>
      </c>
      <c r="L72">
        <v>9.83</v>
      </c>
      <c r="M72" s="1">
        <f>IF(ISNUMBER(Main_S[[#This Row],[EPS]]),IF(Main_S[[#This Row],[EPS]]&lt;&gt;0,Main_S[[#This Row],[Current Price]]/Main_S[[#This Row],[EPS]],""),"")</f>
        <v>15.490196078431373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134.91242327892294</v>
      </c>
      <c r="P72" s="1">
        <f>(Main_S[[#This Row],[P/B]]-VLOOKUP(Main_S[[#This Row],[Industry]], Mean_PB_S, 2, FALSE))/(VLOOKUP(Main_S[[#This Row],[Industry]], Mean_PB_S, 3, FALSE))</f>
        <v>-0.73820015806289063</v>
      </c>
      <c r="Q72" s="1">
        <f>(Main_S[[#This Row],[ROE]]-VLOOKUP(Main_S[[#This Row],[Industry]], Mean_ROE_S, 2, FALSE))/(VLOOKUP(Main_S[[#This Row],[Industry]], Mean_ROE_S, 3, FALSE))</f>
        <v>-0.81819671332440413</v>
      </c>
      <c r="R72" s="1">
        <f>(Main_S[[#This Row],[ROA]]-VLOOKUP(Main_S[[#This Row],[Industry]], Mean_ROA_S, 2, FALSE))/(VLOOKUP(Main_S[[#This Row],[Industry]], Mean_ROA_S, 3, FALSE))</f>
        <v>-0.88740271080073885</v>
      </c>
      <c r="S72" s="1">
        <f>(Main_S[[#This Row],[A/E]]-VLOOKUP(Main_S[[#This Row],[Industry]], Mean_AE_S, 2, FALSE))/(VLOOKUP(Main_S[[#This Row],[Industry]], Mean_AE_S, 3, FALSE))</f>
        <v>0.15247274576038652</v>
      </c>
      <c r="T72" s="1">
        <f>(Main_S[[#This Row],[P/E]]-VLOOKUP(Main_S[[#This Row],[Industry]], Mean_PE_S, 2, FALSE))/(VLOOKUP(Main_S[[#This Row],[Industry]], Mean_PE_S, 3, FALSE))</f>
        <v>1.2073946982267865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8" t="s">
        <v>105</v>
      </c>
      <c r="B73" s="68" t="s">
        <v>498</v>
      </c>
      <c r="C73" s="2">
        <v>735</v>
      </c>
      <c r="D73">
        <f>RTD("tos.rtd", , "LAST", Main_S[[#This Row],[Symbol]])</f>
        <v>24.1</v>
      </c>
      <c r="E73">
        <v>2.77</v>
      </c>
      <c r="F73">
        <v>17.86</v>
      </c>
      <c r="G73">
        <v>2.38</v>
      </c>
      <c r="H73" s="1">
        <f>IF(ISNUMBER(Main_S[[#This Row],[Free CF]]),IF(Main_S[[#This Row],[Free CF]]&lt;&gt;0,Main_S[[#This Row],[Current Price]]/Main_S[[#This Row],[Free CF]],""),"")</f>
        <v>8.700361010830326</v>
      </c>
      <c r="I73" s="1">
        <f>IF(ISNUMBER(Main_S[[#This Row],[BVPS]]),IF(Main_S[[#This Row],[BVPS]]&lt;&gt;0,Main_S[[#This Row],[Current Price]]/Main_S[[#This Row],[BVPS]],""),"")</f>
        <v>1.3493840985442331</v>
      </c>
      <c r="J73">
        <v>14.24</v>
      </c>
      <c r="K73">
        <v>1.49</v>
      </c>
      <c r="L73">
        <v>9.01</v>
      </c>
      <c r="M73" s="1">
        <f>IF(ISNUMBER(Main_S[[#This Row],[EPS]]),IF(Main_S[[#This Row],[EPS]]&lt;&gt;0,Main_S[[#This Row],[Current Price]]/Main_S[[#This Row],[EPS]],""),"")</f>
        <v>10.126050420168069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-0.5738551261378696</v>
      </c>
      <c r="P73" s="1">
        <f>(Main_S[[#This Row],[P/B]]-VLOOKUP(Main_S[[#This Row],[Industry]], Mean_PB_S, 2, FALSE))/(VLOOKUP(Main_S[[#This Row],[Industry]], Mean_PB_S, 3, FALSE))</f>
        <v>0.89471231978762267</v>
      </c>
      <c r="Q73" s="1">
        <f>(Main_S[[#This Row],[ROE]]-VLOOKUP(Main_S[[#This Row],[Industry]], Mean_ROE_S, 2, FALSE))/(VLOOKUP(Main_S[[#This Row],[Industry]], Mean_ROE_S, 3, FALSE))</f>
        <v>1.1739963190270424</v>
      </c>
      <c r="R73" s="1">
        <f>(Main_S[[#This Row],[ROA]]-VLOOKUP(Main_S[[#This Row],[Industry]], Mean_ROA_S, 2, FALSE))/(VLOOKUP(Main_S[[#This Row],[Industry]], Mean_ROA_S, 3, FALSE))</f>
        <v>1.2048771149103776</v>
      </c>
      <c r="S73" s="1">
        <f>(Main_S[[#This Row],[A/E]]-VLOOKUP(Main_S[[#This Row],[Industry]], Mean_AE_S, 2, FALSE))/(VLOOKUP(Main_S[[#This Row],[Industry]], Mean_AE_S, 3, FALSE))</f>
        <v>-0.32175838979346072</v>
      </c>
      <c r="T73" s="1">
        <f>(Main_S[[#This Row],[P/E]]-VLOOKUP(Main_S[[#This Row],[Industry]], Mean_PE_S, 2, FALSE))/(VLOOKUP(Main_S[[#This Row],[Industry]], Mean_PE_S, 3, FALSE))</f>
        <v>-0.83826976459504754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8" t="s">
        <v>105</v>
      </c>
      <c r="B74" s="68" t="s">
        <v>499</v>
      </c>
      <c r="C74" s="2">
        <v>784</v>
      </c>
      <c r="D74">
        <f>RTD("tos.rtd", , "LAST", Main_S[[#This Row],[Symbol]])</f>
        <v>24.21</v>
      </c>
      <c r="E74">
        <v>1.77</v>
      </c>
      <c r="F74">
        <v>25.85</v>
      </c>
      <c r="G74">
        <v>1.48</v>
      </c>
      <c r="H74" s="1">
        <f>IF(ISNUMBER(Main_S[[#This Row],[Free CF]]),IF(Main_S[[#This Row],[Free CF]]&lt;&gt;0,Main_S[[#This Row],[Current Price]]/Main_S[[#This Row],[Free CF]],""),"")</f>
        <v>13.677966101694915</v>
      </c>
      <c r="I74" s="1">
        <f>IF(ISNUMBER(Main_S[[#This Row],[BVPS]]),IF(Main_S[[#This Row],[BVPS]]&lt;&gt;0,Main_S[[#This Row],[Current Price]]/Main_S[[#This Row],[BVPS]],""),"")</f>
        <v>0.93655705996131522</v>
      </c>
      <c r="J74">
        <v>5.95</v>
      </c>
      <c r="K74">
        <v>0.72</v>
      </c>
      <c r="L74">
        <v>8.09</v>
      </c>
      <c r="M74" s="1">
        <f>IF(ISNUMBER(Main_S[[#This Row],[EPS]]),IF(Main_S[[#This Row],[EPS]]&lt;&gt;0,Main_S[[#This Row],[Current Price]]/Main_S[[#This Row],[EPS]],""),"")</f>
        <v>16.358108108108109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0.7281546412299561</v>
      </c>
      <c r="P74" s="1">
        <f>(Main_S[[#This Row],[P/B]]-VLOOKUP(Main_S[[#This Row],[Industry]], Mean_PB_S, 2, FALSE))/(VLOOKUP(Main_S[[#This Row],[Industry]], Mean_PB_S, 3, FALSE))</f>
        <v>-0.57799261189474571</v>
      </c>
      <c r="Q74" s="1">
        <f>(Main_S[[#This Row],[ROE]]-VLOOKUP(Main_S[[#This Row],[Industry]], Mean_ROE_S, 2, FALSE))/(VLOOKUP(Main_S[[#This Row],[Industry]], Mean_ROE_S, 3, FALSE))</f>
        <v>-0.84498659517754082</v>
      </c>
      <c r="R74" s="1">
        <f>(Main_S[[#This Row],[ROA]]-VLOOKUP(Main_S[[#This Row],[Industry]], Mean_ROA_S, 2, FALSE))/(VLOOKUP(Main_S[[#This Row],[Industry]], Mean_ROA_S, 3, FALSE))</f>
        <v>-0.58518451375357761</v>
      </c>
      <c r="S74" s="1">
        <f>(Main_S[[#This Row],[A/E]]-VLOOKUP(Main_S[[#This Row],[Industry]], Mean_AE_S, 2, FALSE))/(VLOOKUP(Main_S[[#This Row],[Industry]], Mean_AE_S, 3, FALSE))</f>
        <v>-0.85382259065875254</v>
      </c>
      <c r="T74" s="1">
        <f>(Main_S[[#This Row],[P/E]]-VLOOKUP(Main_S[[#This Row],[Industry]], Mean_PE_S, 2, FALSE))/(VLOOKUP(Main_S[[#This Row],[Industry]], Mean_PE_S, 3, FALSE))</f>
        <v>1.5383806387801029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8" t="s">
        <v>105</v>
      </c>
      <c r="B75" s="68" t="s">
        <v>500</v>
      </c>
      <c r="C75" s="2">
        <v>553</v>
      </c>
      <c r="D75">
        <f>RTD("tos.rtd", , "LAST", Main_S[[#This Row],[Symbol]])</f>
        <v>262.5</v>
      </c>
      <c r="E75">
        <v>5.4</v>
      </c>
      <c r="F75">
        <v>200.69</v>
      </c>
      <c r="G75">
        <v>12.96</v>
      </c>
      <c r="H75" s="1">
        <f>IF(ISNUMBER(Main_S[[#This Row],[Free CF]]),IF(Main_S[[#This Row],[Free CF]]&lt;&gt;0,Main_S[[#This Row],[Current Price]]/Main_S[[#This Row],[Free CF]],""),"")</f>
        <v>48.611111111111107</v>
      </c>
      <c r="I75" s="1">
        <f>IF(ISNUMBER(Main_S[[#This Row],[BVPS]]),IF(Main_S[[#This Row],[BVPS]]&lt;&gt;0,Main_S[[#This Row],[Current Price]]/Main_S[[#This Row],[BVPS]],""),"")</f>
        <v>1.3079874433205441</v>
      </c>
      <c r="J75">
        <v>6.68</v>
      </c>
      <c r="K75">
        <v>0.63</v>
      </c>
      <c r="L75">
        <v>10.34</v>
      </c>
      <c r="M75" s="1">
        <f>IF(ISNUMBER(Main_S[[#This Row],[EPS]]),IF(Main_S[[#This Row],[EPS]]&lt;&gt;0,Main_S[[#This Row],[Current Price]]/Main_S[[#This Row],[EPS]],""),"")</f>
        <v>20.25462962962963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9.8657409255682023</v>
      </c>
      <c r="P75" s="1">
        <f>(Main_S[[#This Row],[P/B]]-VLOOKUP(Main_S[[#This Row],[Industry]], Mean_PB_S, 2, FALSE))/(VLOOKUP(Main_S[[#This Row],[Industry]], Mean_PB_S, 3, FALSE))</f>
        <v>0.74703532045068</v>
      </c>
      <c r="Q75" s="1">
        <f>(Main_S[[#This Row],[ROE]]-VLOOKUP(Main_S[[#This Row],[Industry]], Mean_ROE_S, 2, FALSE))/(VLOOKUP(Main_S[[#This Row],[Industry]], Mean_ROE_S, 3, FALSE))</f>
        <v>-0.66719919742490574</v>
      </c>
      <c r="R75" s="1">
        <f>(Main_S[[#This Row],[ROA]]-VLOOKUP(Main_S[[#This Row],[Industry]], Mean_ROA_S, 2, FALSE))/(VLOOKUP(Main_S[[#This Row],[Industry]], Mean_ROA_S, 3, FALSE))</f>
        <v>-0.79441249632468913</v>
      </c>
      <c r="S75" s="1">
        <f>(Main_S[[#This Row],[A/E]]-VLOOKUP(Main_S[[#This Row],[Industry]], Mean_AE_S, 2, FALSE))/(VLOOKUP(Main_S[[#This Row],[Industry]], Mean_AE_S, 3, FALSE))</f>
        <v>0.44742137884875471</v>
      </c>
      <c r="T75" s="1">
        <f>(Main_S[[#This Row],[P/E]]-VLOOKUP(Main_S[[#This Row],[Industry]], Mean_PE_S, 2, FALSE))/(VLOOKUP(Main_S[[#This Row],[Industry]], Mean_PE_S, 3, FALSE))</f>
        <v>3.0243536367202299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8" t="s">
        <v>105</v>
      </c>
      <c r="B76" s="68" t="s">
        <v>501</v>
      </c>
      <c r="C76" s="2">
        <v>491</v>
      </c>
      <c r="D76">
        <f>RTD("tos.rtd", , "LAST", Main_S[[#This Row],[Symbol]])</f>
        <v>11.79</v>
      </c>
      <c r="E76">
        <v>0.06</v>
      </c>
      <c r="F76">
        <v>14.28</v>
      </c>
      <c r="G76">
        <v>0.63</v>
      </c>
      <c r="H76" s="1">
        <f>IF(ISNUMBER(Main_S[[#This Row],[Free CF]]),IF(Main_S[[#This Row],[Free CF]]&lt;&gt;0,Main_S[[#This Row],[Current Price]]/Main_S[[#This Row],[Free CF]],""),"")</f>
        <v>196.5</v>
      </c>
      <c r="I76" s="1">
        <f>IF(ISNUMBER(Main_S[[#This Row],[BVPS]]),IF(Main_S[[#This Row],[BVPS]]&lt;&gt;0,Main_S[[#This Row],[Current Price]]/Main_S[[#This Row],[BVPS]],""),"")</f>
        <v>0.82563025210084029</v>
      </c>
      <c r="J76">
        <v>4.4400000000000004</v>
      </c>
      <c r="K76">
        <v>0.44</v>
      </c>
      <c r="L76">
        <v>9.9</v>
      </c>
      <c r="M76" s="1">
        <f>IF(ISNUMBER(Main_S[[#This Row],[EPS]]),IF(Main_S[[#This Row],[EPS]]&lt;&gt;0,Main_S[[#This Row],[Current Price]]/Main_S[[#This Row],[EPS]],""),"")</f>
        <v>18.714285714285712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48.549560614659448</v>
      </c>
      <c r="P76" s="1">
        <f>(Main_S[[#This Row],[P/B]]-VLOOKUP(Main_S[[#This Row],[Industry]], Mean_PB_S, 2, FALSE))/(VLOOKUP(Main_S[[#This Row],[Industry]], Mean_PB_S, 3, FALSE))</f>
        <v>-0.97370907841463894</v>
      </c>
      <c r="Q76" s="1">
        <f>(Main_S[[#This Row],[ROE]]-VLOOKUP(Main_S[[#This Row],[Industry]], Mean_ROE_S, 2, FALSE))/(VLOOKUP(Main_S[[#This Row],[Industry]], Mean_ROE_S, 3, FALSE))</f>
        <v>-1.2127386097069641</v>
      </c>
      <c r="R76" s="1">
        <f>(Main_S[[#This Row],[ROA]]-VLOOKUP(Main_S[[#This Row],[Industry]], Mean_ROA_S, 2, FALSE))/(VLOOKUP(Main_S[[#This Row],[Industry]], Mean_ROA_S, 3, FALSE))</f>
        <v>-1.2361160150859247</v>
      </c>
      <c r="S76" s="1">
        <f>(Main_S[[#This Row],[A/E]]-VLOOKUP(Main_S[[#This Row],[Industry]], Mean_AE_S, 2, FALSE))/(VLOOKUP(Main_S[[#This Row],[Industry]], Mean_AE_S, 3, FALSE))</f>
        <v>0.19295589147839803</v>
      </c>
      <c r="T76" s="1">
        <f>(Main_S[[#This Row],[P/E]]-VLOOKUP(Main_S[[#This Row],[Industry]], Mean_PE_S, 2, FALSE))/(VLOOKUP(Main_S[[#This Row],[Industry]], Mean_PE_S, 3, FALSE))</f>
        <v>2.4369298401108228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8" t="s">
        <v>105</v>
      </c>
      <c r="B77" s="68" t="s">
        <v>502</v>
      </c>
      <c r="C77" s="2">
        <v>1262</v>
      </c>
      <c r="D77">
        <f>RTD("tos.rtd", , "LAST", Main_S[[#This Row],[Symbol]])</f>
        <v>10.64</v>
      </c>
      <c r="E77">
        <v>0.89</v>
      </c>
      <c r="F77">
        <v>17.84</v>
      </c>
      <c r="G77">
        <v>0.78</v>
      </c>
      <c r="H77" s="1">
        <f>IF(ISNUMBER(Main_S[[#This Row],[Free CF]]),IF(Main_S[[#This Row],[Free CF]]&lt;&gt;0,Main_S[[#This Row],[Current Price]]/Main_S[[#This Row],[Free CF]],""),"")</f>
        <v>11.955056179775282</v>
      </c>
      <c r="I77" s="1">
        <f>IF(ISNUMBER(Main_S[[#This Row],[BVPS]]),IF(Main_S[[#This Row],[BVPS]]&lt;&gt;0,Main_S[[#This Row],[Current Price]]/Main_S[[#This Row],[BVPS]],""),"")</f>
        <v>0.59641255605381172</v>
      </c>
      <c r="J77">
        <v>4.4400000000000004</v>
      </c>
      <c r="K77">
        <v>0.54</v>
      </c>
      <c r="L77">
        <v>7.9</v>
      </c>
      <c r="M77" s="1">
        <f>IF(ISNUMBER(Main_S[[#This Row],[EPS]]),IF(Main_S[[#This Row],[EPS]]&lt;&gt;0,Main_S[[#This Row],[Current Price]]/Main_S[[#This Row],[EPS]],""),"")</f>
        <v>13.641025641025641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0.27748699972674906</v>
      </c>
      <c r="P77" s="1">
        <f>(Main_S[[#This Row],[P/B]]-VLOOKUP(Main_S[[#This Row],[Industry]], Mean_PB_S, 2, FALSE))/(VLOOKUP(Main_S[[#This Row],[Industry]], Mean_PB_S, 3, FALSE))</f>
        <v>-1.7914123774913704</v>
      </c>
      <c r="Q77" s="1">
        <f>(Main_S[[#This Row],[ROE]]-VLOOKUP(Main_S[[#This Row],[Industry]], Mean_ROE_S, 2, FALSE))/(VLOOKUP(Main_S[[#This Row],[Industry]], Mean_ROE_S, 3, FALSE))</f>
        <v>-1.2127386097069641</v>
      </c>
      <c r="R77" s="1">
        <f>(Main_S[[#This Row],[ROA]]-VLOOKUP(Main_S[[#This Row],[Industry]], Mean_ROA_S, 2, FALSE))/(VLOOKUP(Main_S[[#This Row],[Industry]], Mean_ROA_S, 3, FALSE))</f>
        <v>-1.0036404788958007</v>
      </c>
      <c r="S77" s="1">
        <f>(Main_S[[#This Row],[A/E]]-VLOOKUP(Main_S[[#This Row],[Industry]], Mean_AE_S, 2, FALSE))/(VLOOKUP(Main_S[[#This Row],[Industry]], Mean_AE_S, 3, FALSE))</f>
        <v>-0.96370541475049731</v>
      </c>
      <c r="T77" s="1">
        <f>(Main_S[[#This Row],[P/E]]-VLOOKUP(Main_S[[#This Row],[Industry]], Mean_PE_S, 2, FALSE))/(VLOOKUP(Main_S[[#This Row],[Industry]], Mean_PE_S, 3, FALSE))</f>
        <v>0.50219717181839174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8" t="s">
        <v>105</v>
      </c>
      <c r="B78" s="68" t="s">
        <v>503</v>
      </c>
      <c r="C78" s="2">
        <v>615</v>
      </c>
      <c r="D78">
        <f>RTD("tos.rtd", , "LAST", Main_S[[#This Row],[Symbol]])</f>
        <v>36.81</v>
      </c>
      <c r="E78">
        <v>1.67</v>
      </c>
      <c r="F78">
        <v>32.53</v>
      </c>
      <c r="G78">
        <v>3.21</v>
      </c>
      <c r="H78" s="1">
        <f>IF(ISNUMBER(Main_S[[#This Row],[Free CF]]),IF(Main_S[[#This Row],[Free CF]]&lt;&gt;0,Main_S[[#This Row],[Current Price]]/Main_S[[#This Row],[Free CF]],""),"")</f>
        <v>22.041916167664674</v>
      </c>
      <c r="I78" s="1">
        <f>IF(ISNUMBER(Main_S[[#This Row],[BVPS]]),IF(Main_S[[#This Row],[BVPS]]&lt;&gt;0,Main_S[[#This Row],[Current Price]]/Main_S[[#This Row],[BVPS]],""),"")</f>
        <v>1.1315708576698433</v>
      </c>
      <c r="J78">
        <v>10.220000000000001</v>
      </c>
      <c r="K78">
        <v>1.19</v>
      </c>
      <c r="L78">
        <v>8.06</v>
      </c>
      <c r="M78" s="1">
        <f>IF(ISNUMBER(Main_S[[#This Row],[EPS]]),IF(Main_S[[#This Row],[EPS]]&lt;&gt;0,Main_S[[#This Row],[Current Price]]/Main_S[[#This Row],[EPS]],""),"")</f>
        <v>11.467289719626169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2.9159426398511679</v>
      </c>
      <c r="P78" s="1">
        <f>(Main_S[[#This Row],[P/B]]-VLOOKUP(Main_S[[#This Row],[Industry]], Mean_PB_S, 2, FALSE))/(VLOOKUP(Main_S[[#This Row],[Industry]], Mean_PB_S, 3, FALSE))</f>
        <v>0.11769288055095395</v>
      </c>
      <c r="Q78" s="1">
        <f>(Main_S[[#This Row],[ROE]]-VLOOKUP(Main_S[[#This Row],[Industry]], Mean_ROE_S, 2, FALSE))/(VLOOKUP(Main_S[[#This Row],[Industry]], Mean_ROE_S, 3, FALSE))</f>
        <v>0.19494790948513366</v>
      </c>
      <c r="R78" s="1">
        <f>(Main_S[[#This Row],[ROA]]-VLOOKUP(Main_S[[#This Row],[Industry]], Mean_ROA_S, 2, FALSE))/(VLOOKUP(Main_S[[#This Row],[Industry]], Mean_ROA_S, 3, FALSE))</f>
        <v>0.50745050634000533</v>
      </c>
      <c r="S78" s="1">
        <f>(Main_S[[#This Row],[A/E]]-VLOOKUP(Main_S[[#This Row],[Industry]], Mean_AE_S, 2, FALSE))/(VLOOKUP(Main_S[[#This Row],[Industry]], Mean_AE_S, 3, FALSE))</f>
        <v>-0.87117251025218567</v>
      </c>
      <c r="T78" s="1">
        <f>(Main_S[[#This Row],[P/E]]-VLOOKUP(Main_S[[#This Row],[Industry]], Mean_PE_S, 2, FALSE))/(VLOOKUP(Main_S[[#This Row],[Industry]], Mean_PE_S, 3, FALSE))</f>
        <v>-0.32677627693874894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8" t="s">
        <v>105</v>
      </c>
      <c r="B79" s="68" t="s">
        <v>504</v>
      </c>
      <c r="C79" s="2">
        <v>566</v>
      </c>
      <c r="D79">
        <f>RTD("tos.rtd", , "LAST", Main_S[[#This Row],[Symbol]])</f>
        <v>9.51</v>
      </c>
      <c r="E79">
        <v>0.61</v>
      </c>
      <c r="F79">
        <v>11.3</v>
      </c>
      <c r="G79">
        <v>0.68</v>
      </c>
      <c r="H79" s="1">
        <f>IF(ISNUMBER(Main_S[[#This Row],[Free CF]]),IF(Main_S[[#This Row],[Free CF]]&lt;&gt;0,Main_S[[#This Row],[Current Price]]/Main_S[[#This Row],[Free CF]],""),"")</f>
        <v>15.590163934426229</v>
      </c>
      <c r="I79" s="1">
        <f>IF(ISNUMBER(Main_S[[#This Row],[BVPS]]),IF(Main_S[[#This Row],[BVPS]]&lt;&gt;0,Main_S[[#This Row],[Current Price]]/Main_S[[#This Row],[BVPS]],""),"")</f>
        <v>0.84159292035398225</v>
      </c>
      <c r="J79">
        <v>6.12</v>
      </c>
      <c r="K79">
        <v>0.78</v>
      </c>
      <c r="L79">
        <v>7.92</v>
      </c>
      <c r="M79" s="1">
        <f>IF(ISNUMBER(Main_S[[#This Row],[EPS]]),IF(Main_S[[#This Row],[EPS]]&lt;&gt;0,Main_S[[#This Row],[Current Price]]/Main_S[[#This Row],[EPS]],""),"")</f>
        <v>13.985294117647058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1.2283349909979824</v>
      </c>
      <c r="P79" s="1">
        <f>(Main_S[[#This Row],[P/B]]-VLOOKUP(Main_S[[#This Row],[Industry]], Mean_PB_S, 2, FALSE))/(VLOOKUP(Main_S[[#This Row],[Industry]], Mean_PB_S, 3, FALSE))</f>
        <v>-0.91676440652515467</v>
      </c>
      <c r="Q79" s="1">
        <f>(Main_S[[#This Row],[ROE]]-VLOOKUP(Main_S[[#This Row],[Industry]], Mean_ROE_S, 2, FALSE))/(VLOOKUP(Main_S[[#This Row],[Industry]], Mean_ROE_S, 3, FALSE))</f>
        <v>-0.80358405049542025</v>
      </c>
      <c r="R79" s="1">
        <f>(Main_S[[#This Row],[ROA]]-VLOOKUP(Main_S[[#This Row],[Industry]], Mean_ROA_S, 2, FALSE))/(VLOOKUP(Main_S[[#This Row],[Industry]], Mean_ROA_S, 3, FALSE))</f>
        <v>-0.44569919203950303</v>
      </c>
      <c r="S79" s="1">
        <f>(Main_S[[#This Row],[A/E]]-VLOOKUP(Main_S[[#This Row],[Industry]], Mean_AE_S, 2, FALSE))/(VLOOKUP(Main_S[[#This Row],[Industry]], Mean_AE_S, 3, FALSE))</f>
        <v>-0.95213880168820864</v>
      </c>
      <c r="T79" s="1">
        <f>(Main_S[[#This Row],[P/E]]-VLOOKUP(Main_S[[#This Row],[Industry]], Mean_PE_S, 2, FALSE))/(VLOOKUP(Main_S[[#This Row],[Industry]], Mean_PE_S, 3, FALSE))</f>
        <v>0.63348700493643073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8" t="s">
        <v>105</v>
      </c>
      <c r="B80" s="68" t="s">
        <v>505</v>
      </c>
      <c r="C80" s="2">
        <v>1924</v>
      </c>
      <c r="D80">
        <f>RTD("tos.rtd", , "LAST", Main_S[[#This Row],[Symbol]])</f>
        <v>30.86</v>
      </c>
      <c r="E80">
        <v>3.14</v>
      </c>
      <c r="F80">
        <v>34.29</v>
      </c>
      <c r="G80">
        <v>1.97</v>
      </c>
      <c r="H80" s="1">
        <f>IF(ISNUMBER(Main_S[[#This Row],[Free CF]]),IF(Main_S[[#This Row],[Free CF]]&lt;&gt;0,Main_S[[#This Row],[Current Price]]/Main_S[[#This Row],[Free CF]],""),"")</f>
        <v>9.8280254777070066</v>
      </c>
      <c r="I80" s="1">
        <f>IF(ISNUMBER(Main_S[[#This Row],[BVPS]]),IF(Main_S[[#This Row],[BVPS]]&lt;&gt;0,Main_S[[#This Row],[Current Price]]/Main_S[[#This Row],[BVPS]],""),"")</f>
        <v>0.89997083697871105</v>
      </c>
      <c r="J80">
        <v>6.3</v>
      </c>
      <c r="K80">
        <v>0.86</v>
      </c>
      <c r="L80">
        <v>7.19</v>
      </c>
      <c r="M80" s="1">
        <f>IF(ISNUMBER(Main_S[[#This Row],[EPS]]),IF(Main_S[[#This Row],[EPS]]&lt;&gt;0,Main_S[[#This Row],[Current Price]]/Main_S[[#This Row],[EPS]],""),"")</f>
        <v>15.664974619289341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-0.27888794344960921</v>
      </c>
      <c r="P80" s="1">
        <f>(Main_S[[#This Row],[P/B]]-VLOOKUP(Main_S[[#This Row],[Industry]], Mean_PB_S, 2, FALSE))/(VLOOKUP(Main_S[[#This Row],[Industry]], Mean_PB_S, 3, FALSE))</f>
        <v>-0.70850904125233927</v>
      </c>
      <c r="Q80" s="1">
        <f>(Main_S[[#This Row],[ROE]]-VLOOKUP(Main_S[[#This Row],[Industry]], Mean_ROE_S, 2, FALSE))/(VLOOKUP(Main_S[[#This Row],[Industry]], Mean_ROE_S, 3, FALSE))</f>
        <v>-0.75974606200846917</v>
      </c>
      <c r="R80" s="1">
        <f>(Main_S[[#This Row],[ROA]]-VLOOKUP(Main_S[[#This Row],[Industry]], Mean_ROA_S, 2, FALSE))/(VLOOKUP(Main_S[[#This Row],[Industry]], Mean_ROA_S, 3, FALSE))</f>
        <v>-0.25971876308740388</v>
      </c>
      <c r="S80" s="1">
        <f>(Main_S[[#This Row],[A/E]]-VLOOKUP(Main_S[[#This Row],[Industry]], Mean_AE_S, 2, FALSE))/(VLOOKUP(Main_S[[#This Row],[Industry]], Mean_AE_S, 3, FALSE))</f>
        <v>-1.3743201784617551</v>
      </c>
      <c r="T80" s="1">
        <f>(Main_S[[#This Row],[P/E]]-VLOOKUP(Main_S[[#This Row],[Industry]], Mean_PE_S, 2, FALSE))/(VLOOKUP(Main_S[[#This Row],[Industry]], Mean_PE_S, 3, FALSE))</f>
        <v>1.2740480429856527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8" t="s">
        <v>105</v>
      </c>
      <c r="B81" s="68" t="s">
        <v>506</v>
      </c>
      <c r="C81" s="2">
        <v>652</v>
      </c>
      <c r="D81">
        <f>RTD("tos.rtd", , "LAST", Main_S[[#This Row],[Symbol]])</f>
        <v>32.479999999999997</v>
      </c>
      <c r="E81">
        <v>2.64</v>
      </c>
      <c r="F81">
        <v>22.28</v>
      </c>
      <c r="G81">
        <v>3.14</v>
      </c>
      <c r="H81" s="1">
        <f>IF(ISNUMBER(Main_S[[#This Row],[Free CF]]),IF(Main_S[[#This Row],[Free CF]]&lt;&gt;0,Main_S[[#This Row],[Current Price]]/Main_S[[#This Row],[Free CF]],""),"")</f>
        <v>12.303030303030301</v>
      </c>
      <c r="I81" s="1">
        <f>IF(ISNUMBER(Main_S[[#This Row],[BVPS]]),IF(Main_S[[#This Row],[BVPS]]&lt;&gt;0,Main_S[[#This Row],[Current Price]]/Main_S[[#This Row],[BVPS]],""),"")</f>
        <v>1.4578096947935366</v>
      </c>
      <c r="J81">
        <v>15.04</v>
      </c>
      <c r="K81">
        <v>1.26</v>
      </c>
      <c r="L81">
        <v>11.4</v>
      </c>
      <c r="M81" s="1">
        <f>IF(ISNUMBER(Main_S[[#This Row],[EPS]]),IF(Main_S[[#This Row],[EPS]]&lt;&gt;0,Main_S[[#This Row],[Current Price]]/Main_S[[#This Row],[EPS]],""),"")</f>
        <v>10.343949044585987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0.36850782178850794</v>
      </c>
      <c r="P81" s="1">
        <f>(Main_S[[#This Row],[P/B]]-VLOOKUP(Main_S[[#This Row],[Industry]], Mean_PB_S, 2, FALSE))/(VLOOKUP(Main_S[[#This Row],[Industry]], Mean_PB_S, 3, FALSE))</f>
        <v>1.281506050317166</v>
      </c>
      <c r="Q81" s="1">
        <f>(Main_S[[#This Row],[ROE]]-VLOOKUP(Main_S[[#This Row],[Industry]], Mean_ROE_S, 2, FALSE))/(VLOOKUP(Main_S[[#This Row],[Industry]], Mean_ROE_S, 3, FALSE))</f>
        <v>1.3688318234134917</v>
      </c>
      <c r="R81" s="1">
        <f>(Main_S[[#This Row],[ROA]]-VLOOKUP(Main_S[[#This Row],[Industry]], Mean_ROA_S, 2, FALSE))/(VLOOKUP(Main_S[[#This Row],[Industry]], Mean_ROA_S, 3, FALSE))</f>
        <v>0.67018338167309233</v>
      </c>
      <c r="S81" s="1">
        <f>(Main_S[[#This Row],[A/E]]-VLOOKUP(Main_S[[#This Row],[Industry]], Mean_AE_S, 2, FALSE))/(VLOOKUP(Main_S[[#This Row],[Industry]], Mean_AE_S, 3, FALSE))</f>
        <v>1.0604518711500697</v>
      </c>
      <c r="T81" s="1">
        <f>(Main_S[[#This Row],[P/E]]-VLOOKUP(Main_S[[#This Row],[Industry]], Mean_PE_S, 2, FALSE))/(VLOOKUP(Main_S[[#This Row],[Industry]], Mean_PE_S, 3, FALSE))</f>
        <v>-0.7551721940093501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8" t="s">
        <v>105</v>
      </c>
      <c r="B82" s="68" t="s">
        <v>507</v>
      </c>
      <c r="C82" s="2">
        <v>404</v>
      </c>
      <c r="D82">
        <f>RTD("tos.rtd", , "LAST", Main_S[[#This Row],[Symbol]])</f>
        <v>6.55</v>
      </c>
      <c r="E82">
        <v>0.34</v>
      </c>
      <c r="F82">
        <v>11.97</v>
      </c>
      <c r="G82">
        <v>-1.1399999999999999</v>
      </c>
      <c r="H82" s="1">
        <f>IF(ISNUMBER(Main_S[[#This Row],[Free CF]]),IF(Main_S[[#This Row],[Free CF]]&lt;&gt;0,Main_S[[#This Row],[Current Price]]/Main_S[[#This Row],[Free CF]],""),"")</f>
        <v>19.264705882352938</v>
      </c>
      <c r="I82" s="1">
        <f>IF(ISNUMBER(Main_S[[#This Row],[BVPS]]),IF(Main_S[[#This Row],[BVPS]]&lt;&gt;0,Main_S[[#This Row],[Current Price]]/Main_S[[#This Row],[BVPS]],""),"")</f>
        <v>0.5472013366750208</v>
      </c>
      <c r="J82">
        <v>-8.86</v>
      </c>
      <c r="K82">
        <v>-0.91</v>
      </c>
      <c r="L82">
        <v>10.34</v>
      </c>
      <c r="M82" s="1">
        <f>IF(ISNUMBER(Main_S[[#This Row],[EPS]]),IF(Main_S[[#This Row],[EPS]]&lt;&gt;0,Main_S[[#This Row],[Current Price]]/Main_S[[#This Row],[EPS]],""),"")</f>
        <v>-5.7456140350877201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2.1894979236669458</v>
      </c>
      <c r="P82" s="1">
        <f>(Main_S[[#This Row],[P/B]]-VLOOKUP(Main_S[[#This Row],[Industry]], Mean_PB_S, 2, FALSE))/(VLOOKUP(Main_S[[#This Row],[Industry]], Mean_PB_S, 3, FALSE))</f>
        <v>-1.9669667833317033</v>
      </c>
      <c r="Q82" s="1">
        <f>(Main_S[[#This Row],[ROE]]-VLOOKUP(Main_S[[#This Row],[Industry]], Mean_ROE_S, 2, FALSE))/(VLOOKUP(Main_S[[#This Row],[Industry]], Mean_ROE_S, 3, FALSE))</f>
        <v>-4.4518788701316883</v>
      </c>
      <c r="R82" s="1">
        <f>(Main_S[[#This Row],[ROA]]-VLOOKUP(Main_S[[#This Row],[Industry]], Mean_ROA_S, 2, FALSE))/(VLOOKUP(Main_S[[#This Row],[Industry]], Mean_ROA_S, 3, FALSE))</f>
        <v>-4.3745357536525997</v>
      </c>
      <c r="S82" s="1">
        <f>(Main_S[[#This Row],[A/E]]-VLOOKUP(Main_S[[#This Row],[Industry]], Mean_AE_S, 2, FALSE))/(VLOOKUP(Main_S[[#This Row],[Industry]], Mean_AE_S, 3, FALSE))</f>
        <v>0.44742137884875471</v>
      </c>
      <c r="T82" s="1">
        <f>(Main_S[[#This Row],[P/E]]-VLOOKUP(Main_S[[#This Row],[Industry]], Mean_PE_S, 2, FALSE))/(VLOOKUP(Main_S[[#This Row],[Industry]], Mean_PE_S, 3, FALSE))</f>
        <v>-6.8910695971150888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3" spans="1:26" x14ac:dyDescent="0.25">
      <c r="A83" s="68" t="s">
        <v>105</v>
      </c>
      <c r="B83" s="68" t="s">
        <v>508</v>
      </c>
      <c r="C83" s="2">
        <v>1515</v>
      </c>
      <c r="D83">
        <f>RTD("tos.rtd", , "LAST", Main_S[[#This Row],[Symbol]])</f>
        <v>61.47</v>
      </c>
      <c r="E83">
        <v>3.8</v>
      </c>
      <c r="F83">
        <v>27.17</v>
      </c>
      <c r="G83">
        <v>3.5</v>
      </c>
      <c r="H83" s="1">
        <f>IF(ISNUMBER(Main_S[[#This Row],[Free CF]]),IF(Main_S[[#This Row],[Free CF]]&lt;&gt;0,Main_S[[#This Row],[Current Price]]/Main_S[[#This Row],[Free CF]],""),"")</f>
        <v>16.176315789473684</v>
      </c>
      <c r="I83" s="1">
        <f>IF(ISNUMBER(Main_S[[#This Row],[BVPS]]),IF(Main_S[[#This Row],[BVPS]]&lt;&gt;0,Main_S[[#This Row],[Current Price]]/Main_S[[#This Row],[BVPS]],""),"")</f>
        <v>2.2624217887375782</v>
      </c>
      <c r="J83">
        <v>13.44</v>
      </c>
      <c r="K83">
        <v>1.34</v>
      </c>
      <c r="L83">
        <v>9.8699999999999992</v>
      </c>
      <c r="M83" s="1">
        <f>IF(ISNUMBER(Main_S[[#This Row],[EPS]]),IF(Main_S[[#This Row],[EPS]]&lt;&gt;0,Main_S[[#This Row],[Current Price]]/Main_S[[#This Row],[EPS]],""),"")</f>
        <v>17.562857142857144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1.3816568047017679</v>
      </c>
      <c r="P83" s="1">
        <f>(Main_S[[#This Row],[P/B]]-VLOOKUP(Main_S[[#This Row],[Industry]], Mean_PB_S, 2, FALSE))/(VLOOKUP(Main_S[[#This Row],[Industry]], Mean_PB_S, 3, FALSE))</f>
        <v>4.1518514688493005</v>
      </c>
      <c r="Q83" s="1">
        <f>(Main_S[[#This Row],[ROE]]-VLOOKUP(Main_S[[#This Row],[Industry]], Mean_ROE_S, 2, FALSE))/(VLOOKUP(Main_S[[#This Row],[Industry]], Mean_ROE_S, 3, FALSE))</f>
        <v>0.97916081464059268</v>
      </c>
      <c r="R83" s="1">
        <f>(Main_S[[#This Row],[ROA]]-VLOOKUP(Main_S[[#This Row],[Industry]], Mean_ROA_S, 2, FALSE))/(VLOOKUP(Main_S[[#This Row],[Industry]], Mean_ROA_S, 3, FALSE))</f>
        <v>0.85616381062519176</v>
      </c>
      <c r="S83" s="1">
        <f>(Main_S[[#This Row],[A/E]]-VLOOKUP(Main_S[[#This Row],[Industry]], Mean_AE_S, 2, FALSE))/(VLOOKUP(Main_S[[#This Row],[Industry]], Mean_AE_S, 3, FALSE))</f>
        <v>0.17560597188496394</v>
      </c>
      <c r="T83" s="1">
        <f>(Main_S[[#This Row],[P/E]]-VLOOKUP(Main_S[[#This Row],[Industry]], Mean_PE_S, 2, FALSE))/(VLOOKUP(Main_S[[#This Row],[Industry]], Mean_PE_S, 3, FALSE))</f>
        <v>1.9978223549476164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8" t="s">
        <v>105</v>
      </c>
      <c r="B84" s="68" t="s">
        <v>509</v>
      </c>
      <c r="C84" s="2">
        <v>256</v>
      </c>
      <c r="D84">
        <f>RTD("tos.rtd", , "LAST", Main_S[[#This Row],[Symbol]])</f>
        <v>7.39</v>
      </c>
      <c r="E84">
        <v>0.61</v>
      </c>
      <c r="F84">
        <v>7.87</v>
      </c>
      <c r="G84">
        <v>0.97</v>
      </c>
      <c r="H84" s="1">
        <f>IF(ISNUMBER(Main_S[[#This Row],[Free CF]]),IF(Main_S[[#This Row],[Free CF]]&lt;&gt;0,Main_S[[#This Row],[Current Price]]/Main_S[[#This Row],[Free CF]],""),"")</f>
        <v>12.114754098360656</v>
      </c>
      <c r="I84" s="1">
        <f>IF(ISNUMBER(Main_S[[#This Row],[BVPS]]),IF(Main_S[[#This Row],[BVPS]]&lt;&gt;0,Main_S[[#This Row],[Current Price]]/Main_S[[#This Row],[BVPS]],""),"")</f>
        <v>0.93900889453621339</v>
      </c>
      <c r="J84">
        <v>12.74</v>
      </c>
      <c r="K84">
        <v>1.27</v>
      </c>
      <c r="L84">
        <v>9.74</v>
      </c>
      <c r="M84" s="1">
        <f>IF(ISNUMBER(Main_S[[#This Row],[EPS]]),IF(Main_S[[#This Row],[EPS]]&lt;&gt;0,Main_S[[#This Row],[Current Price]]/Main_S[[#This Row],[EPS]],""),"")</f>
        <v>7.6185567010309274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0.31925974907725108</v>
      </c>
      <c r="P84" s="1">
        <f>(Main_S[[#This Row],[P/B]]-VLOOKUP(Main_S[[#This Row],[Industry]], Mean_PB_S, 2, FALSE))/(VLOOKUP(Main_S[[#This Row],[Industry]], Mean_PB_S, 3, FALSE))</f>
        <v>-0.56924602183970352</v>
      </c>
      <c r="Q84" s="1">
        <f>(Main_S[[#This Row],[ROE]]-VLOOKUP(Main_S[[#This Row],[Industry]], Mean_ROE_S, 2, FALSE))/(VLOOKUP(Main_S[[#This Row],[Industry]], Mean_ROE_S, 3, FALSE))</f>
        <v>0.8086797483024496</v>
      </c>
      <c r="R84" s="1">
        <f>(Main_S[[#This Row],[ROA]]-VLOOKUP(Main_S[[#This Row],[Industry]], Mean_ROA_S, 2, FALSE))/(VLOOKUP(Main_S[[#This Row],[Industry]], Mean_ROA_S, 3, FALSE))</f>
        <v>0.69343093529210476</v>
      </c>
      <c r="S84" s="1">
        <f>(Main_S[[#This Row],[A/E]]-VLOOKUP(Main_S[[#This Row],[Industry]], Mean_AE_S, 2, FALSE))/(VLOOKUP(Main_S[[#This Row],[Industry]], Mean_AE_S, 3, FALSE))</f>
        <v>0.10042298698008632</v>
      </c>
      <c r="T84" s="1">
        <f>(Main_S[[#This Row],[P/E]]-VLOOKUP(Main_S[[#This Row],[Industry]], Mean_PE_S, 2, FALSE))/(VLOOKUP(Main_S[[#This Row],[Industry]], Mean_PE_S, 3, FALSE))</f>
        <v>-1.7945247059734528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8" t="s">
        <v>105</v>
      </c>
      <c r="B85" s="68" t="s">
        <v>510</v>
      </c>
      <c r="C85" s="2">
        <v>1177</v>
      </c>
      <c r="D85">
        <f>RTD("tos.rtd", , "LAST", Main_S[[#This Row],[Symbol]])</f>
        <v>28.99</v>
      </c>
      <c r="E85">
        <v>10.82</v>
      </c>
      <c r="F85">
        <v>22.53</v>
      </c>
      <c r="G85">
        <v>1.3</v>
      </c>
      <c r="H85" s="1">
        <f>IF(ISNUMBER(Main_S[[#This Row],[Free CF]]),IF(Main_S[[#This Row],[Free CF]]&lt;&gt;0,Main_S[[#This Row],[Current Price]]/Main_S[[#This Row],[Free CF]],""),"")</f>
        <v>2.6792975970425137</v>
      </c>
      <c r="I85" s="1">
        <f>IF(ISNUMBER(Main_S[[#This Row],[BVPS]]),IF(Main_S[[#This Row],[BVPS]]&lt;&gt;0,Main_S[[#This Row],[Current Price]]/Main_S[[#This Row],[BVPS]],""),"")</f>
        <v>1.2867288060363957</v>
      </c>
      <c r="J85">
        <v>6.07</v>
      </c>
      <c r="K85">
        <v>0.47</v>
      </c>
      <c r="L85">
        <v>13.24</v>
      </c>
      <c r="M85" s="1">
        <f>IF(ISNUMBER(Main_S[[#This Row],[EPS]]),IF(Main_S[[#This Row],[EPS]]&lt;&gt;0,Main_S[[#This Row],[Current Price]]/Main_S[[#This Row],[EPS]],""),"")</f>
        <v>22.299999999999997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-2.1488059773174095</v>
      </c>
      <c r="P85" s="1">
        <f>(Main_S[[#This Row],[P/B]]-VLOOKUP(Main_S[[#This Row],[Industry]], Mean_PB_S, 2, FALSE))/(VLOOKUP(Main_S[[#This Row],[Industry]], Mean_PB_S, 3, FALSE))</f>
        <v>0.67119799139229364</v>
      </c>
      <c r="Q85" s="1">
        <f>(Main_S[[#This Row],[ROE]]-VLOOKUP(Main_S[[#This Row],[Industry]], Mean_ROE_S, 2, FALSE))/(VLOOKUP(Main_S[[#This Row],[Industry]], Mean_ROE_S, 3, FALSE))</f>
        <v>-0.8157612695195734</v>
      </c>
      <c r="R85" s="1">
        <f>(Main_S[[#This Row],[ROA]]-VLOOKUP(Main_S[[#This Row],[Industry]], Mean_ROA_S, 2, FALSE))/(VLOOKUP(Main_S[[#This Row],[Industry]], Mean_ROA_S, 3, FALSE))</f>
        <v>-1.1663733542288877</v>
      </c>
      <c r="S85" s="1">
        <f>(Main_S[[#This Row],[A/E]]-VLOOKUP(Main_S[[#This Row],[Industry]], Mean_AE_S, 2, FALSE))/(VLOOKUP(Main_S[[#This Row],[Industry]], Mean_AE_S, 3, FALSE))</f>
        <v>2.1245802728806531</v>
      </c>
      <c r="T85" s="1">
        <f>(Main_S[[#This Row],[P/E]]-VLOOKUP(Main_S[[#This Row],[Industry]], Mean_PE_S, 2, FALSE))/(VLOOKUP(Main_S[[#This Row],[Industry]], Mean_PE_S, 3, FALSE))</f>
        <v>3.8043737455198205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6" spans="1:26" x14ac:dyDescent="0.25">
      <c r="A86" s="68" t="s">
        <v>105</v>
      </c>
      <c r="B86" s="68" t="s">
        <v>511</v>
      </c>
      <c r="C86" s="2">
        <v>703</v>
      </c>
      <c r="D86">
        <f>RTD("tos.rtd", , "LAST", Main_S[[#This Row],[Symbol]])</f>
        <v>45.94</v>
      </c>
      <c r="E86">
        <v>3.05</v>
      </c>
      <c r="F86">
        <v>37.47</v>
      </c>
      <c r="G86">
        <v>4.8</v>
      </c>
      <c r="H86" s="1">
        <f>IF(ISNUMBER(Main_S[[#This Row],[Free CF]]),IF(Main_S[[#This Row],[Free CF]]&lt;&gt;0,Main_S[[#This Row],[Current Price]]/Main_S[[#This Row],[Free CF]],""),"")</f>
        <v>15.062295081967214</v>
      </c>
      <c r="I86" s="1">
        <f>IF(ISNUMBER(Main_S[[#This Row],[BVPS]]),IF(Main_S[[#This Row],[BVPS]]&lt;&gt;0,Main_S[[#This Row],[Current Price]]/Main_S[[#This Row],[BVPS]],""),"")</f>
        <v>1.2260475046704029</v>
      </c>
      <c r="J86">
        <v>13.55</v>
      </c>
      <c r="K86">
        <v>1.34</v>
      </c>
      <c r="L86">
        <v>10.1</v>
      </c>
      <c r="M86" s="1">
        <f>IF(ISNUMBER(Main_S[[#This Row],[EPS]]),IF(Main_S[[#This Row],[EPS]]&lt;&gt;0,Main_S[[#This Row],[Current Price]]/Main_S[[#This Row],[EPS]],""),"")</f>
        <v>9.5708333333333329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1.0902584684043621</v>
      </c>
      <c r="P86" s="1">
        <f>(Main_S[[#This Row],[P/B]]-VLOOKUP(Main_S[[#This Row],[Industry]], Mean_PB_S, 2, FALSE))/(VLOOKUP(Main_S[[#This Row],[Industry]], Mean_PB_S, 3, FALSE))</f>
        <v>0.45472561087826335</v>
      </c>
      <c r="Q86" s="1">
        <f>(Main_S[[#This Row],[ROE]]-VLOOKUP(Main_S[[#This Row],[Industry]], Mean_ROE_S, 2, FALSE))/(VLOOKUP(Main_S[[#This Row],[Industry]], Mean_ROE_S, 3, FALSE))</f>
        <v>1.0059506964937299</v>
      </c>
      <c r="R86" s="1">
        <f>(Main_S[[#This Row],[ROA]]-VLOOKUP(Main_S[[#This Row],[Industry]], Mean_ROA_S, 2, FALSE))/(VLOOKUP(Main_S[[#This Row],[Industry]], Mean_ROA_S, 3, FALSE))</f>
        <v>0.85616381062519176</v>
      </c>
      <c r="S86" s="1">
        <f>(Main_S[[#This Row],[A/E]]-VLOOKUP(Main_S[[#This Row],[Industry]], Mean_AE_S, 2, FALSE))/(VLOOKUP(Main_S[[#This Row],[Industry]], Mean_AE_S, 3, FALSE))</f>
        <v>0.30862202210128714</v>
      </c>
      <c r="T86" s="1">
        <f>(Main_S[[#This Row],[P/E]]-VLOOKUP(Main_S[[#This Row],[Industry]], Mean_PE_S, 2, FALSE))/(VLOOKUP(Main_S[[#This Row],[Industry]], Mean_PE_S, 3, FALSE))</f>
        <v>-1.0500067188180628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8" t="s">
        <v>105</v>
      </c>
      <c r="B87" s="68" t="s">
        <v>512</v>
      </c>
      <c r="C87" s="2">
        <v>675</v>
      </c>
      <c r="D87">
        <f>RTD("tos.rtd", , "LAST", Main_S[[#This Row],[Symbol]])</f>
        <v>68.06</v>
      </c>
      <c r="E87">
        <v>11.3</v>
      </c>
      <c r="F87">
        <v>66.680000000000007</v>
      </c>
      <c r="G87">
        <v>5.92</v>
      </c>
      <c r="H87" s="1">
        <f>IF(ISNUMBER(Main_S[[#This Row],[Free CF]]),IF(Main_S[[#This Row],[Free CF]]&lt;&gt;0,Main_S[[#This Row],[Current Price]]/Main_S[[#This Row],[Free CF]],""),"")</f>
        <v>6.023008849557522</v>
      </c>
      <c r="I87" s="1">
        <f>IF(ISNUMBER(Main_S[[#This Row],[BVPS]]),IF(Main_S[[#This Row],[BVPS]]&lt;&gt;0,Main_S[[#This Row],[Current Price]]/Main_S[[#This Row],[BVPS]],""),"")</f>
        <v>1.0206958608278343</v>
      </c>
      <c r="J87">
        <v>9.4700000000000006</v>
      </c>
      <c r="K87">
        <v>0.89</v>
      </c>
      <c r="L87">
        <v>10.32</v>
      </c>
      <c r="M87" s="1">
        <f>IF(ISNUMBER(Main_S[[#This Row],[EPS]]),IF(Main_S[[#This Row],[EPS]]&lt;&gt;0,Main_S[[#This Row],[Current Price]]/Main_S[[#This Row],[EPS]],""),"")</f>
        <v>11.496621621621623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-1.2741795996599456</v>
      </c>
      <c r="P87" s="1">
        <f>(Main_S[[#This Row],[P/B]]-VLOOKUP(Main_S[[#This Row],[Industry]], Mean_PB_S, 2, FALSE))/(VLOOKUP(Main_S[[#This Row],[Industry]], Mean_PB_S, 3, FALSE))</f>
        <v>-0.2778387571295492</v>
      </c>
      <c r="Q87" s="1">
        <f>(Main_S[[#This Row],[ROE]]-VLOOKUP(Main_S[[#This Row],[Industry]], Mean_ROE_S, 2, FALSE))/(VLOOKUP(Main_S[[#This Row],[Industry]], Mean_ROE_S, 3, FALSE))</f>
        <v>1.2289624122837231E-2</v>
      </c>
      <c r="R87" s="1">
        <f>(Main_S[[#This Row],[ROA]]-VLOOKUP(Main_S[[#This Row],[Industry]], Mean_ROA_S, 2, FALSE))/(VLOOKUP(Main_S[[#This Row],[Industry]], Mean_ROA_S, 3, FALSE))</f>
        <v>-0.18997610223036662</v>
      </c>
      <c r="S87" s="1">
        <f>(Main_S[[#This Row],[A/E]]-VLOOKUP(Main_S[[#This Row],[Industry]], Mean_AE_S, 2, FALSE))/(VLOOKUP(Main_S[[#This Row],[Industry]], Mean_AE_S, 3, FALSE))</f>
        <v>0.43585476578646604</v>
      </c>
      <c r="T87" s="1">
        <f>(Main_S[[#This Row],[P/E]]-VLOOKUP(Main_S[[#This Row],[Industry]], Mean_PE_S, 2, FALSE))/(VLOOKUP(Main_S[[#This Row],[Industry]], Mean_PE_S, 3, FALSE))</f>
        <v>-0.31559029628838409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8" t="s">
        <v>105</v>
      </c>
      <c r="B88" s="68" t="s">
        <v>513</v>
      </c>
      <c r="C88" s="2">
        <v>716</v>
      </c>
      <c r="D88">
        <f>RTD("tos.rtd", , "LAST", Main_S[[#This Row],[Symbol]])</f>
        <v>29.47</v>
      </c>
      <c r="E88">
        <v>2.46</v>
      </c>
      <c r="F88">
        <v>16.850000000000001</v>
      </c>
      <c r="G88">
        <v>2.58</v>
      </c>
      <c r="H88" s="1">
        <f>IF(ISNUMBER(Main_S[[#This Row],[Free CF]]),IF(Main_S[[#This Row],[Free CF]]&lt;&gt;0,Main_S[[#This Row],[Current Price]]/Main_S[[#This Row],[Free CF]],""),"")</f>
        <v>11.979674796747966</v>
      </c>
      <c r="I88" s="1">
        <f>IF(ISNUMBER(Main_S[[#This Row],[BVPS]]),IF(Main_S[[#This Row],[BVPS]]&lt;&gt;0,Main_S[[#This Row],[Current Price]]/Main_S[[#This Row],[BVPS]],""),"")</f>
        <v>1.7489614243323439</v>
      </c>
      <c r="J88">
        <v>16.05</v>
      </c>
      <c r="K88">
        <v>1.81</v>
      </c>
      <c r="L88">
        <v>8.5500000000000007</v>
      </c>
      <c r="M88" s="1">
        <f>IF(ISNUMBER(Main_S[[#This Row],[EPS]]),IF(Main_S[[#This Row],[EPS]]&lt;&gt;0,Main_S[[#This Row],[Current Price]]/Main_S[[#This Row],[EPS]],""),"")</f>
        <v>11.422480620155039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0.28392657843425867</v>
      </c>
      <c r="P88" s="1">
        <f>(Main_S[[#This Row],[P/B]]-VLOOKUP(Main_S[[#This Row],[Industry]], Mean_PB_S, 2, FALSE))/(VLOOKUP(Main_S[[#This Row],[Industry]], Mean_PB_S, 3, FALSE))</f>
        <v>2.3201506832644103</v>
      </c>
      <c r="Q88" s="1">
        <f>(Main_S[[#This Row],[ROE]]-VLOOKUP(Main_S[[#This Row],[Industry]], Mean_ROE_S, 2, FALSE))/(VLOOKUP(Main_S[[#This Row],[Industry]], Mean_ROE_S, 3, FALSE))</f>
        <v>1.6148116477013845</v>
      </c>
      <c r="R88" s="1">
        <f>(Main_S[[#This Row],[ROA]]-VLOOKUP(Main_S[[#This Row],[Industry]], Mean_ROA_S, 2, FALSE))/(VLOOKUP(Main_S[[#This Row],[Industry]], Mean_ROA_S, 3, FALSE))</f>
        <v>1.9487988307187747</v>
      </c>
      <c r="S88" s="1">
        <f>(Main_S[[#This Row],[A/E]]-VLOOKUP(Main_S[[#This Row],[Industry]], Mean_AE_S, 2, FALSE))/(VLOOKUP(Main_S[[#This Row],[Industry]], Mean_AE_S, 3, FALSE))</f>
        <v>-0.58779049022610619</v>
      </c>
      <c r="T88" s="1">
        <f>(Main_S[[#This Row],[P/E]]-VLOOKUP(Main_S[[#This Row],[Industry]], Mean_PE_S, 2, FALSE))/(VLOOKUP(Main_S[[#This Row],[Industry]], Mean_PE_S, 3, FALSE))</f>
        <v>-0.34386462394475065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8" t="s">
        <v>105</v>
      </c>
      <c r="B89" s="68" t="s">
        <v>514</v>
      </c>
      <c r="C89" s="2">
        <v>589</v>
      </c>
      <c r="D89">
        <f>RTD("tos.rtd", , "LAST", Main_S[[#This Row],[Symbol]])</f>
        <v>29.59</v>
      </c>
      <c r="E89">
        <v>3.57</v>
      </c>
      <c r="F89">
        <v>27.85</v>
      </c>
      <c r="G89">
        <v>-2.65</v>
      </c>
      <c r="H89" s="1">
        <f>IF(ISNUMBER(Main_S[[#This Row],[Free CF]]),IF(Main_S[[#This Row],[Free CF]]&lt;&gt;0,Main_S[[#This Row],[Current Price]]/Main_S[[#This Row],[Free CF]],""),"")</f>
        <v>8.2885154061624657</v>
      </c>
      <c r="I89" s="1">
        <f>IF(ISNUMBER(Main_S[[#This Row],[BVPS]]),IF(Main_S[[#This Row],[BVPS]]&lt;&gt;0,Main_S[[#This Row],[Current Price]]/Main_S[[#This Row],[BVPS]],""),"")</f>
        <v>1.0624775583482944</v>
      </c>
      <c r="J89">
        <v>-8.74</v>
      </c>
      <c r="K89">
        <v>-0.74</v>
      </c>
      <c r="L89">
        <v>10.79</v>
      </c>
      <c r="M89" s="1">
        <f>IF(ISNUMBER(Main_S[[#This Row],[EPS]]),IF(Main_S[[#This Row],[EPS]]&lt;&gt;0,Main_S[[#This Row],[Current Price]]/Main_S[[#This Row],[EPS]],""),"")</f>
        <v>-11.166037735849057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-0.68158303748005322</v>
      </c>
      <c r="P89" s="1">
        <f>(Main_S[[#This Row],[P/B]]-VLOOKUP(Main_S[[#This Row],[Industry]], Mean_PB_S, 2, FALSE))/(VLOOKUP(Main_S[[#This Row],[Industry]], Mean_PB_S, 3, FALSE))</f>
        <v>-0.12878817119007313</v>
      </c>
      <c r="Q89" s="1">
        <f>(Main_S[[#This Row],[ROE]]-VLOOKUP(Main_S[[#This Row],[Industry]], Mean_ROE_S, 2, FALSE))/(VLOOKUP(Main_S[[#This Row],[Industry]], Mean_ROE_S, 3, FALSE))</f>
        <v>-4.4226535444737207</v>
      </c>
      <c r="R89" s="1">
        <f>(Main_S[[#This Row],[ROA]]-VLOOKUP(Main_S[[#This Row],[Industry]], Mean_ROA_S, 2, FALSE))/(VLOOKUP(Main_S[[#This Row],[Industry]], Mean_ROA_S, 3, FALSE))</f>
        <v>-3.9793273421293884</v>
      </c>
      <c r="S89" s="1">
        <f>(Main_S[[#This Row],[A/E]]-VLOOKUP(Main_S[[#This Row],[Industry]], Mean_AE_S, 2, FALSE))/(VLOOKUP(Main_S[[#This Row],[Industry]], Mean_AE_S, 3, FALSE))</f>
        <v>0.70767017275025579</v>
      </c>
      <c r="T89" s="1">
        <f>(Main_S[[#This Row],[P/E]]-VLOOKUP(Main_S[[#This Row],[Industry]], Mean_PE_S, 2, FALSE))/(VLOOKUP(Main_S[[#This Row],[Industry]], Mean_PE_S, 3, FALSE))</f>
        <v>-8.9581961899590734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0" spans="1:26" x14ac:dyDescent="0.25">
      <c r="A90" s="68" t="s">
        <v>105</v>
      </c>
      <c r="B90" s="68" t="s">
        <v>515</v>
      </c>
      <c r="C90" s="2">
        <v>663</v>
      </c>
      <c r="D90">
        <f>RTD("tos.rtd", , "LAST", Main_S[[#This Row],[Symbol]])</f>
        <v>28.71</v>
      </c>
      <c r="E90">
        <v>2.61</v>
      </c>
      <c r="F90">
        <v>34.5</v>
      </c>
      <c r="G90">
        <v>2.88</v>
      </c>
      <c r="H90" s="1">
        <f>IF(ISNUMBER(Main_S[[#This Row],[Free CF]]),IF(Main_S[[#This Row],[Free CF]]&lt;&gt;0,Main_S[[#This Row],[Current Price]]/Main_S[[#This Row],[Free CF]],""),"")</f>
        <v>11</v>
      </c>
      <c r="I90" s="1">
        <f>IF(ISNUMBER(Main_S[[#This Row],[BVPS]]),IF(Main_S[[#This Row],[BVPS]]&lt;&gt;0,Main_S[[#This Row],[Current Price]]/Main_S[[#This Row],[BVPS]],""),"")</f>
        <v>0.83217391304347832</v>
      </c>
      <c r="J90">
        <v>8.3800000000000008</v>
      </c>
      <c r="K90">
        <v>0.94</v>
      </c>
      <c r="L90">
        <v>8.3000000000000007</v>
      </c>
      <c r="M90" s="1">
        <f>IF(ISNUMBER(Main_S[[#This Row],[EPS]]),IF(Main_S[[#This Row],[EPS]]&lt;&gt;0,Main_S[[#This Row],[Current Price]]/Main_S[[#This Row],[EPS]],""),"")</f>
        <v>9.96875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2.7669577140412613E-2</v>
      </c>
      <c r="P90" s="1">
        <f>(Main_S[[#This Row],[P/B]]-VLOOKUP(Main_S[[#This Row],[Industry]], Mean_PB_S, 2, FALSE))/(VLOOKUP(Main_S[[#This Row],[Industry]], Mean_PB_S, 3, FALSE))</f>
        <v>-0.95036544817530155</v>
      </c>
      <c r="Q90" s="1">
        <f>(Main_S[[#This Row],[ROE]]-VLOOKUP(Main_S[[#This Row],[Industry]], Mean_ROE_S, 2, FALSE))/(VLOOKUP(Main_S[[#This Row],[Industry]], Mean_ROE_S, 3, FALSE))</f>
        <v>-0.25317375060370023</v>
      </c>
      <c r="R90" s="1">
        <f>(Main_S[[#This Row],[ROA]]-VLOOKUP(Main_S[[#This Row],[Industry]], Mean_ROA_S, 2, FALSE))/(VLOOKUP(Main_S[[#This Row],[Industry]], Mean_ROA_S, 3, FALSE))</f>
        <v>-7.3738334135304756E-2</v>
      </c>
      <c r="S90" s="1">
        <f>(Main_S[[#This Row],[A/E]]-VLOOKUP(Main_S[[#This Row],[Industry]], Mean_AE_S, 2, FALSE))/(VLOOKUP(Main_S[[#This Row],[Industry]], Mean_AE_S, 3, FALSE))</f>
        <v>-0.7323731535047181</v>
      </c>
      <c r="T90" s="1">
        <f>(Main_S[[#This Row],[P/E]]-VLOOKUP(Main_S[[#This Row],[Industry]], Mean_PE_S, 2, FALSE))/(VLOOKUP(Main_S[[#This Row],[Industry]], Mean_PE_S, 3, FALSE))</f>
        <v>-0.89825767320619088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8" t="s">
        <v>105</v>
      </c>
      <c r="B91" s="68" t="s">
        <v>516</v>
      </c>
      <c r="C91" s="2">
        <v>383</v>
      </c>
      <c r="D91">
        <f>RTD("tos.rtd", , "LAST", Main_S[[#This Row],[Symbol]])</f>
        <v>18.77</v>
      </c>
      <c r="E91">
        <v>6.93</v>
      </c>
      <c r="F91">
        <v>29.48</v>
      </c>
      <c r="G91">
        <v>-1.02</v>
      </c>
      <c r="H91" s="1">
        <f>IF(ISNUMBER(Main_S[[#This Row],[Free CF]]),IF(Main_S[[#This Row],[Free CF]]&lt;&gt;0,Main_S[[#This Row],[Current Price]]/Main_S[[#This Row],[Free CF]],""),"")</f>
        <v>2.7085137085137085</v>
      </c>
      <c r="I91" s="1">
        <f>IF(ISNUMBER(Main_S[[#This Row],[BVPS]]),IF(Main_S[[#This Row],[BVPS]]&lt;&gt;0,Main_S[[#This Row],[Current Price]]/Main_S[[#This Row],[BVPS]],""),"")</f>
        <v>0.63670284938941657</v>
      </c>
      <c r="J91">
        <v>-1.63</v>
      </c>
      <c r="K91">
        <v>-0.16</v>
      </c>
      <c r="L91">
        <v>11.77</v>
      </c>
      <c r="M91" s="1">
        <f>IF(ISNUMBER(Main_S[[#This Row],[EPS]]),IF(Main_S[[#This Row],[EPS]]&lt;&gt;0,Main_S[[#This Row],[Current Price]]/Main_S[[#This Row],[EPS]],""),"")</f>
        <v>-18.401960784313726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-2.1411638157144699</v>
      </c>
      <c r="P91" s="1">
        <f>(Main_S[[#This Row],[P/B]]-VLOOKUP(Main_S[[#This Row],[Industry]], Mean_PB_S, 2, FALSE))/(VLOOKUP(Main_S[[#This Row],[Industry]], Mean_PB_S, 3, FALSE))</f>
        <v>-1.6476821753758502</v>
      </c>
      <c r="Q91" s="1">
        <f>(Main_S[[#This Row],[ROE]]-VLOOKUP(Main_S[[#This Row],[Industry]], Mean_ROE_S, 2, FALSE))/(VLOOKUP(Main_S[[#This Row],[Industry]], Mean_ROE_S, 3, FALSE))</f>
        <v>-2.6910529992391501</v>
      </c>
      <c r="R91" s="1">
        <f>(Main_S[[#This Row],[ROA]]-VLOOKUP(Main_S[[#This Row],[Industry]], Mean_ROA_S, 2, FALSE))/(VLOOKUP(Main_S[[#This Row],[Industry]], Mean_ROA_S, 3, FALSE))</f>
        <v>-2.6309692322266693</v>
      </c>
      <c r="S91" s="1">
        <f>(Main_S[[#This Row],[A/E]]-VLOOKUP(Main_S[[#This Row],[Industry]], Mean_AE_S, 2, FALSE))/(VLOOKUP(Main_S[[#This Row],[Industry]], Mean_AE_S, 3, FALSE))</f>
        <v>1.2744342128024149</v>
      </c>
      <c r="T91" s="1">
        <f>(Main_S[[#This Row],[P/E]]-VLOOKUP(Main_S[[#This Row],[Industry]], Mean_PE_S, 2, FALSE))/(VLOOKUP(Main_S[[#This Row],[Industry]], Mean_PE_S, 3, FALSE))</f>
        <v>-11.717679540892162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2" spans="1:26" x14ac:dyDescent="0.25">
      <c r="A92" s="68" t="s">
        <v>105</v>
      </c>
      <c r="B92" s="68" t="s">
        <v>517</v>
      </c>
      <c r="C92" s="2">
        <v>706</v>
      </c>
      <c r="D92">
        <f>RTD("tos.rtd", , "LAST", Main_S[[#This Row],[Symbol]])</f>
        <v>17.79</v>
      </c>
      <c r="E92">
        <v>1.05</v>
      </c>
      <c r="F92">
        <v>19.079999999999998</v>
      </c>
      <c r="G92">
        <v>1.18</v>
      </c>
      <c r="H92" s="1">
        <f>IF(ISNUMBER(Main_S[[#This Row],[Free CF]]),IF(Main_S[[#This Row],[Free CF]]&lt;&gt;0,Main_S[[#This Row],[Current Price]]/Main_S[[#This Row],[Free CF]],""),"")</f>
        <v>16.942857142857143</v>
      </c>
      <c r="I92" s="1">
        <f>IF(ISNUMBER(Main_S[[#This Row],[BVPS]]),IF(Main_S[[#This Row],[BVPS]]&lt;&gt;0,Main_S[[#This Row],[Current Price]]/Main_S[[#This Row],[BVPS]],""),"")</f>
        <v>0.93238993710691831</v>
      </c>
      <c r="J92">
        <v>6.26</v>
      </c>
      <c r="K92">
        <v>0.93</v>
      </c>
      <c r="L92">
        <v>7.09</v>
      </c>
      <c r="M92" s="1">
        <f>IF(ISNUMBER(Main_S[[#This Row],[EPS]]),IF(Main_S[[#This Row],[EPS]]&lt;&gt;0,Main_S[[#This Row],[Current Price]]/Main_S[[#This Row],[EPS]],""),"")</f>
        <v>15.076271186440678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1.5821637374490705</v>
      </c>
      <c r="P92" s="1">
        <f>(Main_S[[#This Row],[P/B]]-VLOOKUP(Main_S[[#This Row],[Industry]], Mean_PB_S, 2, FALSE))/(VLOOKUP(Main_S[[#This Row],[Industry]], Mean_PB_S, 3, FALSE))</f>
        <v>-0.59285826216722415</v>
      </c>
      <c r="Q92" s="1">
        <f>(Main_S[[#This Row],[ROE]]-VLOOKUP(Main_S[[#This Row],[Industry]], Mean_ROE_S, 2, FALSE))/(VLOOKUP(Main_S[[#This Row],[Industry]], Mean_ROE_S, 3, FALSE))</f>
        <v>-0.76948783722779168</v>
      </c>
      <c r="R92" s="1">
        <f>(Main_S[[#This Row],[ROA]]-VLOOKUP(Main_S[[#This Row],[Industry]], Mean_ROA_S, 2, FALSE))/(VLOOKUP(Main_S[[#This Row],[Industry]], Mean_ROA_S, 3, FALSE))</f>
        <v>-9.6985887754316921E-2</v>
      </c>
      <c r="S92" s="1">
        <f>(Main_S[[#This Row],[A/E]]-VLOOKUP(Main_S[[#This Row],[Industry]], Mean_AE_S, 2, FALSE))/(VLOOKUP(Main_S[[#This Row],[Industry]], Mean_AE_S, 3, FALSE))</f>
        <v>-1.4321532437732003</v>
      </c>
      <c r="T92" s="1">
        <f>(Main_S[[#This Row],[P/E]]-VLOOKUP(Main_S[[#This Row],[Industry]], Mean_PE_S, 2, FALSE))/(VLOOKUP(Main_S[[#This Row],[Industry]], Mean_PE_S, 3, FALSE))</f>
        <v>1.0495407740854212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s="68" t="s">
        <v>105</v>
      </c>
      <c r="B93" s="68" t="s">
        <v>518</v>
      </c>
      <c r="C93" s="2">
        <v>1378</v>
      </c>
      <c r="D93">
        <f>RTD("tos.rtd", , "LAST", Main_S[[#This Row],[Symbol]])</f>
        <v>38.19</v>
      </c>
      <c r="E93">
        <v>3.29</v>
      </c>
      <c r="F93">
        <v>34.9</v>
      </c>
      <c r="G93">
        <v>2.89</v>
      </c>
      <c r="H93" s="1">
        <f>IF(ISNUMBER(Main_S[[#This Row],[Free CF]]),IF(Main_S[[#This Row],[Free CF]]&lt;&gt;0,Main_S[[#This Row],[Current Price]]/Main_S[[#This Row],[Free CF]],""),"")</f>
        <v>11.607902735562309</v>
      </c>
      <c r="I93" s="1">
        <f>IF(ISNUMBER(Main_S[[#This Row],[BVPS]]),IF(Main_S[[#This Row],[BVPS]]&lt;&gt;0,Main_S[[#This Row],[Current Price]]/Main_S[[#This Row],[BVPS]],""),"")</f>
        <v>1.0942693409742119</v>
      </c>
      <c r="J93">
        <v>8.7200000000000006</v>
      </c>
      <c r="K93">
        <v>1.1100000000000001</v>
      </c>
      <c r="L93">
        <v>7.6</v>
      </c>
      <c r="M93" s="1">
        <f>IF(ISNUMBER(Main_S[[#This Row],[EPS]]),IF(Main_S[[#This Row],[EPS]]&lt;&gt;0,Main_S[[#This Row],[Current Price]]/Main_S[[#This Row],[EPS]],""),"")</f>
        <v>13.214532871972317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0.18668084558442397</v>
      </c>
      <c r="P93" s="1">
        <f>(Main_S[[#This Row],[P/B]]-VLOOKUP(Main_S[[#This Row],[Industry]], Mean_PB_S, 2, FALSE))/(VLOOKUP(Main_S[[#This Row],[Industry]], Mean_PB_S, 3, FALSE))</f>
        <v>-1.5375262915271214E-2</v>
      </c>
      <c r="Q93" s="1">
        <f>(Main_S[[#This Row],[ROE]]-VLOOKUP(Main_S[[#This Row],[Industry]], Mean_ROE_S, 2, FALSE))/(VLOOKUP(Main_S[[#This Row],[Industry]], Mean_ROE_S, 3, FALSE))</f>
        <v>-0.17036866123945921</v>
      </c>
      <c r="R93" s="1">
        <f>(Main_S[[#This Row],[ROA]]-VLOOKUP(Main_S[[#This Row],[Industry]], Mean_ROA_S, 2, FALSE))/(VLOOKUP(Main_S[[#This Row],[Industry]], Mean_ROA_S, 3, FALSE))</f>
        <v>0.32147007738790651</v>
      </c>
      <c r="S93" s="1">
        <f>(Main_S[[#This Row],[A/E]]-VLOOKUP(Main_S[[#This Row],[Industry]], Mean_AE_S, 2, FALSE))/(VLOOKUP(Main_S[[#This Row],[Industry]], Mean_AE_S, 3, FALSE))</f>
        <v>-1.1372046106848321</v>
      </c>
      <c r="T93" s="1">
        <f>(Main_S[[#This Row],[P/E]]-VLOOKUP(Main_S[[#This Row],[Industry]], Mean_PE_S, 2, FALSE))/(VLOOKUP(Main_S[[#This Row],[Industry]], Mean_PE_S, 3, FALSE))</f>
        <v>0.33955037643190472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s="68" t="s">
        <v>105</v>
      </c>
      <c r="B94" s="68" t="s">
        <v>519</v>
      </c>
      <c r="C94" s="2">
        <v>707</v>
      </c>
      <c r="D94">
        <f>RTD("tos.rtd", , "LAST", Main_S[[#This Row],[Symbol]])</f>
        <v>87.08</v>
      </c>
      <c r="E94">
        <v>1.0900000000000001</v>
      </c>
      <c r="F94">
        <v>54.84</v>
      </c>
      <c r="G94">
        <v>8.99</v>
      </c>
      <c r="H94" s="1">
        <f>IF(ISNUMBER(Main_S[[#This Row],[Free CF]]),IF(Main_S[[#This Row],[Free CF]]&lt;&gt;0,Main_S[[#This Row],[Current Price]]/Main_S[[#This Row],[Free CF]],""),"")</f>
        <v>79.88990825688073</v>
      </c>
      <c r="I94" s="1">
        <f>IF(ISNUMBER(Main_S[[#This Row],[BVPS]]),IF(Main_S[[#This Row],[BVPS]]&lt;&gt;0,Main_S[[#This Row],[Current Price]]/Main_S[[#This Row],[BVPS]],""),"")</f>
        <v>1.5878920495988329</v>
      </c>
      <c r="J94">
        <v>17.91</v>
      </c>
      <c r="K94">
        <v>2.0299999999999998</v>
      </c>
      <c r="L94">
        <v>9.0399999999999991</v>
      </c>
      <c r="M94" s="1">
        <f>IF(ISNUMBER(Main_S[[#This Row],[EPS]]),IF(Main_S[[#This Row],[EPS]]&lt;&gt;0,Main_S[[#This Row],[Current Price]]/Main_S[[#This Row],[EPS]],""),"")</f>
        <v>9.686318131256952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18.047446515280843</v>
      </c>
      <c r="P94" s="1">
        <f>(Main_S[[#This Row],[P/B]]-VLOOKUP(Main_S[[#This Row],[Industry]], Mean_PB_S, 2, FALSE))/(VLOOKUP(Main_S[[#This Row],[Industry]], Mean_PB_S, 3, FALSE))</f>
        <v>1.7455573539919791</v>
      </c>
      <c r="Q94" s="1">
        <f>(Main_S[[#This Row],[ROE]]-VLOOKUP(Main_S[[#This Row],[Industry]], Mean_ROE_S, 2, FALSE))/(VLOOKUP(Main_S[[#This Row],[Industry]], Mean_ROE_S, 3, FALSE))</f>
        <v>2.0678041953998796</v>
      </c>
      <c r="R94" s="1">
        <f>(Main_S[[#This Row],[ROA]]-VLOOKUP(Main_S[[#This Row],[Industry]], Mean_ROA_S, 2, FALSE))/(VLOOKUP(Main_S[[#This Row],[Industry]], Mean_ROA_S, 3, FALSE))</f>
        <v>2.4602450103370468</v>
      </c>
      <c r="S94" s="1">
        <f>(Main_S[[#This Row],[A/E]]-VLOOKUP(Main_S[[#This Row],[Industry]], Mean_AE_S, 2, FALSE))/(VLOOKUP(Main_S[[#This Row],[Industry]], Mean_AE_S, 3, FALSE))</f>
        <v>-0.3044084702000277</v>
      </c>
      <c r="T94" s="1">
        <f>(Main_S[[#This Row],[P/E]]-VLOOKUP(Main_S[[#This Row],[Industry]], Mean_PE_S, 2, FALSE))/(VLOOKUP(Main_S[[#This Row],[Industry]], Mean_PE_S, 3, FALSE))</f>
        <v>-1.0059655681560589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8" t="s">
        <v>105</v>
      </c>
      <c r="B95" s="68" t="s">
        <v>520</v>
      </c>
      <c r="C95" s="2">
        <v>293</v>
      </c>
      <c r="D95">
        <f>RTD("tos.rtd", , "LAST", Main_S[[#This Row],[Symbol]])</f>
        <v>24.08</v>
      </c>
      <c r="E95">
        <v>3.67</v>
      </c>
      <c r="F95">
        <v>24.8</v>
      </c>
      <c r="G95">
        <v>3.44</v>
      </c>
      <c r="H95" s="1">
        <f>IF(ISNUMBER(Main_S[[#This Row],[Free CF]]),IF(Main_S[[#This Row],[Free CF]]&lt;&gt;0,Main_S[[#This Row],[Current Price]]/Main_S[[#This Row],[Free CF]],""),"")</f>
        <v>6.561307901907357</v>
      </c>
      <c r="I95" s="1">
        <f>IF(ISNUMBER(Main_S[[#This Row],[BVPS]]),IF(Main_S[[#This Row],[BVPS]]&lt;&gt;0,Main_S[[#This Row],[Current Price]]/Main_S[[#This Row],[BVPS]],""),"")</f>
        <v>0.97096774193548374</v>
      </c>
      <c r="J95">
        <v>15.02</v>
      </c>
      <c r="K95">
        <v>2.4300000000000002</v>
      </c>
      <c r="L95">
        <v>5.91</v>
      </c>
      <c r="M95" s="1">
        <f>IF(ISNUMBER(Main_S[[#This Row],[EPS]]),IF(Main_S[[#This Row],[EPS]]&lt;&gt;0,Main_S[[#This Row],[Current Price]]/Main_S[[#This Row],[EPS]],""),"")</f>
        <v>7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-1.1333748127935388</v>
      </c>
      <c r="P95" s="1">
        <f>(Main_S[[#This Row],[P/B]]-VLOOKUP(Main_S[[#This Row],[Industry]], Mean_PB_S, 2, FALSE))/(VLOOKUP(Main_S[[#This Row],[Industry]], Mean_PB_S, 3, FALSE))</f>
        <v>-0.45523713245748271</v>
      </c>
      <c r="Q95" s="1">
        <f>(Main_S[[#This Row],[ROE]]-VLOOKUP(Main_S[[#This Row],[Industry]], Mean_ROE_S, 2, FALSE))/(VLOOKUP(Main_S[[#This Row],[Industry]], Mean_ROE_S, 3, FALSE))</f>
        <v>1.3639609358038305</v>
      </c>
      <c r="R95" s="1">
        <f>(Main_S[[#This Row],[ROA]]-VLOOKUP(Main_S[[#This Row],[Industry]], Mean_ROA_S, 2, FALSE))/(VLOOKUP(Main_S[[#This Row],[Industry]], Mean_ROA_S, 3, FALSE))</f>
        <v>3.3901471550975439</v>
      </c>
      <c r="S95" s="1">
        <f>(Main_S[[#This Row],[A/E]]-VLOOKUP(Main_S[[#This Row],[Industry]], Mean_AE_S, 2, FALSE))/(VLOOKUP(Main_S[[#This Row],[Industry]], Mean_AE_S, 3, FALSE))</f>
        <v>-2.1145834144482483</v>
      </c>
      <c r="T95" s="1">
        <f>(Main_S[[#This Row],[P/E]]-VLOOKUP(Main_S[[#This Row],[Industry]], Mean_PE_S, 2, FALSE))/(VLOOKUP(Main_S[[#This Row],[Industry]], Mean_PE_S, 3, FALSE))</f>
        <v>-2.030416783137694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8" t="s">
        <v>105</v>
      </c>
      <c r="B96" s="68" t="s">
        <v>521</v>
      </c>
      <c r="C96" s="2">
        <v>478</v>
      </c>
      <c r="D96">
        <f>RTD("tos.rtd", , "LAST", Main_S[[#This Row],[Symbol]])</f>
        <v>11.72</v>
      </c>
      <c r="E96">
        <v>0.72</v>
      </c>
      <c r="F96">
        <v>16.66</v>
      </c>
      <c r="G96">
        <v>0.76</v>
      </c>
      <c r="H96" s="1">
        <f>IF(ISNUMBER(Main_S[[#This Row],[Free CF]]),IF(Main_S[[#This Row],[Free CF]]&lt;&gt;0,Main_S[[#This Row],[Current Price]]/Main_S[[#This Row],[Free CF]],""),"")</f>
        <v>16.277777777777779</v>
      </c>
      <c r="I96" s="1">
        <f>IF(ISNUMBER(Main_S[[#This Row],[BVPS]]),IF(Main_S[[#This Row],[BVPS]]&lt;&gt;0,Main_S[[#This Row],[Current Price]]/Main_S[[#This Row],[BVPS]],""),"")</f>
        <v>0.7034813925570228</v>
      </c>
      <c r="J96">
        <v>4.4800000000000004</v>
      </c>
      <c r="K96">
        <v>0.55000000000000004</v>
      </c>
      <c r="L96">
        <v>8.0299999999999994</v>
      </c>
      <c r="M96" s="1">
        <f>IF(ISNUMBER(Main_S[[#This Row],[EPS]]),IF(Main_S[[#This Row],[EPS]]&lt;&gt;0,Main_S[[#This Row],[Current Price]]/Main_S[[#This Row],[EPS]],""),"")</f>
        <v>15.421052631578949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1.4081965758119639</v>
      </c>
      <c r="P96" s="1">
        <f>(Main_S[[#This Row],[P/B]]-VLOOKUP(Main_S[[#This Row],[Industry]], Mean_PB_S, 2, FALSE))/(VLOOKUP(Main_S[[#This Row],[Industry]], Mean_PB_S, 3, FALSE))</f>
        <v>-1.4094587048612253</v>
      </c>
      <c r="Q96" s="1">
        <f>(Main_S[[#This Row],[ROE]]-VLOOKUP(Main_S[[#This Row],[Industry]], Mean_ROE_S, 2, FALSE))/(VLOOKUP(Main_S[[#This Row],[Industry]], Mean_ROE_S, 3, FALSE))</f>
        <v>-1.2029968344876418</v>
      </c>
      <c r="R96" s="1">
        <f>(Main_S[[#This Row],[ROA]]-VLOOKUP(Main_S[[#This Row],[Industry]], Mean_ROA_S, 2, FALSE))/(VLOOKUP(Main_S[[#This Row],[Industry]], Mean_ROA_S, 3, FALSE))</f>
        <v>-0.98039292527678834</v>
      </c>
      <c r="S96" s="1">
        <f>(Main_S[[#This Row],[A/E]]-VLOOKUP(Main_S[[#This Row],[Industry]], Mean_AE_S, 2, FALSE))/(VLOOKUP(Main_S[[#This Row],[Industry]], Mean_AE_S, 3, FALSE))</f>
        <v>-0.88852242984561969</v>
      </c>
      <c r="T96" s="1">
        <f>(Main_S[[#This Row],[P/E]]-VLOOKUP(Main_S[[#This Row],[Industry]], Mean_PE_S, 2, FALSE))/(VLOOKUP(Main_S[[#This Row],[Industry]], Mean_PE_S, 3, FALSE))</f>
        <v>1.1810262322912795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8" t="s">
        <v>105</v>
      </c>
      <c r="B97" s="68" t="s">
        <v>522</v>
      </c>
      <c r="C97" s="2">
        <v>1808</v>
      </c>
      <c r="D97">
        <f>RTD("tos.rtd", , "LAST", Main_S[[#This Row],[Symbol]])</f>
        <v>122.84</v>
      </c>
      <c r="E97">
        <v>9.15</v>
      </c>
      <c r="F97">
        <v>78.11</v>
      </c>
      <c r="G97">
        <v>8.31</v>
      </c>
      <c r="H97" s="1">
        <f>IF(ISNUMBER(Main_S[[#This Row],[Free CF]]),IF(Main_S[[#This Row],[Free CF]]&lt;&gt;0,Main_S[[#This Row],[Current Price]]/Main_S[[#This Row],[Free CF]],""),"")</f>
        <v>13.425136612021857</v>
      </c>
      <c r="I97" s="1">
        <f>IF(ISNUMBER(Main_S[[#This Row],[BVPS]]),IF(Main_S[[#This Row],[BVPS]]&lt;&gt;0,Main_S[[#This Row],[Current Price]]/Main_S[[#This Row],[BVPS]],""),"")</f>
        <v>1.5726539495583152</v>
      </c>
      <c r="J97">
        <v>11.47</v>
      </c>
      <c r="K97">
        <v>1.48</v>
      </c>
      <c r="L97">
        <v>7.59</v>
      </c>
      <c r="M97" s="1">
        <f>IF(ISNUMBER(Main_S[[#This Row],[EPS]]),IF(Main_S[[#This Row],[EPS]]&lt;&gt;0,Main_S[[#This Row],[Current Price]]/Main_S[[#This Row],[EPS]],""),"")</f>
        <v>14.782190132370637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0.66202113746182856</v>
      </c>
      <c r="P97" s="1">
        <f>(Main_S[[#This Row],[P/B]]-VLOOKUP(Main_S[[#This Row],[Industry]], Mean_PB_S, 2, FALSE))/(VLOOKUP(Main_S[[#This Row],[Industry]], Mean_PB_S, 3, FALSE))</f>
        <v>1.6911974817409461</v>
      </c>
      <c r="Q97" s="1">
        <f>(Main_S[[#This Row],[ROE]]-VLOOKUP(Main_S[[#This Row],[Industry]], Mean_ROE_S, 2, FALSE))/(VLOOKUP(Main_S[[#This Row],[Industry]], Mean_ROE_S, 3, FALSE))</f>
        <v>0.49937838508896104</v>
      </c>
      <c r="R97" s="1">
        <f>(Main_S[[#This Row],[ROA]]-VLOOKUP(Main_S[[#This Row],[Industry]], Mean_ROA_S, 2, FALSE))/(VLOOKUP(Main_S[[#This Row],[Industry]], Mean_ROA_S, 3, FALSE))</f>
        <v>1.1816295612913652</v>
      </c>
      <c r="S97" s="1">
        <f>(Main_S[[#This Row],[A/E]]-VLOOKUP(Main_S[[#This Row],[Industry]], Mean_AE_S, 2, FALSE))/(VLOOKUP(Main_S[[#This Row],[Industry]], Mean_AE_S, 3, FALSE))</f>
        <v>-1.1429879172159765</v>
      </c>
      <c r="T97" s="1">
        <f>(Main_S[[#This Row],[P/E]]-VLOOKUP(Main_S[[#This Row],[Industry]], Mean_PE_S, 2, FALSE))/(VLOOKUP(Main_S[[#This Row],[Industry]], Mean_PE_S, 3, FALSE))</f>
        <v>0.93739035912166346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8" t="s">
        <v>105</v>
      </c>
      <c r="B98" s="68" t="s">
        <v>523</v>
      </c>
      <c r="C98" s="2">
        <v>462</v>
      </c>
      <c r="D98">
        <f>RTD("tos.rtd", , "LAST", Main_S[[#This Row],[Symbol]])</f>
        <v>14.16</v>
      </c>
      <c r="F98">
        <v>19.64</v>
      </c>
      <c r="G98">
        <v>1.94</v>
      </c>
      <c r="H98" s="1" t="str">
        <f>IF(ISNUMBER(Main_S[[#This Row],[Free CF]]),IF(Main_S[[#This Row],[Free CF]]&lt;&gt;0,Main_S[[#This Row],[Current Price]]/Main_S[[#This Row],[Free CF]],""),"")</f>
        <v/>
      </c>
      <c r="I98" s="1">
        <f>IF(ISNUMBER(Main_S[[#This Row],[BVPS]]),IF(Main_S[[#This Row],[BVPS]]&lt;&gt;0,Main_S[[#This Row],[Current Price]]/Main_S[[#This Row],[BVPS]],""),"")</f>
        <v>0.72097759674134421</v>
      </c>
      <c r="J98">
        <v>12.35</v>
      </c>
      <c r="K98">
        <v>1.1100000000000001</v>
      </c>
      <c r="L98">
        <v>9.99</v>
      </c>
      <c r="M98" s="1">
        <f>IF(ISNUMBER(Main_S[[#This Row],[EPS]]),IF(Main_S[[#This Row],[EPS]]&lt;&gt;0,Main_S[[#This Row],[Current Price]]/Main_S[[#This Row],[EPS]],""),"")</f>
        <v>7.2989690721649492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 t="e">
        <f>(Main_S[[#This Row],[P/FCF]]-VLOOKUP(Main_S[[#This Row],[Industry]], Mean_PFCF_S, 2, FALSE))/(VLOOKUP(Main_S[[#This Row],[Industry]], Mean_PFCF_S, 3, FALSE))</f>
        <v>#VALUE!</v>
      </c>
      <c r="P98" s="1">
        <f>(Main_S[[#This Row],[P/B]]-VLOOKUP(Main_S[[#This Row],[Industry]], Mean_PB_S, 2, FALSE))/(VLOOKUP(Main_S[[#This Row],[Industry]], Mean_PB_S, 3, FALSE))</f>
        <v>-1.3470433498098229</v>
      </c>
      <c r="Q98" s="1">
        <f>(Main_S[[#This Row],[ROE]]-VLOOKUP(Main_S[[#This Row],[Industry]], Mean_ROE_S, 2, FALSE))/(VLOOKUP(Main_S[[#This Row],[Industry]], Mean_ROE_S, 3, FALSE))</f>
        <v>0.71369743991405532</v>
      </c>
      <c r="R98" s="1">
        <f>(Main_S[[#This Row],[ROA]]-VLOOKUP(Main_S[[#This Row],[Industry]], Mean_ROA_S, 2, FALSE))/(VLOOKUP(Main_S[[#This Row],[Industry]], Mean_ROA_S, 3, FALSE))</f>
        <v>0.32147007738790651</v>
      </c>
      <c r="S98" s="1">
        <f>(Main_S[[#This Row],[A/E]]-VLOOKUP(Main_S[[#This Row],[Industry]], Mean_AE_S, 2, FALSE))/(VLOOKUP(Main_S[[#This Row],[Industry]], Mean_AE_S, 3, FALSE))</f>
        <v>0.24500565025869825</v>
      </c>
      <c r="T98" s="1">
        <f>(Main_S[[#This Row],[P/E]]-VLOOKUP(Main_S[[#This Row],[Industry]], Mean_PE_S, 2, FALSE))/(VLOOKUP(Main_S[[#This Row],[Industry]], Mean_PE_S, 3, FALSE))</f>
        <v>-1.9164022791749771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8" t="s">
        <v>105</v>
      </c>
      <c r="B99" s="68" t="s">
        <v>524</v>
      </c>
      <c r="C99" s="2">
        <v>459</v>
      </c>
      <c r="D99">
        <f>RTD("tos.rtd", , "LAST", Main_S[[#This Row],[Symbol]])</f>
        <v>86.24</v>
      </c>
      <c r="E99">
        <v>2.46</v>
      </c>
      <c r="F99">
        <v>50.67</v>
      </c>
      <c r="G99">
        <v>7.52</v>
      </c>
      <c r="H99" s="1">
        <f>IF(ISNUMBER(Main_S[[#This Row],[Free CF]]),IF(Main_S[[#This Row],[Free CF]]&lt;&gt;0,Main_S[[#This Row],[Current Price]]/Main_S[[#This Row],[Free CF]],""),"")</f>
        <v>35.056910569105689</v>
      </c>
      <c r="I99" s="1">
        <f>IF(ISNUMBER(Main_S[[#This Row],[BVPS]]),IF(Main_S[[#This Row],[BVPS]]&lt;&gt;0,Main_S[[#This Row],[Current Price]]/Main_S[[#This Row],[BVPS]],""),"")</f>
        <v>1.7019932899151371</v>
      </c>
      <c r="J99">
        <v>16.22</v>
      </c>
      <c r="K99">
        <v>1.43</v>
      </c>
      <c r="L99">
        <v>11.23</v>
      </c>
      <c r="M99" s="1">
        <f>IF(ISNUMBER(Main_S[[#This Row],[EPS]]),IF(Main_S[[#This Row],[EPS]]&lt;&gt;0,Main_S[[#This Row],[Current Price]]/Main_S[[#This Row],[EPS]],""),"")</f>
        <v>11.468085106382979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6.3203207541403401</v>
      </c>
      <c r="P99" s="1">
        <f>(Main_S[[#This Row],[P/B]]-VLOOKUP(Main_S[[#This Row],[Industry]], Mean_PB_S, 2, FALSE))/(VLOOKUP(Main_S[[#This Row],[Industry]], Mean_PB_S, 3, FALSE))</f>
        <v>2.1525981813120758</v>
      </c>
      <c r="Q99" s="1">
        <f>(Main_S[[#This Row],[ROE]]-VLOOKUP(Main_S[[#This Row],[Industry]], Mean_ROE_S, 2, FALSE))/(VLOOKUP(Main_S[[#This Row],[Industry]], Mean_ROE_S, 3, FALSE))</f>
        <v>1.6562141923835048</v>
      </c>
      <c r="R99" s="1">
        <f>(Main_S[[#This Row],[ROA]]-VLOOKUP(Main_S[[#This Row],[Industry]], Mean_ROA_S, 2, FALSE))/(VLOOKUP(Main_S[[#This Row],[Industry]], Mean_ROA_S, 3, FALSE))</f>
        <v>1.0653917931963031</v>
      </c>
      <c r="S99" s="1">
        <f>(Main_S[[#This Row],[A/E]]-VLOOKUP(Main_S[[#This Row],[Industry]], Mean_AE_S, 2, FALSE))/(VLOOKUP(Main_S[[#This Row],[Industry]], Mean_AE_S, 3, FALSE))</f>
        <v>0.96213566012061347</v>
      </c>
      <c r="T99" s="1">
        <f>(Main_S[[#This Row],[P/E]]-VLOOKUP(Main_S[[#This Row],[Industry]], Mean_PE_S, 2, FALSE))/(VLOOKUP(Main_S[[#This Row],[Industry]], Mean_PE_S, 3, FALSE))</f>
        <v>-0.32647294915343827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s="68" t="s">
        <v>105</v>
      </c>
      <c r="B100" s="68" t="s">
        <v>525</v>
      </c>
      <c r="C100" s="2">
        <v>1602</v>
      </c>
      <c r="D100">
        <f>RTD("tos.rtd", , "LAST", Main_S[[#This Row],[Symbol]])</f>
        <v>12.68</v>
      </c>
      <c r="E100">
        <v>0.99</v>
      </c>
      <c r="F100">
        <v>12.75</v>
      </c>
      <c r="G100">
        <v>0.9</v>
      </c>
      <c r="H100" s="1">
        <f>IF(ISNUMBER(Main_S[[#This Row],[Free CF]]),IF(Main_S[[#This Row],[Free CF]]&lt;&gt;0,Main_S[[#This Row],[Current Price]]/Main_S[[#This Row],[Free CF]],""),"")</f>
        <v>12.808080808080808</v>
      </c>
      <c r="I100" s="1">
        <f>IF(ISNUMBER(Main_S[[#This Row],[BVPS]]),IF(Main_S[[#This Row],[BVPS]]&lt;&gt;0,Main_S[[#This Row],[Current Price]]/Main_S[[#This Row],[BVPS]],""),"")</f>
        <v>0.99450980392156862</v>
      </c>
      <c r="J100">
        <v>7.2</v>
      </c>
      <c r="K100">
        <v>0.79</v>
      </c>
      <c r="L100">
        <v>8.8699999999999992</v>
      </c>
      <c r="M100" s="1">
        <f>IF(ISNUMBER(Main_S[[#This Row],[EPS]]),IF(Main_S[[#This Row],[EPS]]&lt;&gt;0,Main_S[[#This Row],[Current Price]]/Main_S[[#This Row],[EPS]],""),"")</f>
        <v>14.088888888888889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0.50061566855133632</v>
      </c>
      <c r="P100" s="1">
        <f>(Main_S[[#This Row],[P/B]]-VLOOKUP(Main_S[[#This Row],[Industry]], Mean_PB_S, 2, FALSE))/(VLOOKUP(Main_S[[#This Row],[Industry]], Mean_PB_S, 3, FALSE))</f>
        <v>-0.37125399291340094</v>
      </c>
      <c r="Q100" s="1">
        <f>(Main_S[[#This Row],[ROE]]-VLOOKUP(Main_S[[#This Row],[Industry]], Mean_ROE_S, 2, FALSE))/(VLOOKUP(Main_S[[#This Row],[Industry]], Mean_ROE_S, 3, FALSE))</f>
        <v>-0.54055611957371341</v>
      </c>
      <c r="R100" s="1">
        <f>(Main_S[[#This Row],[ROA]]-VLOOKUP(Main_S[[#This Row],[Industry]], Mean_ROA_S, 2, FALSE))/(VLOOKUP(Main_S[[#This Row],[Industry]], Mean_ROA_S, 3, FALSE))</f>
        <v>-0.4224516384204906</v>
      </c>
      <c r="S100" s="1">
        <f>(Main_S[[#This Row],[A/E]]-VLOOKUP(Main_S[[#This Row],[Industry]], Mean_AE_S, 2, FALSE))/(VLOOKUP(Main_S[[#This Row],[Industry]], Mean_AE_S, 3, FALSE))</f>
        <v>-0.40272468122948374</v>
      </c>
      <c r="T100" s="1">
        <f>(Main_S[[#This Row],[P/E]]-VLOOKUP(Main_S[[#This Row],[Industry]], Mean_PE_S, 2, FALSE))/(VLOOKUP(Main_S[[#This Row],[Industry]], Mean_PE_S, 3, FALSE))</f>
        <v>0.67299378860050107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8" t="s">
        <v>105</v>
      </c>
      <c r="B101" s="68" t="s">
        <v>526</v>
      </c>
      <c r="C101" s="2">
        <v>1009</v>
      </c>
      <c r="D101">
        <f>RTD("tos.rtd", , "LAST", Main_S[[#This Row],[Symbol]])</f>
        <v>34.31</v>
      </c>
      <c r="E101">
        <v>3.29</v>
      </c>
      <c r="F101">
        <v>37.770000000000003</v>
      </c>
      <c r="G101">
        <v>2.4300000000000002</v>
      </c>
      <c r="H101" s="1">
        <f>IF(ISNUMBER(Main_S[[#This Row],[Free CF]]),IF(Main_S[[#This Row],[Free CF]]&lt;&gt;0,Main_S[[#This Row],[Current Price]]/Main_S[[#This Row],[Free CF]],""),"")</f>
        <v>10.428571428571429</v>
      </c>
      <c r="I101" s="1">
        <f>IF(ISNUMBER(Main_S[[#This Row],[BVPS]]),IF(Main_S[[#This Row],[BVPS]]&lt;&gt;0,Main_S[[#This Row],[Current Price]]/Main_S[[#This Row],[BVPS]],""),"")</f>
        <v>0.90839290442149856</v>
      </c>
      <c r="J101">
        <v>6.75</v>
      </c>
      <c r="K101">
        <v>0.78</v>
      </c>
      <c r="L101">
        <v>8.26</v>
      </c>
      <c r="M101" s="1">
        <f>IF(ISNUMBER(Main_S[[#This Row],[EPS]]),IF(Main_S[[#This Row],[EPS]]&lt;&gt;0,Main_S[[#This Row],[Current Price]]/Main_S[[#This Row],[EPS]],""),"")</f>
        <v>14.119341563786008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-0.12180101519695825</v>
      </c>
      <c r="P101" s="1">
        <f>(Main_S[[#This Row],[P/B]]-VLOOKUP(Main_S[[#This Row],[Industry]], Mean_PB_S, 2, FALSE))/(VLOOKUP(Main_S[[#This Row],[Industry]], Mean_PB_S, 3, FALSE))</f>
        <v>-0.67846444848406928</v>
      </c>
      <c r="Q101" s="1">
        <f>(Main_S[[#This Row],[ROE]]-VLOOKUP(Main_S[[#This Row],[Industry]], Mean_ROE_S, 2, FALSE))/(VLOOKUP(Main_S[[#This Row],[Industry]], Mean_ROE_S, 3, FALSE))</f>
        <v>-0.65015109079109135</v>
      </c>
      <c r="R101" s="1">
        <f>(Main_S[[#This Row],[ROA]]-VLOOKUP(Main_S[[#This Row],[Industry]], Mean_ROA_S, 2, FALSE))/(VLOOKUP(Main_S[[#This Row],[Industry]], Mean_ROA_S, 3, FALSE))</f>
        <v>-0.44569919203950303</v>
      </c>
      <c r="S101" s="1">
        <f>(Main_S[[#This Row],[A/E]]-VLOOKUP(Main_S[[#This Row],[Industry]], Mean_AE_S, 2, FALSE))/(VLOOKUP(Main_S[[#This Row],[Industry]], Mean_AE_S, 3, FALSE))</f>
        <v>-0.75550637962929645</v>
      </c>
      <c r="T101" s="1">
        <f>(Main_S[[#This Row],[P/E]]-VLOOKUP(Main_S[[#This Row],[Industry]], Mean_PE_S, 2, FALSE))/(VLOOKUP(Main_S[[#This Row],[Industry]], Mean_PE_S, 3, FALSE))</f>
        <v>0.68460718592481484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8" t="s">
        <v>105</v>
      </c>
      <c r="B102" s="68" t="s">
        <v>527</v>
      </c>
      <c r="C102" s="2">
        <v>293</v>
      </c>
      <c r="D102">
        <f>RTD("tos.rtd", , "LAST", Main_S[[#This Row],[Symbol]])</f>
        <v>26.87</v>
      </c>
      <c r="E102">
        <v>2.91</v>
      </c>
      <c r="F102">
        <v>17.690000000000001</v>
      </c>
      <c r="G102">
        <v>2.41</v>
      </c>
      <c r="H102" s="1">
        <f>IF(ISNUMBER(Main_S[[#This Row],[Free CF]]),IF(Main_S[[#This Row],[Free CF]]&lt;&gt;0,Main_S[[#This Row],[Current Price]]/Main_S[[#This Row],[Free CF]],""),"")</f>
        <v>9.2336769759450164</v>
      </c>
      <c r="I102" s="1">
        <f>IF(ISNUMBER(Main_S[[#This Row],[BVPS]]),IF(Main_S[[#This Row],[BVPS]]&lt;&gt;0,Main_S[[#This Row],[Current Price]]/Main_S[[#This Row],[BVPS]],""),"")</f>
        <v>1.5189372526851328</v>
      </c>
      <c r="J102">
        <v>14.76</v>
      </c>
      <c r="K102">
        <v>1.0900000000000001</v>
      </c>
      <c r="L102">
        <v>12.72</v>
      </c>
      <c r="M102" s="1">
        <f>IF(ISNUMBER(Main_S[[#This Row],[EPS]]),IF(Main_S[[#This Row],[EPS]]&lt;&gt;0,Main_S[[#This Row],[Current Price]]/Main_S[[#This Row],[EPS]],""),"")</f>
        <v>11.149377593360995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-0.43435378302269811</v>
      </c>
      <c r="P102" s="1">
        <f>(Main_S[[#This Row],[P/B]]-VLOOKUP(Main_S[[#This Row],[Industry]], Mean_PB_S, 2, FALSE))/(VLOOKUP(Main_S[[#This Row],[Industry]], Mean_PB_S, 3, FALSE))</f>
        <v>1.499570390961297</v>
      </c>
      <c r="Q102" s="1">
        <f>(Main_S[[#This Row],[ROE]]-VLOOKUP(Main_S[[#This Row],[Industry]], Mean_ROE_S, 2, FALSE))/(VLOOKUP(Main_S[[#This Row],[Industry]], Mean_ROE_S, 3, FALSE))</f>
        <v>1.3006393968782346</v>
      </c>
      <c r="R102" s="1">
        <f>(Main_S[[#This Row],[ROA]]-VLOOKUP(Main_S[[#This Row],[Industry]], Mean_ROA_S, 2, FALSE))/(VLOOKUP(Main_S[[#This Row],[Industry]], Mean_ROA_S, 3, FALSE))</f>
        <v>0.27497497014988165</v>
      </c>
      <c r="S102" s="1">
        <f>(Main_S[[#This Row],[A/E]]-VLOOKUP(Main_S[[#This Row],[Industry]], Mean_AE_S, 2, FALSE))/(VLOOKUP(Main_S[[#This Row],[Industry]], Mean_AE_S, 3, FALSE))</f>
        <v>1.8238483332611406</v>
      </c>
      <c r="T102" s="1">
        <f>(Main_S[[#This Row],[P/E]]-VLOOKUP(Main_S[[#This Row],[Industry]], Mean_PE_S, 2, FALSE))/(VLOOKUP(Main_S[[#This Row],[Industry]], Mean_PE_S, 3, FALSE))</f>
        <v>-0.44801488238171694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8" t="s">
        <v>105</v>
      </c>
      <c r="B103" s="68" t="s">
        <v>528</v>
      </c>
      <c r="C103" s="2">
        <v>953</v>
      </c>
      <c r="D103">
        <f>RTD("tos.rtd", , "LAST", Main_S[[#This Row],[Symbol]])</f>
        <v>17.63</v>
      </c>
      <c r="E103">
        <v>0.54</v>
      </c>
      <c r="F103">
        <v>29.33</v>
      </c>
      <c r="G103">
        <v>1.53</v>
      </c>
      <c r="H103" s="1">
        <f>IF(ISNUMBER(Main_S[[#This Row],[Free CF]]),IF(Main_S[[#This Row],[Free CF]]&lt;&gt;0,Main_S[[#This Row],[Current Price]]/Main_S[[#This Row],[Free CF]],""),"")</f>
        <v>32.648148148148145</v>
      </c>
      <c r="I103" s="1">
        <f>IF(ISNUMBER(Main_S[[#This Row],[BVPS]]),IF(Main_S[[#This Row],[BVPS]]&lt;&gt;0,Main_S[[#This Row],[Current Price]]/Main_S[[#This Row],[BVPS]],""),"")</f>
        <v>0.60109103307194001</v>
      </c>
      <c r="J103">
        <v>5.53</v>
      </c>
      <c r="K103">
        <v>0.7</v>
      </c>
      <c r="L103">
        <v>7.79</v>
      </c>
      <c r="M103" s="1">
        <f>IF(ISNUMBER(Main_S[[#This Row],[EPS]]),IF(Main_S[[#This Row],[EPS]]&lt;&gt;0,Main_S[[#This Row],[Current Price]]/Main_S[[#This Row],[EPS]],""),"")</f>
        <v>11.522875816993464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5.6902522488844234</v>
      </c>
      <c r="P103" s="1">
        <f>(Main_S[[#This Row],[P/B]]-VLOOKUP(Main_S[[#This Row],[Industry]], Mean_PB_S, 2, FALSE))/(VLOOKUP(Main_S[[#This Row],[Industry]], Mean_PB_S, 3, FALSE))</f>
        <v>-1.7747225400209106</v>
      </c>
      <c r="Q103" s="1">
        <f>(Main_S[[#This Row],[ROE]]-VLOOKUP(Main_S[[#This Row],[Industry]], Mean_ROE_S, 2, FALSE))/(VLOOKUP(Main_S[[#This Row],[Industry]], Mean_ROE_S, 3, FALSE))</f>
        <v>-0.94727523498042676</v>
      </c>
      <c r="R103" s="1">
        <f>(Main_S[[#This Row],[ROA]]-VLOOKUP(Main_S[[#This Row],[Industry]], Mean_ROA_S, 2, FALSE))/(VLOOKUP(Main_S[[#This Row],[Industry]], Mean_ROA_S, 3, FALSE))</f>
        <v>-0.63167962099160246</v>
      </c>
      <c r="S103" s="1">
        <f>(Main_S[[#This Row],[A/E]]-VLOOKUP(Main_S[[#This Row],[Industry]], Mean_AE_S, 2, FALSE))/(VLOOKUP(Main_S[[#This Row],[Industry]], Mean_AE_S, 3, FALSE))</f>
        <v>-1.0273217865930868</v>
      </c>
      <c r="T103" s="1">
        <f>(Main_S[[#This Row],[P/E]]-VLOOKUP(Main_S[[#This Row],[Industry]], Mean_PE_S, 2, FALSE))/(VLOOKUP(Main_S[[#This Row],[Industry]], Mean_PE_S, 3, FALSE))</f>
        <v>-0.30557802632151204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8" t="s">
        <v>105</v>
      </c>
      <c r="B104" s="68" t="s">
        <v>529</v>
      </c>
      <c r="C104" s="2">
        <v>1834</v>
      </c>
      <c r="D104">
        <f>RTD("tos.rtd", , "LAST", Main_S[[#This Row],[Symbol]])</f>
        <v>42.6</v>
      </c>
      <c r="E104">
        <v>4.96</v>
      </c>
      <c r="F104">
        <v>28.83</v>
      </c>
      <c r="G104">
        <v>4.18</v>
      </c>
      <c r="H104" s="1">
        <f>IF(ISNUMBER(Main_S[[#This Row],[Free CF]]),IF(Main_S[[#This Row],[Free CF]]&lt;&gt;0,Main_S[[#This Row],[Current Price]]/Main_S[[#This Row],[Free CF]],""),"")</f>
        <v>8.5887096774193559</v>
      </c>
      <c r="I104" s="1">
        <f>IF(ISNUMBER(Main_S[[#This Row],[BVPS]]),IF(Main_S[[#This Row],[BVPS]]&lt;&gt;0,Main_S[[#This Row],[Current Price]]/Main_S[[#This Row],[BVPS]],""),"")</f>
        <v>1.4776274713839752</v>
      </c>
      <c r="J104">
        <v>15.46</v>
      </c>
      <c r="K104">
        <v>1.7</v>
      </c>
      <c r="L104">
        <v>9.0500000000000007</v>
      </c>
      <c r="M104" s="1">
        <f>IF(ISNUMBER(Main_S[[#This Row],[EPS]]),IF(Main_S[[#This Row],[EPS]]&lt;&gt;0,Main_S[[#This Row],[Current Price]]/Main_S[[#This Row],[EPS]],""),"")</f>
        <v>10.191387559808614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-0.60306016028321086</v>
      </c>
      <c r="P104" s="1">
        <f>(Main_S[[#This Row],[P/B]]-VLOOKUP(Main_S[[#This Row],[Industry]], Mean_PB_S, 2, FALSE))/(VLOOKUP(Main_S[[#This Row],[Industry]], Mean_PB_S, 3, FALSE))</f>
        <v>1.352203302657764</v>
      </c>
      <c r="Q104" s="1">
        <f>(Main_S[[#This Row],[ROE]]-VLOOKUP(Main_S[[#This Row],[Industry]], Mean_ROE_S, 2, FALSE))/(VLOOKUP(Main_S[[#This Row],[Industry]], Mean_ROE_S, 3, FALSE))</f>
        <v>1.4711204632163781</v>
      </c>
      <c r="R104" s="1">
        <f>(Main_S[[#This Row],[ROA]]-VLOOKUP(Main_S[[#This Row],[Industry]], Mean_ROA_S, 2, FALSE))/(VLOOKUP(Main_S[[#This Row],[Industry]], Mean_ROA_S, 3, FALSE))</f>
        <v>1.693075740909638</v>
      </c>
      <c r="S104" s="1">
        <f>(Main_S[[#This Row],[A/E]]-VLOOKUP(Main_S[[#This Row],[Industry]], Mean_AE_S, 2, FALSE))/(VLOOKUP(Main_S[[#This Row],[Industry]], Mean_AE_S, 3, FALSE))</f>
        <v>-0.29862516366888231</v>
      </c>
      <c r="T104" s="1">
        <f>(Main_S[[#This Row],[P/E]]-VLOOKUP(Main_S[[#This Row],[Industry]], Mean_PE_S, 2, FALSE))/(VLOOKUP(Main_S[[#This Row],[Industry]], Mean_PE_S, 3, FALSE))</f>
        <v>-0.81335286763137238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8" t="s">
        <v>105</v>
      </c>
      <c r="B105" s="68" t="s">
        <v>530</v>
      </c>
      <c r="C105" s="2">
        <v>581</v>
      </c>
      <c r="D105">
        <f>RTD("tos.rtd", , "LAST", Main_S[[#This Row],[Symbol]])</f>
        <v>31.3</v>
      </c>
      <c r="E105">
        <v>2.2599999999999998</v>
      </c>
      <c r="F105">
        <v>27.32</v>
      </c>
      <c r="G105">
        <v>1.84</v>
      </c>
      <c r="H105" s="1">
        <f>IF(ISNUMBER(Main_S[[#This Row],[Free CF]]),IF(Main_S[[#This Row],[Free CF]]&lt;&gt;0,Main_S[[#This Row],[Current Price]]/Main_S[[#This Row],[Free CF]],""),"")</f>
        <v>13.849557522123895</v>
      </c>
      <c r="I105" s="1">
        <f>IF(ISNUMBER(Main_S[[#This Row],[BVPS]]),IF(Main_S[[#This Row],[BVPS]]&lt;&gt;0,Main_S[[#This Row],[Current Price]]/Main_S[[#This Row],[BVPS]],""),"")</f>
        <v>1.1456808199121522</v>
      </c>
      <c r="J105">
        <v>7.85</v>
      </c>
      <c r="K105">
        <v>0.73</v>
      </c>
      <c r="L105">
        <v>10.210000000000001</v>
      </c>
      <c r="M105" s="1">
        <f>IF(ISNUMBER(Main_S[[#This Row],[EPS]]),IF(Main_S[[#This Row],[EPS]]&lt;&gt;0,Main_S[[#This Row],[Current Price]]/Main_S[[#This Row],[EPS]],""),"")</f>
        <v>17.010869565217391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0.77303841592013434</v>
      </c>
      <c r="P105" s="1">
        <f>(Main_S[[#This Row],[P/B]]-VLOOKUP(Main_S[[#This Row],[Industry]], Mean_PB_S, 2, FALSE))/(VLOOKUP(Main_S[[#This Row],[Industry]], Mean_PB_S, 3, FALSE))</f>
        <v>0.16802827295022524</v>
      </c>
      <c r="Q105" s="1">
        <f>(Main_S[[#This Row],[ROE]]-VLOOKUP(Main_S[[#This Row],[Industry]], Mean_ROE_S, 2, FALSE))/(VLOOKUP(Main_S[[#This Row],[Industry]], Mean_ROE_S, 3, FALSE))</f>
        <v>-0.3822522722597233</v>
      </c>
      <c r="R105" s="1">
        <f>(Main_S[[#This Row],[ROA]]-VLOOKUP(Main_S[[#This Row],[Industry]], Mean_ROA_S, 2, FALSE))/(VLOOKUP(Main_S[[#This Row],[Industry]], Mean_ROA_S, 3, FALSE))</f>
        <v>-0.56193696013456518</v>
      </c>
      <c r="S105" s="1">
        <f>(Main_S[[#This Row],[A/E]]-VLOOKUP(Main_S[[#This Row],[Industry]], Mean_AE_S, 2, FALSE))/(VLOOKUP(Main_S[[#This Row],[Industry]], Mean_AE_S, 3, FALSE))</f>
        <v>0.37223839394387709</v>
      </c>
      <c r="T105" s="1">
        <f>(Main_S[[#This Row],[P/E]]-VLOOKUP(Main_S[[#This Row],[Industry]], Mean_PE_S, 2, FALSE))/(VLOOKUP(Main_S[[#This Row],[Industry]], Mean_PE_S, 3, FALSE))</f>
        <v>1.7873170026633656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8" t="s">
        <v>105</v>
      </c>
      <c r="B106" s="68" t="s">
        <v>531</v>
      </c>
      <c r="C106" s="2">
        <v>737</v>
      </c>
      <c r="D106">
        <f>RTD("tos.rtd", , "LAST", Main_S[[#This Row],[Symbol]])</f>
        <v>17.190000000000001</v>
      </c>
      <c r="E106">
        <v>2.69</v>
      </c>
      <c r="F106">
        <v>15.42</v>
      </c>
      <c r="G106">
        <v>1.83</v>
      </c>
      <c r="H106" s="1">
        <f>IF(ISNUMBER(Main_S[[#This Row],[Free CF]]),IF(Main_S[[#This Row],[Free CF]]&lt;&gt;0,Main_S[[#This Row],[Current Price]]/Main_S[[#This Row],[Free CF]],""),"")</f>
        <v>6.3903345724907066</v>
      </c>
      <c r="I106" s="1">
        <f>IF(ISNUMBER(Main_S[[#This Row],[BVPS]]),IF(Main_S[[#This Row],[BVPS]]&lt;&gt;0,Main_S[[#This Row],[Current Price]]/Main_S[[#This Row],[BVPS]],""),"")</f>
        <v>1.1147859922178989</v>
      </c>
      <c r="J106">
        <v>12.98</v>
      </c>
      <c r="K106">
        <v>1.48</v>
      </c>
      <c r="L106">
        <v>8.25</v>
      </c>
      <c r="M106" s="1">
        <f>IF(ISNUMBER(Main_S[[#This Row],[EPS]]),IF(Main_S[[#This Row],[EPS]]&lt;&gt;0,Main_S[[#This Row],[Current Price]]/Main_S[[#This Row],[EPS]],""),"")</f>
        <v>9.3934426229508201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-1.1780969112316875</v>
      </c>
      <c r="P106" s="1">
        <f>(Main_S[[#This Row],[P/B]]-VLOOKUP(Main_S[[#This Row],[Industry]], Mean_PB_S, 2, FALSE))/(VLOOKUP(Main_S[[#This Row],[Industry]], Mean_PB_S, 3, FALSE))</f>
        <v>5.7815130746688946E-2</v>
      </c>
      <c r="Q106" s="1">
        <f>(Main_S[[#This Row],[ROE]]-VLOOKUP(Main_S[[#This Row],[Industry]], Mean_ROE_S, 2, FALSE))/(VLOOKUP(Main_S[[#This Row],[Industry]], Mean_ROE_S, 3, FALSE))</f>
        <v>0.86713039961838445</v>
      </c>
      <c r="R106" s="1">
        <f>(Main_S[[#This Row],[ROA]]-VLOOKUP(Main_S[[#This Row],[Industry]], Mean_ROA_S, 2, FALSE))/(VLOOKUP(Main_S[[#This Row],[Industry]], Mean_ROA_S, 3, FALSE))</f>
        <v>1.1816295612913652</v>
      </c>
      <c r="S106" s="1">
        <f>(Main_S[[#This Row],[A/E]]-VLOOKUP(Main_S[[#This Row],[Industry]], Mean_AE_S, 2, FALSE))/(VLOOKUP(Main_S[[#This Row],[Industry]], Mean_AE_S, 3, FALSE))</f>
        <v>-0.7612896861604409</v>
      </c>
      <c r="T106" s="1">
        <f>(Main_S[[#This Row],[P/E]]-VLOOKUP(Main_S[[#This Row],[Industry]], Mean_PE_S, 2, FALSE))/(VLOOKUP(Main_S[[#This Row],[Industry]], Mean_PE_S, 3, FALSE))</f>
        <v>-1.1176562375639265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s="68" t="s">
        <v>105</v>
      </c>
      <c r="B107" s="68" t="s">
        <v>532</v>
      </c>
      <c r="C107" s="2">
        <v>295</v>
      </c>
      <c r="D107">
        <f>RTD("tos.rtd", , "LAST", Main_S[[#This Row],[Symbol]])</f>
        <v>11.79</v>
      </c>
      <c r="E107">
        <v>1.29</v>
      </c>
      <c r="F107">
        <v>12.05</v>
      </c>
      <c r="G107">
        <v>0.8</v>
      </c>
      <c r="H107" s="1">
        <f>IF(ISNUMBER(Main_S[[#This Row],[Free CF]]),IF(Main_S[[#This Row],[Free CF]]&lt;&gt;0,Main_S[[#This Row],[Current Price]]/Main_S[[#This Row],[Free CF]],""),"")</f>
        <v>9.1395348837209287</v>
      </c>
      <c r="I107" s="1">
        <f>IF(ISNUMBER(Main_S[[#This Row],[BVPS]]),IF(Main_S[[#This Row],[BVPS]]&lt;&gt;0,Main_S[[#This Row],[Current Price]]/Main_S[[#This Row],[BVPS]],""),"")</f>
        <v>0.97842323651452268</v>
      </c>
      <c r="J107">
        <v>6.31</v>
      </c>
      <c r="K107">
        <v>0.91</v>
      </c>
      <c r="L107">
        <v>6.5</v>
      </c>
      <c r="M107" s="1">
        <f>IF(ISNUMBER(Main_S[[#This Row],[EPS]]),IF(Main_S[[#This Row],[EPS]]&lt;&gt;0,Main_S[[#This Row],[Current Price]]/Main_S[[#This Row],[EPS]],""),"")</f>
        <v>14.737499999999999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-0.45897886302777224</v>
      </c>
      <c r="P107" s="1">
        <f>(Main_S[[#This Row],[P/B]]-VLOOKUP(Main_S[[#This Row],[Industry]], Mean_PB_S, 2, FALSE))/(VLOOKUP(Main_S[[#This Row],[Industry]], Mean_PB_S, 3, FALSE))</f>
        <v>-0.42864065836903348</v>
      </c>
      <c r="Q107" s="1">
        <f>(Main_S[[#This Row],[ROE]]-VLOOKUP(Main_S[[#This Row],[Industry]], Mean_ROE_S, 2, FALSE))/(VLOOKUP(Main_S[[#This Row],[Industry]], Mean_ROE_S, 3, FALSE))</f>
        <v>-0.75731061820363865</v>
      </c>
      <c r="R107" s="1">
        <f>(Main_S[[#This Row],[ROA]]-VLOOKUP(Main_S[[#This Row],[Industry]], Mean_ROA_S, 2, FALSE))/(VLOOKUP(Main_S[[#This Row],[Industry]], Mean_ROA_S, 3, FALSE))</f>
        <v>-0.14348099499234176</v>
      </c>
      <c r="S107" s="1">
        <f>(Main_S[[#This Row],[A/E]]-VLOOKUP(Main_S[[#This Row],[Industry]], Mean_AE_S, 2, FALSE))/(VLOOKUP(Main_S[[#This Row],[Industry]], Mean_AE_S, 3, FALSE))</f>
        <v>-1.7733683291107243</v>
      </c>
      <c r="T107" s="1">
        <f>(Main_S[[#This Row],[P/E]]-VLOOKUP(Main_S[[#This Row],[Industry]], Mean_PE_S, 2, FALSE))/(VLOOKUP(Main_S[[#This Row],[Industry]], Mean_PE_S, 3, FALSE))</f>
        <v>0.92034738127325488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8" t="s">
        <v>105</v>
      </c>
      <c r="B108" s="68" t="s">
        <v>533</v>
      </c>
      <c r="C108" s="2">
        <v>283</v>
      </c>
      <c r="D108">
        <f>RTD("tos.rtd", , "LAST", Main_S[[#This Row],[Symbol]])</f>
        <v>20.64</v>
      </c>
      <c r="E108">
        <v>2.4</v>
      </c>
      <c r="F108">
        <v>21.15</v>
      </c>
      <c r="G108">
        <v>1.94</v>
      </c>
      <c r="H108" s="1">
        <f>IF(ISNUMBER(Main_S[[#This Row],[Free CF]]),IF(Main_S[[#This Row],[Free CF]]&lt;&gt;0,Main_S[[#This Row],[Current Price]]/Main_S[[#This Row],[Free CF]],""),"")</f>
        <v>8.6000000000000014</v>
      </c>
      <c r="I108" s="1">
        <f>IF(ISNUMBER(Main_S[[#This Row],[BVPS]]),IF(Main_S[[#This Row],[BVPS]]&lt;&gt;0,Main_S[[#This Row],[Current Price]]/Main_S[[#This Row],[BVPS]],""),"")</f>
        <v>0.97588652482269511</v>
      </c>
      <c r="J108">
        <v>8.01</v>
      </c>
      <c r="K108">
        <v>0.96</v>
      </c>
      <c r="L108">
        <v>10.55</v>
      </c>
      <c r="M108" s="1">
        <f>IF(ISNUMBER(Main_S[[#This Row],[EPS]]),IF(Main_S[[#This Row],[EPS]]&lt;&gt;0,Main_S[[#This Row],[Current Price]]/Main_S[[#This Row],[EPS]],""),"")</f>
        <v>10.63917525773196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-0.60010691067654498</v>
      </c>
      <c r="P108" s="1">
        <f>(Main_S[[#This Row],[P/B]]-VLOOKUP(Main_S[[#This Row],[Industry]], Mean_PB_S, 2, FALSE))/(VLOOKUP(Main_S[[#This Row],[Industry]], Mean_PB_S, 3, FALSE))</f>
        <v>-0.4376900361220859</v>
      </c>
      <c r="Q108" s="1">
        <f>(Main_S[[#This Row],[ROE]]-VLOOKUP(Main_S[[#This Row],[Industry]], Mean_ROE_S, 2, FALSE))/(VLOOKUP(Main_S[[#This Row],[Industry]], Mean_ROE_S, 3, FALSE))</f>
        <v>-0.34328517138243336</v>
      </c>
      <c r="R108" s="1">
        <f>(Main_S[[#This Row],[ROA]]-VLOOKUP(Main_S[[#This Row],[Industry]], Mean_ROA_S, 2, FALSE))/(VLOOKUP(Main_S[[#This Row],[Industry]], Mean_ROA_S, 3, FALSE))</f>
        <v>-2.7243226897279905E-2</v>
      </c>
      <c r="S108" s="1">
        <f>(Main_S[[#This Row],[A/E]]-VLOOKUP(Main_S[[#This Row],[Industry]], Mean_AE_S, 2, FALSE))/(VLOOKUP(Main_S[[#This Row],[Industry]], Mean_AE_S, 3, FALSE))</f>
        <v>0.56887081600278921</v>
      </c>
      <c r="T108" s="1">
        <f>(Main_S[[#This Row],[P/E]]-VLOOKUP(Main_S[[#This Row],[Industry]], Mean_PE_S, 2, FALSE))/(VLOOKUP(Main_S[[#This Row],[Industry]], Mean_PE_S, 3, FALSE))</f>
        <v>-0.64258506248807234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8" t="s">
        <v>105</v>
      </c>
      <c r="B109" s="68" t="s">
        <v>534</v>
      </c>
      <c r="C109" s="2">
        <v>322</v>
      </c>
      <c r="D109">
        <f>RTD("tos.rtd", , "LAST", Main_S[[#This Row],[Symbol]])</f>
        <v>14</v>
      </c>
      <c r="E109">
        <v>0.17</v>
      </c>
      <c r="F109">
        <v>12.75</v>
      </c>
      <c r="G109">
        <v>0.6</v>
      </c>
      <c r="H109" s="1">
        <f>IF(ISNUMBER(Main_S[[#This Row],[Free CF]]),IF(Main_S[[#This Row],[Free CF]]&lt;&gt;0,Main_S[[#This Row],[Current Price]]/Main_S[[#This Row],[Free CF]],""),"")</f>
        <v>82.35294117647058</v>
      </c>
      <c r="I109" s="1">
        <f>IF(ISNUMBER(Main_S[[#This Row],[BVPS]]),IF(Main_S[[#This Row],[BVPS]]&lt;&gt;0,Main_S[[#This Row],[Current Price]]/Main_S[[#This Row],[BVPS]],""),"")</f>
        <v>1.0980392156862746</v>
      </c>
      <c r="J109">
        <v>2.88</v>
      </c>
      <c r="K109">
        <v>0.49</v>
      </c>
      <c r="L109">
        <v>10.7</v>
      </c>
      <c r="M109" s="1">
        <f>IF(ISNUMBER(Main_S[[#This Row],[EPS]]),IF(Main_S[[#This Row],[EPS]]&lt;&gt;0,Main_S[[#This Row],[Current Price]]/Main_S[[#This Row],[EPS]],""),"")</f>
        <v>23.333333333333336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18.691710746796534</v>
      </c>
      <c r="P109" s="1">
        <f>(Main_S[[#This Row],[P/B]]-VLOOKUP(Main_S[[#This Row],[Industry]], Mean_PB_S, 2, FALSE))/(VLOOKUP(Main_S[[#This Row],[Industry]], Mean_PB_S, 3, FALSE))</f>
        <v>-1.926741957591129E-3</v>
      </c>
      <c r="Q109" s="1">
        <f>(Main_S[[#This Row],[ROE]]-VLOOKUP(Main_S[[#This Row],[Industry]], Mean_ROE_S, 2, FALSE))/(VLOOKUP(Main_S[[#This Row],[Industry]], Mean_ROE_S, 3, FALSE))</f>
        <v>-1.592667843260541</v>
      </c>
      <c r="R109" s="1">
        <f>(Main_S[[#This Row],[ROA]]-VLOOKUP(Main_S[[#This Row],[Industry]], Mean_ROA_S, 2, FALSE))/(VLOOKUP(Main_S[[#This Row],[Industry]], Mean_ROA_S, 3, FALSE))</f>
        <v>-1.1198782469908628</v>
      </c>
      <c r="S109" s="1">
        <f>(Main_S[[#This Row],[A/E]]-VLOOKUP(Main_S[[#This Row],[Industry]], Mean_AE_S, 2, FALSE))/(VLOOKUP(Main_S[[#This Row],[Industry]], Mean_AE_S, 3, FALSE))</f>
        <v>0.65562041396995552</v>
      </c>
      <c r="T109" s="1">
        <f>(Main_S[[#This Row],[P/E]]-VLOOKUP(Main_S[[#This Row],[Industry]], Mean_PE_S, 2, FALSE))/(VLOOKUP(Main_S[[#This Row],[Industry]], Mean_PE_S, 3, FALSE))</f>
        <v>4.198444565538086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0" spans="1:26" x14ac:dyDescent="0.25">
      <c r="A110" s="68" t="s">
        <v>105</v>
      </c>
      <c r="B110" s="68" t="s">
        <v>535</v>
      </c>
      <c r="C110" s="2">
        <v>1040</v>
      </c>
      <c r="D110">
        <f>RTD("tos.rtd", , "LAST", Main_S[[#This Row],[Symbol]])</f>
        <v>30.89</v>
      </c>
      <c r="E110">
        <v>3.87</v>
      </c>
      <c r="F110">
        <v>32.630000000000003</v>
      </c>
      <c r="G110">
        <v>3.15</v>
      </c>
      <c r="H110" s="1">
        <f>IF(ISNUMBER(Main_S[[#This Row],[Free CF]]),IF(Main_S[[#This Row],[Free CF]]&lt;&gt;0,Main_S[[#This Row],[Current Price]]/Main_S[[#This Row],[Free CF]],""),"")</f>
        <v>7.981912144702842</v>
      </c>
      <c r="I110" s="1">
        <f>IF(ISNUMBER(Main_S[[#This Row],[BVPS]]),IF(Main_S[[#This Row],[BVPS]]&lt;&gt;0,Main_S[[#This Row],[Current Price]]/Main_S[[#This Row],[BVPS]],""),"")</f>
        <v>0.94667483910511796</v>
      </c>
      <c r="J110">
        <v>10.18</v>
      </c>
      <c r="K110">
        <v>1.21</v>
      </c>
      <c r="L110">
        <v>8.1300000000000008</v>
      </c>
      <c r="M110" s="1">
        <f>IF(ISNUMBER(Main_S[[#This Row],[EPS]]),IF(Main_S[[#This Row],[EPS]]&lt;&gt;0,Main_S[[#This Row],[Current Price]]/Main_S[[#This Row],[EPS]],""),"")</f>
        <v>9.806349206349207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-0.76178233691019781</v>
      </c>
      <c r="P110" s="1">
        <f>(Main_S[[#This Row],[P/B]]-VLOOKUP(Main_S[[#This Row],[Industry]], Mean_PB_S, 2, FALSE))/(VLOOKUP(Main_S[[#This Row],[Industry]], Mean_PB_S, 3, FALSE))</f>
        <v>-0.54189879571957655</v>
      </c>
      <c r="Q110" s="1">
        <f>(Main_S[[#This Row],[ROE]]-VLOOKUP(Main_S[[#This Row],[Industry]], Mean_ROE_S, 2, FALSE))/(VLOOKUP(Main_S[[#This Row],[Industry]], Mean_ROE_S, 3, FALSE))</f>
        <v>0.18520613426581095</v>
      </c>
      <c r="R110" s="1">
        <f>(Main_S[[#This Row],[ROA]]-VLOOKUP(Main_S[[#This Row],[Industry]], Mean_ROA_S, 2, FALSE))/(VLOOKUP(Main_S[[#This Row],[Industry]], Mean_ROA_S, 3, FALSE))</f>
        <v>0.55394561357803018</v>
      </c>
      <c r="S110" s="1">
        <f>(Main_S[[#This Row],[A/E]]-VLOOKUP(Main_S[[#This Row],[Industry]], Mean_AE_S, 2, FALSE))/(VLOOKUP(Main_S[[#This Row],[Industry]], Mean_AE_S, 3, FALSE))</f>
        <v>-0.83068936453417408</v>
      </c>
      <c r="T110" s="1">
        <f>(Main_S[[#This Row],[P/E]]-VLOOKUP(Main_S[[#This Row],[Industry]], Mean_PE_S, 2, FALSE))/(VLOOKUP(Main_S[[#This Row],[Industry]], Mean_PE_S, 3, FALSE))</f>
        <v>-0.9601906544244988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s="68" t="s">
        <v>105</v>
      </c>
      <c r="B111" s="68" t="s">
        <v>536</v>
      </c>
      <c r="C111" s="2">
        <v>1072</v>
      </c>
      <c r="D111">
        <f>RTD("tos.rtd", , "LAST", Main_S[[#This Row],[Symbol]])</f>
        <v>85.86</v>
      </c>
      <c r="E111">
        <v>12.26</v>
      </c>
      <c r="F111">
        <v>59.3</v>
      </c>
      <c r="G111">
        <v>9.43</v>
      </c>
      <c r="H111" s="1">
        <f>IF(ISNUMBER(Main_S[[#This Row],[Free CF]]),IF(Main_S[[#This Row],[Free CF]]&lt;&gt;0,Main_S[[#This Row],[Current Price]]/Main_S[[#This Row],[Free CF]],""),"")</f>
        <v>7.0032626427406202</v>
      </c>
      <c r="I111" s="1">
        <f>IF(ISNUMBER(Main_S[[#This Row],[BVPS]]),IF(Main_S[[#This Row],[BVPS]]&lt;&gt;0,Main_S[[#This Row],[Current Price]]/Main_S[[#This Row],[BVPS]],""),"")</f>
        <v>1.4478920741989882</v>
      </c>
      <c r="J111">
        <v>17.21</v>
      </c>
      <c r="K111">
        <v>1.84</v>
      </c>
      <c r="L111">
        <v>9.1199999999999992</v>
      </c>
      <c r="M111" s="1">
        <f>IF(ISNUMBER(Main_S[[#This Row],[EPS]]),IF(Main_S[[#This Row],[EPS]]&lt;&gt;0,Main_S[[#This Row],[Current Price]]/Main_S[[#This Row],[EPS]],""),"")</f>
        <v>9.1049840933191941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-1.0177711482208889</v>
      </c>
      <c r="P111" s="1">
        <f>(Main_S[[#This Row],[P/B]]-VLOOKUP(Main_S[[#This Row],[Industry]], Mean_PB_S, 2, FALSE))/(VLOOKUP(Main_S[[#This Row],[Industry]], Mean_PB_S, 3, FALSE))</f>
        <v>1.2461262728435731</v>
      </c>
      <c r="Q111" s="1">
        <f>(Main_S[[#This Row],[ROE]]-VLOOKUP(Main_S[[#This Row],[Industry]], Mean_ROE_S, 2, FALSE))/(VLOOKUP(Main_S[[#This Row],[Industry]], Mean_ROE_S, 3, FALSE))</f>
        <v>1.8973231290617365</v>
      </c>
      <c r="R111" s="1">
        <f>(Main_S[[#This Row],[ROA]]-VLOOKUP(Main_S[[#This Row],[Industry]], Mean_ROA_S, 2, FALSE))/(VLOOKUP(Main_S[[#This Row],[Industry]], Mean_ROA_S, 3, FALSE))</f>
        <v>2.018541491575812</v>
      </c>
      <c r="S111" s="1">
        <f>(Main_S[[#This Row],[A/E]]-VLOOKUP(Main_S[[#This Row],[Industry]], Mean_AE_S, 2, FALSE))/(VLOOKUP(Main_S[[#This Row],[Industry]], Mean_AE_S, 3, FALSE))</f>
        <v>-0.25814201795087183</v>
      </c>
      <c r="T111" s="1">
        <f>(Main_S[[#This Row],[P/E]]-VLOOKUP(Main_S[[#This Row],[Industry]], Mean_PE_S, 2, FALSE))/(VLOOKUP(Main_S[[#This Row],[Industry]], Mean_PE_S, 3, FALSE))</f>
        <v>-1.2276624530283111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8" t="s">
        <v>105</v>
      </c>
      <c r="B112" s="68" t="s">
        <v>537</v>
      </c>
      <c r="C112" s="2">
        <v>458</v>
      </c>
      <c r="D112">
        <f>RTD("tos.rtd", , "LAST", Main_S[[#This Row],[Symbol]])</f>
        <v>49.67</v>
      </c>
      <c r="E112">
        <v>3.67</v>
      </c>
      <c r="F112">
        <v>48.21</v>
      </c>
      <c r="G112">
        <v>2.14</v>
      </c>
      <c r="H112" s="1">
        <f>IF(ISNUMBER(Main_S[[#This Row],[Free CF]]),IF(Main_S[[#This Row],[Free CF]]&lt;&gt;0,Main_S[[#This Row],[Current Price]]/Main_S[[#This Row],[Free CF]],""),"")</f>
        <v>13.534059945504088</v>
      </c>
      <c r="I112" s="1">
        <f>IF(ISNUMBER(Main_S[[#This Row],[BVPS]]),IF(Main_S[[#This Row],[BVPS]]&lt;&gt;0,Main_S[[#This Row],[Current Price]]/Main_S[[#This Row],[BVPS]],""),"")</f>
        <v>1.0302841734080066</v>
      </c>
      <c r="J112">
        <v>4.88</v>
      </c>
      <c r="K112">
        <v>0.46</v>
      </c>
      <c r="L112">
        <v>10.38</v>
      </c>
      <c r="M112" s="1">
        <f>IF(ISNUMBER(Main_S[[#This Row],[EPS]]),IF(Main_S[[#This Row],[EPS]]&lt;&gt;0,Main_S[[#This Row],[Current Price]]/Main_S[[#This Row],[EPS]],""),"")</f>
        <v>23.210280373831775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0.69051259901799111</v>
      </c>
      <c r="P112" s="1">
        <f>(Main_S[[#This Row],[P/B]]-VLOOKUP(Main_S[[#This Row],[Industry]], Mean_PB_S, 2, FALSE))/(VLOOKUP(Main_S[[#This Row],[Industry]], Mean_PB_S, 3, FALSE))</f>
        <v>-0.24363374170274185</v>
      </c>
      <c r="Q112" s="1">
        <f>(Main_S[[#This Row],[ROE]]-VLOOKUP(Main_S[[#This Row],[Industry]], Mean_ROE_S, 2, FALSE))/(VLOOKUP(Main_S[[#This Row],[Industry]], Mean_ROE_S, 3, FALSE))</f>
        <v>-1.1055790822944171</v>
      </c>
      <c r="R112" s="1">
        <f>(Main_S[[#This Row],[ROA]]-VLOOKUP(Main_S[[#This Row],[Industry]], Mean_ROA_S, 2, FALSE))/(VLOOKUP(Main_S[[#This Row],[Industry]], Mean_ROA_S, 3, FALSE))</f>
        <v>-1.1896209078478999</v>
      </c>
      <c r="S112" s="1">
        <f>(Main_S[[#This Row],[A/E]]-VLOOKUP(Main_S[[#This Row],[Industry]], Mean_AE_S, 2, FALSE))/(VLOOKUP(Main_S[[#This Row],[Industry]], Mean_AE_S, 3, FALSE))</f>
        <v>0.47055460497333318</v>
      </c>
      <c r="T112" s="1">
        <f>(Main_S[[#This Row],[P/E]]-VLOOKUP(Main_S[[#This Row],[Industry]], Mean_PE_S, 2, FALSE))/(VLOOKUP(Main_S[[#This Row],[Industry]], Mean_PE_S, 3, FALSE))</f>
        <v>4.1515172294189364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3" spans="1:26" x14ac:dyDescent="0.25">
      <c r="A113" s="68" t="s">
        <v>105</v>
      </c>
      <c r="B113" s="68" t="s">
        <v>538</v>
      </c>
      <c r="C113" s="2">
        <v>500</v>
      </c>
      <c r="D113">
        <f>RTD("tos.rtd", , "LAST", Main_S[[#This Row],[Symbol]])</f>
        <v>29.4</v>
      </c>
      <c r="E113">
        <v>3.57</v>
      </c>
      <c r="F113">
        <v>35.35</v>
      </c>
      <c r="G113">
        <v>1.8</v>
      </c>
      <c r="H113" s="1">
        <f>IF(ISNUMBER(Main_S[[#This Row],[Free CF]]),IF(Main_S[[#This Row],[Free CF]]&lt;&gt;0,Main_S[[#This Row],[Current Price]]/Main_S[[#This Row],[Free CF]],""),"")</f>
        <v>8.235294117647058</v>
      </c>
      <c r="I113" s="1">
        <f>IF(ISNUMBER(Main_S[[#This Row],[BVPS]]),IF(Main_S[[#This Row],[BVPS]]&lt;&gt;0,Main_S[[#This Row],[Current Price]]/Main_S[[#This Row],[BVPS]],""),"")</f>
        <v>0.83168316831683164</v>
      </c>
      <c r="J113">
        <v>5.31</v>
      </c>
      <c r="K113">
        <v>0.47</v>
      </c>
      <c r="L113">
        <v>11.45</v>
      </c>
      <c r="M113" s="1">
        <f>IF(ISNUMBER(Main_S[[#This Row],[EPS]]),IF(Main_S[[#This Row],[EPS]]&lt;&gt;0,Main_S[[#This Row],[Current Price]]/Main_S[[#This Row],[EPS]],""),"")</f>
        <v>16.333333333333332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-0.69550431813892644</v>
      </c>
      <c r="P113" s="1">
        <f>(Main_S[[#This Row],[P/B]]-VLOOKUP(Main_S[[#This Row],[Industry]], Mean_PB_S, 2, FALSE))/(VLOOKUP(Main_S[[#This Row],[Industry]], Mean_PB_S, 3, FALSE))</f>
        <v>-0.95211611397861351</v>
      </c>
      <c r="Q113" s="1">
        <f>(Main_S[[#This Row],[ROE]]-VLOOKUP(Main_S[[#This Row],[Industry]], Mean_ROE_S, 2, FALSE))/(VLOOKUP(Main_S[[#This Row],[Industry]], Mean_ROE_S, 3, FALSE))</f>
        <v>-1.0008549986867006</v>
      </c>
      <c r="R113" s="1">
        <f>(Main_S[[#This Row],[ROA]]-VLOOKUP(Main_S[[#This Row],[Industry]], Mean_ROA_S, 2, FALSE))/(VLOOKUP(Main_S[[#This Row],[Industry]], Mean_ROA_S, 3, FALSE))</f>
        <v>-1.1663733542288877</v>
      </c>
      <c r="S113" s="1">
        <f>(Main_S[[#This Row],[A/E]]-VLOOKUP(Main_S[[#This Row],[Industry]], Mean_AE_S, 2, FALSE))/(VLOOKUP(Main_S[[#This Row],[Industry]], Mean_AE_S, 3, FALSE))</f>
        <v>1.0893684038057914</v>
      </c>
      <c r="T113" s="1">
        <f>(Main_S[[#This Row],[P/E]]-VLOOKUP(Main_S[[#This Row],[Industry]], Mean_PE_S, 2, FALSE))/(VLOOKUP(Main_S[[#This Row],[Industry]], Mean_PE_S, 3, FALSE))</f>
        <v>1.5289325589627507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8" t="s">
        <v>105</v>
      </c>
      <c r="B114" s="68" t="s">
        <v>539</v>
      </c>
      <c r="C114" s="2">
        <v>259</v>
      </c>
      <c r="D114">
        <f>RTD("tos.rtd", , "LAST", Main_S[[#This Row],[Symbol]])</f>
        <v>45.14</v>
      </c>
      <c r="E114">
        <v>5.0599999999999996</v>
      </c>
      <c r="F114">
        <v>31.68</v>
      </c>
      <c r="G114">
        <v>4.95</v>
      </c>
      <c r="H114" s="1">
        <f>IF(ISNUMBER(Main_S[[#This Row],[Free CF]]),IF(Main_S[[#This Row],[Free CF]]&lt;&gt;0,Main_S[[#This Row],[Current Price]]/Main_S[[#This Row],[Free CF]],""),"")</f>
        <v>8.920948616600791</v>
      </c>
      <c r="I114" s="1">
        <f>IF(ISNUMBER(Main_S[[#This Row],[BVPS]]),IF(Main_S[[#This Row],[BVPS]]&lt;&gt;0,Main_S[[#This Row],[Current Price]]/Main_S[[#This Row],[BVPS]],""),"")</f>
        <v>1.4248737373737375</v>
      </c>
      <c r="J114">
        <v>16.93</v>
      </c>
      <c r="K114">
        <v>1.8</v>
      </c>
      <c r="L114">
        <v>8.7100000000000009</v>
      </c>
      <c r="M114" s="1">
        <f>IF(ISNUMBER(Main_S[[#This Row],[EPS]]),IF(Main_S[[#This Row],[EPS]]&lt;&gt;0,Main_S[[#This Row],[Current Price]]/Main_S[[#This Row],[EPS]],""),"")</f>
        <v>9.1191919191919197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-0.51615524596848028</v>
      </c>
      <c r="P114" s="1">
        <f>(Main_S[[#This Row],[P/B]]-VLOOKUP(Main_S[[#This Row],[Industry]], Mean_PB_S, 2, FALSE))/(VLOOKUP(Main_S[[#This Row],[Industry]], Mean_PB_S, 3, FALSE))</f>
        <v>1.1640114523656409</v>
      </c>
      <c r="Q114" s="1">
        <f>(Main_S[[#This Row],[ROE]]-VLOOKUP(Main_S[[#This Row],[Industry]], Mean_ROE_S, 2, FALSE))/(VLOOKUP(Main_S[[#This Row],[Industry]], Mean_ROE_S, 3, FALSE))</f>
        <v>1.8291307025264789</v>
      </c>
      <c r="R114" s="1">
        <f>(Main_S[[#This Row],[ROA]]-VLOOKUP(Main_S[[#This Row],[Industry]], Mean_ROA_S, 2, FALSE))/(VLOOKUP(Main_S[[#This Row],[Industry]], Mean_ROA_S, 3, FALSE))</f>
        <v>1.9255512770997623</v>
      </c>
      <c r="S114" s="1">
        <f>(Main_S[[#This Row],[A/E]]-VLOOKUP(Main_S[[#This Row],[Industry]], Mean_AE_S, 2, FALSE))/(VLOOKUP(Main_S[[#This Row],[Industry]], Mean_AE_S, 3, FALSE))</f>
        <v>-0.49525758572779444</v>
      </c>
      <c r="T114" s="1">
        <f>(Main_S[[#This Row],[P/E]]-VLOOKUP(Main_S[[#This Row],[Industry]], Mean_PE_S, 2, FALSE))/(VLOOKUP(Main_S[[#This Row],[Industry]], Mean_PE_S, 3, FALSE))</f>
        <v>-1.2222441727776578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8" t="s">
        <v>105</v>
      </c>
      <c r="B115" s="68" t="s">
        <v>540</v>
      </c>
      <c r="C115" s="2">
        <v>265</v>
      </c>
      <c r="D115">
        <f>RTD("tos.rtd", , "LAST", Main_S[[#This Row],[Symbol]])</f>
        <v>6.71</v>
      </c>
      <c r="E115">
        <v>0.66</v>
      </c>
      <c r="F115">
        <v>1.07</v>
      </c>
      <c r="G115">
        <v>-10.029999999999999</v>
      </c>
      <c r="H115" s="1">
        <f>IF(ISNUMBER(Main_S[[#This Row],[Free CF]]),IF(Main_S[[#This Row],[Free CF]]&lt;&gt;0,Main_S[[#This Row],[Current Price]]/Main_S[[#This Row],[Free CF]],""),"")</f>
        <v>10.166666666666666</v>
      </c>
      <c r="I115" s="1">
        <f>IF(ISNUMBER(Main_S[[#This Row],[BVPS]]),IF(Main_S[[#This Row],[BVPS]]&lt;&gt;0,Main_S[[#This Row],[Current Price]]/Main_S[[#This Row],[BVPS]],""),"")</f>
        <v>6.2710280373831768</v>
      </c>
      <c r="J115">
        <v>-163.96</v>
      </c>
      <c r="K115">
        <v>-3.79</v>
      </c>
      <c r="L115">
        <v>237.35</v>
      </c>
      <c r="M115" s="1">
        <f>IF(ISNUMBER(Main_S[[#This Row],[EPS]]),IF(Main_S[[#This Row],[EPS]]&lt;&gt;0,Main_S[[#This Row],[Current Price]]/Main_S[[#This Row],[EPS]],""),"")</f>
        <v>-0.66899302093718849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-0.19030837001825349</v>
      </c>
      <c r="P115" s="1">
        <f>(Main_S[[#This Row],[P/B]]-VLOOKUP(Main_S[[#This Row],[Industry]], Mean_PB_S, 2, FALSE))/(VLOOKUP(Main_S[[#This Row],[Industry]], Mean_PB_S, 3, FALSE))</f>
        <v>18.452015072031973</v>
      </c>
      <c r="Q115" s="1">
        <f>(Main_S[[#This Row],[ROE]]-VLOOKUP(Main_S[[#This Row],[Industry]], Mean_ROE_S, 2, FALSE))/(VLOOKUP(Main_S[[#This Row],[Industry]], Mean_ROE_S, 3, FALSE))</f>
        <v>-42.225612283054588</v>
      </c>
      <c r="R115" s="1">
        <f>(Main_S[[#This Row],[ROA]]-VLOOKUP(Main_S[[#This Row],[Industry]], Mean_ROA_S, 2, FALSE))/(VLOOKUP(Main_S[[#This Row],[Industry]], Mean_ROA_S, 3, FALSE))</f>
        <v>-11.069831195928172</v>
      </c>
      <c r="S115" s="1">
        <f>(Main_S[[#This Row],[A/E]]-VLOOKUP(Main_S[[#This Row],[Industry]], Mean_AE_S, 2, FALSE))/(VLOOKUP(Main_S[[#This Row],[Industry]], Mean_AE_S, 3, FALSE))</f>
        <v>131.73426294235952</v>
      </c>
      <c r="T115" s="1">
        <f>(Main_S[[#This Row],[P/E]]-VLOOKUP(Main_S[[#This Row],[Industry]], Mean_PE_S, 2, FALSE))/(VLOOKUP(Main_S[[#This Row],[Industry]], Mean_PE_S, 3, FALSE))</f>
        <v>-4.9550552042425888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6" spans="1:26" x14ac:dyDescent="0.25">
      <c r="A116" s="68" t="s">
        <v>105</v>
      </c>
      <c r="B116" s="68" t="s">
        <v>541</v>
      </c>
      <c r="C116" s="2">
        <v>1116</v>
      </c>
      <c r="D116">
        <f>RTD("tos.rtd", , "LAST", Main_S[[#This Row],[Symbol]])</f>
        <v>70.819999999999993</v>
      </c>
      <c r="E116">
        <v>23.77</v>
      </c>
      <c r="F116">
        <v>60.44</v>
      </c>
      <c r="G116">
        <v>6.65</v>
      </c>
      <c r="H116" s="1">
        <f>IF(ISNUMBER(Main_S[[#This Row],[Free CF]]),IF(Main_S[[#This Row],[Free CF]]&lt;&gt;0,Main_S[[#This Row],[Current Price]]/Main_S[[#This Row],[Free CF]],""),"")</f>
        <v>2.9793857803954564</v>
      </c>
      <c r="I116" s="1">
        <f>IF(ISNUMBER(Main_S[[#This Row],[BVPS]]),IF(Main_S[[#This Row],[BVPS]]&lt;&gt;0,Main_S[[#This Row],[Current Price]]/Main_S[[#This Row],[BVPS]],""),"")</f>
        <v>1.1717405691594969</v>
      </c>
      <c r="J116">
        <v>11.7</v>
      </c>
      <c r="K116">
        <v>1.27</v>
      </c>
      <c r="L116">
        <v>8.9499999999999993</v>
      </c>
      <c r="M116" s="1">
        <f>IF(ISNUMBER(Main_S[[#This Row],[EPS]]),IF(Main_S[[#This Row],[EPS]]&lt;&gt;0,Main_S[[#This Row],[Current Price]]/Main_S[[#This Row],[EPS]],""),"")</f>
        <v>10.649624060150375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-2.0703108499087919</v>
      </c>
      <c r="P116" s="1">
        <f>(Main_S[[#This Row],[P/B]]-VLOOKUP(Main_S[[#This Row],[Industry]], Mean_PB_S, 2, FALSE))/(VLOOKUP(Main_S[[#This Row],[Industry]], Mean_PB_S, 3, FALSE))</f>
        <v>0.26099292315024342</v>
      </c>
      <c r="Q116" s="1">
        <f>(Main_S[[#This Row],[ROE]]-VLOOKUP(Main_S[[#This Row],[Industry]], Mean_ROE_S, 2, FALSE))/(VLOOKUP(Main_S[[#This Row],[Industry]], Mean_ROE_S, 3, FALSE))</f>
        <v>0.55539359260006493</v>
      </c>
      <c r="R116" s="1">
        <f>(Main_S[[#This Row],[ROA]]-VLOOKUP(Main_S[[#This Row],[Industry]], Mean_ROA_S, 2, FALSE))/(VLOOKUP(Main_S[[#This Row],[Industry]], Mean_ROA_S, 3, FALSE))</f>
        <v>0.69343093529210476</v>
      </c>
      <c r="S116" s="1">
        <f>(Main_S[[#This Row],[A/E]]-VLOOKUP(Main_S[[#This Row],[Industry]], Mean_AE_S, 2, FALSE))/(VLOOKUP(Main_S[[#This Row],[Industry]], Mean_AE_S, 3, FALSE))</f>
        <v>-0.35645822898032786</v>
      </c>
      <c r="T116" s="1">
        <f>(Main_S[[#This Row],[P/E]]-VLOOKUP(Main_S[[#This Row],[Industry]], Mean_PE_S, 2, FALSE))/(VLOOKUP(Main_S[[#This Row],[Industry]], Mean_PE_S, 3, FALSE))</f>
        <v>-0.63860031912945936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8" t="s">
        <v>105</v>
      </c>
      <c r="B117" s="68" t="s">
        <v>542</v>
      </c>
      <c r="C117" s="2">
        <v>281</v>
      </c>
      <c r="D117">
        <f>RTD("tos.rtd", , "LAST", Main_S[[#This Row],[Symbol]])</f>
        <v>16.95</v>
      </c>
      <c r="E117">
        <v>3.18</v>
      </c>
      <c r="F117">
        <v>28.76</v>
      </c>
      <c r="G117">
        <v>1.17</v>
      </c>
      <c r="H117" s="1">
        <f>IF(ISNUMBER(Main_S[[#This Row],[Free CF]]),IF(Main_S[[#This Row],[Free CF]]&lt;&gt;0,Main_S[[#This Row],[Current Price]]/Main_S[[#This Row],[Free CF]],""),"")</f>
        <v>5.3301886792452828</v>
      </c>
      <c r="I117" s="1">
        <f>IF(ISNUMBER(Main_S[[#This Row],[BVPS]]),IF(Main_S[[#This Row],[BVPS]]&lt;&gt;0,Main_S[[#This Row],[Current Price]]/Main_S[[#This Row],[BVPS]],""),"")</f>
        <v>0.58936022253129339</v>
      </c>
      <c r="J117">
        <v>4.08</v>
      </c>
      <c r="K117">
        <v>0.53</v>
      </c>
      <c r="L117">
        <v>7.86</v>
      </c>
      <c r="M117" s="1">
        <f>IF(ISNUMBER(Main_S[[#This Row],[EPS]]),IF(Main_S[[#This Row],[EPS]]&lt;&gt;0,Main_S[[#This Row],[Current Price]]/Main_S[[#This Row],[EPS]],""),"")</f>
        <v>14.487179487179487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-1.4554030218296807</v>
      </c>
      <c r="P117" s="1">
        <f>(Main_S[[#This Row],[P/B]]-VLOOKUP(Main_S[[#This Row],[Industry]], Mean_PB_S, 2, FALSE))/(VLOOKUP(Main_S[[#This Row],[Industry]], Mean_PB_S, 3, FALSE))</f>
        <v>-1.8165706287389944</v>
      </c>
      <c r="Q117" s="1">
        <f>(Main_S[[#This Row],[ROE]]-VLOOKUP(Main_S[[#This Row],[Industry]], Mean_ROE_S, 2, FALSE))/(VLOOKUP(Main_S[[#This Row],[Industry]], Mean_ROE_S, 3, FALSE))</f>
        <v>-1.3004145866808665</v>
      </c>
      <c r="R117" s="1">
        <f>(Main_S[[#This Row],[ROA]]-VLOOKUP(Main_S[[#This Row],[Industry]], Mean_ROA_S, 2, FALSE))/(VLOOKUP(Main_S[[#This Row],[Industry]], Mean_ROA_S, 3, FALSE))</f>
        <v>-1.0268880325148131</v>
      </c>
      <c r="S117" s="1">
        <f>(Main_S[[#This Row],[A/E]]-VLOOKUP(Main_S[[#This Row],[Industry]], Mean_AE_S, 2, FALSE))/(VLOOKUP(Main_S[[#This Row],[Industry]], Mean_AE_S, 3, FALSE))</f>
        <v>-0.98683864087507522</v>
      </c>
      <c r="T117" s="1">
        <f>(Main_S[[#This Row],[P/E]]-VLOOKUP(Main_S[[#This Row],[Industry]], Mean_PE_S, 2, FALSE))/(VLOOKUP(Main_S[[#This Row],[Industry]], Mean_PE_S, 3, FALSE))</f>
        <v>0.8248854363494762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s="68" t="s">
        <v>105</v>
      </c>
      <c r="B118" s="68" t="s">
        <v>543</v>
      </c>
      <c r="C118" s="2">
        <v>1384</v>
      </c>
      <c r="D118">
        <f>RTD("tos.rtd", , "LAST", Main_S[[#This Row],[Symbol]])</f>
        <v>73.19</v>
      </c>
      <c r="E118">
        <v>7.29</v>
      </c>
      <c r="F118">
        <v>52.98</v>
      </c>
      <c r="G118">
        <v>5.97</v>
      </c>
      <c r="H118" s="1">
        <f>IF(ISNUMBER(Main_S[[#This Row],[Free CF]]),IF(Main_S[[#This Row],[Free CF]]&lt;&gt;0,Main_S[[#This Row],[Current Price]]/Main_S[[#This Row],[Free CF]],""),"")</f>
        <v>10.039780521262003</v>
      </c>
      <c r="I118" s="1">
        <f>IF(ISNUMBER(Main_S[[#This Row],[BVPS]]),IF(Main_S[[#This Row],[BVPS]]&lt;&gt;0,Main_S[[#This Row],[Current Price]]/Main_S[[#This Row],[BVPS]],""),"")</f>
        <v>1.3814647036617591</v>
      </c>
      <c r="J118">
        <v>11.98</v>
      </c>
      <c r="K118">
        <v>1.69</v>
      </c>
      <c r="L118">
        <v>6.84</v>
      </c>
      <c r="M118" s="1">
        <f>IF(ISNUMBER(Main_S[[#This Row],[EPS]]),IF(Main_S[[#This Row],[EPS]]&lt;&gt;0,Main_S[[#This Row],[Current Price]]/Main_S[[#This Row],[EPS]],""),"")</f>
        <v>12.259631490787269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-0.22349842781607487</v>
      </c>
      <c r="P118" s="1">
        <f>(Main_S[[#This Row],[P/B]]-VLOOKUP(Main_S[[#This Row],[Industry]], Mean_PB_S, 2, FALSE))/(VLOOKUP(Main_S[[#This Row],[Industry]], Mean_PB_S, 3, FALSE))</f>
        <v>1.0091555634523559</v>
      </c>
      <c r="Q118" s="1">
        <f>(Main_S[[#This Row],[ROE]]-VLOOKUP(Main_S[[#This Row],[Industry]], Mean_ROE_S, 2, FALSE))/(VLOOKUP(Main_S[[#This Row],[Industry]], Mean_ROE_S, 3, FALSE))</f>
        <v>0.62358601913532252</v>
      </c>
      <c r="R118" s="1">
        <f>(Main_S[[#This Row],[ROA]]-VLOOKUP(Main_S[[#This Row],[Industry]], Mean_ROA_S, 2, FALSE))/(VLOOKUP(Main_S[[#This Row],[Industry]], Mean_ROA_S, 3, FALSE))</f>
        <v>1.6698281872906255</v>
      </c>
      <c r="S118" s="1">
        <f>(Main_S[[#This Row],[A/E]]-VLOOKUP(Main_S[[#This Row],[Industry]], Mean_AE_S, 2, FALSE))/(VLOOKUP(Main_S[[#This Row],[Industry]], Mean_AE_S, 3, FALSE))</f>
        <v>-1.5767359070518121</v>
      </c>
      <c r="T118" s="1">
        <f>(Main_S[[#This Row],[P/E]]-VLOOKUP(Main_S[[#This Row],[Industry]], Mean_PE_S, 2, FALSE))/(VLOOKUP(Main_S[[#This Row],[Industry]], Mean_PE_S, 3, FALSE))</f>
        <v>-2.4609723877931571E-2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s="68" t="s">
        <v>105</v>
      </c>
      <c r="B119" s="68" t="s">
        <v>544</v>
      </c>
      <c r="C119" s="2">
        <v>372</v>
      </c>
      <c r="D119">
        <f>RTD("tos.rtd", , "LAST", Main_S[[#This Row],[Symbol]])</f>
        <v>56.9</v>
      </c>
      <c r="E119">
        <v>4.84</v>
      </c>
      <c r="F119">
        <v>49.18</v>
      </c>
      <c r="G119">
        <v>5.31</v>
      </c>
      <c r="H119" s="1">
        <f>IF(ISNUMBER(Main_S[[#This Row],[Free CF]]),IF(Main_S[[#This Row],[Free CF]]&lt;&gt;0,Main_S[[#This Row],[Current Price]]/Main_S[[#This Row],[Free CF]],""),"")</f>
        <v>11.756198347107437</v>
      </c>
      <c r="I119" s="1">
        <f>IF(ISNUMBER(Main_S[[#This Row],[BVPS]]),IF(Main_S[[#This Row],[BVPS]]&lt;&gt;0,Main_S[[#This Row],[Current Price]]/Main_S[[#This Row],[BVPS]],""),"")</f>
        <v>1.1569743798291989</v>
      </c>
      <c r="J119">
        <v>11.51</v>
      </c>
      <c r="K119">
        <v>1.1599999999999999</v>
      </c>
      <c r="L119">
        <v>9.56</v>
      </c>
      <c r="M119" s="1">
        <f>IF(ISNUMBER(Main_S[[#This Row],[EPS]]),IF(Main_S[[#This Row],[EPS]]&lt;&gt;0,Main_S[[#This Row],[Current Price]]/Main_S[[#This Row],[EPS]],""),"")</f>
        <v>10.715630885122412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0.22547105315711924</v>
      </c>
      <c r="P119" s="1">
        <f>(Main_S[[#This Row],[P/B]]-VLOOKUP(Main_S[[#This Row],[Industry]], Mean_PB_S, 2, FALSE))/(VLOOKUP(Main_S[[#This Row],[Industry]], Mean_PB_S, 3, FALSE))</f>
        <v>0.2083165288822417</v>
      </c>
      <c r="Q119" s="1">
        <f>(Main_S[[#This Row],[ROE]]-VLOOKUP(Main_S[[#This Row],[Industry]], Mean_ROE_S, 2, FALSE))/(VLOOKUP(Main_S[[#This Row],[Industry]], Mean_ROE_S, 3, FALSE))</f>
        <v>0.50912016030828333</v>
      </c>
      <c r="R119" s="1">
        <f>(Main_S[[#This Row],[ROA]]-VLOOKUP(Main_S[[#This Row],[Industry]], Mean_ROA_S, 2, FALSE))/(VLOOKUP(Main_S[[#This Row],[Industry]], Mean_ROA_S, 3, FALSE))</f>
        <v>0.43770784548296809</v>
      </c>
      <c r="S119" s="1">
        <f>(Main_S[[#This Row],[A/E]]-VLOOKUP(Main_S[[#This Row],[Industry]], Mean_AE_S, 2, FALSE))/(VLOOKUP(Main_S[[#This Row],[Industry]], Mean_AE_S, 3, FALSE))</f>
        <v>-3.6765305805140989E-3</v>
      </c>
      <c r="T119" s="1">
        <f>(Main_S[[#This Row],[P/E]]-VLOOKUP(Main_S[[#This Row],[Industry]], Mean_PE_S, 2, FALSE))/(VLOOKUP(Main_S[[#This Row],[Industry]], Mean_PE_S, 3, FALSE))</f>
        <v>-0.61342803173249216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s="68" t="s">
        <v>105</v>
      </c>
      <c r="B120" s="68" t="s">
        <v>545</v>
      </c>
      <c r="C120" s="2">
        <v>856</v>
      </c>
      <c r="D120">
        <f>RTD("tos.rtd", , "LAST", Main_S[[#This Row],[Symbol]])</f>
        <v>29.82</v>
      </c>
      <c r="E120">
        <v>1.86</v>
      </c>
      <c r="F120">
        <v>26.85</v>
      </c>
      <c r="G120">
        <v>2.91</v>
      </c>
      <c r="H120" s="1">
        <f>IF(ISNUMBER(Main_S[[#This Row],[Free CF]]),IF(Main_S[[#This Row],[Free CF]]&lt;&gt;0,Main_S[[#This Row],[Current Price]]/Main_S[[#This Row],[Free CF]],""),"")</f>
        <v>16.032258064516128</v>
      </c>
      <c r="I120" s="1">
        <f>IF(ISNUMBER(Main_S[[#This Row],[BVPS]]),IF(Main_S[[#This Row],[BVPS]]&lt;&gt;0,Main_S[[#This Row],[Current Price]]/Main_S[[#This Row],[BVPS]],""),"")</f>
        <v>1.1106145251396649</v>
      </c>
      <c r="J120">
        <v>11.03</v>
      </c>
      <c r="K120">
        <v>1.06</v>
      </c>
      <c r="L120">
        <v>10.220000000000001</v>
      </c>
      <c r="M120" s="1">
        <f>IF(ISNUMBER(Main_S[[#This Row],[EPS]]),IF(Main_S[[#This Row],[EPS]]&lt;&gt;0,Main_S[[#This Row],[Current Price]]/Main_S[[#This Row],[EPS]],""),"")</f>
        <v>10.24742268041237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1.3439751161114533</v>
      </c>
      <c r="P120" s="1">
        <f>(Main_S[[#This Row],[P/B]]-VLOOKUP(Main_S[[#This Row],[Industry]], Mean_PB_S, 2, FALSE))/(VLOOKUP(Main_S[[#This Row],[Industry]], Mean_PB_S, 3, FALSE))</f>
        <v>4.2933983040003641E-2</v>
      </c>
      <c r="Q120" s="1">
        <f>(Main_S[[#This Row],[ROE]]-VLOOKUP(Main_S[[#This Row],[Industry]], Mean_ROE_S, 2, FALSE))/(VLOOKUP(Main_S[[#This Row],[Industry]], Mean_ROE_S, 3, FALSE))</f>
        <v>0.39221885767641351</v>
      </c>
      <c r="R120" s="1">
        <f>(Main_S[[#This Row],[ROA]]-VLOOKUP(Main_S[[#This Row],[Industry]], Mean_ROA_S, 2, FALSE))/(VLOOKUP(Main_S[[#This Row],[Industry]], Mean_ROA_S, 3, FALSE))</f>
        <v>0.20523230929284436</v>
      </c>
      <c r="S120" s="1">
        <f>(Main_S[[#This Row],[A/E]]-VLOOKUP(Main_S[[#This Row],[Industry]], Mean_AE_S, 2, FALSE))/(VLOOKUP(Main_S[[#This Row],[Industry]], Mean_AE_S, 3, FALSE))</f>
        <v>0.37802170047502148</v>
      </c>
      <c r="T120" s="1">
        <f>(Main_S[[#This Row],[P/E]]-VLOOKUP(Main_S[[#This Row],[Industry]], Mean_PE_S, 2, FALSE))/(VLOOKUP(Main_S[[#This Row],[Industry]], Mean_PE_S, 3, FALSE))</f>
        <v>-0.79198337802542618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s="68" t="s">
        <v>105</v>
      </c>
      <c r="B121" s="68" t="s">
        <v>546</v>
      </c>
      <c r="C121" s="2">
        <v>295</v>
      </c>
      <c r="D121">
        <f>RTD("tos.rtd", , "LAST", Main_S[[#This Row],[Symbol]])</f>
        <v>36.450000000000003</v>
      </c>
      <c r="E121">
        <v>3.07</v>
      </c>
      <c r="F121">
        <v>41.33</v>
      </c>
      <c r="G121">
        <v>2.25</v>
      </c>
      <c r="H121" s="1">
        <f>IF(ISNUMBER(Main_S[[#This Row],[Free CF]]),IF(Main_S[[#This Row],[Free CF]]&lt;&gt;0,Main_S[[#This Row],[Current Price]]/Main_S[[#This Row],[Free CF]],""),"")</f>
        <v>11.87296416938111</v>
      </c>
      <c r="I121" s="1">
        <f>IF(ISNUMBER(Main_S[[#This Row],[BVPS]]),IF(Main_S[[#This Row],[BVPS]]&lt;&gt;0,Main_S[[#This Row],[Current Price]]/Main_S[[#This Row],[BVPS]],""),"")</f>
        <v>0.88192596177111071</v>
      </c>
      <c r="J121">
        <v>5.6</v>
      </c>
      <c r="K121">
        <v>0.44</v>
      </c>
      <c r="L121">
        <v>12.69</v>
      </c>
      <c r="M121" s="1">
        <f>IF(ISNUMBER(Main_S[[#This Row],[EPS]]),IF(Main_S[[#This Row],[EPS]]&lt;&gt;0,Main_S[[#This Row],[Current Price]]/Main_S[[#This Row],[EPS]],""),"")</f>
        <v>16.200000000000003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0.25601390224212967</v>
      </c>
      <c r="P121" s="1">
        <f>(Main_S[[#This Row],[P/B]]-VLOOKUP(Main_S[[#This Row],[Industry]], Mean_PB_S, 2, FALSE))/(VLOOKUP(Main_S[[#This Row],[Industry]], Mean_PB_S, 3, FALSE))</f>
        <v>-0.77288170637874976</v>
      </c>
      <c r="Q121" s="1">
        <f>(Main_S[[#This Row],[ROE]]-VLOOKUP(Main_S[[#This Row],[Industry]], Mean_ROE_S, 2, FALSE))/(VLOOKUP(Main_S[[#This Row],[Industry]], Mean_ROE_S, 3, FALSE))</f>
        <v>-0.93022712834661259</v>
      </c>
      <c r="R121" s="1">
        <f>(Main_S[[#This Row],[ROA]]-VLOOKUP(Main_S[[#This Row],[Industry]], Mean_ROA_S, 2, FALSE))/(VLOOKUP(Main_S[[#This Row],[Industry]], Mean_ROA_S, 3, FALSE))</f>
        <v>-1.2361160150859247</v>
      </c>
      <c r="S121" s="1">
        <f>(Main_S[[#This Row],[A/E]]-VLOOKUP(Main_S[[#This Row],[Industry]], Mean_AE_S, 2, FALSE))/(VLOOKUP(Main_S[[#This Row],[Industry]], Mean_AE_S, 3, FALSE))</f>
        <v>1.8064984136677067</v>
      </c>
      <c r="T121" s="1">
        <f>(Main_S[[#This Row],[P/E]]-VLOOKUP(Main_S[[#This Row],[Industry]], Mean_PE_S, 2, FALSE))/(VLOOKUP(Main_S[[#This Row],[Industry]], Mean_PE_S, 3, FALSE))</f>
        <v>1.4780847112184601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8" t="s">
        <v>105</v>
      </c>
      <c r="B122" s="68" t="s">
        <v>547</v>
      </c>
      <c r="C122" s="2">
        <v>478</v>
      </c>
      <c r="D122">
        <f>RTD("tos.rtd", , "LAST", Main_S[[#This Row],[Symbol]])</f>
        <v>15.06</v>
      </c>
      <c r="E122">
        <v>1.25</v>
      </c>
      <c r="F122">
        <v>16.55</v>
      </c>
      <c r="G122">
        <v>1.48</v>
      </c>
      <c r="H122" s="1">
        <f>IF(ISNUMBER(Main_S[[#This Row],[Free CF]]),IF(Main_S[[#This Row],[Free CF]]&lt;&gt;0,Main_S[[#This Row],[Current Price]]/Main_S[[#This Row],[Free CF]],""),"")</f>
        <v>12.048</v>
      </c>
      <c r="I122" s="1">
        <f>IF(ISNUMBER(Main_S[[#This Row],[BVPS]]),IF(Main_S[[#This Row],[BVPS]]&lt;&gt;0,Main_S[[#This Row],[Current Price]]/Main_S[[#This Row],[BVPS]],""),"")</f>
        <v>0.9099697885196375</v>
      </c>
      <c r="J122">
        <v>9.27</v>
      </c>
      <c r="K122">
        <v>0.82</v>
      </c>
      <c r="L122">
        <v>11.18</v>
      </c>
      <c r="M122" s="1">
        <f>IF(ISNUMBER(Main_S[[#This Row],[EPS]]),IF(Main_S[[#This Row],[EPS]]&lt;&gt;0,Main_S[[#This Row],[Current Price]]/Main_S[[#This Row],[EPS]],""),"")</f>
        <v>10.175675675675675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0.30179864348715091</v>
      </c>
      <c r="P122" s="1">
        <f>(Main_S[[#This Row],[P/B]]-VLOOKUP(Main_S[[#This Row],[Industry]], Mean_PB_S, 2, FALSE))/(VLOOKUP(Main_S[[#This Row],[Industry]], Mean_PB_S, 3, FALSE))</f>
        <v>-0.67283912656719025</v>
      </c>
      <c r="Q122" s="1">
        <f>(Main_S[[#This Row],[ROE]]-VLOOKUP(Main_S[[#This Row],[Industry]], Mean_ROE_S, 2, FALSE))/(VLOOKUP(Main_S[[#This Row],[Industry]], Mean_ROE_S, 3, FALSE))</f>
        <v>-3.6419251973775414E-2</v>
      </c>
      <c r="R122" s="1">
        <f>(Main_S[[#This Row],[ROA]]-VLOOKUP(Main_S[[#This Row],[Industry]], Mean_ROA_S, 2, FALSE))/(VLOOKUP(Main_S[[#This Row],[Industry]], Mean_ROA_S, 3, FALSE))</f>
        <v>-0.3527089775634536</v>
      </c>
      <c r="S122" s="1">
        <f>(Main_S[[#This Row],[A/E]]-VLOOKUP(Main_S[[#This Row],[Industry]], Mean_AE_S, 2, FALSE))/(VLOOKUP(Main_S[[#This Row],[Industry]], Mean_AE_S, 3, FALSE))</f>
        <v>0.93321912746489066</v>
      </c>
      <c r="T122" s="1">
        <f>(Main_S[[#This Row],[P/E]]-VLOOKUP(Main_S[[#This Row],[Industry]], Mean_PE_S, 2, FALSE))/(VLOOKUP(Main_S[[#This Row],[Industry]], Mean_PE_S, 3, FALSE))</f>
        <v>-0.81934473382262962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8" t="s">
        <v>105</v>
      </c>
      <c r="B123" s="68" t="s">
        <v>548</v>
      </c>
      <c r="C123" s="2">
        <v>593</v>
      </c>
      <c r="D123">
        <f>RTD("tos.rtd", , "LAST", Main_S[[#This Row],[Symbol]])</f>
        <v>55.16</v>
      </c>
      <c r="E123">
        <v>5.29</v>
      </c>
      <c r="F123">
        <v>46.8</v>
      </c>
      <c r="G123">
        <v>4.99</v>
      </c>
      <c r="H123" s="1">
        <f>IF(ISNUMBER(Main_S[[#This Row],[Free CF]]),IF(Main_S[[#This Row],[Free CF]]&lt;&gt;0,Main_S[[#This Row],[Current Price]]/Main_S[[#This Row],[Free CF]],""),"")</f>
        <v>10.427221172022684</v>
      </c>
      <c r="I123" s="1">
        <f>IF(ISNUMBER(Main_S[[#This Row],[BVPS]]),IF(Main_S[[#This Row],[BVPS]]&lt;&gt;0,Main_S[[#This Row],[Current Price]]/Main_S[[#This Row],[BVPS]],""),"")</f>
        <v>1.1786324786324787</v>
      </c>
      <c r="J123">
        <v>11.17</v>
      </c>
      <c r="K123">
        <v>1.17</v>
      </c>
      <c r="L123">
        <v>9.41</v>
      </c>
      <c r="M123" s="1">
        <f>IF(ISNUMBER(Main_S[[#This Row],[EPS]]),IF(Main_S[[#This Row],[EPS]]&lt;&gt;0,Main_S[[#This Row],[Current Price]]/Main_S[[#This Row],[EPS]],""),"")</f>
        <v>11.054108216432864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-0.12215420657771792</v>
      </c>
      <c r="P123" s="1">
        <f>(Main_S[[#This Row],[P/B]]-VLOOKUP(Main_S[[#This Row],[Industry]], Mean_PB_S, 2, FALSE))/(VLOOKUP(Main_S[[#This Row],[Industry]], Mean_PB_S, 3, FALSE))</f>
        <v>0.28557888317943397</v>
      </c>
      <c r="Q123" s="1">
        <f>(Main_S[[#This Row],[ROE]]-VLOOKUP(Main_S[[#This Row],[Industry]], Mean_ROE_S, 2, FALSE))/(VLOOKUP(Main_S[[#This Row],[Industry]], Mean_ROE_S, 3, FALSE))</f>
        <v>0.42631507094404231</v>
      </c>
      <c r="R123" s="1">
        <f>(Main_S[[#This Row],[ROA]]-VLOOKUP(Main_S[[#This Row],[Industry]], Mean_ROA_S, 2, FALSE))/(VLOOKUP(Main_S[[#This Row],[Industry]], Mean_ROA_S, 3, FALSE))</f>
        <v>0.46095539910198052</v>
      </c>
      <c r="S123" s="1">
        <f>(Main_S[[#This Row],[A/E]]-VLOOKUP(Main_S[[#This Row],[Industry]], Mean_AE_S, 2, FALSE))/(VLOOKUP(Main_S[[#This Row],[Industry]], Mean_AE_S, 3, FALSE))</f>
        <v>-9.0426128547681464E-2</v>
      </c>
      <c r="T123" s="1">
        <f>(Main_S[[#This Row],[P/E]]-VLOOKUP(Main_S[[#This Row],[Industry]], Mean_PE_S, 2, FALSE))/(VLOOKUP(Main_S[[#This Row],[Industry]], Mean_PE_S, 3, FALSE))</f>
        <v>-0.48434670317723089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s="68" t="s">
        <v>105</v>
      </c>
      <c r="B124" s="68" t="s">
        <v>549</v>
      </c>
      <c r="C124" s="2">
        <v>516</v>
      </c>
      <c r="D124">
        <f>RTD("tos.rtd", , "LAST", Main_S[[#This Row],[Symbol]])</f>
        <v>31.82</v>
      </c>
      <c r="E124">
        <v>2.76</v>
      </c>
      <c r="F124">
        <v>29.72</v>
      </c>
      <c r="G124">
        <v>2.2599999999999998</v>
      </c>
      <c r="H124" s="1">
        <f>IF(ISNUMBER(Main_S[[#This Row],[Free CF]]),IF(Main_S[[#This Row],[Free CF]]&lt;&gt;0,Main_S[[#This Row],[Current Price]]/Main_S[[#This Row],[Free CF]],""),"")</f>
        <v>11.528985507246377</v>
      </c>
      <c r="I124" s="1">
        <f>IF(ISNUMBER(Main_S[[#This Row],[BVPS]]),IF(Main_S[[#This Row],[BVPS]]&lt;&gt;0,Main_S[[#This Row],[Current Price]]/Main_S[[#This Row],[BVPS]],""),"")</f>
        <v>1.0706594885598923</v>
      </c>
      <c r="J124">
        <v>7.82</v>
      </c>
      <c r="K124">
        <v>0.73</v>
      </c>
      <c r="L124">
        <v>10.7</v>
      </c>
      <c r="M124" s="1">
        <f>IF(ISNUMBER(Main_S[[#This Row],[EPS]]),IF(Main_S[[#This Row],[EPS]]&lt;&gt;0,Main_S[[#This Row],[Current Price]]/Main_S[[#This Row],[EPS]],""),"")</f>
        <v>14.079646017699117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0.16603818707591364</v>
      </c>
      <c r="P124" s="1">
        <f>(Main_S[[#This Row],[P/B]]-VLOOKUP(Main_S[[#This Row],[Industry]], Mean_PB_S, 2, FALSE))/(VLOOKUP(Main_S[[#This Row],[Industry]], Mean_PB_S, 3, FALSE))</f>
        <v>-9.9600235693737937E-2</v>
      </c>
      <c r="Q124" s="1">
        <f>(Main_S[[#This Row],[ROE]]-VLOOKUP(Main_S[[#This Row],[Industry]], Mean_ROE_S, 2, FALSE))/(VLOOKUP(Main_S[[#This Row],[Industry]], Mean_ROE_S, 3, FALSE))</f>
        <v>-0.38955860367421502</v>
      </c>
      <c r="R124" s="1">
        <f>(Main_S[[#This Row],[ROA]]-VLOOKUP(Main_S[[#This Row],[Industry]], Mean_ROA_S, 2, FALSE))/(VLOOKUP(Main_S[[#This Row],[Industry]], Mean_ROA_S, 3, FALSE))</f>
        <v>-0.56193696013456518</v>
      </c>
      <c r="S124" s="1">
        <f>(Main_S[[#This Row],[A/E]]-VLOOKUP(Main_S[[#This Row],[Industry]], Mean_AE_S, 2, FALSE))/(VLOOKUP(Main_S[[#This Row],[Industry]], Mean_AE_S, 3, FALSE))</f>
        <v>0.65562041396995552</v>
      </c>
      <c r="T124" s="1">
        <f>(Main_S[[#This Row],[P/E]]-VLOOKUP(Main_S[[#This Row],[Industry]], Mean_PE_S, 2, FALSE))/(VLOOKUP(Main_S[[#This Row],[Industry]], Mean_PE_S, 3, FALSE))</f>
        <v>0.66946893779816907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s="68" t="s">
        <v>105</v>
      </c>
      <c r="B125" s="68" t="s">
        <v>550</v>
      </c>
      <c r="C125" s="2">
        <v>550</v>
      </c>
      <c r="D125">
        <f>RTD("tos.rtd", , "LAST", Main_S[[#This Row],[Symbol]])</f>
        <v>35.69</v>
      </c>
      <c r="E125">
        <v>3.41</v>
      </c>
      <c r="F125">
        <v>27.33</v>
      </c>
      <c r="G125">
        <v>3</v>
      </c>
      <c r="H125" s="1">
        <f>IF(ISNUMBER(Main_S[[#This Row],[Free CF]]),IF(Main_S[[#This Row],[Free CF]]&lt;&gt;0,Main_S[[#This Row],[Current Price]]/Main_S[[#This Row],[Free CF]],""),"")</f>
        <v>10.466275659824046</v>
      </c>
      <c r="I125" s="1">
        <f>IF(ISNUMBER(Main_S[[#This Row],[BVPS]]),IF(Main_S[[#This Row],[BVPS]]&lt;&gt;0,Main_S[[#This Row],[Current Price]]/Main_S[[#This Row],[BVPS]],""),"")</f>
        <v>1.305890962312477</v>
      </c>
      <c r="J125">
        <v>12</v>
      </c>
      <c r="K125">
        <v>1.19</v>
      </c>
      <c r="L125">
        <v>9.93</v>
      </c>
      <c r="M125" s="1">
        <f>IF(ISNUMBER(Main_S[[#This Row],[EPS]]),IF(Main_S[[#This Row],[EPS]]&lt;&gt;0,Main_S[[#This Row],[Current Price]]/Main_S[[#This Row],[EPS]],""),"")</f>
        <v>11.896666666666667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-0.11193858608378902</v>
      </c>
      <c r="P125" s="1">
        <f>(Main_S[[#This Row],[P/B]]-VLOOKUP(Main_S[[#This Row],[Industry]], Mean_PB_S, 2, FALSE))/(VLOOKUP(Main_S[[#This Row],[Industry]], Mean_PB_S, 3, FALSE))</f>
        <v>0.73955640644747667</v>
      </c>
      <c r="Q125" s="1">
        <f>(Main_S[[#This Row],[ROE]]-VLOOKUP(Main_S[[#This Row],[Industry]], Mean_ROE_S, 2, FALSE))/(VLOOKUP(Main_S[[#This Row],[Industry]], Mean_ROE_S, 3, FALSE))</f>
        <v>0.62845690674498367</v>
      </c>
      <c r="R125" s="1">
        <f>(Main_S[[#This Row],[ROA]]-VLOOKUP(Main_S[[#This Row],[Industry]], Mean_ROA_S, 2, FALSE))/(VLOOKUP(Main_S[[#This Row],[Industry]], Mean_ROA_S, 3, FALSE))</f>
        <v>0.50745050634000533</v>
      </c>
      <c r="S125" s="1">
        <f>(Main_S[[#This Row],[A/E]]-VLOOKUP(Main_S[[#This Row],[Industry]], Mean_AE_S, 2, FALSE))/(VLOOKUP(Main_S[[#This Row],[Industry]], Mean_AE_S, 3, FALSE))</f>
        <v>0.21030581107183111</v>
      </c>
      <c r="T125" s="1">
        <f>(Main_S[[#This Row],[P/E]]-VLOOKUP(Main_S[[#This Row],[Industry]], Mean_PE_S, 2, FALSE))/(VLOOKUP(Main_S[[#This Row],[Industry]], Mean_PE_S, 3, FALSE))</f>
        <v>-0.16302957472856777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8" t="s">
        <v>105</v>
      </c>
      <c r="B126" s="68" t="s">
        <v>551</v>
      </c>
      <c r="C126" s="2">
        <v>1481</v>
      </c>
      <c r="D126">
        <f>RTD("tos.rtd", , "LAST", Main_S[[#This Row],[Symbol]])</f>
        <v>62.88</v>
      </c>
      <c r="E126">
        <v>8.5399999999999991</v>
      </c>
      <c r="F126">
        <v>47.29</v>
      </c>
      <c r="G126">
        <v>5.69</v>
      </c>
      <c r="H126" s="1">
        <f>IF(ISNUMBER(Main_S[[#This Row],[Free CF]]),IF(Main_S[[#This Row],[Free CF]]&lt;&gt;0,Main_S[[#This Row],[Current Price]]/Main_S[[#This Row],[Free CF]],""),"")</f>
        <v>7.3629976580796264</v>
      </c>
      <c r="I126" s="1">
        <f>IF(ISNUMBER(Main_S[[#This Row],[BVPS]]),IF(Main_S[[#This Row],[BVPS]]&lt;&gt;0,Main_S[[#This Row],[Current Price]]/Main_S[[#This Row],[BVPS]],""),"")</f>
        <v>1.3296680059209136</v>
      </c>
      <c r="J126">
        <v>12.22</v>
      </c>
      <c r="K126">
        <v>1.6</v>
      </c>
      <c r="L126">
        <v>7.72</v>
      </c>
      <c r="M126" s="1">
        <f>IF(ISNUMBER(Main_S[[#This Row],[EPS]]),IF(Main_S[[#This Row],[EPS]]&lt;&gt;0,Main_S[[#This Row],[Current Price]]/Main_S[[#This Row],[EPS]],""),"")</f>
        <v>11.050966608084359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-0.92367398802326361</v>
      </c>
      <c r="P126" s="1">
        <f>(Main_S[[#This Row],[P/B]]-VLOOKUP(Main_S[[#This Row],[Industry]], Mean_PB_S, 2, FALSE))/(VLOOKUP(Main_S[[#This Row],[Industry]], Mean_PB_S, 3, FALSE))</f>
        <v>0.82437781132243393</v>
      </c>
      <c r="Q126" s="1">
        <f>(Main_S[[#This Row],[ROE]]-VLOOKUP(Main_S[[#This Row],[Industry]], Mean_ROE_S, 2, FALSE))/(VLOOKUP(Main_S[[#This Row],[Industry]], Mean_ROE_S, 3, FALSE))</f>
        <v>0.68203667045125749</v>
      </c>
      <c r="R126" s="1">
        <f>(Main_S[[#This Row],[ROA]]-VLOOKUP(Main_S[[#This Row],[Industry]], Mean_ROA_S, 2, FALSE))/(VLOOKUP(Main_S[[#This Row],[Industry]], Mean_ROA_S, 3, FALSE))</f>
        <v>1.4606002047195144</v>
      </c>
      <c r="S126" s="1">
        <f>(Main_S[[#This Row],[A/E]]-VLOOKUP(Main_S[[#This Row],[Industry]], Mean_AE_S, 2, FALSE))/(VLOOKUP(Main_S[[#This Row],[Industry]], Mean_AE_S, 3, FALSE))</f>
        <v>-1.0678049323110983</v>
      </c>
      <c r="T126" s="1">
        <f>(Main_S[[#This Row],[P/E]]-VLOOKUP(Main_S[[#This Row],[Industry]], Mean_PE_S, 2, FALSE))/(VLOOKUP(Main_S[[#This Row],[Industry]], Mean_PE_S, 3, FALSE))</f>
        <v>-0.48554478334955831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s="68" t="s">
        <v>105</v>
      </c>
      <c r="B127" s="68" t="s">
        <v>552</v>
      </c>
      <c r="C127" s="2">
        <v>342</v>
      </c>
      <c r="D127">
        <f>RTD("tos.rtd", , "LAST", Main_S[[#This Row],[Symbol]])</f>
        <v>36.6</v>
      </c>
      <c r="E127">
        <v>4.08</v>
      </c>
      <c r="F127">
        <v>29.25</v>
      </c>
      <c r="G127">
        <v>3.8</v>
      </c>
      <c r="H127" s="1">
        <f>IF(ISNUMBER(Main_S[[#This Row],[Free CF]]),IF(Main_S[[#This Row],[Free CF]]&lt;&gt;0,Main_S[[#This Row],[Current Price]]/Main_S[[#This Row],[Free CF]],""),"")</f>
        <v>8.9705882352941178</v>
      </c>
      <c r="I127" s="1">
        <f>IF(ISNUMBER(Main_S[[#This Row],[BVPS]]),IF(Main_S[[#This Row],[BVPS]]&lt;&gt;0,Main_S[[#This Row],[Current Price]]/Main_S[[#This Row],[BVPS]],""),"")</f>
        <v>1.2512820512820513</v>
      </c>
      <c r="J127">
        <v>14.46</v>
      </c>
      <c r="K127">
        <v>1.38</v>
      </c>
      <c r="L127">
        <v>9.83</v>
      </c>
      <c r="M127" s="1">
        <f>IF(ISNUMBER(Main_S[[#This Row],[EPS]]),IF(Main_S[[#This Row],[EPS]]&lt;&gt;0,Main_S[[#This Row],[Current Price]]/Main_S[[#This Row],[EPS]],""),"")</f>
        <v>9.6315789473684212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-0.50317083535186791</v>
      </c>
      <c r="P127" s="1">
        <f>(Main_S[[#This Row],[P/B]]-VLOOKUP(Main_S[[#This Row],[Industry]], Mean_PB_S, 2, FALSE))/(VLOOKUP(Main_S[[#This Row],[Industry]], Mean_PB_S, 3, FALSE))</f>
        <v>0.54474646167163698</v>
      </c>
      <c r="Q127" s="1">
        <f>(Main_S[[#This Row],[ROE]]-VLOOKUP(Main_S[[#This Row],[Industry]], Mean_ROE_S, 2, FALSE))/(VLOOKUP(Main_S[[#This Row],[Industry]], Mean_ROE_S, 3, FALSE))</f>
        <v>1.2275760827333162</v>
      </c>
      <c r="R127" s="1">
        <f>(Main_S[[#This Row],[ROA]]-VLOOKUP(Main_S[[#This Row],[Industry]], Mean_ROA_S, 2, FALSE))/(VLOOKUP(Main_S[[#This Row],[Industry]], Mean_ROA_S, 3, FALSE))</f>
        <v>0.94915402510124092</v>
      </c>
      <c r="S127" s="1">
        <f>(Main_S[[#This Row],[A/E]]-VLOOKUP(Main_S[[#This Row],[Industry]], Mean_AE_S, 2, FALSE))/(VLOOKUP(Main_S[[#This Row],[Industry]], Mean_AE_S, 3, FALSE))</f>
        <v>0.15247274576038652</v>
      </c>
      <c r="T127" s="1">
        <f>(Main_S[[#This Row],[P/E]]-VLOOKUP(Main_S[[#This Row],[Industry]], Mean_PE_S, 2, FALSE))/(VLOOKUP(Main_S[[#This Row],[Industry]], Mean_PE_S, 3, FALSE))</f>
        <v>-1.02684084081614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s="68" t="s">
        <v>105</v>
      </c>
      <c r="B128" s="68" t="s">
        <v>553</v>
      </c>
      <c r="C128" s="2">
        <v>1420</v>
      </c>
      <c r="D128">
        <f>RTD("tos.rtd", , "LAST", Main_S[[#This Row],[Symbol]])</f>
        <v>38.76</v>
      </c>
      <c r="E128">
        <v>4.46</v>
      </c>
      <c r="F128">
        <v>37.06</v>
      </c>
      <c r="G128">
        <v>3.46</v>
      </c>
      <c r="H128" s="1">
        <f>IF(ISNUMBER(Main_S[[#This Row],[Free CF]]),IF(Main_S[[#This Row],[Free CF]]&lt;&gt;0,Main_S[[#This Row],[Current Price]]/Main_S[[#This Row],[Free CF]],""),"")</f>
        <v>8.6905829596412545</v>
      </c>
      <c r="I128" s="1">
        <f>IF(ISNUMBER(Main_S[[#This Row],[BVPS]]),IF(Main_S[[#This Row],[BVPS]]&lt;&gt;0,Main_S[[#This Row],[Current Price]]/Main_S[[#This Row],[BVPS]],""),"")</f>
        <v>1.0458715596330275</v>
      </c>
      <c r="J128">
        <v>9.84</v>
      </c>
      <c r="K128">
        <v>1.39</v>
      </c>
      <c r="L128">
        <v>6.85</v>
      </c>
      <c r="M128" s="1">
        <f>IF(ISNUMBER(Main_S[[#This Row],[EPS]]),IF(Main_S[[#This Row],[EPS]]&lt;&gt;0,Main_S[[#This Row],[Current Price]]/Main_S[[#This Row],[EPS]],""),"")</f>
        <v>11.202312138728324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-0.57641280556835695</v>
      </c>
      <c r="P128" s="1">
        <f>(Main_S[[#This Row],[P/B]]-VLOOKUP(Main_S[[#This Row],[Industry]], Mean_PB_S, 2, FALSE))/(VLOOKUP(Main_S[[#This Row],[Industry]], Mean_PB_S, 3, FALSE))</f>
        <v>-0.18802783797021458</v>
      </c>
      <c r="Q128" s="1">
        <f>(Main_S[[#This Row],[ROE]]-VLOOKUP(Main_S[[#This Row],[Industry]], Mean_ROE_S, 2, FALSE))/(VLOOKUP(Main_S[[#This Row],[Industry]], Mean_ROE_S, 3, FALSE))</f>
        <v>0.10240104490156994</v>
      </c>
      <c r="R128" s="1">
        <f>(Main_S[[#This Row],[ROA]]-VLOOKUP(Main_S[[#This Row],[Industry]], Mean_ROA_S, 2, FALSE))/(VLOOKUP(Main_S[[#This Row],[Industry]], Mean_ROA_S, 3, FALSE))</f>
        <v>0.97240157872025335</v>
      </c>
      <c r="S128" s="1">
        <f>(Main_S[[#This Row],[A/E]]-VLOOKUP(Main_S[[#This Row],[Industry]], Mean_AE_S, 2, FALSE))/(VLOOKUP(Main_S[[#This Row],[Industry]], Mean_AE_S, 3, FALSE))</f>
        <v>-1.5709526005206678</v>
      </c>
      <c r="T128" s="1">
        <f>(Main_S[[#This Row],[P/E]]-VLOOKUP(Main_S[[#This Row],[Industry]], Mean_PE_S, 2, FALSE))/(VLOOKUP(Main_S[[#This Row],[Industry]], Mean_PE_S, 3, FALSE))</f>
        <v>-0.42782782460733254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8" t="s">
        <v>105</v>
      </c>
      <c r="B129" s="68" t="s">
        <v>554</v>
      </c>
      <c r="C129" s="2">
        <v>1340</v>
      </c>
      <c r="D129">
        <f>RTD("tos.rtd", , "LAST", Main_S[[#This Row],[Symbol]])</f>
        <v>27.17</v>
      </c>
      <c r="E129">
        <v>1.7</v>
      </c>
      <c r="F129">
        <v>30.89</v>
      </c>
      <c r="G129">
        <v>2.12</v>
      </c>
      <c r="H129" s="1">
        <f>IF(ISNUMBER(Main_S[[#This Row],[Free CF]]),IF(Main_S[[#This Row],[Free CF]]&lt;&gt;0,Main_S[[#This Row],[Current Price]]/Main_S[[#This Row],[Free CF]],""),"")</f>
        <v>15.982352941176472</v>
      </c>
      <c r="I129" s="1">
        <f>IF(ISNUMBER(Main_S[[#This Row],[BVPS]]),IF(Main_S[[#This Row],[BVPS]]&lt;&gt;0,Main_S[[#This Row],[Current Price]]/Main_S[[#This Row],[BVPS]],""),"")</f>
        <v>0.87957267724182586</v>
      </c>
      <c r="J129">
        <v>7.23</v>
      </c>
      <c r="K129">
        <v>1.07</v>
      </c>
      <c r="L129">
        <v>6.48</v>
      </c>
      <c r="M129" s="1">
        <f>IF(ISNUMBER(Main_S[[#This Row],[EPS]]),IF(Main_S[[#This Row],[EPS]]&lt;&gt;0,Main_S[[#This Row],[Current Price]]/Main_S[[#This Row],[EPS]],""),"")</f>
        <v>12.816037735849056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1.3309212565055193</v>
      </c>
      <c r="P129" s="1">
        <f>(Main_S[[#This Row],[P/B]]-VLOOKUP(Main_S[[#This Row],[Industry]], Mean_PB_S, 2, FALSE))/(VLOOKUP(Main_S[[#This Row],[Industry]], Mean_PB_S, 3, FALSE))</f>
        <v>-0.78127673240181761</v>
      </c>
      <c r="Q129" s="1">
        <f>(Main_S[[#This Row],[ROE]]-VLOOKUP(Main_S[[#This Row],[Industry]], Mean_ROE_S, 2, FALSE))/(VLOOKUP(Main_S[[#This Row],[Industry]], Mean_ROE_S, 3, FALSE))</f>
        <v>-0.53324978815922153</v>
      </c>
      <c r="R129" s="1">
        <f>(Main_S[[#This Row],[ROA]]-VLOOKUP(Main_S[[#This Row],[Industry]], Mean_ROA_S, 2, FALSE))/(VLOOKUP(Main_S[[#This Row],[Industry]], Mean_ROA_S, 3, FALSE))</f>
        <v>0.22847986291185679</v>
      </c>
      <c r="S129" s="1">
        <f>(Main_S[[#This Row],[A/E]]-VLOOKUP(Main_S[[#This Row],[Industry]], Mean_AE_S, 2, FALSE))/(VLOOKUP(Main_S[[#This Row],[Industry]], Mean_AE_S, 3, FALSE))</f>
        <v>-1.784934942173013</v>
      </c>
      <c r="T129" s="1">
        <f>(Main_S[[#This Row],[P/E]]-VLOOKUP(Main_S[[#This Row],[Industry]], Mean_PE_S, 2, FALSE))/(VLOOKUP(Main_S[[#This Row],[Industry]], Mean_PE_S, 3, FALSE))</f>
        <v>0.18758072636863093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s="68" t="s">
        <v>105</v>
      </c>
      <c r="B130" s="68" t="s">
        <v>555</v>
      </c>
      <c r="C130" s="2">
        <v>1287</v>
      </c>
      <c r="D130">
        <f>RTD("tos.rtd", , "LAST", Main_S[[#This Row],[Symbol]])</f>
        <v>41.26</v>
      </c>
      <c r="E130">
        <v>3.18</v>
      </c>
      <c r="F130">
        <v>38.17</v>
      </c>
      <c r="G130">
        <v>3.43</v>
      </c>
      <c r="H130" s="1">
        <f>IF(ISNUMBER(Main_S[[#This Row],[Free CF]]),IF(Main_S[[#This Row],[Free CF]]&lt;&gt;0,Main_S[[#This Row],[Current Price]]/Main_S[[#This Row],[Free CF]],""),"")</f>
        <v>12.974842767295597</v>
      </c>
      <c r="I130" s="1">
        <f>IF(ISNUMBER(Main_S[[#This Row],[BVPS]]),IF(Main_S[[#This Row],[BVPS]]&lt;&gt;0,Main_S[[#This Row],[Current Price]]/Main_S[[#This Row],[BVPS]],""),"")</f>
        <v>1.0809536285040606</v>
      </c>
      <c r="J130">
        <v>9.3800000000000008</v>
      </c>
      <c r="K130">
        <v>1.1599999999999999</v>
      </c>
      <c r="L130">
        <v>7.82</v>
      </c>
      <c r="M130" s="1">
        <f>IF(ISNUMBER(Main_S[[#This Row],[EPS]]),IF(Main_S[[#This Row],[EPS]]&lt;&gt;0,Main_S[[#This Row],[Current Price]]/Main_S[[#This Row],[EPS]],""),"")</f>
        <v>12.029154518950437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0.54423618399189244</v>
      </c>
      <c r="P130" s="1">
        <f>(Main_S[[#This Row],[P/B]]-VLOOKUP(Main_S[[#This Row],[Industry]], Mean_PB_S, 2, FALSE))/(VLOOKUP(Main_S[[#This Row],[Industry]], Mean_PB_S, 3, FALSE))</f>
        <v>-6.2877276085170311E-2</v>
      </c>
      <c r="Q130" s="1">
        <f>(Main_S[[#This Row],[ROE]]-VLOOKUP(Main_S[[#This Row],[Industry]], Mean_ROE_S, 2, FALSE))/(VLOOKUP(Main_S[[#This Row],[Industry]], Mean_ROE_S, 3, FALSE))</f>
        <v>-9.6293701206383066E-3</v>
      </c>
      <c r="R130" s="1">
        <f>(Main_S[[#This Row],[ROA]]-VLOOKUP(Main_S[[#This Row],[Industry]], Mean_ROA_S, 2, FALSE))/(VLOOKUP(Main_S[[#This Row],[Industry]], Mean_ROA_S, 3, FALSE))</f>
        <v>0.43770784548296809</v>
      </c>
      <c r="S130" s="1">
        <f>(Main_S[[#This Row],[A/E]]-VLOOKUP(Main_S[[#This Row],[Industry]], Mean_AE_S, 2, FALSE))/(VLOOKUP(Main_S[[#This Row],[Industry]], Mean_AE_S, 3, FALSE))</f>
        <v>-1.0099718669996531</v>
      </c>
      <c r="T130" s="1">
        <f>(Main_S[[#This Row],[P/E]]-VLOOKUP(Main_S[[#This Row],[Industry]], Mean_PE_S, 2, FALSE))/(VLOOKUP(Main_S[[#This Row],[Industry]], Mean_PE_S, 3, FALSE))</f>
        <v>-0.11250415867186728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s="68" t="s">
        <v>105</v>
      </c>
      <c r="B131" s="68" t="s">
        <v>556</v>
      </c>
      <c r="C131" s="2">
        <v>411</v>
      </c>
      <c r="D131">
        <f>RTD("tos.rtd", , "LAST", Main_S[[#This Row],[Symbol]])</f>
        <v>32.200000000000003</v>
      </c>
      <c r="E131">
        <v>2.1</v>
      </c>
      <c r="F131">
        <v>34.700000000000003</v>
      </c>
      <c r="G131">
        <v>2.95</v>
      </c>
      <c r="H131" s="1">
        <f>IF(ISNUMBER(Main_S[[#This Row],[Free CF]]),IF(Main_S[[#This Row],[Free CF]]&lt;&gt;0,Main_S[[#This Row],[Current Price]]/Main_S[[#This Row],[Free CF]],""),"")</f>
        <v>15.333333333333334</v>
      </c>
      <c r="I131" s="1">
        <f>IF(ISNUMBER(Main_S[[#This Row],[BVPS]]),IF(Main_S[[#This Row],[BVPS]]&lt;&gt;0,Main_S[[#This Row],[Current Price]]/Main_S[[#This Row],[BVPS]],""),"")</f>
        <v>0.9279538904899135</v>
      </c>
      <c r="J131">
        <v>11.27</v>
      </c>
      <c r="K131">
        <v>1.06</v>
      </c>
      <c r="L131">
        <v>10.210000000000001</v>
      </c>
      <c r="M131" s="1">
        <f>IF(ISNUMBER(Main_S[[#This Row],[EPS]]),IF(Main_S[[#This Row],[EPS]]&lt;&gt;0,Main_S[[#This Row],[Current Price]]/Main_S[[#This Row],[EPS]],""),"")</f>
        <v>10.915254237288137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1.1611549023654757</v>
      </c>
      <c r="P131" s="1">
        <f>(Main_S[[#This Row],[P/B]]-VLOOKUP(Main_S[[#This Row],[Industry]], Mean_PB_S, 2, FALSE))/(VLOOKUP(Main_S[[#This Row],[Industry]], Mean_PB_S, 3, FALSE))</f>
        <v>-0.60868326179045906</v>
      </c>
      <c r="Q131" s="1">
        <f>(Main_S[[#This Row],[ROE]]-VLOOKUP(Main_S[[#This Row],[Industry]], Mean_ROE_S, 2, FALSE))/(VLOOKUP(Main_S[[#This Row],[Industry]], Mean_ROE_S, 3, FALSE))</f>
        <v>0.45066950899234842</v>
      </c>
      <c r="R131" s="1">
        <f>(Main_S[[#This Row],[ROA]]-VLOOKUP(Main_S[[#This Row],[Industry]], Mean_ROA_S, 2, FALSE))/(VLOOKUP(Main_S[[#This Row],[Industry]], Mean_ROA_S, 3, FALSE))</f>
        <v>0.20523230929284436</v>
      </c>
      <c r="S131" s="1">
        <f>(Main_S[[#This Row],[A/E]]-VLOOKUP(Main_S[[#This Row],[Industry]], Mean_AE_S, 2, FALSE))/(VLOOKUP(Main_S[[#This Row],[Industry]], Mean_AE_S, 3, FALSE))</f>
        <v>0.37223839394387709</v>
      </c>
      <c r="T131" s="1">
        <f>(Main_S[[#This Row],[P/E]]-VLOOKUP(Main_S[[#This Row],[Industry]], Mean_PE_S, 2, FALSE))/(VLOOKUP(Main_S[[#This Row],[Industry]], Mean_PE_S, 3, FALSE))</f>
        <v>-0.53729989810403234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2" spans="1:26" x14ac:dyDescent="0.25">
      <c r="A132" s="68" t="s">
        <v>105</v>
      </c>
      <c r="B132" s="68" t="s">
        <v>557</v>
      </c>
      <c r="C132" s="2">
        <v>1289</v>
      </c>
      <c r="D132">
        <f>RTD("tos.rtd", , "LAST", Main_S[[#This Row],[Symbol]])</f>
        <v>62.44</v>
      </c>
      <c r="E132">
        <v>1.36</v>
      </c>
      <c r="F132">
        <v>36.32</v>
      </c>
      <c r="G132">
        <v>0.37</v>
      </c>
      <c r="H132" s="1">
        <f>IF(ISNUMBER(Main_S[[#This Row],[Free CF]]),IF(Main_S[[#This Row],[Free CF]]&lt;&gt;0,Main_S[[#This Row],[Current Price]]/Main_S[[#This Row],[Free CF]],""),"")</f>
        <v>45.911764705882348</v>
      </c>
      <c r="I132" s="1">
        <f>IF(ISNUMBER(Main_S[[#This Row],[BVPS]]),IF(Main_S[[#This Row],[BVPS]]&lt;&gt;0,Main_S[[#This Row],[Current Price]]/Main_S[[#This Row],[BVPS]],""),"")</f>
        <v>1.7191629955947136</v>
      </c>
      <c r="J132">
        <v>1.35</v>
      </c>
      <c r="K132">
        <v>0.2</v>
      </c>
      <c r="L132">
        <v>7.38</v>
      </c>
      <c r="M132" s="1">
        <f>IF(ISNUMBER(Main_S[[#This Row],[EPS]]),IF(Main_S[[#This Row],[EPS]]&lt;&gt;0,Main_S[[#This Row],[Current Price]]/Main_S[[#This Row],[EPS]],""),"")</f>
        <v>168.75675675675674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9.159663339869935</v>
      </c>
      <c r="P132" s="1">
        <f>(Main_S[[#This Row],[P/B]]-VLOOKUP(Main_S[[#This Row],[Industry]], Mean_PB_S, 2, FALSE))/(VLOOKUP(Main_S[[#This Row],[Industry]], Mean_PB_S, 3, FALSE))</f>
        <v>2.2138487968644007</v>
      </c>
      <c r="Q132" s="1">
        <f>(Main_S[[#This Row],[ROE]]-VLOOKUP(Main_S[[#This Row],[Industry]], Mean_ROE_S, 2, FALSE))/(VLOOKUP(Main_S[[#This Row],[Industry]], Mean_ROE_S, 3, FALSE))</f>
        <v>-1.9652907453996258</v>
      </c>
      <c r="R132" s="1">
        <f>(Main_S[[#This Row],[ROA]]-VLOOKUP(Main_S[[#This Row],[Industry]], Mean_ROA_S, 2, FALSE))/(VLOOKUP(Main_S[[#This Row],[Industry]], Mean_ROA_S, 3, FALSE))</f>
        <v>-1.7940573019422223</v>
      </c>
      <c r="S132" s="1">
        <f>(Main_S[[#This Row],[A/E]]-VLOOKUP(Main_S[[#This Row],[Industry]], Mean_AE_S, 2, FALSE))/(VLOOKUP(Main_S[[#This Row],[Industry]], Mean_AE_S, 3, FALSE))</f>
        <v>-1.2644373543700105</v>
      </c>
      <c r="T132" s="1">
        <f>(Main_S[[#This Row],[P/E]]-VLOOKUP(Main_S[[#This Row],[Industry]], Mean_PE_S, 2, FALSE))/(VLOOKUP(Main_S[[#This Row],[Industry]], Mean_PE_S, 3, FALSE))</f>
        <v>59.656955260697721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3" spans="1:26" x14ac:dyDescent="0.25">
      <c r="A133" s="68" t="s">
        <v>105</v>
      </c>
      <c r="B133" s="68" t="s">
        <v>558</v>
      </c>
      <c r="C133" s="2">
        <v>593</v>
      </c>
      <c r="D133">
        <f>RTD("tos.rtd", , "LAST", Main_S[[#This Row],[Symbol]])</f>
        <v>53.19</v>
      </c>
      <c r="E133">
        <v>4.59</v>
      </c>
      <c r="F133">
        <v>48.3</v>
      </c>
      <c r="G133">
        <v>4.62</v>
      </c>
      <c r="H133" s="1">
        <f>IF(ISNUMBER(Main_S[[#This Row],[Free CF]]),IF(Main_S[[#This Row],[Free CF]]&lt;&gt;0,Main_S[[#This Row],[Current Price]]/Main_S[[#This Row],[Free CF]],""),"")</f>
        <v>11.588235294117647</v>
      </c>
      <c r="I133" s="1">
        <f>IF(ISNUMBER(Main_S[[#This Row],[BVPS]]),IF(Main_S[[#This Row],[BVPS]]&lt;&gt;0,Main_S[[#This Row],[Current Price]]/Main_S[[#This Row],[BVPS]],""),"")</f>
        <v>1.1012422360248448</v>
      </c>
      <c r="J133">
        <v>10.02</v>
      </c>
      <c r="K133">
        <v>1.05</v>
      </c>
      <c r="L133">
        <v>9.6999999999999993</v>
      </c>
      <c r="M133" s="1">
        <f>IF(ISNUMBER(Main_S[[#This Row],[EPS]]),IF(Main_S[[#This Row],[EPS]]&lt;&gt;0,Main_S[[#This Row],[Current Price]]/Main_S[[#This Row],[EPS]],""),"")</f>
        <v>11.512987012987013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0.18153636337005907</v>
      </c>
      <c r="P133" s="1">
        <f>(Main_S[[#This Row],[P/B]]-VLOOKUP(Main_S[[#This Row],[Industry]], Mean_PB_S, 2, FALSE))/(VLOOKUP(Main_S[[#This Row],[Industry]], Mean_PB_S, 3, FALSE))</f>
        <v>9.4996022689967704E-3</v>
      </c>
      <c r="Q133" s="1">
        <f>(Main_S[[#This Row],[ROE]]-VLOOKUP(Main_S[[#This Row],[Industry]], Mean_ROE_S, 2, FALSE))/(VLOOKUP(Main_S[[#This Row],[Industry]], Mean_ROE_S, 3, FALSE))</f>
        <v>0.14623903338852101</v>
      </c>
      <c r="R133" s="1">
        <f>(Main_S[[#This Row],[ROA]]-VLOOKUP(Main_S[[#This Row],[Industry]], Mean_ROA_S, 2, FALSE))/(VLOOKUP(Main_S[[#This Row],[Industry]], Mean_ROA_S, 3, FALSE))</f>
        <v>0.18198475567383193</v>
      </c>
      <c r="S133" s="1">
        <f>(Main_S[[#This Row],[A/E]]-VLOOKUP(Main_S[[#This Row],[Industry]], Mean_AE_S, 2, FALSE))/(VLOOKUP(Main_S[[#This Row],[Industry]], Mean_AE_S, 3, FALSE))</f>
        <v>7.7289760855507886E-2</v>
      </c>
      <c r="T133" s="1">
        <f>(Main_S[[#This Row],[P/E]]-VLOOKUP(Main_S[[#This Row],[Industry]], Mean_PE_S, 2, FALSE))/(VLOOKUP(Main_S[[#This Row],[Industry]], Mean_PE_S, 3, FALSE))</f>
        <v>-0.30934920932521071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s="68" t="s">
        <v>105</v>
      </c>
      <c r="B134" s="68" t="s">
        <v>559</v>
      </c>
      <c r="C134" s="2">
        <v>882</v>
      </c>
      <c r="D134">
        <f>RTD("tos.rtd", , "LAST", Main_S[[#This Row],[Symbol]])</f>
        <v>65.06</v>
      </c>
      <c r="E134">
        <v>6.24</v>
      </c>
      <c r="F134">
        <v>49.76</v>
      </c>
      <c r="G134">
        <v>4.97</v>
      </c>
      <c r="H134" s="1">
        <f>IF(ISNUMBER(Main_S[[#This Row],[Free CF]]),IF(Main_S[[#This Row],[Free CF]]&lt;&gt;0,Main_S[[#This Row],[Current Price]]/Main_S[[#This Row],[Free CF]],""),"")</f>
        <v>10.426282051282051</v>
      </c>
      <c r="I134" s="1">
        <f>IF(ISNUMBER(Main_S[[#This Row],[BVPS]]),IF(Main_S[[#This Row],[BVPS]]&lt;&gt;0,Main_S[[#This Row],[Current Price]]/Main_S[[#This Row],[BVPS]],""),"")</f>
        <v>1.307475884244373</v>
      </c>
      <c r="J134">
        <v>10.26</v>
      </c>
      <c r="K134">
        <v>0.89</v>
      </c>
      <c r="L134">
        <v>11.37</v>
      </c>
      <c r="M134" s="1">
        <f>IF(ISNUMBER(Main_S[[#This Row],[EPS]]),IF(Main_S[[#This Row],[EPS]]&lt;&gt;0,Main_S[[#This Row],[Current Price]]/Main_S[[#This Row],[EPS]],""),"")</f>
        <v>13.090543259557345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-0.12239985571113053</v>
      </c>
      <c r="P134" s="1">
        <f>(Main_S[[#This Row],[P/B]]-VLOOKUP(Main_S[[#This Row],[Industry]], Mean_PB_S, 2, FALSE))/(VLOOKUP(Main_S[[#This Row],[Industry]], Mean_PB_S, 3, FALSE))</f>
        <v>0.74521040225513235</v>
      </c>
      <c r="Q134" s="1">
        <f>(Main_S[[#This Row],[ROE]]-VLOOKUP(Main_S[[#This Row],[Industry]], Mean_ROE_S, 2, FALSE))/(VLOOKUP(Main_S[[#This Row],[Industry]], Mean_ROE_S, 3, FALSE))</f>
        <v>0.20468968470445592</v>
      </c>
      <c r="R134" s="1">
        <f>(Main_S[[#This Row],[ROA]]-VLOOKUP(Main_S[[#This Row],[Industry]], Mean_ROA_S, 2, FALSE))/(VLOOKUP(Main_S[[#This Row],[Industry]], Mean_ROA_S, 3, FALSE))</f>
        <v>-0.18997610223036662</v>
      </c>
      <c r="S134" s="1">
        <f>(Main_S[[#This Row],[A/E]]-VLOOKUP(Main_S[[#This Row],[Industry]], Mean_AE_S, 2, FALSE))/(VLOOKUP(Main_S[[#This Row],[Industry]], Mean_AE_S, 3, FALSE))</f>
        <v>1.0431019515566355</v>
      </c>
      <c r="T134" s="1">
        <f>(Main_S[[#This Row],[P/E]]-VLOOKUP(Main_S[[#This Row],[Industry]], Mean_PE_S, 2, FALSE))/(VLOOKUP(Main_S[[#This Row],[Industry]], Mean_PE_S, 3, FALSE))</f>
        <v>0.29226583942727763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s="68" t="s">
        <v>105</v>
      </c>
      <c r="B135" s="68" t="s">
        <v>560</v>
      </c>
      <c r="C135" s="2">
        <v>592</v>
      </c>
      <c r="D135">
        <f>RTD("tos.rtd", , "LAST", Main_S[[#This Row],[Symbol]])</f>
        <v>32.57</v>
      </c>
      <c r="E135">
        <v>2.87</v>
      </c>
      <c r="F135">
        <v>36.159999999999997</v>
      </c>
      <c r="G135">
        <v>2.68</v>
      </c>
      <c r="H135" s="1">
        <f>IF(ISNUMBER(Main_S[[#This Row],[Free CF]]),IF(Main_S[[#This Row],[Free CF]]&lt;&gt;0,Main_S[[#This Row],[Current Price]]/Main_S[[#This Row],[Free CF]],""),"")</f>
        <v>11.348432055749129</v>
      </c>
      <c r="I135" s="1">
        <f>IF(ISNUMBER(Main_S[[#This Row],[BVPS]]),IF(Main_S[[#This Row],[BVPS]]&lt;&gt;0,Main_S[[#This Row],[Current Price]]/Main_S[[#This Row],[BVPS]],""),"")</f>
        <v>0.90071902654867264</v>
      </c>
      <c r="J135">
        <v>7.63</v>
      </c>
      <c r="K135">
        <v>0.81</v>
      </c>
      <c r="L135">
        <v>9.2200000000000006</v>
      </c>
      <c r="M135" s="1">
        <f>IF(ISNUMBER(Main_S[[#This Row],[EPS]]),IF(Main_S[[#This Row],[EPS]]&lt;&gt;0,Main_S[[#This Row],[Current Price]]/Main_S[[#This Row],[EPS]],""),"")</f>
        <v>12.152985074626866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0.11881018222417533</v>
      </c>
      <c r="P135" s="1">
        <f>(Main_S[[#This Row],[P/B]]-VLOOKUP(Main_S[[#This Row],[Industry]], Mean_PB_S, 2, FALSE))/(VLOOKUP(Main_S[[#This Row],[Industry]], Mean_PB_S, 3, FALSE))</f>
        <v>-0.70583997559884426</v>
      </c>
      <c r="Q135" s="1">
        <f>(Main_S[[#This Row],[ROE]]-VLOOKUP(Main_S[[#This Row],[Industry]], Mean_ROE_S, 2, FALSE))/(VLOOKUP(Main_S[[#This Row],[Industry]], Mean_ROE_S, 3, FALSE))</f>
        <v>-0.43583203596599684</v>
      </c>
      <c r="R135" s="1">
        <f>(Main_S[[#This Row],[ROA]]-VLOOKUP(Main_S[[#This Row],[Industry]], Mean_ROA_S, 2, FALSE))/(VLOOKUP(Main_S[[#This Row],[Industry]], Mean_ROA_S, 3, FALSE))</f>
        <v>-0.37595653118246575</v>
      </c>
      <c r="S135" s="1">
        <f>(Main_S[[#This Row],[A/E]]-VLOOKUP(Main_S[[#This Row],[Industry]], Mean_AE_S, 2, FALSE))/(VLOOKUP(Main_S[[#This Row],[Industry]], Mean_AE_S, 3, FALSE))</f>
        <v>-0.20030895263942622</v>
      </c>
      <c r="T135" s="1">
        <f>(Main_S[[#This Row],[P/E]]-VLOOKUP(Main_S[[#This Row],[Industry]], Mean_PE_S, 2, FALSE))/(VLOOKUP(Main_S[[#This Row],[Industry]], Mean_PE_S, 3, FALSE))</f>
        <v>-6.5280279363421123E-2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s="68" t="s">
        <v>105</v>
      </c>
      <c r="B136" s="68" t="s">
        <v>561</v>
      </c>
      <c r="C136" s="2">
        <v>432</v>
      </c>
      <c r="D136">
        <f>RTD("tos.rtd", , "LAST", Main_S[[#This Row],[Symbol]])</f>
        <v>45.39</v>
      </c>
      <c r="E136">
        <v>4.71</v>
      </c>
      <c r="F136">
        <v>30.38</v>
      </c>
      <c r="G136">
        <v>4.26</v>
      </c>
      <c r="H136" s="1">
        <f>IF(ISNUMBER(Main_S[[#This Row],[Free CF]]),IF(Main_S[[#This Row],[Free CF]]&lt;&gt;0,Main_S[[#This Row],[Current Price]]/Main_S[[#This Row],[Free CF]],""),"")</f>
        <v>9.6369426751592364</v>
      </c>
      <c r="I136" s="1">
        <f>IF(ISNUMBER(Main_S[[#This Row],[BVPS]]),IF(Main_S[[#This Row],[BVPS]]&lt;&gt;0,Main_S[[#This Row],[Current Price]]/Main_S[[#This Row],[BVPS]],""),"")</f>
        <v>1.4940750493745887</v>
      </c>
      <c r="J136">
        <v>15.17</v>
      </c>
      <c r="K136">
        <v>1.63</v>
      </c>
      <c r="L136">
        <v>9.0399999999999991</v>
      </c>
      <c r="M136" s="1">
        <f>IF(ISNUMBER(Main_S[[#This Row],[EPS]]),IF(Main_S[[#This Row],[EPS]]&lt;&gt;0,Main_S[[#This Row],[Current Price]]/Main_S[[#This Row],[EPS]],""),"")</f>
        <v>10.65492957746479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-0.32887014789363445</v>
      </c>
      <c r="P136" s="1">
        <f>(Main_S[[#This Row],[P/B]]-VLOOKUP(Main_S[[#This Row],[Industry]], Mean_PB_S, 2, FALSE))/(VLOOKUP(Main_S[[#This Row],[Industry]], Mean_PB_S, 3, FALSE))</f>
        <v>1.4108778248115295</v>
      </c>
      <c r="Q136" s="1">
        <f>(Main_S[[#This Row],[ROE]]-VLOOKUP(Main_S[[#This Row],[Industry]], Mean_ROE_S, 2, FALSE))/(VLOOKUP(Main_S[[#This Row],[Industry]], Mean_ROE_S, 3, FALSE))</f>
        <v>1.4004925928762899</v>
      </c>
      <c r="R136" s="1">
        <f>(Main_S[[#This Row],[ROA]]-VLOOKUP(Main_S[[#This Row],[Industry]], Mean_ROA_S, 2, FALSE))/(VLOOKUP(Main_S[[#This Row],[Industry]], Mean_ROA_S, 3, FALSE))</f>
        <v>1.530342865576551</v>
      </c>
      <c r="S136" s="1">
        <f>(Main_S[[#This Row],[A/E]]-VLOOKUP(Main_S[[#This Row],[Industry]], Mean_AE_S, 2, FALSE))/(VLOOKUP(Main_S[[#This Row],[Industry]], Mean_AE_S, 3, FALSE))</f>
        <v>-0.3044084702000277</v>
      </c>
      <c r="T136" s="1">
        <f>(Main_S[[#This Row],[P/E]]-VLOOKUP(Main_S[[#This Row],[Industry]], Mean_PE_S, 2, FALSE))/(VLOOKUP(Main_S[[#This Row],[Industry]], Mean_PE_S, 3, FALSE))</f>
        <v>-0.63657701310489867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s="68" t="s">
        <v>105</v>
      </c>
      <c r="B137" s="68" t="s">
        <v>562</v>
      </c>
      <c r="C137" s="2">
        <v>341</v>
      </c>
      <c r="D137">
        <f>RTD("tos.rtd", , "LAST", Main_S[[#This Row],[Symbol]])</f>
        <v>17.239999999999998</v>
      </c>
      <c r="E137">
        <v>1.72</v>
      </c>
      <c r="F137">
        <v>10.81</v>
      </c>
      <c r="G137">
        <v>1.24</v>
      </c>
      <c r="H137" s="1">
        <f>IF(ISNUMBER(Main_S[[#This Row],[Free CF]]),IF(Main_S[[#This Row],[Free CF]]&lt;&gt;0,Main_S[[#This Row],[Current Price]]/Main_S[[#This Row],[Free CF]],""),"")</f>
        <v>10.023255813953488</v>
      </c>
      <c r="I137" s="1">
        <f>IF(ISNUMBER(Main_S[[#This Row],[BVPS]]),IF(Main_S[[#This Row],[BVPS]]&lt;&gt;0,Main_S[[#This Row],[Current Price]]/Main_S[[#This Row],[BVPS]],""),"")</f>
        <v>1.5948196114708602</v>
      </c>
      <c r="J137">
        <v>12.11</v>
      </c>
      <c r="K137">
        <v>1</v>
      </c>
      <c r="L137">
        <v>11.98</v>
      </c>
      <c r="M137" s="1">
        <f>IF(ISNUMBER(Main_S[[#This Row],[EPS]]),IF(Main_S[[#This Row],[EPS]]&lt;&gt;0,Main_S[[#This Row],[Current Price]]/Main_S[[#This Row],[EPS]],""),"")</f>
        <v>13.903225806451612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-0.22782085394788421</v>
      </c>
      <c r="P137" s="1">
        <f>(Main_S[[#This Row],[P/B]]-VLOOKUP(Main_S[[#This Row],[Industry]], Mean_PB_S, 2, FALSE))/(VLOOKUP(Main_S[[#This Row],[Industry]], Mean_PB_S, 3, FALSE))</f>
        <v>1.7702704991592382</v>
      </c>
      <c r="Q137" s="1">
        <f>(Main_S[[#This Row],[ROE]]-VLOOKUP(Main_S[[#This Row],[Industry]], Mean_ROE_S, 2, FALSE))/(VLOOKUP(Main_S[[#This Row],[Industry]], Mean_ROE_S, 3, FALSE))</f>
        <v>0.65524678859812036</v>
      </c>
      <c r="R137" s="1">
        <f>(Main_S[[#This Row],[ROA]]-VLOOKUP(Main_S[[#This Row],[Industry]], Mean_ROA_S, 2, FALSE))/(VLOOKUP(Main_S[[#This Row],[Industry]], Mean_ROA_S, 3, FALSE))</f>
        <v>6.5746987578769803E-2</v>
      </c>
      <c r="S137" s="1">
        <f>(Main_S[[#This Row],[A/E]]-VLOOKUP(Main_S[[#This Row],[Industry]], Mean_AE_S, 2, FALSE))/(VLOOKUP(Main_S[[#This Row],[Industry]], Mean_AE_S, 3, FALSE))</f>
        <v>1.3958836499564493</v>
      </c>
      <c r="T137" s="1">
        <f>(Main_S[[#This Row],[P/E]]-VLOOKUP(Main_S[[#This Row],[Industry]], Mean_PE_S, 2, FALSE))/(VLOOKUP(Main_S[[#This Row],[Industry]], Mean_PE_S, 3, FALSE))</f>
        <v>0.60218952749420174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s="68" t="s">
        <v>105</v>
      </c>
      <c r="B138" s="68" t="s">
        <v>563</v>
      </c>
      <c r="C138" s="2">
        <v>869</v>
      </c>
      <c r="D138">
        <f>RTD("tos.rtd", , "LAST", Main_S[[#This Row],[Symbol]])</f>
        <v>31.35</v>
      </c>
      <c r="E138">
        <v>2.58</v>
      </c>
      <c r="F138">
        <v>31.19</v>
      </c>
      <c r="G138">
        <v>2.66</v>
      </c>
      <c r="H138" s="1">
        <f>IF(ISNUMBER(Main_S[[#This Row],[Free CF]]),IF(Main_S[[#This Row],[Free CF]]&lt;&gt;0,Main_S[[#This Row],[Current Price]]/Main_S[[#This Row],[Free CF]],""),"")</f>
        <v>12.151162790697674</v>
      </c>
      <c r="I138" s="1">
        <f>IF(ISNUMBER(Main_S[[#This Row],[BVPS]]),IF(Main_S[[#This Row],[BVPS]]&lt;&gt;0,Main_S[[#This Row],[Current Price]]/Main_S[[#This Row],[BVPS]],""),"")</f>
        <v>1.0051298493106764</v>
      </c>
      <c r="J138">
        <v>8.93</v>
      </c>
      <c r="K138">
        <v>0.99</v>
      </c>
      <c r="L138">
        <v>8.83</v>
      </c>
      <c r="M138" s="1">
        <f>IF(ISNUMBER(Main_S[[#This Row],[EPS]]),IF(Main_S[[#This Row],[EPS]]&lt;&gt;0,Main_S[[#This Row],[Current Price]]/Main_S[[#This Row],[EPS]],""),"")</f>
        <v>11.785714285714286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0.32878329949447654</v>
      </c>
      <c r="P138" s="1">
        <f>(Main_S[[#This Row],[P/B]]-VLOOKUP(Main_S[[#This Row],[Industry]], Mean_PB_S, 2, FALSE))/(VLOOKUP(Main_S[[#This Row],[Industry]], Mean_PB_S, 3, FALSE))</f>
        <v>-0.33336840946684038</v>
      </c>
      <c r="Q138" s="1">
        <f>(Main_S[[#This Row],[ROE]]-VLOOKUP(Main_S[[#This Row],[Industry]], Mean_ROE_S, 2, FALSE))/(VLOOKUP(Main_S[[#This Row],[Industry]], Mean_ROE_S, 3, FALSE))</f>
        <v>-0.11922434133801643</v>
      </c>
      <c r="R138" s="1">
        <f>(Main_S[[#This Row],[ROA]]-VLOOKUP(Main_S[[#This Row],[Industry]], Mean_ROA_S, 2, FALSE))/(VLOOKUP(Main_S[[#This Row],[Industry]], Mean_ROA_S, 3, FALSE))</f>
        <v>4.2499433959757374E-2</v>
      </c>
      <c r="S138" s="1">
        <f>(Main_S[[#This Row],[A/E]]-VLOOKUP(Main_S[[#This Row],[Industry]], Mean_AE_S, 2, FALSE))/(VLOOKUP(Main_S[[#This Row],[Industry]], Mean_AE_S, 3, FALSE))</f>
        <v>-0.42585790735406115</v>
      </c>
      <c r="T138" s="1">
        <f>(Main_S[[#This Row],[P/E]]-VLOOKUP(Main_S[[#This Row],[Industry]], Mean_PE_S, 2, FALSE))/(VLOOKUP(Main_S[[#This Row],[Industry]], Mean_PE_S, 3, FALSE))</f>
        <v>-0.20534224803006759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s="68" t="s">
        <v>105</v>
      </c>
      <c r="B139" s="68" t="s">
        <v>564</v>
      </c>
      <c r="C139" s="2">
        <v>359</v>
      </c>
      <c r="D139">
        <f>RTD("tos.rtd", , "LAST", Main_S[[#This Row],[Symbol]])</f>
        <v>11.45</v>
      </c>
      <c r="E139">
        <v>-5.49</v>
      </c>
      <c r="F139">
        <v>11.03</v>
      </c>
      <c r="G139">
        <v>0.88</v>
      </c>
      <c r="H139" s="1">
        <f>IF(ISNUMBER(Main_S[[#This Row],[Free CF]]),IF(Main_S[[#This Row],[Free CF]]&lt;&gt;0,Main_S[[#This Row],[Current Price]]/Main_S[[#This Row],[Free CF]],""),"")</f>
        <v>-2.0856102003642984</v>
      </c>
      <c r="I139" s="1">
        <f>IF(ISNUMBER(Main_S[[#This Row],[BVPS]]),IF(Main_S[[#This Row],[BVPS]]&lt;&gt;0,Main_S[[#This Row],[Current Price]]/Main_S[[#This Row],[BVPS]],""),"")</f>
        <v>1.0380779691749773</v>
      </c>
      <c r="J139">
        <v>7.73</v>
      </c>
      <c r="K139">
        <v>0.76</v>
      </c>
      <c r="L139">
        <v>9.5399999999999991</v>
      </c>
      <c r="M139" s="1">
        <f>IF(ISNUMBER(Main_S[[#This Row],[EPS]]),IF(Main_S[[#This Row],[EPS]]&lt;&gt;0,Main_S[[#This Row],[Current Price]]/Main_S[[#This Row],[EPS]],""),"")</f>
        <v>13.011363636363635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-3.3951797614122783</v>
      </c>
      <c r="P139" s="1">
        <f>(Main_S[[#This Row],[P/B]]-VLOOKUP(Main_S[[#This Row],[Industry]], Mean_PB_S, 2, FALSE))/(VLOOKUP(Main_S[[#This Row],[Industry]], Mean_PB_S, 3, FALSE))</f>
        <v>-0.21583042363049904</v>
      </c>
      <c r="Q139" s="1">
        <f>(Main_S[[#This Row],[ROE]]-VLOOKUP(Main_S[[#This Row],[Industry]], Mean_ROE_S, 2, FALSE))/(VLOOKUP(Main_S[[#This Row],[Industry]], Mean_ROE_S, 3, FALSE))</f>
        <v>-0.41147759791769056</v>
      </c>
      <c r="R139" s="1">
        <f>(Main_S[[#This Row],[ROA]]-VLOOKUP(Main_S[[#This Row],[Industry]], Mean_ROA_S, 2, FALSE))/(VLOOKUP(Main_S[[#This Row],[Industry]], Mean_ROA_S, 3, FALSE))</f>
        <v>-0.49219429927752789</v>
      </c>
      <c r="S139" s="1">
        <f>(Main_S[[#This Row],[A/E]]-VLOOKUP(Main_S[[#This Row],[Industry]], Mean_AE_S, 2, FALSE))/(VLOOKUP(Main_S[[#This Row],[Industry]], Mean_AE_S, 3, FALSE))</f>
        <v>-1.5243143642803833E-2</v>
      </c>
      <c r="T139" s="1">
        <f>(Main_S[[#This Row],[P/E]]-VLOOKUP(Main_S[[#This Row],[Industry]], Mean_PE_S, 2, FALSE))/(VLOOKUP(Main_S[[#This Row],[Industry]], Mean_PE_S, 3, FALSE))</f>
        <v>0.26206998874274628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s="68" t="s">
        <v>105</v>
      </c>
      <c r="B140" s="68" t="s">
        <v>565</v>
      </c>
      <c r="C140" s="2">
        <v>1269</v>
      </c>
      <c r="D140">
        <f>RTD("tos.rtd", , "LAST", Main_S[[#This Row],[Symbol]])</f>
        <v>24.94</v>
      </c>
      <c r="E140">
        <v>2.27</v>
      </c>
      <c r="F140">
        <v>30.08</v>
      </c>
      <c r="G140">
        <v>2.04</v>
      </c>
      <c r="H140" s="1">
        <f>IF(ISNUMBER(Main_S[[#This Row],[Free CF]]),IF(Main_S[[#This Row],[Free CF]]&lt;&gt;0,Main_S[[#This Row],[Current Price]]/Main_S[[#This Row],[Free CF]],""),"")</f>
        <v>10.986784140969164</v>
      </c>
      <c r="I140" s="1">
        <f>IF(ISNUMBER(Main_S[[#This Row],[BVPS]]),IF(Main_S[[#This Row],[BVPS]]&lt;&gt;0,Main_S[[#This Row],[Current Price]]/Main_S[[#This Row],[BVPS]],""),"")</f>
        <v>0.82912234042553201</v>
      </c>
      <c r="J140">
        <v>7.07</v>
      </c>
      <c r="K140">
        <v>0.89</v>
      </c>
      <c r="L140">
        <v>7.72</v>
      </c>
      <c r="M140" s="1">
        <f>IF(ISNUMBER(Main_S[[#This Row],[EPS]]),IF(Main_S[[#This Row],[EPS]]&lt;&gt;0,Main_S[[#This Row],[Current Price]]/Main_S[[#This Row],[EPS]],""),"")</f>
        <v>12.225490196078432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2.4212658154636559E-2</v>
      </c>
      <c r="P140" s="1">
        <f>(Main_S[[#This Row],[P/B]]-VLOOKUP(Main_S[[#This Row],[Industry]], Mean_PB_S, 2, FALSE))/(VLOOKUP(Main_S[[#This Row],[Industry]], Mean_PB_S, 3, FALSE))</f>
        <v>-0.96125152302946537</v>
      </c>
      <c r="Q140" s="1">
        <f>(Main_S[[#This Row],[ROE]]-VLOOKUP(Main_S[[#This Row],[Industry]], Mean_ROE_S, 2, FALSE))/(VLOOKUP(Main_S[[#This Row],[Industry]], Mean_ROE_S, 3, FALSE))</f>
        <v>-0.57221688903651147</v>
      </c>
      <c r="R140" s="1">
        <f>(Main_S[[#This Row],[ROA]]-VLOOKUP(Main_S[[#This Row],[Industry]], Mean_ROA_S, 2, FALSE))/(VLOOKUP(Main_S[[#This Row],[Industry]], Mean_ROA_S, 3, FALSE))</f>
        <v>-0.18997610223036662</v>
      </c>
      <c r="S140" s="1">
        <f>(Main_S[[#This Row],[A/E]]-VLOOKUP(Main_S[[#This Row],[Industry]], Mean_AE_S, 2, FALSE))/(VLOOKUP(Main_S[[#This Row],[Industry]], Mean_AE_S, 3, FALSE))</f>
        <v>-1.0678049323110983</v>
      </c>
      <c r="T140" s="1">
        <f>(Main_S[[#This Row],[P/E]]-VLOOKUP(Main_S[[#This Row],[Industry]], Mean_PE_S, 2, FALSE))/(VLOOKUP(Main_S[[#This Row],[Industry]], Mean_PE_S, 3, FALSE))</f>
        <v>-3.7629809041541132E-2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s="68" t="s">
        <v>105</v>
      </c>
      <c r="B141" s="68" t="s">
        <v>566</v>
      </c>
      <c r="C141" s="2">
        <v>1290</v>
      </c>
      <c r="D141">
        <f>RTD("tos.rtd", , "LAST", Main_S[[#This Row],[Symbol]])</f>
        <v>49.89</v>
      </c>
      <c r="E141">
        <v>5.24</v>
      </c>
      <c r="F141">
        <v>34.65</v>
      </c>
      <c r="G141">
        <v>4.99</v>
      </c>
      <c r="H141" s="1">
        <f>IF(ISNUMBER(Main_S[[#This Row],[Free CF]]),IF(Main_S[[#This Row],[Free CF]]&lt;&gt;0,Main_S[[#This Row],[Current Price]]/Main_S[[#This Row],[Free CF]],""),"")</f>
        <v>9.520992366412214</v>
      </c>
      <c r="I141" s="1">
        <f>IF(ISNUMBER(Main_S[[#This Row],[BVPS]]),IF(Main_S[[#This Row],[BVPS]]&lt;&gt;0,Main_S[[#This Row],[Current Price]]/Main_S[[#This Row],[BVPS]],""),"")</f>
        <v>1.4398268398268399</v>
      </c>
      <c r="J141">
        <v>15.54</v>
      </c>
      <c r="K141">
        <v>2.14</v>
      </c>
      <c r="L141">
        <v>6.46</v>
      </c>
      <c r="M141" s="1">
        <f>IF(ISNUMBER(Main_S[[#This Row],[EPS]]),IF(Main_S[[#This Row],[EPS]]&lt;&gt;0,Main_S[[#This Row],[Current Price]]/Main_S[[#This Row],[EPS]],""),"")</f>
        <v>9.9979959919839683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-0.35919968022134174</v>
      </c>
      <c r="P141" s="1">
        <f>(Main_S[[#This Row],[P/B]]-VLOOKUP(Main_S[[#This Row],[Industry]], Mean_PB_S, 2, FALSE))/(VLOOKUP(Main_S[[#This Row],[Industry]], Mean_PB_S, 3, FALSE))</f>
        <v>1.2173546340579722</v>
      </c>
      <c r="Q141" s="1">
        <f>(Main_S[[#This Row],[ROE]]-VLOOKUP(Main_S[[#This Row],[Industry]], Mean_ROE_S, 2, FALSE))/(VLOOKUP(Main_S[[#This Row],[Industry]], Mean_ROE_S, 3, FALSE))</f>
        <v>1.4906040136550227</v>
      </c>
      <c r="R141" s="1">
        <f>(Main_S[[#This Row],[ROA]]-VLOOKUP(Main_S[[#This Row],[Industry]], Mean_ROA_S, 2, FALSE))/(VLOOKUP(Main_S[[#This Row],[Industry]], Mean_ROA_S, 3, FALSE))</f>
        <v>2.715968100146184</v>
      </c>
      <c r="S141" s="1">
        <f>(Main_S[[#This Row],[A/E]]-VLOOKUP(Main_S[[#This Row],[Industry]], Mean_AE_S, 2, FALSE))/(VLOOKUP(Main_S[[#This Row],[Industry]], Mean_AE_S, 3, FALSE))</f>
        <v>-1.7965015552353023</v>
      </c>
      <c r="T141" s="1">
        <f>(Main_S[[#This Row],[P/E]]-VLOOKUP(Main_S[[#This Row],[Industry]], Mean_PE_S, 2, FALSE))/(VLOOKUP(Main_S[[#This Row],[Industry]], Mean_PE_S, 3, FALSE))</f>
        <v>-0.88710445509970393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2" spans="1:26" x14ac:dyDescent="0.25">
      <c r="A142" s="68" t="s">
        <v>105</v>
      </c>
      <c r="B142" s="68" t="s">
        <v>567</v>
      </c>
      <c r="C142" s="2">
        <v>538</v>
      </c>
      <c r="D142">
        <f>RTD("tos.rtd", , "LAST", Main_S[[#This Row],[Symbol]])</f>
        <v>29.8</v>
      </c>
      <c r="E142">
        <v>3.13</v>
      </c>
      <c r="F142">
        <v>27.06</v>
      </c>
      <c r="G142">
        <v>-1.51</v>
      </c>
      <c r="H142" s="1">
        <f>IF(ISNUMBER(Main_S[[#This Row],[Free CF]]),IF(Main_S[[#This Row],[Free CF]]&lt;&gt;0,Main_S[[#This Row],[Current Price]]/Main_S[[#This Row],[Free CF]],""),"")</f>
        <v>9.52076677316294</v>
      </c>
      <c r="I142" s="1">
        <f>IF(ISNUMBER(Main_S[[#This Row],[BVPS]]),IF(Main_S[[#This Row],[BVPS]]&lt;&gt;0,Main_S[[#This Row],[Current Price]]/Main_S[[#This Row],[BVPS]],""),"")</f>
        <v>1.1012564671101257</v>
      </c>
      <c r="J142">
        <v>-5.42</v>
      </c>
      <c r="K142">
        <v>-0.39</v>
      </c>
      <c r="L142">
        <v>12.62</v>
      </c>
      <c r="M142" s="1">
        <f>IF(ISNUMBER(Main_S[[#This Row],[EPS]]),IF(Main_S[[#This Row],[EPS]]&lt;&gt;0,Main_S[[#This Row],[Current Price]]/Main_S[[#This Row],[EPS]],""),"")</f>
        <v>-19.735099337748345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-0.3592586894453853</v>
      </c>
      <c r="P142" s="1">
        <f>(Main_S[[#This Row],[P/B]]-VLOOKUP(Main_S[[#This Row],[Industry]], Mean_PB_S, 2, FALSE))/(VLOOKUP(Main_S[[#This Row],[Industry]], Mean_PB_S, 3, FALSE))</f>
        <v>9.5503697515441112E-3</v>
      </c>
      <c r="Q142" s="1">
        <f>(Main_S[[#This Row],[ROE]]-VLOOKUP(Main_S[[#This Row],[Industry]], Mean_ROE_S, 2, FALSE))/(VLOOKUP(Main_S[[#This Row],[Industry]], Mean_ROE_S, 3, FALSE))</f>
        <v>-3.6140862012699548</v>
      </c>
      <c r="R142" s="1">
        <f>(Main_S[[#This Row],[ROA]]-VLOOKUP(Main_S[[#This Row],[Industry]], Mean_ROA_S, 2, FALSE))/(VLOOKUP(Main_S[[#This Row],[Industry]], Mean_ROA_S, 3, FALSE))</f>
        <v>-3.1656629654639543</v>
      </c>
      <c r="S142" s="1">
        <f>(Main_S[[#This Row],[A/E]]-VLOOKUP(Main_S[[#This Row],[Industry]], Mean_AE_S, 2, FALSE))/(VLOOKUP(Main_S[[#This Row],[Industry]], Mean_AE_S, 3, FALSE))</f>
        <v>1.766015267949695</v>
      </c>
      <c r="T142" s="1">
        <f>(Main_S[[#This Row],[P/E]]-VLOOKUP(Main_S[[#This Row],[Industry]], Mean_PE_S, 2, FALSE))/(VLOOKUP(Main_S[[#This Row],[Industry]], Mean_PE_S, 3, FALSE))</f>
        <v>-12.226083737295333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3" spans="1:26" x14ac:dyDescent="0.25">
      <c r="A143" s="68" t="s">
        <v>105</v>
      </c>
      <c r="B143" s="68" t="s">
        <v>568</v>
      </c>
      <c r="C143" s="2">
        <v>326</v>
      </c>
      <c r="D143">
        <f>RTD("tos.rtd", , "LAST", Main_S[[#This Row],[Symbol]])</f>
        <v>19.97</v>
      </c>
      <c r="E143">
        <v>1.55</v>
      </c>
      <c r="F143">
        <v>14.06</v>
      </c>
      <c r="G143">
        <v>1.53</v>
      </c>
      <c r="H143" s="1">
        <f>IF(ISNUMBER(Main_S[[#This Row],[Free CF]]),IF(Main_S[[#This Row],[Free CF]]&lt;&gt;0,Main_S[[#This Row],[Current Price]]/Main_S[[#This Row],[Free CF]],""),"")</f>
        <v>12.883870967741935</v>
      </c>
      <c r="I143" s="1">
        <f>IF(ISNUMBER(Main_S[[#This Row],[BVPS]]),IF(Main_S[[#This Row],[BVPS]]&lt;&gt;0,Main_S[[#This Row],[Current Price]]/Main_S[[#This Row],[BVPS]],""),"")</f>
        <v>1.4203413940256044</v>
      </c>
      <c r="J143">
        <v>11.3</v>
      </c>
      <c r="K143">
        <v>0.66</v>
      </c>
      <c r="L143">
        <v>16.760000000000002</v>
      </c>
      <c r="M143" s="1">
        <f>IF(ISNUMBER(Main_S[[#This Row],[EPS]]),IF(Main_S[[#This Row],[EPS]]&lt;&gt;0,Main_S[[#This Row],[Current Price]]/Main_S[[#This Row],[EPS]],""),"")</f>
        <v>13.052287581699346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0.5204403686526482</v>
      </c>
      <c r="P143" s="1">
        <f>(Main_S[[#This Row],[P/B]]-VLOOKUP(Main_S[[#This Row],[Industry]], Mean_PB_S, 2, FALSE))/(VLOOKUP(Main_S[[#This Row],[Industry]], Mean_PB_S, 3, FALSE))</f>
        <v>1.1478429271067687</v>
      </c>
      <c r="Q143" s="1">
        <f>(Main_S[[#This Row],[ROE]]-VLOOKUP(Main_S[[#This Row],[Industry]], Mean_ROE_S, 2, FALSE))/(VLOOKUP(Main_S[[#This Row],[Industry]], Mean_ROE_S, 3, FALSE))</f>
        <v>0.45797584040684053</v>
      </c>
      <c r="R143" s="1">
        <f>(Main_S[[#This Row],[ROA]]-VLOOKUP(Main_S[[#This Row],[Industry]], Mean_ROA_S, 2, FALSE))/(VLOOKUP(Main_S[[#This Row],[Industry]], Mean_ROA_S, 3, FALSE))</f>
        <v>-0.72466983546765185</v>
      </c>
      <c r="S143" s="1">
        <f>(Main_S[[#This Row],[A/E]]-VLOOKUP(Main_S[[#This Row],[Industry]], Mean_AE_S, 2, FALSE))/(VLOOKUP(Main_S[[#This Row],[Industry]], Mean_AE_S, 3, FALSE))</f>
        <v>4.1603041718435101</v>
      </c>
      <c r="T143" s="1">
        <f>(Main_S[[#This Row],[P/E]]-VLOOKUP(Main_S[[#This Row],[Industry]], Mean_PE_S, 2, FALSE))/(VLOOKUP(Main_S[[#This Row],[Industry]], Mean_PE_S, 3, FALSE))</f>
        <v>0.27767669780419113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s="68" t="s">
        <v>173</v>
      </c>
      <c r="B144" s="68" t="s">
        <v>613</v>
      </c>
      <c r="C144" s="2">
        <v>1070</v>
      </c>
      <c r="D144">
        <f>RTD("tos.rtd", , "LAST", Main_S[[#This Row],[Symbol]])</f>
        <v>30.44</v>
      </c>
      <c r="E144">
        <v>1.22</v>
      </c>
      <c r="F144">
        <v>0.57999999999999996</v>
      </c>
      <c r="G144">
        <v>2.4</v>
      </c>
      <c r="H144" s="1">
        <f>IF(ISNUMBER(Main_S[[#This Row],[Free CF]]),IF(Main_S[[#This Row],[Free CF]]&lt;&gt;0,Main_S[[#This Row],[Current Price]]/Main_S[[#This Row],[Free CF]],""),"")</f>
        <v>24.95081967213115</v>
      </c>
      <c r="I144" s="1">
        <f>IF(ISNUMBER(Main_S[[#This Row],[BVPS]]),IF(Main_S[[#This Row],[BVPS]]&lt;&gt;0,Main_S[[#This Row],[Current Price]]/Main_S[[#This Row],[BVPS]],""),"")</f>
        <v>52.482758620689658</v>
      </c>
      <c r="J144">
        <v>230.62</v>
      </c>
      <c r="K144">
        <v>14.9</v>
      </c>
      <c r="L144">
        <v>31.21</v>
      </c>
      <c r="M144" s="1">
        <f>IF(ISNUMBER(Main_S[[#This Row],[EPS]]),IF(Main_S[[#This Row],[EPS]]&lt;&gt;0,Main_S[[#This Row],[Current Price]]/Main_S[[#This Row],[EPS]],""),"")</f>
        <v>12.683333333333334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1.5953676254181828</v>
      </c>
      <c r="P144" s="1">
        <f>(Main_S[[#This Row],[P/B]]-VLOOKUP(Main_S[[#This Row],[Industry]], Mean_PB_S, 2, FALSE))/(VLOOKUP(Main_S[[#This Row],[Industry]], Mean_PB_S, 3, FALSE))</f>
        <v>47.436123491947512</v>
      </c>
      <c r="Q144" s="1">
        <f>(Main_S[[#This Row],[ROE]]-VLOOKUP(Main_S[[#This Row],[Industry]], Mean_ROE_S, 2, FALSE))/(VLOOKUP(Main_S[[#This Row],[Industry]], Mean_ROE_S, 3, FALSE))</f>
        <v>34.218048666658078</v>
      </c>
      <c r="R144" s="1">
        <f>(Main_S[[#This Row],[ROA]]-VLOOKUP(Main_S[[#This Row],[Industry]], Mean_ROA_S, 2, FALSE))/(VLOOKUP(Main_S[[#This Row],[Industry]], Mean_ROA_S, 3, FALSE))</f>
        <v>4.1355373918683069</v>
      </c>
      <c r="S144" s="1">
        <f>(Main_S[[#This Row],[A/E]]-VLOOKUP(Main_S[[#This Row],[Industry]], Mean_AE_S, 2, FALSE))/(VLOOKUP(Main_S[[#This Row],[Industry]], Mean_AE_S, 3, FALSE))</f>
        <v>63.111743036485336</v>
      </c>
      <c r="T144" s="1">
        <f>(Main_S[[#This Row],[P/E]]-VLOOKUP(Main_S[[#This Row],[Industry]], Mean_PE_S, 2, FALSE))/(VLOOKUP(Main_S[[#This Row],[Industry]], Mean_PE_S, 3, FALSE))</f>
        <v>8.214684379065787E-2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s="68" t="s">
        <v>173</v>
      </c>
      <c r="B145" s="68" t="s">
        <v>614</v>
      </c>
      <c r="C145" s="2">
        <v>733</v>
      </c>
      <c r="D145">
        <f>RTD("tos.rtd", , "LAST", Main_S[[#This Row],[Symbol]])</f>
        <v>37.5</v>
      </c>
      <c r="E145">
        <v>1.26</v>
      </c>
      <c r="F145">
        <v>42.14</v>
      </c>
      <c r="G145">
        <v>2.08</v>
      </c>
      <c r="H145" s="1">
        <f>IF(ISNUMBER(Main_S[[#This Row],[Free CF]]),IF(Main_S[[#This Row],[Free CF]]&lt;&gt;0,Main_S[[#This Row],[Current Price]]/Main_S[[#This Row],[Free CF]],""),"")</f>
        <v>29.761904761904763</v>
      </c>
      <c r="I145" s="1">
        <f>IF(ISNUMBER(Main_S[[#This Row],[BVPS]]),IF(Main_S[[#This Row],[BVPS]]&lt;&gt;0,Main_S[[#This Row],[Current Price]]/Main_S[[#This Row],[BVPS]],""),"")</f>
        <v>0.88989084005695296</v>
      </c>
      <c r="J145">
        <v>4.91</v>
      </c>
      <c r="K145">
        <v>-1.25</v>
      </c>
      <c r="L145">
        <v>1.05</v>
      </c>
      <c r="M145" s="1">
        <f>IF(ISNUMBER(Main_S[[#This Row],[EPS]]),IF(Main_S[[#This Row],[EPS]]&lt;&gt;0,Main_S[[#This Row],[Current Price]]/Main_S[[#This Row],[EPS]],""),"")</f>
        <v>18.028846153846153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2.0505672598420563</v>
      </c>
      <c r="P145" s="1">
        <f>(Main_S[[#This Row],[P/B]]-VLOOKUP(Main_S[[#This Row],[Industry]], Mean_PB_S, 2, FALSE))/(VLOOKUP(Main_S[[#This Row],[Industry]], Mean_PB_S, 3, FALSE))</f>
        <v>-0.54119932819454397</v>
      </c>
      <c r="Q145" s="1">
        <f>(Main_S[[#This Row],[ROE]]-VLOOKUP(Main_S[[#This Row],[Industry]], Mean_ROE_S, 2, FALSE))/(VLOOKUP(Main_S[[#This Row],[Industry]], Mean_ROE_S, 3, FALSE))</f>
        <v>-0.93216579163040325</v>
      </c>
      <c r="R145" s="1">
        <f>(Main_S[[#This Row],[ROA]]-VLOOKUP(Main_S[[#This Row],[Industry]], Mean_ROA_S, 2, FALSE))/(VLOOKUP(Main_S[[#This Row],[Industry]], Mean_ROA_S, 3, FALSE))</f>
        <v>-2.94779658993567</v>
      </c>
      <c r="S145" s="1">
        <f>(Main_S[[#This Row],[A/E]]-VLOOKUP(Main_S[[#This Row],[Industry]], Mean_AE_S, 2, FALSE))/(VLOOKUP(Main_S[[#This Row],[Industry]], Mean_AE_S, 3, FALSE))</f>
        <v>-2.4322316955085177</v>
      </c>
      <c r="T145" s="1">
        <f>(Main_S[[#This Row],[P/E]]-VLOOKUP(Main_S[[#This Row],[Industry]], Mean_PE_S, 2, FALSE))/(VLOOKUP(Main_S[[#This Row],[Industry]], Mean_PE_S, 3, FALSE))</f>
        <v>0.66992854973662008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s="68" t="s">
        <v>173</v>
      </c>
      <c r="B146" s="68" t="s">
        <v>615</v>
      </c>
      <c r="C146" s="2">
        <v>309</v>
      </c>
      <c r="D146">
        <f>RTD("tos.rtd", , "LAST", Main_S[[#This Row],[Symbol]])</f>
        <v>3.56</v>
      </c>
      <c r="E146">
        <v>-0.73</v>
      </c>
      <c r="F146">
        <v>3.79</v>
      </c>
      <c r="G146">
        <v>-1.59</v>
      </c>
      <c r="H146" s="1">
        <f>IF(ISNUMBER(Main_S[[#This Row],[Free CF]]),IF(Main_S[[#This Row],[Free CF]]&lt;&gt;0,Main_S[[#This Row],[Current Price]]/Main_S[[#This Row],[Free CF]],""),"")</f>
        <v>-4.8767123287671232</v>
      </c>
      <c r="I146" s="1">
        <f>IF(ISNUMBER(Main_S[[#This Row],[BVPS]]),IF(Main_S[[#This Row],[BVPS]]&lt;&gt;0,Main_S[[#This Row],[Current Price]]/Main_S[[#This Row],[BVPS]],""),"")</f>
        <v>0.93931398416886547</v>
      </c>
      <c r="J146">
        <v>-19.89</v>
      </c>
      <c r="K146">
        <v>-3.84</v>
      </c>
      <c r="L146">
        <v>3.54</v>
      </c>
      <c r="M146" s="1">
        <f>IF(ISNUMBER(Main_S[[#This Row],[EPS]]),IF(Main_S[[#This Row],[EPS]]&lt;&gt;0,Main_S[[#This Row],[Current Price]]/Main_S[[#This Row],[EPS]],""),"")</f>
        <v>-2.2389937106918238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-1.2267569908010192</v>
      </c>
      <c r="P146" s="1">
        <f>(Main_S[[#This Row],[P/B]]-VLOOKUP(Main_S[[#This Row],[Industry]], Mean_PB_S, 2, FALSE))/(VLOOKUP(Main_S[[#This Row],[Industry]], Mean_PB_S, 3, FALSE))</f>
        <v>-0.49523967830794197</v>
      </c>
      <c r="Q146" s="1">
        <f>(Main_S[[#This Row],[ROE]]-VLOOKUP(Main_S[[#This Row],[Industry]], Mean_ROE_S, 2, FALSE))/(VLOOKUP(Main_S[[#This Row],[Industry]], Mean_ROE_S, 3, FALSE))</f>
        <v>-4.7943133197220007</v>
      </c>
      <c r="R146" s="1">
        <f>(Main_S[[#This Row],[ROA]]-VLOOKUP(Main_S[[#This Row],[Industry]], Mean_ROA_S, 2, FALSE))/(VLOOKUP(Main_S[[#This Row],[Industry]], Mean_ROA_S, 3, FALSE))</f>
        <v>-4.0837616062125921</v>
      </c>
      <c r="S146" s="1">
        <f>(Main_S[[#This Row],[A/E]]-VLOOKUP(Main_S[[#This Row],[Industry]], Mean_AE_S, 2, FALSE))/(VLOOKUP(Main_S[[#This Row],[Industry]], Mean_AE_S, 3, FALSE))</f>
        <v>2.9790579955612668</v>
      </c>
      <c r="T146" s="1">
        <f>(Main_S[[#This Row],[P/E]]-VLOOKUP(Main_S[[#This Row],[Industry]], Mean_PE_S, 2, FALSE))/(VLOOKUP(Main_S[[#This Row],[Industry]], Mean_PE_S, 3, FALSE))</f>
        <v>-1.5586818551814319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s="68" t="s">
        <v>173</v>
      </c>
      <c r="B147" s="68" t="s">
        <v>616</v>
      </c>
      <c r="C147" s="2">
        <v>908</v>
      </c>
      <c r="D147">
        <f>RTD("tos.rtd", , "LAST", Main_S[[#This Row],[Symbol]])</f>
        <v>8.8800000000000008</v>
      </c>
      <c r="E147">
        <v>1.1499999999999999</v>
      </c>
      <c r="F147">
        <v>11.29</v>
      </c>
      <c r="G147">
        <v>1.04</v>
      </c>
      <c r="H147" s="1">
        <f>IF(ISNUMBER(Main_S[[#This Row],[Free CF]]),IF(Main_S[[#This Row],[Free CF]]&lt;&gt;0,Main_S[[#This Row],[Current Price]]/Main_S[[#This Row],[Free CF]],""),"")</f>
        <v>7.7217391304347842</v>
      </c>
      <c r="I147" s="1">
        <f>IF(ISNUMBER(Main_S[[#This Row],[BVPS]]),IF(Main_S[[#This Row],[BVPS]]&lt;&gt;0,Main_S[[#This Row],[Current Price]]/Main_S[[#This Row],[BVPS]],""),"")</f>
        <v>0.78653675819309132</v>
      </c>
      <c r="J147">
        <v>9.24</v>
      </c>
      <c r="K147">
        <v>5.12</v>
      </c>
      <c r="L147">
        <v>2.2599999999999998</v>
      </c>
      <c r="M147" s="1">
        <f>IF(ISNUMBER(Main_S[[#This Row],[EPS]]),IF(Main_S[[#This Row],[EPS]]&lt;&gt;0,Main_S[[#This Row],[Current Price]]/Main_S[[#This Row],[EPS]],""),"")</f>
        <v>8.5384615384615383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-3.4757599494165924E-2</v>
      </c>
      <c r="P147" s="1">
        <f>(Main_S[[#This Row],[P/B]]-VLOOKUP(Main_S[[#This Row],[Industry]], Mean_PB_S, 2, FALSE))/(VLOOKUP(Main_S[[#This Row],[Industry]], Mean_PB_S, 3, FALSE))</f>
        <v>-0.63731052270006228</v>
      </c>
      <c r="Q147" s="1">
        <f>(Main_S[[#This Row],[ROE]]-VLOOKUP(Main_S[[#This Row],[Industry]], Mean_ROE_S, 2, FALSE))/(VLOOKUP(Main_S[[#This Row],[Industry]], Mean_ROE_S, 3, FALSE))</f>
        <v>-0.25784729176602367</v>
      </c>
      <c r="R147" s="1">
        <f>(Main_S[[#This Row],[ROA]]-VLOOKUP(Main_S[[#This Row],[Industry]], Mean_ROA_S, 2, FALSE))/(VLOOKUP(Main_S[[#This Row],[Industry]], Mean_ROA_S, 3, FALSE))</f>
        <v>-0.15393668503837366</v>
      </c>
      <c r="S147" s="1">
        <f>(Main_S[[#This Row],[A/E]]-VLOOKUP(Main_S[[#This Row],[Industry]], Mean_AE_S, 2, FALSE))/(VLOOKUP(Main_S[[#This Row],[Industry]], Mean_AE_S, 3, FALSE))</f>
        <v>0.1973508451318188</v>
      </c>
      <c r="T147" s="1">
        <f>(Main_S[[#This Row],[P/E]]-VLOOKUP(Main_S[[#This Row],[Industry]], Mean_PE_S, 2, FALSE))/(VLOOKUP(Main_S[[#This Row],[Industry]], Mean_PE_S, 3, FALSE))</f>
        <v>-0.37361481955585768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s="68" t="s">
        <v>173</v>
      </c>
      <c r="B148" s="68" t="s">
        <v>617</v>
      </c>
      <c r="C148" s="2">
        <v>956</v>
      </c>
      <c r="D148">
        <f>RTD("tos.rtd", , "LAST", Main_S[[#This Row],[Symbol]])</f>
        <v>15.48</v>
      </c>
      <c r="E148">
        <v>-0.42</v>
      </c>
      <c r="F148">
        <v>17.649999999999999</v>
      </c>
      <c r="G148">
        <v>1.85</v>
      </c>
      <c r="H148" s="1">
        <f>IF(ISNUMBER(Main_S[[#This Row],[Free CF]]),IF(Main_S[[#This Row],[Free CF]]&lt;&gt;0,Main_S[[#This Row],[Current Price]]/Main_S[[#This Row],[Free CF]],""),"")</f>
        <v>-36.857142857142861</v>
      </c>
      <c r="I148" s="1">
        <f>IF(ISNUMBER(Main_S[[#This Row],[BVPS]]),IF(Main_S[[#This Row],[BVPS]]&lt;&gt;0,Main_S[[#This Row],[Current Price]]/Main_S[[#This Row],[BVPS]],""),"")</f>
        <v>0.87705382436260637</v>
      </c>
      <c r="J148">
        <v>10.49</v>
      </c>
      <c r="K148">
        <v>5.24</v>
      </c>
      <c r="L148">
        <v>2.31</v>
      </c>
      <c r="M148" s="1">
        <f>IF(ISNUMBER(Main_S[[#This Row],[EPS]]),IF(Main_S[[#This Row],[EPS]]&lt;&gt;0,Main_S[[#This Row],[Current Price]]/Main_S[[#This Row],[EPS]],""),"")</f>
        <v>8.3675675675675674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-4.252577572560825</v>
      </c>
      <c r="P148" s="1">
        <f>(Main_S[[#This Row],[P/B]]-VLOOKUP(Main_S[[#This Row],[Industry]], Mean_PB_S, 2, FALSE))/(VLOOKUP(Main_S[[#This Row],[Industry]], Mean_PB_S, 3, FALSE))</f>
        <v>-0.55313674653371392</v>
      </c>
      <c r="Q148" s="1">
        <f>(Main_S[[#This Row],[ROE]]-VLOOKUP(Main_S[[#This Row],[Industry]], Mean_ROE_S, 2, FALSE))/(VLOOKUP(Main_S[[#This Row],[Industry]], Mean_ROE_S, 3, FALSE))</f>
        <v>-6.3182597809793961E-2</v>
      </c>
      <c r="R148" s="1">
        <f>(Main_S[[#This Row],[ROA]]-VLOOKUP(Main_S[[#This Row],[Industry]], Mean_ROA_S, 2, FALSE))/(VLOOKUP(Main_S[[#This Row],[Industry]], Mean_ROA_S, 3, FALSE))</f>
        <v>-0.10130510127264747</v>
      </c>
      <c r="S148" s="1">
        <f>(Main_S[[#This Row],[A/E]]-VLOOKUP(Main_S[[#This Row],[Industry]], Mean_AE_S, 2, FALSE))/(VLOOKUP(Main_S[[#This Row],[Industry]], Mean_AE_S, 3, FALSE))</f>
        <v>0.30601128069546968</v>
      </c>
      <c r="T148" s="1">
        <f>(Main_S[[#This Row],[P/E]]-VLOOKUP(Main_S[[#This Row],[Industry]], Mean_PE_S, 2, FALSE))/(VLOOKUP(Main_S[[#This Row],[Industry]], Mean_PE_S, 3, FALSE))</f>
        <v>-0.39240597264457133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s="68" t="s">
        <v>173</v>
      </c>
      <c r="B149" s="68" t="s">
        <v>618</v>
      </c>
      <c r="C149" s="2">
        <v>408</v>
      </c>
      <c r="D149">
        <f>RTD("tos.rtd", , "LAST", Main_S[[#This Row],[Symbol]])</f>
        <v>10.199999999999999</v>
      </c>
      <c r="E149">
        <v>4.46</v>
      </c>
      <c r="F149">
        <v>2</v>
      </c>
      <c r="G149">
        <v>0.13</v>
      </c>
      <c r="H149" s="1">
        <f>IF(ISNUMBER(Main_S[[#This Row],[Free CF]]),IF(Main_S[[#This Row],[Free CF]]&lt;&gt;0,Main_S[[#This Row],[Current Price]]/Main_S[[#This Row],[Free CF]],""),"")</f>
        <v>2.2869955156950672</v>
      </c>
      <c r="I149" s="1">
        <f>IF(ISNUMBER(Main_S[[#This Row],[BVPS]]),IF(Main_S[[#This Row],[BVPS]]&lt;&gt;0,Main_S[[#This Row],[Current Price]]/Main_S[[#This Row],[BVPS]],""),"")</f>
        <v>5.0999999999999996</v>
      </c>
      <c r="J149">
        <v>3.18</v>
      </c>
      <c r="K149">
        <v>2.0299999999999998</v>
      </c>
      <c r="L149">
        <v>14.95</v>
      </c>
      <c r="M149" s="1">
        <f>IF(ISNUMBER(Main_S[[#This Row],[EPS]]),IF(Main_S[[#This Row],[EPS]]&lt;&gt;0,Main_S[[#This Row],[Current Price]]/Main_S[[#This Row],[EPS]],""),"")</f>
        <v>78.461538461538453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-0.54896453212054563</v>
      </c>
      <c r="P149" s="1">
        <f>(Main_S[[#This Row],[P/B]]-VLOOKUP(Main_S[[#This Row],[Industry]], Mean_PB_S, 2, FALSE))/(VLOOKUP(Main_S[[#This Row],[Industry]], Mean_PB_S, 3, FALSE))</f>
        <v>3.3738721722590319</v>
      </c>
      <c r="Q149" s="1">
        <f>(Main_S[[#This Row],[ROE]]-VLOOKUP(Main_S[[#This Row],[Industry]], Mean_ROE_S, 2, FALSE))/(VLOOKUP(Main_S[[#This Row],[Industry]], Mean_ROE_S, 3, FALSE))</f>
        <v>-1.2015817280658252</v>
      </c>
      <c r="R149" s="1">
        <f>(Main_S[[#This Row],[ROA]]-VLOOKUP(Main_S[[#This Row],[Industry]], Mean_ROA_S, 2, FALSE))/(VLOOKUP(Main_S[[#This Row],[Industry]], Mean_ROA_S, 3, FALSE))</f>
        <v>-1.509199967005822</v>
      </c>
      <c r="S149" s="1">
        <f>(Main_S[[#This Row],[A/E]]-VLOOKUP(Main_S[[#This Row],[Industry]], Mean_AE_S, 2, FALSE))/(VLOOKUP(Main_S[[#This Row],[Industry]], Mean_AE_S, 3, FALSE))</f>
        <v>27.77536939118626</v>
      </c>
      <c r="T149" s="1">
        <f>(Main_S[[#This Row],[P/E]]-VLOOKUP(Main_S[[#This Row],[Industry]], Mean_PE_S, 2, FALSE))/(VLOOKUP(Main_S[[#This Row],[Industry]], Mean_PE_S, 3, FALSE))</f>
        <v>7.3149843511583255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0" spans="1:26" x14ac:dyDescent="0.25">
      <c r="A150" s="68" t="s">
        <v>173</v>
      </c>
      <c r="B150" s="68" t="s">
        <v>619</v>
      </c>
      <c r="C150" s="2">
        <v>589</v>
      </c>
      <c r="D150">
        <f>RTD("tos.rtd", , "LAST", Main_S[[#This Row],[Symbol]])</f>
        <v>16.77</v>
      </c>
      <c r="E150">
        <v>1.59</v>
      </c>
      <c r="F150">
        <v>19.98</v>
      </c>
      <c r="G150">
        <v>1.99</v>
      </c>
      <c r="H150" s="1">
        <f>IF(ISNUMBER(Main_S[[#This Row],[Free CF]]),IF(Main_S[[#This Row],[Free CF]]&lt;&gt;0,Main_S[[#This Row],[Current Price]]/Main_S[[#This Row],[Free CF]],""),"")</f>
        <v>10.547169811320753</v>
      </c>
      <c r="I150" s="1">
        <f>IF(ISNUMBER(Main_S[[#This Row],[BVPS]]),IF(Main_S[[#This Row],[BVPS]]&lt;&gt;0,Main_S[[#This Row],[Current Price]]/Main_S[[#This Row],[BVPS]],""),"")</f>
        <v>0.83933933933933935</v>
      </c>
      <c r="J150">
        <v>9.93</v>
      </c>
      <c r="K150">
        <v>5.84</v>
      </c>
      <c r="L150">
        <v>2.2400000000000002</v>
      </c>
      <c r="M150" s="1">
        <f>IF(ISNUMBER(Main_S[[#This Row],[EPS]]),IF(Main_S[[#This Row],[EPS]]&lt;&gt;0,Main_S[[#This Row],[Current Price]]/Main_S[[#This Row],[EPS]],""),"")</f>
        <v>8.4271356783919593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0.23256983060327358</v>
      </c>
      <c r="P150" s="1">
        <f>(Main_S[[#This Row],[P/B]]-VLOOKUP(Main_S[[#This Row],[Industry]], Mean_PB_S, 2, FALSE))/(VLOOKUP(Main_S[[#This Row],[Industry]], Mean_PB_S, 3, FALSE))</f>
        <v>-0.5882082612758337</v>
      </c>
      <c r="Q150" s="1">
        <f>(Main_S[[#This Row],[ROE]]-VLOOKUP(Main_S[[#This Row],[Industry]], Mean_ROE_S, 2, FALSE))/(VLOOKUP(Main_S[[#This Row],[Industry]], Mean_ROE_S, 3, FALSE))</f>
        <v>-0.15039238070218494</v>
      </c>
      <c r="R150" s="1">
        <f>(Main_S[[#This Row],[ROA]]-VLOOKUP(Main_S[[#This Row],[Industry]], Mean_ROA_S, 2, FALSE))/(VLOOKUP(Main_S[[#This Row],[Industry]], Mean_ROA_S, 3, FALSE))</f>
        <v>0.16185281755598308</v>
      </c>
      <c r="S150" s="1">
        <f>(Main_S[[#This Row],[A/E]]-VLOOKUP(Main_S[[#This Row],[Industry]], Mean_AE_S, 2, FALSE))/(VLOOKUP(Main_S[[#This Row],[Industry]], Mean_AE_S, 3, FALSE))</f>
        <v>0.15388667090635963</v>
      </c>
      <c r="T150" s="1">
        <f>(Main_S[[#This Row],[P/E]]-VLOOKUP(Main_S[[#This Row],[Industry]], Mean_PE_S, 2, FALSE))/(VLOOKUP(Main_S[[#This Row],[Industry]], Mean_PE_S, 3, FALSE))</f>
        <v>-0.38585598446271147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s="68" t="s">
        <v>173</v>
      </c>
      <c r="B151" s="68" t="s">
        <v>620</v>
      </c>
      <c r="C151" s="2">
        <v>994</v>
      </c>
      <c r="D151">
        <f>RTD("tos.rtd", , "LAST", Main_S[[#This Row],[Symbol]])</f>
        <v>14.18</v>
      </c>
      <c r="E151">
        <v>2.0499999999999998</v>
      </c>
      <c r="F151">
        <v>16.8</v>
      </c>
      <c r="G151">
        <v>1.58</v>
      </c>
      <c r="H151" s="1">
        <f>IF(ISNUMBER(Main_S[[#This Row],[Free CF]]),IF(Main_S[[#This Row],[Free CF]]&lt;&gt;0,Main_S[[#This Row],[Current Price]]/Main_S[[#This Row],[Free CF]],""),"")</f>
        <v>6.9170731707317081</v>
      </c>
      <c r="I151" s="1">
        <f>IF(ISNUMBER(Main_S[[#This Row],[BVPS]]),IF(Main_S[[#This Row],[BVPS]]&lt;&gt;0,Main_S[[#This Row],[Current Price]]/Main_S[[#This Row],[BVPS]],""),"")</f>
        <v>0.84404761904761905</v>
      </c>
      <c r="J151">
        <v>9.7899999999999991</v>
      </c>
      <c r="K151">
        <v>5.7</v>
      </c>
      <c r="L151">
        <v>2.25</v>
      </c>
      <c r="M151" s="1">
        <f>IF(ISNUMBER(Main_S[[#This Row],[EPS]]),IF(Main_S[[#This Row],[EPS]]&lt;&gt;0,Main_S[[#This Row],[Current Price]]/Main_S[[#This Row],[EPS]],""),"")</f>
        <v>8.9746835443037973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-0.11089087168857044</v>
      </c>
      <c r="P151" s="1">
        <f>(Main_S[[#This Row],[P/B]]-VLOOKUP(Main_S[[#This Row],[Industry]], Mean_PB_S, 2, FALSE))/(VLOOKUP(Main_S[[#This Row],[Industry]], Mean_PB_S, 3, FALSE))</f>
        <v>-0.58382993021557705</v>
      </c>
      <c r="Q151" s="1">
        <f>(Main_S[[#This Row],[ROE]]-VLOOKUP(Main_S[[#This Row],[Industry]], Mean_ROE_S, 2, FALSE))/(VLOOKUP(Main_S[[#This Row],[Industry]], Mean_ROE_S, 3, FALSE))</f>
        <v>-0.17219482642528275</v>
      </c>
      <c r="R151" s="1">
        <f>(Main_S[[#This Row],[ROA]]-VLOOKUP(Main_S[[#This Row],[Industry]], Mean_ROA_S, 2, FALSE))/(VLOOKUP(Main_S[[#This Row],[Industry]], Mean_ROA_S, 3, FALSE))</f>
        <v>0.10044930316263606</v>
      </c>
      <c r="S151" s="1">
        <f>(Main_S[[#This Row],[A/E]]-VLOOKUP(Main_S[[#This Row],[Industry]], Mean_AE_S, 2, FALSE))/(VLOOKUP(Main_S[[#This Row],[Industry]], Mean_AE_S, 3, FALSE))</f>
        <v>0.17561875801908922</v>
      </c>
      <c r="T151" s="1">
        <f>(Main_S[[#This Row],[P/E]]-VLOOKUP(Main_S[[#This Row],[Industry]], Mean_PE_S, 2, FALSE))/(VLOOKUP(Main_S[[#This Row],[Industry]], Mean_PE_S, 3, FALSE))</f>
        <v>-0.32564873596866412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s="68" t="s">
        <v>173</v>
      </c>
      <c r="B152" s="68" t="s">
        <v>621</v>
      </c>
      <c r="C152" s="2">
        <v>516</v>
      </c>
      <c r="D152">
        <f>RTD("tos.rtd", , "LAST", Main_S[[#This Row],[Symbol]])</f>
        <v>9.7799999999999994</v>
      </c>
      <c r="E152">
        <v>1.65</v>
      </c>
      <c r="F152">
        <v>15.43</v>
      </c>
      <c r="G152">
        <v>0.63</v>
      </c>
      <c r="H152" s="1">
        <f>IF(ISNUMBER(Main_S[[#This Row],[Free CF]]),IF(Main_S[[#This Row],[Free CF]]&lt;&gt;0,Main_S[[#This Row],[Current Price]]/Main_S[[#This Row],[Free CF]],""),"")</f>
        <v>5.9272727272727268</v>
      </c>
      <c r="I152" s="1">
        <f>IF(ISNUMBER(Main_S[[#This Row],[BVPS]]),IF(Main_S[[#This Row],[BVPS]]&lt;&gt;0,Main_S[[#This Row],[Current Price]]/Main_S[[#This Row],[BVPS]],""),"")</f>
        <v>0.63383020090732334</v>
      </c>
      <c r="J152">
        <v>3.99</v>
      </c>
      <c r="K152">
        <v>6.11</v>
      </c>
      <c r="L152">
        <v>2.37</v>
      </c>
      <c r="M152" s="1">
        <f>IF(ISNUMBER(Main_S[[#This Row],[EPS]]),IF(Main_S[[#This Row],[EPS]]&lt;&gt;0,Main_S[[#This Row],[Current Price]]/Main_S[[#This Row],[EPS]],""),"")</f>
        <v>15.523809523809522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-0.20454059760441726</v>
      </c>
      <c r="P152" s="1">
        <f>(Main_S[[#This Row],[P/B]]-VLOOKUP(Main_S[[#This Row],[Industry]], Mean_PB_S, 2, FALSE))/(VLOOKUP(Main_S[[#This Row],[Industry]], Mean_PB_S, 3, FALSE))</f>
        <v>-0.77931565074999132</v>
      </c>
      <c r="Q152" s="1">
        <f>(Main_S[[#This Row],[ROE]]-VLOOKUP(Main_S[[#This Row],[Industry]], Mean_ROE_S, 2, FALSE))/(VLOOKUP(Main_S[[#This Row],[Industry]], Mean_ROE_S, 3, FALSE))</f>
        <v>-1.0754390063821884</v>
      </c>
      <c r="R152" s="1">
        <f>(Main_S[[#This Row],[ROA]]-VLOOKUP(Main_S[[#This Row],[Industry]], Mean_ROA_S, 2, FALSE))/(VLOOKUP(Main_S[[#This Row],[Industry]], Mean_ROA_S, 3, FALSE))</f>
        <v>0.28027388102886708</v>
      </c>
      <c r="S152" s="1">
        <f>(Main_S[[#This Row],[A/E]]-VLOOKUP(Main_S[[#This Row],[Industry]], Mean_AE_S, 2, FALSE))/(VLOOKUP(Main_S[[#This Row],[Industry]], Mean_AE_S, 3, FALSE))</f>
        <v>0.43640380337185014</v>
      </c>
      <c r="T152" s="1">
        <f>(Main_S[[#This Row],[P/E]]-VLOOKUP(Main_S[[#This Row],[Industry]], Mean_PE_S, 2, FALSE))/(VLOOKUP(Main_S[[#This Row],[Industry]], Mean_PE_S, 3, FALSE))</f>
        <v>0.39447982230866868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s="68" t="s">
        <v>173</v>
      </c>
      <c r="B153" s="68" t="s">
        <v>622</v>
      </c>
      <c r="C153" s="2">
        <v>1010</v>
      </c>
      <c r="D153">
        <f>RTD("tos.rtd", , "LAST", Main_S[[#This Row],[Symbol]])</f>
        <v>21.12</v>
      </c>
      <c r="E153">
        <v>-5.65</v>
      </c>
      <c r="F153">
        <v>16.59</v>
      </c>
      <c r="G153">
        <v>1.43</v>
      </c>
      <c r="H153" s="1">
        <f>IF(ISNUMBER(Main_S[[#This Row],[Free CF]]),IF(Main_S[[#This Row],[Free CF]]&lt;&gt;0,Main_S[[#This Row],[Current Price]]/Main_S[[#This Row],[Free CF]],""),"")</f>
        <v>-3.7380530973451327</v>
      </c>
      <c r="I153" s="1">
        <f>IF(ISNUMBER(Main_S[[#This Row],[BVPS]]),IF(Main_S[[#This Row],[BVPS]]&lt;&gt;0,Main_S[[#This Row],[Current Price]]/Main_S[[#This Row],[BVPS]],""),"")</f>
        <v>1.2730560578661845</v>
      </c>
      <c r="J153">
        <v>8.57</v>
      </c>
      <c r="K153">
        <v>6.72</v>
      </c>
      <c r="L153">
        <v>2.15</v>
      </c>
      <c r="M153" s="1">
        <f>IF(ISNUMBER(Main_S[[#This Row],[EPS]]),IF(Main_S[[#This Row],[EPS]]&lt;&gt;0,Main_S[[#This Row],[Current Price]]/Main_S[[#This Row],[EPS]],""),"")</f>
        <v>14.76923076923077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-1.1190230272138051</v>
      </c>
      <c r="P153" s="1">
        <f>(Main_S[[#This Row],[P/B]]-VLOOKUP(Main_S[[#This Row],[Industry]], Mean_PB_S, 2, FALSE))/(VLOOKUP(Main_S[[#This Row],[Industry]], Mean_PB_S, 3, FALSE))</f>
        <v>-0.18488571084636515</v>
      </c>
      <c r="Q153" s="1">
        <f>(Main_S[[#This Row],[ROE]]-VLOOKUP(Main_S[[#This Row],[Industry]], Mean_ROE_S, 2, FALSE))/(VLOOKUP(Main_S[[#This Row],[Industry]], Mean_ROE_S, 3, FALSE))</f>
        <v>-0.36218756772656274</v>
      </c>
      <c r="R153" s="1">
        <f>(Main_S[[#This Row],[ROA]]-VLOOKUP(Main_S[[#This Row],[Industry]], Mean_ROA_S, 2, FALSE))/(VLOOKUP(Main_S[[#This Row],[Industry]], Mean_ROA_S, 3, FALSE))</f>
        <v>0.54781776517130809</v>
      </c>
      <c r="S153" s="1">
        <f>(Main_S[[#This Row],[A/E]]-VLOOKUP(Main_S[[#This Row],[Industry]], Mean_AE_S, 2, FALSE))/(VLOOKUP(Main_S[[#This Row],[Industry]], Mean_AE_S, 3, FALSE))</f>
        <v>-4.170211310821155E-2</v>
      </c>
      <c r="T153" s="1">
        <f>(Main_S[[#This Row],[P/E]]-VLOOKUP(Main_S[[#This Row],[Industry]], Mean_PE_S, 2, FALSE))/(VLOOKUP(Main_S[[#This Row],[Industry]], Mean_PE_S, 3, FALSE))</f>
        <v>0.31150787882461423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s="68" t="s">
        <v>173</v>
      </c>
      <c r="B154" s="68" t="s">
        <v>623</v>
      </c>
      <c r="C154" s="2">
        <v>296</v>
      </c>
      <c r="D154">
        <f>RTD("tos.rtd", , "LAST", Main_S[[#This Row],[Symbol]])</f>
        <v>3</v>
      </c>
      <c r="E154">
        <v>-0.01</v>
      </c>
      <c r="F154">
        <v>0.28000000000000003</v>
      </c>
      <c r="G154">
        <v>0.03</v>
      </c>
      <c r="H154" s="1">
        <f>IF(ISNUMBER(Main_S[[#This Row],[Free CF]]),IF(Main_S[[#This Row],[Free CF]]&lt;&gt;0,Main_S[[#This Row],[Current Price]]/Main_S[[#This Row],[Free CF]],""),"")</f>
        <v>-300</v>
      </c>
      <c r="I154" s="1">
        <f>IF(ISNUMBER(Main_S[[#This Row],[BVPS]]),IF(Main_S[[#This Row],[BVPS]]&lt;&gt;0,Main_S[[#This Row],[Current Price]]/Main_S[[#This Row],[BVPS]],""),"")</f>
        <v>10.714285714285714</v>
      </c>
      <c r="J154">
        <v>17.12</v>
      </c>
      <c r="K154">
        <v>12.46</v>
      </c>
      <c r="L154">
        <v>1.24</v>
      </c>
      <c r="M154" s="1">
        <f>IF(ISNUMBER(Main_S[[#This Row],[EPS]]),IF(Main_S[[#This Row],[EPS]]&lt;&gt;0,Main_S[[#This Row],[Current Price]]/Main_S[[#This Row],[EPS]],""),"")</f>
        <v>100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-29.149774387327312</v>
      </c>
      <c r="P154" s="1">
        <f>(Main_S[[#This Row],[P/B]]-VLOOKUP(Main_S[[#This Row],[Industry]], Mean_PB_S, 2, FALSE))/(VLOOKUP(Main_S[[#This Row],[Industry]], Mean_PB_S, 3, FALSE))</f>
        <v>8.5947177989080554</v>
      </c>
      <c r="Q154" s="1">
        <f>(Main_S[[#This Row],[ROE]]-VLOOKUP(Main_S[[#This Row],[Industry]], Mean_ROE_S, 2, FALSE))/(VLOOKUP(Main_S[[#This Row],[Industry]], Mean_ROE_S, 3, FALSE))</f>
        <v>0.96931893893404841</v>
      </c>
      <c r="R154" s="1">
        <f>(Main_S[[#This Row],[ROA]]-VLOOKUP(Main_S[[#This Row],[Industry]], Mean_ROA_S, 2, FALSE))/(VLOOKUP(Main_S[[#This Row],[Industry]], Mean_ROA_S, 3, FALSE))</f>
        <v>3.0653618552985424</v>
      </c>
      <c r="S154" s="1">
        <f>(Main_S[[#This Row],[A/E]]-VLOOKUP(Main_S[[#This Row],[Industry]], Mean_AE_S, 2, FALSE))/(VLOOKUP(Main_S[[#This Row],[Industry]], Mean_AE_S, 3, FALSE))</f>
        <v>-2.0193220403666468</v>
      </c>
      <c r="T154" s="1">
        <f>(Main_S[[#This Row],[P/E]]-VLOOKUP(Main_S[[#This Row],[Industry]], Mean_PE_S, 2, FALSE))/(VLOOKUP(Main_S[[#This Row],[Industry]], Mean_PE_S, 3, FALSE))</f>
        <v>9.6833097282760061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5" spans="1:26" x14ac:dyDescent="0.25">
      <c r="A155" s="68" t="s">
        <v>173</v>
      </c>
      <c r="B155" s="68" t="s">
        <v>624</v>
      </c>
      <c r="C155" s="2">
        <v>1539</v>
      </c>
      <c r="D155">
        <f>RTD("tos.rtd", , "LAST", Main_S[[#This Row],[Symbol]])</f>
        <v>9.11</v>
      </c>
      <c r="E155">
        <v>0.46</v>
      </c>
      <c r="F155">
        <v>6.62</v>
      </c>
      <c r="G155">
        <v>0.37</v>
      </c>
      <c r="H155" s="1">
        <f>IF(ISNUMBER(Main_S[[#This Row],[Free CF]]),IF(Main_S[[#This Row],[Free CF]]&lt;&gt;0,Main_S[[#This Row],[Current Price]]/Main_S[[#This Row],[Free CF]],""),"")</f>
        <v>19.804347826086953</v>
      </c>
      <c r="I155" s="1">
        <f>IF(ISNUMBER(Main_S[[#This Row],[BVPS]]),IF(Main_S[[#This Row],[BVPS]]&lt;&gt;0,Main_S[[#This Row],[Current Price]]/Main_S[[#This Row],[BVPS]],""),"")</f>
        <v>1.376132930513595</v>
      </c>
      <c r="J155">
        <v>6.89</v>
      </c>
      <c r="K155">
        <v>2.42</v>
      </c>
      <c r="L155">
        <v>2.95</v>
      </c>
      <c r="M155" s="1">
        <f>IF(ISNUMBER(Main_S[[#This Row],[EPS]]),IF(Main_S[[#This Row],[EPS]]&lt;&gt;0,Main_S[[#This Row],[Current Price]]/Main_S[[#This Row],[EPS]],""),"")</f>
        <v>24.621621621621621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1.1084354554028089</v>
      </c>
      <c r="P155" s="1">
        <f>(Main_S[[#This Row],[P/B]]-VLOOKUP(Main_S[[#This Row],[Industry]], Mean_PB_S, 2, FALSE))/(VLOOKUP(Main_S[[#This Row],[Industry]], Mean_PB_S, 3, FALSE))</f>
        <v>-8.9032299182516816E-2</v>
      </c>
      <c r="Q155" s="1">
        <f>(Main_S[[#This Row],[ROE]]-VLOOKUP(Main_S[[#This Row],[Industry]], Mean_ROE_S, 2, FALSE))/(VLOOKUP(Main_S[[#This Row],[Industry]], Mean_ROE_S, 3, FALSE))</f>
        <v>-0.6238169164037356</v>
      </c>
      <c r="R155" s="1">
        <f>(Main_S[[#This Row],[ROA]]-VLOOKUP(Main_S[[#This Row],[Industry]], Mean_ROA_S, 2, FALSE))/(VLOOKUP(Main_S[[#This Row],[Industry]], Mean_ROA_S, 3, FALSE))</f>
        <v>-1.338147319767212</v>
      </c>
      <c r="S155" s="1">
        <f>(Main_S[[#This Row],[A/E]]-VLOOKUP(Main_S[[#This Row],[Industry]], Mean_AE_S, 2, FALSE))/(VLOOKUP(Main_S[[#This Row],[Industry]], Mean_AE_S, 3, FALSE))</f>
        <v>1.6968648559101935</v>
      </c>
      <c r="T155" s="1">
        <f>(Main_S[[#This Row],[P/E]]-VLOOKUP(Main_S[[#This Row],[Industry]], Mean_PE_S, 2, FALSE))/(VLOOKUP(Main_S[[#This Row],[Industry]], Mean_PE_S, 3, FALSE))</f>
        <v>1.3948567168710124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s="68" t="s">
        <v>173</v>
      </c>
      <c r="B156" s="68" t="s">
        <v>625</v>
      </c>
      <c r="C156" s="2">
        <v>374</v>
      </c>
      <c r="D156">
        <f>RTD("tos.rtd", , "LAST", Main_S[[#This Row],[Symbol]])</f>
        <v>143.42500000000001</v>
      </c>
      <c r="E156">
        <v>5.98</v>
      </c>
      <c r="F156">
        <v>60.75</v>
      </c>
      <c r="G156">
        <v>14.79</v>
      </c>
      <c r="H156" s="1">
        <f>IF(ISNUMBER(Main_S[[#This Row],[Free CF]]),IF(Main_S[[#This Row],[Free CF]]&lt;&gt;0,Main_S[[#This Row],[Current Price]]/Main_S[[#This Row],[Free CF]],""),"")</f>
        <v>23.984113712374583</v>
      </c>
      <c r="I156" s="1">
        <f>IF(ISNUMBER(Main_S[[#This Row],[BVPS]]),IF(Main_S[[#This Row],[BVPS]]&lt;&gt;0,Main_S[[#This Row],[Current Price]]/Main_S[[#This Row],[BVPS]],""),"")</f>
        <v>2.3609053497942387</v>
      </c>
      <c r="J156">
        <v>24.77</v>
      </c>
      <c r="K156">
        <v>14.03</v>
      </c>
      <c r="L156">
        <v>1.33</v>
      </c>
      <c r="M156" s="1">
        <f>IF(ISNUMBER(Main_S[[#This Row],[EPS]]),IF(Main_S[[#This Row],[EPS]]&lt;&gt;0,Main_S[[#This Row],[Current Price]]/Main_S[[#This Row],[EPS]],""),"")</f>
        <v>9.6974306964164985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1.5039029784070705</v>
      </c>
      <c r="P156" s="1">
        <f>(Main_S[[#This Row],[P/B]]-VLOOKUP(Main_S[[#This Row],[Industry]], Mean_PB_S, 2, FALSE))/(VLOOKUP(Main_S[[#This Row],[Industry]], Mean_PB_S, 3, FALSE))</f>
        <v>0.82672885728367884</v>
      </c>
      <c r="Q156" s="1">
        <f>(Main_S[[#This Row],[ROE]]-VLOOKUP(Main_S[[#This Row],[Industry]], Mean_ROE_S, 2, FALSE))/(VLOOKUP(Main_S[[#This Row],[Industry]], Mean_ROE_S, 3, FALSE))</f>
        <v>2.1606668659461739</v>
      </c>
      <c r="R156" s="1">
        <f>(Main_S[[#This Row],[ROA]]-VLOOKUP(Main_S[[#This Row],[Industry]], Mean_ROA_S, 2, FALSE))/(VLOOKUP(Main_S[[#This Row],[Industry]], Mean_ROA_S, 3, FALSE))</f>
        <v>3.7539584095667919</v>
      </c>
      <c r="S156" s="1">
        <f>(Main_S[[#This Row],[A/E]]-VLOOKUP(Main_S[[#This Row],[Industry]], Mean_AE_S, 2, FALSE))/(VLOOKUP(Main_S[[#This Row],[Industry]], Mean_AE_S, 3, FALSE))</f>
        <v>-1.8237332563520758</v>
      </c>
      <c r="T156" s="1">
        <f>(Main_S[[#This Row],[P/E]]-VLOOKUP(Main_S[[#This Row],[Industry]], Mean_PE_S, 2, FALSE))/(VLOOKUP(Main_S[[#This Row],[Industry]], Mean_PE_S, 3, FALSE))</f>
        <v>-0.24617693068064789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7" spans="1:26" x14ac:dyDescent="0.25">
      <c r="A157" s="68" t="s">
        <v>173</v>
      </c>
      <c r="B157" s="68" t="s">
        <v>626</v>
      </c>
      <c r="C157" s="2">
        <v>653</v>
      </c>
      <c r="D157">
        <f>RTD("tos.rtd", , "LAST", Main_S[[#This Row],[Symbol]])</f>
        <v>20.23</v>
      </c>
      <c r="E157">
        <v>-1.7</v>
      </c>
      <c r="F157">
        <v>19.329999999999998</v>
      </c>
      <c r="G157">
        <v>2.4</v>
      </c>
      <c r="H157" s="1">
        <f>IF(ISNUMBER(Main_S[[#This Row],[Free CF]]),IF(Main_S[[#This Row],[Free CF]]&lt;&gt;0,Main_S[[#This Row],[Current Price]]/Main_S[[#This Row],[Free CF]],""),"")</f>
        <v>-11.9</v>
      </c>
      <c r="I157" s="1">
        <f>IF(ISNUMBER(Main_S[[#This Row],[BVPS]]),IF(Main_S[[#This Row],[BVPS]]&lt;&gt;0,Main_S[[#This Row],[Current Price]]/Main_S[[#This Row],[BVPS]],""),"")</f>
        <v>1.0465597516813245</v>
      </c>
      <c r="J157">
        <v>12.58</v>
      </c>
      <c r="K157">
        <v>5.62</v>
      </c>
      <c r="L157">
        <v>1.78</v>
      </c>
      <c r="M157" s="1">
        <f>IF(ISNUMBER(Main_S[[#This Row],[EPS]]),IF(Main_S[[#This Row],[EPS]]&lt;&gt;0,Main_S[[#This Row],[Current Price]]/Main_S[[#This Row],[EPS]],""),"")</f>
        <v>8.4291666666666671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-1.891263629271082</v>
      </c>
      <c r="P157" s="1">
        <f>(Main_S[[#This Row],[P/B]]-VLOOKUP(Main_S[[#This Row],[Industry]], Mean_PB_S, 2, FALSE))/(VLOOKUP(Main_S[[#This Row],[Industry]], Mean_PB_S, 3, FALSE))</f>
        <v>-0.39550952120722238</v>
      </c>
      <c r="Q157" s="1">
        <f>(Main_S[[#This Row],[ROE]]-VLOOKUP(Main_S[[#This Row],[Industry]], Mean_ROE_S, 2, FALSE))/(VLOOKUP(Main_S[[#This Row],[Industry]], Mean_ROE_S, 3, FALSE))</f>
        <v>0.26229677048502203</v>
      </c>
      <c r="R157" s="1">
        <f>(Main_S[[#This Row],[ROA]]-VLOOKUP(Main_S[[#This Row],[Industry]], Mean_ROA_S, 2, FALSE))/(VLOOKUP(Main_S[[#This Row],[Industry]], Mean_ROA_S, 3, FALSE))</f>
        <v>6.5361580652151932E-2</v>
      </c>
      <c r="S157" s="1">
        <f>(Main_S[[#This Row],[A/E]]-VLOOKUP(Main_S[[#This Row],[Industry]], Mean_AE_S, 2, FALSE))/(VLOOKUP(Main_S[[#This Row],[Industry]], Mean_AE_S, 3, FALSE))</f>
        <v>-0.84578933627922348</v>
      </c>
      <c r="T157" s="1">
        <f>(Main_S[[#This Row],[P/E]]-VLOOKUP(Main_S[[#This Row],[Industry]], Mean_PE_S, 2, FALSE))/(VLOOKUP(Main_S[[#This Row],[Industry]], Mean_PE_S, 3, FALSE))</f>
        <v>-0.38563266112724343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s="68" t="s">
        <v>173</v>
      </c>
      <c r="B158" s="68" t="s">
        <v>627</v>
      </c>
      <c r="C158" s="2">
        <v>510</v>
      </c>
      <c r="D158">
        <f>RTD("tos.rtd", , "LAST", Main_S[[#This Row],[Symbol]])</f>
        <v>4.1399999999999997</v>
      </c>
      <c r="H158" s="1" t="str">
        <f>IF(ISNUMBER(Main_S[[#This Row],[Free CF]]),IF(Main_S[[#This Row],[Free CF]]&lt;&gt;0,Main_S[[#This Row],[Current Price]]/Main_S[[#This Row],[Free CF]],""),"")</f>
        <v/>
      </c>
      <c r="I158" s="1" t="str">
        <f>IF(ISNUMBER(Main_S[[#This Row],[BVPS]]),IF(Main_S[[#This Row],[BVPS]]&lt;&gt;0,Main_S[[#This Row],[Current Price]]/Main_S[[#This Row],[BVPS]],""),"")</f>
        <v/>
      </c>
      <c r="M158" s="1" t="str">
        <f>IF(ISNUMBER(Main_S[[#This Row],[EPS]]),IF(Main_S[[#This Row],[EPS]]&lt;&gt;0,Main_S[[#This Row],[Current Price]]/Main_S[[#This Row],[EPS]],""),"")</f>
        <v/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 t="e">
        <f>(Main_S[[#This Row],[P/FCF]]-VLOOKUP(Main_S[[#This Row],[Industry]], Mean_PFCF_S, 2, FALSE))/(VLOOKUP(Main_S[[#This Row],[Industry]], Mean_PFCF_S, 3, FALSE))</f>
        <v>#VALUE!</v>
      </c>
      <c r="P158" s="1" t="e">
        <f>(Main_S[[#This Row],[P/B]]-VLOOKUP(Main_S[[#This Row],[Industry]], Mean_PB_S, 2, FALSE))/(VLOOKUP(Main_S[[#This Row],[Industry]], Mean_PB_S, 3, FALSE))</f>
        <v>#VALUE!</v>
      </c>
      <c r="Q158" s="1">
        <f>(Main_S[[#This Row],[ROE]]-VLOOKUP(Main_S[[#This Row],[Industry]], Mean_ROE_S, 2, FALSE))/(VLOOKUP(Main_S[[#This Row],[Industry]], Mean_ROE_S, 3, FALSE))</f>
        <v>-1.6968087094904736</v>
      </c>
      <c r="R158" s="1">
        <f>(Main_S[[#This Row],[ROA]]-VLOOKUP(Main_S[[#This Row],[Industry]], Mean_ROA_S, 2, FALSE))/(VLOOKUP(Main_S[[#This Row],[Industry]], Mean_ROA_S, 3, FALSE))</f>
        <v>-2.3995509257093559</v>
      </c>
      <c r="S158" s="1">
        <f>(Main_S[[#This Row],[A/E]]-VLOOKUP(Main_S[[#This Row],[Industry]], Mean_AE_S, 2, FALSE))/(VLOOKUP(Main_S[[#This Row],[Industry]], Mean_AE_S, 3, FALSE))</f>
        <v>-4.7141008423451733</v>
      </c>
      <c r="T158" s="1" t="e">
        <f>(Main_S[[#This Row],[P/E]]-VLOOKUP(Main_S[[#This Row],[Industry]], Mean_PE_S, 2, FALSE))/(VLOOKUP(Main_S[[#This Row],[Industry]], Mean_PE_S, 3, FALSE))</f>
        <v>#VALUE!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9" spans="1:26" x14ac:dyDescent="0.25">
      <c r="A159" s="68" t="s">
        <v>173</v>
      </c>
      <c r="B159" s="68" t="s">
        <v>628</v>
      </c>
      <c r="C159" s="2">
        <v>507</v>
      </c>
      <c r="D159">
        <f>RTD("tos.rtd", , "LAST", Main_S[[#This Row],[Symbol]])</f>
        <v>14.05</v>
      </c>
      <c r="E159">
        <v>-2.48</v>
      </c>
      <c r="F159">
        <v>13.3</v>
      </c>
      <c r="G159">
        <v>1.92</v>
      </c>
      <c r="H159" s="1">
        <f>IF(ISNUMBER(Main_S[[#This Row],[Free CF]]),IF(Main_S[[#This Row],[Free CF]]&lt;&gt;0,Main_S[[#This Row],[Current Price]]/Main_S[[#This Row],[Free CF]],""),"")</f>
        <v>-5.6653225806451619</v>
      </c>
      <c r="I159" s="1">
        <f>IF(ISNUMBER(Main_S[[#This Row],[BVPS]]),IF(Main_S[[#This Row],[BVPS]]&lt;&gt;0,Main_S[[#This Row],[Current Price]]/Main_S[[#This Row],[BVPS]],""),"")</f>
        <v>1.0563909774436091</v>
      </c>
      <c r="J159">
        <v>14.74</v>
      </c>
      <c r="K159">
        <v>3.36</v>
      </c>
      <c r="L159">
        <v>2.2200000000000002</v>
      </c>
      <c r="M159" s="1">
        <f>IF(ISNUMBER(Main_S[[#This Row],[EPS]]),IF(Main_S[[#This Row],[EPS]]&lt;&gt;0,Main_S[[#This Row],[Current Price]]/Main_S[[#This Row],[EPS]],""),"")</f>
        <v>7.3177083333333339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-1.3013711561419805</v>
      </c>
      <c r="P159" s="1">
        <f>(Main_S[[#This Row],[P/B]]-VLOOKUP(Main_S[[#This Row],[Industry]], Mean_PB_S, 2, FALSE))/(VLOOKUP(Main_S[[#This Row],[Industry]], Mean_PB_S, 3, FALSE))</f>
        <v>-0.38636725188968146</v>
      </c>
      <c r="Q159" s="1">
        <f>(Main_S[[#This Row],[ROE]]-VLOOKUP(Main_S[[#This Row],[Industry]], Mean_ROE_S, 2, FALSE))/(VLOOKUP(Main_S[[#This Row],[Industry]], Mean_ROE_S, 3, FALSE))</f>
        <v>0.59867736164138696</v>
      </c>
      <c r="R159" s="1">
        <f>(Main_S[[#This Row],[ROA]]-VLOOKUP(Main_S[[#This Row],[Industry]], Mean_ROA_S, 2, FALSE))/(VLOOKUP(Main_S[[#This Row],[Industry]], Mean_ROA_S, 3, FALSE))</f>
        <v>-0.9258665802690238</v>
      </c>
      <c r="S159" s="1">
        <f>(Main_S[[#This Row],[A/E]]-VLOOKUP(Main_S[[#This Row],[Industry]], Mean_AE_S, 2, FALSE))/(VLOOKUP(Main_S[[#This Row],[Industry]], Mean_AE_S, 3, FALSE))</f>
        <v>0.11042249668089947</v>
      </c>
      <c r="T159" s="1">
        <f>(Main_S[[#This Row],[P/E]]-VLOOKUP(Main_S[[#This Row],[Industry]], Mean_PE_S, 2, FALSE))/(VLOOKUP(Main_S[[#This Row],[Industry]], Mean_PE_S, 3, FALSE))</f>
        <v>-0.50784635646206244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s="68" t="s">
        <v>173</v>
      </c>
      <c r="B160" s="68" t="s">
        <v>629</v>
      </c>
      <c r="C160" s="2">
        <v>571</v>
      </c>
      <c r="D160">
        <f>RTD("tos.rtd", , "LAST", Main_S[[#This Row],[Symbol]])</f>
        <v>12.55</v>
      </c>
      <c r="E160">
        <v>2.95</v>
      </c>
      <c r="F160">
        <v>-0.62</v>
      </c>
      <c r="G160">
        <v>0.03</v>
      </c>
      <c r="H160" s="1">
        <f>IF(ISNUMBER(Main_S[[#This Row],[Free CF]]),IF(Main_S[[#This Row],[Free CF]]&lt;&gt;0,Main_S[[#This Row],[Current Price]]/Main_S[[#This Row],[Free CF]],""),"")</f>
        <v>4.2542372881355934</v>
      </c>
      <c r="I160" s="1">
        <f>IF(ISNUMBER(Main_S[[#This Row],[BVPS]]),IF(Main_S[[#This Row],[BVPS]]&lt;&gt;0,Main_S[[#This Row],[Current Price]]/Main_S[[#This Row],[BVPS]],""),"")</f>
        <v>-20.241935483870968</v>
      </c>
      <c r="J160">
        <v>-36.32</v>
      </c>
      <c r="K160">
        <v>8.2200000000000006</v>
      </c>
      <c r="L160">
        <v>-22.18</v>
      </c>
      <c r="M160" s="1">
        <f>IF(ISNUMBER(Main_S[[#This Row],[EPS]]),IF(Main_S[[#This Row],[EPS]]&lt;&gt;0,Main_S[[#This Row],[Current Price]]/Main_S[[#This Row],[EPS]],""),"")</f>
        <v>418.33333333333337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0" s="1">
        <f>(Main_S[[#This Row],[P/FCF]]-VLOOKUP(Main_S[[#This Row],[Industry]], Mean_PFCF_S, 2, FALSE))/(VLOOKUP(Main_S[[#This Row],[Industry]], Mean_PFCF_S, 3, FALSE))</f>
        <v>-0.3628344348703974</v>
      </c>
      <c r="P160" s="1">
        <f>(Main_S[[#This Row],[P/B]]-VLOOKUP(Main_S[[#This Row],[Industry]], Mean_PB_S, 2, FALSE))/(VLOOKUP(Main_S[[#This Row],[Industry]], Mean_PB_S, 3, FALSE))</f>
        <v>-20.192141346634763</v>
      </c>
      <c r="Q160" s="1">
        <f>(Main_S[[#This Row],[ROE]]-VLOOKUP(Main_S[[#This Row],[Industry]], Mean_ROE_S, 2, FALSE))/(VLOOKUP(Main_S[[#This Row],[Industry]], Mean_ROE_S, 3, FALSE))</f>
        <v>-7.3529860570826839</v>
      </c>
      <c r="R160" s="1">
        <f>(Main_S[[#This Row],[ROA]]-VLOOKUP(Main_S[[#This Row],[Industry]], Mean_ROA_S, 2, FALSE))/(VLOOKUP(Main_S[[#This Row],[Industry]], Mean_ROA_S, 3, FALSE))</f>
        <v>1.2057125622428853</v>
      </c>
      <c r="S160" s="1">
        <f>(Main_S[[#This Row],[A/E]]-VLOOKUP(Main_S[[#This Row],[Industry]], Mean_AE_S, 2, FALSE))/(VLOOKUP(Main_S[[#This Row],[Industry]], Mean_AE_S, 3, FALSE))</f>
        <v>-52.915870058380442</v>
      </c>
      <c r="T160" s="1">
        <f>(Main_S[[#This Row],[P/E]]-VLOOKUP(Main_S[[#This Row],[Industry]], Mean_PE_S, 2, FALSE))/(VLOOKUP(Main_S[[#This Row],[Industry]], Mean_PE_S, 3, FALSE))</f>
        <v>44.686594915080768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1" spans="1:26" x14ac:dyDescent="0.25">
      <c r="A161" s="68" t="s">
        <v>173</v>
      </c>
      <c r="B161" s="68" t="s">
        <v>630</v>
      </c>
      <c r="C161" s="2">
        <v>563</v>
      </c>
      <c r="D161">
        <f>RTD("tos.rtd", , "LAST", Main_S[[#This Row],[Symbol]])</f>
        <v>26.48</v>
      </c>
      <c r="E161">
        <v>2.44</v>
      </c>
      <c r="F161">
        <v>21.51</v>
      </c>
      <c r="G161">
        <v>4.63</v>
      </c>
      <c r="H161" s="1">
        <f>IF(ISNUMBER(Main_S[[#This Row],[Free CF]]),IF(Main_S[[#This Row],[Free CF]]&lt;&gt;0,Main_S[[#This Row],[Current Price]]/Main_S[[#This Row],[Free CF]],""),"")</f>
        <v>10.852459016393443</v>
      </c>
      <c r="I161" s="1">
        <f>IF(ISNUMBER(Main_S[[#This Row],[BVPS]]),IF(Main_S[[#This Row],[BVPS]]&lt;&gt;0,Main_S[[#This Row],[Current Price]]/Main_S[[#This Row],[BVPS]],""),"")</f>
        <v>1.2310553231055323</v>
      </c>
      <c r="J161">
        <v>22.34</v>
      </c>
      <c r="K161">
        <v>5.43</v>
      </c>
      <c r="L161">
        <v>1.7</v>
      </c>
      <c r="M161" s="1">
        <f>IF(ISNUMBER(Main_S[[#This Row],[EPS]]),IF(Main_S[[#This Row],[EPS]]&lt;&gt;0,Main_S[[#This Row],[Current Price]]/Main_S[[#This Row],[EPS]],""),"")</f>
        <v>5.7192224622030237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0.26145469377853336</v>
      </c>
      <c r="P161" s="1">
        <f>(Main_S[[#This Row],[P/B]]-VLOOKUP(Main_S[[#This Row],[Industry]], Mean_PB_S, 2, FALSE))/(VLOOKUP(Main_S[[#This Row],[Industry]], Mean_PB_S, 3, FALSE))</f>
        <v>-0.22394310185751973</v>
      </c>
      <c r="Q161" s="1">
        <f>(Main_S[[#This Row],[ROE]]-VLOOKUP(Main_S[[#This Row],[Industry]], Mean_ROE_S, 2, FALSE))/(VLOOKUP(Main_S[[#This Row],[Industry]], Mean_ROE_S, 3, FALSE))</f>
        <v>1.7822387008952634</v>
      </c>
      <c r="R161" s="1">
        <f>(Main_S[[#This Row],[ROA]]-VLOOKUP(Main_S[[#This Row],[Industry]], Mean_ROA_S, 2, FALSE))/(VLOOKUP(Main_S[[#This Row],[Industry]], Mean_ROA_S, 3, FALSE))</f>
        <v>-1.7971760310247966E-2</v>
      </c>
      <c r="S161" s="1">
        <f>(Main_S[[#This Row],[A/E]]-VLOOKUP(Main_S[[#This Row],[Industry]], Mean_AE_S, 2, FALSE))/(VLOOKUP(Main_S[[#This Row],[Industry]], Mean_AE_S, 3, FALSE))</f>
        <v>-1.0196460331810639</v>
      </c>
      <c r="T161" s="1">
        <f>(Main_S[[#This Row],[P/E]]-VLOOKUP(Main_S[[#This Row],[Industry]], Mean_PE_S, 2, FALSE))/(VLOOKUP(Main_S[[#This Row],[Industry]], Mean_PE_S, 3, FALSE))</f>
        <v>-0.6836126082345827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s="68" t="s">
        <v>173</v>
      </c>
      <c r="B162" s="68" t="s">
        <v>631</v>
      </c>
      <c r="C162" s="2">
        <v>1226</v>
      </c>
      <c r="D162">
        <f>RTD("tos.rtd", , "LAST", Main_S[[#This Row],[Symbol]])</f>
        <v>11.28</v>
      </c>
      <c r="E162">
        <v>0.02</v>
      </c>
      <c r="F162">
        <v>13.41</v>
      </c>
      <c r="G162">
        <v>0.55000000000000004</v>
      </c>
      <c r="H162" s="1">
        <f>IF(ISNUMBER(Main_S[[#This Row],[Free CF]]),IF(Main_S[[#This Row],[Free CF]]&lt;&gt;0,Main_S[[#This Row],[Current Price]]/Main_S[[#This Row],[Free CF]],""),"")</f>
        <v>564</v>
      </c>
      <c r="I162" s="1">
        <f>IF(ISNUMBER(Main_S[[#This Row],[BVPS]]),IF(Main_S[[#This Row],[BVPS]]&lt;&gt;0,Main_S[[#This Row],[Current Price]]/Main_S[[#This Row],[BVPS]],""),"")</f>
        <v>0.84116331096196861</v>
      </c>
      <c r="J162">
        <v>3.96</v>
      </c>
      <c r="K162">
        <v>6.52</v>
      </c>
      <c r="L162">
        <v>2.29</v>
      </c>
      <c r="M162" s="1">
        <f>IF(ISNUMBER(Main_S[[#This Row],[EPS]]),IF(Main_S[[#This Row],[EPS]]&lt;&gt;0,Main_S[[#This Row],[Current Price]]/Main_S[[#This Row],[EPS]],""),"")</f>
        <v>20.509090909090908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52.597373460505324</v>
      </c>
      <c r="P162" s="1">
        <f>(Main_S[[#This Row],[P/B]]-VLOOKUP(Main_S[[#This Row],[Industry]], Mean_PB_S, 2, FALSE))/(VLOOKUP(Main_S[[#This Row],[Industry]], Mean_PB_S, 3, FALSE))</f>
        <v>-0.58651211064265429</v>
      </c>
      <c r="Q162" s="1">
        <f>(Main_S[[#This Row],[ROE]]-VLOOKUP(Main_S[[#This Row],[Industry]], Mean_ROE_S, 2, FALSE))/(VLOOKUP(Main_S[[#This Row],[Industry]], Mean_ROE_S, 3, FALSE))</f>
        <v>-1.0801109590371378</v>
      </c>
      <c r="R162" s="1">
        <f>(Main_S[[#This Row],[ROA]]-VLOOKUP(Main_S[[#This Row],[Industry]], Mean_ROA_S, 2, FALSE))/(VLOOKUP(Main_S[[#This Row],[Industry]], Mean_ROA_S, 3, FALSE))</f>
        <v>0.46009845889509776</v>
      </c>
      <c r="S162" s="1">
        <f>(Main_S[[#This Row],[A/E]]-VLOOKUP(Main_S[[#This Row],[Industry]], Mean_AE_S, 2, FALSE))/(VLOOKUP(Main_S[[#This Row],[Industry]], Mean_AE_S, 3, FALSE))</f>
        <v>0.26254710647000951</v>
      </c>
      <c r="T162" s="1">
        <f>(Main_S[[#This Row],[P/E]]-VLOOKUP(Main_S[[#This Row],[Industry]], Mean_PE_S, 2, FALSE))/(VLOOKUP(Main_S[[#This Row],[Industry]], Mean_PE_S, 3, FALSE))</f>
        <v>0.94265121309026068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s="68" t="s">
        <v>173</v>
      </c>
      <c r="B163" s="68" t="s">
        <v>632</v>
      </c>
      <c r="C163" s="2">
        <v>301</v>
      </c>
      <c r="D163">
        <f>RTD("tos.rtd", , "LAST", Main_S[[#This Row],[Symbol]])</f>
        <v>7.55</v>
      </c>
      <c r="E163">
        <v>0.11</v>
      </c>
      <c r="F163">
        <v>7.57</v>
      </c>
      <c r="G163">
        <v>-0.95</v>
      </c>
      <c r="H163" s="1">
        <f>IF(ISNUMBER(Main_S[[#This Row],[Free CF]]),IF(Main_S[[#This Row],[Free CF]]&lt;&gt;0,Main_S[[#This Row],[Current Price]]/Main_S[[#This Row],[Free CF]],""),"")</f>
        <v>68.63636363636364</v>
      </c>
      <c r="I163" s="1">
        <f>IF(ISNUMBER(Main_S[[#This Row],[BVPS]]),IF(Main_S[[#This Row],[BVPS]]&lt;&gt;0,Main_S[[#This Row],[Current Price]]/Main_S[[#This Row],[BVPS]],""),"")</f>
        <v>0.99735799207397613</v>
      </c>
      <c r="J163">
        <v>-11.21</v>
      </c>
      <c r="K163">
        <v>6.29</v>
      </c>
      <c r="L163">
        <v>2.58</v>
      </c>
      <c r="M163" s="1">
        <f>IF(ISNUMBER(Main_S[[#This Row],[EPS]]),IF(Main_S[[#This Row],[EPS]]&lt;&gt;0,Main_S[[#This Row],[Current Price]]/Main_S[[#This Row],[EPS]],""),"")</f>
        <v>-7.9473684210526319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5.7286646407620552</v>
      </c>
      <c r="P163" s="1">
        <f>(Main_S[[#This Row],[P/B]]-VLOOKUP(Main_S[[#This Row],[Industry]], Mean_PB_S, 2, FALSE))/(VLOOKUP(Main_S[[#This Row],[Industry]], Mean_PB_S, 3, FALSE))</f>
        <v>-0.44126330085827148</v>
      </c>
      <c r="Q163" s="1">
        <f>(Main_S[[#This Row],[ROE]]-VLOOKUP(Main_S[[#This Row],[Industry]], Mean_ROE_S, 2, FALSE))/(VLOOKUP(Main_S[[#This Row],[Industry]], Mean_ROE_S, 3, FALSE))</f>
        <v>-3.4425616848899416</v>
      </c>
      <c r="R163" s="1">
        <f>(Main_S[[#This Row],[ROA]]-VLOOKUP(Main_S[[#This Row],[Industry]], Mean_ROA_S, 2, FALSE))/(VLOOKUP(Main_S[[#This Row],[Industry]], Mean_ROA_S, 3, FALSE))</f>
        <v>0.35922125667745619</v>
      </c>
      <c r="S163" s="1">
        <f>(Main_S[[#This Row],[A/E]]-VLOOKUP(Main_S[[#This Row],[Industry]], Mean_AE_S, 2, FALSE))/(VLOOKUP(Main_S[[#This Row],[Industry]], Mean_AE_S, 3, FALSE))</f>
        <v>0.89277763273918131</v>
      </c>
      <c r="T163" s="1">
        <f>(Main_S[[#This Row],[P/E]]-VLOOKUP(Main_S[[#This Row],[Industry]], Mean_PE_S, 2, FALSE))/(VLOOKUP(Main_S[[#This Row],[Industry]], Mean_PE_S, 3, FALSE))</f>
        <v>-2.1863631157256309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4" spans="1:26" x14ac:dyDescent="0.25">
      <c r="A164" s="68" t="s">
        <v>173</v>
      </c>
      <c r="B164" s="68" t="s">
        <v>633</v>
      </c>
      <c r="C164" s="2">
        <v>1123</v>
      </c>
      <c r="D164">
        <f>RTD("tos.rtd", , "LAST", Main_S[[#This Row],[Symbol]])</f>
        <v>12.78</v>
      </c>
      <c r="E164">
        <v>-0.12</v>
      </c>
      <c r="F164">
        <v>14.98</v>
      </c>
      <c r="G164">
        <v>1.27</v>
      </c>
      <c r="H164" s="1">
        <f>IF(ISNUMBER(Main_S[[#This Row],[Free CF]]),IF(Main_S[[#This Row],[Free CF]]&lt;&gt;0,Main_S[[#This Row],[Current Price]]/Main_S[[#This Row],[Free CF]],""),"")</f>
        <v>-106.5</v>
      </c>
      <c r="I164" s="1">
        <f>IF(ISNUMBER(Main_S[[#This Row],[BVPS]]),IF(Main_S[[#This Row],[BVPS]]&lt;&gt;0,Main_S[[#This Row],[Current Price]]/Main_S[[#This Row],[BVPS]],""),"")</f>
        <v>0.85313751668891846</v>
      </c>
      <c r="J164">
        <v>8.1999999999999993</v>
      </c>
      <c r="K164">
        <v>5.47</v>
      </c>
      <c r="L164">
        <v>2.27</v>
      </c>
      <c r="M164" s="1">
        <f>IF(ISNUMBER(Main_S[[#This Row],[EPS]]),IF(Main_S[[#This Row],[EPS]]&lt;&gt;0,Main_S[[#This Row],[Current Price]]/Main_S[[#This Row],[EPS]],""),"")</f>
        <v>10.062992125984252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-10.841819400573128</v>
      </c>
      <c r="P164" s="1">
        <f>(Main_S[[#This Row],[P/B]]-VLOOKUP(Main_S[[#This Row],[Industry]], Mean_PB_S, 2, FALSE))/(VLOOKUP(Main_S[[#This Row],[Industry]], Mean_PB_S, 3, FALSE))</f>
        <v>-0.57537703793998274</v>
      </c>
      <c r="Q164" s="1">
        <f>(Main_S[[#This Row],[ROE]]-VLOOKUP(Main_S[[#This Row],[Industry]], Mean_ROE_S, 2, FALSE))/(VLOOKUP(Main_S[[#This Row],[Industry]], Mean_ROE_S, 3, FALSE))</f>
        <v>-0.41980831713760691</v>
      </c>
      <c r="R164" s="1">
        <f>(Main_S[[#This Row],[ROA]]-VLOOKUP(Main_S[[#This Row],[Industry]], Mean_ROA_S, 2, FALSE))/(VLOOKUP(Main_S[[#This Row],[Industry]], Mean_ROA_S, 3, FALSE))</f>
        <v>-4.27899055005904E-4</v>
      </c>
      <c r="S164" s="1">
        <f>(Main_S[[#This Row],[A/E]]-VLOOKUP(Main_S[[#This Row],[Industry]], Mean_AE_S, 2, FALSE))/(VLOOKUP(Main_S[[#This Row],[Industry]], Mean_AE_S, 3, FALSE))</f>
        <v>0.21908293224454939</v>
      </c>
      <c r="T164" s="1">
        <f>(Main_S[[#This Row],[P/E]]-VLOOKUP(Main_S[[#This Row],[Industry]], Mean_PE_S, 2, FALSE))/(VLOOKUP(Main_S[[#This Row],[Industry]], Mean_PE_S, 3, FALSE))</f>
        <v>-0.20598054019125694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s="68" t="s">
        <v>173</v>
      </c>
      <c r="B165" s="68" t="s">
        <v>634</v>
      </c>
      <c r="C165" s="2">
        <v>723</v>
      </c>
      <c r="D165">
        <f>RTD("tos.rtd", , "LAST", Main_S[[#This Row],[Symbol]])</f>
        <v>15.64</v>
      </c>
      <c r="H165" s="1" t="str">
        <f>IF(ISNUMBER(Main_S[[#This Row],[Free CF]]),IF(Main_S[[#This Row],[Free CF]]&lt;&gt;0,Main_S[[#This Row],[Current Price]]/Main_S[[#This Row],[Free CF]],""),"")</f>
        <v/>
      </c>
      <c r="I165" s="1" t="str">
        <f>IF(ISNUMBER(Main_S[[#This Row],[BVPS]]),IF(Main_S[[#This Row],[BVPS]]&lt;&gt;0,Main_S[[#This Row],[Current Price]]/Main_S[[#This Row],[BVPS]],""),"")</f>
        <v/>
      </c>
      <c r="J165">
        <v>9.07</v>
      </c>
      <c r="K165">
        <v>5.09</v>
      </c>
      <c r="L165">
        <v>1.96</v>
      </c>
      <c r="M165" s="1" t="str">
        <f>IF(ISNUMBER(Main_S[[#This Row],[EPS]]),IF(Main_S[[#This Row],[EPS]]&lt;&gt;0,Main_S[[#This Row],[Current Price]]/Main_S[[#This Row],[EPS]],""),"")</f>
        <v/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 t="e">
        <f>(Main_S[[#This Row],[P/FCF]]-VLOOKUP(Main_S[[#This Row],[Industry]], Mean_PFCF_S, 2, FALSE))/(VLOOKUP(Main_S[[#This Row],[Industry]], Mean_PFCF_S, 3, FALSE))</f>
        <v>#VALUE!</v>
      </c>
      <c r="P165" s="1" t="e">
        <f>(Main_S[[#This Row],[P/B]]-VLOOKUP(Main_S[[#This Row],[Industry]], Mean_PB_S, 2, FALSE))/(VLOOKUP(Main_S[[#This Row],[Industry]], Mean_PB_S, 3, FALSE))</f>
        <v>#VALUE!</v>
      </c>
      <c r="Q165" s="1">
        <f>(Main_S[[#This Row],[ROE]]-VLOOKUP(Main_S[[#This Row],[Industry]], Mean_ROE_S, 2, FALSE))/(VLOOKUP(Main_S[[#This Row],[Industry]], Mean_ROE_S, 3, FALSE))</f>
        <v>-0.28432169014407088</v>
      </c>
      <c r="R165" s="1">
        <f>(Main_S[[#This Row],[ROA]]-VLOOKUP(Main_S[[#This Row],[Industry]], Mean_ROA_S, 2, FALSE))/(VLOOKUP(Main_S[[#This Row],[Industry]], Mean_ROA_S, 3, FALSE))</f>
        <v>-0.16709458097980531</v>
      </c>
      <c r="S165" s="1">
        <f>(Main_S[[#This Row],[A/E]]-VLOOKUP(Main_S[[#This Row],[Industry]], Mean_AE_S, 2, FALSE))/(VLOOKUP(Main_S[[#This Row],[Industry]], Mean_AE_S, 3, FALSE))</f>
        <v>-0.45461176825008254</v>
      </c>
      <c r="T165" s="1" t="e">
        <f>(Main_S[[#This Row],[P/E]]-VLOOKUP(Main_S[[#This Row],[Industry]], Mean_PE_S, 2, FALSE))/(VLOOKUP(Main_S[[#This Row],[Industry]], Mean_PE_S, 3, FALSE))</f>
        <v>#VALUE!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6" spans="1:26" x14ac:dyDescent="0.25">
      <c r="A166" s="68" t="s">
        <v>173</v>
      </c>
      <c r="B166" s="68" t="s">
        <v>635</v>
      </c>
      <c r="C166" s="2">
        <v>1104</v>
      </c>
      <c r="D166">
        <f>RTD("tos.rtd", , "LAST", Main_S[[#This Row],[Symbol]])</f>
        <v>10.76</v>
      </c>
      <c r="E166">
        <v>0.39</v>
      </c>
      <c r="F166">
        <v>12.55</v>
      </c>
      <c r="G166">
        <v>1.03</v>
      </c>
      <c r="H166" s="1">
        <f>IF(ISNUMBER(Main_S[[#This Row],[Free CF]]),IF(Main_S[[#This Row],[Free CF]]&lt;&gt;0,Main_S[[#This Row],[Current Price]]/Main_S[[#This Row],[Free CF]],""),"")</f>
        <v>27.589743589743588</v>
      </c>
      <c r="I166" s="1">
        <f>IF(ISNUMBER(Main_S[[#This Row],[BVPS]]),IF(Main_S[[#This Row],[BVPS]]&lt;&gt;0,Main_S[[#This Row],[Current Price]]/Main_S[[#This Row],[BVPS]],""),"")</f>
        <v>0.85737051792828678</v>
      </c>
      <c r="J166">
        <v>8.51</v>
      </c>
      <c r="K166">
        <v>5.52</v>
      </c>
      <c r="L166">
        <v>2.4</v>
      </c>
      <c r="M166" s="1">
        <f>IF(ISNUMBER(Main_S[[#This Row],[EPS]]),IF(Main_S[[#This Row],[EPS]]&lt;&gt;0,Main_S[[#This Row],[Current Price]]/Main_S[[#This Row],[EPS]],""),"")</f>
        <v>10.446601941747572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1.8450487639045783</v>
      </c>
      <c r="P166" s="1">
        <f>(Main_S[[#This Row],[P/B]]-VLOOKUP(Main_S[[#This Row],[Industry]], Mean_PB_S, 2, FALSE))/(VLOOKUP(Main_S[[#This Row],[Industry]], Mean_PB_S, 3, FALSE))</f>
        <v>-0.57144067860010761</v>
      </c>
      <c r="Q166" s="1">
        <f>(Main_S[[#This Row],[ROE]]-VLOOKUP(Main_S[[#This Row],[Industry]], Mean_ROE_S, 2, FALSE))/(VLOOKUP(Main_S[[#This Row],[Industry]], Mean_ROE_S, 3, FALSE))</f>
        <v>-0.37153147303646183</v>
      </c>
      <c r="R166" s="1">
        <f>(Main_S[[#This Row],[ROA]]-VLOOKUP(Main_S[[#This Row],[Industry]], Mean_ROA_S, 2, FALSE))/(VLOOKUP(Main_S[[#This Row],[Industry]], Mean_ROA_S, 3, FALSE))</f>
        <v>2.1501927514046577E-2</v>
      </c>
      <c r="S166" s="1">
        <f>(Main_S[[#This Row],[A/E]]-VLOOKUP(Main_S[[#This Row],[Industry]], Mean_AE_S, 2, FALSE))/(VLOOKUP(Main_S[[#This Row],[Industry]], Mean_AE_S, 3, FALSE))</f>
        <v>0.50160006471003993</v>
      </c>
      <c r="T166" s="1">
        <f>(Main_S[[#This Row],[P/E]]-VLOOKUP(Main_S[[#This Row],[Industry]], Mean_PE_S, 2, FALSE))/(VLOOKUP(Main_S[[#This Row],[Industry]], Mean_PE_S, 3, FALSE))</f>
        <v>-0.16379958590344193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7" spans="1:26" x14ac:dyDescent="0.25">
      <c r="A167" s="68" t="s">
        <v>173</v>
      </c>
      <c r="B167" s="68" t="s">
        <v>636</v>
      </c>
      <c r="C167" s="2">
        <v>627</v>
      </c>
      <c r="D167">
        <f>RTD("tos.rtd", , "LAST", Main_S[[#This Row],[Symbol]])</f>
        <v>9.83</v>
      </c>
      <c r="E167">
        <v>0.6</v>
      </c>
      <c r="F167">
        <v>20.62</v>
      </c>
      <c r="G167">
        <v>0.92</v>
      </c>
      <c r="H167" s="1">
        <f>IF(ISNUMBER(Main_S[[#This Row],[Free CF]]),IF(Main_S[[#This Row],[Free CF]]&lt;&gt;0,Main_S[[#This Row],[Current Price]]/Main_S[[#This Row],[Free CF]],""),"")</f>
        <v>16.383333333333333</v>
      </c>
      <c r="I167" s="1">
        <f>IF(ISNUMBER(Main_S[[#This Row],[BVPS]]),IF(Main_S[[#This Row],[BVPS]]&lt;&gt;0,Main_S[[#This Row],[Current Price]]/Main_S[[#This Row],[BVPS]],""),"")</f>
        <v>0.47672162948593594</v>
      </c>
      <c r="J167">
        <v>4.7699999999999996</v>
      </c>
      <c r="K167">
        <v>3.24</v>
      </c>
      <c r="L167">
        <v>1.18</v>
      </c>
      <c r="M167" s="1">
        <f>IF(ISNUMBER(Main_S[[#This Row],[EPS]]),IF(Main_S[[#This Row],[EPS]]&lt;&gt;0,Main_S[[#This Row],[Current Price]]/Main_S[[#This Row],[EPS]],""),"")</f>
        <v>10.684782608695652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0.78475700918902591</v>
      </c>
      <c r="P167" s="1">
        <f>(Main_S[[#This Row],[P/B]]-VLOOKUP(Main_S[[#This Row],[Industry]], Mean_PB_S, 2, FALSE))/(VLOOKUP(Main_S[[#This Row],[Industry]], Mean_PB_S, 3, FALSE))</f>
        <v>-0.92541430688487636</v>
      </c>
      <c r="Q167" s="1">
        <f>(Main_S[[#This Row],[ROE]]-VLOOKUP(Main_S[[#This Row],[Industry]], Mean_ROE_S, 2, FALSE))/(VLOOKUP(Main_S[[#This Row],[Industry]], Mean_ROE_S, 3, FALSE))</f>
        <v>-0.95396823735350111</v>
      </c>
      <c r="R167" s="1">
        <f>(Main_S[[#This Row],[ROA]]-VLOOKUP(Main_S[[#This Row],[Industry]], Mean_ROA_S, 2, FALSE))/(VLOOKUP(Main_S[[#This Row],[Industry]], Mean_ROA_S, 3, FALSE))</f>
        <v>-0.97849816403474987</v>
      </c>
      <c r="S167" s="1">
        <f>(Main_S[[#This Row],[A/E]]-VLOOKUP(Main_S[[#This Row],[Industry]], Mean_AE_S, 2, FALSE))/(VLOOKUP(Main_S[[#This Row],[Industry]], Mean_AE_S, 3, FALSE))</f>
        <v>-2.1497145630430272</v>
      </c>
      <c r="T167" s="1">
        <f>(Main_S[[#This Row],[P/E]]-VLOOKUP(Main_S[[#This Row],[Industry]], Mean_PE_S, 2, FALSE))/(VLOOKUP(Main_S[[#This Row],[Industry]], Mean_PE_S, 3, FALSE))</f>
        <v>-0.1376097247165298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8" spans="1:26" x14ac:dyDescent="0.25">
      <c r="A168" s="68" t="s">
        <v>173</v>
      </c>
      <c r="B168" s="68" t="s">
        <v>637</v>
      </c>
      <c r="C168" s="2">
        <v>1175</v>
      </c>
      <c r="D168">
        <f>RTD("tos.rtd", , "LAST", Main_S[[#This Row],[Symbol]])</f>
        <v>14.24</v>
      </c>
      <c r="E168">
        <v>1.99</v>
      </c>
      <c r="F168">
        <v>17.63</v>
      </c>
      <c r="G168">
        <v>0.67</v>
      </c>
      <c r="H168" s="1">
        <f>IF(ISNUMBER(Main_S[[#This Row],[Free CF]]),IF(Main_S[[#This Row],[Free CF]]&lt;&gt;0,Main_S[[#This Row],[Current Price]]/Main_S[[#This Row],[Free CF]],""),"")</f>
        <v>7.1557788944723617</v>
      </c>
      <c r="I168" s="1">
        <f>IF(ISNUMBER(Main_S[[#This Row],[BVPS]]),IF(Main_S[[#This Row],[BVPS]]&lt;&gt;0,Main_S[[#This Row],[Current Price]]/Main_S[[#This Row],[BVPS]],""),"")</f>
        <v>0.80771412365286455</v>
      </c>
      <c r="J168">
        <v>3.69</v>
      </c>
      <c r="K168">
        <v>5.95</v>
      </c>
      <c r="L168">
        <v>2.13</v>
      </c>
      <c r="M168" s="1">
        <f>IF(ISNUMBER(Main_S[[#This Row],[EPS]]),IF(Main_S[[#This Row],[EPS]]&lt;&gt;0,Main_S[[#This Row],[Current Price]]/Main_S[[#This Row],[EPS]],""),"")</f>
        <v>21.253731343283579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>
        <f>(Main_S[[#This Row],[P/FCF]]-VLOOKUP(Main_S[[#This Row],[Industry]], Mean_PFCF_S, 2, FALSE))/(VLOOKUP(Main_S[[#This Row],[Industry]], Mean_PFCF_S, 3, FALSE))</f>
        <v>-8.8305788250201106E-2</v>
      </c>
      <c r="P168" s="1">
        <f>(Main_S[[#This Row],[P/B]]-VLOOKUP(Main_S[[#This Row],[Industry]], Mean_PB_S, 2, FALSE))/(VLOOKUP(Main_S[[#This Row],[Industry]], Mean_PB_S, 3, FALSE))</f>
        <v>-0.61761723285496728</v>
      </c>
      <c r="Q168" s="1">
        <f>(Main_S[[#This Row],[ROE]]-VLOOKUP(Main_S[[#This Row],[Industry]], Mean_ROE_S, 2, FALSE))/(VLOOKUP(Main_S[[#This Row],[Industry]], Mean_ROE_S, 3, FALSE))</f>
        <v>-1.1221585329316837</v>
      </c>
      <c r="R168" s="1">
        <f>(Main_S[[#This Row],[ROA]]-VLOOKUP(Main_S[[#This Row],[Industry]], Mean_ROA_S, 2, FALSE))/(VLOOKUP(Main_S[[#This Row],[Industry]], Mean_ROA_S, 3, FALSE))</f>
        <v>0.21009843600789885</v>
      </c>
      <c r="S168" s="1">
        <f>(Main_S[[#This Row],[A/E]]-VLOOKUP(Main_S[[#This Row],[Industry]], Mean_AE_S, 2, FALSE))/(VLOOKUP(Main_S[[#This Row],[Industry]], Mean_AE_S, 3, FALSE))</f>
        <v>-8.5166287333671695E-2</v>
      </c>
      <c r="T168" s="1">
        <f>(Main_S[[#This Row],[P/E]]-VLOOKUP(Main_S[[#This Row],[Industry]], Mean_PE_S, 2, FALSE))/(VLOOKUP(Main_S[[#This Row],[Industry]], Mean_PE_S, 3, FALSE))</f>
        <v>1.0245303590997021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9" spans="1:26" x14ac:dyDescent="0.25">
      <c r="A169" s="68" t="s">
        <v>173</v>
      </c>
      <c r="B169" s="68" t="s">
        <v>638</v>
      </c>
      <c r="C169" s="2">
        <v>1703</v>
      </c>
      <c r="D169">
        <f>RTD("tos.rtd", , "LAST", Main_S[[#This Row],[Symbol]])</f>
        <v>12.52</v>
      </c>
      <c r="E169">
        <v>1.01</v>
      </c>
      <c r="F169">
        <v>3.48</v>
      </c>
      <c r="G169">
        <v>0.45</v>
      </c>
      <c r="H169" s="1">
        <f>IF(ISNUMBER(Main_S[[#This Row],[Free CF]]),IF(Main_S[[#This Row],[Free CF]]&lt;&gt;0,Main_S[[#This Row],[Current Price]]/Main_S[[#This Row],[Free CF]],""),"")</f>
        <v>12.396039603960396</v>
      </c>
      <c r="I169" s="1">
        <f>IF(ISNUMBER(Main_S[[#This Row],[BVPS]]),IF(Main_S[[#This Row],[BVPS]]&lt;&gt;0,Main_S[[#This Row],[Current Price]]/Main_S[[#This Row],[BVPS]],""),"")</f>
        <v>3.5977011494252871</v>
      </c>
      <c r="J169">
        <v>14.46</v>
      </c>
      <c r="K169">
        <v>8.68</v>
      </c>
      <c r="L169">
        <v>2.33</v>
      </c>
      <c r="M169" s="1">
        <f>IF(ISNUMBER(Main_S[[#This Row],[EPS]]),IF(Main_S[[#This Row],[EPS]]&lt;&gt;0,Main_S[[#This Row],[Current Price]]/Main_S[[#This Row],[EPS]],""),"")</f>
        <v>27.822222222222219</v>
      </c>
      <c r="N1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9" s="1">
        <f>(Main_S[[#This Row],[P/FCF]]-VLOOKUP(Main_S[[#This Row],[Industry]], Mean_PFCF_S, 2, FALSE))/(VLOOKUP(Main_S[[#This Row],[Industry]], Mean_PFCF_S, 3, FALSE))</f>
        <v>0.4075001920503854</v>
      </c>
      <c r="P169" s="1">
        <f>(Main_S[[#This Row],[P/B]]-VLOOKUP(Main_S[[#This Row],[Industry]], Mean_PB_S, 2, FALSE))/(VLOOKUP(Main_S[[#This Row],[Industry]], Mean_PB_S, 3, FALSE))</f>
        <v>1.9768520020910956</v>
      </c>
      <c r="Q169" s="1">
        <f>(Main_S[[#This Row],[ROE]]-VLOOKUP(Main_S[[#This Row],[Industry]], Mean_ROE_S, 2, FALSE))/(VLOOKUP(Main_S[[#This Row],[Industry]], Mean_ROE_S, 3, FALSE))</f>
        <v>0.55507247019519168</v>
      </c>
      <c r="R169" s="1">
        <f>(Main_S[[#This Row],[ROA]]-VLOOKUP(Main_S[[#This Row],[Industry]], Mean_ROA_S, 2, FALSE))/(VLOOKUP(Main_S[[#This Row],[Industry]], Mean_ROA_S, 3, FALSE))</f>
        <v>1.4074669666781683</v>
      </c>
      <c r="S169" s="1">
        <f>(Main_S[[#This Row],[A/E]]-VLOOKUP(Main_S[[#This Row],[Industry]], Mean_AE_S, 2, FALSE))/(VLOOKUP(Main_S[[#This Row],[Industry]], Mean_AE_S, 3, FALSE))</f>
        <v>0.34947545492092985</v>
      </c>
      <c r="T169" s="1">
        <f>(Main_S[[#This Row],[P/E]]-VLOOKUP(Main_S[[#This Row],[Industry]], Mean_PE_S, 2, FALSE))/(VLOOKUP(Main_S[[#This Row],[Industry]], Mean_PE_S, 3, FALSE))</f>
        <v>1.746788242290535</v>
      </c>
      <c r="U1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0" spans="1:26" x14ac:dyDescent="0.25">
      <c r="A170" s="68" t="s">
        <v>173</v>
      </c>
      <c r="B170" s="68" t="s">
        <v>639</v>
      </c>
      <c r="C170" s="2">
        <v>882</v>
      </c>
      <c r="D170">
        <f>RTD("tos.rtd", , "LAST", Main_S[[#This Row],[Symbol]])</f>
        <v>10.130000000000001</v>
      </c>
      <c r="E170">
        <v>-11.92</v>
      </c>
      <c r="F170">
        <v>11.34</v>
      </c>
      <c r="G170">
        <v>1.37</v>
      </c>
      <c r="H170" s="1">
        <f>IF(ISNUMBER(Main_S[[#This Row],[Free CF]]),IF(Main_S[[#This Row],[Free CF]]&lt;&gt;0,Main_S[[#This Row],[Current Price]]/Main_S[[#This Row],[Free CF]],""),"")</f>
        <v>-0.84983221476510074</v>
      </c>
      <c r="I170" s="1">
        <f>IF(ISNUMBER(Main_S[[#This Row],[BVPS]]),IF(Main_S[[#This Row],[BVPS]]&lt;&gt;0,Main_S[[#This Row],[Current Price]]/Main_S[[#This Row],[BVPS]],""),"")</f>
        <v>0.89329805996472667</v>
      </c>
      <c r="J170">
        <v>12.06</v>
      </c>
      <c r="K170">
        <v>5.76</v>
      </c>
      <c r="L170">
        <v>2.44</v>
      </c>
      <c r="M170" s="1">
        <f>IF(ISNUMBER(Main_S[[#This Row],[EPS]]),IF(Main_S[[#This Row],[EPS]]&lt;&gt;0,Main_S[[#This Row],[Current Price]]/Main_S[[#This Row],[EPS]],""),"")</f>
        <v>7.3941605839416056</v>
      </c>
      <c r="N1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0" s="1">
        <f>(Main_S[[#This Row],[P/FCF]]-VLOOKUP(Main_S[[#This Row],[Industry]], Mean_PFCF_S, 2, FALSE))/(VLOOKUP(Main_S[[#This Row],[Industry]], Mean_PFCF_S, 3, FALSE))</f>
        <v>-0.84575471760099541</v>
      </c>
      <c r="P170" s="1">
        <f>(Main_S[[#This Row],[P/B]]-VLOOKUP(Main_S[[#This Row],[Industry]], Mean_PB_S, 2, FALSE))/(VLOOKUP(Main_S[[#This Row],[Industry]], Mean_PB_S, 3, FALSE))</f>
        <v>-0.5380308807624391</v>
      </c>
      <c r="Q170" s="1">
        <f>(Main_S[[#This Row],[ROE]]-VLOOKUP(Main_S[[#This Row],[Industry]], Mean_ROE_S, 2, FALSE))/(VLOOKUP(Main_S[[#This Row],[Industry]], Mean_ROE_S, 3, FALSE))</f>
        <v>0.18131625779923058</v>
      </c>
      <c r="R170" s="1">
        <f>(Main_S[[#This Row],[ROA]]-VLOOKUP(Main_S[[#This Row],[Industry]], Mean_ROA_S, 2, FALSE))/(VLOOKUP(Main_S[[#This Row],[Industry]], Mean_ROA_S, 3, FALSE))</f>
        <v>0.12676509504549896</v>
      </c>
      <c r="S170" s="1">
        <f>(Main_S[[#This Row],[A/E]]-VLOOKUP(Main_S[[#This Row],[Industry]], Mean_AE_S, 2, FALSE))/(VLOOKUP(Main_S[[#This Row],[Industry]], Mean_AE_S, 3, FALSE))</f>
        <v>0.58852841316096016</v>
      </c>
      <c r="T170" s="1">
        <f>(Main_S[[#This Row],[P/E]]-VLOOKUP(Main_S[[#This Row],[Industry]], Mean_PE_S, 2, FALSE))/(VLOOKUP(Main_S[[#This Row],[Industry]], Mean_PE_S, 3, FALSE))</f>
        <v>-0.4994398226467292</v>
      </c>
      <c r="U1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1" spans="1:26" x14ac:dyDescent="0.25">
      <c r="A171" s="68" t="s">
        <v>173</v>
      </c>
      <c r="B171" s="68" t="s">
        <v>640</v>
      </c>
      <c r="C171" s="2">
        <v>419</v>
      </c>
      <c r="D171">
        <f>RTD("tos.rtd", , "LAST", Main_S[[#This Row],[Symbol]])</f>
        <v>6.86</v>
      </c>
      <c r="E171">
        <v>0.02</v>
      </c>
      <c r="F171">
        <v>7.57</v>
      </c>
      <c r="G171">
        <v>0.83</v>
      </c>
      <c r="H171" s="1">
        <f>IF(ISNUMBER(Main_S[[#This Row],[Free CF]]),IF(Main_S[[#This Row],[Free CF]]&lt;&gt;0,Main_S[[#This Row],[Current Price]]/Main_S[[#This Row],[Free CF]],""),"")</f>
        <v>343</v>
      </c>
      <c r="I171" s="1">
        <f>IF(ISNUMBER(Main_S[[#This Row],[BVPS]]),IF(Main_S[[#This Row],[BVPS]]&lt;&gt;0,Main_S[[#This Row],[Current Price]]/Main_S[[#This Row],[BVPS]],""),"")</f>
        <v>0.90620871862615593</v>
      </c>
      <c r="J171">
        <v>10.93</v>
      </c>
      <c r="K171">
        <v>5.0199999999999996</v>
      </c>
      <c r="L171">
        <v>2.86</v>
      </c>
      <c r="M171" s="1">
        <f>IF(ISNUMBER(Main_S[[#This Row],[EPS]]),IF(Main_S[[#This Row],[EPS]]&lt;&gt;0,Main_S[[#This Row],[Current Price]]/Main_S[[#This Row],[EPS]],""),"")</f>
        <v>8.2650602409638569</v>
      </c>
      <c r="N1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1" s="1">
        <f>(Main_S[[#This Row],[P/FCF]]-VLOOKUP(Main_S[[#This Row],[Industry]], Mean_PFCF_S, 2, FALSE))/(VLOOKUP(Main_S[[#This Row],[Industry]], Mean_PFCF_S, 3, FALSE))</f>
        <v>31.687512726279618</v>
      </c>
      <c r="P171" s="1">
        <f>(Main_S[[#This Row],[P/B]]-VLOOKUP(Main_S[[#This Row],[Industry]], Mean_PB_S, 2, FALSE))/(VLOOKUP(Main_S[[#This Row],[Industry]], Mean_PB_S, 3, FALSE))</f>
        <v>-0.52602498023654165</v>
      </c>
      <c r="Q171" s="1">
        <f>(Main_S[[#This Row],[ROE]]-VLOOKUP(Main_S[[#This Row],[Industry]], Mean_ROE_S, 2, FALSE))/(VLOOKUP(Main_S[[#This Row],[Industry]], Mean_ROE_S, 3, FALSE))</f>
        <v>5.3393744627988149E-3</v>
      </c>
      <c r="R171" s="1">
        <f>(Main_S[[#This Row],[ROA]]-VLOOKUP(Main_S[[#This Row],[Industry]], Mean_ROA_S, 2, FALSE))/(VLOOKUP(Main_S[[#This Row],[Industry]], Mean_ROA_S, 3, FALSE))</f>
        <v>-0.19779633817647901</v>
      </c>
      <c r="S171" s="1">
        <f>(Main_S[[#This Row],[A/E]]-VLOOKUP(Main_S[[#This Row],[Industry]], Mean_AE_S, 2, FALSE))/(VLOOKUP(Main_S[[#This Row],[Industry]], Mean_AE_S, 3, FALSE))</f>
        <v>1.5012760718956224</v>
      </c>
      <c r="T171" s="1">
        <f>(Main_S[[#This Row],[P/E]]-VLOOKUP(Main_S[[#This Row],[Industry]], Mean_PE_S, 2, FALSE))/(VLOOKUP(Main_S[[#This Row],[Industry]], Mean_PE_S, 3, FALSE))</f>
        <v>-0.40367746956660255</v>
      </c>
      <c r="U1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2" spans="1:26" x14ac:dyDescent="0.25">
      <c r="A172" s="68" t="s">
        <v>173</v>
      </c>
      <c r="B172" s="68" t="s">
        <v>641</v>
      </c>
      <c r="C172" s="2">
        <v>1614</v>
      </c>
      <c r="D172">
        <f>RTD("tos.rtd", , "LAST", Main_S[[#This Row],[Symbol]])</f>
        <v>3.67</v>
      </c>
      <c r="E172">
        <v>1.31</v>
      </c>
      <c r="F172">
        <v>7.84</v>
      </c>
      <c r="G172">
        <v>-0.21</v>
      </c>
      <c r="H172" s="1">
        <f>IF(ISNUMBER(Main_S[[#This Row],[Free CF]]),IF(Main_S[[#This Row],[Free CF]]&lt;&gt;0,Main_S[[#This Row],[Current Price]]/Main_S[[#This Row],[Free CF]],""),"")</f>
        <v>2.8015267175572518</v>
      </c>
      <c r="I172" s="1">
        <f>IF(ISNUMBER(Main_S[[#This Row],[BVPS]]),IF(Main_S[[#This Row],[BVPS]]&lt;&gt;0,Main_S[[#This Row],[Current Price]]/Main_S[[#This Row],[BVPS]],""),"")</f>
        <v>0.46811224489795916</v>
      </c>
      <c r="J172">
        <v>0.78</v>
      </c>
      <c r="K172">
        <v>4.42</v>
      </c>
      <c r="L172">
        <v>2.1</v>
      </c>
      <c r="M172" s="1">
        <f>IF(ISNUMBER(Main_S[[#This Row],[EPS]]),IF(Main_S[[#This Row],[EPS]]&lt;&gt;0,Main_S[[#This Row],[Current Price]]/Main_S[[#This Row],[EPS]],""),"")</f>
        <v>-17.476190476190478</v>
      </c>
      <c r="N1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2" s="1">
        <f>(Main_S[[#This Row],[P/FCF]]-VLOOKUP(Main_S[[#This Row],[Industry]], Mean_PFCF_S, 2, FALSE))/(VLOOKUP(Main_S[[#This Row],[Industry]], Mean_PFCF_S, 3, FALSE))</f>
        <v>-0.50028228879768566</v>
      </c>
      <c r="P172" s="1">
        <f>(Main_S[[#This Row],[P/B]]-VLOOKUP(Main_S[[#This Row],[Industry]], Mean_PB_S, 2, FALSE))/(VLOOKUP(Main_S[[#This Row],[Industry]], Mean_PB_S, 3, FALSE))</f>
        <v>-0.93342035968691073</v>
      </c>
      <c r="Q172" s="1">
        <f>(Main_S[[#This Row],[ROE]]-VLOOKUP(Main_S[[#This Row],[Industry]], Mean_ROE_S, 2, FALSE))/(VLOOKUP(Main_S[[#This Row],[Industry]], Mean_ROE_S, 3, FALSE))</f>
        <v>-1.5753379404617862</v>
      </c>
      <c r="R172" s="1">
        <f>(Main_S[[#This Row],[ROA]]-VLOOKUP(Main_S[[#This Row],[Industry]], Mean_ROA_S, 2, FALSE))/(VLOOKUP(Main_S[[#This Row],[Industry]], Mean_ROA_S, 3, FALSE))</f>
        <v>-0.46095425700510956</v>
      </c>
      <c r="S172" s="1">
        <f>(Main_S[[#This Row],[A/E]]-VLOOKUP(Main_S[[#This Row],[Industry]], Mean_AE_S, 2, FALSE))/(VLOOKUP(Main_S[[#This Row],[Industry]], Mean_AE_S, 3, FALSE))</f>
        <v>-0.15036254867186144</v>
      </c>
      <c r="T172" s="1">
        <f>(Main_S[[#This Row],[P/E]]-VLOOKUP(Main_S[[#This Row],[Industry]], Mean_PE_S, 2, FALSE))/(VLOOKUP(Main_S[[#This Row],[Industry]], Mean_PE_S, 3, FALSE))</f>
        <v>-3.2341329876323486</v>
      </c>
      <c r="U1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3" spans="1:26" x14ac:dyDescent="0.25">
      <c r="A173" s="68" t="s">
        <v>173</v>
      </c>
      <c r="B173" s="68" t="s">
        <v>642</v>
      </c>
      <c r="C173" s="2">
        <v>1279</v>
      </c>
      <c r="D173">
        <f>RTD("tos.rtd", , "LAST", Main_S[[#This Row],[Symbol]])</f>
        <v>11.96</v>
      </c>
      <c r="E173">
        <v>0.86</v>
      </c>
      <c r="F173">
        <v>3.12</v>
      </c>
      <c r="G173">
        <v>0.16</v>
      </c>
      <c r="H173" s="1">
        <f>IF(ISNUMBER(Main_S[[#This Row],[Free CF]]),IF(Main_S[[#This Row],[Free CF]]&lt;&gt;0,Main_S[[#This Row],[Current Price]]/Main_S[[#This Row],[Free CF]],""),"")</f>
        <v>13.906976744186048</v>
      </c>
      <c r="I173" s="1">
        <f>IF(ISNUMBER(Main_S[[#This Row],[BVPS]]),IF(Main_S[[#This Row],[BVPS]]&lt;&gt;0,Main_S[[#This Row],[Current Price]]/Main_S[[#This Row],[BVPS]],""),"")</f>
        <v>3.8333333333333335</v>
      </c>
      <c r="J173">
        <v>4.84</v>
      </c>
      <c r="K173">
        <v>7.12</v>
      </c>
      <c r="L173">
        <v>2.5099999999999998</v>
      </c>
      <c r="M173" s="1">
        <f>IF(ISNUMBER(Main_S[[#This Row],[EPS]]),IF(Main_S[[#This Row],[EPS]]&lt;&gt;0,Main_S[[#This Row],[Current Price]]/Main_S[[#This Row],[EPS]],""),"")</f>
        <v>74.75</v>
      </c>
      <c r="N1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3" s="1">
        <f>(Main_S[[#This Row],[P/FCF]]-VLOOKUP(Main_S[[#This Row],[Industry]], Mean_PFCF_S, 2, FALSE))/(VLOOKUP(Main_S[[#This Row],[Industry]], Mean_PFCF_S, 3, FALSE))</f>
        <v>0.55045713856752398</v>
      </c>
      <c r="P173" s="1">
        <f>(Main_S[[#This Row],[P/B]]-VLOOKUP(Main_S[[#This Row],[Industry]], Mean_PB_S, 2, FALSE))/(VLOOKUP(Main_S[[#This Row],[Industry]], Mean_PB_S, 3, FALSE))</f>
        <v>2.1959714625994562</v>
      </c>
      <c r="Q173" s="1">
        <f>(Main_S[[#This Row],[ROE]]-VLOOKUP(Main_S[[#This Row],[Industry]], Mean_ROE_S, 2, FALSE))/(VLOOKUP(Main_S[[#This Row],[Industry]], Mean_ROE_S, 3, FALSE))</f>
        <v>-0.94306701449195218</v>
      </c>
      <c r="R173" s="1">
        <f>(Main_S[[#This Row],[ROA]]-VLOOKUP(Main_S[[#This Row],[Industry]], Mean_ROA_S, 2, FALSE))/(VLOOKUP(Main_S[[#This Row],[Industry]], Mean_ROA_S, 3, FALSE))</f>
        <v>0.72325637772372875</v>
      </c>
      <c r="S173" s="1">
        <f>(Main_S[[#This Row],[A/E]]-VLOOKUP(Main_S[[#This Row],[Industry]], Mean_AE_S, 2, FALSE))/(VLOOKUP(Main_S[[#This Row],[Industry]], Mean_AE_S, 3, FALSE))</f>
        <v>0.74065302295007029</v>
      </c>
      <c r="T173" s="1">
        <f>(Main_S[[#This Row],[P/E]]-VLOOKUP(Main_S[[#This Row],[Industry]], Mean_PE_S, 2, FALSE))/(VLOOKUP(Main_S[[#This Row],[Industry]], Mean_PE_S, 3, FALSE))</f>
        <v>6.9068711388514394</v>
      </c>
      <c r="U1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4" spans="1:26" x14ac:dyDescent="0.25">
      <c r="A174" s="68" t="s">
        <v>173</v>
      </c>
      <c r="B174" s="68" t="s">
        <v>643</v>
      </c>
      <c r="C174" s="2">
        <v>335</v>
      </c>
      <c r="D174">
        <f>RTD("tos.rtd", , "LAST", Main_S[[#This Row],[Symbol]])</f>
        <v>10.039999999999999</v>
      </c>
      <c r="E174">
        <v>1.8</v>
      </c>
      <c r="F174">
        <v>13.79</v>
      </c>
      <c r="G174">
        <v>1.89</v>
      </c>
      <c r="H174" s="1">
        <f>IF(ISNUMBER(Main_S[[#This Row],[Free CF]]),IF(Main_S[[#This Row],[Free CF]]&lt;&gt;0,Main_S[[#This Row],[Current Price]]/Main_S[[#This Row],[Free CF]],""),"")</f>
        <v>5.5777777777777775</v>
      </c>
      <c r="I174" s="1">
        <f>IF(ISNUMBER(Main_S[[#This Row],[BVPS]]),IF(Main_S[[#This Row],[BVPS]]&lt;&gt;0,Main_S[[#This Row],[Current Price]]/Main_S[[#This Row],[BVPS]],""),"")</f>
        <v>0.72806381435823053</v>
      </c>
      <c r="J174">
        <v>13.86</v>
      </c>
      <c r="K174">
        <v>6.22</v>
      </c>
      <c r="L174">
        <v>2.12</v>
      </c>
      <c r="M174" s="1">
        <f>IF(ISNUMBER(Main_S[[#This Row],[EPS]]),IF(Main_S[[#This Row],[EPS]]&lt;&gt;0,Main_S[[#This Row],[Current Price]]/Main_S[[#This Row],[EPS]],""),"")</f>
        <v>5.3121693121693117</v>
      </c>
      <c r="N1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74" s="1">
        <f>(Main_S[[#This Row],[P/FCF]]-VLOOKUP(Main_S[[#This Row],[Industry]], Mean_PFCF_S, 2, FALSE))/(VLOOKUP(Main_S[[#This Row],[Industry]], Mean_PFCF_S, 3, FALSE))</f>
        <v>-0.23760797643362377</v>
      </c>
      <c r="P174" s="1">
        <f>(Main_S[[#This Row],[P/B]]-VLOOKUP(Main_S[[#This Row],[Industry]], Mean_PB_S, 2, FALSE))/(VLOOKUP(Main_S[[#This Row],[Industry]], Mean_PB_S, 3, FALSE))</f>
        <v>-0.69168577694135203</v>
      </c>
      <c r="Q174" s="1">
        <f>(Main_S[[#This Row],[ROE]]-VLOOKUP(Main_S[[#This Row],[Industry]], Mean_ROE_S, 2, FALSE))/(VLOOKUP(Main_S[[#This Row],[Industry]], Mean_ROE_S, 3, FALSE))</f>
        <v>0.46163341709620115</v>
      </c>
      <c r="R174" s="1">
        <f>(Main_S[[#This Row],[ROA]]-VLOOKUP(Main_S[[#This Row],[Industry]], Mean_ROA_S, 2, FALSE))/(VLOOKUP(Main_S[[#This Row],[Industry]], Mean_ROA_S, 3, FALSE))</f>
        <v>0.32851949948078246</v>
      </c>
      <c r="S174" s="1">
        <f>(Main_S[[#This Row],[A/E]]-VLOOKUP(Main_S[[#This Row],[Industry]], Mean_AE_S, 2, FALSE))/(VLOOKUP(Main_S[[#This Row],[Industry]], Mean_AE_S, 3, FALSE))</f>
        <v>-0.1068983744464013</v>
      </c>
      <c r="T174" s="1">
        <f>(Main_S[[#This Row],[P/E]]-VLOOKUP(Main_S[[#This Row],[Industry]], Mean_PE_S, 2, FALSE))/(VLOOKUP(Main_S[[#This Row],[Industry]], Mean_PE_S, 3, FALSE))</f>
        <v>-0.72837134382667879</v>
      </c>
      <c r="U1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5" spans="1:26" x14ac:dyDescent="0.25">
      <c r="A175" s="68" t="s">
        <v>173</v>
      </c>
      <c r="B175" s="68" t="s">
        <v>644</v>
      </c>
      <c r="C175" s="2">
        <v>354</v>
      </c>
      <c r="D175">
        <f>RTD("tos.rtd", , "LAST", Main_S[[#This Row],[Symbol]])</f>
        <v>24.12</v>
      </c>
      <c r="E175">
        <v>14.36</v>
      </c>
      <c r="F175">
        <v>27.46</v>
      </c>
      <c r="G175">
        <v>2.4900000000000002</v>
      </c>
      <c r="H175" s="1">
        <f>IF(ISNUMBER(Main_S[[#This Row],[Free CF]]),IF(Main_S[[#This Row],[Free CF]]&lt;&gt;0,Main_S[[#This Row],[Current Price]]/Main_S[[#This Row],[Free CF]],""),"")</f>
        <v>1.6796657381615601</v>
      </c>
      <c r="I175" s="1">
        <f>IF(ISNUMBER(Main_S[[#This Row],[BVPS]]),IF(Main_S[[#This Row],[BVPS]]&lt;&gt;0,Main_S[[#This Row],[Current Price]]/Main_S[[#This Row],[BVPS]],""),"")</f>
        <v>0.87836853605243992</v>
      </c>
      <c r="J175">
        <v>9.2799999999999994</v>
      </c>
      <c r="K175">
        <v>5.82</v>
      </c>
      <c r="L175">
        <v>3.25</v>
      </c>
      <c r="M175" s="1">
        <f>IF(ISNUMBER(Main_S[[#This Row],[EPS]]),IF(Main_S[[#This Row],[EPS]]&lt;&gt;0,Main_S[[#This Row],[Current Price]]/Main_S[[#This Row],[EPS]],""),"")</f>
        <v>9.6867469879518069</v>
      </c>
      <c r="N1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5" s="1">
        <f>(Main_S[[#This Row],[P/FCF]]-VLOOKUP(Main_S[[#This Row],[Industry]], Mean_PFCF_S, 2, FALSE))/(VLOOKUP(Main_S[[#This Row],[Industry]], Mean_PFCF_S, 3, FALSE))</f>
        <v>-0.60642688989418325</v>
      </c>
      <c r="P175" s="1">
        <f>(Main_S[[#This Row],[P/B]]-VLOOKUP(Main_S[[#This Row],[Industry]], Mean_PB_S, 2, FALSE))/(VLOOKUP(Main_S[[#This Row],[Industry]], Mean_PB_S, 3, FALSE))</f>
        <v>-0.55191416771861967</v>
      </c>
      <c r="Q175" s="1">
        <f>(Main_S[[#This Row],[ROE]]-VLOOKUP(Main_S[[#This Row],[Industry]], Mean_ROE_S, 2, FALSE))/(VLOOKUP(Main_S[[#This Row],[Industry]], Mean_ROE_S, 3, FALSE))</f>
        <v>-0.25161802155942442</v>
      </c>
      <c r="R175" s="1">
        <f>(Main_S[[#This Row],[ROA]]-VLOOKUP(Main_S[[#This Row],[Industry]], Mean_ROA_S, 2, FALSE))/(VLOOKUP(Main_S[[#This Row],[Industry]], Mean_ROA_S, 3, FALSE))</f>
        <v>0.15308088692836225</v>
      </c>
      <c r="S175" s="1">
        <f>(Main_S[[#This Row],[A/E]]-VLOOKUP(Main_S[[#This Row],[Industry]], Mean_AE_S, 2, FALSE))/(VLOOKUP(Main_S[[#This Row],[Industry]], Mean_AE_S, 3, FALSE))</f>
        <v>2.348827469292095</v>
      </c>
      <c r="T175" s="1">
        <f>(Main_S[[#This Row],[P/E]]-VLOOKUP(Main_S[[#This Row],[Industry]], Mean_PE_S, 2, FALSE))/(VLOOKUP(Main_S[[#This Row],[Industry]], Mean_PE_S, 3, FALSE))</f>
        <v>-0.24735168951072833</v>
      </c>
      <c r="U1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6" spans="1:26" x14ac:dyDescent="0.25">
      <c r="A176" s="68" t="s">
        <v>173</v>
      </c>
      <c r="B176" s="68" t="s">
        <v>645</v>
      </c>
      <c r="C176" s="2">
        <v>368</v>
      </c>
      <c r="D176">
        <f>RTD("tos.rtd", , "LAST", Main_S[[#This Row],[Symbol]])</f>
        <v>13.03</v>
      </c>
      <c r="E176">
        <v>-1.1200000000000001</v>
      </c>
      <c r="F176">
        <v>13.46</v>
      </c>
      <c r="G176">
        <v>1.79</v>
      </c>
      <c r="H176" s="1">
        <f>IF(ISNUMBER(Main_S[[#This Row],[Free CF]]),IF(Main_S[[#This Row],[Free CF]]&lt;&gt;0,Main_S[[#This Row],[Current Price]]/Main_S[[#This Row],[Free CF]],""),"")</f>
        <v>-11.633928571428569</v>
      </c>
      <c r="I176" s="1">
        <f>IF(ISNUMBER(Main_S[[#This Row],[BVPS]]),IF(Main_S[[#This Row],[BVPS]]&lt;&gt;0,Main_S[[#This Row],[Current Price]]/Main_S[[#This Row],[BVPS]],""),"")</f>
        <v>0.96805349182763734</v>
      </c>
      <c r="J176">
        <v>13.29</v>
      </c>
      <c r="K176">
        <v>4.8600000000000003</v>
      </c>
      <c r="L176">
        <v>2.65</v>
      </c>
      <c r="M176" s="1">
        <f>IF(ISNUMBER(Main_S[[#This Row],[EPS]]),IF(Main_S[[#This Row],[EPS]]&lt;&gt;0,Main_S[[#This Row],[Current Price]]/Main_S[[#This Row],[EPS]],""),"")</f>
        <v>7.2793296089385473</v>
      </c>
      <c r="N1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6" s="1">
        <f>(Main_S[[#This Row],[P/FCF]]-VLOOKUP(Main_S[[#This Row],[Industry]], Mean_PFCF_S, 2, FALSE))/(VLOOKUP(Main_S[[#This Row],[Industry]], Mean_PFCF_S, 3, FALSE))</f>
        <v>-1.8660893463897013</v>
      </c>
      <c r="P176" s="1">
        <f>(Main_S[[#This Row],[P/B]]-VLOOKUP(Main_S[[#This Row],[Industry]], Mean_PB_S, 2, FALSE))/(VLOOKUP(Main_S[[#This Row],[Industry]], Mean_PB_S, 3, FALSE))</f>
        <v>-0.46851418899225705</v>
      </c>
      <c r="Q176" s="1">
        <f>(Main_S[[#This Row],[ROE]]-VLOOKUP(Main_S[[#This Row],[Industry]], Mean_ROE_S, 2, FALSE))/(VLOOKUP(Main_S[[#This Row],[Industry]], Mean_ROE_S, 3, FALSE))</f>
        <v>0.37286631665216036</v>
      </c>
      <c r="R176" s="1">
        <f>(Main_S[[#This Row],[ROA]]-VLOOKUP(Main_S[[#This Row],[Industry]], Mean_ROA_S, 2, FALSE))/(VLOOKUP(Main_S[[#This Row],[Industry]], Mean_ROA_S, 3, FALSE))</f>
        <v>-0.26797178319744686</v>
      </c>
      <c r="S176" s="1">
        <f>(Main_S[[#This Row],[A/E]]-VLOOKUP(Main_S[[#This Row],[Industry]], Mean_AE_S, 2, FALSE))/(VLOOKUP(Main_S[[#This Row],[Industry]], Mean_AE_S, 3, FALSE))</f>
        <v>1.0449022425282912</v>
      </c>
      <c r="T176" s="1">
        <f>(Main_S[[#This Row],[P/E]]-VLOOKUP(Main_S[[#This Row],[Industry]], Mean_PE_S, 2, FALSE))/(VLOOKUP(Main_S[[#This Row],[Industry]], Mean_PE_S, 3, FALSE))</f>
        <v>-0.51206640285503568</v>
      </c>
      <c r="U1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7" spans="1:26" x14ac:dyDescent="0.25">
      <c r="A177" s="68" t="s">
        <v>173</v>
      </c>
      <c r="B177" s="68" t="s">
        <v>646</v>
      </c>
      <c r="C177" s="2">
        <v>1391</v>
      </c>
      <c r="D177">
        <f>RTD("tos.rtd", , "LAST", Main_S[[#This Row],[Symbol]])</f>
        <v>54.74</v>
      </c>
      <c r="E177">
        <v>2.4900000000000002</v>
      </c>
      <c r="F177">
        <v>12.54</v>
      </c>
      <c r="G177">
        <v>1.91</v>
      </c>
      <c r="H177" s="1">
        <f>IF(ISNUMBER(Main_S[[#This Row],[Free CF]]),IF(Main_S[[#This Row],[Free CF]]&lt;&gt;0,Main_S[[#This Row],[Current Price]]/Main_S[[#This Row],[Free CF]],""),"")</f>
        <v>21.983935742971887</v>
      </c>
      <c r="I177" s="1">
        <f>IF(ISNUMBER(Main_S[[#This Row],[BVPS]]),IF(Main_S[[#This Row],[BVPS]]&lt;&gt;0,Main_S[[#This Row],[Current Price]]/Main_S[[#This Row],[BVPS]],""),"")</f>
        <v>4.3652312599681027</v>
      </c>
      <c r="J177">
        <v>14.97</v>
      </c>
      <c r="K177">
        <v>11.42</v>
      </c>
      <c r="L177">
        <v>1.2</v>
      </c>
      <c r="M177" s="1">
        <f>IF(ISNUMBER(Main_S[[#This Row],[EPS]]),IF(Main_S[[#This Row],[EPS]]&lt;&gt;0,Main_S[[#This Row],[Current Price]]/Main_S[[#This Row],[EPS]],""),"")</f>
        <v>28.659685863874348</v>
      </c>
      <c r="N1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7" s="1">
        <f>(Main_S[[#This Row],[P/FCF]]-VLOOKUP(Main_S[[#This Row],[Industry]], Mean_PFCF_S, 2, FALSE))/(VLOOKUP(Main_S[[#This Row],[Industry]], Mean_PFCF_S, 3, FALSE))</f>
        <v>1.3146566309687142</v>
      </c>
      <c r="P177" s="1">
        <f>(Main_S[[#This Row],[P/B]]-VLOOKUP(Main_S[[#This Row],[Industry]], Mean_PB_S, 2, FALSE))/(VLOOKUP(Main_S[[#This Row],[Industry]], Mean_PB_S, 3, FALSE))</f>
        <v>2.6905948404280497</v>
      </c>
      <c r="Q177" s="1">
        <f>(Main_S[[#This Row],[ROE]]-VLOOKUP(Main_S[[#This Row],[Industry]], Mean_ROE_S, 2, FALSE))/(VLOOKUP(Main_S[[#This Row],[Industry]], Mean_ROE_S, 3, FALSE))</f>
        <v>0.63449566532933332</v>
      </c>
      <c r="R177" s="1">
        <f>(Main_S[[#This Row],[ROA]]-VLOOKUP(Main_S[[#This Row],[Industry]], Mean_ROA_S, 2, FALSE))/(VLOOKUP(Main_S[[#This Row],[Industry]], Mean_ROA_S, 3, FALSE))</f>
        <v>2.6092214626622487</v>
      </c>
      <c r="S177" s="1">
        <f>(Main_S[[#This Row],[A/E]]-VLOOKUP(Main_S[[#This Row],[Industry]], Mean_AE_S, 2, FALSE))/(VLOOKUP(Main_S[[#This Row],[Industry]], Mean_AE_S, 3, FALSE))</f>
        <v>-2.1062503888175668</v>
      </c>
      <c r="T177" s="1">
        <f>(Main_S[[#This Row],[P/E]]-VLOOKUP(Main_S[[#This Row],[Industry]], Mean_PE_S, 2, FALSE))/(VLOOKUP(Main_S[[#This Row],[Industry]], Mean_PE_S, 3, FALSE))</f>
        <v>1.8388740391983764</v>
      </c>
      <c r="U1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8" spans="1:26" x14ac:dyDescent="0.25">
      <c r="A178" s="68" t="s">
        <v>173</v>
      </c>
      <c r="B178" s="68" t="s">
        <v>647</v>
      </c>
      <c r="C178" s="2">
        <v>843</v>
      </c>
      <c r="D178">
        <f>RTD("tos.rtd", , "LAST", Main_S[[#This Row],[Symbol]])</f>
        <v>16.36</v>
      </c>
      <c r="E178">
        <v>5.67</v>
      </c>
      <c r="F178">
        <v>18.2</v>
      </c>
      <c r="G178">
        <v>1.76</v>
      </c>
      <c r="H178" s="1">
        <f>IF(ISNUMBER(Main_S[[#This Row],[Free CF]]),IF(Main_S[[#This Row],[Free CF]]&lt;&gt;0,Main_S[[#This Row],[Current Price]]/Main_S[[#This Row],[Free CF]],""),"")</f>
        <v>2.8853615520282188</v>
      </c>
      <c r="I178" s="1">
        <f>IF(ISNUMBER(Main_S[[#This Row],[BVPS]]),IF(Main_S[[#This Row],[BVPS]]&lt;&gt;0,Main_S[[#This Row],[Current Price]]/Main_S[[#This Row],[BVPS]],""),"")</f>
        <v>0.89890109890109893</v>
      </c>
      <c r="J178">
        <v>9.67</v>
      </c>
      <c r="K178">
        <v>4.22</v>
      </c>
      <c r="L178">
        <v>2.4700000000000002</v>
      </c>
      <c r="M178" s="1">
        <f>IF(ISNUMBER(Main_S[[#This Row],[EPS]]),IF(Main_S[[#This Row],[EPS]]&lt;&gt;0,Main_S[[#This Row],[Current Price]]/Main_S[[#This Row],[EPS]],""),"")</f>
        <v>9.295454545454545</v>
      </c>
      <c r="N1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8" s="1">
        <f>(Main_S[[#This Row],[P/FCF]]-VLOOKUP(Main_S[[#This Row],[Industry]], Mean_PFCF_S, 2, FALSE))/(VLOOKUP(Main_S[[#This Row],[Industry]], Mean_PFCF_S, 3, FALSE))</f>
        <v>-0.49235027651956448</v>
      </c>
      <c r="P178" s="1">
        <f>(Main_S[[#This Row],[P/B]]-VLOOKUP(Main_S[[#This Row],[Industry]], Mean_PB_S, 2, FALSE))/(VLOOKUP(Main_S[[#This Row],[Industry]], Mean_PB_S, 3, FALSE))</f>
        <v>-0.53282049375764717</v>
      </c>
      <c r="Q178" s="1">
        <f>(Main_S[[#This Row],[ROE]]-VLOOKUP(Main_S[[#This Row],[Industry]], Mean_ROE_S, 2, FALSE))/(VLOOKUP(Main_S[[#This Row],[Industry]], Mean_ROE_S, 3, FALSE))</f>
        <v>-0.19088263704508068</v>
      </c>
      <c r="R178" s="1">
        <f>(Main_S[[#This Row],[ROA]]-VLOOKUP(Main_S[[#This Row],[Industry]], Mean_ROA_S, 2, FALSE))/(VLOOKUP(Main_S[[#This Row],[Industry]], Mean_ROA_S, 3, FALSE))</f>
        <v>-0.54867356328131989</v>
      </c>
      <c r="S178" s="1">
        <f>(Main_S[[#This Row],[A/E]]-VLOOKUP(Main_S[[#This Row],[Industry]], Mean_AE_S, 2, FALSE))/(VLOOKUP(Main_S[[#This Row],[Industry]], Mean_AE_S, 3, FALSE))</f>
        <v>0.65372467449915095</v>
      </c>
      <c r="T178" s="1">
        <f>(Main_S[[#This Row],[P/E]]-VLOOKUP(Main_S[[#This Row],[Industry]], Mean_PE_S, 2, FALSE))/(VLOOKUP(Main_S[[#This Row],[Industry]], Mean_PE_S, 3, FALSE))</f>
        <v>-0.29037740979190024</v>
      </c>
      <c r="U1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9" spans="1:26" x14ac:dyDescent="0.25">
      <c r="A179" s="68" t="s">
        <v>173</v>
      </c>
      <c r="B179" s="68" t="s">
        <v>648</v>
      </c>
      <c r="C179" s="2">
        <v>562</v>
      </c>
      <c r="D179">
        <f>RTD("tos.rtd", , "LAST", Main_S[[#This Row],[Symbol]])</f>
        <v>7.62</v>
      </c>
      <c r="E179">
        <v>3.68</v>
      </c>
      <c r="F179">
        <v>9.23</v>
      </c>
      <c r="G179">
        <v>-0.79</v>
      </c>
      <c r="H179" s="1">
        <f>IF(ISNUMBER(Main_S[[#This Row],[Free CF]]),IF(Main_S[[#This Row],[Free CF]]&lt;&gt;0,Main_S[[#This Row],[Current Price]]/Main_S[[#This Row],[Free CF]],""),"")</f>
        <v>2.0706521739130435</v>
      </c>
      <c r="I179" s="1">
        <f>IF(ISNUMBER(Main_S[[#This Row],[BVPS]]),IF(Main_S[[#This Row],[BVPS]]&lt;&gt;0,Main_S[[#This Row],[Current Price]]/Main_S[[#This Row],[BVPS]],""),"")</f>
        <v>0.82556879739978328</v>
      </c>
      <c r="J179">
        <v>-8.57</v>
      </c>
      <c r="K179">
        <v>7.06</v>
      </c>
      <c r="L179">
        <v>2.4500000000000002</v>
      </c>
      <c r="M179" s="1">
        <f>IF(ISNUMBER(Main_S[[#This Row],[EPS]]),IF(Main_S[[#This Row],[EPS]]&lt;&gt;0,Main_S[[#This Row],[Current Price]]/Main_S[[#This Row],[EPS]],""),"")</f>
        <v>-9.6455696202531644</v>
      </c>
      <c r="N1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9" s="1">
        <f>(Main_S[[#This Row],[P/FCF]]-VLOOKUP(Main_S[[#This Row],[Industry]], Mean_PFCF_S, 2, FALSE))/(VLOOKUP(Main_S[[#This Row],[Industry]], Mean_PFCF_S, 3, FALSE))</f>
        <v>-0.56943380428090362</v>
      </c>
      <c r="P179" s="1">
        <f>(Main_S[[#This Row],[P/B]]-VLOOKUP(Main_S[[#This Row],[Industry]], Mean_PB_S, 2, FALSE))/(VLOOKUP(Main_S[[#This Row],[Industry]], Mean_PB_S, 3, FALSE))</f>
        <v>-0.60101378584662324</v>
      </c>
      <c r="Q179" s="1">
        <f>(Main_S[[#This Row],[ROE]]-VLOOKUP(Main_S[[#This Row],[Industry]], Mean_ROE_S, 2, FALSE))/(VLOOKUP(Main_S[[#This Row],[Industry]], Mean_ROE_S, 3, FALSE))</f>
        <v>-3.0314298512543845</v>
      </c>
      <c r="R179" s="1">
        <f>(Main_S[[#This Row],[ROA]]-VLOOKUP(Main_S[[#This Row],[Industry]], Mean_ROA_S, 2, FALSE))/(VLOOKUP(Main_S[[#This Row],[Industry]], Mean_ROA_S, 3, FALSE))</f>
        <v>0.69694058584086538</v>
      </c>
      <c r="S179" s="1">
        <f>(Main_S[[#This Row],[A/E]]-VLOOKUP(Main_S[[#This Row],[Industry]], Mean_AE_S, 2, FALSE))/(VLOOKUP(Main_S[[#This Row],[Industry]], Mean_AE_S, 3, FALSE))</f>
        <v>0.61026050027369072</v>
      </c>
      <c r="T179" s="1">
        <f>(Main_S[[#This Row],[P/E]]-VLOOKUP(Main_S[[#This Row],[Industry]], Mean_PE_S, 2, FALSE))/(VLOOKUP(Main_S[[#This Row],[Industry]], Mean_PE_S, 3, FALSE))</f>
        <v>-2.3730938619461233</v>
      </c>
      <c r="U1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0" spans="1:26" x14ac:dyDescent="0.25">
      <c r="A180" s="68" t="s">
        <v>173</v>
      </c>
      <c r="B180" s="68" t="s">
        <v>649</v>
      </c>
      <c r="C180" s="2">
        <v>894</v>
      </c>
      <c r="D180">
        <f>RTD("tos.rtd", , "LAST", Main_S[[#This Row],[Symbol]])</f>
        <v>14.81</v>
      </c>
      <c r="E180">
        <v>-6.02</v>
      </c>
      <c r="F180">
        <v>13.35</v>
      </c>
      <c r="G180">
        <v>2.1</v>
      </c>
      <c r="H180" s="1">
        <f>IF(ISNUMBER(Main_S[[#This Row],[Free CF]]),IF(Main_S[[#This Row],[Free CF]]&lt;&gt;0,Main_S[[#This Row],[Current Price]]/Main_S[[#This Row],[Free CF]],""),"")</f>
        <v>-2.4601328903654487</v>
      </c>
      <c r="I180" s="1">
        <f>IF(ISNUMBER(Main_S[[#This Row],[BVPS]]),IF(Main_S[[#This Row],[BVPS]]&lt;&gt;0,Main_S[[#This Row],[Current Price]]/Main_S[[#This Row],[BVPS]],""),"")</f>
        <v>1.1093632958801498</v>
      </c>
      <c r="J180">
        <v>16.12</v>
      </c>
      <c r="K180">
        <v>6.85</v>
      </c>
      <c r="L180">
        <v>2.16</v>
      </c>
      <c r="M180" s="1">
        <f>IF(ISNUMBER(Main_S[[#This Row],[EPS]]),IF(Main_S[[#This Row],[EPS]]&lt;&gt;0,Main_S[[#This Row],[Current Price]]/Main_S[[#This Row],[EPS]],""),"")</f>
        <v>7.0523809523809522</v>
      </c>
      <c r="N1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0" s="1">
        <f>(Main_S[[#This Row],[P/FCF]]-VLOOKUP(Main_S[[#This Row],[Industry]], Mean_PFCF_S, 2, FALSE))/(VLOOKUP(Main_S[[#This Row],[Industry]], Mean_PFCF_S, 3, FALSE))</f>
        <v>-0.99811292061924362</v>
      </c>
      <c r="P180" s="1">
        <f>(Main_S[[#This Row],[P/B]]-VLOOKUP(Main_S[[#This Row],[Industry]], Mean_PB_S, 2, FALSE))/(VLOOKUP(Main_S[[#This Row],[Industry]], Mean_PB_S, 3, FALSE))</f>
        <v>-0.33710714809069647</v>
      </c>
      <c r="Q180" s="1">
        <f>(Main_S[[#This Row],[ROE]]-VLOOKUP(Main_S[[#This Row],[Industry]], Mean_ROE_S, 2, FALSE))/(VLOOKUP(Main_S[[#This Row],[Industry]], Mean_ROE_S, 3, FALSE))</f>
        <v>0.81358718376906469</v>
      </c>
      <c r="R180" s="1">
        <f>(Main_S[[#This Row],[ROA]]-VLOOKUP(Main_S[[#This Row],[Industry]], Mean_ROA_S, 2, FALSE))/(VLOOKUP(Main_S[[#This Row],[Industry]], Mean_ROA_S, 3, FALSE))</f>
        <v>0.60483531425084469</v>
      </c>
      <c r="S180" s="1">
        <f>(Main_S[[#This Row],[A/E]]-VLOOKUP(Main_S[[#This Row],[Industry]], Mean_AE_S, 2, FALSE))/(VLOOKUP(Main_S[[#This Row],[Industry]], Mean_AE_S, 3, FALSE))</f>
        <v>-1.9970025995480988E-2</v>
      </c>
      <c r="T180" s="1">
        <f>(Main_S[[#This Row],[P/E]]-VLOOKUP(Main_S[[#This Row],[Industry]], Mean_PE_S, 2, FALSE))/(VLOOKUP(Main_S[[#This Row],[Industry]], Mean_PE_S, 3, FALSE))</f>
        <v>-0.53702121504848399</v>
      </c>
      <c r="U1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1" spans="1:26" x14ac:dyDescent="0.25">
      <c r="A181" s="68" t="s">
        <v>173</v>
      </c>
      <c r="B181" s="68" t="s">
        <v>650</v>
      </c>
      <c r="C181" s="2">
        <v>1960</v>
      </c>
      <c r="D181">
        <f>RTD("tos.rtd", , "LAST", Main_S[[#This Row],[Symbol]])</f>
        <v>22.26</v>
      </c>
      <c r="E181">
        <v>1.82</v>
      </c>
      <c r="F181">
        <v>17.04</v>
      </c>
      <c r="G181">
        <v>1.89</v>
      </c>
      <c r="H181" s="1">
        <f>IF(ISNUMBER(Main_S[[#This Row],[Free CF]]),IF(Main_S[[#This Row],[Free CF]]&lt;&gt;0,Main_S[[#This Row],[Current Price]]/Main_S[[#This Row],[Free CF]],""),"")</f>
        <v>12.230769230769232</v>
      </c>
      <c r="I181" s="1">
        <f>IF(ISNUMBER(Main_S[[#This Row],[BVPS]]),IF(Main_S[[#This Row],[BVPS]]&lt;&gt;0,Main_S[[#This Row],[Current Price]]/Main_S[[#This Row],[BVPS]],""),"")</f>
        <v>1.3063380281690142</v>
      </c>
      <c r="J181">
        <v>11.06</v>
      </c>
      <c r="K181">
        <v>6.8</v>
      </c>
      <c r="L181">
        <v>2.1800000000000002</v>
      </c>
      <c r="M181" s="1">
        <f>IF(ISNUMBER(Main_S[[#This Row],[EPS]]),IF(Main_S[[#This Row],[EPS]]&lt;&gt;0,Main_S[[#This Row],[Current Price]]/Main_S[[#This Row],[EPS]],""),"")</f>
        <v>11.777777777777779</v>
      </c>
      <c r="N1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1" s="1">
        <f>(Main_S[[#This Row],[P/FCF]]-VLOOKUP(Main_S[[#This Row],[Industry]], Mean_PFCF_S, 2, FALSE))/(VLOOKUP(Main_S[[#This Row],[Industry]], Mean_PFCF_S, 3, FALSE))</f>
        <v>0.39186317627246336</v>
      </c>
      <c r="P181" s="1">
        <f>(Main_S[[#This Row],[P/B]]-VLOOKUP(Main_S[[#This Row],[Industry]], Mean_PB_S, 2, FALSE))/(VLOOKUP(Main_S[[#This Row],[Industry]], Mean_PB_S, 3, FALSE))</f>
        <v>-0.1539360873422293</v>
      </c>
      <c r="Q181" s="1">
        <f>(Main_S[[#This Row],[ROE]]-VLOOKUP(Main_S[[#This Row],[Industry]], Mean_ROE_S, 2, FALSE))/(VLOOKUP(Main_S[[#This Row],[Industry]], Mean_ROE_S, 3, FALSE))</f>
        <v>2.5584502634246824E-2</v>
      </c>
      <c r="R181" s="1">
        <f>(Main_S[[#This Row],[ROA]]-VLOOKUP(Main_S[[#This Row],[Industry]], Mean_ROA_S, 2, FALSE))/(VLOOKUP(Main_S[[#This Row],[Industry]], Mean_ROA_S, 3, FALSE))</f>
        <v>0.58290548768179218</v>
      </c>
      <c r="S181" s="1">
        <f>(Main_S[[#This Row],[A/E]]-VLOOKUP(Main_S[[#This Row],[Industry]], Mean_AE_S, 2, FALSE))/(VLOOKUP(Main_S[[#This Row],[Industry]], Mean_AE_S, 3, FALSE))</f>
        <v>2.3494148229979167E-2</v>
      </c>
      <c r="T181" s="1">
        <f>(Main_S[[#This Row],[P/E]]-VLOOKUP(Main_S[[#This Row],[Industry]], Mean_PE_S, 2, FALSE))/(VLOOKUP(Main_S[[#This Row],[Industry]], Mean_PE_S, 3, FALSE))</f>
        <v>-1.7426201330619145E-2</v>
      </c>
      <c r="U1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2" spans="1:26" x14ac:dyDescent="0.25">
      <c r="A182" s="68" t="s">
        <v>173</v>
      </c>
      <c r="B182" s="68" t="s">
        <v>651</v>
      </c>
      <c r="C182" s="2">
        <v>626</v>
      </c>
      <c r="D182">
        <f>RTD("tos.rtd", , "LAST", Main_S[[#This Row],[Symbol]])</f>
        <v>10.15</v>
      </c>
      <c r="E182">
        <v>0.56000000000000005</v>
      </c>
      <c r="F182">
        <v>4.9000000000000004</v>
      </c>
      <c r="G182">
        <v>0.34</v>
      </c>
      <c r="H182" s="1">
        <f>IF(ISNUMBER(Main_S[[#This Row],[Free CF]]),IF(Main_S[[#This Row],[Free CF]]&lt;&gt;0,Main_S[[#This Row],[Current Price]]/Main_S[[#This Row],[Free CF]],""),"")</f>
        <v>18.125</v>
      </c>
      <c r="I182" s="1">
        <f>IF(ISNUMBER(Main_S[[#This Row],[BVPS]]),IF(Main_S[[#This Row],[BVPS]]&lt;&gt;0,Main_S[[#This Row],[Current Price]]/Main_S[[#This Row],[BVPS]],""),"")</f>
        <v>2.0714285714285712</v>
      </c>
      <c r="J182">
        <v>6.98</v>
      </c>
      <c r="K182">
        <v>4.01</v>
      </c>
      <c r="L182">
        <v>1.85</v>
      </c>
      <c r="M182" s="1">
        <f>IF(ISNUMBER(Main_S[[#This Row],[EPS]]),IF(Main_S[[#This Row],[EPS]]&lt;&gt;0,Main_S[[#This Row],[Current Price]]/Main_S[[#This Row],[EPS]],""),"")</f>
        <v>29.852941176470587</v>
      </c>
      <c r="N1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2" s="1">
        <f>(Main_S[[#This Row],[P/FCF]]-VLOOKUP(Main_S[[#This Row],[Industry]], Mean_PFCF_S, 2, FALSE))/(VLOOKUP(Main_S[[#This Row],[Industry]], Mean_PFCF_S, 3, FALSE))</f>
        <v>0.94954437319555585</v>
      </c>
      <c r="P182" s="1">
        <f>(Main_S[[#This Row],[P/B]]-VLOOKUP(Main_S[[#This Row],[Industry]], Mean_PB_S, 2, FALSE))/(VLOOKUP(Main_S[[#This Row],[Industry]], Mean_PB_S, 3, FALSE))</f>
        <v>0.55753814465192542</v>
      </c>
      <c r="Q182" s="1">
        <f>(Main_S[[#This Row],[ROE]]-VLOOKUP(Main_S[[#This Row],[Industry]], Mean_ROE_S, 2, FALSE))/(VLOOKUP(Main_S[[#This Row],[Industry]], Mean_ROE_S, 3, FALSE))</f>
        <v>-0.60980105843888688</v>
      </c>
      <c r="R182" s="1">
        <f>(Main_S[[#This Row],[ROA]]-VLOOKUP(Main_S[[#This Row],[Industry]], Mean_ROA_S, 2, FALSE))/(VLOOKUP(Main_S[[#This Row],[Industry]], Mean_ROA_S, 3, FALSE))</f>
        <v>-0.64077883487134057</v>
      </c>
      <c r="S182" s="1">
        <f>(Main_S[[#This Row],[A/E]]-VLOOKUP(Main_S[[#This Row],[Industry]], Mean_AE_S, 2, FALSE))/(VLOOKUP(Main_S[[#This Row],[Industry]], Mean_AE_S, 3, FALSE))</f>
        <v>-0.6936647264901129</v>
      </c>
      <c r="T182" s="1">
        <f>(Main_S[[#This Row],[P/E]]-VLOOKUP(Main_S[[#This Row],[Industry]], Mean_PE_S, 2, FALSE))/(VLOOKUP(Main_S[[#This Row],[Industry]], Mean_PE_S, 3, FALSE))</f>
        <v>1.9700819638291911</v>
      </c>
      <c r="U1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3" spans="1:26" x14ac:dyDescent="0.25">
      <c r="A183" s="68" t="s">
        <v>173</v>
      </c>
      <c r="B183" s="68" t="s">
        <v>652</v>
      </c>
      <c r="C183" s="2">
        <v>1106</v>
      </c>
      <c r="D183">
        <f>RTD("tos.rtd", , "LAST", Main_S[[#This Row],[Symbol]])</f>
        <v>176.92</v>
      </c>
      <c r="E183">
        <v>-0.54</v>
      </c>
      <c r="F183">
        <v>128.82</v>
      </c>
      <c r="G183">
        <v>16.84</v>
      </c>
      <c r="H183" s="1">
        <f>IF(ISNUMBER(Main_S[[#This Row],[Free CF]]),IF(Main_S[[#This Row],[Free CF]]&lt;&gt;0,Main_S[[#This Row],[Current Price]]/Main_S[[#This Row],[Free CF]],""),"")</f>
        <v>-327.62962962962956</v>
      </c>
      <c r="I183" s="1">
        <f>IF(ISNUMBER(Main_S[[#This Row],[BVPS]]),IF(Main_S[[#This Row],[BVPS]]&lt;&gt;0,Main_S[[#This Row],[Current Price]]/Main_S[[#This Row],[BVPS]],""),"")</f>
        <v>1.3733892252755784</v>
      </c>
      <c r="J183">
        <v>15.38</v>
      </c>
      <c r="K183">
        <v>2.91</v>
      </c>
      <c r="L183">
        <v>4.45</v>
      </c>
      <c r="M183" s="1">
        <f>IF(ISNUMBER(Main_S[[#This Row],[EPS]]),IF(Main_S[[#This Row],[EPS]]&lt;&gt;0,Main_S[[#This Row],[Current Price]]/Main_S[[#This Row],[EPS]],""),"")</f>
        <v>10.505938242280285</v>
      </c>
      <c r="N1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3" s="1">
        <f>(Main_S[[#This Row],[P/FCF]]-VLOOKUP(Main_S[[#This Row],[Industry]], Mean_PFCF_S, 2, FALSE))/(VLOOKUP(Main_S[[#This Row],[Industry]], Mean_PFCF_S, 3, FALSE))</f>
        <v>-31.763945010376137</v>
      </c>
      <c r="P183" s="1">
        <f>(Main_S[[#This Row],[P/B]]-VLOOKUP(Main_S[[#This Row],[Industry]], Mean_PB_S, 2, FALSE))/(VLOOKUP(Main_S[[#This Row],[Industry]], Mean_PB_S, 3, FALSE))</f>
        <v>-9.1583729982745596E-2</v>
      </c>
      <c r="Q183" s="1">
        <f>(Main_S[[#This Row],[ROE]]-VLOOKUP(Main_S[[#This Row],[Industry]], Mean_ROE_S, 2, FALSE))/(VLOOKUP(Main_S[[#This Row],[Industry]], Mean_ROE_S, 3, FALSE))</f>
        <v>0.69834568494697669</v>
      </c>
      <c r="R183" s="1">
        <f>(Main_S[[#This Row],[ROA]]-VLOOKUP(Main_S[[#This Row],[Industry]], Mean_ROA_S, 2, FALSE))/(VLOOKUP(Main_S[[#This Row],[Industry]], Mean_ROA_S, 3, FALSE))</f>
        <v>-1.1232350193904967</v>
      </c>
      <c r="S183" s="1">
        <f>(Main_S[[#This Row],[A/E]]-VLOOKUP(Main_S[[#This Row],[Industry]], Mean_AE_S, 2, FALSE))/(VLOOKUP(Main_S[[#This Row],[Industry]], Mean_AE_S, 3, FALSE))</f>
        <v>4.9566779228197024</v>
      </c>
      <c r="T183" s="1">
        <f>(Main_S[[#This Row],[P/E]]-VLOOKUP(Main_S[[#This Row],[Industry]], Mean_PE_S, 2, FALSE))/(VLOOKUP(Main_S[[#This Row],[Industry]], Mean_PE_S, 3, FALSE))</f>
        <v>-0.15727508710927482</v>
      </c>
      <c r="U1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4" spans="1:26" x14ac:dyDescent="0.25">
      <c r="A184" s="68" t="s">
        <v>173</v>
      </c>
      <c r="B184" s="68" t="s">
        <v>653</v>
      </c>
      <c r="C184" s="2">
        <v>1364</v>
      </c>
      <c r="D184">
        <f>RTD("tos.rtd", , "LAST", Main_S[[#This Row],[Symbol]])</f>
        <v>9.5299999999999994</v>
      </c>
      <c r="E184">
        <v>0.82</v>
      </c>
      <c r="F184">
        <v>2.92</v>
      </c>
      <c r="G184">
        <v>0.36</v>
      </c>
      <c r="H184" s="1">
        <f>IF(ISNUMBER(Main_S[[#This Row],[Free CF]]),IF(Main_S[[#This Row],[Free CF]]&lt;&gt;0,Main_S[[#This Row],[Current Price]]/Main_S[[#This Row],[Free CF]],""),"")</f>
        <v>11.621951219512194</v>
      </c>
      <c r="I184" s="1">
        <f>IF(ISNUMBER(Main_S[[#This Row],[BVPS]]),IF(Main_S[[#This Row],[BVPS]]&lt;&gt;0,Main_S[[#This Row],[Current Price]]/Main_S[[#This Row],[BVPS]],""),"")</f>
        <v>3.2636986301369864</v>
      </c>
      <c r="J184">
        <v>14.25</v>
      </c>
      <c r="K184">
        <v>9.18</v>
      </c>
      <c r="L184">
        <v>2.46</v>
      </c>
      <c r="M184" s="1">
        <f>IF(ISNUMBER(Main_S[[#This Row],[EPS]]),IF(Main_S[[#This Row],[EPS]]&lt;&gt;0,Main_S[[#This Row],[Current Price]]/Main_S[[#This Row],[EPS]],""),"")</f>
        <v>26.472222222222221</v>
      </c>
      <c r="N1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4" s="1">
        <f>(Main_S[[#This Row],[P/FCF]]-VLOOKUP(Main_S[[#This Row],[Industry]], Mean_PFCF_S, 2, FALSE))/(VLOOKUP(Main_S[[#This Row],[Industry]], Mean_PFCF_S, 3, FALSE))</f>
        <v>0.33426000963050451</v>
      </c>
      <c r="P184" s="1">
        <f>(Main_S[[#This Row],[P/B]]-VLOOKUP(Main_S[[#This Row],[Industry]], Mean_PB_S, 2, FALSE))/(VLOOKUP(Main_S[[#This Row],[Industry]], Mean_PB_S, 3, FALSE))</f>
        <v>1.6662558406454833</v>
      </c>
      <c r="Q184" s="1">
        <f>(Main_S[[#This Row],[ROE]]-VLOOKUP(Main_S[[#This Row],[Industry]], Mean_ROE_S, 2, FALSE))/(VLOOKUP(Main_S[[#This Row],[Industry]], Mean_ROE_S, 3, FALSE))</f>
        <v>0.52236880161054489</v>
      </c>
      <c r="R184" s="1">
        <f>(Main_S[[#This Row],[ROA]]-VLOOKUP(Main_S[[#This Row],[Industry]], Mean_ROA_S, 2, FALSE))/(VLOOKUP(Main_S[[#This Row],[Industry]], Mean_ROA_S, 3, FALSE))</f>
        <v>1.6267652323686941</v>
      </c>
      <c r="S184" s="1">
        <f>(Main_S[[#This Row],[A/E]]-VLOOKUP(Main_S[[#This Row],[Industry]], Mean_AE_S, 2, FALSE))/(VLOOKUP(Main_S[[#This Row],[Industry]], Mean_AE_S, 3, FALSE))</f>
        <v>0.63199258738642039</v>
      </c>
      <c r="T184" s="1">
        <f>(Main_S[[#This Row],[P/E]]-VLOOKUP(Main_S[[#This Row],[Industry]], Mean_PE_S, 2, FALSE))/(VLOOKUP(Main_S[[#This Row],[Industry]], Mean_PE_S, 3, FALSE))</f>
        <v>1.5983449909747662</v>
      </c>
      <c r="U1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5" spans="1:26" x14ac:dyDescent="0.25">
      <c r="A185" s="68" t="s">
        <v>173</v>
      </c>
      <c r="B185" s="68" t="s">
        <v>654</v>
      </c>
      <c r="C185" s="2">
        <v>630</v>
      </c>
      <c r="D185">
        <f>RTD("tos.rtd", , "LAST", Main_S[[#This Row],[Symbol]])</f>
        <v>63.09</v>
      </c>
      <c r="E185">
        <v>-12.3</v>
      </c>
      <c r="F185">
        <v>82.87</v>
      </c>
      <c r="G185">
        <v>6.74</v>
      </c>
      <c r="H185" s="1">
        <f>IF(ISNUMBER(Main_S[[#This Row],[Free CF]]),IF(Main_S[[#This Row],[Free CF]]&lt;&gt;0,Main_S[[#This Row],[Current Price]]/Main_S[[#This Row],[Free CF]],""),"")</f>
        <v>-5.1292682926829265</v>
      </c>
      <c r="I185" s="1">
        <f>IF(ISNUMBER(Main_S[[#This Row],[BVPS]]),IF(Main_S[[#This Row],[BVPS]]&lt;&gt;0,Main_S[[#This Row],[Current Price]]/Main_S[[#This Row],[BVPS]],""),"")</f>
        <v>0.76131289972245686</v>
      </c>
      <c r="J185">
        <v>9.1</v>
      </c>
      <c r="K185">
        <v>2.23</v>
      </c>
      <c r="L185">
        <v>4.0999999999999996</v>
      </c>
      <c r="M185" s="1">
        <f>IF(ISNUMBER(Main_S[[#This Row],[EPS]]),IF(Main_S[[#This Row],[EPS]]&lt;&gt;0,Main_S[[#This Row],[Current Price]]/Main_S[[#This Row],[EPS]],""),"")</f>
        <v>9.3605341246290799</v>
      </c>
      <c r="N1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5" s="1">
        <f>(Main_S[[#This Row],[P/FCF]]-VLOOKUP(Main_S[[#This Row],[Industry]], Mean_PFCF_S, 2, FALSE))/(VLOOKUP(Main_S[[#This Row],[Industry]], Mean_PFCF_S, 3, FALSE))</f>
        <v>-1.2506525113126825</v>
      </c>
      <c r="P185" s="1">
        <f>(Main_S[[#This Row],[P/B]]-VLOOKUP(Main_S[[#This Row],[Industry]], Mean_PB_S, 2, FALSE))/(VLOOKUP(Main_S[[#This Row],[Industry]], Mean_PB_S, 3, FALSE))</f>
        <v>-0.66076673385236206</v>
      </c>
      <c r="Q185" s="1">
        <f>(Main_S[[#This Row],[ROE]]-VLOOKUP(Main_S[[#This Row],[Industry]], Mean_ROE_S, 2, FALSE))/(VLOOKUP(Main_S[[#This Row],[Industry]], Mean_ROE_S, 3, FALSE))</f>
        <v>-0.27964973748912147</v>
      </c>
      <c r="R185" s="1">
        <f>(Main_S[[#This Row],[ROA]]-VLOOKUP(Main_S[[#This Row],[Industry]], Mean_ROA_S, 2, FALSE))/(VLOOKUP(Main_S[[#This Row],[Industry]], Mean_ROA_S, 3, FALSE))</f>
        <v>-1.4214806607296115</v>
      </c>
      <c r="S185" s="1">
        <f>(Main_S[[#This Row],[A/E]]-VLOOKUP(Main_S[[#This Row],[Industry]], Mean_AE_S, 2, FALSE))/(VLOOKUP(Main_S[[#This Row],[Industry]], Mean_AE_S, 3, FALSE))</f>
        <v>4.1960548738741492</v>
      </c>
      <c r="T185" s="1">
        <f>(Main_S[[#This Row],[P/E]]-VLOOKUP(Main_S[[#This Row],[Industry]], Mean_PE_S, 2, FALSE))/(VLOOKUP(Main_S[[#This Row],[Industry]], Mean_PE_S, 3, FALSE))</f>
        <v>-0.28322139177195216</v>
      </c>
      <c r="U1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6" spans="1:26" x14ac:dyDescent="0.25">
      <c r="A186" s="68" t="s">
        <v>173</v>
      </c>
      <c r="B186" s="68" t="s">
        <v>655</v>
      </c>
      <c r="C186" s="2">
        <v>1614</v>
      </c>
      <c r="D186">
        <f>RTD("tos.rtd", , "LAST", Main_S[[#This Row],[Symbol]])</f>
        <v>9.9700000000000006</v>
      </c>
      <c r="E186">
        <v>5.16</v>
      </c>
      <c r="F186">
        <v>3.74</v>
      </c>
      <c r="G186">
        <v>0.37</v>
      </c>
      <c r="H186" s="1">
        <f>IF(ISNUMBER(Main_S[[#This Row],[Free CF]]),IF(Main_S[[#This Row],[Free CF]]&lt;&gt;0,Main_S[[#This Row],[Current Price]]/Main_S[[#This Row],[Free CF]],""),"")</f>
        <v>1.932170542635659</v>
      </c>
      <c r="I186" s="1">
        <f>IF(ISNUMBER(Main_S[[#This Row],[BVPS]]),IF(Main_S[[#This Row],[BVPS]]&lt;&gt;0,Main_S[[#This Row],[Current Price]]/Main_S[[#This Row],[BVPS]],""),"")</f>
        <v>2.6657754010695189</v>
      </c>
      <c r="J186">
        <v>10.6</v>
      </c>
      <c r="K186">
        <v>1.21</v>
      </c>
      <c r="L186">
        <v>9.75</v>
      </c>
      <c r="M186" s="1">
        <f>IF(ISNUMBER(Main_S[[#This Row],[EPS]]),IF(Main_S[[#This Row],[EPS]]&lt;&gt;0,Main_S[[#This Row],[Current Price]]/Main_S[[#This Row],[EPS]],""),"")</f>
        <v>26.945945945945947</v>
      </c>
      <c r="N1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6" s="1">
        <f>(Main_S[[#This Row],[P/FCF]]-VLOOKUP(Main_S[[#This Row],[Industry]], Mean_PFCF_S, 2, FALSE))/(VLOOKUP(Main_S[[#This Row],[Industry]], Mean_PFCF_S, 3, FALSE))</f>
        <v>-0.58253620982053478</v>
      </c>
      <c r="P186" s="1">
        <f>(Main_S[[#This Row],[P/B]]-VLOOKUP(Main_S[[#This Row],[Industry]], Mean_PB_S, 2, FALSE))/(VLOOKUP(Main_S[[#This Row],[Industry]], Mean_PB_S, 3, FALSE))</f>
        <v>1.110234107087182</v>
      </c>
      <c r="Q186" s="1">
        <f>(Main_S[[#This Row],[ROE]]-VLOOKUP(Main_S[[#This Row],[Industry]], Mean_ROE_S, 2, FALSE))/(VLOOKUP(Main_S[[#This Row],[Industry]], Mean_ROE_S, 3, FALSE))</f>
        <v>-4.6052104741645832E-2</v>
      </c>
      <c r="R186" s="1">
        <f>(Main_S[[#This Row],[ROA]]-VLOOKUP(Main_S[[#This Row],[Industry]], Mean_ROA_S, 2, FALSE))/(VLOOKUP(Main_S[[#This Row],[Industry]], Mean_ROA_S, 3, FALSE))</f>
        <v>-1.868849122738284</v>
      </c>
      <c r="S186" s="1">
        <f>(Main_S[[#This Row],[A/E]]-VLOOKUP(Main_S[[#This Row],[Industry]], Mean_AE_S, 2, FALSE))/(VLOOKUP(Main_S[[#This Row],[Industry]], Mean_AE_S, 3, FALSE))</f>
        <v>16.474684092566633</v>
      </c>
      <c r="T186" s="1">
        <f>(Main_S[[#This Row],[P/E]]-VLOOKUP(Main_S[[#This Row],[Industry]], Mean_PE_S, 2, FALSE))/(VLOOKUP(Main_S[[#This Row],[Industry]], Mean_PE_S, 3, FALSE))</f>
        <v>1.6504346871043685</v>
      </c>
      <c r="U1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7" spans="1:26" x14ac:dyDescent="0.25">
      <c r="A187" s="68" t="s">
        <v>173</v>
      </c>
      <c r="B187" s="68" t="s">
        <v>656</v>
      </c>
      <c r="C187" s="2">
        <v>295</v>
      </c>
      <c r="D187">
        <f>RTD("tos.rtd", , "LAST", Main_S[[#This Row],[Symbol]])</f>
        <v>7.19</v>
      </c>
      <c r="H187" s="1" t="str">
        <f>IF(ISNUMBER(Main_S[[#This Row],[Free CF]]),IF(Main_S[[#This Row],[Free CF]]&lt;&gt;0,Main_S[[#This Row],[Current Price]]/Main_S[[#This Row],[Free CF]],""),"")</f>
        <v/>
      </c>
      <c r="I187" s="1" t="str">
        <f>IF(ISNUMBER(Main_S[[#This Row],[BVPS]]),IF(Main_S[[#This Row],[BVPS]]&lt;&gt;0,Main_S[[#This Row],[Current Price]]/Main_S[[#This Row],[BVPS]],""),"")</f>
        <v/>
      </c>
      <c r="J187">
        <v>20.05</v>
      </c>
      <c r="K187">
        <v>6.8</v>
      </c>
      <c r="L187">
        <v>2.14</v>
      </c>
      <c r="M187" s="1" t="str">
        <f>IF(ISNUMBER(Main_S[[#This Row],[EPS]]),IF(Main_S[[#This Row],[EPS]]&lt;&gt;0,Main_S[[#This Row],[Current Price]]/Main_S[[#This Row],[EPS]],""),"")</f>
        <v/>
      </c>
      <c r="N1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7" s="1" t="e">
        <f>(Main_S[[#This Row],[P/FCF]]-VLOOKUP(Main_S[[#This Row],[Industry]], Mean_PFCF_S, 2, FALSE))/(VLOOKUP(Main_S[[#This Row],[Industry]], Mean_PFCF_S, 3, FALSE))</f>
        <v>#VALUE!</v>
      </c>
      <c r="P187" s="1" t="e">
        <f>(Main_S[[#This Row],[P/B]]-VLOOKUP(Main_S[[#This Row],[Industry]], Mean_PB_S, 2, FALSE))/(VLOOKUP(Main_S[[#This Row],[Industry]], Mean_PB_S, 3, FALSE))</f>
        <v>#VALUE!</v>
      </c>
      <c r="Q187" s="1">
        <f>(Main_S[[#This Row],[ROE]]-VLOOKUP(Main_S[[#This Row],[Industry]], Mean_ROE_S, 2, FALSE))/(VLOOKUP(Main_S[[#This Row],[Industry]], Mean_ROE_S, 3, FALSE))</f>
        <v>1.4256129815674508</v>
      </c>
      <c r="R187" s="1">
        <f>(Main_S[[#This Row],[ROA]]-VLOOKUP(Main_S[[#This Row],[Industry]], Mean_ROA_S, 2, FALSE))/(VLOOKUP(Main_S[[#This Row],[Industry]], Mean_ROA_S, 3, FALSE))</f>
        <v>0.58290548768179218</v>
      </c>
      <c r="S187" s="1">
        <f>(Main_S[[#This Row],[A/E]]-VLOOKUP(Main_S[[#This Row],[Industry]], Mean_AE_S, 2, FALSE))/(VLOOKUP(Main_S[[#This Row],[Industry]], Mean_AE_S, 3, FALSE))</f>
        <v>-6.3434200220941137E-2</v>
      </c>
      <c r="T187" s="1" t="e">
        <f>(Main_S[[#This Row],[P/E]]-VLOOKUP(Main_S[[#This Row],[Industry]], Mean_PE_S, 2, FALSE))/(VLOOKUP(Main_S[[#This Row],[Industry]], Mean_PE_S, 3, FALSE))</f>
        <v>#VALUE!</v>
      </c>
      <c r="U1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8" spans="1:26" x14ac:dyDescent="0.25">
      <c r="A188" s="68" t="s">
        <v>173</v>
      </c>
      <c r="B188" s="68" t="s">
        <v>657</v>
      </c>
      <c r="C188" s="2">
        <v>1014</v>
      </c>
      <c r="D188">
        <f>RTD("tos.rtd", , "LAST", Main_S[[#This Row],[Symbol]])</f>
        <v>7.67</v>
      </c>
      <c r="E188">
        <v>2.99</v>
      </c>
      <c r="F188">
        <v>0.46</v>
      </c>
      <c r="G188">
        <v>-34.11</v>
      </c>
      <c r="H188" s="1">
        <f>IF(ISNUMBER(Main_S[[#This Row],[Free CF]]),IF(Main_S[[#This Row],[Free CF]]&lt;&gt;0,Main_S[[#This Row],[Current Price]]/Main_S[[#This Row],[Free CF]],""),"")</f>
        <v>2.5652173913043477</v>
      </c>
      <c r="I188" s="1">
        <f>IF(ISNUMBER(Main_S[[#This Row],[BVPS]]),IF(Main_S[[#This Row],[BVPS]]&lt;&gt;0,Main_S[[#This Row],[Current Price]]/Main_S[[#This Row],[BVPS]],""),"")</f>
        <v>16.673913043478262</v>
      </c>
      <c r="J188">
        <v>17.16</v>
      </c>
      <c r="K188">
        <v>0.28000000000000003</v>
      </c>
      <c r="L188">
        <v>130.34</v>
      </c>
      <c r="M188" s="1">
        <f>IF(ISNUMBER(Main_S[[#This Row],[EPS]]),IF(Main_S[[#This Row],[EPS]]&lt;&gt;0,Main_S[[#This Row],[Current Price]]/Main_S[[#This Row],[EPS]],""),"")</f>
        <v>-0.22486074464966285</v>
      </c>
      <c r="N1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8" s="1">
        <f>(Main_S[[#This Row],[P/FCF]]-VLOOKUP(Main_S[[#This Row],[Industry]], Mean_PFCF_S, 2, FALSE))/(VLOOKUP(Main_S[[#This Row],[Industry]], Mean_PFCF_S, 3, FALSE))</f>
        <v>-0.52264063767617852</v>
      </c>
      <c r="P188" s="1">
        <f>(Main_S[[#This Row],[P/B]]-VLOOKUP(Main_S[[#This Row],[Industry]], Mean_PB_S, 2, FALSE))/(VLOOKUP(Main_S[[#This Row],[Industry]], Mean_PB_S, 3, FALSE))</f>
        <v>14.136704057088979</v>
      </c>
      <c r="Q188" s="1">
        <f>(Main_S[[#This Row],[ROE]]-VLOOKUP(Main_S[[#This Row],[Industry]], Mean_ROE_S, 2, FALSE))/(VLOOKUP(Main_S[[#This Row],[Industry]], Mean_ROE_S, 3, FALSE))</f>
        <v>0.97554820914064766</v>
      </c>
      <c r="R188" s="1">
        <f>(Main_S[[#This Row],[ROA]]-VLOOKUP(Main_S[[#This Row],[Industry]], Mean_ROA_S, 2, FALSE))/(VLOOKUP(Main_S[[#This Row],[Industry]], Mean_ROA_S, 3, FALSE))</f>
        <v>-2.2767438969226612</v>
      </c>
      <c r="S188" s="1">
        <f>(Main_S[[#This Row],[A/E]]-VLOOKUP(Main_S[[#This Row],[Industry]], Mean_AE_S, 2, FALSE))/(VLOOKUP(Main_S[[#This Row],[Industry]], Mean_AE_S, 3, FALSE))</f>
        <v>278.54192258497841</v>
      </c>
      <c r="T188" s="1">
        <f>(Main_S[[#This Row],[P/E]]-VLOOKUP(Main_S[[#This Row],[Industry]], Mean_PE_S, 2, FALSE))/(VLOOKUP(Main_S[[#This Row],[Industry]], Mean_PE_S, 3, FALSE))</f>
        <v>-1.3372118951358232</v>
      </c>
      <c r="U1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9" spans="1:26" x14ac:dyDescent="0.25">
      <c r="A189" s="68" t="s">
        <v>173</v>
      </c>
      <c r="B189" s="68" t="s">
        <v>658</v>
      </c>
      <c r="C189" s="2">
        <v>1452</v>
      </c>
      <c r="D189">
        <f>RTD("tos.rtd", , "LAST", Main_S[[#This Row],[Symbol]])</f>
        <v>55.38</v>
      </c>
      <c r="E189">
        <v>3.25</v>
      </c>
      <c r="F189">
        <v>14.89</v>
      </c>
      <c r="G189">
        <v>3.01</v>
      </c>
      <c r="H189" s="1">
        <f>IF(ISNUMBER(Main_S[[#This Row],[Free CF]]),IF(Main_S[[#This Row],[Free CF]]&lt;&gt;0,Main_S[[#This Row],[Current Price]]/Main_S[[#This Row],[Free CF]],""),"")</f>
        <v>17.04</v>
      </c>
      <c r="I189" s="1">
        <f>IF(ISNUMBER(Main_S[[#This Row],[BVPS]]),IF(Main_S[[#This Row],[BVPS]]&lt;&gt;0,Main_S[[#This Row],[Current Price]]/Main_S[[#This Row],[BVPS]],""),"")</f>
        <v>3.7192746809939559</v>
      </c>
      <c r="J189">
        <v>21.74</v>
      </c>
      <c r="K189">
        <v>10.56</v>
      </c>
      <c r="L189">
        <v>2.0299999999999998</v>
      </c>
      <c r="M189" s="1">
        <f>IF(ISNUMBER(Main_S[[#This Row],[EPS]]),IF(Main_S[[#This Row],[EPS]]&lt;&gt;0,Main_S[[#This Row],[Current Price]]/Main_S[[#This Row],[EPS]],""),"")</f>
        <v>18.398671096345517</v>
      </c>
      <c r="N1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9" s="1">
        <f>(Main_S[[#This Row],[P/FCF]]-VLOOKUP(Main_S[[#This Row],[Industry]], Mean_PFCF_S, 2, FALSE))/(VLOOKUP(Main_S[[#This Row],[Industry]], Mean_PFCF_S, 3, FALSE))</f>
        <v>0.84688736461349745</v>
      </c>
      <c r="P189" s="1">
        <f>(Main_S[[#This Row],[P/B]]-VLOOKUP(Main_S[[#This Row],[Industry]], Mean_PB_S, 2, FALSE))/(VLOOKUP(Main_S[[#This Row],[Industry]], Mean_PB_S, 3, FALSE))</f>
        <v>2.0899058566520607</v>
      </c>
      <c r="Q189" s="1">
        <f>(Main_S[[#This Row],[ROE]]-VLOOKUP(Main_S[[#This Row],[Industry]], Mean_ROE_S, 2, FALSE))/(VLOOKUP(Main_S[[#This Row],[Industry]], Mean_ROE_S, 3, FALSE))</f>
        <v>1.688799647796273</v>
      </c>
      <c r="R189" s="1">
        <f>(Main_S[[#This Row],[ROA]]-VLOOKUP(Main_S[[#This Row],[Industry]], Mean_ROA_S, 2, FALSE))/(VLOOKUP(Main_S[[#This Row],[Industry]], Mean_ROA_S, 3, FALSE))</f>
        <v>2.2320284456745449</v>
      </c>
      <c r="S189" s="1">
        <f>(Main_S[[#This Row],[A/E]]-VLOOKUP(Main_S[[#This Row],[Industry]], Mean_AE_S, 2, FALSE))/(VLOOKUP(Main_S[[#This Row],[Industry]], Mean_AE_S, 3, FALSE))</f>
        <v>-0.30248715846097246</v>
      </c>
      <c r="T189" s="1">
        <f>(Main_S[[#This Row],[P/E]]-VLOOKUP(Main_S[[#This Row],[Industry]], Mean_PE_S, 2, FALSE))/(VLOOKUP(Main_S[[#This Row],[Industry]], Mean_PE_S, 3, FALSE))</f>
        <v>0.71059374742719261</v>
      </c>
      <c r="U1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0" spans="1:26" x14ac:dyDescent="0.25">
      <c r="A190" s="68" t="s">
        <v>173</v>
      </c>
      <c r="B190" s="68" t="s">
        <v>659</v>
      </c>
      <c r="C190" s="2">
        <v>373</v>
      </c>
      <c r="D190">
        <f>RTD("tos.rtd", , "LAST", Main_S[[#This Row],[Symbol]])</f>
        <v>39.75</v>
      </c>
      <c r="E190">
        <v>1.93</v>
      </c>
      <c r="F190">
        <v>10.51</v>
      </c>
      <c r="G190">
        <v>2.2799999999999998</v>
      </c>
      <c r="H190" s="1">
        <f>IF(ISNUMBER(Main_S[[#This Row],[Free CF]]),IF(Main_S[[#This Row],[Free CF]]&lt;&gt;0,Main_S[[#This Row],[Current Price]]/Main_S[[#This Row],[Free CF]],""),"")</f>
        <v>20.595854922279795</v>
      </c>
      <c r="I190" s="1">
        <f>IF(ISNUMBER(Main_S[[#This Row],[BVPS]]),IF(Main_S[[#This Row],[BVPS]]&lt;&gt;0,Main_S[[#This Row],[Current Price]]/Main_S[[#This Row],[BVPS]],""),"")</f>
        <v>3.7821122740247386</v>
      </c>
      <c r="J190">
        <v>22.87</v>
      </c>
      <c r="K190">
        <v>2.99</v>
      </c>
      <c r="L190">
        <v>1.45</v>
      </c>
      <c r="M190" s="1">
        <f>IF(ISNUMBER(Main_S[[#This Row],[EPS]]),IF(Main_S[[#This Row],[EPS]]&lt;&gt;0,Main_S[[#This Row],[Current Price]]/Main_S[[#This Row],[EPS]],""),"")</f>
        <v>17.434210526315791</v>
      </c>
      <c r="N1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0" s="1">
        <f>(Main_S[[#This Row],[P/FCF]]-VLOOKUP(Main_S[[#This Row],[Industry]], Mean_PFCF_S, 2, FALSE))/(VLOOKUP(Main_S[[#This Row],[Industry]], Mean_PFCF_S, 3, FALSE))</f>
        <v>1.1833237049573053</v>
      </c>
      <c r="P190" s="1">
        <f>(Main_S[[#This Row],[P/B]]-VLOOKUP(Main_S[[#This Row],[Industry]], Mean_PB_S, 2, FALSE))/(VLOOKUP(Main_S[[#This Row],[Industry]], Mean_PB_S, 3, FALSE))</f>
        <v>2.1483398925133175</v>
      </c>
      <c r="Q190" s="1">
        <f>(Main_S[[#This Row],[ROE]]-VLOOKUP(Main_S[[#This Row],[Industry]], Mean_ROE_S, 2, FALSE))/(VLOOKUP(Main_S[[#This Row],[Industry]], Mean_ROE_S, 3, FALSE))</f>
        <v>1.8647765311327049</v>
      </c>
      <c r="R190" s="1">
        <f>(Main_S[[#This Row],[ROA]]-VLOOKUP(Main_S[[#This Row],[Industry]], Mean_ROA_S, 2, FALSE))/(VLOOKUP(Main_S[[#This Row],[Industry]], Mean_ROA_S, 3, FALSE))</f>
        <v>-1.0881472968800125</v>
      </c>
      <c r="S190" s="1">
        <f>(Main_S[[#This Row],[A/E]]-VLOOKUP(Main_S[[#This Row],[Industry]], Mean_AE_S, 2, FALSE))/(VLOOKUP(Main_S[[#This Row],[Industry]], Mean_AE_S, 3, FALSE))</f>
        <v>-1.5629482109993156</v>
      </c>
      <c r="T190" s="1">
        <f>(Main_S[[#This Row],[P/E]]-VLOOKUP(Main_S[[#This Row],[Industry]], Mean_PE_S, 2, FALSE))/(VLOOKUP(Main_S[[#This Row],[Industry]], Mean_PE_S, 3, FALSE))</f>
        <v>0.60454362684862051</v>
      </c>
      <c r="U1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1" spans="1:26" x14ac:dyDescent="0.25">
      <c r="A191" s="68" t="s">
        <v>166</v>
      </c>
      <c r="B191" s="68" t="s">
        <v>594</v>
      </c>
      <c r="C191" s="2">
        <v>813</v>
      </c>
      <c r="D191">
        <f>RTD("tos.rtd", , "LAST", Main_S[[#This Row],[Symbol]])</f>
        <v>57.72</v>
      </c>
      <c r="E191">
        <v>29.96</v>
      </c>
      <c r="F191">
        <v>33.07</v>
      </c>
      <c r="G191">
        <v>4.7699999999999996</v>
      </c>
      <c r="H191" s="1">
        <f>IF(ISNUMBER(Main_S[[#This Row],[Free CF]]),IF(Main_S[[#This Row],[Free CF]]&lt;&gt;0,Main_S[[#This Row],[Current Price]]/Main_S[[#This Row],[Free CF]],""),"")</f>
        <v>1.9265687583444593</v>
      </c>
      <c r="I191" s="1">
        <f>IF(ISNUMBER(Main_S[[#This Row],[BVPS]]),IF(Main_S[[#This Row],[BVPS]]&lt;&gt;0,Main_S[[#This Row],[Current Price]]/Main_S[[#This Row],[BVPS]],""),"")</f>
        <v>1.7453885697006351</v>
      </c>
      <c r="J191">
        <v>19.8</v>
      </c>
      <c r="K191">
        <v>3.68</v>
      </c>
      <c r="L191">
        <v>6.64</v>
      </c>
      <c r="M191" s="1">
        <f>IF(ISNUMBER(Main_S[[#This Row],[EPS]]),IF(Main_S[[#This Row],[EPS]]&lt;&gt;0,Main_S[[#This Row],[Current Price]]/Main_S[[#This Row],[EPS]],""),"")</f>
        <v>12.10062893081761</v>
      </c>
      <c r="N1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1" s="1">
        <f>(Main_S[[#This Row],[P/FCF]]-VLOOKUP(Main_S[[#This Row],[Industry]], Mean_PFCF_S, 2, FALSE))/(VLOOKUP(Main_S[[#This Row],[Industry]], Mean_PFCF_S, 3, FALSE))</f>
        <v>-0.44953411423078338</v>
      </c>
      <c r="P191" s="1">
        <f>(Main_S[[#This Row],[P/B]]-VLOOKUP(Main_S[[#This Row],[Industry]], Mean_PB_S, 2, FALSE))/(VLOOKUP(Main_S[[#This Row],[Industry]], Mean_PB_S, 3, FALSE))</f>
        <v>1.1246325203316803</v>
      </c>
      <c r="Q191" s="1">
        <f>(Main_S[[#This Row],[ROE]]-VLOOKUP(Main_S[[#This Row],[Industry]], Mean_ROE_S, 2, FALSE))/(VLOOKUP(Main_S[[#This Row],[Industry]], Mean_ROE_S, 3, FALSE))</f>
        <v>0.30574235173990238</v>
      </c>
      <c r="R191" s="1">
        <f>(Main_S[[#This Row],[ROA]]-VLOOKUP(Main_S[[#This Row],[Industry]], Mean_ROA_S, 2, FALSE))/(VLOOKUP(Main_S[[#This Row],[Industry]], Mean_ROA_S, 3, FALSE))</f>
        <v>-0.49280468464247817</v>
      </c>
      <c r="S191" s="1">
        <f>(Main_S[[#This Row],[A/E]]-VLOOKUP(Main_S[[#This Row],[Industry]], Mean_AE_S, 2, FALSE))/(VLOOKUP(Main_S[[#This Row],[Industry]], Mean_AE_S, 3, FALSE))</f>
        <v>1.2897124261898647</v>
      </c>
      <c r="T191" s="1">
        <f>(Main_S[[#This Row],[P/E]]-VLOOKUP(Main_S[[#This Row],[Industry]], Mean_PE_S, 2, FALSE))/(VLOOKUP(Main_S[[#This Row],[Industry]], Mean_PE_S, 3, FALSE))</f>
        <v>-4.2642885255122158E-2</v>
      </c>
      <c r="U1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2" spans="1:26" x14ac:dyDescent="0.25">
      <c r="A192" s="68" t="s">
        <v>166</v>
      </c>
      <c r="B192" s="68" t="s">
        <v>595</v>
      </c>
      <c r="C192" s="2">
        <v>1438</v>
      </c>
      <c r="D192">
        <f>RTD("tos.rtd", , "LAST", Main_S[[#This Row],[Symbol]])</f>
        <v>181.76</v>
      </c>
      <c r="E192">
        <v>9.39</v>
      </c>
      <c r="F192">
        <v>14.07</v>
      </c>
      <c r="G192">
        <v>4.1900000000000004</v>
      </c>
      <c r="H192" s="1">
        <f>IF(ISNUMBER(Main_S[[#This Row],[Free CF]]),IF(Main_S[[#This Row],[Free CF]]&lt;&gt;0,Main_S[[#This Row],[Current Price]]/Main_S[[#This Row],[Free CF]],""),"")</f>
        <v>19.356762513312031</v>
      </c>
      <c r="I192" s="1">
        <f>IF(ISNUMBER(Main_S[[#This Row],[BVPS]]),IF(Main_S[[#This Row],[BVPS]]&lt;&gt;0,Main_S[[#This Row],[Current Price]]/Main_S[[#This Row],[BVPS]],""),"")</f>
        <v>12.918265813788201</v>
      </c>
      <c r="J192">
        <v>42.84</v>
      </c>
      <c r="K192">
        <v>7.29</v>
      </c>
      <c r="L192">
        <v>1.63</v>
      </c>
      <c r="M192" s="1">
        <f>IF(ISNUMBER(Main_S[[#This Row],[EPS]]),IF(Main_S[[#This Row],[EPS]]&lt;&gt;0,Main_S[[#This Row],[Current Price]]/Main_S[[#This Row],[EPS]],""),"")</f>
        <v>43.37947494033412</v>
      </c>
      <c r="N1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2" s="1">
        <f>(Main_S[[#This Row],[P/FCF]]-VLOOKUP(Main_S[[#This Row],[Industry]], Mean_PFCF_S, 2, FALSE))/(VLOOKUP(Main_S[[#This Row],[Industry]], Mean_PFCF_S, 3, FALSE))</f>
        <v>2.0064903934917808</v>
      </c>
      <c r="P192" s="1">
        <f>(Main_S[[#This Row],[P/B]]-VLOOKUP(Main_S[[#This Row],[Industry]], Mean_PB_S, 2, FALSE))/(VLOOKUP(Main_S[[#This Row],[Industry]], Mean_PB_S, 3, FALSE))</f>
        <v>20.259653263025104</v>
      </c>
      <c r="Q192" s="1">
        <f>(Main_S[[#This Row],[ROE]]-VLOOKUP(Main_S[[#This Row],[Industry]], Mean_ROE_S, 2, FALSE))/(VLOOKUP(Main_S[[#This Row],[Industry]], Mean_ROE_S, 3, FALSE))</f>
        <v>1.7820197776750797</v>
      </c>
      <c r="R192" s="1">
        <f>(Main_S[[#This Row],[ROA]]-VLOOKUP(Main_S[[#This Row],[Industry]], Mean_ROA_S, 2, FALSE))/(VLOOKUP(Main_S[[#This Row],[Industry]], Mean_ROA_S, 3, FALSE))</f>
        <v>0.1049225181802909</v>
      </c>
      <c r="S192" s="1">
        <f>(Main_S[[#This Row],[A/E]]-VLOOKUP(Main_S[[#This Row],[Industry]], Mean_AE_S, 2, FALSE))/(VLOOKUP(Main_S[[#This Row],[Industry]], Mean_AE_S, 3, FALSE))</f>
        <v>-0.83906290982933696</v>
      </c>
      <c r="T192" s="1">
        <f>(Main_S[[#This Row],[P/E]]-VLOOKUP(Main_S[[#This Row],[Industry]], Mean_PE_S, 2, FALSE))/(VLOOKUP(Main_S[[#This Row],[Industry]], Mean_PE_S, 3, FALSE))</f>
        <v>1.8185146487052894</v>
      </c>
      <c r="U1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3" spans="1:26" x14ac:dyDescent="0.25">
      <c r="A193" s="68" t="s">
        <v>166</v>
      </c>
      <c r="B193" s="68" t="s">
        <v>596</v>
      </c>
      <c r="C193" s="2">
        <v>772</v>
      </c>
      <c r="D193">
        <f>RTD("tos.rtd", , "LAST", Main_S[[#This Row],[Symbol]])</f>
        <v>40.32</v>
      </c>
      <c r="E193">
        <v>5.32</v>
      </c>
      <c r="F193">
        <v>32.39</v>
      </c>
      <c r="G193">
        <v>-5.83</v>
      </c>
      <c r="H193" s="1">
        <f>IF(ISNUMBER(Main_S[[#This Row],[Free CF]]),IF(Main_S[[#This Row],[Free CF]]&lt;&gt;0,Main_S[[#This Row],[Current Price]]/Main_S[[#This Row],[Free CF]],""),"")</f>
        <v>7.5789473684210522</v>
      </c>
      <c r="I193" s="1">
        <f>IF(ISNUMBER(Main_S[[#This Row],[BVPS]]),IF(Main_S[[#This Row],[BVPS]]&lt;&gt;0,Main_S[[#This Row],[Current Price]]/Main_S[[#This Row],[BVPS]],""),"")</f>
        <v>1.2448286508181536</v>
      </c>
      <c r="J193">
        <v>-16.34</v>
      </c>
      <c r="K193">
        <v>3.67</v>
      </c>
      <c r="L193">
        <v>6.24</v>
      </c>
      <c r="M193" s="1">
        <f>IF(ISNUMBER(Main_S[[#This Row],[EPS]]),IF(Main_S[[#This Row],[EPS]]&lt;&gt;0,Main_S[[#This Row],[Current Price]]/Main_S[[#This Row],[EPS]],""),"")</f>
        <v>-6.9159519725557459</v>
      </c>
      <c r="N1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3" s="1">
        <f>(Main_S[[#This Row],[P/FCF]]-VLOOKUP(Main_S[[#This Row],[Industry]], Mean_PFCF_S, 2, FALSE))/(VLOOKUP(Main_S[[#This Row],[Industry]], Mean_PFCF_S, 3, FALSE))</f>
        <v>0.34692177079450287</v>
      </c>
      <c r="P193" s="1">
        <f>(Main_S[[#This Row],[P/B]]-VLOOKUP(Main_S[[#This Row],[Industry]], Mean_PB_S, 2, FALSE))/(VLOOKUP(Main_S[[#This Row],[Industry]], Mean_PB_S, 3, FALSE))</f>
        <v>0.26735787016528734</v>
      </c>
      <c r="Q193" s="1">
        <f>(Main_S[[#This Row],[ROE]]-VLOOKUP(Main_S[[#This Row],[Industry]], Mean_ROE_S, 2, FALSE))/(VLOOKUP(Main_S[[#This Row],[Industry]], Mean_ROE_S, 3, FALSE))</f>
        <v>-2.0099115620316819</v>
      </c>
      <c r="R193" s="1">
        <f>(Main_S[[#This Row],[ROA]]-VLOOKUP(Main_S[[#This Row],[Industry]], Mean_ROA_S, 2, FALSE))/(VLOOKUP(Main_S[[#This Row],[Industry]], Mean_ROA_S, 3, FALSE))</f>
        <v>-0.49446043866691802</v>
      </c>
      <c r="S193" s="1">
        <f>(Main_S[[#This Row],[A/E]]-VLOOKUP(Main_S[[#This Row],[Industry]], Mean_AE_S, 2, FALSE))/(VLOOKUP(Main_S[[#This Row],[Industry]], Mean_AE_S, 3, FALSE))</f>
        <v>1.1197503235136812</v>
      </c>
      <c r="T193" s="1">
        <f>(Main_S[[#This Row],[P/E]]-VLOOKUP(Main_S[[#This Row],[Industry]], Mean_PE_S, 2, FALSE))/(VLOOKUP(Main_S[[#This Row],[Industry]], Mean_PE_S, 3, FALSE))</f>
        <v>-1.1741696943871733</v>
      </c>
      <c r="U1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4" spans="1:26" x14ac:dyDescent="0.25">
      <c r="A194" s="68" t="s">
        <v>166</v>
      </c>
      <c r="B194" s="68" t="s">
        <v>597</v>
      </c>
      <c r="C194" s="2">
        <v>896</v>
      </c>
      <c r="D194">
        <f>RTD("tos.rtd", , "LAST", Main_S[[#This Row],[Symbol]])</f>
        <v>14.17</v>
      </c>
      <c r="E194">
        <v>1.89</v>
      </c>
      <c r="F194">
        <v>15.48</v>
      </c>
      <c r="G194">
        <v>1.19</v>
      </c>
      <c r="H194" s="1">
        <f>IF(ISNUMBER(Main_S[[#This Row],[Free CF]]),IF(Main_S[[#This Row],[Free CF]]&lt;&gt;0,Main_S[[#This Row],[Current Price]]/Main_S[[#This Row],[Free CF]],""),"")</f>
        <v>7.4973544973544977</v>
      </c>
      <c r="I194" s="1">
        <f>IF(ISNUMBER(Main_S[[#This Row],[BVPS]]),IF(Main_S[[#This Row],[BVPS]]&lt;&gt;0,Main_S[[#This Row],[Current Price]]/Main_S[[#This Row],[BVPS]],""),"")</f>
        <v>0.9153746770025839</v>
      </c>
      <c r="J194">
        <v>10.84</v>
      </c>
      <c r="K194">
        <v>4.7</v>
      </c>
      <c r="L194">
        <v>2.15</v>
      </c>
      <c r="M194" s="1">
        <f>IF(ISNUMBER(Main_S[[#This Row],[EPS]]),IF(Main_S[[#This Row],[EPS]]&lt;&gt;0,Main_S[[#This Row],[Current Price]]/Main_S[[#This Row],[EPS]],""),"")</f>
        <v>11.907563025210084</v>
      </c>
      <c r="N1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4" s="1">
        <f>(Main_S[[#This Row],[P/FCF]]-VLOOKUP(Main_S[[#This Row],[Industry]], Mean_PFCF_S, 2, FALSE))/(VLOOKUP(Main_S[[#This Row],[Industry]], Mean_PFCF_S, 3, FALSE))</f>
        <v>0.33542481936573326</v>
      </c>
      <c r="P194" s="1">
        <f>(Main_S[[#This Row],[P/B]]-VLOOKUP(Main_S[[#This Row],[Industry]], Mean_PB_S, 2, FALSE))/(VLOOKUP(Main_S[[#This Row],[Industry]], Mean_PB_S, 3, FALSE))</f>
        <v>-0.29687536045216129</v>
      </c>
      <c r="Q194" s="1">
        <f>(Main_S[[#This Row],[ROE]]-VLOOKUP(Main_S[[#This Row],[Industry]], Mean_ROE_S, 2, FALSE))/(VLOOKUP(Main_S[[#This Row],[Industry]], Mean_ROE_S, 3, FALSE))</f>
        <v>-0.26836553612377767</v>
      </c>
      <c r="R194" s="1">
        <f>(Main_S[[#This Row],[ROA]]-VLOOKUP(Main_S[[#This Row],[Industry]], Mean_ROA_S, 2, FALSE))/(VLOOKUP(Main_S[[#This Row],[Industry]], Mean_ROA_S, 3, FALSE))</f>
        <v>-0.3239177741496182</v>
      </c>
      <c r="S194" s="1">
        <f>(Main_S[[#This Row],[A/E]]-VLOOKUP(Main_S[[#This Row],[Industry]], Mean_AE_S, 2, FALSE))/(VLOOKUP(Main_S[[#This Row],[Industry]], Mean_AE_S, 3, FALSE))</f>
        <v>-0.61811217635029803</v>
      </c>
      <c r="T194" s="1">
        <f>(Main_S[[#This Row],[P/E]]-VLOOKUP(Main_S[[#This Row],[Industry]], Mean_PE_S, 2, FALSE))/(VLOOKUP(Main_S[[#This Row],[Industry]], Mean_PE_S, 3, FALSE))</f>
        <v>-5.4130715230147834E-2</v>
      </c>
      <c r="U1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5" spans="1:26" x14ac:dyDescent="0.25">
      <c r="A195" s="68" t="s">
        <v>166</v>
      </c>
      <c r="B195" s="68" t="s">
        <v>598</v>
      </c>
      <c r="C195" s="2">
        <v>469</v>
      </c>
      <c r="D195">
        <f>RTD("tos.rtd", , "LAST", Main_S[[#This Row],[Symbol]])</f>
        <v>10.45</v>
      </c>
      <c r="E195">
        <v>0.13</v>
      </c>
      <c r="F195">
        <v>16.11</v>
      </c>
      <c r="G195">
        <v>-0.5</v>
      </c>
      <c r="H195" s="1">
        <f>IF(ISNUMBER(Main_S[[#This Row],[Free CF]]),IF(Main_S[[#This Row],[Free CF]]&lt;&gt;0,Main_S[[#This Row],[Current Price]]/Main_S[[#This Row],[Free CF]],""),"")</f>
        <v>80.384615384615373</v>
      </c>
      <c r="I195" s="1">
        <f>IF(ISNUMBER(Main_S[[#This Row],[BVPS]]),IF(Main_S[[#This Row],[BVPS]]&lt;&gt;0,Main_S[[#This Row],[Current Price]]/Main_S[[#This Row],[BVPS]],""),"")</f>
        <v>0.64866542520173798</v>
      </c>
      <c r="J195">
        <v>-3.08</v>
      </c>
      <c r="K195">
        <v>-0.52</v>
      </c>
      <c r="L195">
        <v>6.22</v>
      </c>
      <c r="M195" s="1">
        <f>IF(ISNUMBER(Main_S[[#This Row],[EPS]]),IF(Main_S[[#This Row],[EPS]]&lt;&gt;0,Main_S[[#This Row],[Current Price]]/Main_S[[#This Row],[EPS]],""),"")</f>
        <v>-20.9</v>
      </c>
      <c r="N1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5" s="1">
        <f>(Main_S[[#This Row],[P/FCF]]-VLOOKUP(Main_S[[#This Row],[Industry]], Mean_PFCF_S, 2, FALSE))/(VLOOKUP(Main_S[[#This Row],[Industry]], Mean_PFCF_S, 3, FALSE))</f>
        <v>10.605700730031536</v>
      </c>
      <c r="P195" s="1">
        <f>(Main_S[[#This Row],[P/B]]-VLOOKUP(Main_S[[#This Row],[Industry]], Mean_PB_S, 2, FALSE))/(VLOOKUP(Main_S[[#This Row],[Industry]], Mean_PB_S, 3, FALSE))</f>
        <v>-0.75365000801915938</v>
      </c>
      <c r="Q195" s="1">
        <f>(Main_S[[#This Row],[ROE]]-VLOOKUP(Main_S[[#This Row],[Industry]], Mean_ROE_S, 2, FALSE))/(VLOOKUP(Main_S[[#This Row],[Industry]], Mean_ROE_S, 3, FALSE))</f>
        <v>-1.1602831476262805</v>
      </c>
      <c r="R195" s="1">
        <f>(Main_S[[#This Row],[ROA]]-VLOOKUP(Main_S[[#This Row],[Industry]], Mean_ROA_S, 2, FALSE))/(VLOOKUP(Main_S[[#This Row],[Industry]], Mean_ROA_S, 3, FALSE))</f>
        <v>-1.1882213749071957</v>
      </c>
      <c r="S195" s="1">
        <f>(Main_S[[#This Row],[A/E]]-VLOOKUP(Main_S[[#This Row],[Industry]], Mean_AE_S, 2, FALSE))/(VLOOKUP(Main_S[[#This Row],[Industry]], Mean_AE_S, 3, FALSE))</f>
        <v>1.1112522183798716</v>
      </c>
      <c r="T195" s="1">
        <f>(Main_S[[#This Row],[P/E]]-VLOOKUP(Main_S[[#This Row],[Industry]], Mean_PE_S, 2, FALSE))/(VLOOKUP(Main_S[[#This Row],[Industry]], Mean_PE_S, 3, FALSE))</f>
        <v>-2.0062501468956704</v>
      </c>
      <c r="U1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6" spans="1:26" x14ac:dyDescent="0.25">
      <c r="A196" s="68" t="s">
        <v>166</v>
      </c>
      <c r="B196" s="68" t="s">
        <v>599</v>
      </c>
      <c r="C196" s="2">
        <v>669</v>
      </c>
      <c r="D196">
        <f>RTD("tos.rtd", , "LAST", Main_S[[#This Row],[Symbol]])</f>
        <v>13.35</v>
      </c>
      <c r="E196">
        <v>1.77</v>
      </c>
      <c r="F196">
        <v>8.0299999999999994</v>
      </c>
      <c r="G196">
        <v>2.72</v>
      </c>
      <c r="H196" s="1">
        <f>IF(ISNUMBER(Main_S[[#This Row],[Free CF]]),IF(Main_S[[#This Row],[Free CF]]&lt;&gt;0,Main_S[[#This Row],[Current Price]]/Main_S[[#This Row],[Free CF]],""),"")</f>
        <v>7.5423728813559316</v>
      </c>
      <c r="I196" s="1">
        <f>IF(ISNUMBER(Main_S[[#This Row],[BVPS]]),IF(Main_S[[#This Row],[BVPS]]&lt;&gt;0,Main_S[[#This Row],[Current Price]]/Main_S[[#This Row],[BVPS]],""),"")</f>
        <v>1.6625155666251556</v>
      </c>
      <c r="J196">
        <v>38.36</v>
      </c>
      <c r="K196">
        <v>14.11</v>
      </c>
      <c r="L196">
        <v>1.73</v>
      </c>
      <c r="M196" s="1">
        <f>IF(ISNUMBER(Main_S[[#This Row],[EPS]]),IF(Main_S[[#This Row],[EPS]]&lt;&gt;0,Main_S[[#This Row],[Current Price]]/Main_S[[#This Row],[EPS]],""),"")</f>
        <v>4.9080882352941169</v>
      </c>
      <c r="N1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6" s="1">
        <f>(Main_S[[#This Row],[P/FCF]]-VLOOKUP(Main_S[[#This Row],[Industry]], Mean_PFCF_S, 2, FALSE))/(VLOOKUP(Main_S[[#This Row],[Industry]], Mean_PFCF_S, 3, FALSE))</f>
        <v>0.3417681943138216</v>
      </c>
      <c r="P196" s="1">
        <f>(Main_S[[#This Row],[P/B]]-VLOOKUP(Main_S[[#This Row],[Industry]], Mean_PB_S, 2, FALSE))/(VLOOKUP(Main_S[[#This Row],[Industry]], Mean_PB_S, 3, FALSE))</f>
        <v>0.98270161048500204</v>
      </c>
      <c r="Q196" s="1">
        <f>(Main_S[[#This Row],[ROE]]-VLOOKUP(Main_S[[#This Row],[Industry]], Mean_ROE_S, 2, FALSE))/(VLOOKUP(Main_S[[#This Row],[Industry]], Mean_ROE_S, 3, FALSE))</f>
        <v>1.4949658337432394</v>
      </c>
      <c r="R196" s="1">
        <f>(Main_S[[#This Row],[ROA]]-VLOOKUP(Main_S[[#This Row],[Industry]], Mean_ROA_S, 2, FALSE))/(VLOOKUP(Main_S[[#This Row],[Industry]], Mean_ROA_S, 3, FALSE))</f>
        <v>1.2341467628482368</v>
      </c>
      <c r="S196" s="1">
        <f>(Main_S[[#This Row],[A/E]]-VLOOKUP(Main_S[[#This Row],[Industry]], Mean_AE_S, 2, FALSE))/(VLOOKUP(Main_S[[#This Row],[Industry]], Mean_AE_S, 3, FALSE))</f>
        <v>-0.79657238416029097</v>
      </c>
      <c r="T196" s="1">
        <f>(Main_S[[#This Row],[P/E]]-VLOOKUP(Main_S[[#This Row],[Industry]], Mean_PE_S, 2, FALSE))/(VLOOKUP(Main_S[[#This Row],[Industry]], Mean_PE_S, 3, FALSE))</f>
        <v>-0.47061427843623932</v>
      </c>
      <c r="U1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7" spans="1:26" x14ac:dyDescent="0.25">
      <c r="A197" s="68" t="s">
        <v>166</v>
      </c>
      <c r="B197" s="68" t="s">
        <v>600</v>
      </c>
      <c r="C197" s="2">
        <v>1174</v>
      </c>
      <c r="D197">
        <f>RTD("tos.rtd", , "LAST", Main_S[[#This Row],[Symbol]])</f>
        <v>11.4</v>
      </c>
      <c r="E197">
        <v>-19.399999999999999</v>
      </c>
      <c r="F197">
        <v>11.95</v>
      </c>
      <c r="G197">
        <v>0.44</v>
      </c>
      <c r="H197" s="1">
        <f>IF(ISNUMBER(Main_S[[#This Row],[Free CF]]),IF(Main_S[[#This Row],[Free CF]]&lt;&gt;0,Main_S[[#This Row],[Current Price]]/Main_S[[#This Row],[Free CF]],""),"")</f>
        <v>-0.58762886597938147</v>
      </c>
      <c r="I197" s="1">
        <f>IF(ISNUMBER(Main_S[[#This Row],[BVPS]]),IF(Main_S[[#This Row],[BVPS]]&lt;&gt;0,Main_S[[#This Row],[Current Price]]/Main_S[[#This Row],[BVPS]],""),"")</f>
        <v>0.95397489539748959</v>
      </c>
      <c r="J197">
        <v>3.86</v>
      </c>
      <c r="K197">
        <v>0.41</v>
      </c>
      <c r="L197">
        <v>7.68</v>
      </c>
      <c r="M197" s="1">
        <f>IF(ISNUMBER(Main_S[[#This Row],[EPS]]),IF(Main_S[[#This Row],[EPS]]&lt;&gt;0,Main_S[[#This Row],[Current Price]]/Main_S[[#This Row],[EPS]],""),"")</f>
        <v>25.90909090909091</v>
      </c>
      <c r="N1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7" s="1">
        <f>(Main_S[[#This Row],[P/FCF]]-VLOOKUP(Main_S[[#This Row],[Industry]], Mean_PFCF_S, 2, FALSE))/(VLOOKUP(Main_S[[#This Row],[Industry]], Mean_PFCF_S, 3, FALSE))</f>
        <v>-0.80380045626942864</v>
      </c>
      <c r="P197" s="1">
        <f>(Main_S[[#This Row],[P/B]]-VLOOKUP(Main_S[[#This Row],[Industry]], Mean_PB_S, 2, FALSE))/(VLOOKUP(Main_S[[#This Row],[Industry]], Mean_PB_S, 3, FALSE))</f>
        <v>-0.2307674131863954</v>
      </c>
      <c r="Q197" s="1">
        <f>(Main_S[[#This Row],[ROE]]-VLOOKUP(Main_S[[#This Row],[Industry]], Mean_ROE_S, 2, FALSE))/(VLOOKUP(Main_S[[#This Row],[Industry]], Mean_ROE_S, 3, FALSE))</f>
        <v>-0.71560583269615341</v>
      </c>
      <c r="R197" s="1">
        <f>(Main_S[[#This Row],[ROA]]-VLOOKUP(Main_S[[#This Row],[Industry]], Mean_ROA_S, 2, FALSE))/(VLOOKUP(Main_S[[#This Row],[Industry]], Mean_ROA_S, 3, FALSE))</f>
        <v>-1.0342362506342939</v>
      </c>
      <c r="S197" s="1">
        <f>(Main_S[[#This Row],[A/E]]-VLOOKUP(Main_S[[#This Row],[Industry]], Mean_AE_S, 2, FALSE))/(VLOOKUP(Main_S[[#This Row],[Industry]], Mean_AE_S, 3, FALSE))</f>
        <v>1.7316138931479426</v>
      </c>
      <c r="T197" s="1">
        <f>(Main_S[[#This Row],[P/E]]-VLOOKUP(Main_S[[#This Row],[Industry]], Mean_PE_S, 2, FALSE))/(VLOOKUP(Main_S[[#This Row],[Industry]], Mean_PE_S, 3, FALSE))</f>
        <v>0.77898982572948905</v>
      </c>
      <c r="U1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8" spans="1:26" x14ac:dyDescent="0.25">
      <c r="A198" s="68" t="s">
        <v>166</v>
      </c>
      <c r="B198" s="68" t="s">
        <v>601</v>
      </c>
      <c r="C198" s="2">
        <v>1366</v>
      </c>
      <c r="D198">
        <f>RTD("tos.rtd", , "LAST", Main_S[[#This Row],[Symbol]])</f>
        <v>8.7799999999999994</v>
      </c>
      <c r="E198">
        <v>0.69</v>
      </c>
      <c r="F198">
        <v>8.74</v>
      </c>
      <c r="G198">
        <v>0.89</v>
      </c>
      <c r="H198" s="1">
        <f>IF(ISNUMBER(Main_S[[#This Row],[Free CF]]),IF(Main_S[[#This Row],[Free CF]]&lt;&gt;0,Main_S[[#This Row],[Current Price]]/Main_S[[#This Row],[Free CF]],""),"")</f>
        <v>12.72463768115942</v>
      </c>
      <c r="I198" s="1">
        <f>IF(ISNUMBER(Main_S[[#This Row],[BVPS]]),IF(Main_S[[#This Row],[BVPS]]&lt;&gt;0,Main_S[[#This Row],[Current Price]]/Main_S[[#This Row],[BVPS]],""),"")</f>
        <v>1.0045766590389016</v>
      </c>
      <c r="J198">
        <v>10.76</v>
      </c>
      <c r="K198">
        <v>6.3</v>
      </c>
      <c r="L198">
        <v>2.0699999999999998</v>
      </c>
      <c r="M198" s="1">
        <f>IF(ISNUMBER(Main_S[[#This Row],[EPS]]),IF(Main_S[[#This Row],[EPS]]&lt;&gt;0,Main_S[[#This Row],[Current Price]]/Main_S[[#This Row],[EPS]],""),"")</f>
        <v>9.8651685393258415</v>
      </c>
      <c r="N1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8" s="1">
        <f>(Main_S[[#This Row],[P/FCF]]-VLOOKUP(Main_S[[#This Row],[Industry]], Mean_PFCF_S, 2, FALSE))/(VLOOKUP(Main_S[[#This Row],[Industry]], Mean_PFCF_S, 3, FALSE))</f>
        <v>1.0719820710355272</v>
      </c>
      <c r="P198" s="1">
        <f>(Main_S[[#This Row],[P/B]]-VLOOKUP(Main_S[[#This Row],[Industry]], Mean_PB_S, 2, FALSE))/(VLOOKUP(Main_S[[#This Row],[Industry]], Mean_PB_S, 3, FALSE))</f>
        <v>-0.14410524231114724</v>
      </c>
      <c r="Q198" s="1">
        <f>(Main_S[[#This Row],[ROE]]-VLOOKUP(Main_S[[#This Row],[Industry]], Mean_ROE_S, 2, FALSE))/(VLOOKUP(Main_S[[#This Row],[Industry]], Mean_ROE_S, 3, FALSE))</f>
        <v>-0.27349149940827483</v>
      </c>
      <c r="R198" s="1">
        <f>(Main_S[[#This Row],[ROA]]-VLOOKUP(Main_S[[#This Row],[Industry]], Mean_ROA_S, 2, FALSE))/(VLOOKUP(Main_S[[#This Row],[Industry]], Mean_ROA_S, 3, FALSE))</f>
        <v>-5.8997130239249684E-2</v>
      </c>
      <c r="S198" s="1">
        <f>(Main_S[[#This Row],[A/E]]-VLOOKUP(Main_S[[#This Row],[Industry]], Mean_AE_S, 2, FALSE))/(VLOOKUP(Main_S[[#This Row],[Industry]], Mean_AE_S, 3, FALSE))</f>
        <v>-0.6521045968855349</v>
      </c>
      <c r="T198" s="1">
        <f>(Main_S[[#This Row],[P/E]]-VLOOKUP(Main_S[[#This Row],[Industry]], Mean_PE_S, 2, FALSE))/(VLOOKUP(Main_S[[#This Row],[Industry]], Mean_PE_S, 3, FALSE))</f>
        <v>-0.17565750952320291</v>
      </c>
      <c r="U1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9" spans="1:26" x14ac:dyDescent="0.25">
      <c r="A199" s="68" t="s">
        <v>166</v>
      </c>
      <c r="B199" s="68" t="s">
        <v>602</v>
      </c>
      <c r="C199" s="2">
        <v>1273</v>
      </c>
      <c r="D199">
        <f>RTD("tos.rtd", , "LAST", Main_S[[#This Row],[Symbol]])</f>
        <v>13.78</v>
      </c>
      <c r="E199">
        <v>3.28</v>
      </c>
      <c r="F199">
        <v>25.55</v>
      </c>
      <c r="G199">
        <v>0.52</v>
      </c>
      <c r="H199" s="1">
        <f>IF(ISNUMBER(Main_S[[#This Row],[Free CF]]),IF(Main_S[[#This Row],[Free CF]]&lt;&gt;0,Main_S[[#This Row],[Current Price]]/Main_S[[#This Row],[Free CF]],""),"")</f>
        <v>4.2012195121951219</v>
      </c>
      <c r="I199" s="1">
        <f>IF(ISNUMBER(Main_S[[#This Row],[BVPS]]),IF(Main_S[[#This Row],[BVPS]]&lt;&gt;0,Main_S[[#This Row],[Current Price]]/Main_S[[#This Row],[BVPS]],""),"")</f>
        <v>0.53933463796477488</v>
      </c>
      <c r="J199">
        <v>2.09</v>
      </c>
      <c r="K199">
        <v>0.1</v>
      </c>
      <c r="L199">
        <v>19.68</v>
      </c>
      <c r="M199" s="1">
        <f>IF(ISNUMBER(Main_S[[#This Row],[EPS]]),IF(Main_S[[#This Row],[EPS]]&lt;&gt;0,Main_S[[#This Row],[Current Price]]/Main_S[[#This Row],[EPS]],""),"")</f>
        <v>26.499999999999996</v>
      </c>
      <c r="N1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9" s="1">
        <f>(Main_S[[#This Row],[P/FCF]]-VLOOKUP(Main_S[[#This Row],[Industry]], Mean_PFCF_S, 2, FALSE))/(VLOOKUP(Main_S[[#This Row],[Industry]], Mean_PFCF_S, 3, FALSE))</f>
        <v>-0.12902144084901659</v>
      </c>
      <c r="P199" s="1">
        <f>(Main_S[[#This Row],[P/B]]-VLOOKUP(Main_S[[#This Row],[Industry]], Mean_PB_S, 2, FALSE))/(VLOOKUP(Main_S[[#This Row],[Industry]], Mean_PB_S, 3, FALSE))</f>
        <v>-0.94089335061485058</v>
      </c>
      <c r="Q199" s="1">
        <f>(Main_S[[#This Row],[ROE]]-VLOOKUP(Main_S[[#This Row],[Industry]], Mean_ROE_S, 2, FALSE))/(VLOOKUP(Main_S[[#This Row],[Industry]], Mean_ROE_S, 3, FALSE))</f>
        <v>-0.82901777036565272</v>
      </c>
      <c r="R199" s="1">
        <f>(Main_S[[#This Row],[ROA]]-VLOOKUP(Main_S[[#This Row],[Industry]], Mean_ROA_S, 2, FALSE))/(VLOOKUP(Main_S[[#This Row],[Industry]], Mean_ROA_S, 3, FALSE))</f>
        <v>-1.085564625391928</v>
      </c>
      <c r="S199" s="1">
        <f>(Main_S[[#This Row],[A/E]]-VLOOKUP(Main_S[[#This Row],[Industry]], Mean_AE_S, 2, FALSE))/(VLOOKUP(Main_S[[#This Row],[Industry]], Mean_AE_S, 3, FALSE))</f>
        <v>6.8304769734334556</v>
      </c>
      <c r="T199" s="1">
        <f>(Main_S[[#This Row],[P/E]]-VLOOKUP(Main_S[[#This Row],[Industry]], Mean_PE_S, 2, FALSE))/(VLOOKUP(Main_S[[#This Row],[Industry]], Mean_PE_S, 3, FALSE))</f>
        <v>0.81415016719785849</v>
      </c>
      <c r="U1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0" spans="1:26" x14ac:dyDescent="0.25">
      <c r="A200" s="68" t="s">
        <v>166</v>
      </c>
      <c r="B200" s="68" t="s">
        <v>603</v>
      </c>
      <c r="C200" s="2">
        <v>813</v>
      </c>
      <c r="D200">
        <f>RTD("tos.rtd", , "LAST", Main_S[[#This Row],[Symbol]])</f>
        <v>11.61</v>
      </c>
      <c r="E200">
        <v>0.66</v>
      </c>
      <c r="F200">
        <v>4.91</v>
      </c>
      <c r="G200">
        <v>0.38</v>
      </c>
      <c r="H200" s="1">
        <f>IF(ISNUMBER(Main_S[[#This Row],[Free CF]]),IF(Main_S[[#This Row],[Free CF]]&lt;&gt;0,Main_S[[#This Row],[Current Price]]/Main_S[[#This Row],[Free CF]],""),"")</f>
        <v>17.59090909090909</v>
      </c>
      <c r="I200" s="1">
        <f>IF(ISNUMBER(Main_S[[#This Row],[BVPS]]),IF(Main_S[[#This Row],[BVPS]]&lt;&gt;0,Main_S[[#This Row],[Current Price]]/Main_S[[#This Row],[BVPS]],""),"")</f>
        <v>2.3645621181262726</v>
      </c>
      <c r="J200">
        <v>8.32</v>
      </c>
      <c r="K200">
        <v>2.89</v>
      </c>
      <c r="L200">
        <v>1.2</v>
      </c>
      <c r="M200" s="1">
        <f>IF(ISNUMBER(Main_S[[#This Row],[EPS]]),IF(Main_S[[#This Row],[EPS]]&lt;&gt;0,Main_S[[#This Row],[Current Price]]/Main_S[[#This Row],[EPS]],""),"")</f>
        <v>30.552631578947366</v>
      </c>
      <c r="N2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0" s="1">
        <f>(Main_S[[#This Row],[P/FCF]]-VLOOKUP(Main_S[[#This Row],[Industry]], Mean_PFCF_S, 2, FALSE))/(VLOOKUP(Main_S[[#This Row],[Industry]], Mean_PFCF_S, 3, FALSE))</f>
        <v>1.7576704811353068</v>
      </c>
      <c r="P200" s="1">
        <f>(Main_S[[#This Row],[P/B]]-VLOOKUP(Main_S[[#This Row],[Industry]], Mean_PB_S, 2, FALSE))/(VLOOKUP(Main_S[[#This Row],[Industry]], Mean_PB_S, 3, FALSE))</f>
        <v>2.1850486005961711</v>
      </c>
      <c r="Q200" s="1">
        <f>(Main_S[[#This Row],[ROE]]-VLOOKUP(Main_S[[#This Row],[Industry]], Mean_ROE_S, 2, FALSE))/(VLOOKUP(Main_S[[#This Row],[Industry]], Mean_ROE_S, 3, FALSE))</f>
        <v>-0.42983337958543766</v>
      </c>
      <c r="R200" s="1">
        <f>(Main_S[[#This Row],[ROA]]-VLOOKUP(Main_S[[#This Row],[Industry]], Mean_ROA_S, 2, FALSE))/(VLOOKUP(Main_S[[#This Row],[Industry]], Mean_ROA_S, 3, FALSE))</f>
        <v>-0.62360925257322264</v>
      </c>
      <c r="S200" s="1">
        <f>(Main_S[[#This Row],[A/E]]-VLOOKUP(Main_S[[#This Row],[Industry]], Mean_AE_S, 2, FALSE))/(VLOOKUP(Main_S[[#This Row],[Industry]], Mean_AE_S, 3, FALSE))</f>
        <v>-1.0217721702062343</v>
      </c>
      <c r="T200" s="1">
        <f>(Main_S[[#This Row],[P/E]]-VLOOKUP(Main_S[[#This Row],[Industry]], Mean_PE_S, 2, FALSE))/(VLOOKUP(Main_S[[#This Row],[Industry]], Mean_PE_S, 3, FALSE))</f>
        <v>1.055290322855422</v>
      </c>
      <c r="U2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1" spans="1:26" x14ac:dyDescent="0.25">
      <c r="A201" s="68" t="s">
        <v>166</v>
      </c>
      <c r="B201" s="68" t="s">
        <v>604</v>
      </c>
      <c r="C201" s="2">
        <v>263</v>
      </c>
      <c r="D201">
        <f>RTD("tos.rtd", , "LAST", Main_S[[#This Row],[Symbol]])</f>
        <v>12.43</v>
      </c>
      <c r="E201">
        <v>15.43</v>
      </c>
      <c r="F201">
        <v>1.49</v>
      </c>
      <c r="G201">
        <v>0.36</v>
      </c>
      <c r="H201" s="1">
        <f>IF(ISNUMBER(Main_S[[#This Row],[Free CF]]),IF(Main_S[[#This Row],[Free CF]]&lt;&gt;0,Main_S[[#This Row],[Current Price]]/Main_S[[#This Row],[Free CF]],""),"")</f>
        <v>0.80557355800388852</v>
      </c>
      <c r="I201" s="1">
        <f>IF(ISNUMBER(Main_S[[#This Row],[BVPS]]),IF(Main_S[[#This Row],[BVPS]]&lt;&gt;0,Main_S[[#This Row],[Current Price]]/Main_S[[#This Row],[BVPS]],""),"")</f>
        <v>8.3422818791946316</v>
      </c>
      <c r="J201">
        <v>39.15</v>
      </c>
      <c r="K201">
        <v>13.49</v>
      </c>
      <c r="L201">
        <v>19.559999999999999</v>
      </c>
      <c r="M201" s="1">
        <f>IF(ISNUMBER(Main_S[[#This Row],[EPS]]),IF(Main_S[[#This Row],[EPS]]&lt;&gt;0,Main_S[[#This Row],[Current Price]]/Main_S[[#This Row],[EPS]],""),"")</f>
        <v>34.527777777777779</v>
      </c>
      <c r="N2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1" s="1">
        <f>(Main_S[[#This Row],[P/FCF]]-VLOOKUP(Main_S[[#This Row],[Industry]], Mean_PFCF_S, 2, FALSE))/(VLOOKUP(Main_S[[#This Row],[Industry]], Mean_PFCF_S, 3, FALSE))</f>
        <v>-0.60748942578841614</v>
      </c>
      <c r="P201" s="1">
        <f>(Main_S[[#This Row],[P/B]]-VLOOKUP(Main_S[[#This Row],[Industry]], Mean_PB_S, 2, FALSE))/(VLOOKUP(Main_S[[#This Row],[Industry]], Mean_PB_S, 3, FALSE))</f>
        <v>12.422679348985602</v>
      </c>
      <c r="Q201" s="1">
        <f>(Main_S[[#This Row],[ROE]]-VLOOKUP(Main_S[[#This Row],[Industry]], Mean_ROE_S, 2, FALSE))/(VLOOKUP(Main_S[[#This Row],[Industry]], Mean_ROE_S, 3, FALSE))</f>
        <v>1.5455847211776486</v>
      </c>
      <c r="R201" s="1">
        <f>(Main_S[[#This Row],[ROA]]-VLOOKUP(Main_S[[#This Row],[Industry]], Mean_ROA_S, 2, FALSE))/(VLOOKUP(Main_S[[#This Row],[Industry]], Mean_ROA_S, 3, FALSE))</f>
        <v>1.1314900133329691</v>
      </c>
      <c r="S201" s="1">
        <f>(Main_S[[#This Row],[A/E]]-VLOOKUP(Main_S[[#This Row],[Industry]], Mean_AE_S, 2, FALSE))/(VLOOKUP(Main_S[[#This Row],[Industry]], Mean_AE_S, 3, FALSE))</f>
        <v>6.7794883426306001</v>
      </c>
      <c r="T201" s="1">
        <f>(Main_S[[#This Row],[P/E]]-VLOOKUP(Main_S[[#This Row],[Industry]], Mean_PE_S, 2, FALSE))/(VLOOKUP(Main_S[[#This Row],[Industry]], Mean_PE_S, 3, FALSE))</f>
        <v>1.2918199344113082</v>
      </c>
      <c r="U2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2" spans="1:26" x14ac:dyDescent="0.25">
      <c r="A202" s="68" t="s">
        <v>166</v>
      </c>
      <c r="B202" s="68" t="s">
        <v>605</v>
      </c>
      <c r="C202" s="2">
        <v>527</v>
      </c>
      <c r="D202">
        <f>RTD("tos.rtd", , "LAST", Main_S[[#This Row],[Symbol]])</f>
        <v>15.22</v>
      </c>
      <c r="E202">
        <v>-2.5</v>
      </c>
      <c r="F202">
        <v>30.75</v>
      </c>
      <c r="G202">
        <v>1.79</v>
      </c>
      <c r="H202" s="1">
        <f>IF(ISNUMBER(Main_S[[#This Row],[Free CF]]),IF(Main_S[[#This Row],[Free CF]]&lt;&gt;0,Main_S[[#This Row],[Current Price]]/Main_S[[#This Row],[Free CF]],""),"")</f>
        <v>-6.0880000000000001</v>
      </c>
      <c r="I202" s="1">
        <f>IF(ISNUMBER(Main_S[[#This Row],[BVPS]]),IF(Main_S[[#This Row],[BVPS]]&lt;&gt;0,Main_S[[#This Row],[Current Price]]/Main_S[[#This Row],[BVPS]],""),"")</f>
        <v>0.49495934959349597</v>
      </c>
      <c r="J202">
        <v>6.93</v>
      </c>
      <c r="K202">
        <v>4.5199999999999996</v>
      </c>
      <c r="L202">
        <v>4.22</v>
      </c>
      <c r="M202" s="1">
        <f>IF(ISNUMBER(Main_S[[#This Row],[EPS]]),IF(Main_S[[#This Row],[EPS]]&lt;&gt;0,Main_S[[#This Row],[Current Price]]/Main_S[[#This Row],[EPS]],""),"")</f>
        <v>8.5027932960893864</v>
      </c>
      <c r="N2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2" s="1">
        <f>(Main_S[[#This Row],[P/FCF]]-VLOOKUP(Main_S[[#This Row],[Industry]], Mean_PFCF_S, 2, FALSE))/(VLOOKUP(Main_S[[#This Row],[Industry]], Mean_PFCF_S, 3, FALSE))</f>
        <v>-1.5788375268053969</v>
      </c>
      <c r="P202" s="1">
        <f>(Main_S[[#This Row],[P/B]]-VLOOKUP(Main_S[[#This Row],[Industry]], Mean_PB_S, 2, FALSE))/(VLOOKUP(Main_S[[#This Row],[Industry]], Mean_PB_S, 3, FALSE))</f>
        <v>-1.0168918642382558</v>
      </c>
      <c r="Q202" s="1">
        <f>(Main_S[[#This Row],[ROE]]-VLOOKUP(Main_S[[#This Row],[Industry]], Mean_ROE_S, 2, FALSE))/(VLOOKUP(Main_S[[#This Row],[Industry]], Mean_ROE_S, 3, FALSE))</f>
        <v>-0.5188969916535755</v>
      </c>
      <c r="R202" s="1">
        <f>(Main_S[[#This Row],[ROA]]-VLOOKUP(Main_S[[#This Row],[Industry]], Mean_ROA_S, 2, FALSE))/(VLOOKUP(Main_S[[#This Row],[Industry]], Mean_ROA_S, 3, FALSE))</f>
        <v>-0.35372134658953475</v>
      </c>
      <c r="S202" s="1">
        <f>(Main_S[[#This Row],[A/E]]-VLOOKUP(Main_S[[#This Row],[Industry]], Mean_AE_S, 2, FALSE))/(VLOOKUP(Main_S[[#This Row],[Industry]], Mean_AE_S, 3, FALSE))</f>
        <v>0.26144170499895286</v>
      </c>
      <c r="T202" s="1">
        <f>(Main_S[[#This Row],[P/E]]-VLOOKUP(Main_S[[#This Row],[Industry]], Mean_PE_S, 2, FALSE))/(VLOOKUP(Main_S[[#This Row],[Industry]], Mean_PE_S, 3, FALSE))</f>
        <v>-0.25672171973285157</v>
      </c>
      <c r="U2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3" spans="1:26" x14ac:dyDescent="0.25">
      <c r="A203" s="68" t="s">
        <v>166</v>
      </c>
      <c r="B203" s="68" t="s">
        <v>606</v>
      </c>
      <c r="C203" s="2">
        <v>1082</v>
      </c>
      <c r="D203">
        <f>RTD("tos.rtd", , "LAST", Main_S[[#This Row],[Symbol]])</f>
        <v>28.79</v>
      </c>
      <c r="E203">
        <v>4.8899999999999997</v>
      </c>
      <c r="F203">
        <v>16.22</v>
      </c>
      <c r="G203">
        <v>4.9000000000000004</v>
      </c>
      <c r="H203" s="1">
        <f>IF(ISNUMBER(Main_S[[#This Row],[Free CF]]),IF(Main_S[[#This Row],[Free CF]]&lt;&gt;0,Main_S[[#This Row],[Current Price]]/Main_S[[#This Row],[Free CF]],""),"")</f>
        <v>5.887525562372188</v>
      </c>
      <c r="I203" s="1">
        <f>IF(ISNUMBER(Main_S[[#This Row],[BVPS]]),IF(Main_S[[#This Row],[BVPS]]&lt;&gt;0,Main_S[[#This Row],[Current Price]]/Main_S[[#This Row],[BVPS]],""),"")</f>
        <v>1.7749691738594329</v>
      </c>
      <c r="J203">
        <v>33.880000000000003</v>
      </c>
      <c r="K203">
        <v>17.04</v>
      </c>
      <c r="L203">
        <v>2.25</v>
      </c>
      <c r="M203" s="1">
        <f>IF(ISNUMBER(Main_S[[#This Row],[EPS]]),IF(Main_S[[#This Row],[EPS]]&lt;&gt;0,Main_S[[#This Row],[Current Price]]/Main_S[[#This Row],[EPS]],""),"")</f>
        <v>5.8755102040816318</v>
      </c>
      <c r="N2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3" s="1">
        <f>(Main_S[[#This Row],[P/FCF]]-VLOOKUP(Main_S[[#This Row],[Industry]], Mean_PFCF_S, 2, FALSE))/(VLOOKUP(Main_S[[#This Row],[Industry]], Mean_PFCF_S, 3, FALSE))</f>
        <v>0.10858974379862163</v>
      </c>
      <c r="P203" s="1">
        <f>(Main_S[[#This Row],[P/B]]-VLOOKUP(Main_S[[#This Row],[Industry]], Mean_PB_S, 2, FALSE))/(VLOOKUP(Main_S[[#This Row],[Industry]], Mean_PB_S, 3, FALSE))</f>
        <v>1.175293192761383</v>
      </c>
      <c r="Q203" s="1">
        <f>(Main_S[[#This Row],[ROE]]-VLOOKUP(Main_S[[#This Row],[Industry]], Mean_ROE_S, 2, FALSE))/(VLOOKUP(Main_S[[#This Row],[Industry]], Mean_ROE_S, 3, FALSE))</f>
        <v>1.2079118898113996</v>
      </c>
      <c r="R203" s="1">
        <f>(Main_S[[#This Row],[ROA]]-VLOOKUP(Main_S[[#This Row],[Industry]], Mean_ROA_S, 2, FALSE))/(VLOOKUP(Main_S[[#This Row],[Industry]], Mean_ROA_S, 3, FALSE))</f>
        <v>1.7192826920090991</v>
      </c>
      <c r="S203" s="1">
        <f>(Main_S[[#This Row],[A/E]]-VLOOKUP(Main_S[[#This Row],[Industry]], Mean_AE_S, 2, FALSE))/(VLOOKUP(Main_S[[#This Row],[Industry]], Mean_AE_S, 3, FALSE))</f>
        <v>-0.57562165068125215</v>
      </c>
      <c r="T203" s="1">
        <f>(Main_S[[#This Row],[P/E]]-VLOOKUP(Main_S[[#This Row],[Industry]], Mean_PE_S, 2, FALSE))/(VLOOKUP(Main_S[[#This Row],[Industry]], Mean_PE_S, 3, FALSE))</f>
        <v>-0.41305062390819525</v>
      </c>
      <c r="U2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4" spans="1:26" x14ac:dyDescent="0.25">
      <c r="A204" s="68" t="s">
        <v>166</v>
      </c>
      <c r="B204" s="68" t="s">
        <v>607</v>
      </c>
      <c r="C204" s="2">
        <v>484</v>
      </c>
      <c r="D204">
        <f>RTD("tos.rtd", , "LAST", Main_S[[#This Row],[Symbol]])</f>
        <v>2.99</v>
      </c>
      <c r="E204">
        <v>-0.32</v>
      </c>
      <c r="F204">
        <v>9.17</v>
      </c>
      <c r="G204">
        <v>7.0000000000000007E-2</v>
      </c>
      <c r="H204" s="1">
        <f>IF(ISNUMBER(Main_S[[#This Row],[Free CF]]),IF(Main_S[[#This Row],[Free CF]]&lt;&gt;0,Main_S[[#This Row],[Current Price]]/Main_S[[#This Row],[Free CF]],""),"")</f>
        <v>-9.34375</v>
      </c>
      <c r="I204" s="1">
        <f>IF(ISNUMBER(Main_S[[#This Row],[BVPS]]),IF(Main_S[[#This Row],[BVPS]]&lt;&gt;0,Main_S[[#This Row],[Current Price]]/Main_S[[#This Row],[BVPS]],""),"")</f>
        <v>0.32606324972737188</v>
      </c>
      <c r="J204">
        <v>0.8</v>
      </c>
      <c r="K204">
        <v>-1.62</v>
      </c>
      <c r="L204">
        <v>1.1000000000000001</v>
      </c>
      <c r="M204" s="1">
        <f>IF(ISNUMBER(Main_S[[#This Row],[EPS]]),IF(Main_S[[#This Row],[EPS]]&lt;&gt;0,Main_S[[#This Row],[Current Price]]/Main_S[[#This Row],[EPS]],""),"")</f>
        <v>42.714285714285715</v>
      </c>
      <c r="N2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4" s="1">
        <f>(Main_S[[#This Row],[P/FCF]]-VLOOKUP(Main_S[[#This Row],[Industry]], Mean_PFCF_S, 2, FALSE))/(VLOOKUP(Main_S[[#This Row],[Industry]], Mean_PFCF_S, 3, FALSE))</f>
        <v>-2.0375932872649636</v>
      </c>
      <c r="P204" s="1">
        <f>(Main_S[[#This Row],[P/B]]-VLOOKUP(Main_S[[#This Row],[Industry]], Mean_PB_S, 2, FALSE))/(VLOOKUP(Main_S[[#This Row],[Industry]], Mean_PB_S, 3, FALSE))</f>
        <v>-1.3061486334387333</v>
      </c>
      <c r="Q204" s="1">
        <f>(Main_S[[#This Row],[ROE]]-VLOOKUP(Main_S[[#This Row],[Industry]], Mean_ROE_S, 2, FALSE))/(VLOOKUP(Main_S[[#This Row],[Industry]], Mean_ROE_S, 3, FALSE))</f>
        <v>-0.91167392832816907</v>
      </c>
      <c r="R204" s="1">
        <f>(Main_S[[#This Row],[ROA]]-VLOOKUP(Main_S[[#This Row],[Industry]], Mean_ROA_S, 2, FALSE))/(VLOOKUP(Main_S[[#This Row],[Industry]], Mean_ROA_S, 3, FALSE))</f>
        <v>-1.3703543175955741</v>
      </c>
      <c r="S204" s="1">
        <f>(Main_S[[#This Row],[A/E]]-VLOOKUP(Main_S[[#This Row],[Industry]], Mean_AE_S, 2, FALSE))/(VLOOKUP(Main_S[[#This Row],[Industry]], Mean_AE_S, 3, FALSE))</f>
        <v>-1.0642626958752803</v>
      </c>
      <c r="T204" s="1">
        <f>(Main_S[[#This Row],[P/E]]-VLOOKUP(Main_S[[#This Row],[Industry]], Mean_PE_S, 2, FALSE))/(VLOOKUP(Main_S[[#This Row],[Industry]], Mean_PE_S, 3, FALSE))</f>
        <v>1.7789344819947714</v>
      </c>
      <c r="U2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5" spans="1:26" x14ac:dyDescent="0.25">
      <c r="A205" s="68" t="s">
        <v>166</v>
      </c>
      <c r="B205" s="68" t="s">
        <v>608</v>
      </c>
      <c r="C205" s="2">
        <v>285</v>
      </c>
      <c r="D205">
        <f>RTD("tos.rtd", , "LAST", Main_S[[#This Row],[Symbol]])</f>
        <v>29.98</v>
      </c>
      <c r="E205">
        <v>26.52</v>
      </c>
      <c r="F205">
        <v>35.479999999999997</v>
      </c>
      <c r="G205">
        <v>3.29</v>
      </c>
      <c r="H205" s="1">
        <f>IF(ISNUMBER(Main_S[[#This Row],[Free CF]]),IF(Main_S[[#This Row],[Free CF]]&lt;&gt;0,Main_S[[#This Row],[Current Price]]/Main_S[[#This Row],[Free CF]],""),"")</f>
        <v>1.1304675716440422</v>
      </c>
      <c r="I205" s="1">
        <f>IF(ISNUMBER(Main_S[[#This Row],[BVPS]]),IF(Main_S[[#This Row],[BVPS]]&lt;&gt;0,Main_S[[#This Row],[Current Price]]/Main_S[[#This Row],[BVPS]],""),"")</f>
        <v>0.84498308906426167</v>
      </c>
      <c r="J205">
        <v>9.51</v>
      </c>
      <c r="K205">
        <v>4.0999999999999996</v>
      </c>
      <c r="L205">
        <v>5.31</v>
      </c>
      <c r="M205" s="1">
        <f>IF(ISNUMBER(Main_S[[#This Row],[EPS]]),IF(Main_S[[#This Row],[EPS]]&lt;&gt;0,Main_S[[#This Row],[Current Price]]/Main_S[[#This Row],[EPS]],""),"")</f>
        <v>9.1124620060790278</v>
      </c>
      <c r="N2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5" s="1">
        <f>(Main_S[[#This Row],[P/FCF]]-VLOOKUP(Main_S[[#This Row],[Industry]], Mean_PFCF_S, 2, FALSE))/(VLOOKUP(Main_S[[#This Row],[Industry]], Mean_PFCF_S, 3, FALSE))</f>
        <v>-0.56170980502630308</v>
      </c>
      <c r="P205" s="1">
        <f>(Main_S[[#This Row],[P/B]]-VLOOKUP(Main_S[[#This Row],[Industry]], Mean_PB_S, 2, FALSE))/(VLOOKUP(Main_S[[#This Row],[Industry]], Mean_PB_S, 3, FALSE))</f>
        <v>-0.41743020643184814</v>
      </c>
      <c r="Q205" s="1">
        <f>(Main_S[[#This Row],[ROE]]-VLOOKUP(Main_S[[#This Row],[Industry]], Mean_ROE_S, 2, FALSE))/(VLOOKUP(Main_S[[#This Row],[Industry]], Mean_ROE_S, 3, FALSE))</f>
        <v>-0.35358467572854269</v>
      </c>
      <c r="R205" s="1">
        <f>(Main_S[[#This Row],[ROA]]-VLOOKUP(Main_S[[#This Row],[Industry]], Mean_ROA_S, 2, FALSE))/(VLOOKUP(Main_S[[#This Row],[Industry]], Mean_ROA_S, 3, FALSE))</f>
        <v>-0.42326301561600649</v>
      </c>
      <c r="S205" s="1">
        <f>(Main_S[[#This Row],[A/E]]-VLOOKUP(Main_S[[#This Row],[Industry]], Mean_AE_S, 2, FALSE))/(VLOOKUP(Main_S[[#This Row],[Industry]], Mean_AE_S, 3, FALSE))</f>
        <v>0.72458843479155355</v>
      </c>
      <c r="T205" s="1">
        <f>(Main_S[[#This Row],[P/E]]-VLOOKUP(Main_S[[#This Row],[Industry]], Mean_PE_S, 2, FALSE))/(VLOOKUP(Main_S[[#This Row],[Industry]], Mean_PE_S, 3, FALSE))</f>
        <v>-0.22044514122762413</v>
      </c>
      <c r="U2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6" spans="1:26" x14ac:dyDescent="0.25">
      <c r="A206" s="68" t="s">
        <v>166</v>
      </c>
      <c r="B206" s="68" t="s">
        <v>609</v>
      </c>
      <c r="C206" s="2">
        <v>508</v>
      </c>
      <c r="D206">
        <f>RTD("tos.rtd", , "LAST", Main_S[[#This Row],[Symbol]])</f>
        <v>40.32</v>
      </c>
      <c r="E206">
        <v>3.33</v>
      </c>
      <c r="F206">
        <v>7.67</v>
      </c>
      <c r="G206">
        <v>-4.13</v>
      </c>
      <c r="H206" s="1">
        <f>IF(ISNUMBER(Main_S[[#This Row],[Free CF]]),IF(Main_S[[#This Row],[Free CF]]&lt;&gt;0,Main_S[[#This Row],[Current Price]]/Main_S[[#This Row],[Free CF]],""),"")</f>
        <v>12.108108108108109</v>
      </c>
      <c r="I206" s="1">
        <f>IF(ISNUMBER(Main_S[[#This Row],[BVPS]]),IF(Main_S[[#This Row],[BVPS]]&lt;&gt;0,Main_S[[#This Row],[Current Price]]/Main_S[[#This Row],[BVPS]],""),"")</f>
        <v>5.256844850065189</v>
      </c>
      <c r="J206">
        <v>-46.84</v>
      </c>
      <c r="K206">
        <v>3.71</v>
      </c>
      <c r="L206">
        <v>7.49</v>
      </c>
      <c r="M206" s="1">
        <f>IF(ISNUMBER(Main_S[[#This Row],[EPS]]),IF(Main_S[[#This Row],[EPS]]&lt;&gt;0,Main_S[[#This Row],[Current Price]]/Main_S[[#This Row],[EPS]],""),"")</f>
        <v>-9.7627118644067803</v>
      </c>
      <c r="N2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6" s="1">
        <f>(Main_S[[#This Row],[P/FCF]]-VLOOKUP(Main_S[[#This Row],[Industry]], Mean_PFCF_S, 2, FALSE))/(VLOOKUP(Main_S[[#This Row],[Industry]], Mean_PFCF_S, 3, FALSE))</f>
        <v>0.98510915599875659</v>
      </c>
      <c r="P206" s="1">
        <f>(Main_S[[#This Row],[P/B]]-VLOOKUP(Main_S[[#This Row],[Industry]], Mean_PB_S, 2, FALSE))/(VLOOKUP(Main_S[[#This Row],[Industry]], Mean_PB_S, 3, FALSE))</f>
        <v>7.1384629145923171</v>
      </c>
      <c r="Q206" s="1">
        <f>(Main_S[[#This Row],[ROE]]-VLOOKUP(Main_S[[#This Row],[Industry]], Mean_ROE_S, 2, FALSE))/(VLOOKUP(Main_S[[#This Row],[Industry]], Mean_ROE_S, 3, FALSE))</f>
        <v>-3.9641850642462177</v>
      </c>
      <c r="R206" s="1">
        <f>(Main_S[[#This Row],[ROA]]-VLOOKUP(Main_S[[#This Row],[Industry]], Mean_ROA_S, 2, FALSE))/(VLOOKUP(Main_S[[#This Row],[Industry]], Mean_ROA_S, 3, FALSE))</f>
        <v>-0.4878374225691588</v>
      </c>
      <c r="S206" s="1">
        <f>(Main_S[[#This Row],[A/E]]-VLOOKUP(Main_S[[#This Row],[Industry]], Mean_AE_S, 2, FALSE))/(VLOOKUP(Main_S[[#This Row],[Industry]], Mean_AE_S, 3, FALSE))</f>
        <v>1.6508818943767554</v>
      </c>
      <c r="T206" s="1">
        <f>(Main_S[[#This Row],[P/E]]-VLOOKUP(Main_S[[#This Row],[Industry]], Mean_PE_S, 2, FALSE))/(VLOOKUP(Main_S[[#This Row],[Industry]], Mean_PE_S, 3, FALSE))</f>
        <v>-1.3435579326387665</v>
      </c>
      <c r="U2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7" spans="1:26" x14ac:dyDescent="0.25">
      <c r="A207" s="68" t="s">
        <v>166</v>
      </c>
      <c r="B207" s="68" t="s">
        <v>610</v>
      </c>
      <c r="C207" s="2">
        <v>711</v>
      </c>
      <c r="D207">
        <f>RTD("tos.rtd", , "LAST", Main_S[[#This Row],[Symbol]])</f>
        <v>149.52000000000001</v>
      </c>
      <c r="E207">
        <v>44.02</v>
      </c>
      <c r="F207">
        <v>84.52</v>
      </c>
      <c r="G207">
        <v>16.3</v>
      </c>
      <c r="H207" s="1">
        <f>IF(ISNUMBER(Main_S[[#This Row],[Free CF]]),IF(Main_S[[#This Row],[Free CF]]&lt;&gt;0,Main_S[[#This Row],[Current Price]]/Main_S[[#This Row],[Free CF]],""),"")</f>
        <v>3.396637891867333</v>
      </c>
      <c r="I207" s="1">
        <f>IF(ISNUMBER(Main_S[[#This Row],[BVPS]]),IF(Main_S[[#This Row],[BVPS]]&lt;&gt;0,Main_S[[#This Row],[Current Price]]/Main_S[[#This Row],[BVPS]],""),"")</f>
        <v>1.7690487458589685</v>
      </c>
      <c r="J207">
        <v>20.78</v>
      </c>
      <c r="K207">
        <v>9.3699999999999992</v>
      </c>
      <c r="L207">
        <v>2.29</v>
      </c>
      <c r="M207" s="1">
        <f>IF(ISNUMBER(Main_S[[#This Row],[EPS]]),IF(Main_S[[#This Row],[EPS]]&lt;&gt;0,Main_S[[#This Row],[Current Price]]/Main_S[[#This Row],[EPS]],""),"")</f>
        <v>9.1730061349693255</v>
      </c>
      <c r="N2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7" s="1">
        <f>(Main_S[[#This Row],[P/FCF]]-VLOOKUP(Main_S[[#This Row],[Industry]], Mean_PFCF_S, 2, FALSE))/(VLOOKUP(Main_S[[#This Row],[Industry]], Mean_PFCF_S, 3, FALSE))</f>
        <v>-0.24239207836272775</v>
      </c>
      <c r="P207" s="1">
        <f>(Main_S[[#This Row],[P/B]]-VLOOKUP(Main_S[[#This Row],[Industry]], Mean_PB_S, 2, FALSE))/(VLOOKUP(Main_S[[#This Row],[Industry]], Mean_PB_S, 3, FALSE))</f>
        <v>1.16515368168294</v>
      </c>
      <c r="Q207" s="1">
        <f>(Main_S[[#This Row],[ROE]]-VLOOKUP(Main_S[[#This Row],[Industry]], Mean_ROE_S, 2, FALSE))/(VLOOKUP(Main_S[[#This Row],[Industry]], Mean_ROE_S, 3, FALSE))</f>
        <v>0.3685354019749924</v>
      </c>
      <c r="R207" s="1">
        <f>(Main_S[[#This Row],[ROA]]-VLOOKUP(Main_S[[#This Row],[Industry]], Mean_ROA_S, 2, FALSE))/(VLOOKUP(Main_S[[#This Row],[Industry]], Mean_ROA_S, 3, FALSE))</f>
        <v>0.44931935526376993</v>
      </c>
      <c r="S207" s="1">
        <f>(Main_S[[#This Row],[A/E]]-VLOOKUP(Main_S[[#This Row],[Industry]], Mean_AE_S, 2, FALSE))/(VLOOKUP(Main_S[[#This Row],[Industry]], Mean_AE_S, 3, FALSE))</f>
        <v>-0.55862544041363371</v>
      </c>
      <c r="T207" s="1">
        <f>(Main_S[[#This Row],[P/E]]-VLOOKUP(Main_S[[#This Row],[Industry]], Mean_PE_S, 2, FALSE))/(VLOOKUP(Main_S[[#This Row],[Industry]], Mean_PE_S, 3, FALSE))</f>
        <v>-0.21684263742722928</v>
      </c>
      <c r="U2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8" spans="1:26" x14ac:dyDescent="0.25">
      <c r="A208" s="68" t="s">
        <v>166</v>
      </c>
      <c r="B208" s="68" t="s">
        <v>611</v>
      </c>
      <c r="C208" s="2">
        <v>542</v>
      </c>
      <c r="D208">
        <f>RTD("tos.rtd", , "LAST", Main_S[[#This Row],[Symbol]])</f>
        <v>14.92</v>
      </c>
      <c r="E208">
        <v>4.3</v>
      </c>
      <c r="F208">
        <v>22.8</v>
      </c>
      <c r="G208">
        <v>4.32</v>
      </c>
      <c r="H208" s="1">
        <f>IF(ISNUMBER(Main_S[[#This Row],[Free CF]]),IF(Main_S[[#This Row],[Free CF]]&lt;&gt;0,Main_S[[#This Row],[Current Price]]/Main_S[[#This Row],[Free CF]],""),"")</f>
        <v>3.4697674418604652</v>
      </c>
      <c r="I208" s="1">
        <f>IF(ISNUMBER(Main_S[[#This Row],[BVPS]]),IF(Main_S[[#This Row],[BVPS]]&lt;&gt;0,Main_S[[#This Row],[Current Price]]/Main_S[[#This Row],[BVPS]],""),"")</f>
        <v>0.65438596491228063</v>
      </c>
      <c r="J208">
        <v>24.06</v>
      </c>
      <c r="K208">
        <v>19.71</v>
      </c>
      <c r="L208">
        <v>1.7</v>
      </c>
      <c r="M208" s="1">
        <f>IF(ISNUMBER(Main_S[[#This Row],[EPS]]),IF(Main_S[[#This Row],[EPS]]&lt;&gt;0,Main_S[[#This Row],[Current Price]]/Main_S[[#This Row],[EPS]],""),"")</f>
        <v>3.4537037037037033</v>
      </c>
      <c r="N2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08" s="1">
        <f>(Main_S[[#This Row],[P/FCF]]-VLOOKUP(Main_S[[#This Row],[Industry]], Mean_PFCF_S, 2, FALSE))/(VLOOKUP(Main_S[[#This Row],[Industry]], Mean_PFCF_S, 3, FALSE))</f>
        <v>-0.23208766238509887</v>
      </c>
      <c r="P208" s="1">
        <f>(Main_S[[#This Row],[P/B]]-VLOOKUP(Main_S[[#This Row],[Industry]], Mean_PB_S, 2, FALSE))/(VLOOKUP(Main_S[[#This Row],[Industry]], Mean_PB_S, 3, FALSE))</f>
        <v>-0.74385283190872098</v>
      </c>
      <c r="Q208" s="1">
        <f>(Main_S[[#This Row],[ROE]]-VLOOKUP(Main_S[[#This Row],[Industry]], Mean_ROE_S, 2, FALSE))/(VLOOKUP(Main_S[[#This Row],[Industry]], Mean_ROE_S, 3, FALSE))</f>
        <v>0.57869989663937504</v>
      </c>
      <c r="R208" s="1">
        <f>(Main_S[[#This Row],[ROA]]-VLOOKUP(Main_S[[#This Row],[Industry]], Mean_ROA_S, 2, FALSE))/(VLOOKUP(Main_S[[#This Row],[Industry]], Mean_ROA_S, 3, FALSE))</f>
        <v>2.1613690165345272</v>
      </c>
      <c r="S208" s="1">
        <f>(Main_S[[#This Row],[A/E]]-VLOOKUP(Main_S[[#This Row],[Industry]], Mean_AE_S, 2, FALSE))/(VLOOKUP(Main_S[[#This Row],[Industry]], Mean_AE_S, 3, FALSE))</f>
        <v>-0.80931954186100485</v>
      </c>
      <c r="T208" s="1">
        <f>(Main_S[[#This Row],[P/E]]-VLOOKUP(Main_S[[#This Row],[Industry]], Mean_PE_S, 2, FALSE))/(VLOOKUP(Main_S[[#This Row],[Industry]], Mean_PE_S, 3, FALSE))</f>
        <v>-0.55715323602506572</v>
      </c>
      <c r="U2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9" spans="1:26" x14ac:dyDescent="0.25">
      <c r="A209" s="68" t="s">
        <v>166</v>
      </c>
      <c r="B209" s="68" t="s">
        <v>612</v>
      </c>
      <c r="C209" s="2">
        <v>542</v>
      </c>
      <c r="D209">
        <f>RTD("tos.rtd", , "LAST", Main_S[[#This Row],[Symbol]])</f>
        <v>6.51</v>
      </c>
      <c r="E209">
        <v>2.2400000000000002</v>
      </c>
      <c r="F209">
        <v>13.68</v>
      </c>
      <c r="G209">
        <v>2.48</v>
      </c>
      <c r="H209" s="1">
        <f>IF(ISNUMBER(Main_S[[#This Row],[Free CF]]),IF(Main_S[[#This Row],[Free CF]]&lt;&gt;0,Main_S[[#This Row],[Current Price]]/Main_S[[#This Row],[Free CF]],""),"")</f>
        <v>2.9062499999999996</v>
      </c>
      <c r="I209" s="1">
        <f>IF(ISNUMBER(Main_S[[#This Row],[BVPS]]),IF(Main_S[[#This Row],[BVPS]]&lt;&gt;0,Main_S[[#This Row],[Current Price]]/Main_S[[#This Row],[BVPS]],""),"")</f>
        <v>0.47587719298245612</v>
      </c>
      <c r="J209">
        <v>17.95</v>
      </c>
      <c r="K209">
        <v>13.52</v>
      </c>
      <c r="L209">
        <v>1.36</v>
      </c>
      <c r="M209" s="1">
        <f>IF(ISNUMBER(Main_S[[#This Row],[EPS]]),IF(Main_S[[#This Row],[EPS]]&lt;&gt;0,Main_S[[#This Row],[Current Price]]/Main_S[[#This Row],[EPS]],""),"")</f>
        <v>2.625</v>
      </c>
      <c r="N2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09" s="1">
        <f>(Main_S[[#This Row],[P/FCF]]-VLOOKUP(Main_S[[#This Row],[Industry]], Mean_PFCF_S, 2, FALSE))/(VLOOKUP(Main_S[[#This Row],[Industry]], Mean_PFCF_S, 3, FALSE))</f>
        <v>-0.31149083295191987</v>
      </c>
      <c r="P209" s="1">
        <f>(Main_S[[#This Row],[P/B]]-VLOOKUP(Main_S[[#This Row],[Industry]], Mean_PB_S, 2, FALSE))/(VLOOKUP(Main_S[[#This Row],[Industry]], Mean_PB_S, 3, FALSE))</f>
        <v>-1.0495725654211847</v>
      </c>
      <c r="Q209" s="1">
        <f>(Main_S[[#This Row],[ROE]]-VLOOKUP(Main_S[[#This Row],[Industry]], Mean_ROE_S, 2, FALSE))/(VLOOKUP(Main_S[[#This Row],[Industry]], Mean_ROE_S, 3, FALSE))</f>
        <v>0.18720445078590586</v>
      </c>
      <c r="R209" s="1">
        <f>(Main_S[[#This Row],[ROA]]-VLOOKUP(Main_S[[#This Row],[Industry]], Mean_ROA_S, 2, FALSE))/(VLOOKUP(Main_S[[#This Row],[Industry]], Mean_ROA_S, 3, FALSE))</f>
        <v>1.1364572754062885</v>
      </c>
      <c r="S209" s="1">
        <f>(Main_S[[#This Row],[A/E]]-VLOOKUP(Main_S[[#This Row],[Industry]], Mean_AE_S, 2, FALSE))/(VLOOKUP(Main_S[[#This Row],[Industry]], Mean_AE_S, 3, FALSE))</f>
        <v>-0.95378732913576081</v>
      </c>
      <c r="T209" s="1">
        <f>(Main_S[[#This Row],[P/E]]-VLOOKUP(Main_S[[#This Row],[Industry]], Mean_PE_S, 2, FALSE))/(VLOOKUP(Main_S[[#This Row],[Industry]], Mean_PE_S, 3, FALSE))</f>
        <v>-0.60646286020684625</v>
      </c>
      <c r="U2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0" spans="1:26" x14ac:dyDescent="0.25">
      <c r="A210" s="68" t="s">
        <v>150</v>
      </c>
      <c r="B210" s="68" t="s">
        <v>569</v>
      </c>
      <c r="C210" s="2">
        <v>533</v>
      </c>
      <c r="D210">
        <f>RTD("tos.rtd", , "LAST", Main_S[[#This Row],[Symbol]])</f>
        <v>22.32</v>
      </c>
      <c r="E210">
        <v>0.79</v>
      </c>
      <c r="F210">
        <v>20.27</v>
      </c>
      <c r="G210">
        <v>1.08</v>
      </c>
      <c r="H210" s="1">
        <f>IF(ISNUMBER(Main_S[[#This Row],[Free CF]]),IF(Main_S[[#This Row],[Free CF]]&lt;&gt;0,Main_S[[#This Row],[Current Price]]/Main_S[[#This Row],[Free CF]],""),"")</f>
        <v>28.253164556962023</v>
      </c>
      <c r="I210" s="1">
        <f>IF(ISNUMBER(Main_S[[#This Row],[BVPS]]),IF(Main_S[[#This Row],[BVPS]]&lt;&gt;0,Main_S[[#This Row],[Current Price]]/Main_S[[#This Row],[BVPS]],""),"")</f>
        <v>1.1011346817957572</v>
      </c>
      <c r="J210">
        <v>5.57</v>
      </c>
      <c r="K210">
        <v>0.51</v>
      </c>
      <c r="L210">
        <v>10.38</v>
      </c>
      <c r="M210" s="1">
        <f>IF(ISNUMBER(Main_S[[#This Row],[EPS]]),IF(Main_S[[#This Row],[EPS]]&lt;&gt;0,Main_S[[#This Row],[Current Price]]/Main_S[[#This Row],[EPS]],""),"")</f>
        <v>20.666666666666664</v>
      </c>
      <c r="N2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0" s="1">
        <f>(Main_S[[#This Row],[P/FCF]]-VLOOKUP(Main_S[[#This Row],[Industry]], Mean_PFCF_S, 2, FALSE))/(VLOOKUP(Main_S[[#This Row],[Industry]], Mean_PFCF_S, 3, FALSE))</f>
        <v>1.6788237295798616</v>
      </c>
      <c r="P210" s="1">
        <f>(Main_S[[#This Row],[P/B]]-VLOOKUP(Main_S[[#This Row],[Industry]], Mean_PB_S, 2, FALSE))/(VLOOKUP(Main_S[[#This Row],[Industry]], Mean_PB_S, 3, FALSE))</f>
        <v>-0.43474202112516808</v>
      </c>
      <c r="Q210" s="1">
        <f>(Main_S[[#This Row],[ROE]]-VLOOKUP(Main_S[[#This Row],[Industry]], Mean_ROE_S, 2, FALSE))/(VLOOKUP(Main_S[[#This Row],[Industry]], Mean_ROE_S, 3, FALSE))</f>
        <v>-9.4929135539332951E-2</v>
      </c>
      <c r="R210" s="1">
        <f>(Main_S[[#This Row],[ROA]]-VLOOKUP(Main_S[[#This Row],[Industry]], Mean_ROA_S, 2, FALSE))/(VLOOKUP(Main_S[[#This Row],[Industry]], Mean_ROA_S, 3, FALSE))</f>
        <v>-0.56325551086512837</v>
      </c>
      <c r="S210" s="1">
        <f>(Main_S[[#This Row],[A/E]]-VLOOKUP(Main_S[[#This Row],[Industry]], Mean_AE_S, 2, FALSE))/(VLOOKUP(Main_S[[#This Row],[Industry]], Mean_AE_S, 3, FALSE))</f>
        <v>1.4396578141409553</v>
      </c>
      <c r="T210" s="1">
        <f>(Main_S[[#This Row],[P/E]]-VLOOKUP(Main_S[[#This Row],[Industry]], Mean_PE_S, 2, FALSE))/(VLOOKUP(Main_S[[#This Row],[Industry]], Mean_PE_S, 3, FALSE))</f>
        <v>0.30952230912552359</v>
      </c>
      <c r="U2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1" spans="1:26" x14ac:dyDescent="0.25">
      <c r="A211" s="68" t="s">
        <v>150</v>
      </c>
      <c r="B211" s="68" t="s">
        <v>570</v>
      </c>
      <c r="C211" s="2">
        <v>270</v>
      </c>
      <c r="D211">
        <f>RTD("tos.rtd", , "LAST", Main_S[[#This Row],[Symbol]])</f>
        <v>11.57</v>
      </c>
      <c r="E211">
        <v>-6.15</v>
      </c>
      <c r="F211">
        <v>10.52</v>
      </c>
      <c r="G211">
        <v>1.96</v>
      </c>
      <c r="H211" s="1">
        <f>IF(ISNUMBER(Main_S[[#This Row],[Free CF]]),IF(Main_S[[#This Row],[Free CF]]&lt;&gt;0,Main_S[[#This Row],[Current Price]]/Main_S[[#This Row],[Free CF]],""),"")</f>
        <v>-1.8813008130081301</v>
      </c>
      <c r="I211" s="1">
        <f>IF(ISNUMBER(Main_S[[#This Row],[BVPS]]),IF(Main_S[[#This Row],[BVPS]]&lt;&gt;0,Main_S[[#This Row],[Current Price]]/Main_S[[#This Row],[BVPS]],""),"")</f>
        <v>1.099809885931559</v>
      </c>
      <c r="J211">
        <v>18.649999999999999</v>
      </c>
      <c r="K211">
        <v>5.86</v>
      </c>
      <c r="L211">
        <v>7.45</v>
      </c>
      <c r="M211" s="1">
        <f>IF(ISNUMBER(Main_S[[#This Row],[EPS]]),IF(Main_S[[#This Row],[EPS]]&lt;&gt;0,Main_S[[#This Row],[Current Price]]/Main_S[[#This Row],[EPS]],""),"")</f>
        <v>5.9030612244897958</v>
      </c>
      <c r="N2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1" s="1">
        <f>(Main_S[[#This Row],[P/FCF]]-VLOOKUP(Main_S[[#This Row],[Industry]], Mean_PFCF_S, 2, FALSE))/(VLOOKUP(Main_S[[#This Row],[Industry]], Mean_PFCF_S, 3, FALSE))</f>
        <v>-0.54684668675874981</v>
      </c>
      <c r="P211" s="1">
        <f>(Main_S[[#This Row],[P/B]]-VLOOKUP(Main_S[[#This Row],[Industry]], Mean_PB_S, 2, FALSE))/(VLOOKUP(Main_S[[#This Row],[Industry]], Mean_PB_S, 3, FALSE))</f>
        <v>-0.43613694351850524</v>
      </c>
      <c r="Q211" s="1">
        <f>(Main_S[[#This Row],[ROE]]-VLOOKUP(Main_S[[#This Row],[Industry]], Mean_ROE_S, 2, FALSE))/(VLOOKUP(Main_S[[#This Row],[Industry]], Mean_ROE_S, 3, FALSE))</f>
        <v>1.5464100486701515</v>
      </c>
      <c r="R211" s="1">
        <f>(Main_S[[#This Row],[ROA]]-VLOOKUP(Main_S[[#This Row],[Industry]], Mean_ROA_S, 2, FALSE))/(VLOOKUP(Main_S[[#This Row],[Industry]], Mean_ROA_S, 3, FALSE))</f>
        <v>1.6433217133295246</v>
      </c>
      <c r="S211" s="1">
        <f>(Main_S[[#This Row],[A/E]]-VLOOKUP(Main_S[[#This Row],[Industry]], Mean_AE_S, 2, FALSE))/(VLOOKUP(Main_S[[#This Row],[Industry]], Mean_AE_S, 3, FALSE))</f>
        <v>0.6075020841285268</v>
      </c>
      <c r="T211" s="1">
        <f>(Main_S[[#This Row],[P/E]]-VLOOKUP(Main_S[[#This Row],[Industry]], Mean_PE_S, 2, FALSE))/(VLOOKUP(Main_S[[#This Row],[Industry]], Mean_PE_S, 3, FALSE))</f>
        <v>-0.4421897220866991</v>
      </c>
      <c r="U2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2" spans="1:26" x14ac:dyDescent="0.25">
      <c r="A212" s="68" t="s">
        <v>150</v>
      </c>
      <c r="B212" s="68" t="s">
        <v>571</v>
      </c>
      <c r="C212" s="2">
        <v>1126</v>
      </c>
      <c r="D212">
        <f>RTD("tos.rtd", , "LAST", Main_S[[#This Row],[Symbol]])</f>
        <v>17.8</v>
      </c>
      <c r="E212">
        <v>-1.51</v>
      </c>
      <c r="F212">
        <v>29.25</v>
      </c>
      <c r="G212">
        <v>-4.7300000000000004</v>
      </c>
      <c r="H212" s="1">
        <f>IF(ISNUMBER(Main_S[[#This Row],[Free CF]]),IF(Main_S[[#This Row],[Free CF]]&lt;&gt;0,Main_S[[#This Row],[Current Price]]/Main_S[[#This Row],[Free CF]],""),"")</f>
        <v>-11.788079470198676</v>
      </c>
      <c r="I212" s="1">
        <f>IF(ISNUMBER(Main_S[[#This Row],[BVPS]]),IF(Main_S[[#This Row],[BVPS]]&lt;&gt;0,Main_S[[#This Row],[Current Price]]/Main_S[[#This Row],[BVPS]],""),"")</f>
        <v>0.60854700854700861</v>
      </c>
      <c r="J212">
        <v>-15.04</v>
      </c>
      <c r="K212">
        <v>-2.35</v>
      </c>
      <c r="L212">
        <v>1.21</v>
      </c>
      <c r="M212" s="1">
        <f>IF(ISNUMBER(Main_S[[#This Row],[EPS]]),IF(Main_S[[#This Row],[EPS]]&lt;&gt;0,Main_S[[#This Row],[Current Price]]/Main_S[[#This Row],[EPS]],""),"")</f>
        <v>-3.7632135306553911</v>
      </c>
      <c r="N2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2" s="1">
        <f>(Main_S[[#This Row],[P/FCF]]-VLOOKUP(Main_S[[#This Row],[Industry]], Mean_PFCF_S, 2, FALSE))/(VLOOKUP(Main_S[[#This Row],[Industry]], Mean_PFCF_S, 3, FALSE))</f>
        <v>-1.2785412400822818</v>
      </c>
      <c r="P212" s="1">
        <f>(Main_S[[#This Row],[P/B]]-VLOOKUP(Main_S[[#This Row],[Industry]], Mean_PB_S, 2, FALSE))/(VLOOKUP(Main_S[[#This Row],[Industry]], Mean_PB_S, 3, FALSE))</f>
        <v>-0.95340425027728026</v>
      </c>
      <c r="Q212" s="1">
        <f>(Main_S[[#This Row],[ROE]]-VLOOKUP(Main_S[[#This Row],[Industry]], Mean_ROE_S, 2, FALSE))/(VLOOKUP(Main_S[[#This Row],[Industry]], Mean_ROE_S, 3, FALSE))</f>
        <v>-2.6811677124932682</v>
      </c>
      <c r="R212" s="1">
        <f>(Main_S[[#This Row],[ROA]]-VLOOKUP(Main_S[[#This Row],[Industry]], Mean_ROA_S, 2, FALSE))/(VLOOKUP(Main_S[[#This Row],[Industry]], Mean_ROA_S, 3, FALSE))</f>
        <v>-1.742846326042083</v>
      </c>
      <c r="S212" s="1">
        <f>(Main_S[[#This Row],[A/E]]-VLOOKUP(Main_S[[#This Row],[Industry]], Mean_AE_S, 2, FALSE))/(VLOOKUP(Main_S[[#This Row],[Industry]], Mean_AE_S, 3, FALSE))</f>
        <v>-1.1647340098228565</v>
      </c>
      <c r="T212" s="1">
        <f>(Main_S[[#This Row],[P/E]]-VLOOKUP(Main_S[[#This Row],[Industry]], Mean_PE_S, 2, FALSE))/(VLOOKUP(Main_S[[#This Row],[Industry]], Mean_PE_S, 3, FALSE))</f>
        <v>-0.93436319955496583</v>
      </c>
      <c r="U2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3" spans="1:26" x14ac:dyDescent="0.25">
      <c r="A213" s="68" t="s">
        <v>150</v>
      </c>
      <c r="B213" s="68" t="s">
        <v>572</v>
      </c>
      <c r="C213" s="2">
        <v>1298</v>
      </c>
      <c r="D213">
        <f>RTD("tos.rtd", , "LAST", Main_S[[#This Row],[Symbol]])</f>
        <v>7.66</v>
      </c>
      <c r="E213">
        <v>-1.99</v>
      </c>
      <c r="F213">
        <v>11.67</v>
      </c>
      <c r="G213">
        <v>-1.25</v>
      </c>
      <c r="H213" s="1">
        <f>IF(ISNUMBER(Main_S[[#This Row],[Free CF]]),IF(Main_S[[#This Row],[Free CF]]&lt;&gt;0,Main_S[[#This Row],[Current Price]]/Main_S[[#This Row],[Free CF]],""),"")</f>
        <v>-3.8492462311557789</v>
      </c>
      <c r="I213" s="1">
        <f>IF(ISNUMBER(Main_S[[#This Row],[BVPS]]),IF(Main_S[[#This Row],[BVPS]]&lt;&gt;0,Main_S[[#This Row],[Current Price]]/Main_S[[#This Row],[BVPS]],""),"")</f>
        <v>0.65638389031705224</v>
      </c>
      <c r="J213">
        <v>2.74</v>
      </c>
      <c r="K213">
        <v>4.12</v>
      </c>
      <c r="L213">
        <v>4.62</v>
      </c>
      <c r="M213" s="1">
        <f>IF(ISNUMBER(Main_S[[#This Row],[EPS]]),IF(Main_S[[#This Row],[EPS]]&lt;&gt;0,Main_S[[#This Row],[Current Price]]/Main_S[[#This Row],[EPS]],""),"")</f>
        <v>-6.1280000000000001</v>
      </c>
      <c r="N2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3" s="1">
        <f>(Main_S[[#This Row],[P/FCF]]-VLOOKUP(Main_S[[#This Row],[Industry]], Mean_PFCF_S, 2, FALSE))/(VLOOKUP(Main_S[[#This Row],[Industry]], Mean_PFCF_S, 3, FALSE))</f>
        <v>-0.69219513891695961</v>
      </c>
      <c r="P213" s="1">
        <f>(Main_S[[#This Row],[P/B]]-VLOOKUP(Main_S[[#This Row],[Industry]], Mean_PB_S, 2, FALSE))/(VLOOKUP(Main_S[[#This Row],[Industry]], Mean_PB_S, 3, FALSE))</f>
        <v>-0.90303517877595663</v>
      </c>
      <c r="Q213" s="1">
        <f>(Main_S[[#This Row],[ROE]]-VLOOKUP(Main_S[[#This Row],[Industry]], Mean_ROE_S, 2, FALSE))/(VLOOKUP(Main_S[[#This Row],[Industry]], Mean_ROE_S, 3, FALSE))</f>
        <v>-0.45005068686294464</v>
      </c>
      <c r="R213" s="1">
        <f>(Main_S[[#This Row],[ROA]]-VLOOKUP(Main_S[[#This Row],[Industry]], Mean_ROA_S, 2, FALSE))/(VLOOKUP(Main_S[[#This Row],[Industry]], Mean_ROA_S, 3, FALSE))</f>
        <v>0.9256685600400486</v>
      </c>
      <c r="S213" s="1">
        <f>(Main_S[[#This Row],[A/E]]-VLOOKUP(Main_S[[#This Row],[Industry]], Mean_AE_S, 2, FALSE))/(VLOOKUP(Main_S[[#This Row],[Industry]], Mean_AE_S, 3, FALSE))</f>
        <v>-0.1962524264295524</v>
      </c>
      <c r="T213" s="1">
        <f>(Main_S[[#This Row],[P/E]]-VLOOKUP(Main_S[[#This Row],[Industry]], Mean_PE_S, 2, FALSE))/(VLOOKUP(Main_S[[#This Row],[Industry]], Mean_PE_S, 3, FALSE))</f>
        <v>-1.0547699963375348</v>
      </c>
      <c r="U2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4" spans="1:26" x14ac:dyDescent="0.25">
      <c r="A214" s="68" t="s">
        <v>150</v>
      </c>
      <c r="B214" s="68" t="s">
        <v>573</v>
      </c>
      <c r="C214" s="2">
        <v>295</v>
      </c>
      <c r="D214">
        <f>RTD("tos.rtd", , "LAST", Main_S[[#This Row],[Symbol]])</f>
        <v>3.88</v>
      </c>
      <c r="E214">
        <v>-1.1299999999999999</v>
      </c>
      <c r="F214">
        <v>5.36</v>
      </c>
      <c r="G214">
        <v>-0.36</v>
      </c>
      <c r="H214" s="1">
        <f>IF(ISNUMBER(Main_S[[#This Row],[Free CF]]),IF(Main_S[[#This Row],[Free CF]]&lt;&gt;0,Main_S[[#This Row],[Current Price]]/Main_S[[#This Row],[Free CF]],""),"")</f>
        <v>-3.4336283185840708</v>
      </c>
      <c r="I214" s="1">
        <f>IF(ISNUMBER(Main_S[[#This Row],[BVPS]]),IF(Main_S[[#This Row],[BVPS]]&lt;&gt;0,Main_S[[#This Row],[Current Price]]/Main_S[[#This Row],[BVPS]],""),"")</f>
        <v>0.72388059701492535</v>
      </c>
      <c r="J214">
        <v>-6.08</v>
      </c>
      <c r="K214">
        <v>-2.64</v>
      </c>
      <c r="L214">
        <v>1.47</v>
      </c>
      <c r="M214" s="1">
        <f>IF(ISNUMBER(Main_S[[#This Row],[EPS]]),IF(Main_S[[#This Row],[EPS]]&lt;&gt;0,Main_S[[#This Row],[Current Price]]/Main_S[[#This Row],[EPS]],""),"")</f>
        <v>-10.777777777777779</v>
      </c>
      <c r="N2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4" s="1">
        <f>(Main_S[[#This Row],[P/FCF]]-VLOOKUP(Main_S[[#This Row],[Industry]], Mean_PFCF_S, 2, FALSE))/(VLOOKUP(Main_S[[#This Row],[Industry]], Mean_PFCF_S, 3, FALSE))</f>
        <v>-0.66149844391492796</v>
      </c>
      <c r="P214" s="1">
        <f>(Main_S[[#This Row],[P/B]]-VLOOKUP(Main_S[[#This Row],[Industry]], Mean_PB_S, 2, FALSE))/(VLOOKUP(Main_S[[#This Row],[Industry]], Mean_PB_S, 3, FALSE))</f>
        <v>-0.83196561236667566</v>
      </c>
      <c r="Q214" s="1">
        <f>(Main_S[[#This Row],[ROE]]-VLOOKUP(Main_S[[#This Row],[Industry]], Mean_ROE_S, 2, FALSE))/(VLOOKUP(Main_S[[#This Row],[Industry]], Mean_ROE_S, 3, FALSE))</f>
        <v>-1.5568252743803495</v>
      </c>
      <c r="R214" s="1">
        <f>(Main_S[[#This Row],[ROA]]-VLOOKUP(Main_S[[#This Row],[Industry]], Mean_ROA_S, 2, FALSE))/(VLOOKUP(Main_S[[#This Row],[Industry]], Mean_ROA_S, 3, FALSE))</f>
        <v>-1.8624551849236624</v>
      </c>
      <c r="S214" s="1">
        <f>(Main_S[[#This Row],[A/E]]-VLOOKUP(Main_S[[#This Row],[Industry]], Mean_AE_S, 2, FALSE))/(VLOOKUP(Main_S[[#This Row],[Industry]], Mean_AE_S, 3, FALSE))</f>
        <v>-1.0908908392415488</v>
      </c>
      <c r="T214" s="1">
        <f>(Main_S[[#This Row],[P/E]]-VLOOKUP(Main_S[[#This Row],[Industry]], Mean_PE_S, 2, FALSE))/(VLOOKUP(Main_S[[#This Row],[Industry]], Mean_PE_S, 3, FALSE))</f>
        <v>-1.2915206946482187</v>
      </c>
      <c r="U2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5" spans="1:26" x14ac:dyDescent="0.25">
      <c r="A215" s="68" t="s">
        <v>150</v>
      </c>
      <c r="B215" s="68" t="s">
        <v>574</v>
      </c>
      <c r="C215" s="2">
        <v>1466</v>
      </c>
      <c r="D215">
        <f>RTD("tos.rtd", , "LAST", Main_S[[#This Row],[Symbol]])</f>
        <v>40.909999999999997</v>
      </c>
      <c r="E215">
        <v>-30.8</v>
      </c>
      <c r="F215">
        <v>36.35</v>
      </c>
      <c r="G215">
        <v>5.6</v>
      </c>
      <c r="H215" s="1">
        <f>IF(ISNUMBER(Main_S[[#This Row],[Free CF]]),IF(Main_S[[#This Row],[Free CF]]&lt;&gt;0,Main_S[[#This Row],[Current Price]]/Main_S[[#This Row],[Free CF]],""),"")</f>
        <v>-1.328246753246753</v>
      </c>
      <c r="I215" s="1">
        <f>IF(ISNUMBER(Main_S[[#This Row],[BVPS]]),IF(Main_S[[#This Row],[BVPS]]&lt;&gt;0,Main_S[[#This Row],[Current Price]]/Main_S[[#This Row],[BVPS]],""),"")</f>
        <v>1.1254470426409902</v>
      </c>
      <c r="J215">
        <v>16.2</v>
      </c>
      <c r="K215">
        <v>1.82</v>
      </c>
      <c r="L215">
        <v>8.8699999999999992</v>
      </c>
      <c r="M215" s="1">
        <f>IF(ISNUMBER(Main_S[[#This Row],[EPS]]),IF(Main_S[[#This Row],[EPS]]&lt;&gt;0,Main_S[[#This Row],[Current Price]]/Main_S[[#This Row],[EPS]],""),"")</f>
        <v>7.3053571428571429</v>
      </c>
      <c r="N2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5" s="1">
        <f>(Main_S[[#This Row],[P/FCF]]-VLOOKUP(Main_S[[#This Row],[Industry]], Mean_PFCF_S, 2, FALSE))/(VLOOKUP(Main_S[[#This Row],[Industry]], Mean_PFCF_S, 3, FALSE))</f>
        <v>-0.50599923702521288</v>
      </c>
      <c r="P215" s="1">
        <f>(Main_S[[#This Row],[P/B]]-VLOOKUP(Main_S[[#This Row],[Industry]], Mean_PB_S, 2, FALSE))/(VLOOKUP(Main_S[[#This Row],[Industry]], Mean_PB_S, 3, FALSE))</f>
        <v>-0.40914271371909089</v>
      </c>
      <c r="Q215" s="1">
        <f>(Main_S[[#This Row],[ROE]]-VLOOKUP(Main_S[[#This Row],[Industry]], Mean_ROE_S, 2, FALSE))/(VLOOKUP(Main_S[[#This Row],[Industry]], Mean_ROE_S, 3, FALSE))</f>
        <v>1.2389726632486502</v>
      </c>
      <c r="R215" s="1">
        <f>(Main_S[[#This Row],[ROA]]-VLOOKUP(Main_S[[#This Row],[Industry]], Mean_ROA_S, 2, FALSE))/(VLOOKUP(Main_S[[#This Row],[Industry]], Mean_ROA_S, 3, FALSE))</f>
        <v>-2.2953424193166587E-2</v>
      </c>
      <c r="S215" s="1">
        <f>(Main_S[[#This Row],[A/E]]-VLOOKUP(Main_S[[#This Row],[Industry]], Mean_AE_S, 2, FALSE))/(VLOOKUP(Main_S[[#This Row],[Industry]], Mean_AE_S, 3, FALSE))</f>
        <v>1.0107994003802836</v>
      </c>
      <c r="T215" s="1">
        <f>(Main_S[[#This Row],[P/E]]-VLOOKUP(Main_S[[#This Row],[Industry]], Mean_PE_S, 2, FALSE))/(VLOOKUP(Main_S[[#This Row],[Industry]], Mean_PE_S, 3, FALSE))</f>
        <v>-0.37078963507644236</v>
      </c>
      <c r="U2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6" spans="1:26" x14ac:dyDescent="0.25">
      <c r="A216" s="68" t="s">
        <v>150</v>
      </c>
      <c r="B216" s="68" t="s">
        <v>575</v>
      </c>
      <c r="C216" s="2">
        <v>1901</v>
      </c>
      <c r="D216">
        <f>RTD("tos.rtd", , "LAST", Main_S[[#This Row],[Symbol]])</f>
        <v>193.88</v>
      </c>
      <c r="E216">
        <v>53.54</v>
      </c>
      <c r="F216">
        <v>98.97</v>
      </c>
      <c r="G216">
        <v>16.440000000000001</v>
      </c>
      <c r="H216" s="1">
        <f>IF(ISNUMBER(Main_S[[#This Row],[Free CF]]),IF(Main_S[[#This Row],[Free CF]]&lt;&gt;0,Main_S[[#This Row],[Current Price]]/Main_S[[#This Row],[Free CF]],""),"")</f>
        <v>3.6212177810982444</v>
      </c>
      <c r="I216" s="1">
        <f>IF(ISNUMBER(Main_S[[#This Row],[BVPS]]),IF(Main_S[[#This Row],[BVPS]]&lt;&gt;0,Main_S[[#This Row],[Current Price]]/Main_S[[#This Row],[BVPS]],""),"")</f>
        <v>1.9589774679195715</v>
      </c>
      <c r="J216">
        <v>14.28</v>
      </c>
      <c r="K216">
        <v>0.68</v>
      </c>
      <c r="L216">
        <v>29.06</v>
      </c>
      <c r="M216" s="1">
        <f>IF(ISNUMBER(Main_S[[#This Row],[EPS]]),IF(Main_S[[#This Row],[EPS]]&lt;&gt;0,Main_S[[#This Row],[Current Price]]/Main_S[[#This Row],[EPS]],""),"")</f>
        <v>11.793187347931871</v>
      </c>
      <c r="N2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6" s="1">
        <f>(Main_S[[#This Row],[P/FCF]]-VLOOKUP(Main_S[[#This Row],[Industry]], Mean_PFCF_S, 2, FALSE))/(VLOOKUP(Main_S[[#This Row],[Industry]], Mean_PFCF_S, 3, FALSE))</f>
        <v>-0.14044183769645444</v>
      </c>
      <c r="P216" s="1">
        <f>(Main_S[[#This Row],[P/B]]-VLOOKUP(Main_S[[#This Row],[Industry]], Mean_PB_S, 2, FALSE))/(VLOOKUP(Main_S[[#This Row],[Industry]], Mean_PB_S, 3, FALSE))</f>
        <v>0.46850967573236474</v>
      </c>
      <c r="Q216" s="1">
        <f>(Main_S[[#This Row],[ROE]]-VLOOKUP(Main_S[[#This Row],[Industry]], Mean_ROE_S, 2, FALSE))/(VLOOKUP(Main_S[[#This Row],[Industry]], Mean_ROE_S, 3, FALSE))</f>
        <v>0.99804214079588172</v>
      </c>
      <c r="R216" s="1">
        <f>(Main_S[[#This Row],[ROA]]-VLOOKUP(Main_S[[#This Row],[Industry]], Mean_ROA_S, 2, FALSE))/(VLOOKUP(Main_S[[#This Row],[Industry]], Mean_ROA_S, 3, FALSE))</f>
        <v>-0.49313997290006467</v>
      </c>
      <c r="S216" s="1">
        <f>(Main_S[[#This Row],[A/E]]-VLOOKUP(Main_S[[#This Row],[Industry]], Mean_AE_S, 2, FALSE))/(VLOOKUP(Main_S[[#This Row],[Industry]], Mean_AE_S, 3, FALSE))</f>
        <v>6.7450056082133649</v>
      </c>
      <c r="T216" s="1">
        <f>(Main_S[[#This Row],[P/E]]-VLOOKUP(Main_S[[#This Row],[Industry]], Mean_PE_S, 2, FALSE))/(VLOOKUP(Main_S[[#This Row],[Industry]], Mean_PE_S, 3, FALSE))</f>
        <v>-0.14228475038515484</v>
      </c>
      <c r="U2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7" spans="1:26" x14ac:dyDescent="0.25">
      <c r="A217" s="68" t="s">
        <v>150</v>
      </c>
      <c r="B217" s="68" t="s">
        <v>576</v>
      </c>
      <c r="C217" s="2">
        <v>265</v>
      </c>
      <c r="D217">
        <f>RTD("tos.rtd", , "LAST", Main_S[[#This Row],[Symbol]])</f>
        <v>11.51</v>
      </c>
      <c r="E217">
        <v>0.78</v>
      </c>
      <c r="F217">
        <v>13.15</v>
      </c>
      <c r="G217">
        <v>0.76</v>
      </c>
      <c r="H217" s="1">
        <f>IF(ISNUMBER(Main_S[[#This Row],[Free CF]]),IF(Main_S[[#This Row],[Free CF]]&lt;&gt;0,Main_S[[#This Row],[Current Price]]/Main_S[[#This Row],[Free CF]],""),"")</f>
        <v>14.756410256410255</v>
      </c>
      <c r="I217" s="1">
        <f>IF(ISNUMBER(Main_S[[#This Row],[BVPS]]),IF(Main_S[[#This Row],[BVPS]]&lt;&gt;0,Main_S[[#This Row],[Current Price]]/Main_S[[#This Row],[BVPS]],""),"")</f>
        <v>0.87528517110266157</v>
      </c>
      <c r="J217">
        <v>5.23</v>
      </c>
      <c r="K217">
        <v>1.38</v>
      </c>
      <c r="L217">
        <v>5.16</v>
      </c>
      <c r="M217" s="1">
        <f>IF(ISNUMBER(Main_S[[#This Row],[EPS]]),IF(Main_S[[#This Row],[EPS]]&lt;&gt;0,Main_S[[#This Row],[Current Price]]/Main_S[[#This Row],[EPS]],""),"")</f>
        <v>15.144736842105262</v>
      </c>
      <c r="N2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7" s="1">
        <f>(Main_S[[#This Row],[P/FCF]]-VLOOKUP(Main_S[[#This Row],[Industry]], Mean_PFCF_S, 2, FALSE))/(VLOOKUP(Main_S[[#This Row],[Industry]], Mean_PFCF_S, 3, FALSE))</f>
        <v>0.68198086561904836</v>
      </c>
      <c r="P217" s="1">
        <f>(Main_S[[#This Row],[P/B]]-VLOOKUP(Main_S[[#This Row],[Industry]], Mean_PB_S, 2, FALSE))/(VLOOKUP(Main_S[[#This Row],[Industry]], Mean_PB_S, 3, FALSE))</f>
        <v>-0.67254661314109787</v>
      </c>
      <c r="Q217" s="1">
        <f>(Main_S[[#This Row],[ROE]]-VLOOKUP(Main_S[[#This Row],[Industry]], Mean_ROE_S, 2, FALSE))/(VLOOKUP(Main_S[[#This Row],[Industry]], Mean_ROE_S, 3, FALSE))</f>
        <v>-0.13759391555701067</v>
      </c>
      <c r="R217" s="1">
        <f>(Main_S[[#This Row],[ROA]]-VLOOKUP(Main_S[[#This Row],[Industry]], Mean_ROA_S, 2, FALSE))/(VLOOKUP(Main_S[[#This Row],[Industry]], Mean_ROA_S, 3, FALSE))</f>
        <v>-0.20442893422039046</v>
      </c>
      <c r="S217" s="1">
        <f>(Main_S[[#This Row],[A/E]]-VLOOKUP(Main_S[[#This Row],[Industry]], Mean_AE_S, 2, FALSE))/(VLOOKUP(Main_S[[#This Row],[Industry]], Mean_AE_S, 3, FALSE))</f>
        <v>-4.2885841376067317E-2</v>
      </c>
      <c r="T217" s="1">
        <f>(Main_S[[#This Row],[P/E]]-VLOOKUP(Main_S[[#This Row],[Industry]], Mean_PE_S, 2, FALSE))/(VLOOKUP(Main_S[[#This Row],[Industry]], Mean_PE_S, 3, FALSE))</f>
        <v>2.8364627088447922E-2</v>
      </c>
      <c r="U2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8" spans="1:26" x14ac:dyDescent="0.25">
      <c r="A218" s="68" t="s">
        <v>150</v>
      </c>
      <c r="B218" s="68" t="s">
        <v>577</v>
      </c>
      <c r="C218" s="2">
        <v>774</v>
      </c>
      <c r="D218">
        <f>RTD("tos.rtd", , "LAST", Main_S[[#This Row],[Symbol]])</f>
        <v>12.8</v>
      </c>
      <c r="E218">
        <v>-10.9</v>
      </c>
      <c r="F218">
        <v>20.239999999999998</v>
      </c>
      <c r="G218">
        <v>1.56</v>
      </c>
      <c r="H218" s="1">
        <f>IF(ISNUMBER(Main_S[[#This Row],[Free CF]]),IF(Main_S[[#This Row],[Free CF]]&lt;&gt;0,Main_S[[#This Row],[Current Price]]/Main_S[[#This Row],[Free CF]],""),"")</f>
        <v>-1.1743119266055047</v>
      </c>
      <c r="I218" s="1">
        <f>IF(ISNUMBER(Main_S[[#This Row],[BVPS]]),IF(Main_S[[#This Row],[BVPS]]&lt;&gt;0,Main_S[[#This Row],[Current Price]]/Main_S[[#This Row],[BVPS]],""),"")</f>
        <v>0.63241106719367601</v>
      </c>
      <c r="J218">
        <v>7.95</v>
      </c>
      <c r="K218">
        <v>3.52</v>
      </c>
      <c r="L218">
        <v>3.8</v>
      </c>
      <c r="M218" s="1">
        <f>IF(ISNUMBER(Main_S[[#This Row],[EPS]]),IF(Main_S[[#This Row],[EPS]]&lt;&gt;0,Main_S[[#This Row],[Current Price]]/Main_S[[#This Row],[EPS]],""),"")</f>
        <v>8.2051282051282062</v>
      </c>
      <c r="N2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8" s="1">
        <f>(Main_S[[#This Row],[P/FCF]]-VLOOKUP(Main_S[[#This Row],[Industry]], Mean_PFCF_S, 2, FALSE))/(VLOOKUP(Main_S[[#This Row],[Industry]], Mean_PFCF_S, 3, FALSE))</f>
        <v>-0.49462992333428346</v>
      </c>
      <c r="P218" s="1">
        <f>(Main_S[[#This Row],[P/B]]-VLOOKUP(Main_S[[#This Row],[Industry]], Mean_PB_S, 2, FALSE))/(VLOOKUP(Main_S[[#This Row],[Industry]], Mean_PB_S, 3, FALSE))</f>
        <v>-0.92827697542554666</v>
      </c>
      <c r="Q218" s="1">
        <f>(Main_S[[#This Row],[ROE]]-VLOOKUP(Main_S[[#This Row],[Industry]], Mean_ROE_S, 2, FALSE))/(VLOOKUP(Main_S[[#This Row],[Industry]], Mean_ROE_S, 3, FALSE))</f>
        <v>0.20372432458441117</v>
      </c>
      <c r="R218" s="1">
        <f>(Main_S[[#This Row],[ROA]]-VLOOKUP(Main_S[[#This Row],[Industry]], Mean_ROA_S, 2, FALSE))/(VLOOKUP(Main_S[[#This Row],[Industry]], Mean_ROA_S, 3, FALSE))</f>
        <v>0.67820195545747075</v>
      </c>
      <c r="S218" s="1">
        <f>(Main_S[[#This Row],[A/E]]-VLOOKUP(Main_S[[#This Row],[Industry]], Mean_AE_S, 2, FALSE))/(VLOOKUP(Main_S[[#This Row],[Industry]], Mean_AE_S, 3, FALSE))</f>
        <v>-0.42914242595521501</v>
      </c>
      <c r="T218" s="1">
        <f>(Main_S[[#This Row],[P/E]]-VLOOKUP(Main_S[[#This Row],[Industry]], Mean_PE_S, 2, FALSE))/(VLOOKUP(Main_S[[#This Row],[Industry]], Mean_PE_S, 3, FALSE))</f>
        <v>-0.3249763860367802</v>
      </c>
      <c r="U2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9" spans="1:26" x14ac:dyDescent="0.25">
      <c r="A219" s="68" t="s">
        <v>150</v>
      </c>
      <c r="B219" s="68" t="s">
        <v>578</v>
      </c>
      <c r="C219" s="2">
        <v>1379</v>
      </c>
      <c r="D219">
        <f>RTD("tos.rtd", , "LAST", Main_S[[#This Row],[Symbol]])</f>
        <v>32.92</v>
      </c>
      <c r="E219">
        <v>-19.809999999999999</v>
      </c>
      <c r="F219">
        <v>35.08</v>
      </c>
      <c r="G219">
        <v>5.44</v>
      </c>
      <c r="H219" s="1">
        <f>IF(ISNUMBER(Main_S[[#This Row],[Free CF]]),IF(Main_S[[#This Row],[Free CF]]&lt;&gt;0,Main_S[[#This Row],[Current Price]]/Main_S[[#This Row],[Free CF]],""),"")</f>
        <v>-1.6617869762746089</v>
      </c>
      <c r="I219" s="1">
        <f>IF(ISNUMBER(Main_S[[#This Row],[BVPS]]),IF(Main_S[[#This Row],[BVPS]]&lt;&gt;0,Main_S[[#This Row],[Current Price]]/Main_S[[#This Row],[BVPS]],""),"")</f>
        <v>0.93842645381984047</v>
      </c>
      <c r="J219">
        <v>14.81</v>
      </c>
      <c r="K219">
        <v>1.59</v>
      </c>
      <c r="L219">
        <v>11.68</v>
      </c>
      <c r="M219" s="1">
        <f>IF(ISNUMBER(Main_S[[#This Row],[EPS]]),IF(Main_S[[#This Row],[EPS]]&lt;&gt;0,Main_S[[#This Row],[Current Price]]/Main_S[[#This Row],[EPS]],""),"")</f>
        <v>6.0514705882352944</v>
      </c>
      <c r="N2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9" s="1">
        <f>(Main_S[[#This Row],[P/FCF]]-VLOOKUP(Main_S[[#This Row],[Industry]], Mean_PFCF_S, 2, FALSE))/(VLOOKUP(Main_S[[#This Row],[Industry]], Mean_PFCF_S, 3, FALSE))</f>
        <v>-0.53063384055768015</v>
      </c>
      <c r="P219" s="1">
        <f>(Main_S[[#This Row],[P/B]]-VLOOKUP(Main_S[[#This Row],[Industry]], Mean_PB_S, 2, FALSE))/(VLOOKUP(Main_S[[#This Row],[Industry]], Mean_PB_S, 3, FALSE))</f>
        <v>-0.60606302001821832</v>
      </c>
      <c r="Q219" s="1">
        <f>(Main_S[[#This Row],[ROE]]-VLOOKUP(Main_S[[#This Row],[Industry]], Mean_ROE_S, 2, FALSE))/(VLOOKUP(Main_S[[#This Row],[Industry]], Mean_ROE_S, 3, FALSE))</f>
        <v>1.0645490037646148</v>
      </c>
      <c r="R219" s="1">
        <f>(Main_S[[#This Row],[ROA]]-VLOOKUP(Main_S[[#This Row],[Industry]], Mean_ROA_S, 2, FALSE))/(VLOOKUP(Main_S[[#This Row],[Industry]], Mean_ROA_S, 3, FALSE))</f>
        <v>-0.11781562261648811</v>
      </c>
      <c r="S219" s="1">
        <f>(Main_S[[#This Row],[A/E]]-VLOOKUP(Main_S[[#This Row],[Industry]], Mean_AE_S, 2, FALSE))/(VLOOKUP(Main_S[[#This Row],[Industry]], Mean_AE_S, 3, FALSE))</f>
        <v>1.8088736670474932</v>
      </c>
      <c r="T219" s="1">
        <f>(Main_S[[#This Row],[P/E]]-VLOOKUP(Main_S[[#This Row],[Industry]], Mean_PE_S, 2, FALSE))/(VLOOKUP(Main_S[[#This Row],[Industry]], Mean_PE_S, 3, FALSE))</f>
        <v>-0.43463322752248279</v>
      </c>
      <c r="U2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0" spans="1:26" x14ac:dyDescent="0.25">
      <c r="A220" s="68" t="s">
        <v>150</v>
      </c>
      <c r="B220" s="68" t="s">
        <v>579</v>
      </c>
      <c r="C220" s="2">
        <v>297</v>
      </c>
      <c r="D220">
        <f>RTD("tos.rtd", , "LAST", Main_S[[#This Row],[Symbol]])</f>
        <v>38.5</v>
      </c>
      <c r="E220">
        <v>-65.099999999999994</v>
      </c>
      <c r="F220">
        <v>57.66</v>
      </c>
      <c r="G220">
        <v>2.98</v>
      </c>
      <c r="H220" s="1">
        <f>IF(ISNUMBER(Main_S[[#This Row],[Free CF]]),IF(Main_S[[#This Row],[Free CF]]&lt;&gt;0,Main_S[[#This Row],[Current Price]]/Main_S[[#This Row],[Free CF]],""),"")</f>
        <v>-0.59139784946236562</v>
      </c>
      <c r="I220" s="1">
        <f>IF(ISNUMBER(Main_S[[#This Row],[BVPS]]),IF(Main_S[[#This Row],[BVPS]]&lt;&gt;0,Main_S[[#This Row],[Current Price]]/Main_S[[#This Row],[BVPS]],""),"")</f>
        <v>0.66770724939299342</v>
      </c>
      <c r="J220">
        <v>5.5</v>
      </c>
      <c r="K220">
        <v>2.2799999999999998</v>
      </c>
      <c r="L220">
        <v>35.33</v>
      </c>
      <c r="M220" s="1">
        <f>IF(ISNUMBER(Main_S[[#This Row],[EPS]]),IF(Main_S[[#This Row],[EPS]]&lt;&gt;0,Main_S[[#This Row],[Current Price]]/Main_S[[#This Row],[EPS]],""),"")</f>
        <v>12.919463087248323</v>
      </c>
      <c r="N2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0" s="1">
        <f>(Main_S[[#This Row],[P/FCF]]-VLOOKUP(Main_S[[#This Row],[Industry]], Mean_PFCF_S, 2, FALSE))/(VLOOKUP(Main_S[[#This Row],[Industry]], Mean_PFCF_S, 3, FALSE))</f>
        <v>-0.45157707335547892</v>
      </c>
      <c r="P220" s="1">
        <f>(Main_S[[#This Row],[P/B]]-VLOOKUP(Main_S[[#This Row],[Industry]], Mean_PB_S, 2, FALSE))/(VLOOKUP(Main_S[[#This Row],[Industry]], Mean_PB_S, 3, FALSE))</f>
        <v>-0.89111243084951453</v>
      </c>
      <c r="Q220" s="1">
        <f>(Main_S[[#This Row],[ROE]]-VLOOKUP(Main_S[[#This Row],[Industry]], Mean_ROE_S, 2, FALSE))/(VLOOKUP(Main_S[[#This Row],[Industry]], Mean_ROE_S, 3, FALSE))</f>
        <v>-0.10371306083709016</v>
      </c>
      <c r="R220" s="1">
        <f>(Main_S[[#This Row],[ROA]]-VLOOKUP(Main_S[[#This Row],[Industry]], Mean_ROA_S, 2, FALSE))/(VLOOKUP(Main_S[[#This Row],[Industry]], Mean_ROA_S, 3, FALSE))</f>
        <v>0.16677097265347637</v>
      </c>
      <c r="S220" s="1">
        <f>(Main_S[[#This Row],[A/E]]-VLOOKUP(Main_S[[#This Row],[Industry]], Mean_AE_S, 2, FALSE))/(VLOOKUP(Main_S[[#This Row],[Industry]], Mean_AE_S, 3, FALSE))</f>
        <v>8.5257620680010522</v>
      </c>
      <c r="T220" s="1">
        <f>(Main_S[[#This Row],[P/E]]-VLOOKUP(Main_S[[#This Row],[Industry]], Mean_PE_S, 2, FALSE))/(VLOOKUP(Main_S[[#This Row],[Industry]], Mean_PE_S, 3, FALSE))</f>
        <v>-8.4938661923054742E-2</v>
      </c>
      <c r="U2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1" spans="1:26" x14ac:dyDescent="0.25">
      <c r="A221" s="68" t="s">
        <v>150</v>
      </c>
      <c r="B221" s="68" t="s">
        <v>580</v>
      </c>
      <c r="C221" s="2">
        <v>1754</v>
      </c>
      <c r="D221">
        <f>RTD("tos.rtd", , "LAST", Main_S[[#This Row],[Symbol]])</f>
        <v>12.61</v>
      </c>
      <c r="E221">
        <v>-22.24</v>
      </c>
      <c r="F221">
        <v>4.8099999999999996</v>
      </c>
      <c r="G221">
        <v>0.21</v>
      </c>
      <c r="H221" s="1">
        <f>IF(ISNUMBER(Main_S[[#This Row],[Free CF]]),IF(Main_S[[#This Row],[Free CF]]&lt;&gt;0,Main_S[[#This Row],[Current Price]]/Main_S[[#This Row],[Free CF]],""),"")</f>
        <v>-0.56699640287769781</v>
      </c>
      <c r="I221" s="1">
        <f>IF(ISNUMBER(Main_S[[#This Row],[BVPS]]),IF(Main_S[[#This Row],[BVPS]]&lt;&gt;0,Main_S[[#This Row],[Current Price]]/Main_S[[#This Row],[BVPS]],""),"")</f>
        <v>2.6216216216216219</v>
      </c>
      <c r="J221">
        <v>7.33</v>
      </c>
      <c r="K221">
        <v>3.25</v>
      </c>
      <c r="L221">
        <v>34.89</v>
      </c>
      <c r="M221" s="1">
        <f>IF(ISNUMBER(Main_S[[#This Row],[EPS]]),IF(Main_S[[#This Row],[EPS]]&lt;&gt;0,Main_S[[#This Row],[Current Price]]/Main_S[[#This Row],[EPS]],""),"")</f>
        <v>60.047619047619044</v>
      </c>
      <c r="N2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1" s="1">
        <f>(Main_S[[#This Row],[P/FCF]]-VLOOKUP(Main_S[[#This Row],[Industry]], Mean_PFCF_S, 2, FALSE))/(VLOOKUP(Main_S[[#This Row],[Industry]], Mean_PFCF_S, 3, FALSE))</f>
        <v>-0.44977483206423358</v>
      </c>
      <c r="P221" s="1">
        <f>(Main_S[[#This Row],[P/B]]-VLOOKUP(Main_S[[#This Row],[Industry]], Mean_PB_S, 2, FALSE))/(VLOOKUP(Main_S[[#This Row],[Industry]], Mean_PB_S, 3, FALSE))</f>
        <v>1.1662301274582514</v>
      </c>
      <c r="Q221" s="1">
        <f>(Main_S[[#This Row],[ROE]]-VLOOKUP(Main_S[[#This Row],[Industry]], Mean_ROE_S, 2, FALSE))/(VLOOKUP(Main_S[[#This Row],[Industry]], Mean_ROE_S, 3, FALSE))</f>
        <v>0.1259238433757047</v>
      </c>
      <c r="R221" s="1">
        <f>(Main_S[[#This Row],[ROA]]-VLOOKUP(Main_S[[#This Row],[Industry]], Mean_ROA_S, 2, FALSE))/(VLOOKUP(Main_S[[#This Row],[Industry]], Mean_ROA_S, 3, FALSE))</f>
        <v>0.56684198339531067</v>
      </c>
      <c r="S221" s="1">
        <f>(Main_S[[#This Row],[A/E]]-VLOOKUP(Main_S[[#This Row],[Industry]], Mean_AE_S, 2, FALSE))/(VLOOKUP(Main_S[[#This Row],[Industry]], Mean_AE_S, 3, FALSE))</f>
        <v>8.4007967024019177</v>
      </c>
      <c r="T221" s="1">
        <f>(Main_S[[#This Row],[P/E]]-VLOOKUP(Main_S[[#This Row],[Industry]], Mean_PE_S, 2, FALSE))/(VLOOKUP(Main_S[[#This Row],[Industry]], Mean_PE_S, 3, FALSE))</f>
        <v>2.3146650109744153</v>
      </c>
      <c r="U2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2" spans="1:26" x14ac:dyDescent="0.25">
      <c r="A222" s="68" t="s">
        <v>150</v>
      </c>
      <c r="B222" s="68" t="s">
        <v>581</v>
      </c>
      <c r="C222" s="2">
        <v>645</v>
      </c>
      <c r="D222">
        <f>RTD("tos.rtd", , "LAST", Main_S[[#This Row],[Symbol]])</f>
        <v>4.24</v>
      </c>
      <c r="E222">
        <v>-32.049999999999997</v>
      </c>
      <c r="F222">
        <v>1.02</v>
      </c>
      <c r="G222">
        <v>0.13</v>
      </c>
      <c r="H222" s="1">
        <f>IF(ISNUMBER(Main_S[[#This Row],[Free CF]]),IF(Main_S[[#This Row],[Free CF]]&lt;&gt;0,Main_S[[#This Row],[Current Price]]/Main_S[[#This Row],[Free CF]],""),"")</f>
        <v>-0.13229329173166929</v>
      </c>
      <c r="I222" s="1">
        <f>IF(ISNUMBER(Main_S[[#This Row],[BVPS]]),IF(Main_S[[#This Row],[BVPS]]&lt;&gt;0,Main_S[[#This Row],[Current Price]]/Main_S[[#This Row],[BVPS]],""),"")</f>
        <v>4.1568627450980395</v>
      </c>
      <c r="J222">
        <v>14.55</v>
      </c>
      <c r="K222">
        <v>3.73</v>
      </c>
      <c r="L222">
        <v>97.02</v>
      </c>
      <c r="M222" s="1">
        <f>IF(ISNUMBER(Main_S[[#This Row],[EPS]]),IF(Main_S[[#This Row],[EPS]]&lt;&gt;0,Main_S[[#This Row],[Current Price]]/Main_S[[#This Row],[EPS]],""),"")</f>
        <v>32.615384615384613</v>
      </c>
      <c r="N2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2" s="1">
        <f>(Main_S[[#This Row],[P/FCF]]-VLOOKUP(Main_S[[#This Row],[Industry]], Mean_PFCF_S, 2, FALSE))/(VLOOKUP(Main_S[[#This Row],[Industry]], Mean_PFCF_S, 3, FALSE))</f>
        <v>-0.41766854305297352</v>
      </c>
      <c r="P222" s="1">
        <f>(Main_S[[#This Row],[P/B]]-VLOOKUP(Main_S[[#This Row],[Industry]], Mean_PB_S, 2, FALSE))/(VLOOKUP(Main_S[[#This Row],[Industry]], Mean_PB_S, 3, FALSE))</f>
        <v>2.7827374552536179</v>
      </c>
      <c r="Q222" s="1">
        <f>(Main_S[[#This Row],[ROE]]-VLOOKUP(Main_S[[#This Row],[Industry]], Mean_ROE_S, 2, FALSE))/(VLOOKUP(Main_S[[#This Row],[Industry]], Mean_ROE_S, 3, FALSE))</f>
        <v>1.0319229955158027</v>
      </c>
      <c r="R222" s="1">
        <f>(Main_S[[#This Row],[ROA]]-VLOOKUP(Main_S[[#This Row],[Industry]], Mean_ROA_S, 2, FALSE))/(VLOOKUP(Main_S[[#This Row],[Industry]], Mean_ROA_S, 3, FALSE))</f>
        <v>0.76481526706137304</v>
      </c>
      <c r="S222" s="1">
        <f>(Main_S[[#This Row],[A/E]]-VLOOKUP(Main_S[[#This Row],[Industry]], Mean_AE_S, 2, FALSE))/(VLOOKUP(Main_S[[#This Row],[Industry]], Mean_AE_S, 3, FALSE))</f>
        <v>26.046474349389001</v>
      </c>
      <c r="T222" s="1">
        <f>(Main_S[[#This Row],[P/E]]-VLOOKUP(Main_S[[#This Row],[Industry]], Mean_PE_S, 2, FALSE))/(VLOOKUP(Main_S[[#This Row],[Industry]], Mean_PE_S, 3, FALSE))</f>
        <v>0.91790994687374083</v>
      </c>
      <c r="U2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3" spans="1:26" x14ac:dyDescent="0.25">
      <c r="A223" s="68" t="s">
        <v>150</v>
      </c>
      <c r="B223" s="68" t="s">
        <v>582</v>
      </c>
      <c r="C223" s="2">
        <v>610</v>
      </c>
      <c r="D223">
        <f>RTD("tos.rtd", , "LAST", Main_S[[#This Row],[Symbol]])</f>
        <v>16.7</v>
      </c>
      <c r="E223">
        <v>0.78</v>
      </c>
      <c r="F223">
        <v>15.92</v>
      </c>
      <c r="G223">
        <v>1.94</v>
      </c>
      <c r="H223" s="1">
        <f>IF(ISNUMBER(Main_S[[#This Row],[Free CF]]),IF(Main_S[[#This Row],[Free CF]]&lt;&gt;0,Main_S[[#This Row],[Current Price]]/Main_S[[#This Row],[Free CF]],""),"")</f>
        <v>21.410256410256409</v>
      </c>
      <c r="I223" s="1">
        <f>IF(ISNUMBER(Main_S[[#This Row],[BVPS]]),IF(Main_S[[#This Row],[BVPS]]&lt;&gt;0,Main_S[[#This Row],[Current Price]]/Main_S[[#This Row],[BVPS]],""),"")</f>
        <v>1.0489949748743719</v>
      </c>
      <c r="J223">
        <v>13.65</v>
      </c>
      <c r="K223">
        <v>1.32</v>
      </c>
      <c r="L223">
        <v>10.6</v>
      </c>
      <c r="M223" s="1">
        <f>IF(ISNUMBER(Main_S[[#This Row],[EPS]]),IF(Main_S[[#This Row],[EPS]]&lt;&gt;0,Main_S[[#This Row],[Current Price]]/Main_S[[#This Row],[EPS]],""),"")</f>
        <v>8.608247422680412</v>
      </c>
      <c r="N2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3" s="1">
        <f>(Main_S[[#This Row],[P/FCF]]-VLOOKUP(Main_S[[#This Row],[Industry]], Mean_PFCF_S, 2, FALSE))/(VLOOKUP(Main_S[[#This Row],[Industry]], Mean_PFCF_S, 3, FALSE))</f>
        <v>1.1734204301729858</v>
      </c>
      <c r="P223" s="1">
        <f>(Main_S[[#This Row],[P/B]]-VLOOKUP(Main_S[[#This Row],[Industry]], Mean_PB_S, 2, FALSE))/(VLOOKUP(Main_S[[#This Row],[Industry]], Mean_PB_S, 3, FALSE))</f>
        <v>-0.48964168282564946</v>
      </c>
      <c r="Q223" s="1">
        <f>(Main_S[[#This Row],[ROE]]-VLOOKUP(Main_S[[#This Row],[Industry]], Mean_ROE_S, 2, FALSE))/(VLOOKUP(Main_S[[#This Row],[Industry]], Mean_ROE_S, 3, FALSE))</f>
        <v>0.91898681311606722</v>
      </c>
      <c r="R223" s="1">
        <f>(Main_S[[#This Row],[ROA]]-VLOOKUP(Main_S[[#This Row],[Industry]], Mean_ROA_S, 2, FALSE))/(VLOOKUP(Main_S[[#This Row],[Industry]], Mean_ROA_S, 3, FALSE))</f>
        <v>-0.22917559467864818</v>
      </c>
      <c r="S223" s="1">
        <f>(Main_S[[#This Row],[A/E]]-VLOOKUP(Main_S[[#This Row],[Industry]], Mean_AE_S, 2, FALSE))/(VLOOKUP(Main_S[[#This Row],[Industry]], Mean_AE_S, 3, FALSE))</f>
        <v>1.502140496940523</v>
      </c>
      <c r="T223" s="1">
        <f>(Main_S[[#This Row],[P/E]]-VLOOKUP(Main_S[[#This Row],[Industry]], Mean_PE_S, 2, FALSE))/(VLOOKUP(Main_S[[#This Row],[Industry]], Mean_PE_S, 3, FALSE))</f>
        <v>-0.30445094142003692</v>
      </c>
      <c r="U2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4" spans="1:26" x14ac:dyDescent="0.25">
      <c r="A224" s="68" t="s">
        <v>150</v>
      </c>
      <c r="B224" s="68" t="s">
        <v>583</v>
      </c>
      <c r="C224" s="2">
        <v>561</v>
      </c>
      <c r="D224">
        <f>RTD("tos.rtd", , "LAST", Main_S[[#This Row],[Symbol]])</f>
        <v>43.48</v>
      </c>
      <c r="E224">
        <v>2.19</v>
      </c>
      <c r="F224">
        <v>17.48</v>
      </c>
      <c r="G224">
        <v>1.51</v>
      </c>
      <c r="H224" s="1">
        <f>IF(ISNUMBER(Main_S[[#This Row],[Free CF]]),IF(Main_S[[#This Row],[Free CF]]&lt;&gt;0,Main_S[[#This Row],[Current Price]]/Main_S[[#This Row],[Free CF]],""),"")</f>
        <v>19.853881278538811</v>
      </c>
      <c r="I224" s="1">
        <f>IF(ISNUMBER(Main_S[[#This Row],[BVPS]]),IF(Main_S[[#This Row],[BVPS]]&lt;&gt;0,Main_S[[#This Row],[Current Price]]/Main_S[[#This Row],[BVPS]],""),"")</f>
        <v>2.4874141876430205</v>
      </c>
      <c r="J224">
        <v>8.91</v>
      </c>
      <c r="K224">
        <v>1.18</v>
      </c>
      <c r="L224">
        <v>9.9</v>
      </c>
      <c r="M224" s="1">
        <f>IF(ISNUMBER(Main_S[[#This Row],[EPS]]),IF(Main_S[[#This Row],[EPS]]&lt;&gt;0,Main_S[[#This Row],[Current Price]]/Main_S[[#This Row],[EPS]],""),"")</f>
        <v>28.794701986754966</v>
      </c>
      <c r="N2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4" s="1">
        <f>(Main_S[[#This Row],[P/FCF]]-VLOOKUP(Main_S[[#This Row],[Industry]], Mean_PFCF_S, 2, FALSE))/(VLOOKUP(Main_S[[#This Row],[Industry]], Mean_PFCF_S, 3, FALSE))</f>
        <v>1.0584697235697447</v>
      </c>
      <c r="P224" s="1">
        <f>(Main_S[[#This Row],[P/B]]-VLOOKUP(Main_S[[#This Row],[Industry]], Mean_PB_S, 2, FALSE))/(VLOOKUP(Main_S[[#This Row],[Industry]], Mean_PB_S, 3, FALSE))</f>
        <v>1.0249185789636643</v>
      </c>
      <c r="Q224" s="1">
        <f>(Main_S[[#This Row],[ROE]]-VLOOKUP(Main_S[[#This Row],[Industry]], Mean_ROE_S, 2, FALSE))/(VLOOKUP(Main_S[[#This Row],[Industry]], Mean_ROE_S, 3, FALSE))</f>
        <v>0.32418958581079532</v>
      </c>
      <c r="R224" s="1">
        <f>(Main_S[[#This Row],[ROA]]-VLOOKUP(Main_S[[#This Row],[Industry]], Mean_ROA_S, 2, FALSE))/(VLOOKUP(Main_S[[#This Row],[Industry]], Mean_ROA_S, 3, FALSE))</f>
        <v>-0.28691780241458309</v>
      </c>
      <c r="S224" s="1">
        <f>(Main_S[[#This Row],[A/E]]-VLOOKUP(Main_S[[#This Row],[Industry]], Mean_AE_S, 2, FALSE))/(VLOOKUP(Main_S[[#This Row],[Industry]], Mean_AE_S, 3, FALSE))</f>
        <v>1.3033319607600795</v>
      </c>
      <c r="T224" s="1">
        <f>(Main_S[[#This Row],[P/E]]-VLOOKUP(Main_S[[#This Row],[Industry]], Mean_PE_S, 2, FALSE))/(VLOOKUP(Main_S[[#This Row],[Industry]], Mean_PE_S, 3, FALSE))</f>
        <v>0.72337392309329462</v>
      </c>
      <c r="U2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5" spans="1:26" x14ac:dyDescent="0.25">
      <c r="A225" s="68" t="s">
        <v>150</v>
      </c>
      <c r="B225" s="68" t="s">
        <v>584</v>
      </c>
      <c r="C225" s="2">
        <v>600</v>
      </c>
      <c r="D225">
        <f>RTD("tos.rtd", , "LAST", Main_S[[#This Row],[Symbol]])</f>
        <v>7.74</v>
      </c>
      <c r="E225">
        <v>0.01</v>
      </c>
      <c r="F225">
        <v>2.6</v>
      </c>
      <c r="G225">
        <v>0.19</v>
      </c>
      <c r="H225" s="1">
        <f>IF(ISNUMBER(Main_S[[#This Row],[Free CF]]),IF(Main_S[[#This Row],[Free CF]]&lt;&gt;0,Main_S[[#This Row],[Current Price]]/Main_S[[#This Row],[Free CF]],""),"")</f>
        <v>774</v>
      </c>
      <c r="I225" s="1">
        <f>IF(ISNUMBER(Main_S[[#This Row],[BVPS]]),IF(Main_S[[#This Row],[BVPS]]&lt;&gt;0,Main_S[[#This Row],[Current Price]]/Main_S[[#This Row],[BVPS]],""),"")</f>
        <v>2.976923076923077</v>
      </c>
      <c r="J225">
        <v>8.36</v>
      </c>
      <c r="K225">
        <v>4</v>
      </c>
      <c r="L225">
        <v>1.59</v>
      </c>
      <c r="M225" s="1">
        <f>IF(ISNUMBER(Main_S[[#This Row],[EPS]]),IF(Main_S[[#This Row],[EPS]]&lt;&gt;0,Main_S[[#This Row],[Current Price]]/Main_S[[#This Row],[EPS]],""),"")</f>
        <v>40.736842105263158</v>
      </c>
      <c r="N2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5" s="1">
        <f>(Main_S[[#This Row],[P/FCF]]-VLOOKUP(Main_S[[#This Row],[Industry]], Mean_PFCF_S, 2, FALSE))/(VLOOKUP(Main_S[[#This Row],[Industry]], Mean_PFCF_S, 3, FALSE))</f>
        <v>56.758170562052044</v>
      </c>
      <c r="P225" s="1">
        <f>(Main_S[[#This Row],[P/B]]-VLOOKUP(Main_S[[#This Row],[Industry]], Mean_PB_S, 2, FALSE))/(VLOOKUP(Main_S[[#This Row],[Industry]], Mean_PB_S, 3, FALSE))</f>
        <v>1.5403390522964562</v>
      </c>
      <c r="Q225" s="1">
        <f>(Main_S[[#This Row],[ROE]]-VLOOKUP(Main_S[[#This Row],[Industry]], Mean_ROE_S, 2, FALSE))/(VLOOKUP(Main_S[[#This Row],[Industry]], Mean_ROE_S, 3, FALSE))</f>
        <v>0.25517302989984597</v>
      </c>
      <c r="R225" s="1">
        <f>(Main_S[[#This Row],[ROA]]-VLOOKUP(Main_S[[#This Row],[Industry]], Mean_ROA_S, 2, FALSE))/(VLOOKUP(Main_S[[#This Row],[Industry]], Mean_ROA_S, 3, FALSE))</f>
        <v>0.87617523912353301</v>
      </c>
      <c r="S225" s="1">
        <f>(Main_S[[#This Row],[A/E]]-VLOOKUP(Main_S[[#This Row],[Industry]], Mean_AE_S, 2, FALSE))/(VLOOKUP(Main_S[[#This Row],[Industry]], Mean_AE_S, 3, FALSE))</f>
        <v>-1.0568093758963299</v>
      </c>
      <c r="T225" s="1">
        <f>(Main_S[[#This Row],[P/E]]-VLOOKUP(Main_S[[#This Row],[Industry]], Mean_PE_S, 2, FALSE))/(VLOOKUP(Main_S[[#This Row],[Industry]], Mean_PE_S, 3, FALSE))</f>
        <v>1.3314266403420911</v>
      </c>
      <c r="U2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6" spans="1:26" x14ac:dyDescent="0.25">
      <c r="A226" s="68" t="s">
        <v>150</v>
      </c>
      <c r="B226" s="68" t="s">
        <v>585</v>
      </c>
      <c r="C226" s="2">
        <v>1328</v>
      </c>
      <c r="D226">
        <f>RTD("tos.rtd", , "LAST", Main_S[[#This Row],[Symbol]])</f>
        <v>11.1</v>
      </c>
      <c r="E226">
        <v>0.69</v>
      </c>
      <c r="F226">
        <v>6.57</v>
      </c>
      <c r="G226">
        <v>0.02</v>
      </c>
      <c r="H226" s="1">
        <f>IF(ISNUMBER(Main_S[[#This Row],[Free CF]]),IF(Main_S[[#This Row],[Free CF]]&lt;&gt;0,Main_S[[#This Row],[Current Price]]/Main_S[[#This Row],[Free CF]],""),"")</f>
        <v>16.086956521739133</v>
      </c>
      <c r="I226" s="1">
        <f>IF(ISNUMBER(Main_S[[#This Row],[BVPS]]),IF(Main_S[[#This Row],[BVPS]]&lt;&gt;0,Main_S[[#This Row],[Current Price]]/Main_S[[#This Row],[BVPS]],""),"")</f>
        <v>1.689497716894977</v>
      </c>
      <c r="J226">
        <v>0.36</v>
      </c>
      <c r="K226">
        <v>-0.4</v>
      </c>
      <c r="L226">
        <v>1.38</v>
      </c>
      <c r="M226" s="1">
        <f>IF(ISNUMBER(Main_S[[#This Row],[EPS]]),IF(Main_S[[#This Row],[EPS]]&lt;&gt;0,Main_S[[#This Row],[Current Price]]/Main_S[[#This Row],[EPS]],""),"")</f>
        <v>555</v>
      </c>
      <c r="N2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6" s="1">
        <f>(Main_S[[#This Row],[P/FCF]]-VLOOKUP(Main_S[[#This Row],[Industry]], Mean_PFCF_S, 2, FALSE))/(VLOOKUP(Main_S[[#This Row],[Industry]], Mean_PFCF_S, 3, FALSE))</f>
        <v>0.78025231075520085</v>
      </c>
      <c r="P226" s="1">
        <f>(Main_S[[#This Row],[P/B]]-VLOOKUP(Main_S[[#This Row],[Industry]], Mean_PB_S, 2, FALSE))/(VLOOKUP(Main_S[[#This Row],[Industry]], Mean_PB_S, 3, FALSE))</f>
        <v>0.18476532732843834</v>
      </c>
      <c r="Q226" s="1">
        <f>(Main_S[[#This Row],[ROE]]-VLOOKUP(Main_S[[#This Row],[Industry]], Mean_ROE_S, 2, FALSE))/(VLOOKUP(Main_S[[#This Row],[Industry]], Mean_ROE_S, 3, FALSE))</f>
        <v>-0.74870414698668875</v>
      </c>
      <c r="R226" s="1">
        <f>(Main_S[[#This Row],[ROA]]-VLOOKUP(Main_S[[#This Row],[Industry]], Mean_ROA_S, 2, FALSE))/(VLOOKUP(Main_S[[#This Row],[Industry]], Mean_ROA_S, 3, FALSE))</f>
        <v>-0.93857986114870495</v>
      </c>
      <c r="S226" s="1">
        <f>(Main_S[[#This Row],[A/E]]-VLOOKUP(Main_S[[#This Row],[Industry]], Mean_AE_S, 2, FALSE))/(VLOOKUP(Main_S[[#This Row],[Industry]], Mean_AE_S, 3, FALSE))</f>
        <v>-1.1164519367504628</v>
      </c>
      <c r="T226" s="1">
        <f>(Main_S[[#This Row],[P/E]]-VLOOKUP(Main_S[[#This Row],[Industry]], Mean_PE_S, 2, FALSE))/(VLOOKUP(Main_S[[#This Row],[Industry]], Mean_PE_S, 3, FALSE))</f>
        <v>27.515938581733035</v>
      </c>
      <c r="U2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7" spans="1:26" x14ac:dyDescent="0.25">
      <c r="A227" s="68" t="s">
        <v>150</v>
      </c>
      <c r="B227" s="68" t="s">
        <v>586</v>
      </c>
      <c r="C227" s="2">
        <v>1481</v>
      </c>
      <c r="D227">
        <f>RTD("tos.rtd", , "LAST", Main_S[[#This Row],[Symbol]])</f>
        <v>7.43</v>
      </c>
      <c r="E227">
        <v>0.45</v>
      </c>
      <c r="F227">
        <v>0.55000000000000004</v>
      </c>
      <c r="G227">
        <v>0.27</v>
      </c>
      <c r="H227" s="1">
        <f>IF(ISNUMBER(Main_S[[#This Row],[Free CF]]),IF(Main_S[[#This Row],[Free CF]]&lt;&gt;0,Main_S[[#This Row],[Current Price]]/Main_S[[#This Row],[Free CF]],""),"")</f>
        <v>16.511111111111109</v>
      </c>
      <c r="I227" s="1">
        <f>IF(ISNUMBER(Main_S[[#This Row],[BVPS]]),IF(Main_S[[#This Row],[BVPS]]&lt;&gt;0,Main_S[[#This Row],[Current Price]]/Main_S[[#This Row],[BVPS]],""),"")</f>
        <v>13.509090909090908</v>
      </c>
      <c r="J227">
        <v>69.23</v>
      </c>
      <c r="K227">
        <v>7.32</v>
      </c>
      <c r="L227">
        <v>9.09</v>
      </c>
      <c r="M227" s="1">
        <f>IF(ISNUMBER(Main_S[[#This Row],[EPS]]),IF(Main_S[[#This Row],[EPS]]&lt;&gt;0,Main_S[[#This Row],[Current Price]]/Main_S[[#This Row],[EPS]],""),"")</f>
        <v>27.518518518518515</v>
      </c>
      <c r="N2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7" s="1">
        <f>(Main_S[[#This Row],[P/FCF]]-VLOOKUP(Main_S[[#This Row],[Industry]], Mean_PFCF_S, 2, FALSE))/(VLOOKUP(Main_S[[#This Row],[Industry]], Mean_PFCF_S, 3, FALSE))</f>
        <v>0.81157950736975271</v>
      </c>
      <c r="P227" s="1">
        <f>(Main_S[[#This Row],[P/B]]-VLOOKUP(Main_S[[#This Row],[Industry]], Mean_PB_S, 2, FALSE))/(VLOOKUP(Main_S[[#This Row],[Industry]], Mean_PB_S, 3, FALSE))</f>
        <v>12.630014946150572</v>
      </c>
      <c r="Q227" s="1">
        <f>(Main_S[[#This Row],[ROE]]-VLOOKUP(Main_S[[#This Row],[Industry]], Mean_ROE_S, 2, FALSE))/(VLOOKUP(Main_S[[#This Row],[Industry]], Mean_ROE_S, 3, FALSE))</f>
        <v>7.8934234995352686</v>
      </c>
      <c r="R227" s="1">
        <f>(Main_S[[#This Row],[ROA]]-VLOOKUP(Main_S[[#This Row],[Industry]], Mean_ROA_S, 2, FALSE))/(VLOOKUP(Main_S[[#This Row],[Industry]], Mean_ROA_S, 3, FALSE))</f>
        <v>2.245490451147131</v>
      </c>
      <c r="S227" s="1">
        <f>(Main_S[[#This Row],[A/E]]-VLOOKUP(Main_S[[#This Row],[Industry]], Mean_AE_S, 2, FALSE))/(VLOOKUP(Main_S[[#This Row],[Industry]], Mean_AE_S, 3, FALSE))</f>
        <v>1.0732820831798517</v>
      </c>
      <c r="T227" s="1">
        <f>(Main_S[[#This Row],[P/E]]-VLOOKUP(Main_S[[#This Row],[Industry]], Mean_PE_S, 2, FALSE))/(VLOOKUP(Main_S[[#This Row],[Industry]], Mean_PE_S, 3, FALSE))</f>
        <v>0.65839504846373598</v>
      </c>
      <c r="U2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8" spans="1:26" x14ac:dyDescent="0.25">
      <c r="A228" s="68" t="s">
        <v>150</v>
      </c>
      <c r="B228" s="68" t="s">
        <v>587</v>
      </c>
      <c r="C228" s="2">
        <v>315</v>
      </c>
      <c r="D228">
        <f>RTD("tos.rtd", , "LAST", Main_S[[#This Row],[Symbol]])</f>
        <v>11.49</v>
      </c>
      <c r="E228">
        <v>0.32</v>
      </c>
      <c r="F228">
        <v>4.42</v>
      </c>
      <c r="G228">
        <v>1.79</v>
      </c>
      <c r="H228" s="1">
        <f>IF(ISNUMBER(Main_S[[#This Row],[Free CF]]),IF(Main_S[[#This Row],[Free CF]]&lt;&gt;0,Main_S[[#This Row],[Current Price]]/Main_S[[#This Row],[Free CF]],""),"")</f>
        <v>35.90625</v>
      </c>
      <c r="I228" s="1">
        <f>IF(ISNUMBER(Main_S[[#This Row],[BVPS]]),IF(Main_S[[#This Row],[BVPS]]&lt;&gt;0,Main_S[[#This Row],[Current Price]]/Main_S[[#This Row],[BVPS]],""),"")</f>
        <v>2.5995475113122173</v>
      </c>
      <c r="J228">
        <v>41.43</v>
      </c>
      <c r="K228">
        <v>12.08</v>
      </c>
      <c r="L228">
        <v>3.43</v>
      </c>
      <c r="M228" s="1">
        <f>IF(ISNUMBER(Main_S[[#This Row],[EPS]]),IF(Main_S[[#This Row],[EPS]]&lt;&gt;0,Main_S[[#This Row],[Current Price]]/Main_S[[#This Row],[EPS]],""),"")</f>
        <v>6.4189944134078214</v>
      </c>
      <c r="N2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8" s="1">
        <f>(Main_S[[#This Row],[P/FCF]]-VLOOKUP(Main_S[[#This Row],[Industry]], Mean_PFCF_S, 2, FALSE))/(VLOOKUP(Main_S[[#This Row],[Industry]], Mean_PFCF_S, 3, FALSE))</f>
        <v>2.2440650788176488</v>
      </c>
      <c r="P228" s="1">
        <f>(Main_S[[#This Row],[P/B]]-VLOOKUP(Main_S[[#This Row],[Industry]], Mean_PB_S, 2, FALSE))/(VLOOKUP(Main_S[[#This Row],[Industry]], Mean_PB_S, 3, FALSE))</f>
        <v>1.1429875497783917</v>
      </c>
      <c r="Q228" s="1">
        <f>(Main_S[[#This Row],[ROE]]-VLOOKUP(Main_S[[#This Row],[Industry]], Mean_ROE_S, 2, FALSE))/(VLOOKUP(Main_S[[#This Row],[Industry]], Mean_ROE_S, 3, FALSE))</f>
        <v>4.4049503098545593</v>
      </c>
      <c r="R228" s="1">
        <f>(Main_S[[#This Row],[ROA]]-VLOOKUP(Main_S[[#This Row],[Industry]], Mean_ROA_S, 2, FALSE))/(VLOOKUP(Main_S[[#This Row],[Industry]], Mean_ROA_S, 3, FALSE))</f>
        <v>4.2087255141689157</v>
      </c>
      <c r="S228" s="1">
        <f>(Main_S[[#This Row],[A/E]]-VLOOKUP(Main_S[[#This Row],[Industry]], Mean_AE_S, 2, FALSE))/(VLOOKUP(Main_S[[#This Row],[Industry]], Mean_AE_S, 3, FALSE))</f>
        <v>-0.5342269379363066</v>
      </c>
      <c r="T228" s="1">
        <f>(Main_S[[#This Row],[P/E]]-VLOOKUP(Main_S[[#This Row],[Industry]], Mean_PE_S, 2, FALSE))/(VLOOKUP(Main_S[[#This Row],[Industry]], Mean_PE_S, 3, FALSE))</f>
        <v>-0.4159201779072399</v>
      </c>
      <c r="U2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9" spans="1:26" x14ac:dyDescent="0.25">
      <c r="A229" s="68" t="s">
        <v>150</v>
      </c>
      <c r="B229" s="68" t="s">
        <v>588</v>
      </c>
      <c r="C229" s="2">
        <v>310</v>
      </c>
      <c r="D229">
        <f>RTD("tos.rtd", , "LAST", Main_S[[#This Row],[Symbol]])</f>
        <v>4.24</v>
      </c>
      <c r="E229">
        <v>-0.11</v>
      </c>
      <c r="F229">
        <v>2.5</v>
      </c>
      <c r="G229">
        <v>-0.67</v>
      </c>
      <c r="H229" s="1">
        <f>IF(ISNUMBER(Main_S[[#This Row],[Free CF]]),IF(Main_S[[#This Row],[Free CF]]&lt;&gt;0,Main_S[[#This Row],[Current Price]]/Main_S[[#This Row],[Free CF]],""),"")</f>
        <v>-38.545454545454547</v>
      </c>
      <c r="I229" s="1">
        <f>IF(ISNUMBER(Main_S[[#This Row],[BVPS]]),IF(Main_S[[#This Row],[BVPS]]&lt;&gt;0,Main_S[[#This Row],[Current Price]]/Main_S[[#This Row],[BVPS]],""),"")</f>
        <v>1.6960000000000002</v>
      </c>
      <c r="J229">
        <v>-24.02</v>
      </c>
      <c r="K229">
        <v>0.62</v>
      </c>
      <c r="L229">
        <v>3.31</v>
      </c>
      <c r="M229" s="1">
        <f>IF(ISNUMBER(Main_S[[#This Row],[EPS]]),IF(Main_S[[#This Row],[EPS]]&lt;&gt;0,Main_S[[#This Row],[Current Price]]/Main_S[[#This Row],[EPS]],""),"")</f>
        <v>-6.3283582089552235</v>
      </c>
      <c r="N2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9" s="1">
        <f>(Main_S[[#This Row],[P/FCF]]-VLOOKUP(Main_S[[#This Row],[Industry]], Mean_PFCF_S, 2, FALSE))/(VLOOKUP(Main_S[[#This Row],[Industry]], Mean_PFCF_S, 3, FALSE))</f>
        <v>-3.2547866253154791</v>
      </c>
      <c r="P229" s="1">
        <f>(Main_S[[#This Row],[P/B]]-VLOOKUP(Main_S[[#This Row],[Industry]], Mean_PB_S, 2, FALSE))/(VLOOKUP(Main_S[[#This Row],[Industry]], Mean_PB_S, 3, FALSE))</f>
        <v>0.19161180123142291</v>
      </c>
      <c r="Q229" s="1">
        <f>(Main_S[[#This Row],[ROE]]-VLOOKUP(Main_S[[#This Row],[Industry]], Mean_ROE_S, 2, FALSE))/(VLOOKUP(Main_S[[#This Row],[Industry]], Mean_ROE_S, 3, FALSE))</f>
        <v>-3.8080198435484038</v>
      </c>
      <c r="R229" s="1">
        <f>(Main_S[[#This Row],[ROA]]-VLOOKUP(Main_S[[#This Row],[Industry]], Mean_ROA_S, 2, FALSE))/(VLOOKUP(Main_S[[#This Row],[Industry]], Mean_ROA_S, 3, FALSE))</f>
        <v>-0.51788663335832241</v>
      </c>
      <c r="S229" s="1">
        <f>(Main_S[[#This Row],[A/E]]-VLOOKUP(Main_S[[#This Row],[Industry]], Mean_AE_S, 2, FALSE))/(VLOOKUP(Main_S[[#This Row],[Industry]], Mean_AE_S, 3, FALSE))</f>
        <v>-0.56830840128152549</v>
      </c>
      <c r="T229" s="1">
        <f>(Main_S[[#This Row],[P/E]]-VLOOKUP(Main_S[[#This Row],[Industry]], Mean_PE_S, 2, FALSE))/(VLOOKUP(Main_S[[#This Row],[Industry]], Mean_PE_S, 3, FALSE))</f>
        <v>-1.0649715474974908</v>
      </c>
      <c r="U2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0" spans="1:26" x14ac:dyDescent="0.25">
      <c r="A230" s="68" t="s">
        <v>150</v>
      </c>
      <c r="B230" s="68" t="s">
        <v>589</v>
      </c>
      <c r="C230" s="2">
        <v>1923</v>
      </c>
      <c r="D230">
        <f>RTD("tos.rtd", , "LAST", Main_S[[#This Row],[Symbol]])</f>
        <v>4.83</v>
      </c>
      <c r="E230">
        <v>7.0000000000000007E-2</v>
      </c>
      <c r="F230">
        <v>2.15</v>
      </c>
      <c r="G230">
        <v>0.05</v>
      </c>
      <c r="H230" s="1">
        <f>IF(ISNUMBER(Main_S[[#This Row],[Free CF]]),IF(Main_S[[#This Row],[Free CF]]&lt;&gt;0,Main_S[[#This Row],[Current Price]]/Main_S[[#This Row],[Free CF]],""),"")</f>
        <v>69</v>
      </c>
      <c r="I230" s="1">
        <f>IF(ISNUMBER(Main_S[[#This Row],[BVPS]]),IF(Main_S[[#This Row],[BVPS]]&lt;&gt;0,Main_S[[#This Row],[Current Price]]/Main_S[[#This Row],[BVPS]],""),"")</f>
        <v>2.246511627906977</v>
      </c>
      <c r="J230">
        <v>2.34</v>
      </c>
      <c r="K230">
        <v>-1</v>
      </c>
      <c r="L230">
        <v>1.35</v>
      </c>
      <c r="M230" s="1">
        <f>IF(ISNUMBER(Main_S[[#This Row],[EPS]]),IF(Main_S[[#This Row],[EPS]]&lt;&gt;0,Main_S[[#This Row],[Current Price]]/Main_S[[#This Row],[EPS]],""),"")</f>
        <v>96.6</v>
      </c>
      <c r="N2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0" s="1">
        <f>(Main_S[[#This Row],[P/FCF]]-VLOOKUP(Main_S[[#This Row],[Industry]], Mean_PFCF_S, 2, FALSE))/(VLOOKUP(Main_S[[#This Row],[Industry]], Mean_PFCF_S, 3, FALSE))</f>
        <v>4.6883022483313965</v>
      </c>
      <c r="P230" s="1">
        <f>(Main_S[[#This Row],[P/B]]-VLOOKUP(Main_S[[#This Row],[Industry]], Mean_PB_S, 2, FALSE))/(VLOOKUP(Main_S[[#This Row],[Industry]], Mean_PB_S, 3, FALSE))</f>
        <v>0.77126412225124474</v>
      </c>
      <c r="Q230" s="1">
        <f>(Main_S[[#This Row],[ROE]]-VLOOKUP(Main_S[[#This Row],[Industry]], Mean_ROE_S, 2, FALSE))/(VLOOKUP(Main_S[[#This Row],[Industry]], Mean_ROE_S, 3, FALSE))</f>
        <v>-0.5002445457072715</v>
      </c>
      <c r="R230" s="1">
        <f>(Main_S[[#This Row],[ROA]]-VLOOKUP(Main_S[[#This Row],[Industry]], Mean_ROA_S, 2, FALSE))/(VLOOKUP(Main_S[[#This Row],[Industry]], Mean_ROA_S, 3, FALSE))</f>
        <v>-1.1860464657312828</v>
      </c>
      <c r="S230" s="1">
        <f>(Main_S[[#This Row],[A/E]]-VLOOKUP(Main_S[[#This Row],[Industry]], Mean_AE_S, 2, FALSE))/(VLOOKUP(Main_S[[#This Row],[Industry]], Mean_AE_S, 3, FALSE))</f>
        <v>-1.1249723025867677</v>
      </c>
      <c r="T230" s="1">
        <f>(Main_S[[#This Row],[P/E]]-VLOOKUP(Main_S[[#This Row],[Industry]], Mean_PE_S, 2, FALSE))/(VLOOKUP(Main_S[[#This Row],[Industry]], Mean_PE_S, 3, FALSE))</f>
        <v>4.1757865804293237</v>
      </c>
      <c r="U2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1" spans="1:26" x14ac:dyDescent="0.25">
      <c r="A231" s="68" t="s">
        <v>150</v>
      </c>
      <c r="B231" s="68" t="s">
        <v>590</v>
      </c>
      <c r="C231" s="2">
        <v>489</v>
      </c>
      <c r="D231">
        <f>RTD("tos.rtd", , "LAST", Main_S[[#This Row],[Symbol]])</f>
        <v>7.58</v>
      </c>
      <c r="E231">
        <v>-0.32</v>
      </c>
      <c r="F231">
        <v>-2.15</v>
      </c>
      <c r="G231">
        <v>-0.31</v>
      </c>
      <c r="H231" s="1">
        <f>IF(ISNUMBER(Main_S[[#This Row],[Free CF]]),IF(Main_S[[#This Row],[Free CF]]&lt;&gt;0,Main_S[[#This Row],[Current Price]]/Main_S[[#This Row],[Free CF]],""),"")</f>
        <v>-23.6875</v>
      </c>
      <c r="I231" s="1">
        <f>IF(ISNUMBER(Main_S[[#This Row],[BVPS]]),IF(Main_S[[#This Row],[BVPS]]&lt;&gt;0,Main_S[[#This Row],[Current Price]]/Main_S[[#This Row],[BVPS]],""),"")</f>
        <v>-3.5255813953488375</v>
      </c>
      <c r="J231">
        <v>-91.51</v>
      </c>
      <c r="K231">
        <v>4.95</v>
      </c>
      <c r="L231">
        <v>-10.95</v>
      </c>
      <c r="M231" s="1">
        <f>IF(ISNUMBER(Main_S[[#This Row],[EPS]]),IF(Main_S[[#This Row],[EPS]]&lt;&gt;0,Main_S[[#This Row],[Current Price]]/Main_S[[#This Row],[EPS]],""),"")</f>
        <v>-24.451612903225808</v>
      </c>
      <c r="N2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1" s="1">
        <f>(Main_S[[#This Row],[P/FCF]]-VLOOKUP(Main_S[[#This Row],[Industry]], Mean_PFCF_S, 2, FALSE))/(VLOOKUP(Main_S[[#This Row],[Industry]], Mean_PFCF_S, 3, FALSE))</f>
        <v>-2.1574082755380815</v>
      </c>
      <c r="P231" s="1">
        <f>(Main_S[[#This Row],[P/B]]-VLOOKUP(Main_S[[#This Row],[Industry]], Mean_PB_S, 2, FALSE))/(VLOOKUP(Main_S[[#This Row],[Industry]], Mean_PB_S, 3, FALSE))</f>
        <v>-5.306367935754829</v>
      </c>
      <c r="Q231" s="1">
        <f>(Main_S[[#This Row],[ROE]]-VLOOKUP(Main_S[[#This Row],[Industry]], Mean_ROE_S, 2, FALSE))/(VLOOKUP(Main_S[[#This Row],[Industry]], Mean_ROE_S, 3, FALSE))</f>
        <v>-12.276978677057434</v>
      </c>
      <c r="R231" s="1">
        <f>(Main_S[[#This Row],[ROA]]-VLOOKUP(Main_S[[#This Row],[Industry]], Mean_ROA_S, 2, FALSE))/(VLOOKUP(Main_S[[#This Row],[Industry]], Mean_ROA_S, 3, FALSE))</f>
        <v>1.267997363045948</v>
      </c>
      <c r="S231" s="1">
        <f>(Main_S[[#This Row],[A/E]]-VLOOKUP(Main_S[[#This Row],[Industry]], Mean_AE_S, 2, FALSE))/(VLOOKUP(Main_S[[#This Row],[Industry]], Mean_AE_S, 3, FALSE))</f>
        <v>-4.6183222954717049</v>
      </c>
      <c r="T231" s="1">
        <f>(Main_S[[#This Row],[P/E]]-VLOOKUP(Main_S[[#This Row],[Industry]], Mean_PE_S, 2, FALSE))/(VLOOKUP(Main_S[[#This Row],[Industry]], Mean_PE_S, 3, FALSE))</f>
        <v>-1.9877453680093069</v>
      </c>
      <c r="U2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2" spans="1:26" x14ac:dyDescent="0.25">
      <c r="A232" s="68" t="s">
        <v>150</v>
      </c>
      <c r="B232" s="68" t="s">
        <v>591</v>
      </c>
      <c r="C232" s="2">
        <v>886</v>
      </c>
      <c r="D232">
        <f>RTD("tos.rtd", , "LAST", Main_S[[#This Row],[Symbol]])</f>
        <v>13.79</v>
      </c>
      <c r="E232">
        <v>2.19</v>
      </c>
      <c r="F232">
        <v>14.68</v>
      </c>
      <c r="G232">
        <v>0.36</v>
      </c>
      <c r="H232" s="1">
        <f>IF(ISNUMBER(Main_S[[#This Row],[Free CF]]),IF(Main_S[[#This Row],[Free CF]]&lt;&gt;0,Main_S[[#This Row],[Current Price]]/Main_S[[#This Row],[Free CF]],""),"")</f>
        <v>6.2968036529680367</v>
      </c>
      <c r="I232" s="1">
        <f>IF(ISNUMBER(Main_S[[#This Row],[BVPS]]),IF(Main_S[[#This Row],[BVPS]]&lt;&gt;0,Main_S[[#This Row],[Current Price]]/Main_S[[#This Row],[BVPS]],""),"")</f>
        <v>0.93937329700272476</v>
      </c>
      <c r="J232">
        <v>2.5099999999999998</v>
      </c>
      <c r="K232">
        <v>1.71</v>
      </c>
      <c r="L232">
        <v>5.47</v>
      </c>
      <c r="M232" s="1">
        <f>IF(ISNUMBER(Main_S[[#This Row],[EPS]]),IF(Main_S[[#This Row],[EPS]]&lt;&gt;0,Main_S[[#This Row],[Current Price]]/Main_S[[#This Row],[EPS]],""),"")</f>
        <v>38.305555555555557</v>
      </c>
      <c r="N2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2" s="1">
        <f>(Main_S[[#This Row],[P/FCF]]-VLOOKUP(Main_S[[#This Row],[Industry]], Mean_PFCF_S, 2, FALSE))/(VLOOKUP(Main_S[[#This Row],[Industry]], Mean_PFCF_S, 3, FALSE))</f>
        <v>5.7171501325264037E-2</v>
      </c>
      <c r="P232" s="1">
        <f>(Main_S[[#This Row],[P/B]]-VLOOKUP(Main_S[[#This Row],[Industry]], Mean_PB_S, 2, FALSE))/(VLOOKUP(Main_S[[#This Row],[Industry]], Mean_PB_S, 3, FALSE))</f>
        <v>-0.60506605679205117</v>
      </c>
      <c r="Q232" s="1">
        <f>(Main_S[[#This Row],[ROE]]-VLOOKUP(Main_S[[#This Row],[Industry]], Mean_ROE_S, 2, FALSE))/(VLOOKUP(Main_S[[#This Row],[Industry]], Mean_ROE_S, 3, FALSE))</f>
        <v>-0.4789121556984326</v>
      </c>
      <c r="R232" s="1">
        <f>(Main_S[[#This Row],[ROA]]-VLOOKUP(Main_S[[#This Row],[Industry]], Mean_ROA_S, 2, FALSE))/(VLOOKUP(Main_S[[#This Row],[Industry]], Mean_ROA_S, 3, FALSE))</f>
        <v>-6.8322301699972582E-2</v>
      </c>
      <c r="S232" s="1">
        <f>(Main_S[[#This Row],[A/E]]-VLOOKUP(Main_S[[#This Row],[Industry]], Mean_AE_S, 2, FALSE))/(VLOOKUP(Main_S[[#This Row],[Industry]], Mean_AE_S, 3, FALSE))</f>
        <v>4.5157938932414744E-2</v>
      </c>
      <c r="T232" s="1">
        <f>(Main_S[[#This Row],[P/E]]-VLOOKUP(Main_S[[#This Row],[Industry]], Mean_PE_S, 2, FALSE))/(VLOOKUP(Main_S[[#This Row],[Industry]], Mean_PE_S, 3, FALSE))</f>
        <v>1.2076338880975435</v>
      </c>
      <c r="U2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3" spans="1:26" x14ac:dyDescent="0.25">
      <c r="A233" s="68" t="s">
        <v>150</v>
      </c>
      <c r="B233" s="68" t="s">
        <v>592</v>
      </c>
      <c r="C233" s="2">
        <v>336</v>
      </c>
      <c r="D233">
        <f>RTD("tos.rtd", , "LAST", Main_S[[#This Row],[Symbol]])</f>
        <v>3.95</v>
      </c>
      <c r="E233">
        <v>1.17</v>
      </c>
      <c r="F233">
        <v>8.6300000000000008</v>
      </c>
      <c r="G233">
        <v>-0.11</v>
      </c>
      <c r="H233" s="1">
        <f>IF(ISNUMBER(Main_S[[#This Row],[Free CF]]),IF(Main_S[[#This Row],[Free CF]]&lt;&gt;0,Main_S[[#This Row],[Current Price]]/Main_S[[#This Row],[Free CF]],""),"")</f>
        <v>3.3760683760683765</v>
      </c>
      <c r="I233" s="1">
        <f>IF(ISNUMBER(Main_S[[#This Row],[BVPS]]),IF(Main_S[[#This Row],[BVPS]]&lt;&gt;0,Main_S[[#This Row],[Current Price]]/Main_S[[#This Row],[BVPS]],""),"")</f>
        <v>0.45770567786790267</v>
      </c>
      <c r="J233">
        <v>-1.29</v>
      </c>
      <c r="K233">
        <v>-0.31</v>
      </c>
      <c r="L233">
        <v>2.06</v>
      </c>
      <c r="M233" s="1">
        <f>IF(ISNUMBER(Main_S[[#This Row],[EPS]]),IF(Main_S[[#This Row],[EPS]]&lt;&gt;0,Main_S[[#This Row],[Current Price]]/Main_S[[#This Row],[EPS]],""),"")</f>
        <v>-35.909090909090914</v>
      </c>
      <c r="N2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3" s="1">
        <f>(Main_S[[#This Row],[P/FCF]]-VLOOKUP(Main_S[[#This Row],[Industry]], Mean_PFCF_S, 2, FALSE))/(VLOOKUP(Main_S[[#This Row],[Industry]], Mean_PFCF_S, 3, FALSE))</f>
        <v>-0.15854807491218803</v>
      </c>
      <c r="P233" s="1">
        <f>(Main_S[[#This Row],[P/B]]-VLOOKUP(Main_S[[#This Row],[Industry]], Mean_PB_S, 2, FALSE))/(VLOOKUP(Main_S[[#This Row],[Industry]], Mean_PB_S, 3, FALSE))</f>
        <v>-1.1122301914591015</v>
      </c>
      <c r="Q233" s="1">
        <f>(Main_S[[#This Row],[ROE]]-VLOOKUP(Main_S[[#This Row],[Industry]], Mean_ROE_S, 2, FALSE))/(VLOOKUP(Main_S[[#This Row],[Industry]], Mean_ROE_S, 3, FALSE))</f>
        <v>-0.95575381471953669</v>
      </c>
      <c r="R233" s="1">
        <f>(Main_S[[#This Row],[ROA]]-VLOOKUP(Main_S[[#This Row],[Industry]], Mean_ROA_S, 2, FALSE))/(VLOOKUP(Main_S[[#This Row],[Industry]], Mean_ROA_S, 3, FALSE))</f>
        <v>-0.90145987046131804</v>
      </c>
      <c r="S233" s="1">
        <f>(Main_S[[#This Row],[A/E]]-VLOOKUP(Main_S[[#This Row],[Industry]], Mean_AE_S, 2, FALSE))/(VLOOKUP(Main_S[[#This Row],[Industry]], Mean_AE_S, 3, FALSE))</f>
        <v>-0.9233236444608891</v>
      </c>
      <c r="T233" s="1">
        <f>(Main_S[[#This Row],[P/E]]-VLOOKUP(Main_S[[#This Row],[Industry]], Mean_PE_S, 2, FALSE))/(VLOOKUP(Main_S[[#This Row],[Industry]], Mean_PE_S, 3, FALSE))</f>
        <v>-2.5711207567712742</v>
      </c>
      <c r="U2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4" spans="1:26" x14ac:dyDescent="0.25">
      <c r="A234" s="68" t="s">
        <v>150</v>
      </c>
      <c r="B234" s="68" t="s">
        <v>593</v>
      </c>
      <c r="C234" s="2">
        <v>1792</v>
      </c>
      <c r="D234">
        <f>RTD("tos.rtd", , "LAST", Main_S[[#This Row],[Symbol]])</f>
        <v>90.54</v>
      </c>
      <c r="E234">
        <v>1.17</v>
      </c>
      <c r="F234">
        <v>2.6</v>
      </c>
      <c r="G234">
        <v>2.19</v>
      </c>
      <c r="H234" s="1">
        <f>IF(ISNUMBER(Main_S[[#This Row],[Free CF]]),IF(Main_S[[#This Row],[Free CF]]&lt;&gt;0,Main_S[[#This Row],[Current Price]]/Main_S[[#This Row],[Free CF]],""),"")</f>
        <v>77.384615384615401</v>
      </c>
      <c r="I234" s="1">
        <f>IF(ISNUMBER(Main_S[[#This Row],[BVPS]]),IF(Main_S[[#This Row],[BVPS]]&lt;&gt;0,Main_S[[#This Row],[Current Price]]/Main_S[[#This Row],[BVPS]],""),"")</f>
        <v>34.823076923076925</v>
      </c>
      <c r="J234">
        <v>142.86000000000001</v>
      </c>
      <c r="K234">
        <v>33.590000000000003</v>
      </c>
      <c r="L234">
        <v>3.4</v>
      </c>
      <c r="M234" s="1">
        <f>IF(ISNUMBER(Main_S[[#This Row],[EPS]]),IF(Main_S[[#This Row],[EPS]]&lt;&gt;0,Main_S[[#This Row],[Current Price]]/Main_S[[#This Row],[EPS]],""),"")</f>
        <v>41.342465753424662</v>
      </c>
      <c r="N2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4" s="1">
        <f>(Main_S[[#This Row],[P/FCF]]-VLOOKUP(Main_S[[#This Row],[Industry]], Mean_PFCF_S, 2, FALSE))/(VLOOKUP(Main_S[[#This Row],[Industry]], Mean_PFCF_S, 3, FALSE))</f>
        <v>5.3075729134918506</v>
      </c>
      <c r="P234" s="1">
        <f>(Main_S[[#This Row],[P/B]]-VLOOKUP(Main_S[[#This Row],[Industry]], Mean_PB_S, 2, FALSE))/(VLOOKUP(Main_S[[#This Row],[Industry]], Mean_PB_S, 3, FALSE))</f>
        <v>35.072232034576288</v>
      </c>
      <c r="Q234" s="1">
        <f>(Main_S[[#This Row],[ROE]]-VLOOKUP(Main_S[[#This Row],[Industry]], Mean_ROE_S, 2, FALSE))/(VLOOKUP(Main_S[[#This Row],[Industry]], Mean_ROE_S, 3, FALSE))</f>
        <v>17.132858066304713</v>
      </c>
      <c r="R234" s="1">
        <f>(Main_S[[#This Row],[ROA]]-VLOOKUP(Main_S[[#This Row],[Industry]], Mean_ROA_S, 2, FALSE))/(VLOOKUP(Main_S[[#This Row],[Industry]], Mean_ROA_S, 3, FALSE))</f>
        <v>13.080403288454335</v>
      </c>
      <c r="S234" s="1">
        <f>(Main_S[[#This Row],[A/E]]-VLOOKUP(Main_S[[#This Row],[Industry]], Mean_AE_S, 2, FALSE))/(VLOOKUP(Main_S[[#This Row],[Industry]], Mean_AE_S, 3, FALSE))</f>
        <v>-0.54274730377261138</v>
      </c>
      <c r="T234" s="1">
        <f>(Main_S[[#This Row],[P/E]]-VLOOKUP(Main_S[[#This Row],[Industry]], Mean_PE_S, 2, FALSE))/(VLOOKUP(Main_S[[#This Row],[Industry]], Mean_PE_S, 3, FALSE))</f>
        <v>1.3622629143466147</v>
      </c>
      <c r="U2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5" spans="1:26" x14ac:dyDescent="0.25">
      <c r="A235" s="68" t="s">
        <v>215</v>
      </c>
      <c r="B235" s="68" t="s">
        <v>660</v>
      </c>
      <c r="C235" s="2">
        <v>789</v>
      </c>
      <c r="D235">
        <f>RTD("tos.rtd", , "LAST", Main_S[[#This Row],[Symbol]])</f>
        <v>8.83</v>
      </c>
      <c r="E235">
        <v>-2.96</v>
      </c>
      <c r="F235">
        <v>4.43</v>
      </c>
      <c r="G235">
        <v>-0.34</v>
      </c>
      <c r="H235" s="1">
        <f>IF(ISNUMBER(Main_S[[#This Row],[Free CF]]),IF(Main_S[[#This Row],[Free CF]]&lt;&gt;0,Main_S[[#This Row],[Current Price]]/Main_S[[#This Row],[Free CF]],""),"")</f>
        <v>-2.9831081081081083</v>
      </c>
      <c r="I235" s="1">
        <f>IF(ISNUMBER(Main_S[[#This Row],[BVPS]]),IF(Main_S[[#This Row],[BVPS]]&lt;&gt;0,Main_S[[#This Row],[Current Price]]/Main_S[[#This Row],[BVPS]],""),"")</f>
        <v>1.9932279909706547</v>
      </c>
      <c r="J235">
        <v>-8.48</v>
      </c>
      <c r="K235">
        <v>1.06</v>
      </c>
      <c r="L235">
        <v>2.06</v>
      </c>
      <c r="M235" s="1">
        <f>IF(ISNUMBER(Main_S[[#This Row],[EPS]]),IF(Main_S[[#This Row],[EPS]]&lt;&gt;0,Main_S[[#This Row],[Current Price]]/Main_S[[#This Row],[EPS]],""),"")</f>
        <v>-25.970588235294116</v>
      </c>
      <c r="N2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5" s="1">
        <f>(Main_S[[#This Row],[P/FCF]]-VLOOKUP(Main_S[[#This Row],[Industry]], Mean_PFCF_S, 2, FALSE))/(VLOOKUP(Main_S[[#This Row],[Industry]], Mean_PFCF_S, 3, FALSE))</f>
        <v>-1.6198742334279335</v>
      </c>
      <c r="P235" s="1">
        <f>(Main_S[[#This Row],[P/B]]-VLOOKUP(Main_S[[#This Row],[Industry]], Mean_PB_S, 2, FALSE))/(VLOOKUP(Main_S[[#This Row],[Industry]], Mean_PB_S, 3, FALSE))</f>
        <v>0.51345344431770634</v>
      </c>
      <c r="Q235" s="1">
        <f>(Main_S[[#This Row],[ROE]]-VLOOKUP(Main_S[[#This Row],[Industry]], Mean_ROE_S, 2, FALSE))/(VLOOKUP(Main_S[[#This Row],[Industry]], Mean_ROE_S, 3, FALSE))</f>
        <v>-1.9198292736548492</v>
      </c>
      <c r="R235" s="1">
        <f>(Main_S[[#This Row],[ROA]]-VLOOKUP(Main_S[[#This Row],[Industry]], Mean_ROA_S, 2, FALSE))/(VLOOKUP(Main_S[[#This Row],[Industry]], Mean_ROA_S, 3, FALSE))</f>
        <v>-0.86489090646064093</v>
      </c>
      <c r="S235" s="1">
        <f>(Main_S[[#This Row],[A/E]]-VLOOKUP(Main_S[[#This Row],[Industry]], Mean_AE_S, 2, FALSE))/(VLOOKUP(Main_S[[#This Row],[Industry]], Mean_AE_S, 3, FALSE))</f>
        <v>-1.2076996476704407</v>
      </c>
      <c r="T235" s="1">
        <f>(Main_S[[#This Row],[P/E]]-VLOOKUP(Main_S[[#This Row],[Industry]], Mean_PE_S, 2, FALSE))/(VLOOKUP(Main_S[[#This Row],[Industry]], Mean_PE_S, 3, FALSE))</f>
        <v>-6.689194027152678</v>
      </c>
      <c r="U2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6" spans="1:26" x14ac:dyDescent="0.25">
      <c r="A236" s="68" t="s">
        <v>215</v>
      </c>
      <c r="B236" s="68" t="s">
        <v>661</v>
      </c>
      <c r="C236" s="2">
        <v>884</v>
      </c>
      <c r="D236">
        <f>RTD("tos.rtd", , "LAST", Main_S[[#This Row],[Symbol]])</f>
        <v>9.84</v>
      </c>
      <c r="E236">
        <v>1.71</v>
      </c>
      <c r="F236">
        <v>1.67</v>
      </c>
      <c r="G236">
        <v>0.1</v>
      </c>
      <c r="H236" s="1">
        <f>IF(ISNUMBER(Main_S[[#This Row],[Free CF]]),IF(Main_S[[#This Row],[Free CF]]&lt;&gt;0,Main_S[[#This Row],[Current Price]]/Main_S[[#This Row],[Free CF]],""),"")</f>
        <v>5.7543859649122808</v>
      </c>
      <c r="I236" s="1">
        <f>IF(ISNUMBER(Main_S[[#This Row],[BVPS]]),IF(Main_S[[#This Row],[BVPS]]&lt;&gt;0,Main_S[[#This Row],[Current Price]]/Main_S[[#This Row],[BVPS]],""),"")</f>
        <v>5.8922155688622757</v>
      </c>
      <c r="J236">
        <v>12.87</v>
      </c>
      <c r="K236">
        <v>2.5099999999999998</v>
      </c>
      <c r="L236">
        <v>11.37</v>
      </c>
      <c r="M236" s="1">
        <f>IF(ISNUMBER(Main_S[[#This Row],[EPS]]),IF(Main_S[[#This Row],[EPS]]&lt;&gt;0,Main_S[[#This Row],[Current Price]]/Main_S[[#This Row],[EPS]],""),"")</f>
        <v>98.399999999999991</v>
      </c>
      <c r="N2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6" s="1">
        <f>(Main_S[[#This Row],[P/FCF]]-VLOOKUP(Main_S[[#This Row],[Industry]], Mean_PFCF_S, 2, FALSE))/(VLOOKUP(Main_S[[#This Row],[Industry]], Mean_PFCF_S, 3, FALSE))</f>
        <v>-0.44142534179927323</v>
      </c>
      <c r="P236" s="1">
        <f>(Main_S[[#This Row],[P/B]]-VLOOKUP(Main_S[[#This Row],[Industry]], Mean_PB_S, 2, FALSE))/(VLOOKUP(Main_S[[#This Row],[Industry]], Mean_PB_S, 3, FALSE))</f>
        <v>4.9937060139925231</v>
      </c>
      <c r="Q236" s="1">
        <f>(Main_S[[#This Row],[ROE]]-VLOOKUP(Main_S[[#This Row],[Industry]], Mean_ROE_S, 2, FALSE))/(VLOOKUP(Main_S[[#This Row],[Industry]], Mean_ROE_S, 3, FALSE))</f>
        <v>0.33210747760197046</v>
      </c>
      <c r="R236" s="1">
        <f>(Main_S[[#This Row],[ROA]]-VLOOKUP(Main_S[[#This Row],[Industry]], Mean_ROA_S, 2, FALSE))/(VLOOKUP(Main_S[[#This Row],[Industry]], Mean_ROA_S, 3, FALSE))</f>
        <v>0.23596216092693711</v>
      </c>
      <c r="S236" s="1">
        <f>(Main_S[[#This Row],[A/E]]-VLOOKUP(Main_S[[#This Row],[Industry]], Mean_AE_S, 2, FALSE))/(VLOOKUP(Main_S[[#This Row],[Industry]], Mean_AE_S, 3, FALSE))</f>
        <v>6.1855695000227469</v>
      </c>
      <c r="T236" s="1">
        <f>(Main_S[[#This Row],[P/E]]-VLOOKUP(Main_S[[#This Row],[Industry]], Mean_PE_S, 2, FALSE))/(VLOOKUP(Main_S[[#This Row],[Industry]], Mean_PE_S, 3, FALSE))</f>
        <v>13.949373759978073</v>
      </c>
      <c r="U2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7" spans="1:26" x14ac:dyDescent="0.25">
      <c r="A237" s="68" t="s">
        <v>215</v>
      </c>
      <c r="B237" s="68" t="s">
        <v>662</v>
      </c>
      <c r="C237" s="2">
        <v>615</v>
      </c>
      <c r="D237">
        <f>RTD("tos.rtd", , "LAST", Main_S[[#This Row],[Symbol]])</f>
        <v>22.71</v>
      </c>
      <c r="E237">
        <v>1.44</v>
      </c>
      <c r="F237">
        <v>14.56</v>
      </c>
      <c r="G237">
        <v>-1.64</v>
      </c>
      <c r="H237" s="1">
        <f>IF(ISNUMBER(Main_S[[#This Row],[Free CF]]),IF(Main_S[[#This Row],[Free CF]]&lt;&gt;0,Main_S[[#This Row],[Current Price]]/Main_S[[#This Row],[Free CF]],""),"")</f>
        <v>15.770833333333334</v>
      </c>
      <c r="I237" s="1">
        <f>IF(ISNUMBER(Main_S[[#This Row],[BVPS]]),IF(Main_S[[#This Row],[BVPS]]&lt;&gt;0,Main_S[[#This Row],[Current Price]]/Main_S[[#This Row],[BVPS]],""),"")</f>
        <v>1.5597527472527473</v>
      </c>
      <c r="J237">
        <v>-7.63</v>
      </c>
      <c r="K237">
        <v>-3.19</v>
      </c>
      <c r="L237">
        <v>4.26</v>
      </c>
      <c r="M237" s="1">
        <f>IF(ISNUMBER(Main_S[[#This Row],[EPS]]),IF(Main_S[[#This Row],[EPS]]&lt;&gt;0,Main_S[[#This Row],[Current Price]]/Main_S[[#This Row],[EPS]],""),"")</f>
        <v>-13.847560975609758</v>
      </c>
      <c r="N2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7" s="1">
        <f>(Main_S[[#This Row],[P/FCF]]-VLOOKUP(Main_S[[#This Row],[Industry]], Mean_PFCF_S, 2, FALSE))/(VLOOKUP(Main_S[[#This Row],[Industry]], Mean_PFCF_S, 3, FALSE))</f>
        <v>0.909519357072748</v>
      </c>
      <c r="P237" s="1">
        <f>(Main_S[[#This Row],[P/B]]-VLOOKUP(Main_S[[#This Row],[Industry]], Mean_PB_S, 2, FALSE))/(VLOOKUP(Main_S[[#This Row],[Industry]], Mean_PB_S, 3, FALSE))</f>
        <v>1.5355275046863954E-2</v>
      </c>
      <c r="Q237" s="1">
        <f>(Main_S[[#This Row],[ROE]]-VLOOKUP(Main_S[[#This Row],[Industry]], Mean_ROE_S, 2, FALSE))/(VLOOKUP(Main_S[[#This Row],[Industry]], Mean_ROE_S, 3, FALSE))</f>
        <v>-1.8301737121294019</v>
      </c>
      <c r="R237" s="1">
        <f>(Main_S[[#This Row],[ROA]]-VLOOKUP(Main_S[[#This Row],[Industry]], Mean_ROA_S, 2, FALSE))/(VLOOKUP(Main_S[[#This Row],[Industry]], Mean_ROA_S, 3, FALSE))</f>
        <v>-4.0915292074242329</v>
      </c>
      <c r="S237" s="1">
        <f>(Main_S[[#This Row],[A/E]]-VLOOKUP(Main_S[[#This Row],[Industry]], Mean_AE_S, 2, FALSE))/(VLOOKUP(Main_S[[#This Row],[Industry]], Mean_AE_S, 3, FALSE))</f>
        <v>0.53936717562977532</v>
      </c>
      <c r="T237" s="1">
        <f>(Main_S[[#This Row],[P/E]]-VLOOKUP(Main_S[[#This Row],[Industry]], Mean_PE_S, 2, FALSE))/(VLOOKUP(Main_S[[#This Row],[Industry]], Mean_PE_S, 3, FALSE))</f>
        <v>-4.6774489398746644</v>
      </c>
      <c r="U2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8" spans="1:26" x14ac:dyDescent="0.25">
      <c r="A238" s="68" t="s">
        <v>215</v>
      </c>
      <c r="B238" s="68" t="s">
        <v>663</v>
      </c>
      <c r="C238" s="2">
        <v>463</v>
      </c>
      <c r="D238">
        <f>RTD("tos.rtd", , "LAST", Main_S[[#This Row],[Symbol]])</f>
        <v>2.4</v>
      </c>
      <c r="E238">
        <v>0.05</v>
      </c>
      <c r="F238">
        <v>1.89</v>
      </c>
      <c r="G238">
        <v>-0.08</v>
      </c>
      <c r="H238" s="1">
        <f>IF(ISNUMBER(Main_S[[#This Row],[Free CF]]),IF(Main_S[[#This Row],[Free CF]]&lt;&gt;0,Main_S[[#This Row],[Current Price]]/Main_S[[#This Row],[Free CF]],""),"")</f>
        <v>47.999999999999993</v>
      </c>
      <c r="I238" s="1">
        <f>IF(ISNUMBER(Main_S[[#This Row],[BVPS]]),IF(Main_S[[#This Row],[BVPS]]&lt;&gt;0,Main_S[[#This Row],[Current Price]]/Main_S[[#This Row],[BVPS]],""),"")</f>
        <v>1.2698412698412698</v>
      </c>
      <c r="J238">
        <v>-4.16</v>
      </c>
      <c r="K238">
        <v>4.5</v>
      </c>
      <c r="L238">
        <v>3.92</v>
      </c>
      <c r="M238" s="1">
        <f>IF(ISNUMBER(Main_S[[#This Row],[EPS]]),IF(Main_S[[#This Row],[EPS]]&lt;&gt;0,Main_S[[#This Row],[Current Price]]/Main_S[[#This Row],[EPS]],""),"")</f>
        <v>-30</v>
      </c>
      <c r="N2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8" s="1">
        <f>(Main_S[[#This Row],[P/FCF]]-VLOOKUP(Main_S[[#This Row],[Industry]], Mean_PFCF_S, 2, FALSE))/(VLOOKUP(Main_S[[#This Row],[Industry]], Mean_PFCF_S, 3, FALSE))</f>
        <v>5.2563521467766678</v>
      </c>
      <c r="P238" s="1">
        <f>(Main_S[[#This Row],[P/B]]-VLOOKUP(Main_S[[#This Row],[Industry]], Mean_PB_S, 2, FALSE))/(VLOOKUP(Main_S[[#This Row],[Industry]], Mean_PB_S, 3, FALSE))</f>
        <v>-0.31777649716395256</v>
      </c>
      <c r="Q238" s="1">
        <f>(Main_S[[#This Row],[ROE]]-VLOOKUP(Main_S[[#This Row],[Industry]], Mean_ROE_S, 2, FALSE))/(VLOOKUP(Main_S[[#This Row],[Industry]], Mean_ROE_S, 3, FALSE))</f>
        <v>-1.4641680668431647</v>
      </c>
      <c r="R238" s="1">
        <f>(Main_S[[#This Row],[ROA]]-VLOOKUP(Main_S[[#This Row],[Industry]], Mean_ROA_S, 2, FALSE))/(VLOOKUP(Main_S[[#This Row],[Industry]], Mean_ROA_S, 3, FALSE))</f>
        <v>1.7467880947898895</v>
      </c>
      <c r="S238" s="1">
        <f>(Main_S[[#This Row],[A/E]]-VLOOKUP(Main_S[[#This Row],[Industry]], Mean_AE_S, 2, FALSE))/(VLOOKUP(Main_S[[#This Row],[Industry]], Mean_AE_S, 3, FALSE))</f>
        <v>0.26936593930156022</v>
      </c>
      <c r="T238" s="1">
        <f>(Main_S[[#This Row],[P/E]]-VLOOKUP(Main_S[[#This Row],[Industry]], Mean_PE_S, 2, FALSE))/(VLOOKUP(Main_S[[#This Row],[Industry]], Mean_PE_S, 3, FALSE))</f>
        <v>-7.3578512155452698</v>
      </c>
      <c r="U2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9" spans="1:26" x14ac:dyDescent="0.25">
      <c r="A239" s="68" t="s">
        <v>215</v>
      </c>
      <c r="B239" s="68" t="s">
        <v>664</v>
      </c>
      <c r="C239" s="2">
        <v>486</v>
      </c>
      <c r="D239">
        <f>RTD("tos.rtd", , "LAST", Main_S[[#This Row],[Symbol]])</f>
        <v>32.46</v>
      </c>
      <c r="E239">
        <v>1.04</v>
      </c>
      <c r="F239">
        <v>4.99</v>
      </c>
      <c r="G239">
        <v>0.19</v>
      </c>
      <c r="H239" s="1">
        <f>IF(ISNUMBER(Main_S[[#This Row],[Free CF]]),IF(Main_S[[#This Row],[Free CF]]&lt;&gt;0,Main_S[[#This Row],[Current Price]]/Main_S[[#This Row],[Free CF]],""),"")</f>
        <v>31.21153846153846</v>
      </c>
      <c r="I239" s="1">
        <f>IF(ISNUMBER(Main_S[[#This Row],[BVPS]]),IF(Main_S[[#This Row],[BVPS]]&lt;&gt;0,Main_S[[#This Row],[Current Price]]/Main_S[[#This Row],[BVPS]],""),"")</f>
        <v>6.5050100200400802</v>
      </c>
      <c r="J239">
        <v>18.670000000000002</v>
      </c>
      <c r="K239">
        <v>7.95</v>
      </c>
      <c r="L239">
        <v>4.38</v>
      </c>
      <c r="M239" s="1">
        <f>IF(ISNUMBER(Main_S[[#This Row],[EPS]]),IF(Main_S[[#This Row],[EPS]]&lt;&gt;0,Main_S[[#This Row],[Current Price]]/Main_S[[#This Row],[EPS]],""),"")</f>
        <v>170.84210526315789</v>
      </c>
      <c r="N2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9" s="1">
        <f>(Main_S[[#This Row],[P/FCF]]-VLOOKUP(Main_S[[#This Row],[Industry]], Mean_PFCF_S, 2, FALSE))/(VLOOKUP(Main_S[[#This Row],[Industry]], Mean_PFCF_S, 3, FALSE))</f>
        <v>2.9920480194364929</v>
      </c>
      <c r="P239" s="1">
        <f>(Main_S[[#This Row],[P/B]]-VLOOKUP(Main_S[[#This Row],[Industry]], Mean_PB_S, 2, FALSE))/(VLOOKUP(Main_S[[#This Row],[Industry]], Mean_PB_S, 3, FALSE))</f>
        <v>5.6978564786258179</v>
      </c>
      <c r="Q239" s="1">
        <f>(Main_S[[#This Row],[ROE]]-VLOOKUP(Main_S[[#This Row],[Industry]], Mean_ROE_S, 2, FALSE))/(VLOOKUP(Main_S[[#This Row],[Industry]], Mean_ROE_S, 3, FALSE))</f>
        <v>0.94387483859913957</v>
      </c>
      <c r="R239" s="1">
        <f>(Main_S[[#This Row],[ROA]]-VLOOKUP(Main_S[[#This Row],[Industry]], Mean_ROA_S, 2, FALSE))/(VLOOKUP(Main_S[[#This Row],[Industry]], Mean_ROA_S, 3, FALSE))</f>
        <v>4.3660591861603342</v>
      </c>
      <c r="S239" s="1">
        <f>(Main_S[[#This Row],[A/E]]-VLOOKUP(Main_S[[#This Row],[Industry]], Mean_AE_S, 2, FALSE))/(VLOOKUP(Main_S[[#This Row],[Industry]], Mean_AE_S, 3, FALSE))</f>
        <v>0.63466172962796907</v>
      </c>
      <c r="T239" s="1">
        <f>(Main_S[[#This Row],[P/E]]-VLOOKUP(Main_S[[#This Row],[Industry]], Mean_PE_S, 2, FALSE))/(VLOOKUP(Main_S[[#This Row],[Industry]], Mean_PE_S, 3, FALSE))</f>
        <v>25.970715150497149</v>
      </c>
      <c r="U2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0" spans="1:26" x14ac:dyDescent="0.25">
      <c r="A240" s="68" t="s">
        <v>215</v>
      </c>
      <c r="B240" s="68" t="s">
        <v>665</v>
      </c>
      <c r="C240" s="2">
        <v>459</v>
      </c>
      <c r="D240">
        <f>RTD("tos.rtd", , "LAST", Main_S[[#This Row],[Symbol]])</f>
        <v>1.31</v>
      </c>
      <c r="E240">
        <v>0.08</v>
      </c>
      <c r="F240">
        <v>1.81</v>
      </c>
      <c r="G240">
        <v>0.14000000000000001</v>
      </c>
      <c r="H240" s="1">
        <f>IF(ISNUMBER(Main_S[[#This Row],[Free CF]]),IF(Main_S[[#This Row],[Free CF]]&lt;&gt;0,Main_S[[#This Row],[Current Price]]/Main_S[[#This Row],[Free CF]],""),"")</f>
        <v>16.375</v>
      </c>
      <c r="I240" s="1">
        <f>IF(ISNUMBER(Main_S[[#This Row],[BVPS]]),IF(Main_S[[#This Row],[BVPS]]&lt;&gt;0,Main_S[[#This Row],[Current Price]]/Main_S[[#This Row],[BVPS]],""),"")</f>
        <v>0.72375690607734811</v>
      </c>
      <c r="J240">
        <v>7.35</v>
      </c>
      <c r="K240">
        <v>1.77</v>
      </c>
      <c r="L240">
        <v>1.35</v>
      </c>
      <c r="M240" s="1">
        <f>IF(ISNUMBER(Main_S[[#This Row],[EPS]]),IF(Main_S[[#This Row],[EPS]]&lt;&gt;0,Main_S[[#This Row],[Current Price]]/Main_S[[#This Row],[EPS]],""),"")</f>
        <v>9.3571428571428559</v>
      </c>
      <c r="N2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0" s="1">
        <f>(Main_S[[#This Row],[P/FCF]]-VLOOKUP(Main_S[[#This Row],[Industry]], Mean_PFCF_S, 2, FALSE))/(VLOOKUP(Main_S[[#This Row],[Industry]], Mean_PFCF_S, 3, FALSE))</f>
        <v>0.99100491033804439</v>
      </c>
      <c r="P240" s="1">
        <f>(Main_S[[#This Row],[P/B]]-VLOOKUP(Main_S[[#This Row],[Industry]], Mean_PB_S, 2, FALSE))/(VLOOKUP(Main_S[[#This Row],[Industry]], Mean_PB_S, 3, FALSE))</f>
        <v>-0.9452716674192897</v>
      </c>
      <c r="Q240" s="1">
        <f>(Main_S[[#This Row],[ROE]]-VLOOKUP(Main_S[[#This Row],[Industry]], Mean_ROE_S, 2, FALSE))/(VLOOKUP(Main_S[[#This Row],[Industry]], Mean_ROE_S, 3, FALSE))</f>
        <v>-0.25012628665740394</v>
      </c>
      <c r="R240" s="1">
        <f>(Main_S[[#This Row],[ROA]]-VLOOKUP(Main_S[[#This Row],[Industry]], Mean_ROA_S, 2, FALSE))/(VLOOKUP(Main_S[[#This Row],[Industry]], Mean_ROA_S, 3, FALSE))</f>
        <v>-0.32585250794672338</v>
      </c>
      <c r="S240" s="1">
        <f>(Main_S[[#This Row],[A/E]]-VLOOKUP(Main_S[[#This Row],[Industry]], Mean_AE_S, 2, FALSE))/(VLOOKUP(Main_S[[#This Row],[Industry]], Mean_AE_S, 3, FALSE))</f>
        <v>-1.7715257588264195</v>
      </c>
      <c r="T240" s="1">
        <f>(Main_S[[#This Row],[P/E]]-VLOOKUP(Main_S[[#This Row],[Industry]], Mean_PE_S, 2, FALSE))/(VLOOKUP(Main_S[[#This Row],[Industry]], Mean_PE_S, 3, FALSE))</f>
        <v>-0.82676478835715095</v>
      </c>
      <c r="U2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1" spans="1:26" x14ac:dyDescent="0.25">
      <c r="A241" s="68" t="s">
        <v>215</v>
      </c>
      <c r="B241" s="68" t="s">
        <v>666</v>
      </c>
      <c r="C241" s="2">
        <v>1708</v>
      </c>
      <c r="D241">
        <f>RTD("tos.rtd", , "LAST", Main_S[[#This Row],[Symbol]])</f>
        <v>41.6</v>
      </c>
      <c r="E241">
        <v>10.95</v>
      </c>
      <c r="F241">
        <v>31.51</v>
      </c>
      <c r="G241">
        <v>2.48</v>
      </c>
      <c r="H241" s="1">
        <f>IF(ISNUMBER(Main_S[[#This Row],[Free CF]]),IF(Main_S[[#This Row],[Free CF]]&lt;&gt;0,Main_S[[#This Row],[Current Price]]/Main_S[[#This Row],[Free CF]],""),"")</f>
        <v>3.7990867579908678</v>
      </c>
      <c r="I241" s="1">
        <f>IF(ISNUMBER(Main_S[[#This Row],[BVPS]]),IF(Main_S[[#This Row],[BVPS]]&lt;&gt;0,Main_S[[#This Row],[Current Price]]/Main_S[[#This Row],[BVPS]],""),"")</f>
        <v>1.3202158045065058</v>
      </c>
      <c r="J241">
        <v>8.35</v>
      </c>
      <c r="K241">
        <v>0.71</v>
      </c>
      <c r="L241">
        <v>11.25</v>
      </c>
      <c r="M241" s="1">
        <f>IF(ISNUMBER(Main_S[[#This Row],[EPS]]),IF(Main_S[[#This Row],[EPS]]&lt;&gt;0,Main_S[[#This Row],[Current Price]]/Main_S[[#This Row],[EPS]],""),"")</f>
        <v>16.774193548387096</v>
      </c>
      <c r="N2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1" s="1">
        <f>(Main_S[[#This Row],[P/FCF]]-VLOOKUP(Main_S[[#This Row],[Industry]], Mean_PFCF_S, 2, FALSE))/(VLOOKUP(Main_S[[#This Row],[Industry]], Mean_PFCF_S, 3, FALSE))</f>
        <v>-0.7051417076064791</v>
      </c>
      <c r="P241" s="1">
        <f>(Main_S[[#This Row],[P/B]]-VLOOKUP(Main_S[[#This Row],[Industry]], Mean_PB_S, 2, FALSE))/(VLOOKUP(Main_S[[#This Row],[Industry]], Mean_PB_S, 3, FALSE))</f>
        <v>-0.25989207617737964</v>
      </c>
      <c r="Q241" s="1">
        <f>(Main_S[[#This Row],[ROE]]-VLOOKUP(Main_S[[#This Row],[Industry]], Mean_ROE_S, 2, FALSE))/(VLOOKUP(Main_S[[#This Row],[Industry]], Mean_ROE_S, 3, FALSE))</f>
        <v>-0.14464915545099552</v>
      </c>
      <c r="R241" s="1">
        <f>(Main_S[[#This Row],[ROA]]-VLOOKUP(Main_S[[#This Row],[Industry]], Mean_ROA_S, 2, FALSE))/(VLOOKUP(Main_S[[#This Row],[Industry]], Mean_ROA_S, 3, FALSE))</f>
        <v>-1.1306140606576427</v>
      </c>
      <c r="S241" s="1">
        <f>(Main_S[[#This Row],[A/E]]-VLOOKUP(Main_S[[#This Row],[Industry]], Mean_AE_S, 2, FALSE))/(VLOOKUP(Main_S[[#This Row],[Industry]], Mean_AE_S, 3, FALSE))</f>
        <v>6.0902749460245538</v>
      </c>
      <c r="T241" s="1">
        <f>(Main_S[[#This Row],[P/E]]-VLOOKUP(Main_S[[#This Row],[Industry]], Mean_PE_S, 2, FALSE))/(VLOOKUP(Main_S[[#This Row],[Industry]], Mean_PE_S, 3, FALSE))</f>
        <v>0.40405115972074596</v>
      </c>
      <c r="U2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2" spans="1:26" x14ac:dyDescent="0.25">
      <c r="A242" s="68" t="s">
        <v>215</v>
      </c>
      <c r="B242" s="68" t="s">
        <v>667</v>
      </c>
      <c r="C242" s="2">
        <v>562</v>
      </c>
      <c r="D242">
        <f>RTD("tos.rtd", , "LAST", Main_S[[#This Row],[Symbol]])</f>
        <v>11.17</v>
      </c>
      <c r="E242">
        <v>5.09</v>
      </c>
      <c r="F242">
        <v>4.95</v>
      </c>
      <c r="G242">
        <v>1.55</v>
      </c>
      <c r="H242" s="1">
        <f>IF(ISNUMBER(Main_S[[#This Row],[Free CF]]),IF(Main_S[[#This Row],[Free CF]]&lt;&gt;0,Main_S[[#This Row],[Current Price]]/Main_S[[#This Row],[Free CF]],""),"")</f>
        <v>2.1944990176817289</v>
      </c>
      <c r="I242" s="1">
        <f>IF(ISNUMBER(Main_S[[#This Row],[BVPS]]),IF(Main_S[[#This Row],[BVPS]]&lt;&gt;0,Main_S[[#This Row],[Current Price]]/Main_S[[#This Row],[BVPS]],""),"")</f>
        <v>2.2565656565656567</v>
      </c>
      <c r="J242">
        <v>37.74</v>
      </c>
      <c r="K242">
        <v>6.12</v>
      </c>
      <c r="L242">
        <v>5.16</v>
      </c>
      <c r="M242" s="1">
        <f>IF(ISNUMBER(Main_S[[#This Row],[EPS]]),IF(Main_S[[#This Row],[EPS]]&lt;&gt;0,Main_S[[#This Row],[Current Price]]/Main_S[[#This Row],[EPS]],""),"")</f>
        <v>7.2064516129032254</v>
      </c>
      <c r="N2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2" s="1">
        <f>(Main_S[[#This Row],[P/FCF]]-VLOOKUP(Main_S[[#This Row],[Industry]], Mean_PFCF_S, 2, FALSE))/(VLOOKUP(Main_S[[#This Row],[Industry]], Mean_PFCF_S, 3, FALSE))</f>
        <v>-0.92155669207291013</v>
      </c>
      <c r="P242" s="1">
        <f>(Main_S[[#This Row],[P/B]]-VLOOKUP(Main_S[[#This Row],[Industry]], Mean_PB_S, 2, FALSE))/(VLOOKUP(Main_S[[#This Row],[Industry]], Mean_PB_S, 3, FALSE))</f>
        <v>0.81604975410440295</v>
      </c>
      <c r="Q242" s="1">
        <f>(Main_S[[#This Row],[ROE]]-VLOOKUP(Main_S[[#This Row],[Industry]], Mean_ROE_S, 2, FALSE))/(VLOOKUP(Main_S[[#This Row],[Industry]], Mean_ROE_S, 3, FALSE))</f>
        <v>2.9553237307053482</v>
      </c>
      <c r="R242" s="1">
        <f>(Main_S[[#This Row],[ROA]]-VLOOKUP(Main_S[[#This Row],[Industry]], Mean_ROA_S, 2, FALSE))/(VLOOKUP(Main_S[[#This Row],[Industry]], Mean_ROA_S, 3, FALSE))</f>
        <v>2.9767066942160114</v>
      </c>
      <c r="S242" s="1">
        <f>(Main_S[[#This Row],[A/E]]-VLOOKUP(Main_S[[#This Row],[Industry]], Mean_AE_S, 2, FALSE))/(VLOOKUP(Main_S[[#This Row],[Industry]], Mean_AE_S, 3, FALSE))</f>
        <v>1.2540763306162277</v>
      </c>
      <c r="T242" s="1">
        <f>(Main_S[[#This Row],[P/E]]-VLOOKUP(Main_S[[#This Row],[Industry]], Mean_PE_S, 2, FALSE))/(VLOOKUP(Main_S[[#This Row],[Industry]], Mean_PE_S, 3, FALSE))</f>
        <v>-1.1836593537302196</v>
      </c>
      <c r="U2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3" spans="1:26" x14ac:dyDescent="0.25">
      <c r="A243" s="68" t="s">
        <v>215</v>
      </c>
      <c r="B243" s="68" t="s">
        <v>668</v>
      </c>
      <c r="C243" s="2">
        <v>414</v>
      </c>
      <c r="D243">
        <f>RTD("tos.rtd", , "LAST", Main_S[[#This Row],[Symbol]])</f>
        <v>6.7</v>
      </c>
      <c r="E243">
        <v>0.02</v>
      </c>
      <c r="F243">
        <v>18.43</v>
      </c>
      <c r="G243">
        <v>-0.13</v>
      </c>
      <c r="H243" s="1">
        <f>IF(ISNUMBER(Main_S[[#This Row],[Free CF]]),IF(Main_S[[#This Row],[Free CF]]&lt;&gt;0,Main_S[[#This Row],[Current Price]]/Main_S[[#This Row],[Free CF]],""),"")</f>
        <v>335</v>
      </c>
      <c r="I243" s="1">
        <f>IF(ISNUMBER(Main_S[[#This Row],[BVPS]]),IF(Main_S[[#This Row],[BVPS]]&lt;&gt;0,Main_S[[#This Row],[Current Price]]/Main_S[[#This Row],[BVPS]],""),"")</f>
        <v>0.36353771025501902</v>
      </c>
      <c r="J243">
        <v>-4.49</v>
      </c>
      <c r="K243">
        <v>-0.12</v>
      </c>
      <c r="L243">
        <v>9.4</v>
      </c>
      <c r="M243" s="1">
        <f>IF(ISNUMBER(Main_S[[#This Row],[EPS]]),IF(Main_S[[#This Row],[EPS]]&lt;&gt;0,Main_S[[#This Row],[Current Price]]/Main_S[[#This Row],[EPS]],""),"")</f>
        <v>-51.53846153846154</v>
      </c>
      <c r="N2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3" s="1">
        <f>(Main_S[[#This Row],[P/FCF]]-VLOOKUP(Main_S[[#This Row],[Industry]], Mean_PFCF_S, 2, FALSE))/(VLOOKUP(Main_S[[#This Row],[Industry]], Mean_PFCF_S, 3, FALSE))</f>
        <v>43.96479979445683</v>
      </c>
      <c r="P243" s="1">
        <f>(Main_S[[#This Row],[P/B]]-VLOOKUP(Main_S[[#This Row],[Industry]], Mean_PB_S, 2, FALSE))/(VLOOKUP(Main_S[[#This Row],[Industry]], Mean_PB_S, 3, FALSE))</f>
        <v>-1.3591927034544669</v>
      </c>
      <c r="Q243" s="1">
        <f>(Main_S[[#This Row],[ROE]]-VLOOKUP(Main_S[[#This Row],[Industry]], Mean_ROE_S, 2, FALSE))/(VLOOKUP(Main_S[[#This Row],[Industry]], Mean_ROE_S, 3, FALSE))</f>
        <v>-1.4989755201412795</v>
      </c>
      <c r="R243" s="1">
        <f>(Main_S[[#This Row],[ROA]]-VLOOKUP(Main_S[[#This Row],[Industry]], Mean_ROA_S, 2, FALSE))/(VLOOKUP(Main_S[[#This Row],[Industry]], Mean_ROA_S, 3, FALSE))</f>
        <v>-1.7607575406105322</v>
      </c>
      <c r="S243" s="1">
        <f>(Main_S[[#This Row],[A/E]]-VLOOKUP(Main_S[[#This Row],[Industry]], Mean_AE_S, 2, FALSE))/(VLOOKUP(Main_S[[#This Row],[Industry]], Mean_AE_S, 3, FALSE))</f>
        <v>4.6211505718857362</v>
      </c>
      <c r="T243" s="1">
        <f>(Main_S[[#This Row],[P/E]]-VLOOKUP(Main_S[[#This Row],[Industry]], Mean_PE_S, 2, FALSE))/(VLOOKUP(Main_S[[#This Row],[Industry]], Mean_PE_S, 3, FALSE))</f>
        <v>-10.932032256251317</v>
      </c>
      <c r="U2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4" spans="1:26" x14ac:dyDescent="0.25">
      <c r="A244" s="68" t="s">
        <v>215</v>
      </c>
      <c r="B244" s="68" t="s">
        <v>669</v>
      </c>
      <c r="C244" s="2">
        <v>884</v>
      </c>
      <c r="D244">
        <f>RTD("tos.rtd", , "LAST", Main_S[[#This Row],[Symbol]])</f>
        <v>46.74</v>
      </c>
      <c r="E244">
        <v>0.78</v>
      </c>
      <c r="F244">
        <v>13.7</v>
      </c>
      <c r="G244">
        <v>2.48</v>
      </c>
      <c r="H244" s="1">
        <f>IF(ISNUMBER(Main_S[[#This Row],[Free CF]]),IF(Main_S[[#This Row],[Free CF]]&lt;&gt;0,Main_S[[#This Row],[Current Price]]/Main_S[[#This Row],[Free CF]],""),"")</f>
        <v>59.923076923076927</v>
      </c>
      <c r="I244" s="1">
        <f>IF(ISNUMBER(Main_S[[#This Row],[BVPS]]),IF(Main_S[[#This Row],[BVPS]]&lt;&gt;0,Main_S[[#This Row],[Current Price]]/Main_S[[#This Row],[BVPS]],""),"")</f>
        <v>3.4116788321167886</v>
      </c>
      <c r="J244">
        <v>16.89</v>
      </c>
      <c r="K244">
        <v>3.1</v>
      </c>
      <c r="L244">
        <v>4.4400000000000004</v>
      </c>
      <c r="M244" s="1">
        <f>IF(ISNUMBER(Main_S[[#This Row],[EPS]]),IF(Main_S[[#This Row],[EPS]]&lt;&gt;0,Main_S[[#This Row],[Current Price]]/Main_S[[#This Row],[EPS]],""),"")</f>
        <v>18.846774193548388</v>
      </c>
      <c r="N2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4" s="1">
        <f>(Main_S[[#This Row],[P/FCF]]-VLOOKUP(Main_S[[#This Row],[Industry]], Mean_PFCF_S, 2, FALSE))/(VLOOKUP(Main_S[[#This Row],[Industry]], Mean_PFCF_S, 3, FALSE))</f>
        <v>6.8644490069724418</v>
      </c>
      <c r="P244" s="1">
        <f>(Main_S[[#This Row],[P/B]]-VLOOKUP(Main_S[[#This Row],[Industry]], Mean_PB_S, 2, FALSE))/(VLOOKUP(Main_S[[#This Row],[Industry]], Mean_PB_S, 3, FALSE))</f>
        <v>2.1433683642926118</v>
      </c>
      <c r="Q244" s="1">
        <f>(Main_S[[#This Row],[ROE]]-VLOOKUP(Main_S[[#This Row],[Industry]], Mean_ROE_S, 2, FALSE))/(VLOOKUP(Main_S[[#This Row],[Industry]], Mean_ROE_S, 3, FALSE))</f>
        <v>0.75612554505173246</v>
      </c>
      <c r="R244" s="1">
        <f>(Main_S[[#This Row],[ROA]]-VLOOKUP(Main_S[[#This Row],[Industry]], Mean_ROA_S, 2, FALSE))/(VLOOKUP(Main_S[[#This Row],[Industry]], Mean_ROA_S, 3, FALSE))</f>
        <v>0.68389547800188299</v>
      </c>
      <c r="S244" s="1">
        <f>(Main_S[[#This Row],[A/E]]-VLOOKUP(Main_S[[#This Row],[Industry]], Mean_AE_S, 2, FALSE))/(VLOOKUP(Main_S[[#This Row],[Industry]], Mean_AE_S, 3, FALSE))</f>
        <v>0.68230900662706628</v>
      </c>
      <c r="T244" s="1">
        <f>(Main_S[[#This Row],[P/E]]-VLOOKUP(Main_S[[#This Row],[Industry]], Mean_PE_S, 2, FALSE))/(VLOOKUP(Main_S[[#This Row],[Industry]], Mean_PE_S, 3, FALSE))</f>
        <v>0.74798373048684375</v>
      </c>
      <c r="U2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5" spans="1:26" x14ac:dyDescent="0.25">
      <c r="A245" s="68" t="s">
        <v>215</v>
      </c>
      <c r="B245" s="68" t="s">
        <v>670</v>
      </c>
      <c r="C245" s="2">
        <v>1262</v>
      </c>
      <c r="D245">
        <f>RTD("tos.rtd", , "LAST", Main_S[[#This Row],[Symbol]])</f>
        <v>38.479999999999997</v>
      </c>
      <c r="E245">
        <v>9.9499999999999993</v>
      </c>
      <c r="F245">
        <v>11.34</v>
      </c>
      <c r="G245">
        <v>1.29</v>
      </c>
      <c r="H245" s="1">
        <f>IF(ISNUMBER(Main_S[[#This Row],[Free CF]]),IF(Main_S[[#This Row],[Free CF]]&lt;&gt;0,Main_S[[#This Row],[Current Price]]/Main_S[[#This Row],[Free CF]],""),"")</f>
        <v>3.8673366834170855</v>
      </c>
      <c r="I245" s="1">
        <f>IF(ISNUMBER(Main_S[[#This Row],[BVPS]]),IF(Main_S[[#This Row],[BVPS]]&lt;&gt;0,Main_S[[#This Row],[Current Price]]/Main_S[[#This Row],[BVPS]],""),"")</f>
        <v>3.3932980599647262</v>
      </c>
      <c r="J245">
        <v>13.6</v>
      </c>
      <c r="K245">
        <v>2.61</v>
      </c>
      <c r="L245">
        <v>4.47</v>
      </c>
      <c r="M245" s="1">
        <f>IF(ISNUMBER(Main_S[[#This Row],[EPS]]),IF(Main_S[[#This Row],[EPS]]&lt;&gt;0,Main_S[[#This Row],[Current Price]]/Main_S[[#This Row],[EPS]],""),"")</f>
        <v>29.829457364341081</v>
      </c>
      <c r="N2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5" s="1">
        <f>(Main_S[[#This Row],[P/FCF]]-VLOOKUP(Main_S[[#This Row],[Industry]], Mean_PFCF_S, 2, FALSE))/(VLOOKUP(Main_S[[#This Row],[Industry]], Mean_PFCF_S, 3, FALSE))</f>
        <v>-0.69593665999212773</v>
      </c>
      <c r="P245" s="1">
        <f>(Main_S[[#This Row],[P/B]]-VLOOKUP(Main_S[[#This Row],[Industry]], Mean_PB_S, 2, FALSE))/(VLOOKUP(Main_S[[#This Row],[Industry]], Mean_PB_S, 3, FALSE))</f>
        <v>2.1222473681309837</v>
      </c>
      <c r="Q245" s="1">
        <f>(Main_S[[#This Row],[ROE]]-VLOOKUP(Main_S[[#This Row],[Industry]], Mean_ROE_S, 2, FALSE))/(VLOOKUP(Main_S[[#This Row],[Industry]], Mean_ROE_S, 3, FALSE))</f>
        <v>0.40910578338264869</v>
      </c>
      <c r="R245" s="1">
        <f>(Main_S[[#This Row],[ROA]]-VLOOKUP(Main_S[[#This Row],[Industry]], Mean_ROA_S, 2, FALSE))/(VLOOKUP(Main_S[[#This Row],[Industry]], Mean_ROA_S, 3, FALSE))</f>
        <v>0.31188306212608052</v>
      </c>
      <c r="S245" s="1">
        <f>(Main_S[[#This Row],[A/E]]-VLOOKUP(Main_S[[#This Row],[Industry]], Mean_AE_S, 2, FALSE))/(VLOOKUP(Main_S[[#This Row],[Industry]], Mean_AE_S, 3, FALSE))</f>
        <v>0.70613264512661411</v>
      </c>
      <c r="T245" s="1">
        <f>(Main_S[[#This Row],[P/E]]-VLOOKUP(Main_S[[#This Row],[Industry]], Mean_PE_S, 2, FALSE))/(VLOOKUP(Main_S[[#This Row],[Industry]], Mean_PE_S, 3, FALSE))</f>
        <v>2.5704954217249592</v>
      </c>
      <c r="U2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6" spans="1:26" x14ac:dyDescent="0.25">
      <c r="A246" s="68" t="s">
        <v>215</v>
      </c>
      <c r="B246" s="68" t="s">
        <v>671</v>
      </c>
      <c r="C246" s="2">
        <v>702</v>
      </c>
      <c r="D246">
        <f>RTD("tos.rtd", , "LAST", Main_S[[#This Row],[Symbol]])</f>
        <v>19.78</v>
      </c>
      <c r="E246">
        <v>2</v>
      </c>
      <c r="F246">
        <v>16.38</v>
      </c>
      <c r="G246">
        <v>2.0299999999999998</v>
      </c>
      <c r="H246" s="1">
        <f>IF(ISNUMBER(Main_S[[#This Row],[Free CF]]),IF(Main_S[[#This Row],[Free CF]]&lt;&gt;0,Main_S[[#This Row],[Current Price]]/Main_S[[#This Row],[Free CF]],""),"")</f>
        <v>9.89</v>
      </c>
      <c r="I246" s="1">
        <f>IF(ISNUMBER(Main_S[[#This Row],[BVPS]]),IF(Main_S[[#This Row],[BVPS]]&lt;&gt;0,Main_S[[#This Row],[Current Price]]/Main_S[[#This Row],[BVPS]],""),"")</f>
        <v>1.2075702075702077</v>
      </c>
      <c r="J246">
        <v>13.11</v>
      </c>
      <c r="K246">
        <v>2.34</v>
      </c>
      <c r="L246">
        <v>4.05</v>
      </c>
      <c r="M246" s="1">
        <f>IF(ISNUMBER(Main_S[[#This Row],[EPS]]),IF(Main_S[[#This Row],[EPS]]&lt;&gt;0,Main_S[[#This Row],[Current Price]]/Main_S[[#This Row],[EPS]],""),"")</f>
        <v>9.7438423645320213</v>
      </c>
      <c r="N2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6" s="1">
        <f>(Main_S[[#This Row],[P/FCF]]-VLOOKUP(Main_S[[#This Row],[Industry]], Mean_PFCF_S, 2, FALSE))/(VLOOKUP(Main_S[[#This Row],[Industry]], Mean_PFCF_S, 3, FALSE))</f>
        <v>0.11635584066833764</v>
      </c>
      <c r="P246" s="1">
        <f>(Main_S[[#This Row],[P/B]]-VLOOKUP(Main_S[[#This Row],[Industry]], Mean_PB_S, 2, FALSE))/(VLOOKUP(Main_S[[#This Row],[Industry]], Mean_PB_S, 3, FALSE))</f>
        <v>-0.38933099206366961</v>
      </c>
      <c r="Q246" s="1">
        <f>(Main_S[[#This Row],[ROE]]-VLOOKUP(Main_S[[#This Row],[Industry]], Mean_ROE_S, 2, FALSE))/(VLOOKUP(Main_S[[#This Row],[Industry]], Mean_ROE_S, 3, FALSE))</f>
        <v>0.35742198909150852</v>
      </c>
      <c r="R246" s="1">
        <f>(Main_S[[#This Row],[ROA]]-VLOOKUP(Main_S[[#This Row],[Industry]], Mean_ROA_S, 2, FALSE))/(VLOOKUP(Main_S[[#This Row],[Industry]], Mean_ROA_S, 3, FALSE))</f>
        <v>0.10689662888839349</v>
      </c>
      <c r="S246" s="1">
        <f>(Main_S[[#This Row],[A/E]]-VLOOKUP(Main_S[[#This Row],[Industry]], Mean_AE_S, 2, FALSE))/(VLOOKUP(Main_S[[#This Row],[Industry]], Mean_AE_S, 3, FALSE))</f>
        <v>0.37260170613293653</v>
      </c>
      <c r="T246" s="1">
        <f>(Main_S[[#This Row],[P/E]]-VLOOKUP(Main_S[[#This Row],[Industry]], Mean_PE_S, 2, FALSE))/(VLOOKUP(Main_S[[#This Row],[Industry]], Mean_PE_S, 3, FALSE))</f>
        <v>-0.76259427899683163</v>
      </c>
      <c r="U2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7" spans="1:26" x14ac:dyDescent="0.25">
      <c r="A247" s="68" t="s">
        <v>215</v>
      </c>
      <c r="B247" s="68" t="s">
        <v>672</v>
      </c>
      <c r="C247" s="2">
        <v>577</v>
      </c>
      <c r="D247">
        <f>RTD("tos.rtd", , "LAST", Main_S[[#This Row],[Symbol]])</f>
        <v>17.75</v>
      </c>
      <c r="E247">
        <v>2</v>
      </c>
      <c r="F247">
        <v>16.38</v>
      </c>
      <c r="G247">
        <v>2.0299999999999998</v>
      </c>
      <c r="H247" s="1">
        <f>IF(ISNUMBER(Main_S[[#This Row],[Free CF]]),IF(Main_S[[#This Row],[Free CF]]&lt;&gt;0,Main_S[[#This Row],[Current Price]]/Main_S[[#This Row],[Free CF]],""),"")</f>
        <v>8.875</v>
      </c>
      <c r="I247" s="1">
        <f>IF(ISNUMBER(Main_S[[#This Row],[BVPS]]),IF(Main_S[[#This Row],[BVPS]]&lt;&gt;0,Main_S[[#This Row],[Current Price]]/Main_S[[#This Row],[BVPS]],""),"")</f>
        <v>1.0836385836385838</v>
      </c>
      <c r="J247">
        <v>13.11</v>
      </c>
      <c r="K247">
        <v>2.34</v>
      </c>
      <c r="L247">
        <v>4.05</v>
      </c>
      <c r="M247" s="1">
        <f>IF(ISNUMBER(Main_S[[#This Row],[EPS]]),IF(Main_S[[#This Row],[EPS]]&lt;&gt;0,Main_S[[#This Row],[Current Price]]/Main_S[[#This Row],[EPS]],""),"")</f>
        <v>8.7438423645320213</v>
      </c>
      <c r="N2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7" s="1">
        <f>(Main_S[[#This Row],[P/FCF]]-VLOOKUP(Main_S[[#This Row],[Industry]], Mean_PFCF_S, 2, FALSE))/(VLOOKUP(Main_S[[#This Row],[Industry]], Mean_PFCF_S, 3, FALSE))</f>
        <v>-2.0539888817360574E-2</v>
      </c>
      <c r="P247" s="1">
        <f>(Main_S[[#This Row],[P/B]]-VLOOKUP(Main_S[[#This Row],[Industry]], Mean_PB_S, 2, FALSE))/(VLOOKUP(Main_S[[#This Row],[Industry]], Mean_PB_S, 3, FALSE))</f>
        <v>-0.53173846720722473</v>
      </c>
      <c r="Q247" s="1">
        <f>(Main_S[[#This Row],[ROE]]-VLOOKUP(Main_S[[#This Row],[Industry]], Mean_ROE_S, 2, FALSE))/(VLOOKUP(Main_S[[#This Row],[Industry]], Mean_ROE_S, 3, FALSE))</f>
        <v>0.35742198909150852</v>
      </c>
      <c r="R247" s="1">
        <f>(Main_S[[#This Row],[ROA]]-VLOOKUP(Main_S[[#This Row],[Industry]], Mean_ROA_S, 2, FALSE))/(VLOOKUP(Main_S[[#This Row],[Industry]], Mean_ROA_S, 3, FALSE))</f>
        <v>0.10689662888839349</v>
      </c>
      <c r="S247" s="1">
        <f>(Main_S[[#This Row],[A/E]]-VLOOKUP(Main_S[[#This Row],[Industry]], Mean_AE_S, 2, FALSE))/(VLOOKUP(Main_S[[#This Row],[Industry]], Mean_AE_S, 3, FALSE))</f>
        <v>0.37260170613293653</v>
      </c>
      <c r="T247" s="1">
        <f>(Main_S[[#This Row],[P/E]]-VLOOKUP(Main_S[[#This Row],[Industry]], Mean_PE_S, 2, FALSE))/(VLOOKUP(Main_S[[#This Row],[Industry]], Mean_PE_S, 3, FALSE))</f>
        <v>-0.9285383987438981</v>
      </c>
      <c r="U2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8" spans="1:26" x14ac:dyDescent="0.25">
      <c r="A248" s="68" t="s">
        <v>215</v>
      </c>
      <c r="B248" s="68" t="s">
        <v>673</v>
      </c>
      <c r="C248" s="2">
        <v>1160</v>
      </c>
      <c r="D248">
        <f>RTD("tos.rtd", , "LAST", Main_S[[#This Row],[Symbol]])</f>
        <v>49.5</v>
      </c>
      <c r="E248">
        <v>3.48</v>
      </c>
      <c r="F248">
        <v>44.43</v>
      </c>
      <c r="G248">
        <v>4.13</v>
      </c>
      <c r="H248" s="1">
        <f>IF(ISNUMBER(Main_S[[#This Row],[Free CF]]),IF(Main_S[[#This Row],[Free CF]]&lt;&gt;0,Main_S[[#This Row],[Current Price]]/Main_S[[#This Row],[Free CF]],""),"")</f>
        <v>14.224137931034482</v>
      </c>
      <c r="I248" s="1">
        <f>IF(ISNUMBER(Main_S[[#This Row],[BVPS]]),IF(Main_S[[#This Row],[BVPS]]&lt;&gt;0,Main_S[[#This Row],[Current Price]]/Main_S[[#This Row],[BVPS]],""),"")</f>
        <v>1.1141120864280891</v>
      </c>
      <c r="J248">
        <v>9.84</v>
      </c>
      <c r="K248">
        <v>2.2400000000000002</v>
      </c>
      <c r="L248">
        <v>3.31</v>
      </c>
      <c r="M248" s="1">
        <f>IF(ISNUMBER(Main_S[[#This Row],[EPS]]),IF(Main_S[[#This Row],[EPS]]&lt;&gt;0,Main_S[[#This Row],[Current Price]]/Main_S[[#This Row],[EPS]],""),"")</f>
        <v>11.985472154963681</v>
      </c>
      <c r="N2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8" s="1">
        <f>(Main_S[[#This Row],[P/FCF]]-VLOOKUP(Main_S[[#This Row],[Industry]], Mean_PFCF_S, 2, FALSE))/(VLOOKUP(Main_S[[#This Row],[Industry]], Mean_PFCF_S, 3, FALSE))</f>
        <v>0.7009124650630173</v>
      </c>
      <c r="P248" s="1">
        <f>(Main_S[[#This Row],[P/B]]-VLOOKUP(Main_S[[#This Row],[Industry]], Mean_PB_S, 2, FALSE))/(VLOOKUP(Main_S[[#This Row],[Industry]], Mean_PB_S, 3, FALSE))</f>
        <v>-0.4967219439554369</v>
      </c>
      <c r="Q248" s="1">
        <f>(Main_S[[#This Row],[ROE]]-VLOOKUP(Main_S[[#This Row],[Industry]], Mean_ROE_S, 2, FALSE))/(VLOOKUP(Main_S[[#This Row],[Industry]], Mean_ROE_S, 3, FALSE))</f>
        <v>1.2511770046553046E-2</v>
      </c>
      <c r="R248" s="1">
        <f>(Main_S[[#This Row],[ROA]]-VLOOKUP(Main_S[[#This Row],[Industry]], Mean_ROA_S, 2, FALSE))/(VLOOKUP(Main_S[[#This Row],[Industry]], Mean_ROA_S, 3, FALSE))</f>
        <v>3.0975727689250439E-2</v>
      </c>
      <c r="S248" s="1">
        <f>(Main_S[[#This Row],[A/E]]-VLOOKUP(Main_S[[#This Row],[Industry]], Mean_AE_S, 2, FALSE))/(VLOOKUP(Main_S[[#This Row],[Industry]], Mean_AE_S, 3, FALSE))</f>
        <v>-0.21504804352259055</v>
      </c>
      <c r="T248" s="1">
        <f>(Main_S[[#This Row],[P/E]]-VLOOKUP(Main_S[[#This Row],[Industry]], Mean_PE_S, 2, FALSE))/(VLOOKUP(Main_S[[#This Row],[Industry]], Mean_PE_S, 3, FALSE))</f>
        <v>-0.39060899662484866</v>
      </c>
      <c r="U2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9" spans="1:26" x14ac:dyDescent="0.25">
      <c r="A249" s="68" t="s">
        <v>215</v>
      </c>
      <c r="B249" s="68" t="s">
        <v>674</v>
      </c>
      <c r="C249" s="2">
        <v>1847</v>
      </c>
      <c r="D249">
        <f>RTD("tos.rtd", , "LAST", Main_S[[#This Row],[Symbol]])</f>
        <v>17.28</v>
      </c>
      <c r="E249">
        <v>5.33</v>
      </c>
      <c r="F249">
        <v>21.91</v>
      </c>
      <c r="G249">
        <v>0.98</v>
      </c>
      <c r="H249" s="1">
        <f>IF(ISNUMBER(Main_S[[#This Row],[Free CF]]),IF(Main_S[[#This Row],[Free CF]]&lt;&gt;0,Main_S[[#This Row],[Current Price]]/Main_S[[#This Row],[Free CF]],""),"")</f>
        <v>3.2420262664165107</v>
      </c>
      <c r="I249" s="1">
        <f>IF(ISNUMBER(Main_S[[#This Row],[BVPS]]),IF(Main_S[[#This Row],[BVPS]]&lt;&gt;0,Main_S[[#This Row],[Current Price]]/Main_S[[#This Row],[BVPS]],""),"")</f>
        <v>0.78868096759470563</v>
      </c>
      <c r="J249">
        <v>4.63</v>
      </c>
      <c r="K249">
        <v>0.97</v>
      </c>
      <c r="L249">
        <v>4.8099999999999996</v>
      </c>
      <c r="M249" s="1">
        <f>IF(ISNUMBER(Main_S[[#This Row],[EPS]]),IF(Main_S[[#This Row],[EPS]]&lt;&gt;0,Main_S[[#This Row],[Current Price]]/Main_S[[#This Row],[EPS]],""),"")</f>
        <v>17.632653061224492</v>
      </c>
      <c r="N2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9" s="1">
        <f>(Main_S[[#This Row],[P/FCF]]-VLOOKUP(Main_S[[#This Row],[Industry]], Mean_PFCF_S, 2, FALSE))/(VLOOKUP(Main_S[[#This Row],[Industry]], Mean_PFCF_S, 3, FALSE))</f>
        <v>-0.78027392668207818</v>
      </c>
      <c r="P249" s="1">
        <f>(Main_S[[#This Row],[P/B]]-VLOOKUP(Main_S[[#This Row],[Industry]], Mean_PB_S, 2, FALSE))/(VLOOKUP(Main_S[[#This Row],[Industry]], Mean_PB_S, 3, FALSE))</f>
        <v>-0.87066866147584465</v>
      </c>
      <c r="Q249" s="1">
        <f>(Main_S[[#This Row],[ROE]]-VLOOKUP(Main_S[[#This Row],[Industry]], Mean_ROE_S, 2, FALSE))/(VLOOKUP(Main_S[[#This Row],[Industry]], Mean_ROE_S, 3, FALSE))</f>
        <v>-0.5370240835388348</v>
      </c>
      <c r="R249" s="1">
        <f>(Main_S[[#This Row],[ROA]]-VLOOKUP(Main_S[[#This Row],[Industry]], Mean_ROA_S, 2, FALSE))/(VLOOKUP(Main_S[[#This Row],[Industry]], Mean_ROA_S, 3, FALSE))</f>
        <v>-0.93321971753986999</v>
      </c>
      <c r="S249" s="1">
        <f>(Main_S[[#This Row],[A/E]]-VLOOKUP(Main_S[[#This Row],[Industry]], Mean_AE_S, 2, FALSE))/(VLOOKUP(Main_S[[#This Row],[Industry]], Mean_AE_S, 3, FALSE))</f>
        <v>0.97613388145482927</v>
      </c>
      <c r="T249" s="1">
        <f>(Main_S[[#This Row],[P/E]]-VLOOKUP(Main_S[[#This Row],[Industry]], Mean_PE_S, 2, FALSE))/(VLOOKUP(Main_S[[#This Row],[Industry]], Mean_PE_S, 3, FALSE))</f>
        <v>0.54650746791704308</v>
      </c>
      <c r="U2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0" spans="1:26" x14ac:dyDescent="0.25">
      <c r="A250" s="68" t="s">
        <v>215</v>
      </c>
      <c r="B250" s="68" t="s">
        <v>675</v>
      </c>
      <c r="C250" s="2">
        <v>395</v>
      </c>
      <c r="D250">
        <f>RTD("tos.rtd", , "LAST", Main_S[[#This Row],[Symbol]])</f>
        <v>29.88</v>
      </c>
      <c r="E250">
        <v>2.82</v>
      </c>
      <c r="F250">
        <v>49.98</v>
      </c>
      <c r="G250">
        <v>3.12</v>
      </c>
      <c r="H250" s="1">
        <f>IF(ISNUMBER(Main_S[[#This Row],[Free CF]]),IF(Main_S[[#This Row],[Free CF]]&lt;&gt;0,Main_S[[#This Row],[Current Price]]/Main_S[[#This Row],[Free CF]],""),"")</f>
        <v>10.595744680851064</v>
      </c>
      <c r="I250" s="1">
        <f>IF(ISNUMBER(Main_S[[#This Row],[BVPS]]),IF(Main_S[[#This Row],[BVPS]]&lt;&gt;0,Main_S[[#This Row],[Current Price]]/Main_S[[#This Row],[BVPS]],""),"")</f>
        <v>0.59783913565426172</v>
      </c>
      <c r="J250">
        <v>6.46</v>
      </c>
      <c r="K250">
        <v>1.98</v>
      </c>
      <c r="L250">
        <v>2.5299999999999998</v>
      </c>
      <c r="M250" s="1">
        <f>IF(ISNUMBER(Main_S[[#This Row],[EPS]]),IF(Main_S[[#This Row],[EPS]]&lt;&gt;0,Main_S[[#This Row],[Current Price]]/Main_S[[#This Row],[EPS]],""),"")</f>
        <v>9.5769230769230766</v>
      </c>
      <c r="N2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0" s="1">
        <f>(Main_S[[#This Row],[P/FCF]]-VLOOKUP(Main_S[[#This Row],[Industry]], Mean_PFCF_S, 2, FALSE))/(VLOOKUP(Main_S[[#This Row],[Industry]], Mean_PFCF_S, 3, FALSE))</f>
        <v>0.21154148886120225</v>
      </c>
      <c r="P250" s="1">
        <f>(Main_S[[#This Row],[P/B]]-VLOOKUP(Main_S[[#This Row],[Industry]], Mean_PB_S, 2, FALSE))/(VLOOKUP(Main_S[[#This Row],[Industry]], Mean_PB_S, 3, FALSE))</f>
        <v>-1.0899613857719748</v>
      </c>
      <c r="Q250" s="1">
        <f>(Main_S[[#This Row],[ROE]]-VLOOKUP(Main_S[[#This Row],[Industry]], Mean_ROE_S, 2, FALSE))/(VLOOKUP(Main_S[[#This Row],[Industry]], Mean_ROE_S, 3, FALSE))</f>
        <v>-0.34400093343110738</v>
      </c>
      <c r="R250" s="1">
        <f>(Main_S[[#This Row],[ROA]]-VLOOKUP(Main_S[[#This Row],[Industry]], Mean_ROA_S, 2, FALSE))/(VLOOKUP(Main_S[[#This Row],[Industry]], Mean_ROA_S, 3, FALSE))</f>
        <v>-0.1664186154285224</v>
      </c>
      <c r="S250" s="1">
        <f>(Main_S[[#This Row],[A/E]]-VLOOKUP(Main_S[[#This Row],[Industry]], Mean_AE_S, 2, FALSE))/(VLOOKUP(Main_S[[#This Row],[Industry]], Mean_AE_S, 3, FALSE))</f>
        <v>-0.83446264451084917</v>
      </c>
      <c r="T250" s="1">
        <f>(Main_S[[#This Row],[P/E]]-VLOOKUP(Main_S[[#This Row],[Industry]], Mean_PE_S, 2, FALSE))/(VLOOKUP(Main_S[[#This Row],[Industry]], Mean_PE_S, 3, FALSE))</f>
        <v>-0.79029355324790529</v>
      </c>
      <c r="U2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1" spans="1:26" x14ac:dyDescent="0.25">
      <c r="A251" s="68" t="s">
        <v>215</v>
      </c>
      <c r="B251" s="68" t="s">
        <v>676</v>
      </c>
      <c r="C251" s="2">
        <v>1624</v>
      </c>
      <c r="D251">
        <f>RTD("tos.rtd", , "LAST", Main_S[[#This Row],[Symbol]])</f>
        <v>161.97</v>
      </c>
      <c r="E251">
        <v>32.79</v>
      </c>
      <c r="F251">
        <v>42.1</v>
      </c>
      <c r="G251">
        <v>8.89</v>
      </c>
      <c r="H251" s="1">
        <f>IF(ISNUMBER(Main_S[[#This Row],[Free CF]]),IF(Main_S[[#This Row],[Free CF]]&lt;&gt;0,Main_S[[#This Row],[Current Price]]/Main_S[[#This Row],[Free CF]],""),"")</f>
        <v>4.9396157365050319</v>
      </c>
      <c r="I251" s="1">
        <f>IF(ISNUMBER(Main_S[[#This Row],[BVPS]]),IF(Main_S[[#This Row],[BVPS]]&lt;&gt;0,Main_S[[#This Row],[Current Price]]/Main_S[[#This Row],[BVPS]],""),"")</f>
        <v>3.8472684085510687</v>
      </c>
      <c r="J251">
        <v>28.59</v>
      </c>
      <c r="K251">
        <v>5.78</v>
      </c>
      <c r="L251">
        <v>4.92</v>
      </c>
      <c r="M251" s="1">
        <f>IF(ISNUMBER(Main_S[[#This Row],[EPS]]),IF(Main_S[[#This Row],[EPS]]&lt;&gt;0,Main_S[[#This Row],[Current Price]]/Main_S[[#This Row],[EPS]],""),"")</f>
        <v>18.219347581552306</v>
      </c>
      <c r="N2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1" s="1">
        <f>(Main_S[[#This Row],[P/FCF]]-VLOOKUP(Main_S[[#This Row],[Industry]], Mean_PFCF_S, 2, FALSE))/(VLOOKUP(Main_S[[#This Row],[Industry]], Mean_PFCF_S, 3, FALSE))</f>
        <v>-0.55131555340620841</v>
      </c>
      <c r="P251" s="1">
        <f>(Main_S[[#This Row],[P/B]]-VLOOKUP(Main_S[[#This Row],[Industry]], Mean_PB_S, 2, FALSE))/(VLOOKUP(Main_S[[#This Row],[Industry]], Mean_PB_S, 3, FALSE))</f>
        <v>2.6438960731289014</v>
      </c>
      <c r="Q251" s="1">
        <f>(Main_S[[#This Row],[ROE]]-VLOOKUP(Main_S[[#This Row],[Industry]], Mean_ROE_S, 2, FALSE))/(VLOOKUP(Main_S[[#This Row],[Industry]], Mean_ROE_S, 3, FALSE))</f>
        <v>1.990207980166711</v>
      </c>
      <c r="R251" s="1">
        <f>(Main_S[[#This Row],[ROA]]-VLOOKUP(Main_S[[#This Row],[Industry]], Mean_ROA_S, 2, FALSE))/(VLOOKUP(Main_S[[#This Row],[Industry]], Mean_ROA_S, 3, FALSE))</f>
        <v>2.7185756301389241</v>
      </c>
      <c r="S251" s="1">
        <f>(Main_S[[#This Row],[A/E]]-VLOOKUP(Main_S[[#This Row],[Industry]], Mean_AE_S, 2, FALSE))/(VLOOKUP(Main_S[[#This Row],[Industry]], Mean_AE_S, 3, FALSE))</f>
        <v>1.0634872226198404</v>
      </c>
      <c r="T251" s="1">
        <f>(Main_S[[#This Row],[P/E]]-VLOOKUP(Main_S[[#This Row],[Industry]], Mean_PE_S, 2, FALSE))/(VLOOKUP(Main_S[[#This Row],[Industry]], Mean_PE_S, 3, FALSE))</f>
        <v>0.6438659736532697</v>
      </c>
      <c r="U2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2" spans="1:26" x14ac:dyDescent="0.25">
      <c r="A252" s="68" t="s">
        <v>215</v>
      </c>
      <c r="B252" s="68" t="s">
        <v>677</v>
      </c>
      <c r="C252" s="2">
        <v>1958</v>
      </c>
      <c r="D252">
        <f>RTD("tos.rtd", , "LAST", Main_S[[#This Row],[Symbol]])</f>
        <v>20.67</v>
      </c>
      <c r="E252">
        <v>7.22</v>
      </c>
      <c r="F252">
        <v>22.95</v>
      </c>
      <c r="G252">
        <v>3.67</v>
      </c>
      <c r="H252" s="1">
        <f>IF(ISNUMBER(Main_S[[#This Row],[Free CF]]),IF(Main_S[[#This Row],[Free CF]]&lt;&gt;0,Main_S[[#This Row],[Current Price]]/Main_S[[#This Row],[Free CF]],""),"")</f>
        <v>2.8628808864265931</v>
      </c>
      <c r="I252" s="1">
        <f>IF(ISNUMBER(Main_S[[#This Row],[BVPS]]),IF(Main_S[[#This Row],[BVPS]]&lt;&gt;0,Main_S[[#This Row],[Current Price]]/Main_S[[#This Row],[BVPS]],""),"")</f>
        <v>0.90065359477124196</v>
      </c>
      <c r="J252">
        <v>28.02</v>
      </c>
      <c r="K252">
        <v>5.59</v>
      </c>
      <c r="L252">
        <v>3.35</v>
      </c>
      <c r="M252" s="1">
        <f>IF(ISNUMBER(Main_S[[#This Row],[EPS]]),IF(Main_S[[#This Row],[EPS]]&lt;&gt;0,Main_S[[#This Row],[Current Price]]/Main_S[[#This Row],[EPS]],""),"")</f>
        <v>5.6321525885558588</v>
      </c>
      <c r="N2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52" s="1">
        <f>(Main_S[[#This Row],[P/FCF]]-VLOOKUP(Main_S[[#This Row],[Industry]], Mean_PFCF_S, 2, FALSE))/(VLOOKUP(Main_S[[#This Row],[Industry]], Mean_PFCF_S, 3, FALSE))</f>
        <v>-0.83141026498242498</v>
      </c>
      <c r="P252" s="1">
        <f>(Main_S[[#This Row],[P/B]]-VLOOKUP(Main_S[[#This Row],[Industry]], Mean_PB_S, 2, FALSE))/(VLOOKUP(Main_S[[#This Row],[Industry]], Mean_PB_S, 3, FALSE))</f>
        <v>-0.74200304235833192</v>
      </c>
      <c r="Q252" s="1">
        <f>(Main_S[[#This Row],[ROE]]-VLOOKUP(Main_S[[#This Row],[Industry]], Mean_ROE_S, 2, FALSE))/(VLOOKUP(Main_S[[#This Row],[Industry]], Mean_ROE_S, 3, FALSE))</f>
        <v>1.930086015379058</v>
      </c>
      <c r="R252" s="1">
        <f>(Main_S[[#This Row],[ROA]]-VLOOKUP(Main_S[[#This Row],[Industry]], Mean_ROA_S, 2, FALSE))/(VLOOKUP(Main_S[[#This Row],[Industry]], Mean_ROA_S, 3, FALSE))</f>
        <v>2.5743259178605515</v>
      </c>
      <c r="S252" s="1">
        <f>(Main_S[[#This Row],[A/E]]-VLOOKUP(Main_S[[#This Row],[Industry]], Mean_AE_S, 2, FALSE))/(VLOOKUP(Main_S[[#This Row],[Industry]], Mean_AE_S, 3, FALSE))</f>
        <v>-0.18328319218985931</v>
      </c>
      <c r="T252" s="1">
        <f>(Main_S[[#This Row],[P/E]]-VLOOKUP(Main_S[[#This Row],[Industry]], Mean_PE_S, 2, FALSE))/(VLOOKUP(Main_S[[#This Row],[Industry]], Mean_PE_S, 3, FALSE))</f>
        <v>-1.444905019544209</v>
      </c>
      <c r="U2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3" spans="1:26" x14ac:dyDescent="0.25">
      <c r="A253" s="68" t="s">
        <v>215</v>
      </c>
      <c r="B253" s="68" t="s">
        <v>678</v>
      </c>
      <c r="C253" s="2">
        <v>744</v>
      </c>
      <c r="D253">
        <f>RTD("tos.rtd", , "LAST", Main_S[[#This Row],[Symbol]])</f>
        <v>25.97</v>
      </c>
      <c r="E253">
        <v>2.58</v>
      </c>
      <c r="F253">
        <v>9.93</v>
      </c>
      <c r="G253">
        <v>2.0099999999999998</v>
      </c>
      <c r="H253" s="1">
        <f>IF(ISNUMBER(Main_S[[#This Row],[Free CF]]),IF(Main_S[[#This Row],[Free CF]]&lt;&gt;0,Main_S[[#This Row],[Current Price]]/Main_S[[#This Row],[Free CF]],""),"")</f>
        <v>10.065891472868216</v>
      </c>
      <c r="I253" s="1">
        <f>IF(ISNUMBER(Main_S[[#This Row],[BVPS]]),IF(Main_S[[#This Row],[BVPS]]&lt;&gt;0,Main_S[[#This Row],[Current Price]]/Main_S[[#This Row],[BVPS]],""),"")</f>
        <v>2.6153071500503526</v>
      </c>
      <c r="J253">
        <v>24.08</v>
      </c>
      <c r="K253">
        <v>2.5499999999999998</v>
      </c>
      <c r="L253">
        <v>8.49</v>
      </c>
      <c r="M253" s="1">
        <f>IF(ISNUMBER(Main_S[[#This Row],[EPS]]),IF(Main_S[[#This Row],[EPS]]&lt;&gt;0,Main_S[[#This Row],[Current Price]]/Main_S[[#This Row],[EPS]],""),"")</f>
        <v>12.920398009950249</v>
      </c>
      <c r="N2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3" s="1">
        <f>(Main_S[[#This Row],[P/FCF]]-VLOOKUP(Main_S[[#This Row],[Industry]], Mean_PFCF_S, 2, FALSE))/(VLOOKUP(Main_S[[#This Row],[Industry]], Mean_PFCF_S, 3, FALSE))</f>
        <v>0.14007878794775466</v>
      </c>
      <c r="P253" s="1">
        <f>(Main_S[[#This Row],[P/B]]-VLOOKUP(Main_S[[#This Row],[Industry]], Mean_PB_S, 2, FALSE))/(VLOOKUP(Main_S[[#This Row],[Industry]], Mean_PB_S, 3, FALSE))</f>
        <v>1.2282727904503954</v>
      </c>
      <c r="Q253" s="1">
        <f>(Main_S[[#This Row],[ROE]]-VLOOKUP(Main_S[[#This Row],[Industry]], Mean_ROE_S, 2, FALSE))/(VLOOKUP(Main_S[[#This Row],[Industry]], Mean_ROE_S, 3, FALSE))</f>
        <v>1.5145061184258088</v>
      </c>
      <c r="R253" s="1">
        <f>(Main_S[[#This Row],[ROA]]-VLOOKUP(Main_S[[#This Row],[Industry]], Mean_ROA_S, 2, FALSE))/(VLOOKUP(Main_S[[#This Row],[Industry]], Mean_ROA_S, 3, FALSE))</f>
        <v>0.26633052140659447</v>
      </c>
      <c r="S253" s="1">
        <f>(Main_S[[#This Row],[A/E]]-VLOOKUP(Main_S[[#This Row],[Industry]], Mean_AE_S, 2, FALSE))/(VLOOKUP(Main_S[[#This Row],[Industry]], Mean_AE_S, 3, FALSE))</f>
        <v>3.8985002040661008</v>
      </c>
      <c r="T253" s="1">
        <f>(Main_S[[#This Row],[P/E]]-VLOOKUP(Main_S[[#This Row],[Industry]], Mean_PE_S, 2, FALSE))/(VLOOKUP(Main_S[[#This Row],[Industry]], Mean_PE_S, 3, FALSE))</f>
        <v>-0.23546354859032895</v>
      </c>
      <c r="U2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4" spans="1:26" x14ac:dyDescent="0.25">
      <c r="A254" s="68" t="s">
        <v>215</v>
      </c>
      <c r="B254" s="68" t="s">
        <v>679</v>
      </c>
      <c r="C254" s="2">
        <v>1061</v>
      </c>
      <c r="D254">
        <f>RTD("tos.rtd", , "LAST", Main_S[[#This Row],[Symbol]])</f>
        <v>23.58</v>
      </c>
      <c r="E254">
        <v>4.59</v>
      </c>
      <c r="F254">
        <v>14.84</v>
      </c>
      <c r="G254">
        <v>2.98</v>
      </c>
      <c r="H254" s="1">
        <f>IF(ISNUMBER(Main_S[[#This Row],[Free CF]]),IF(Main_S[[#This Row],[Free CF]]&lt;&gt;0,Main_S[[#This Row],[Current Price]]/Main_S[[#This Row],[Free CF]],""),"")</f>
        <v>5.1372549019607838</v>
      </c>
      <c r="I254" s="1">
        <f>IF(ISNUMBER(Main_S[[#This Row],[BVPS]]),IF(Main_S[[#This Row],[BVPS]]&lt;&gt;0,Main_S[[#This Row],[Current Price]]/Main_S[[#This Row],[BVPS]],""),"")</f>
        <v>1.5889487870619945</v>
      </c>
      <c r="J254">
        <v>22.61</v>
      </c>
      <c r="K254">
        <v>4.6900000000000004</v>
      </c>
      <c r="L254">
        <v>3.11</v>
      </c>
      <c r="M254" s="1">
        <f>IF(ISNUMBER(Main_S[[#This Row],[EPS]]),IF(Main_S[[#This Row],[EPS]]&lt;&gt;0,Main_S[[#This Row],[Current Price]]/Main_S[[#This Row],[EPS]],""),"")</f>
        <v>7.9127516778523486</v>
      </c>
      <c r="N2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4" s="1">
        <f>(Main_S[[#This Row],[P/FCF]]-VLOOKUP(Main_S[[#This Row],[Industry]], Mean_PFCF_S, 2, FALSE))/(VLOOKUP(Main_S[[#This Row],[Industry]], Mean_PFCF_S, 3, FALSE))</f>
        <v>-0.52465943741605103</v>
      </c>
      <c r="P254" s="1">
        <f>(Main_S[[#This Row],[P/B]]-VLOOKUP(Main_S[[#This Row],[Industry]], Mean_PB_S, 2, FALSE))/(VLOOKUP(Main_S[[#This Row],[Industry]], Mean_PB_S, 3, FALSE))</f>
        <v>4.8903889851746547E-2</v>
      </c>
      <c r="Q254" s="1">
        <f>(Main_S[[#This Row],[ROE]]-VLOOKUP(Main_S[[#This Row],[Industry]], Mean_ROE_S, 2, FALSE))/(VLOOKUP(Main_S[[#This Row],[Industry]], Mean_ROE_S, 3, FALSE))</f>
        <v>1.3594547355523885</v>
      </c>
      <c r="R254" s="1">
        <f>(Main_S[[#This Row],[ROA]]-VLOOKUP(Main_S[[#This Row],[Industry]], Mean_ROA_S, 2, FALSE))/(VLOOKUP(Main_S[[#This Row],[Industry]], Mean_ROA_S, 3, FALSE))</f>
        <v>1.8910378070682621</v>
      </c>
      <c r="S254" s="1">
        <f>(Main_S[[#This Row],[A/E]]-VLOOKUP(Main_S[[#This Row],[Industry]], Mean_AE_S, 2, FALSE))/(VLOOKUP(Main_S[[#This Row],[Industry]], Mean_AE_S, 3, FALSE))</f>
        <v>-0.37387230018624673</v>
      </c>
      <c r="T254" s="1">
        <f>(Main_S[[#This Row],[P/E]]-VLOOKUP(Main_S[[#This Row],[Industry]], Mean_PE_S, 2, FALSE))/(VLOOKUP(Main_S[[#This Row],[Industry]], Mean_PE_S, 3, FALSE))</f>
        <v>-1.0664530111749415</v>
      </c>
      <c r="U2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5" spans="1:26" x14ac:dyDescent="0.25">
      <c r="A255" s="68" t="s">
        <v>215</v>
      </c>
      <c r="B255" s="68" t="s">
        <v>680</v>
      </c>
      <c r="C255" s="2">
        <v>451</v>
      </c>
      <c r="D255">
        <f>RTD("tos.rtd", , "LAST", Main_S[[#This Row],[Symbol]])</f>
        <v>242.36</v>
      </c>
      <c r="E255">
        <v>11.89</v>
      </c>
      <c r="F255">
        <v>133.5</v>
      </c>
      <c r="G255">
        <v>16.43</v>
      </c>
      <c r="H255" s="1">
        <f>IF(ISNUMBER(Main_S[[#This Row],[Free CF]]),IF(Main_S[[#This Row],[Free CF]]&lt;&gt;0,Main_S[[#This Row],[Current Price]]/Main_S[[#This Row],[Free CF]],""),"")</f>
        <v>20.383515559293524</v>
      </c>
      <c r="I255" s="1">
        <f>IF(ISNUMBER(Main_S[[#This Row],[BVPS]]),IF(Main_S[[#This Row],[BVPS]]&lt;&gt;0,Main_S[[#This Row],[Current Price]]/Main_S[[#This Row],[BVPS]],""),"")</f>
        <v>1.8154307116104871</v>
      </c>
      <c r="J255">
        <v>12.35</v>
      </c>
      <c r="K255">
        <v>7.39</v>
      </c>
      <c r="L255">
        <v>1.32</v>
      </c>
      <c r="M255" s="1">
        <f>IF(ISNUMBER(Main_S[[#This Row],[EPS]]),IF(Main_S[[#This Row],[EPS]]&lt;&gt;0,Main_S[[#This Row],[Current Price]]/Main_S[[#This Row],[EPS]],""),"")</f>
        <v>14.75106512477176</v>
      </c>
      <c r="N2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5" s="1">
        <f>(Main_S[[#This Row],[P/FCF]]-VLOOKUP(Main_S[[#This Row],[Industry]], Mean_PFCF_S, 2, FALSE))/(VLOOKUP(Main_S[[#This Row],[Industry]], Mean_PFCF_S, 3, FALSE))</f>
        <v>1.5316439858496289</v>
      </c>
      <c r="P255" s="1">
        <f>(Main_S[[#This Row],[P/B]]-VLOOKUP(Main_S[[#This Row],[Industry]], Mean_PB_S, 2, FALSE))/(VLOOKUP(Main_S[[#This Row],[Industry]], Mean_PB_S, 3, FALSE))</f>
        <v>0.30914996762765451</v>
      </c>
      <c r="Q255" s="1">
        <f>(Main_S[[#This Row],[ROE]]-VLOOKUP(Main_S[[#This Row],[Industry]], Mean_ROE_S, 2, FALSE))/(VLOOKUP(Main_S[[#This Row],[Industry]], Mean_ROE_S, 3, FALSE))</f>
        <v>0.27725936937463813</v>
      </c>
      <c r="R255" s="1">
        <f>(Main_S[[#This Row],[ROA]]-VLOOKUP(Main_S[[#This Row],[Industry]], Mean_ROA_S, 2, FALSE))/(VLOOKUP(Main_S[[#This Row],[Industry]], Mean_ROA_S, 3, FALSE))</f>
        <v>3.9409021394451313</v>
      </c>
      <c r="S255" s="1">
        <f>(Main_S[[#This Row],[A/E]]-VLOOKUP(Main_S[[#This Row],[Industry]], Mean_AE_S, 2, FALSE))/(VLOOKUP(Main_S[[#This Row],[Industry]], Mean_AE_S, 3, FALSE))</f>
        <v>-1.7953493973259682</v>
      </c>
      <c r="T255" s="1">
        <f>(Main_S[[#This Row],[P/E]]-VLOOKUP(Main_S[[#This Row],[Industry]], Mean_PE_S, 2, FALSE))/(VLOOKUP(Main_S[[#This Row],[Industry]], Mean_PE_S, 3, FALSE))</f>
        <v>6.8324894328628608E-2</v>
      </c>
      <c r="U2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6" spans="1:26" x14ac:dyDescent="0.25">
      <c r="A256" s="68" t="s">
        <v>215</v>
      </c>
      <c r="B256" s="68" t="s">
        <v>681</v>
      </c>
      <c r="C256" s="2">
        <v>256</v>
      </c>
      <c r="D256">
        <f>RTD("tos.rtd", , "LAST", Main_S[[#This Row],[Symbol]])</f>
        <v>12.8</v>
      </c>
      <c r="E256">
        <v>0.81</v>
      </c>
      <c r="F256">
        <v>11.83</v>
      </c>
      <c r="G256">
        <v>0.31</v>
      </c>
      <c r="H256" s="1">
        <f>IF(ISNUMBER(Main_S[[#This Row],[Free CF]]),IF(Main_S[[#This Row],[Free CF]]&lt;&gt;0,Main_S[[#This Row],[Current Price]]/Main_S[[#This Row],[Free CF]],""),"")</f>
        <v>15.802469135802468</v>
      </c>
      <c r="I256" s="1">
        <f>IF(ISNUMBER(Main_S[[#This Row],[BVPS]]),IF(Main_S[[#This Row],[BVPS]]&lt;&gt;0,Main_S[[#This Row],[Current Price]]/Main_S[[#This Row],[BVPS]],""),"")</f>
        <v>1.0819949281487744</v>
      </c>
      <c r="J256">
        <v>2.67</v>
      </c>
      <c r="K256">
        <v>1.35</v>
      </c>
      <c r="L256">
        <v>2.15</v>
      </c>
      <c r="M256" s="1">
        <f>IF(ISNUMBER(Main_S[[#This Row],[EPS]]),IF(Main_S[[#This Row],[EPS]]&lt;&gt;0,Main_S[[#This Row],[Current Price]]/Main_S[[#This Row],[EPS]],""),"")</f>
        <v>41.290322580645167</v>
      </c>
      <c r="N2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6" s="1">
        <f>(Main_S[[#This Row],[P/FCF]]-VLOOKUP(Main_S[[#This Row],[Industry]], Mean_PFCF_S, 2, FALSE))/(VLOOKUP(Main_S[[#This Row],[Industry]], Mean_PFCF_S, 3, FALSE))</f>
        <v>0.91378616126671608</v>
      </c>
      <c r="P256" s="1">
        <f>(Main_S[[#This Row],[P/B]]-VLOOKUP(Main_S[[#This Row],[Industry]], Mean_PB_S, 2, FALSE))/(VLOOKUP(Main_S[[#This Row],[Industry]], Mean_PB_S, 3, FALSE))</f>
        <v>-0.53362716051151593</v>
      </c>
      <c r="Q256" s="1">
        <f>(Main_S[[#This Row],[ROE]]-VLOOKUP(Main_S[[#This Row],[Industry]], Mean_ROE_S, 2, FALSE))/(VLOOKUP(Main_S[[#This Row],[Industry]], Mean_ROE_S, 3, FALSE))</f>
        <v>-0.74375926070339526</v>
      </c>
      <c r="R256" s="1">
        <f>(Main_S[[#This Row],[ROA]]-VLOOKUP(Main_S[[#This Row],[Industry]], Mean_ROA_S, 2, FALSE))/(VLOOKUP(Main_S[[#This Row],[Industry]], Mean_ROA_S, 3, FALSE))</f>
        <v>-0.64472029298312528</v>
      </c>
      <c r="S256" s="1">
        <f>(Main_S[[#This Row],[A/E]]-VLOOKUP(Main_S[[#This Row],[Industry]], Mean_AE_S, 2, FALSE))/(VLOOKUP(Main_S[[#This Row],[Industry]], Mean_AE_S, 3, FALSE))</f>
        <v>-1.1362287321717957</v>
      </c>
      <c r="T256" s="1">
        <f>(Main_S[[#This Row],[P/E]]-VLOOKUP(Main_S[[#This Row],[Industry]], Mean_PE_S, 2, FALSE))/(VLOOKUP(Main_S[[#This Row],[Industry]], Mean_PE_S, 3, FALSE))</f>
        <v>4.4723586115843137</v>
      </c>
      <c r="U2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7" spans="1:26" x14ac:dyDescent="0.25">
      <c r="A257" s="68" t="s">
        <v>215</v>
      </c>
      <c r="B257" s="68" t="s">
        <v>682</v>
      </c>
      <c r="C257" s="2">
        <v>1173</v>
      </c>
      <c r="D257">
        <f>RTD("tos.rtd", , "LAST", Main_S[[#This Row],[Symbol]])</f>
        <v>23</v>
      </c>
      <c r="E257">
        <v>-0.39</v>
      </c>
      <c r="F257">
        <v>23.49</v>
      </c>
      <c r="G257">
        <v>1.03</v>
      </c>
      <c r="H257" s="1">
        <f>IF(ISNUMBER(Main_S[[#This Row],[Free CF]]),IF(Main_S[[#This Row],[Free CF]]&lt;&gt;0,Main_S[[#This Row],[Current Price]]/Main_S[[#This Row],[Free CF]],""),"")</f>
        <v>-58.974358974358971</v>
      </c>
      <c r="I257" s="1">
        <f>IF(ISNUMBER(Main_S[[#This Row],[BVPS]]),IF(Main_S[[#This Row],[BVPS]]&lt;&gt;0,Main_S[[#This Row],[Current Price]]/Main_S[[#This Row],[BVPS]],""),"")</f>
        <v>0.97914005959982975</v>
      </c>
      <c r="J257">
        <v>4.5599999999999996</v>
      </c>
      <c r="K257">
        <v>0.9</v>
      </c>
      <c r="L257">
        <v>4.6399999999999997</v>
      </c>
      <c r="M257" s="1">
        <f>IF(ISNUMBER(Main_S[[#This Row],[EPS]]),IF(Main_S[[#This Row],[EPS]]&lt;&gt;0,Main_S[[#This Row],[Current Price]]/Main_S[[#This Row],[EPS]],""),"")</f>
        <v>22.33009708737864</v>
      </c>
      <c r="N2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7" s="1">
        <f>(Main_S[[#This Row],[P/FCF]]-VLOOKUP(Main_S[[#This Row],[Industry]], Mean_PFCF_S, 2, FALSE))/(VLOOKUP(Main_S[[#This Row],[Industry]], Mean_PFCF_S, 3, FALSE))</f>
        <v>-9.1715620483561491</v>
      </c>
      <c r="P257" s="1">
        <f>(Main_S[[#This Row],[P/B]]-VLOOKUP(Main_S[[#This Row],[Industry]], Mean_PB_S, 2, FALSE))/(VLOOKUP(Main_S[[#This Row],[Industry]], Mean_PB_S, 3, FALSE))</f>
        <v>-0.65181573636975487</v>
      </c>
      <c r="Q257" s="1">
        <f>(Main_S[[#This Row],[ROE]]-VLOOKUP(Main_S[[#This Row],[Industry]], Mean_ROE_S, 2, FALSE))/(VLOOKUP(Main_S[[#This Row],[Industry]], Mean_ROE_S, 3, FALSE))</f>
        <v>-0.54440748272328343</v>
      </c>
      <c r="R257" s="1">
        <f>(Main_S[[#This Row],[ROA]]-VLOOKUP(Main_S[[#This Row],[Industry]], Mean_ROA_S, 2, FALSE))/(VLOOKUP(Main_S[[#This Row],[Industry]], Mean_ROA_S, 3, FALSE))</f>
        <v>-0.98636434837927034</v>
      </c>
      <c r="S257" s="1">
        <f>(Main_S[[#This Row],[A/E]]-VLOOKUP(Main_S[[#This Row],[Industry]], Mean_AE_S, 2, FALSE))/(VLOOKUP(Main_S[[#This Row],[Industry]], Mean_AE_S, 3, FALSE))</f>
        <v>0.84113326329072169</v>
      </c>
      <c r="T257" s="1">
        <f>(Main_S[[#This Row],[P/E]]-VLOOKUP(Main_S[[#This Row],[Industry]], Mean_PE_S, 2, FALSE))/(VLOOKUP(Main_S[[#This Row],[Industry]], Mean_PE_S, 3, FALSE))</f>
        <v>1.3260206818983094</v>
      </c>
      <c r="U2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8" spans="1:26" x14ac:dyDescent="0.25">
      <c r="A258" s="68" t="s">
        <v>215</v>
      </c>
      <c r="B258" s="68" t="s">
        <v>683</v>
      </c>
      <c r="C258" s="2">
        <v>1147</v>
      </c>
      <c r="D258">
        <f>RTD("tos.rtd", , "LAST", Main_S[[#This Row],[Symbol]])</f>
        <v>81.28</v>
      </c>
      <c r="E258">
        <v>8.4600000000000009</v>
      </c>
      <c r="F258">
        <v>55.83</v>
      </c>
      <c r="G258">
        <v>4.78</v>
      </c>
      <c r="H258" s="1">
        <f>IF(ISNUMBER(Main_S[[#This Row],[Free CF]]),IF(Main_S[[#This Row],[Free CF]]&lt;&gt;0,Main_S[[#This Row],[Current Price]]/Main_S[[#This Row],[Free CF]],""),"")</f>
        <v>9.6075650118203306</v>
      </c>
      <c r="I258" s="1">
        <f>IF(ISNUMBER(Main_S[[#This Row],[BVPS]]),IF(Main_S[[#This Row],[BVPS]]&lt;&gt;0,Main_S[[#This Row],[Current Price]]/Main_S[[#This Row],[BVPS]],""),"")</f>
        <v>1.4558481103349454</v>
      </c>
      <c r="J258">
        <v>8.66</v>
      </c>
      <c r="K258">
        <v>2.59</v>
      </c>
      <c r="L258">
        <v>2.74</v>
      </c>
      <c r="M258" s="1">
        <f>IF(ISNUMBER(Main_S[[#This Row],[EPS]]),IF(Main_S[[#This Row],[EPS]]&lt;&gt;0,Main_S[[#This Row],[Current Price]]/Main_S[[#This Row],[EPS]],""),"")</f>
        <v>17.00418410041841</v>
      </c>
      <c r="N2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8" s="1">
        <f>(Main_S[[#This Row],[P/FCF]]-VLOOKUP(Main_S[[#This Row],[Industry]], Mean_PFCF_S, 2, FALSE))/(VLOOKUP(Main_S[[#This Row],[Industry]], Mean_PFCF_S, 3, FALSE))</f>
        <v>7.8263088215982518E-2</v>
      </c>
      <c r="P258" s="1">
        <f>(Main_S[[#This Row],[P/B]]-VLOOKUP(Main_S[[#This Row],[Industry]], Mean_PB_S, 2, FALSE))/(VLOOKUP(Main_S[[#This Row],[Industry]], Mean_PB_S, 3, FALSE))</f>
        <v>-0.10403956970507548</v>
      </c>
      <c r="Q258" s="1">
        <f>(Main_S[[#This Row],[ROE]]-VLOOKUP(Main_S[[#This Row],[Industry]], Mean_ROE_S, 2, FALSE))/(VLOOKUP(Main_S[[#This Row],[Industry]], Mean_ROE_S, 3, FALSE))</f>
        <v>-0.11195124477700885</v>
      </c>
      <c r="R258" s="1">
        <f>(Main_S[[#This Row],[ROA]]-VLOOKUP(Main_S[[#This Row],[Industry]], Mean_ROA_S, 2, FALSE))/(VLOOKUP(Main_S[[#This Row],[Industry]], Mean_ROA_S, 3, FALSE))</f>
        <v>0.29669888188625182</v>
      </c>
      <c r="S258" s="1">
        <f>(Main_S[[#This Row],[A/E]]-VLOOKUP(Main_S[[#This Row],[Industry]], Mean_AE_S, 2, FALSE))/(VLOOKUP(Main_S[[#This Row],[Industry]], Mean_AE_S, 3, FALSE))</f>
        <v>-0.66769717501401005</v>
      </c>
      <c r="T258" s="1">
        <f>(Main_S[[#This Row],[P/E]]-VLOOKUP(Main_S[[#This Row],[Industry]], Mean_PE_S, 2, FALSE))/(VLOOKUP(Main_S[[#This Row],[Industry]], Mean_PE_S, 3, FALSE))</f>
        <v>0.44221673942772421</v>
      </c>
      <c r="U2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9" spans="1:26" x14ac:dyDescent="0.25">
      <c r="A259" s="68" t="s">
        <v>215</v>
      </c>
      <c r="B259" s="68" t="s">
        <v>684</v>
      </c>
      <c r="C259" s="2">
        <v>1800</v>
      </c>
      <c r="D259">
        <f>RTD("tos.rtd", , "LAST", Main_S[[#This Row],[Symbol]])</f>
        <v>65.38</v>
      </c>
      <c r="E259">
        <v>3.44</v>
      </c>
      <c r="F259">
        <v>50.16</v>
      </c>
      <c r="G259">
        <v>2.6</v>
      </c>
      <c r="H259" s="1">
        <f>IF(ISNUMBER(Main_S[[#This Row],[Free CF]]),IF(Main_S[[#This Row],[Free CF]]&lt;&gt;0,Main_S[[#This Row],[Current Price]]/Main_S[[#This Row],[Free CF]],""),"")</f>
        <v>19.005813953488371</v>
      </c>
      <c r="I259" s="1">
        <f>IF(ISNUMBER(Main_S[[#This Row],[BVPS]]),IF(Main_S[[#This Row],[BVPS]]&lt;&gt;0,Main_S[[#This Row],[Current Price]]/Main_S[[#This Row],[BVPS]],""),"")</f>
        <v>1.3034290271132376</v>
      </c>
      <c r="J259">
        <v>6.3</v>
      </c>
      <c r="K259">
        <v>3.08</v>
      </c>
      <c r="L259">
        <v>1.93</v>
      </c>
      <c r="M259" s="1">
        <f>IF(ISNUMBER(Main_S[[#This Row],[EPS]]),IF(Main_S[[#This Row],[EPS]]&lt;&gt;0,Main_S[[#This Row],[Current Price]]/Main_S[[#This Row],[EPS]],""),"")</f>
        <v>25.146153846153844</v>
      </c>
      <c r="N2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9" s="1">
        <f>(Main_S[[#This Row],[P/FCF]]-VLOOKUP(Main_S[[#This Row],[Industry]], Mean_PFCF_S, 2, FALSE))/(VLOOKUP(Main_S[[#This Row],[Industry]], Mean_PFCF_S, 3, FALSE))</f>
        <v>1.3458297332975953</v>
      </c>
      <c r="P259" s="1">
        <f>(Main_S[[#This Row],[P/B]]-VLOOKUP(Main_S[[#This Row],[Industry]], Mean_PB_S, 2, FALSE))/(VLOOKUP(Main_S[[#This Row],[Industry]], Mean_PB_S, 3, FALSE))</f>
        <v>-0.27918144323748662</v>
      </c>
      <c r="Q259" s="1">
        <f>(Main_S[[#This Row],[ROE]]-VLOOKUP(Main_S[[#This Row],[Industry]], Mean_ROE_S, 2, FALSE))/(VLOOKUP(Main_S[[#This Row],[Industry]], Mean_ROE_S, 3, FALSE))</f>
        <v>-0.36087727442413275</v>
      </c>
      <c r="R259" s="1">
        <f>(Main_S[[#This Row],[ROA]]-VLOOKUP(Main_S[[#This Row],[Industry]], Mean_ROA_S, 2, FALSE))/(VLOOKUP(Main_S[[#This Row],[Industry]], Mean_ROA_S, 3, FALSE))</f>
        <v>0.66871129776205429</v>
      </c>
      <c r="S259" s="1">
        <f>(Main_S[[#This Row],[A/E]]-VLOOKUP(Main_S[[#This Row],[Industry]], Mean_AE_S, 2, FALSE))/(VLOOKUP(Main_S[[#This Row],[Industry]], Mean_AE_S, 3, FALSE))</f>
        <v>-1.3109354145018173</v>
      </c>
      <c r="T259" s="1">
        <f>(Main_S[[#This Row],[P/E]]-VLOOKUP(Main_S[[#This Row],[Industry]], Mean_PE_S, 2, FALSE))/(VLOOKUP(Main_S[[#This Row],[Industry]], Mean_PE_S, 3, FALSE))</f>
        <v>1.793328741891038</v>
      </c>
      <c r="U2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0" spans="1:26" x14ac:dyDescent="0.25">
      <c r="A260" s="68" t="s">
        <v>215</v>
      </c>
      <c r="B260" s="68" t="s">
        <v>685</v>
      </c>
      <c r="C260" s="2">
        <v>794</v>
      </c>
      <c r="D260">
        <f>RTD("tos.rtd", , "LAST", Main_S[[#This Row],[Symbol]])</f>
        <v>21.73</v>
      </c>
      <c r="E260">
        <v>3.79</v>
      </c>
      <c r="F260">
        <v>12.63</v>
      </c>
      <c r="G260">
        <v>1.2</v>
      </c>
      <c r="H260" s="1">
        <f>IF(ISNUMBER(Main_S[[#This Row],[Free CF]]),IF(Main_S[[#This Row],[Free CF]]&lt;&gt;0,Main_S[[#This Row],[Current Price]]/Main_S[[#This Row],[Free CF]],""),"")</f>
        <v>5.7335092348284959</v>
      </c>
      <c r="I260" s="1">
        <f>IF(ISNUMBER(Main_S[[#This Row],[BVPS]]),IF(Main_S[[#This Row],[BVPS]]&lt;&gt;0,Main_S[[#This Row],[Current Price]]/Main_S[[#This Row],[BVPS]],""),"")</f>
        <v>1.7205067300079175</v>
      </c>
      <c r="J260">
        <v>13.22</v>
      </c>
      <c r="K260">
        <v>2.0699999999999998</v>
      </c>
      <c r="L260">
        <v>12.28</v>
      </c>
      <c r="M260" s="1">
        <f>IF(ISNUMBER(Main_S[[#This Row],[EPS]]),IF(Main_S[[#This Row],[EPS]]&lt;&gt;0,Main_S[[#This Row],[Current Price]]/Main_S[[#This Row],[EPS]],""),"")</f>
        <v>18.108333333333334</v>
      </c>
      <c r="N2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0" s="1">
        <f>(Main_S[[#This Row],[P/FCF]]-VLOOKUP(Main_S[[#This Row],[Industry]], Mean_PFCF_S, 2, FALSE))/(VLOOKUP(Main_S[[#This Row],[Industry]], Mean_PFCF_S, 3, FALSE))</f>
        <v>-0.44424104149788973</v>
      </c>
      <c r="P260" s="1">
        <f>(Main_S[[#This Row],[P/B]]-VLOOKUP(Main_S[[#This Row],[Industry]], Mean_PB_S, 2, FALSE))/(VLOOKUP(Main_S[[#This Row],[Industry]], Mean_PB_S, 3, FALSE))</f>
        <v>0.20007462332285184</v>
      </c>
      <c r="Q260" s="1">
        <f>(Main_S[[#This Row],[ROE]]-VLOOKUP(Main_S[[#This Row],[Industry]], Mean_ROE_S, 2, FALSE))/(VLOOKUP(Main_S[[#This Row],[Industry]], Mean_ROE_S, 3, FALSE))</f>
        <v>0.36902447352421358</v>
      </c>
      <c r="R260" s="1">
        <f>(Main_S[[#This Row],[ROA]]-VLOOKUP(Main_S[[#This Row],[Industry]], Mean_ROA_S, 2, FALSE))/(VLOOKUP(Main_S[[#This Row],[Industry]], Mean_ROA_S, 3, FALSE))</f>
        <v>-9.80898043492935E-2</v>
      </c>
      <c r="S260" s="1">
        <f>(Main_S[[#This Row],[A/E]]-VLOOKUP(Main_S[[#This Row],[Industry]], Mean_AE_S, 2, FALSE))/(VLOOKUP(Main_S[[#This Row],[Industry]], Mean_AE_S, 3, FALSE))</f>
        <v>6.9082198678423818</v>
      </c>
      <c r="T260" s="1">
        <f>(Main_S[[#This Row],[P/E]]-VLOOKUP(Main_S[[#This Row],[Industry]], Mean_PE_S, 2, FALSE))/(VLOOKUP(Main_S[[#This Row],[Industry]], Mean_PE_S, 3, FALSE))</f>
        <v>0.6254438119531901</v>
      </c>
      <c r="U2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1" spans="1:26" x14ac:dyDescent="0.25">
      <c r="A261" s="68" t="s">
        <v>215</v>
      </c>
      <c r="B261" s="68" t="s">
        <v>686</v>
      </c>
      <c r="C261" s="2">
        <v>1908</v>
      </c>
      <c r="D261">
        <f>RTD("tos.rtd", , "LAST", Main_S[[#This Row],[Symbol]])</f>
        <v>45.59</v>
      </c>
      <c r="E261">
        <v>1.26</v>
      </c>
      <c r="F261">
        <v>7.8</v>
      </c>
      <c r="G261">
        <v>-0.1</v>
      </c>
      <c r="H261" s="1">
        <f>IF(ISNUMBER(Main_S[[#This Row],[Free CF]]),IF(Main_S[[#This Row],[Free CF]]&lt;&gt;0,Main_S[[#This Row],[Current Price]]/Main_S[[#This Row],[Free CF]],""),"")</f>
        <v>36.182539682539684</v>
      </c>
      <c r="I261" s="1">
        <f>IF(ISNUMBER(Main_S[[#This Row],[BVPS]]),IF(Main_S[[#This Row],[BVPS]]&lt;&gt;0,Main_S[[#This Row],[Current Price]]/Main_S[[#This Row],[BVPS]],""),"")</f>
        <v>5.8448717948717954</v>
      </c>
      <c r="J261">
        <v>-1.34</v>
      </c>
      <c r="K261">
        <v>0.06</v>
      </c>
      <c r="L261">
        <v>2.5099999999999998</v>
      </c>
      <c r="M261" s="1">
        <f>IF(ISNUMBER(Main_S[[#This Row],[EPS]]),IF(Main_S[[#This Row],[EPS]]&lt;&gt;0,Main_S[[#This Row],[Current Price]]/Main_S[[#This Row],[EPS]],""),"")</f>
        <v>-455.90000000000003</v>
      </c>
      <c r="N2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1" s="1">
        <f>(Main_S[[#This Row],[P/FCF]]-VLOOKUP(Main_S[[#This Row],[Industry]], Mean_PFCF_S, 2, FALSE))/(VLOOKUP(Main_S[[#This Row],[Industry]], Mean_PFCF_S, 3, FALSE))</f>
        <v>3.6625000769963534</v>
      </c>
      <c r="P261" s="1">
        <f>(Main_S[[#This Row],[P/B]]-VLOOKUP(Main_S[[#This Row],[Industry]], Mean_PB_S, 2, FALSE))/(VLOOKUP(Main_S[[#This Row],[Industry]], Mean_PB_S, 3, FALSE))</f>
        <v>4.9393041825320463</v>
      </c>
      <c r="Q261" s="1">
        <f>(Main_S[[#This Row],[ROE]]-VLOOKUP(Main_S[[#This Row],[Industry]], Mean_ROE_S, 2, FALSE))/(VLOOKUP(Main_S[[#This Row],[Industry]], Mean_ROE_S, 3, FALSE))</f>
        <v>-1.1667225568410931</v>
      </c>
      <c r="R261" s="1">
        <f>(Main_S[[#This Row],[ROA]]-VLOOKUP(Main_S[[#This Row],[Industry]], Mean_ROA_S, 2, FALSE))/(VLOOKUP(Main_S[[#This Row],[Industry]], Mean_ROA_S, 3, FALSE))</f>
        <v>-1.6240999184520741</v>
      </c>
      <c r="S261" s="1">
        <f>(Main_S[[#This Row],[A/E]]-VLOOKUP(Main_S[[#This Row],[Industry]], Mean_AE_S, 2, FALSE))/(VLOOKUP(Main_S[[#This Row],[Industry]], Mean_AE_S, 3, FALSE))</f>
        <v>-0.85034507017721483</v>
      </c>
      <c r="T261" s="1">
        <f>(Main_S[[#This Row],[P/E]]-VLOOKUP(Main_S[[#This Row],[Industry]], Mean_PE_S, 2, FALSE))/(VLOOKUP(Main_S[[#This Row],[Industry]], Mean_PE_S, 3, FALSE))</f>
        <v>-78.033451815820911</v>
      </c>
      <c r="U2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2" spans="1:26" x14ac:dyDescent="0.25">
      <c r="A262" s="68" t="s">
        <v>215</v>
      </c>
      <c r="B262" s="68" t="s">
        <v>687</v>
      </c>
      <c r="C262" s="2">
        <v>693</v>
      </c>
      <c r="D262">
        <f>RTD("tos.rtd", , "LAST", Main_S[[#This Row],[Symbol]])</f>
        <v>28.16</v>
      </c>
      <c r="E262">
        <v>12.97</v>
      </c>
      <c r="F262">
        <v>30.8</v>
      </c>
      <c r="G262">
        <v>2.39</v>
      </c>
      <c r="H262" s="1">
        <f>IF(ISNUMBER(Main_S[[#This Row],[Free CF]]),IF(Main_S[[#This Row],[Free CF]]&lt;&gt;0,Main_S[[#This Row],[Current Price]]/Main_S[[#This Row],[Free CF]],""),"")</f>
        <v>2.1711642251349268</v>
      </c>
      <c r="I262" s="1">
        <f>IF(ISNUMBER(Main_S[[#This Row],[BVPS]]),IF(Main_S[[#This Row],[BVPS]]&lt;&gt;0,Main_S[[#This Row],[Current Price]]/Main_S[[#This Row],[BVPS]],""),"")</f>
        <v>0.91428571428571426</v>
      </c>
      <c r="J262">
        <v>8.18</v>
      </c>
      <c r="K262">
        <v>1.59</v>
      </c>
      <c r="L262">
        <v>4.46</v>
      </c>
      <c r="M262" s="1">
        <f>IF(ISNUMBER(Main_S[[#This Row],[EPS]]),IF(Main_S[[#This Row],[EPS]]&lt;&gt;0,Main_S[[#This Row],[Current Price]]/Main_S[[#This Row],[EPS]],""),"")</f>
        <v>11.782426778242677</v>
      </c>
      <c r="N2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2" s="1">
        <f>(Main_S[[#This Row],[P/FCF]]-VLOOKUP(Main_S[[#This Row],[Industry]], Mean_PFCF_S, 2, FALSE))/(VLOOKUP(Main_S[[#This Row],[Industry]], Mean_PFCF_S, 3, FALSE))</f>
        <v>-0.92470391714492184</v>
      </c>
      <c r="P262" s="1">
        <f>(Main_S[[#This Row],[P/B]]-VLOOKUP(Main_S[[#This Row],[Industry]], Mean_PB_S, 2, FALSE))/(VLOOKUP(Main_S[[#This Row],[Industry]], Mean_PB_S, 3, FALSE))</f>
        <v>-0.72633863274822097</v>
      </c>
      <c r="Q262" s="1">
        <f>(Main_S[[#This Row],[ROE]]-VLOOKUP(Main_S[[#This Row],[Industry]], Mean_ROE_S, 2, FALSE))/(VLOOKUP(Main_S[[#This Row],[Industry]], Mean_ROE_S, 3, FALSE))</f>
        <v>-0.16258026775608495</v>
      </c>
      <c r="R262" s="1">
        <f>(Main_S[[#This Row],[ROA]]-VLOOKUP(Main_S[[#This Row],[Industry]], Mean_ROA_S, 2, FALSE))/(VLOOKUP(Main_S[[#This Row],[Industry]], Mean_ROA_S, 3, FALSE))</f>
        <v>-0.46251013010518127</v>
      </c>
      <c r="S262" s="1">
        <f>(Main_S[[#This Row],[A/E]]-VLOOKUP(Main_S[[#This Row],[Industry]], Mean_AE_S, 2, FALSE))/(VLOOKUP(Main_S[[#This Row],[Industry]], Mean_AE_S, 3, FALSE))</f>
        <v>0.6981914322934315</v>
      </c>
      <c r="T262" s="1">
        <f>(Main_S[[#This Row],[P/E]]-VLOOKUP(Main_S[[#This Row],[Industry]], Mean_PE_S, 2, FALSE))/(VLOOKUP(Main_S[[#This Row],[Industry]], Mean_PE_S, 3, FALSE))</f>
        <v>-0.4243031829335272</v>
      </c>
      <c r="U2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3" spans="1:26" x14ac:dyDescent="0.25">
      <c r="A263" s="68" t="s">
        <v>215</v>
      </c>
      <c r="B263" s="68" t="s">
        <v>688</v>
      </c>
      <c r="C263" s="2">
        <v>712</v>
      </c>
      <c r="D263">
        <f>RTD("tos.rtd", , "LAST", Main_S[[#This Row],[Symbol]])</f>
        <v>25.73</v>
      </c>
      <c r="E263">
        <v>8.33</v>
      </c>
      <c r="F263">
        <v>14.98</v>
      </c>
      <c r="G263">
        <v>2.29</v>
      </c>
      <c r="H263" s="1">
        <f>IF(ISNUMBER(Main_S[[#This Row],[Free CF]]),IF(Main_S[[#This Row],[Free CF]]&lt;&gt;0,Main_S[[#This Row],[Current Price]]/Main_S[[#This Row],[Free CF]],""),"")</f>
        <v>3.0888355342136853</v>
      </c>
      <c r="I263" s="1">
        <f>IF(ISNUMBER(Main_S[[#This Row],[BVPS]]),IF(Main_S[[#This Row],[BVPS]]&lt;&gt;0,Main_S[[#This Row],[Current Price]]/Main_S[[#This Row],[BVPS]],""),"")</f>
        <v>1.7176234979973297</v>
      </c>
      <c r="J263">
        <v>16.95</v>
      </c>
      <c r="K263">
        <v>2.56</v>
      </c>
      <c r="L263">
        <v>6.43</v>
      </c>
      <c r="M263" s="1">
        <f>IF(ISNUMBER(Main_S[[#This Row],[EPS]]),IF(Main_S[[#This Row],[EPS]]&lt;&gt;0,Main_S[[#This Row],[Current Price]]/Main_S[[#This Row],[EPS]],""),"")</f>
        <v>11.235807860262009</v>
      </c>
      <c r="N2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3" s="1">
        <f>(Main_S[[#This Row],[P/FCF]]-VLOOKUP(Main_S[[#This Row],[Industry]], Mean_PFCF_S, 2, FALSE))/(VLOOKUP(Main_S[[#This Row],[Industry]], Mean_PFCF_S, 3, FALSE))</f>
        <v>-0.80093516514055507</v>
      </c>
      <c r="P263" s="1">
        <f>(Main_S[[#This Row],[P/B]]-VLOOKUP(Main_S[[#This Row],[Industry]], Mean_PB_S, 2, FALSE))/(VLOOKUP(Main_S[[#This Row],[Industry]], Mean_PB_S, 3, FALSE))</f>
        <v>0.19676155618264055</v>
      </c>
      <c r="Q263" s="1">
        <f>(Main_S[[#This Row],[ROE]]-VLOOKUP(Main_S[[#This Row],[Industry]], Mean_ROE_S, 2, FALSE))/(VLOOKUP(Main_S[[#This Row],[Industry]], Mean_ROE_S, 3, FALSE))</f>
        <v>0.76245417292411688</v>
      </c>
      <c r="R263" s="1">
        <f>(Main_S[[#This Row],[ROA]]-VLOOKUP(Main_S[[#This Row],[Industry]], Mean_ROA_S, 2, FALSE))/(VLOOKUP(Main_S[[#This Row],[Industry]], Mean_ROA_S, 3, FALSE))</f>
        <v>0.27392261152650899</v>
      </c>
      <c r="S263" s="1">
        <f>(Main_S[[#This Row],[A/E]]-VLOOKUP(Main_S[[#This Row],[Industry]], Mean_AE_S, 2, FALSE))/(VLOOKUP(Main_S[[#This Row],[Industry]], Mean_AE_S, 3, FALSE))</f>
        <v>2.2626103604304433</v>
      </c>
      <c r="T263" s="1">
        <f>(Main_S[[#This Row],[P/E]]-VLOOKUP(Main_S[[#This Row],[Industry]], Mean_PE_S, 2, FALSE))/(VLOOKUP(Main_S[[#This Row],[Industry]], Mean_PE_S, 3, FALSE))</f>
        <v>-0.51501137811492304</v>
      </c>
      <c r="U2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4" spans="1:26" x14ac:dyDescent="0.25">
      <c r="A264" s="68" t="s">
        <v>215</v>
      </c>
      <c r="B264" s="68" t="s">
        <v>689</v>
      </c>
      <c r="C264" s="2">
        <v>464</v>
      </c>
      <c r="D264">
        <f>RTD("tos.rtd", , "LAST", Main_S[[#This Row],[Symbol]])</f>
        <v>13.3</v>
      </c>
      <c r="E264">
        <v>3.27</v>
      </c>
      <c r="F264">
        <v>18.260000000000002</v>
      </c>
      <c r="G264">
        <v>1.24</v>
      </c>
      <c r="H264" s="1">
        <f>IF(ISNUMBER(Main_S[[#This Row],[Free CF]]),IF(Main_S[[#This Row],[Free CF]]&lt;&gt;0,Main_S[[#This Row],[Current Price]]/Main_S[[#This Row],[Free CF]],""),"")</f>
        <v>4.0672782874617743</v>
      </c>
      <c r="I264" s="1">
        <f>IF(ISNUMBER(Main_S[[#This Row],[BVPS]]),IF(Main_S[[#This Row],[BVPS]]&lt;&gt;0,Main_S[[#This Row],[Current Price]]/Main_S[[#This Row],[BVPS]],""),"")</f>
        <v>0.72836801752464397</v>
      </c>
      <c r="J264">
        <v>6.95</v>
      </c>
      <c r="K264">
        <v>1.94</v>
      </c>
      <c r="L264">
        <v>3.17</v>
      </c>
      <c r="M264" s="1">
        <f>IF(ISNUMBER(Main_S[[#This Row],[EPS]]),IF(Main_S[[#This Row],[EPS]]&lt;&gt;0,Main_S[[#This Row],[Current Price]]/Main_S[[#This Row],[EPS]],""),"")</f>
        <v>10.725806451612904</v>
      </c>
      <c r="N2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4" s="1">
        <f>(Main_S[[#This Row],[P/FCF]]-VLOOKUP(Main_S[[#This Row],[Industry]], Mean_PFCF_S, 2, FALSE))/(VLOOKUP(Main_S[[#This Row],[Industry]], Mean_PFCF_S, 3, FALSE))</f>
        <v>-0.6689700080313018</v>
      </c>
      <c r="P264" s="1">
        <f>(Main_S[[#This Row],[P/B]]-VLOOKUP(Main_S[[#This Row],[Industry]], Mean_PB_S, 2, FALSE))/(VLOOKUP(Main_S[[#This Row],[Industry]], Mean_PB_S, 3, FALSE))</f>
        <v>-0.93997312683712775</v>
      </c>
      <c r="Q264" s="1">
        <f>(Main_S[[#This Row],[ROE]]-VLOOKUP(Main_S[[#This Row],[Industry]], Mean_ROE_S, 2, FALSE))/(VLOOKUP(Main_S[[#This Row],[Industry]], Mean_ROE_S, 3, FALSE))</f>
        <v>-0.29231713913996726</v>
      </c>
      <c r="R264" s="1">
        <f>(Main_S[[#This Row],[ROA]]-VLOOKUP(Main_S[[#This Row],[Industry]], Mean_ROA_S, 2, FALSE))/(VLOOKUP(Main_S[[#This Row],[Industry]], Mean_ROA_S, 3, FALSE))</f>
        <v>-0.19678697590817976</v>
      </c>
      <c r="S264" s="1">
        <f>(Main_S[[#This Row],[A/E]]-VLOOKUP(Main_S[[#This Row],[Industry]], Mean_AE_S, 2, FALSE))/(VLOOKUP(Main_S[[#This Row],[Industry]], Mean_AE_S, 3, FALSE))</f>
        <v>-0.32622502318714985</v>
      </c>
      <c r="T264" s="1">
        <f>(Main_S[[#This Row],[P/E]]-VLOOKUP(Main_S[[#This Row],[Industry]], Mean_PE_S, 2, FALSE))/(VLOOKUP(Main_S[[#This Row],[Industry]], Mean_PE_S, 3, FALSE))</f>
        <v>-0.59964311294296269</v>
      </c>
      <c r="U2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5" spans="1:26" x14ac:dyDescent="0.25">
      <c r="A265" s="68" t="s">
        <v>251</v>
      </c>
      <c r="B265" s="68" t="s">
        <v>690</v>
      </c>
      <c r="C265" s="2">
        <v>257</v>
      </c>
      <c r="D265">
        <f>RTD("tos.rtd", , "LAST", Main_S[[#This Row],[Symbol]])</f>
        <v>4.9400000000000004</v>
      </c>
      <c r="E265">
        <v>0.65</v>
      </c>
      <c r="F265">
        <v>9.91</v>
      </c>
      <c r="G265">
        <v>-0.64</v>
      </c>
      <c r="H265" s="1">
        <f>IF(ISNUMBER(Main_S[[#This Row],[Free CF]]),IF(Main_S[[#This Row],[Free CF]]&lt;&gt;0,Main_S[[#This Row],[Current Price]]/Main_S[[#This Row],[Free CF]],""),"")</f>
        <v>7.6000000000000005</v>
      </c>
      <c r="I265" s="1">
        <f>IF(ISNUMBER(Main_S[[#This Row],[BVPS]]),IF(Main_S[[#This Row],[BVPS]]&lt;&gt;0,Main_S[[#This Row],[Current Price]]/Main_S[[#This Row],[BVPS]],""),"")</f>
        <v>0.49848637739656915</v>
      </c>
      <c r="J265">
        <v>-6</v>
      </c>
      <c r="K265">
        <v>-1.74</v>
      </c>
      <c r="L265">
        <v>3.24</v>
      </c>
      <c r="M265" s="1">
        <f>IF(ISNUMBER(Main_S[[#This Row],[EPS]]),IF(Main_S[[#This Row],[EPS]]&lt;&gt;0,Main_S[[#This Row],[Current Price]]/Main_S[[#This Row],[EPS]],""),"")</f>
        <v>-7.7187500000000009</v>
      </c>
      <c r="N2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5" s="1">
        <f>(Main_S[[#This Row],[P/FCF]]-VLOOKUP(Main_S[[#This Row],[Industry]], Mean_PFCF_S, 2, FALSE))/(VLOOKUP(Main_S[[#This Row],[Industry]], Mean_PFCF_S, 3, FALSE))</f>
        <v>0.32117977578920098</v>
      </c>
      <c r="P265" s="1">
        <f>(Main_S[[#This Row],[P/B]]-VLOOKUP(Main_S[[#This Row],[Industry]], Mean_PB_S, 2, FALSE))/(VLOOKUP(Main_S[[#This Row],[Industry]], Mean_PB_S, 3, FALSE))</f>
        <v>-1.3745487615747101</v>
      </c>
      <c r="Q265" s="1">
        <f>(Main_S[[#This Row],[ROE]]-VLOOKUP(Main_S[[#This Row],[Industry]], Mean_ROE_S, 2, FALSE))/(VLOOKUP(Main_S[[#This Row],[Industry]], Mean_ROE_S, 3, FALSE))</f>
        <v>-2.0350124784186563</v>
      </c>
      <c r="R265" s="1">
        <f>(Main_S[[#This Row],[ROA]]-VLOOKUP(Main_S[[#This Row],[Industry]], Mean_ROA_S, 2, FALSE))/(VLOOKUP(Main_S[[#This Row],[Industry]], Mean_ROA_S, 3, FALSE))</f>
        <v>-3.8499454376678481</v>
      </c>
      <c r="S265" s="1">
        <f>(Main_S[[#This Row],[A/E]]-VLOOKUP(Main_S[[#This Row],[Industry]], Mean_AE_S, 2, FALSE))/(VLOOKUP(Main_S[[#This Row],[Industry]], Mean_AE_S, 3, FALSE))</f>
        <v>-1.00705977678417</v>
      </c>
      <c r="T265" s="1">
        <f>(Main_S[[#This Row],[P/E]]-VLOOKUP(Main_S[[#This Row],[Industry]], Mean_PE_S, 2, FALSE))/(VLOOKUP(Main_S[[#This Row],[Industry]], Mean_PE_S, 3, FALSE))</f>
        <v>-1.7997398639134985</v>
      </c>
      <c r="U2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6" spans="1:26" x14ac:dyDescent="0.25">
      <c r="A266" s="68" t="s">
        <v>251</v>
      </c>
      <c r="B266" s="68" t="s">
        <v>691</v>
      </c>
      <c r="C266" s="2">
        <v>1310</v>
      </c>
      <c r="D266">
        <f>RTD("tos.rtd", , "LAST", Main_S[[#This Row],[Symbol]])</f>
        <v>9.91</v>
      </c>
      <c r="E266">
        <v>1.26</v>
      </c>
      <c r="F266">
        <v>13.4</v>
      </c>
      <c r="G266">
        <v>-0.04</v>
      </c>
      <c r="H266" s="1">
        <f>IF(ISNUMBER(Main_S[[#This Row],[Free CF]]),IF(Main_S[[#This Row],[Free CF]]&lt;&gt;0,Main_S[[#This Row],[Current Price]]/Main_S[[#This Row],[Free CF]],""),"")</f>
        <v>7.8650793650793656</v>
      </c>
      <c r="I266" s="1">
        <f>IF(ISNUMBER(Main_S[[#This Row],[BVPS]]),IF(Main_S[[#This Row],[BVPS]]&lt;&gt;0,Main_S[[#This Row],[Current Price]]/Main_S[[#This Row],[BVPS]],""),"")</f>
        <v>0.7395522388059701</v>
      </c>
      <c r="J266">
        <v>0.56000000000000005</v>
      </c>
      <c r="K266">
        <v>0.12</v>
      </c>
      <c r="L266">
        <v>4.72</v>
      </c>
      <c r="M266" s="1">
        <f>IF(ISNUMBER(Main_S[[#This Row],[EPS]]),IF(Main_S[[#This Row],[EPS]]&lt;&gt;0,Main_S[[#This Row],[Current Price]]/Main_S[[#This Row],[EPS]],""),"")</f>
        <v>-247.75</v>
      </c>
      <c r="N2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6" s="1">
        <f>(Main_S[[#This Row],[P/FCF]]-VLOOKUP(Main_S[[#This Row],[Industry]], Mean_PFCF_S, 2, FALSE))/(VLOOKUP(Main_S[[#This Row],[Industry]], Mean_PFCF_S, 3, FALSE))</f>
        <v>0.38150838159329092</v>
      </c>
      <c r="P266" s="1">
        <f>(Main_S[[#This Row],[P/B]]-VLOOKUP(Main_S[[#This Row],[Industry]], Mean_PB_S, 2, FALSE))/(VLOOKUP(Main_S[[#This Row],[Industry]], Mean_PB_S, 3, FALSE))</f>
        <v>6.0657760215069526E-3</v>
      </c>
      <c r="Q266" s="1">
        <f>(Main_S[[#This Row],[ROE]]-VLOOKUP(Main_S[[#This Row],[Industry]], Mean_ROE_S, 2, FALSE))/(VLOOKUP(Main_S[[#This Row],[Industry]], Mean_ROE_S, 3, FALSE))</f>
        <v>-0.75808083573594687</v>
      </c>
      <c r="R266" s="1">
        <f>(Main_S[[#This Row],[ROA]]-VLOOKUP(Main_S[[#This Row],[Industry]], Mean_ROA_S, 2, FALSE))/(VLOOKUP(Main_S[[#This Row],[Industry]], Mean_ROA_S, 3, FALSE))</f>
        <v>-1.1928402376447691</v>
      </c>
      <c r="S266" s="1">
        <f>(Main_S[[#This Row],[A/E]]-VLOOKUP(Main_S[[#This Row],[Industry]], Mean_AE_S, 2, FALSE))/(VLOOKUP(Main_S[[#This Row],[Industry]], Mean_AE_S, 3, FALSE))</f>
        <v>-0.65002726010197753</v>
      </c>
      <c r="T266" s="1">
        <f>(Main_S[[#This Row],[P/E]]-VLOOKUP(Main_S[[#This Row],[Industry]], Mean_PE_S, 2, FALSE))/(VLOOKUP(Main_S[[#This Row],[Industry]], Mean_PE_S, 3, FALSE))</f>
        <v>-27.507122309635019</v>
      </c>
      <c r="U2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7" spans="1:26" x14ac:dyDescent="0.25">
      <c r="A267" s="68" t="s">
        <v>251</v>
      </c>
      <c r="B267" s="68" t="s">
        <v>692</v>
      </c>
      <c r="C267" s="2">
        <v>1346</v>
      </c>
      <c r="D267">
        <f>RTD("tos.rtd", , "LAST", Main_S[[#This Row],[Symbol]])</f>
        <v>17.02</v>
      </c>
      <c r="E267">
        <v>4.32</v>
      </c>
      <c r="F267">
        <v>20.67</v>
      </c>
      <c r="G267">
        <v>-0.24</v>
      </c>
      <c r="H267" s="1">
        <f>IF(ISNUMBER(Main_S[[#This Row],[Free CF]]),IF(Main_S[[#This Row],[Free CF]]&lt;&gt;0,Main_S[[#This Row],[Current Price]]/Main_S[[#This Row],[Free CF]],""),"")</f>
        <v>3.9398148148148144</v>
      </c>
      <c r="I267" s="1">
        <f>IF(ISNUMBER(Main_S[[#This Row],[BVPS]]),IF(Main_S[[#This Row],[BVPS]]&lt;&gt;0,Main_S[[#This Row],[Current Price]]/Main_S[[#This Row],[BVPS]],""),"")</f>
        <v>0.82341557813255917</v>
      </c>
      <c r="J267">
        <v>-0.11</v>
      </c>
      <c r="K267">
        <v>-0.01</v>
      </c>
      <c r="L267">
        <v>9.1</v>
      </c>
      <c r="M267" s="1">
        <f>IF(ISNUMBER(Main_S[[#This Row],[EPS]]),IF(Main_S[[#This Row],[EPS]]&lt;&gt;0,Main_S[[#This Row],[Current Price]]/Main_S[[#This Row],[EPS]],""),"")</f>
        <v>-70.916666666666671</v>
      </c>
      <c r="N2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7" s="1">
        <f>(Main_S[[#This Row],[P/FCF]]-VLOOKUP(Main_S[[#This Row],[Industry]], Mean_PFCF_S, 2, FALSE))/(VLOOKUP(Main_S[[#This Row],[Industry]], Mean_PFCF_S, 3, FALSE))</f>
        <v>-0.51183062900370069</v>
      </c>
      <c r="P267" s="1">
        <f>(Main_S[[#This Row],[P/B]]-VLOOKUP(Main_S[[#This Row],[Industry]], Mean_PB_S, 2, FALSE))/(VLOOKUP(Main_S[[#This Row],[Industry]], Mean_PB_S, 3, FALSE))</f>
        <v>0.4863616784305993</v>
      </c>
      <c r="Q267" s="1">
        <f>(Main_S[[#This Row],[ROE]]-VLOOKUP(Main_S[[#This Row],[Industry]], Mean_ROE_S, 2, FALSE))/(VLOOKUP(Main_S[[#This Row],[Industry]], Mean_ROE_S, 3, FALSE))</f>
        <v>-0.88849915899774812</v>
      </c>
      <c r="R267" s="1">
        <f>(Main_S[[#This Row],[ROA]]-VLOOKUP(Main_S[[#This Row],[Industry]], Mean_ROA_S, 2, FALSE))/(VLOOKUP(Main_S[[#This Row],[Industry]], Mean_ROA_S, 3, FALSE))</f>
        <v>-1.3785518914098231</v>
      </c>
      <c r="S267" s="1">
        <f>(Main_S[[#This Row],[A/E]]-VLOOKUP(Main_S[[#This Row],[Industry]], Mean_AE_S, 2, FALSE))/(VLOOKUP(Main_S[[#This Row],[Industry]], Mean_AE_S, 3, FALSE))</f>
        <v>0.40659599872775454</v>
      </c>
      <c r="T267" s="1">
        <f>(Main_S[[#This Row],[P/E]]-VLOOKUP(Main_S[[#This Row],[Industry]], Mean_PE_S, 2, FALSE))/(VLOOKUP(Main_S[[#This Row],[Industry]], Mean_PE_S, 3, FALSE))</f>
        <v>-8.5682461043419362</v>
      </c>
      <c r="U2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8" spans="1:26" x14ac:dyDescent="0.25">
      <c r="A268" s="68" t="s">
        <v>251</v>
      </c>
      <c r="B268" s="68" t="s">
        <v>693</v>
      </c>
      <c r="C268" s="2">
        <v>671</v>
      </c>
      <c r="D268">
        <f>RTD("tos.rtd", , "LAST", Main_S[[#This Row],[Symbol]])</f>
        <v>5.38</v>
      </c>
      <c r="E268">
        <v>0.7</v>
      </c>
      <c r="F268">
        <v>7.92</v>
      </c>
      <c r="G268">
        <v>-0.56000000000000005</v>
      </c>
      <c r="H268" s="1">
        <f>IF(ISNUMBER(Main_S[[#This Row],[Free CF]]),IF(Main_S[[#This Row],[Free CF]]&lt;&gt;0,Main_S[[#This Row],[Current Price]]/Main_S[[#This Row],[Free CF]],""),"")</f>
        <v>7.6857142857142859</v>
      </c>
      <c r="I268" s="1">
        <f>IF(ISNUMBER(Main_S[[#This Row],[BVPS]]),IF(Main_S[[#This Row],[BVPS]]&lt;&gt;0,Main_S[[#This Row],[Current Price]]/Main_S[[#This Row],[BVPS]],""),"")</f>
        <v>0.67929292929292928</v>
      </c>
      <c r="J268">
        <v>-6.73</v>
      </c>
      <c r="K268">
        <v>2.58</v>
      </c>
      <c r="L268">
        <v>3.43</v>
      </c>
      <c r="M268" s="1">
        <f>IF(ISNUMBER(Main_S[[#This Row],[EPS]]),IF(Main_S[[#This Row],[EPS]]&lt;&gt;0,Main_S[[#This Row],[Current Price]]/Main_S[[#This Row],[EPS]],""),"")</f>
        <v>-9.6071428571428559</v>
      </c>
      <c r="N2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8" s="1">
        <f>(Main_S[[#This Row],[P/FCF]]-VLOOKUP(Main_S[[#This Row],[Industry]], Mean_PFCF_S, 2, FALSE))/(VLOOKUP(Main_S[[#This Row],[Industry]], Mean_PFCF_S, 3, FALSE))</f>
        <v>0.3406872291629785</v>
      </c>
      <c r="P268" s="1">
        <f>(Main_S[[#This Row],[P/B]]-VLOOKUP(Main_S[[#This Row],[Industry]], Mean_PB_S, 2, FALSE))/(VLOOKUP(Main_S[[#This Row],[Industry]], Mean_PB_S, 3, FALSE))</f>
        <v>-0.33904687598492844</v>
      </c>
      <c r="Q268" s="1">
        <f>(Main_S[[#This Row],[ROE]]-VLOOKUP(Main_S[[#This Row],[Industry]], Mean_ROE_S, 2, FALSE))/(VLOOKUP(Main_S[[#This Row],[Industry]], Mean_ROE_S, 3, FALSE))</f>
        <v>-2.1771100545098725</v>
      </c>
      <c r="R268" s="1">
        <f>(Main_S[[#This Row],[ROA]]-VLOOKUP(Main_S[[#This Row],[Industry]], Mean_ROA_S, 2, FALSE))/(VLOOKUP(Main_S[[#This Row],[Industry]], Mean_ROA_S, 3, FALSE))</f>
        <v>2.3213956720631734</v>
      </c>
      <c r="S268" s="1">
        <f>(Main_S[[#This Row],[A/E]]-VLOOKUP(Main_S[[#This Row],[Industry]], Mean_AE_S, 2, FALSE))/(VLOOKUP(Main_S[[#This Row],[Industry]], Mean_AE_S, 3, FALSE))</f>
        <v>-0.96122452126415892</v>
      </c>
      <c r="T268" s="1">
        <f>(Main_S[[#This Row],[P/E]]-VLOOKUP(Main_S[[#This Row],[Industry]], Mean_PE_S, 2, FALSE))/(VLOOKUP(Main_S[[#This Row],[Industry]], Mean_PE_S, 3, FALSE))</f>
        <v>-2.0019870187582951</v>
      </c>
      <c r="U2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9" spans="1:26" x14ac:dyDescent="0.25">
      <c r="A269" s="68" t="s">
        <v>251</v>
      </c>
      <c r="B269" s="68" t="s">
        <v>694</v>
      </c>
      <c r="C269" s="2">
        <v>972</v>
      </c>
      <c r="D269">
        <f>RTD("tos.rtd", , "LAST", Main_S[[#This Row],[Symbol]])</f>
        <v>13.03</v>
      </c>
      <c r="E269">
        <v>1.25</v>
      </c>
      <c r="F269">
        <v>31.21</v>
      </c>
      <c r="G269">
        <v>1.1000000000000001</v>
      </c>
      <c r="H269" s="1">
        <f>IF(ISNUMBER(Main_S[[#This Row],[Free CF]]),IF(Main_S[[#This Row],[Free CF]]&lt;&gt;0,Main_S[[#This Row],[Current Price]]/Main_S[[#This Row],[Free CF]],""),"")</f>
        <v>10.423999999999999</v>
      </c>
      <c r="I269" s="1">
        <f>IF(ISNUMBER(Main_S[[#This Row],[BVPS]]),IF(Main_S[[#This Row],[BVPS]]&lt;&gt;0,Main_S[[#This Row],[Current Price]]/Main_S[[#This Row],[BVPS]],""),"")</f>
        <v>0.41749439282281314</v>
      </c>
      <c r="J269">
        <v>6.92</v>
      </c>
      <c r="K269">
        <v>1.35</v>
      </c>
      <c r="L269">
        <v>5.19</v>
      </c>
      <c r="M269" s="1">
        <f>IF(ISNUMBER(Main_S[[#This Row],[EPS]]),IF(Main_S[[#This Row],[EPS]]&lt;&gt;0,Main_S[[#This Row],[Current Price]]/Main_S[[#This Row],[EPS]],""),"")</f>
        <v>11.845454545454544</v>
      </c>
      <c r="N2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9" s="1">
        <f>(Main_S[[#This Row],[P/FCF]]-VLOOKUP(Main_S[[#This Row],[Industry]], Mean_PFCF_S, 2, FALSE))/(VLOOKUP(Main_S[[#This Row],[Industry]], Mean_PFCF_S, 3, FALSE))</f>
        <v>0.96388533961059353</v>
      </c>
      <c r="P269" s="1">
        <f>(Main_S[[#This Row],[P/B]]-VLOOKUP(Main_S[[#This Row],[Industry]], Mean_PB_S, 2, FALSE))/(VLOOKUP(Main_S[[#This Row],[Industry]], Mean_PB_S, 3, FALSE))</f>
        <v>-1.8384000538213336</v>
      </c>
      <c r="Q269" s="1">
        <f>(Main_S[[#This Row],[ROE]]-VLOOKUP(Main_S[[#This Row],[Industry]], Mean_ROE_S, 2, FALSE))/(VLOOKUP(Main_S[[#This Row],[Industry]], Mean_ROE_S, 3, FALSE))</f>
        <v>0.47991996418204586</v>
      </c>
      <c r="R269" s="1">
        <f>(Main_S[[#This Row],[ROA]]-VLOOKUP(Main_S[[#This Row],[Industry]], Mean_ROA_S, 2, FALSE))/(VLOOKUP(Main_S[[#This Row],[Industry]], Mean_ROA_S, 3, FALSE))</f>
        <v>0.56427771720920217</v>
      </c>
      <c r="S269" s="1">
        <f>(Main_S[[#This Row],[A/E]]-VLOOKUP(Main_S[[#This Row],[Industry]], Mean_AE_S, 2, FALSE))/(VLOOKUP(Main_S[[#This Row],[Industry]], Mean_AE_S, 3, FALSE))</f>
        <v>-0.53664531223668654</v>
      </c>
      <c r="T269" s="1">
        <f>(Main_S[[#This Row],[P/E]]-VLOOKUP(Main_S[[#This Row],[Industry]], Mean_PE_S, 2, FALSE))/(VLOOKUP(Main_S[[#This Row],[Industry]], Mean_PE_S, 3, FALSE))</f>
        <v>0.29558934216414073</v>
      </c>
      <c r="U2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0" spans="1:26" x14ac:dyDescent="0.25">
      <c r="A270" s="68" t="s">
        <v>251</v>
      </c>
      <c r="B270" s="68" t="s">
        <v>695</v>
      </c>
      <c r="C270" s="2">
        <v>372</v>
      </c>
      <c r="D270">
        <f>RTD("tos.rtd", , "LAST", Main_S[[#This Row],[Symbol]])</f>
        <v>2.59</v>
      </c>
      <c r="E270">
        <v>0.61</v>
      </c>
      <c r="F270">
        <v>14.41</v>
      </c>
      <c r="G270">
        <v>-1.6</v>
      </c>
      <c r="H270" s="1">
        <f>IF(ISNUMBER(Main_S[[#This Row],[Free CF]]),IF(Main_S[[#This Row],[Free CF]]&lt;&gt;0,Main_S[[#This Row],[Current Price]]/Main_S[[#This Row],[Free CF]],""),"")</f>
        <v>4.2459016393442619</v>
      </c>
      <c r="I270" s="1">
        <f>IF(ISNUMBER(Main_S[[#This Row],[BVPS]]),IF(Main_S[[#This Row],[BVPS]]&lt;&gt;0,Main_S[[#This Row],[Current Price]]/Main_S[[#This Row],[BVPS]],""),"")</f>
        <v>0.17973629424011103</v>
      </c>
      <c r="J270">
        <v>-10.27</v>
      </c>
      <c r="K270">
        <v>-2.94</v>
      </c>
      <c r="L270">
        <v>3.47</v>
      </c>
      <c r="M270" s="1">
        <f>IF(ISNUMBER(Main_S[[#This Row],[EPS]]),IF(Main_S[[#This Row],[EPS]]&lt;&gt;0,Main_S[[#This Row],[Current Price]]/Main_S[[#This Row],[EPS]],""),"")</f>
        <v>-1.6187499999999999</v>
      </c>
      <c r="N2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0" s="1">
        <f>(Main_S[[#This Row],[P/FCF]]-VLOOKUP(Main_S[[#This Row],[Industry]], Mean_PFCF_S, 2, FALSE))/(VLOOKUP(Main_S[[#This Row],[Industry]], Mean_PFCF_S, 3, FALSE))</f>
        <v>-0.44216926032894915</v>
      </c>
      <c r="P270" s="1">
        <f>(Main_S[[#This Row],[P/B]]-VLOOKUP(Main_S[[#This Row],[Industry]], Mean_PB_S, 2, FALSE))/(VLOOKUP(Main_S[[#This Row],[Industry]], Mean_PB_S, 3, FALSE))</f>
        <v>-3.2000706172738824</v>
      </c>
      <c r="Q270" s="1">
        <f>(Main_S[[#This Row],[ROE]]-VLOOKUP(Main_S[[#This Row],[Industry]], Mean_ROE_S, 2, FALSE))/(VLOOKUP(Main_S[[#This Row],[Industry]], Mean_ROE_S, 3, FALSE))</f>
        <v>-2.866185971445359</v>
      </c>
      <c r="R270" s="1">
        <f>(Main_S[[#This Row],[ROA]]-VLOOKUP(Main_S[[#This Row],[Industry]], Mean_ROA_S, 2, FALSE))/(VLOOKUP(Main_S[[#This Row],[Industry]], Mean_ROA_S, 3, FALSE))</f>
        <v>-5.5642068570375756</v>
      </c>
      <c r="S270" s="1">
        <f>(Main_S[[#This Row],[A/E]]-VLOOKUP(Main_S[[#This Row],[Industry]], Mean_AE_S, 2, FALSE))/(VLOOKUP(Main_S[[#This Row],[Industry]], Mean_AE_S, 3, FALSE))</f>
        <v>-0.95157499378626176</v>
      </c>
      <c r="T270" s="1">
        <f>(Main_S[[#This Row],[P/E]]-VLOOKUP(Main_S[[#This Row],[Industry]], Mean_PE_S, 2, FALSE))/(VLOOKUP(Main_S[[#This Row],[Industry]], Mean_PE_S, 3, FALSE))</f>
        <v>-1.146428959942031</v>
      </c>
      <c r="U2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1" spans="1:26" x14ac:dyDescent="0.25">
      <c r="A271" s="68" t="s">
        <v>251</v>
      </c>
      <c r="B271" s="68" t="s">
        <v>696</v>
      </c>
      <c r="C271" s="2">
        <v>1312</v>
      </c>
      <c r="D271">
        <f>RTD("tos.rtd", , "LAST", Main_S[[#This Row],[Symbol]])</f>
        <v>12.55</v>
      </c>
      <c r="E271">
        <v>0.48</v>
      </c>
      <c r="F271">
        <v>12.6</v>
      </c>
      <c r="G271">
        <v>0.79</v>
      </c>
      <c r="H271" s="1">
        <f>IF(ISNUMBER(Main_S[[#This Row],[Free CF]]),IF(Main_S[[#This Row],[Free CF]]&lt;&gt;0,Main_S[[#This Row],[Current Price]]/Main_S[[#This Row],[Free CF]],""),"")</f>
        <v>26.145833333333336</v>
      </c>
      <c r="I271" s="1">
        <f>IF(ISNUMBER(Main_S[[#This Row],[BVPS]]),IF(Main_S[[#This Row],[BVPS]]&lt;&gt;0,Main_S[[#This Row],[Current Price]]/Main_S[[#This Row],[BVPS]],""),"")</f>
        <v>0.99603174603174616</v>
      </c>
      <c r="J271">
        <v>6.01</v>
      </c>
      <c r="K271">
        <v>0.92</v>
      </c>
      <c r="L271">
        <v>7.02</v>
      </c>
      <c r="M271" s="1">
        <f>IF(ISNUMBER(Main_S[[#This Row],[EPS]]),IF(Main_S[[#This Row],[EPS]]&lt;&gt;0,Main_S[[#This Row],[Current Price]]/Main_S[[#This Row],[EPS]],""),"")</f>
        <v>15.886075949367088</v>
      </c>
      <c r="N2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1" s="1">
        <f>(Main_S[[#This Row],[P/FCF]]-VLOOKUP(Main_S[[#This Row],[Industry]], Mean_PFCF_S, 2, FALSE))/(VLOOKUP(Main_S[[#This Row],[Industry]], Mean_PFCF_S, 3, FALSE))</f>
        <v>4.5419695311141242</v>
      </c>
      <c r="P271" s="1">
        <f>(Main_S[[#This Row],[P/B]]-VLOOKUP(Main_S[[#This Row],[Industry]], Mean_PB_S, 2, FALSE))/(VLOOKUP(Main_S[[#This Row],[Industry]], Mean_PB_S, 3, FALSE))</f>
        <v>1.4749562037293742</v>
      </c>
      <c r="Q271" s="1">
        <f>(Main_S[[#This Row],[ROE]]-VLOOKUP(Main_S[[#This Row],[Industry]], Mean_ROE_S, 2, FALSE))/(VLOOKUP(Main_S[[#This Row],[Industry]], Mean_ROE_S, 3, FALSE))</f>
        <v>0.30278462960258462</v>
      </c>
      <c r="R271" s="1">
        <f>(Main_S[[#This Row],[ROA]]-VLOOKUP(Main_S[[#This Row],[Industry]], Mean_ROA_S, 2, FALSE))/(VLOOKUP(Main_S[[#This Row],[Industry]], Mean_ROA_S, 3, FALSE))</f>
        <v>-4.9999291398283782E-2</v>
      </c>
      <c r="S271" s="1">
        <f>(Main_S[[#This Row],[A/E]]-VLOOKUP(Main_S[[#This Row],[Industry]], Mean_AE_S, 2, FALSE))/(VLOOKUP(Main_S[[#This Row],[Industry]], Mean_AE_S, 3, FALSE))</f>
        <v>-9.5179430122894523E-2</v>
      </c>
      <c r="T271" s="1">
        <f>(Main_S[[#This Row],[P/E]]-VLOOKUP(Main_S[[#This Row],[Industry]], Mean_PE_S, 2, FALSE))/(VLOOKUP(Main_S[[#This Row],[Industry]], Mean_PE_S, 3, FALSE))</f>
        <v>0.72834049331111839</v>
      </c>
      <c r="U2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2" spans="1:26" x14ac:dyDescent="0.25">
      <c r="A272" s="68" t="s">
        <v>251</v>
      </c>
      <c r="B272" s="68" t="s">
        <v>697</v>
      </c>
      <c r="C272" s="2">
        <v>1208</v>
      </c>
      <c r="D272">
        <f>RTD("tos.rtd", , "LAST", Main_S[[#This Row],[Symbol]])</f>
        <v>13.07</v>
      </c>
      <c r="E272">
        <v>-4.96</v>
      </c>
      <c r="F272">
        <v>13.66</v>
      </c>
      <c r="G272">
        <v>1.36</v>
      </c>
      <c r="H272" s="1">
        <f>IF(ISNUMBER(Main_S[[#This Row],[Free CF]]),IF(Main_S[[#This Row],[Free CF]]&lt;&gt;0,Main_S[[#This Row],[Current Price]]/Main_S[[#This Row],[Free CF]],""),"")</f>
        <v>-2.6350806451612905</v>
      </c>
      <c r="I272" s="1">
        <f>IF(ISNUMBER(Main_S[[#This Row],[BVPS]]),IF(Main_S[[#This Row],[BVPS]]&lt;&gt;0,Main_S[[#This Row],[Current Price]]/Main_S[[#This Row],[BVPS]],""),"")</f>
        <v>0.95680819912152271</v>
      </c>
      <c r="J272">
        <v>9.4700000000000006</v>
      </c>
      <c r="K272">
        <v>0.94</v>
      </c>
      <c r="L272">
        <v>13.18</v>
      </c>
      <c r="M272" s="1">
        <f>IF(ISNUMBER(Main_S[[#This Row],[EPS]]),IF(Main_S[[#This Row],[EPS]]&lt;&gt;0,Main_S[[#This Row],[Current Price]]/Main_S[[#This Row],[EPS]],""),"")</f>
        <v>9.610294117647058</v>
      </c>
      <c r="N2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2" s="1">
        <f>(Main_S[[#This Row],[P/FCF]]-VLOOKUP(Main_S[[#This Row],[Industry]], Mean_PFCF_S, 2, FALSE))/(VLOOKUP(Main_S[[#This Row],[Industry]], Mean_PFCF_S, 3, FALSE))</f>
        <v>-2.0081910729380699</v>
      </c>
      <c r="P272" s="1">
        <f>(Main_S[[#This Row],[P/B]]-VLOOKUP(Main_S[[#This Row],[Industry]], Mean_PB_S, 2, FALSE))/(VLOOKUP(Main_S[[#This Row],[Industry]], Mean_PB_S, 3, FALSE))</f>
        <v>1.250318012474352</v>
      </c>
      <c r="Q272" s="1">
        <f>(Main_S[[#This Row],[ROE]]-VLOOKUP(Main_S[[#This Row],[Industry]], Mean_ROE_S, 2, FALSE))/(VLOOKUP(Main_S[[#This Row],[Industry]], Mean_ROE_S, 3, FALSE))</f>
        <v>0.97628820943218464</v>
      </c>
      <c r="R272" s="1">
        <f>(Main_S[[#This Row],[ROA]]-VLOOKUP(Main_S[[#This Row],[Industry]], Mean_ROA_S, 2, FALSE))/(VLOOKUP(Main_S[[#This Row],[Industry]], Mean_ROA_S, 3, FALSE))</f>
        <v>-2.1428267742121778E-2</v>
      </c>
      <c r="S272" s="1">
        <f>(Main_S[[#This Row],[A/E]]-VLOOKUP(Main_S[[#This Row],[Industry]], Mean_AE_S, 2, FALSE))/(VLOOKUP(Main_S[[#This Row],[Industry]], Mean_AE_S, 3, FALSE))</f>
        <v>1.3908478014732586</v>
      </c>
      <c r="T272" s="1">
        <f>(Main_S[[#This Row],[P/E]]-VLOOKUP(Main_S[[#This Row],[Industry]], Mean_PE_S, 2, FALSE))/(VLOOKUP(Main_S[[#This Row],[Industry]], Mean_PE_S, 3, FALSE))</f>
        <v>5.6203329112966924E-2</v>
      </c>
      <c r="U2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3" spans="1:26" x14ac:dyDescent="0.25">
      <c r="A273" s="68" t="s">
        <v>251</v>
      </c>
      <c r="B273" s="68" t="s">
        <v>698</v>
      </c>
      <c r="C273" s="2">
        <v>911</v>
      </c>
      <c r="D273">
        <f>RTD("tos.rtd", , "LAST", Main_S[[#This Row],[Symbol]])</f>
        <v>11.56</v>
      </c>
      <c r="E273">
        <v>1.96</v>
      </c>
      <c r="F273">
        <v>14.97</v>
      </c>
      <c r="G273">
        <v>0.67</v>
      </c>
      <c r="H273" s="1">
        <f>IF(ISNUMBER(Main_S[[#This Row],[Free CF]]),IF(Main_S[[#This Row],[Free CF]]&lt;&gt;0,Main_S[[#This Row],[Current Price]]/Main_S[[#This Row],[Free CF]],""),"")</f>
        <v>5.8979591836734695</v>
      </c>
      <c r="I273" s="1">
        <f>IF(ISNUMBER(Main_S[[#This Row],[BVPS]]),IF(Main_S[[#This Row],[BVPS]]&lt;&gt;0,Main_S[[#This Row],[Current Price]]/Main_S[[#This Row],[BVPS]],""),"")</f>
        <v>0.77221108884435541</v>
      </c>
      <c r="J273">
        <v>4.91</v>
      </c>
      <c r="K273">
        <v>1.37</v>
      </c>
      <c r="L273">
        <v>4.5599999999999996</v>
      </c>
      <c r="M273" s="1">
        <f>IF(ISNUMBER(Main_S[[#This Row],[EPS]]),IF(Main_S[[#This Row],[EPS]]&lt;&gt;0,Main_S[[#This Row],[Current Price]]/Main_S[[#This Row],[EPS]],""),"")</f>
        <v>17.253731343283583</v>
      </c>
      <c r="N2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3" s="1">
        <f>(Main_S[[#This Row],[P/FCF]]-VLOOKUP(Main_S[[#This Row],[Industry]], Mean_PFCF_S, 2, FALSE))/(VLOOKUP(Main_S[[#This Row],[Industry]], Mean_PFCF_S, 3, FALSE))</f>
        <v>-6.6182512632954452E-2</v>
      </c>
      <c r="P273" s="1">
        <f>(Main_S[[#This Row],[P/B]]-VLOOKUP(Main_S[[#This Row],[Industry]], Mean_PB_S, 2, FALSE))/(VLOOKUP(Main_S[[#This Row],[Industry]], Mean_PB_S, 3, FALSE))</f>
        <v>0.19310712182034087</v>
      </c>
      <c r="Q273" s="1">
        <f>(Main_S[[#This Row],[ROE]]-VLOOKUP(Main_S[[#This Row],[Industry]], Mean_ROE_S, 2, FALSE))/(VLOOKUP(Main_S[[#This Row],[Industry]], Mean_ROE_S, 3, FALSE))</f>
        <v>8.8664994396642535E-2</v>
      </c>
      <c r="R273" s="1">
        <f>(Main_S[[#This Row],[ROA]]-VLOOKUP(Main_S[[#This Row],[Industry]], Mean_ROA_S, 2, FALSE))/(VLOOKUP(Main_S[[#This Row],[Industry]], Mean_ROA_S, 3, FALSE))</f>
        <v>0.59284874086536432</v>
      </c>
      <c r="S273" s="1">
        <f>(Main_S[[#This Row],[A/E]]-VLOOKUP(Main_S[[#This Row],[Industry]], Mean_AE_S, 2, FALSE))/(VLOOKUP(Main_S[[#This Row],[Industry]], Mean_AE_S, 3, FALSE))</f>
        <v>-0.68862537001356605</v>
      </c>
      <c r="T273" s="1">
        <f>(Main_S[[#This Row],[P/E]]-VLOOKUP(Main_S[[#This Row],[Industry]], Mean_PE_S, 2, FALSE))/(VLOOKUP(Main_S[[#This Row],[Industry]], Mean_PE_S, 3, FALSE))</f>
        <v>0.87481658867522305</v>
      </c>
      <c r="U2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4" spans="1:26" x14ac:dyDescent="0.25">
      <c r="A274" s="68" t="s">
        <v>251</v>
      </c>
      <c r="B274" s="68" t="s">
        <v>699</v>
      </c>
      <c r="C274" s="2">
        <v>480</v>
      </c>
      <c r="D274">
        <f>RTD("tos.rtd", , "LAST", Main_S[[#This Row],[Symbol]])</f>
        <v>7.63</v>
      </c>
      <c r="E274">
        <v>3.41</v>
      </c>
      <c r="F274">
        <v>9.01</v>
      </c>
      <c r="G274">
        <v>0.65</v>
      </c>
      <c r="H274" s="1">
        <f>IF(ISNUMBER(Main_S[[#This Row],[Free CF]]),IF(Main_S[[#This Row],[Free CF]]&lt;&gt;0,Main_S[[#This Row],[Current Price]]/Main_S[[#This Row],[Free CF]],""),"")</f>
        <v>2.2375366568914954</v>
      </c>
      <c r="I274" s="1">
        <f>IF(ISNUMBER(Main_S[[#This Row],[BVPS]]),IF(Main_S[[#This Row],[BVPS]]&lt;&gt;0,Main_S[[#This Row],[Current Price]]/Main_S[[#This Row],[BVPS]],""),"")</f>
        <v>0.84683684794672587</v>
      </c>
      <c r="J274">
        <v>7.91</v>
      </c>
      <c r="K274">
        <v>1.0900000000000001</v>
      </c>
      <c r="L274">
        <v>10.220000000000001</v>
      </c>
      <c r="M274" s="1">
        <f>IF(ISNUMBER(Main_S[[#This Row],[EPS]]),IF(Main_S[[#This Row],[EPS]]&lt;&gt;0,Main_S[[#This Row],[Current Price]]/Main_S[[#This Row],[EPS]],""),"")</f>
        <v>11.738461538461538</v>
      </c>
      <c r="N2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4" s="1">
        <f>(Main_S[[#This Row],[P/FCF]]-VLOOKUP(Main_S[[#This Row],[Industry]], Mean_PFCF_S, 2, FALSE))/(VLOOKUP(Main_S[[#This Row],[Industry]], Mean_PFCF_S, 3, FALSE))</f>
        <v>-0.89924693327740779</v>
      </c>
      <c r="P274" s="1">
        <f>(Main_S[[#This Row],[P/B]]-VLOOKUP(Main_S[[#This Row],[Industry]], Mean_PB_S, 2, FALSE))/(VLOOKUP(Main_S[[#This Row],[Industry]], Mean_PB_S, 3, FALSE))</f>
        <v>0.62049823930798687</v>
      </c>
      <c r="Q274" s="1">
        <f>(Main_S[[#This Row],[ROE]]-VLOOKUP(Main_S[[#This Row],[Industry]], Mean_ROE_S, 2, FALSE))/(VLOOKUP(Main_S[[#This Row],[Industry]], Mean_ROE_S, 3, FALSE))</f>
        <v>0.67262763586739382</v>
      </c>
      <c r="R274" s="1">
        <f>(Main_S[[#This Row],[ROA]]-VLOOKUP(Main_S[[#This Row],[Industry]], Mean_ROA_S, 2, FALSE))/(VLOOKUP(Main_S[[#This Row],[Industry]], Mean_ROA_S, 3, FALSE))</f>
        <v>0.19285440967909442</v>
      </c>
      <c r="S274" s="1">
        <f>(Main_S[[#This Row],[A/E]]-VLOOKUP(Main_S[[#This Row],[Industry]], Mean_AE_S, 2, FALSE))/(VLOOKUP(Main_S[[#This Row],[Industry]], Mean_AE_S, 3, FALSE))</f>
        <v>0.6767827681088735</v>
      </c>
      <c r="T274" s="1">
        <f>(Main_S[[#This Row],[P/E]]-VLOOKUP(Main_S[[#This Row],[Industry]], Mean_PE_S, 2, FALSE))/(VLOOKUP(Main_S[[#This Row],[Industry]], Mean_PE_S, 3, FALSE))</f>
        <v>0.28413037525967738</v>
      </c>
      <c r="U2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5" spans="1:26" x14ac:dyDescent="0.25">
      <c r="A275" s="68" t="s">
        <v>251</v>
      </c>
      <c r="B275" s="68" t="s">
        <v>700</v>
      </c>
      <c r="C275" s="2">
        <v>618</v>
      </c>
      <c r="D275">
        <f>RTD("tos.rtd", , "LAST", Main_S[[#This Row],[Symbol]])</f>
        <v>9.6</v>
      </c>
      <c r="E275">
        <v>1.34</v>
      </c>
      <c r="F275">
        <v>14.62</v>
      </c>
      <c r="G275">
        <v>0.16</v>
      </c>
      <c r="H275" s="1">
        <f>IF(ISNUMBER(Main_S[[#This Row],[Free CF]]),IF(Main_S[[#This Row],[Free CF]]&lt;&gt;0,Main_S[[#This Row],[Current Price]]/Main_S[[#This Row],[Free CF]],""),"")</f>
        <v>7.1641791044776113</v>
      </c>
      <c r="I275" s="1">
        <f>IF(ISNUMBER(Main_S[[#This Row],[BVPS]]),IF(Main_S[[#This Row],[BVPS]]&lt;&gt;0,Main_S[[#This Row],[Current Price]]/Main_S[[#This Row],[BVPS]],""),"")</f>
        <v>0.65663474692202461</v>
      </c>
      <c r="J275">
        <v>2.33</v>
      </c>
      <c r="K275">
        <v>0.46</v>
      </c>
      <c r="L275">
        <v>6.61</v>
      </c>
      <c r="M275" s="1">
        <f>IF(ISNUMBER(Main_S[[#This Row],[EPS]]),IF(Main_S[[#This Row],[EPS]]&lt;&gt;0,Main_S[[#This Row],[Current Price]]/Main_S[[#This Row],[EPS]],""),"")</f>
        <v>60</v>
      </c>
      <c r="N2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5" s="1">
        <f>(Main_S[[#This Row],[P/FCF]]-VLOOKUP(Main_S[[#This Row],[Industry]], Mean_PFCF_S, 2, FALSE))/(VLOOKUP(Main_S[[#This Row],[Industry]], Mean_PFCF_S, 3, FALSE))</f>
        <v>0.22199262480412252</v>
      </c>
      <c r="P275" s="1">
        <f>(Main_S[[#This Row],[P/B]]-VLOOKUP(Main_S[[#This Row],[Industry]], Mean_PB_S, 2, FALSE))/(VLOOKUP(Main_S[[#This Row],[Industry]], Mean_PB_S, 3, FALSE))</f>
        <v>-0.46881313900485422</v>
      </c>
      <c r="Q275" s="1">
        <f>(Main_S[[#This Row],[ROE]]-VLOOKUP(Main_S[[#This Row],[Industry]], Mean_ROE_S, 2, FALSE))/(VLOOKUP(Main_S[[#This Row],[Industry]], Mean_ROE_S, 3, FALSE))</f>
        <v>-0.4135428772682036</v>
      </c>
      <c r="R275" s="1">
        <f>(Main_S[[#This Row],[ROA]]-VLOOKUP(Main_S[[#This Row],[Industry]], Mean_ROA_S, 2, FALSE))/(VLOOKUP(Main_S[[#This Row],[Industry]], Mean_ROA_S, 3, FALSE))</f>
        <v>-0.70713283549001293</v>
      </c>
      <c r="S275" s="1">
        <f>(Main_S[[#This Row],[A/E]]-VLOOKUP(Main_S[[#This Row],[Industry]], Mean_AE_S, 2, FALSE))/(VLOOKUP(Main_S[[#This Row],[Industry]], Mean_AE_S, 3, FALSE))</f>
        <v>-0.1940870867713396</v>
      </c>
      <c r="T275" s="1">
        <f>(Main_S[[#This Row],[P/E]]-VLOOKUP(Main_S[[#This Row],[Industry]], Mean_PE_S, 2, FALSE))/(VLOOKUP(Main_S[[#This Row],[Industry]], Mean_PE_S, 3, FALSE))</f>
        <v>5.4529482964664693</v>
      </c>
      <c r="U2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6" spans="1:26" x14ac:dyDescent="0.25">
      <c r="A276" s="68" t="s">
        <v>251</v>
      </c>
      <c r="B276" s="68" t="s">
        <v>701</v>
      </c>
      <c r="C276" s="2">
        <v>1332</v>
      </c>
      <c r="D276">
        <f>RTD("tos.rtd", , "LAST", Main_S[[#This Row],[Symbol]])</f>
        <v>10.77</v>
      </c>
      <c r="E276">
        <v>1</v>
      </c>
      <c r="F276">
        <v>11.84</v>
      </c>
      <c r="G276">
        <v>0.82</v>
      </c>
      <c r="H276" s="1">
        <f>IF(ISNUMBER(Main_S[[#This Row],[Free CF]]),IF(Main_S[[#This Row],[Free CF]]&lt;&gt;0,Main_S[[#This Row],[Current Price]]/Main_S[[#This Row],[Free CF]],""),"")</f>
        <v>10.77</v>
      </c>
      <c r="I276" s="1">
        <f>IF(ISNUMBER(Main_S[[#This Row],[BVPS]]),IF(Main_S[[#This Row],[BVPS]]&lt;&gt;0,Main_S[[#This Row],[Current Price]]/Main_S[[#This Row],[BVPS]],""),"")</f>
        <v>0.9096283783783784</v>
      </c>
      <c r="J276">
        <v>6.75</v>
      </c>
      <c r="K276">
        <v>2.09</v>
      </c>
      <c r="L276">
        <v>2.95</v>
      </c>
      <c r="M276" s="1">
        <f>IF(ISNUMBER(Main_S[[#This Row],[EPS]]),IF(Main_S[[#This Row],[EPS]]&lt;&gt;0,Main_S[[#This Row],[Current Price]]/Main_S[[#This Row],[EPS]],""),"")</f>
        <v>13.134146341463415</v>
      </c>
      <c r="N2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6" s="1">
        <f>(Main_S[[#This Row],[P/FCF]]-VLOOKUP(Main_S[[#This Row],[Industry]], Mean_PFCF_S, 2, FALSE))/(VLOOKUP(Main_S[[#This Row],[Industry]], Mean_PFCF_S, 3, FALSE))</f>
        <v>1.0426304263960759</v>
      </c>
      <c r="P276" s="1">
        <f>(Main_S[[#This Row],[P/B]]-VLOOKUP(Main_S[[#This Row],[Industry]], Mean_PB_S, 2, FALSE))/(VLOOKUP(Main_S[[#This Row],[Industry]], Mean_PB_S, 3, FALSE))</f>
        <v>0.98011323931260397</v>
      </c>
      <c r="Q276" s="1">
        <f>(Main_S[[#This Row],[ROE]]-VLOOKUP(Main_S[[#This Row],[Industry]], Mean_ROE_S, 2, FALSE))/(VLOOKUP(Main_S[[#This Row],[Industry]], Mean_ROE_S, 3, FALSE))</f>
        <v>0.44682874783203663</v>
      </c>
      <c r="R276" s="1">
        <f>(Main_S[[#This Row],[ROA]]-VLOOKUP(Main_S[[#This Row],[Industry]], Mean_ROA_S, 2, FALSE))/(VLOOKUP(Main_S[[#This Row],[Industry]], Mean_ROA_S, 3, FALSE))</f>
        <v>1.6214055924872008</v>
      </c>
      <c r="S276" s="1">
        <f>(Main_S[[#This Row],[A/E]]-VLOOKUP(Main_S[[#This Row],[Industry]], Mean_AE_S, 2, FALSE))/(VLOOKUP(Main_S[[#This Row],[Industry]], Mean_AE_S, 3, FALSE))</f>
        <v>-1.077018850998924</v>
      </c>
      <c r="T276" s="1">
        <f>(Main_S[[#This Row],[P/E]]-VLOOKUP(Main_S[[#This Row],[Industry]], Mean_PE_S, 2, FALSE))/(VLOOKUP(Main_S[[#This Row],[Industry]], Mean_PE_S, 3, FALSE))</f>
        <v>0.43360842449056197</v>
      </c>
      <c r="U2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7" spans="1:26" x14ac:dyDescent="0.25">
      <c r="A277" s="68" t="s">
        <v>251</v>
      </c>
      <c r="B277" s="68" t="s">
        <v>702</v>
      </c>
      <c r="C277" s="2">
        <v>964</v>
      </c>
      <c r="D277">
        <f>RTD("tos.rtd", , "LAST", Main_S[[#This Row],[Symbol]])</f>
        <v>9.6</v>
      </c>
      <c r="E277">
        <v>1.62</v>
      </c>
      <c r="F277">
        <v>18.04</v>
      </c>
      <c r="G277">
        <v>0.82</v>
      </c>
      <c r="H277" s="1">
        <f>IF(ISNUMBER(Main_S[[#This Row],[Free CF]]),IF(Main_S[[#This Row],[Free CF]]&lt;&gt;0,Main_S[[#This Row],[Current Price]]/Main_S[[#This Row],[Free CF]],""),"")</f>
        <v>5.9259259259259256</v>
      </c>
      <c r="I277" s="1">
        <f>IF(ISNUMBER(Main_S[[#This Row],[BVPS]]),IF(Main_S[[#This Row],[BVPS]]&lt;&gt;0,Main_S[[#This Row],[Current Price]]/Main_S[[#This Row],[BVPS]],""),"")</f>
        <v>0.53215077605321504</v>
      </c>
      <c r="J277">
        <v>6.37</v>
      </c>
      <c r="K277">
        <v>1.08</v>
      </c>
      <c r="L277">
        <v>6.2</v>
      </c>
      <c r="M277" s="1">
        <f>IF(ISNUMBER(Main_S[[#This Row],[EPS]]),IF(Main_S[[#This Row],[EPS]]&lt;&gt;0,Main_S[[#This Row],[Current Price]]/Main_S[[#This Row],[EPS]],""),"")</f>
        <v>11.707317073170731</v>
      </c>
      <c r="N2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7" s="1">
        <f>(Main_S[[#This Row],[P/FCF]]-VLOOKUP(Main_S[[#This Row],[Industry]], Mean_PFCF_S, 2, FALSE))/(VLOOKUP(Main_S[[#This Row],[Industry]], Mean_PFCF_S, 3, FALSE))</f>
        <v>-5.9817646893714944E-2</v>
      </c>
      <c r="P277" s="1">
        <f>(Main_S[[#This Row],[P/B]]-VLOOKUP(Main_S[[#This Row],[Industry]], Mean_PB_S, 2, FALSE))/(VLOOKUP(Main_S[[#This Row],[Industry]], Mean_PB_S, 3, FALSE))</f>
        <v>-1.1817485122442284</v>
      </c>
      <c r="Q277" s="1">
        <f>(Main_S[[#This Row],[ROE]]-VLOOKUP(Main_S[[#This Row],[Industry]], Mean_ROE_S, 2, FALSE))/(VLOOKUP(Main_S[[#This Row],[Industry]], Mean_ROE_S, 3, FALSE))</f>
        <v>0.37286014657907485</v>
      </c>
      <c r="R277" s="1">
        <f>(Main_S[[#This Row],[ROA]]-VLOOKUP(Main_S[[#This Row],[Industry]], Mean_ROA_S, 2, FALSE))/(VLOOKUP(Main_S[[#This Row],[Industry]], Mean_ROA_S, 3, FALSE))</f>
        <v>0.17856889785101335</v>
      </c>
      <c r="S277" s="1">
        <f>(Main_S[[#This Row],[A/E]]-VLOOKUP(Main_S[[#This Row],[Industry]], Mean_AE_S, 2, FALSE))/(VLOOKUP(Main_S[[#This Row],[Industry]], Mean_AE_S, 3, FALSE))</f>
        <v>-0.29299474341978488</v>
      </c>
      <c r="T277" s="1">
        <f>(Main_S[[#This Row],[P/E]]-VLOOKUP(Main_S[[#This Row],[Industry]], Mean_PE_S, 2, FALSE))/(VLOOKUP(Main_S[[#This Row],[Industry]], Mean_PE_S, 3, FALSE))</f>
        <v>0.28079479841167004</v>
      </c>
      <c r="U2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8" spans="1:26" x14ac:dyDescent="0.25">
      <c r="A278" s="68" t="s">
        <v>251</v>
      </c>
      <c r="B278" s="68" t="s">
        <v>703</v>
      </c>
      <c r="C278" s="2">
        <v>254</v>
      </c>
      <c r="D278">
        <f>RTD("tos.rtd", , "LAST", Main_S[[#This Row],[Symbol]])</f>
        <v>14.58</v>
      </c>
      <c r="E278">
        <v>1.02</v>
      </c>
      <c r="F278">
        <v>19.48</v>
      </c>
      <c r="G278">
        <v>2.69</v>
      </c>
      <c r="H278" s="1">
        <f>IF(ISNUMBER(Main_S[[#This Row],[Free CF]]),IF(Main_S[[#This Row],[Free CF]]&lt;&gt;0,Main_S[[#This Row],[Current Price]]/Main_S[[#This Row],[Free CF]],""),"")</f>
        <v>14.294117647058822</v>
      </c>
      <c r="I278" s="1">
        <f>IF(ISNUMBER(Main_S[[#This Row],[BVPS]]),IF(Main_S[[#This Row],[BVPS]]&lt;&gt;0,Main_S[[#This Row],[Current Price]]/Main_S[[#This Row],[BVPS]],""),"")</f>
        <v>0.74845995893223816</v>
      </c>
      <c r="J278">
        <v>14.33</v>
      </c>
      <c r="K278">
        <v>1.23</v>
      </c>
      <c r="L278">
        <v>15.71</v>
      </c>
      <c r="M278" s="1">
        <f>IF(ISNUMBER(Main_S[[#This Row],[EPS]]),IF(Main_S[[#This Row],[EPS]]&lt;&gt;0,Main_S[[#This Row],[Current Price]]/Main_S[[#This Row],[EPS]],""),"")</f>
        <v>5.4200743494423795</v>
      </c>
      <c r="N2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8" s="1">
        <f>(Main_S[[#This Row],[P/FCF]]-VLOOKUP(Main_S[[#This Row],[Industry]], Mean_PFCF_S, 2, FALSE))/(VLOOKUP(Main_S[[#This Row],[Industry]], Mean_PFCF_S, 3, FALSE))</f>
        <v>1.8446736343726555</v>
      </c>
      <c r="P278" s="1">
        <f>(Main_S[[#This Row],[P/B]]-VLOOKUP(Main_S[[#This Row],[Industry]], Mean_PB_S, 2, FALSE))/(VLOOKUP(Main_S[[#This Row],[Industry]], Mean_PB_S, 3, FALSE))</f>
        <v>5.708141063381833E-2</v>
      </c>
      <c r="Q278" s="1">
        <f>(Main_S[[#This Row],[ROE]]-VLOOKUP(Main_S[[#This Row],[Industry]], Mean_ROE_S, 2, FALSE))/(VLOOKUP(Main_S[[#This Row],[Industry]], Mean_ROE_S, 3, FALSE))</f>
        <v>1.9223076886148016</v>
      </c>
      <c r="R278" s="1">
        <f>(Main_S[[#This Row],[ROA]]-VLOOKUP(Main_S[[#This Row],[Industry]], Mean_ROA_S, 2, FALSE))/(VLOOKUP(Main_S[[#This Row],[Industry]], Mean_ROA_S, 3, FALSE))</f>
        <v>0.39285157527222919</v>
      </c>
      <c r="S278" s="1">
        <f>(Main_S[[#This Row],[A/E]]-VLOOKUP(Main_S[[#This Row],[Industry]], Mean_AE_S, 2, FALSE))/(VLOOKUP(Main_S[[#This Row],[Industry]], Mean_AE_S, 3, FALSE))</f>
        <v>2.0011804144502503</v>
      </c>
      <c r="T278" s="1">
        <f>(Main_S[[#This Row],[P/E]]-VLOOKUP(Main_S[[#This Row],[Industry]], Mean_PE_S, 2, FALSE))/(VLOOKUP(Main_S[[#This Row],[Industry]], Mean_PE_S, 3, FALSE))</f>
        <v>-0.39256982901898568</v>
      </c>
      <c r="U2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9" spans="1:26" x14ac:dyDescent="0.25">
      <c r="A279" s="68" t="s">
        <v>251</v>
      </c>
      <c r="B279" s="68" t="s">
        <v>704</v>
      </c>
      <c r="C279" s="2">
        <v>591</v>
      </c>
      <c r="D279">
        <f>RTD("tos.rtd", , "LAST", Main_S[[#This Row],[Symbol]])</f>
        <v>6.84</v>
      </c>
      <c r="E279">
        <v>0.12</v>
      </c>
      <c r="F279">
        <v>9.57</v>
      </c>
      <c r="G279">
        <v>-0.06</v>
      </c>
      <c r="H279" s="1">
        <f>IF(ISNUMBER(Main_S[[#This Row],[Free CF]]),IF(Main_S[[#This Row],[Free CF]]&lt;&gt;0,Main_S[[#This Row],[Current Price]]/Main_S[[#This Row],[Free CF]],""),"")</f>
        <v>57</v>
      </c>
      <c r="I279" s="1">
        <f>IF(ISNUMBER(Main_S[[#This Row],[BVPS]]),IF(Main_S[[#This Row],[BVPS]]&lt;&gt;0,Main_S[[#This Row],[Current Price]]/Main_S[[#This Row],[BVPS]],""),"")</f>
        <v>0.71473354231974917</v>
      </c>
      <c r="J279">
        <v>1.58</v>
      </c>
      <c r="K279">
        <v>0.27</v>
      </c>
      <c r="L279">
        <v>11.54</v>
      </c>
      <c r="M279" s="1">
        <f>IF(ISNUMBER(Main_S[[#This Row],[EPS]]),IF(Main_S[[#This Row],[EPS]]&lt;&gt;0,Main_S[[#This Row],[Current Price]]/Main_S[[#This Row],[EPS]],""),"")</f>
        <v>-114</v>
      </c>
      <c r="N2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9" s="1">
        <f>(Main_S[[#This Row],[P/FCF]]-VLOOKUP(Main_S[[#This Row],[Industry]], Mean_PFCF_S, 2, FALSE))/(VLOOKUP(Main_S[[#This Row],[Industry]], Mean_PFCF_S, 3, FALSE))</f>
        <v>11.563975403543028</v>
      </c>
      <c r="P279" s="1">
        <f>(Main_S[[#This Row],[P/B]]-VLOOKUP(Main_S[[#This Row],[Industry]], Mean_PB_S, 2, FALSE))/(VLOOKUP(Main_S[[#This Row],[Industry]], Mean_PB_S, 3, FALSE))</f>
        <v>-0.13607402333760923</v>
      </c>
      <c r="Q279" s="1">
        <f>(Main_S[[#This Row],[ROE]]-VLOOKUP(Main_S[[#This Row],[Industry]], Mean_ROE_S, 2, FALSE))/(VLOOKUP(Main_S[[#This Row],[Industry]], Mean_ROE_S, 3, FALSE))</f>
        <v>-0.55953353763589142</v>
      </c>
      <c r="R279" s="1">
        <f>(Main_S[[#This Row],[ROA]]-VLOOKUP(Main_S[[#This Row],[Industry]], Mean_ROA_S, 2, FALSE))/(VLOOKUP(Main_S[[#This Row],[Industry]], Mean_ROA_S, 3, FALSE))</f>
        <v>-0.97855756022355311</v>
      </c>
      <c r="S279" s="1">
        <f>(Main_S[[#This Row],[A/E]]-VLOOKUP(Main_S[[#This Row],[Industry]], Mean_AE_S, 2, FALSE))/(VLOOKUP(Main_S[[#This Row],[Industry]], Mean_AE_S, 3, FALSE))</f>
        <v>0.99521717487947736</v>
      </c>
      <c r="T279" s="1">
        <f>(Main_S[[#This Row],[P/E]]-VLOOKUP(Main_S[[#This Row],[Industry]], Mean_PE_S, 2, FALSE))/(VLOOKUP(Main_S[[#This Row],[Industry]], Mean_PE_S, 3, FALSE))</f>
        <v>-13.182477488949157</v>
      </c>
      <c r="U2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80" spans="1:26" x14ac:dyDescent="0.25">
      <c r="A280" s="68" t="s">
        <v>251</v>
      </c>
      <c r="B280" s="68" t="s">
        <v>705</v>
      </c>
      <c r="C280" s="2">
        <v>761</v>
      </c>
      <c r="D280">
        <f>RTD("tos.rtd", , "LAST", Main_S[[#This Row],[Symbol]])</f>
        <v>7.25</v>
      </c>
      <c r="E280">
        <v>0.63</v>
      </c>
      <c r="F280">
        <v>7.94</v>
      </c>
      <c r="G280">
        <v>0.46</v>
      </c>
      <c r="H280" s="1">
        <f>IF(ISNUMBER(Main_S[[#This Row],[Free CF]]),IF(Main_S[[#This Row],[Free CF]]&lt;&gt;0,Main_S[[#This Row],[Current Price]]/Main_S[[#This Row],[Free CF]],""),"")</f>
        <v>11.507936507936508</v>
      </c>
      <c r="I280" s="1">
        <f>IF(ISNUMBER(Main_S[[#This Row],[BVPS]]),IF(Main_S[[#This Row],[BVPS]]&lt;&gt;0,Main_S[[#This Row],[Current Price]]/Main_S[[#This Row],[BVPS]],""),"")</f>
        <v>0.91309823677581858</v>
      </c>
      <c r="J280">
        <v>5.23</v>
      </c>
      <c r="K280">
        <v>0.61</v>
      </c>
      <c r="L280">
        <v>8.5299999999999994</v>
      </c>
      <c r="M280" s="1">
        <f>IF(ISNUMBER(Main_S[[#This Row],[EPS]]),IF(Main_S[[#This Row],[EPS]]&lt;&gt;0,Main_S[[#This Row],[Current Price]]/Main_S[[#This Row],[EPS]],""),"")</f>
        <v>15.760869565217391</v>
      </c>
      <c r="N2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0" s="1">
        <f>(Main_S[[#This Row],[P/FCF]]-VLOOKUP(Main_S[[#This Row],[Industry]], Mean_PFCF_S, 2, FALSE))/(VLOOKUP(Main_S[[#This Row],[Industry]], Mean_PFCF_S, 3, FALSE))</f>
        <v>1.2105751499788391</v>
      </c>
      <c r="P280" s="1">
        <f>(Main_S[[#This Row],[P/B]]-VLOOKUP(Main_S[[#This Row],[Industry]], Mean_PB_S, 2, FALSE))/(VLOOKUP(Main_S[[#This Row],[Industry]], Mean_PB_S, 3, FALSE))</f>
        <v>0.99998555519714349</v>
      </c>
      <c r="Q280" s="1">
        <f>(Main_S[[#This Row],[ROE]]-VLOOKUP(Main_S[[#This Row],[Industry]], Mean_ROE_S, 2, FALSE))/(VLOOKUP(Main_S[[#This Row],[Industry]], Mean_ROE_S, 3, FALSE))</f>
        <v>0.15095434282018941</v>
      </c>
      <c r="R280" s="1">
        <f>(Main_S[[#This Row],[ROA]]-VLOOKUP(Main_S[[#This Row],[Industry]], Mean_ROA_S, 2, FALSE))/(VLOOKUP(Main_S[[#This Row],[Industry]], Mean_ROA_S, 3, FALSE))</f>
        <v>-0.49285015806879695</v>
      </c>
      <c r="S280" s="1">
        <f>(Main_S[[#This Row],[A/E]]-VLOOKUP(Main_S[[#This Row],[Industry]], Mean_AE_S, 2, FALSE))/(VLOOKUP(Main_S[[#This Row],[Industry]], Mean_AE_S, 3, FALSE))</f>
        <v>0.26909023216772088</v>
      </c>
      <c r="T280" s="1">
        <f>(Main_S[[#This Row],[P/E]]-VLOOKUP(Main_S[[#This Row],[Industry]], Mean_PE_S, 2, FALSE))/(VLOOKUP(Main_S[[#This Row],[Industry]], Mean_PE_S, 3, FALSE))</f>
        <v>0.7149308710140958</v>
      </c>
      <c r="U2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1" spans="1:26" x14ac:dyDescent="0.25">
      <c r="A281" s="68" t="s">
        <v>251</v>
      </c>
      <c r="B281" s="68" t="s">
        <v>706</v>
      </c>
      <c r="C281" s="2">
        <v>1101</v>
      </c>
      <c r="D281">
        <f>RTD("tos.rtd", , "LAST", Main_S[[#This Row],[Symbol]])</f>
        <v>12.92</v>
      </c>
      <c r="E281">
        <v>-34.53</v>
      </c>
      <c r="F281">
        <v>15.64</v>
      </c>
      <c r="G281">
        <v>0.86</v>
      </c>
      <c r="H281" s="1">
        <f>IF(ISNUMBER(Main_S[[#This Row],[Free CF]]),IF(Main_S[[#This Row],[Free CF]]&lt;&gt;0,Main_S[[#This Row],[Current Price]]/Main_S[[#This Row],[Free CF]],""),"")</f>
        <v>-0.37416739067477556</v>
      </c>
      <c r="I281" s="1">
        <f>IF(ISNUMBER(Main_S[[#This Row],[BVPS]]),IF(Main_S[[#This Row],[BVPS]]&lt;&gt;0,Main_S[[#This Row],[Current Price]]/Main_S[[#This Row],[BVPS]],""),"")</f>
        <v>0.82608695652173914</v>
      </c>
      <c r="J281">
        <v>6.37</v>
      </c>
      <c r="K281">
        <v>0.91</v>
      </c>
      <c r="L281">
        <v>10.93</v>
      </c>
      <c r="M281" s="1">
        <f>IF(ISNUMBER(Main_S[[#This Row],[EPS]]),IF(Main_S[[#This Row],[EPS]]&lt;&gt;0,Main_S[[#This Row],[Current Price]]/Main_S[[#This Row],[EPS]],""),"")</f>
        <v>15.023255813953488</v>
      </c>
      <c r="N2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1" s="1">
        <f>(Main_S[[#This Row],[P/FCF]]-VLOOKUP(Main_S[[#This Row],[Industry]], Mean_PFCF_S, 2, FALSE))/(VLOOKUP(Main_S[[#This Row],[Industry]], Mean_PFCF_S, 3, FALSE))</f>
        <v>-1.4936367075074695</v>
      </c>
      <c r="P281" s="1">
        <f>(Main_S[[#This Row],[P/B]]-VLOOKUP(Main_S[[#This Row],[Industry]], Mean_PB_S, 2, FALSE))/(VLOOKUP(Main_S[[#This Row],[Industry]], Mean_PB_S, 3, FALSE))</f>
        <v>0.50166099878213866</v>
      </c>
      <c r="Q281" s="1">
        <f>(Main_S[[#This Row],[ROE]]-VLOOKUP(Main_S[[#This Row],[Industry]], Mean_ROE_S, 2, FALSE))/(VLOOKUP(Main_S[[#This Row],[Industry]], Mean_ROE_S, 3, FALSE))</f>
        <v>0.37286014657907485</v>
      </c>
      <c r="R281" s="1">
        <f>(Main_S[[#This Row],[ROA]]-VLOOKUP(Main_S[[#This Row],[Industry]], Mean_ROA_S, 2, FALSE))/(VLOOKUP(Main_S[[#This Row],[Industry]], Mean_ROA_S, 3, FALSE))</f>
        <v>-6.4284803226364859E-2</v>
      </c>
      <c r="S281" s="1">
        <f>(Main_S[[#This Row],[A/E]]-VLOOKUP(Main_S[[#This Row],[Industry]], Mean_AE_S, 2, FALSE))/(VLOOKUP(Main_S[[#This Row],[Industry]], Mean_AE_S, 3, FALSE))</f>
        <v>0.84806188084154677</v>
      </c>
      <c r="T281" s="1">
        <f>(Main_S[[#This Row],[P/E]]-VLOOKUP(Main_S[[#This Row],[Industry]], Mean_PE_S, 2, FALSE))/(VLOOKUP(Main_S[[#This Row],[Industry]], Mean_PE_S, 3, FALSE))</f>
        <v>0.63593232894524254</v>
      </c>
      <c r="U2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2" spans="1:26" x14ac:dyDescent="0.25">
      <c r="A282" s="68" t="s">
        <v>251</v>
      </c>
      <c r="B282" s="68" t="s">
        <v>707</v>
      </c>
      <c r="C282" s="2">
        <v>760</v>
      </c>
      <c r="D282">
        <f>RTD("tos.rtd", , "LAST", Main_S[[#This Row],[Symbol]])</f>
        <v>4.25</v>
      </c>
      <c r="E282">
        <v>1.63</v>
      </c>
      <c r="F282">
        <v>10.61</v>
      </c>
      <c r="G282">
        <v>-2.52</v>
      </c>
      <c r="H282" s="1">
        <f>IF(ISNUMBER(Main_S[[#This Row],[Free CF]]),IF(Main_S[[#This Row],[Free CF]]&lt;&gt;0,Main_S[[#This Row],[Current Price]]/Main_S[[#This Row],[Free CF]],""),"")</f>
        <v>2.6073619631901841</v>
      </c>
      <c r="I282" s="1">
        <f>IF(ISNUMBER(Main_S[[#This Row],[BVPS]]),IF(Main_S[[#This Row],[BVPS]]&lt;&gt;0,Main_S[[#This Row],[Current Price]]/Main_S[[#This Row],[BVPS]],""),"")</f>
        <v>0.40056550424128184</v>
      </c>
      <c r="J282">
        <v>-17.95</v>
      </c>
      <c r="K282">
        <v>-3.65</v>
      </c>
      <c r="L282">
        <v>5.87</v>
      </c>
      <c r="M282" s="1">
        <f>IF(ISNUMBER(Main_S[[#This Row],[EPS]]),IF(Main_S[[#This Row],[EPS]]&lt;&gt;0,Main_S[[#This Row],[Current Price]]/Main_S[[#This Row],[EPS]],""),"")</f>
        <v>-1.6865079365079365</v>
      </c>
      <c r="N2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2" s="1">
        <f>(Main_S[[#This Row],[P/FCF]]-VLOOKUP(Main_S[[#This Row],[Industry]], Mean_PFCF_S, 2, FALSE))/(VLOOKUP(Main_S[[#This Row],[Industry]], Mean_PFCF_S, 3, FALSE))</f>
        <v>-0.81507951755498631</v>
      </c>
      <c r="P282" s="1">
        <f>(Main_S[[#This Row],[P/B]]-VLOOKUP(Main_S[[#This Row],[Industry]], Mean_PB_S, 2, FALSE))/(VLOOKUP(Main_S[[#This Row],[Industry]], Mean_PB_S, 3, FALSE))</f>
        <v>-1.9353539300125198</v>
      </c>
      <c r="Q282" s="1">
        <f>(Main_S[[#This Row],[ROE]]-VLOOKUP(Main_S[[#This Row],[Industry]], Mean_ROE_S, 2, FALSE))/(VLOOKUP(Main_S[[#This Row],[Industry]], Mean_ROE_S, 3, FALSE))</f>
        <v>-4.3611303336104825</v>
      </c>
      <c r="R282" s="1">
        <f>(Main_S[[#This Row],[ROA]]-VLOOKUP(Main_S[[#This Row],[Industry]], Mean_ROA_S, 2, FALSE))/(VLOOKUP(Main_S[[#This Row],[Industry]], Mean_ROA_S, 3, FALSE))</f>
        <v>-6.5784781968313322</v>
      </c>
      <c r="S282" s="1">
        <f>(Main_S[[#This Row],[A/E]]-VLOOKUP(Main_S[[#This Row],[Industry]], Mean_AE_S, 2, FALSE))/(VLOOKUP(Main_S[[#This Row],[Industry]], Mean_AE_S, 3, FALSE))</f>
        <v>-0.37260334511243592</v>
      </c>
      <c r="T282" s="1">
        <f>(Main_S[[#This Row],[P/E]]-VLOOKUP(Main_S[[#This Row],[Industry]], Mean_PE_S, 2, FALSE))/(VLOOKUP(Main_S[[#This Row],[Industry]], Mean_PE_S, 3, FALSE))</f>
        <v>-1.1536858449832181</v>
      </c>
      <c r="U2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3" spans="1:26" x14ac:dyDescent="0.25">
      <c r="A283" s="68" t="s">
        <v>251</v>
      </c>
      <c r="B283" s="68" t="s">
        <v>708</v>
      </c>
      <c r="C283" s="2">
        <v>307</v>
      </c>
      <c r="D283">
        <f>RTD("tos.rtd", , "LAST", Main_S[[#This Row],[Symbol]])</f>
        <v>15.05</v>
      </c>
      <c r="E283">
        <v>1.2</v>
      </c>
      <c r="F283">
        <v>14.83</v>
      </c>
      <c r="G283">
        <v>1.88</v>
      </c>
      <c r="H283" s="1">
        <f>IF(ISNUMBER(Main_S[[#This Row],[Free CF]]),IF(Main_S[[#This Row],[Free CF]]&lt;&gt;0,Main_S[[#This Row],[Current Price]]/Main_S[[#This Row],[Free CF]],""),"")</f>
        <v>12.541666666666668</v>
      </c>
      <c r="I283" s="1">
        <f>IF(ISNUMBER(Main_S[[#This Row],[BVPS]]),IF(Main_S[[#This Row],[BVPS]]&lt;&gt;0,Main_S[[#This Row],[Current Price]]/Main_S[[#This Row],[BVPS]],""),"")</f>
        <v>1.0148347943358058</v>
      </c>
      <c r="J283">
        <v>12.76</v>
      </c>
      <c r="K283">
        <v>9.33</v>
      </c>
      <c r="L283">
        <v>1.41</v>
      </c>
      <c r="M283" s="1">
        <f>IF(ISNUMBER(Main_S[[#This Row],[EPS]]),IF(Main_S[[#This Row],[EPS]]&lt;&gt;0,Main_S[[#This Row],[Current Price]]/Main_S[[#This Row],[EPS]],""),"")</f>
        <v>8.0053191489361719</v>
      </c>
      <c r="N2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3" s="1">
        <f>(Main_S[[#This Row],[P/FCF]]-VLOOKUP(Main_S[[#This Row],[Industry]], Mean_PFCF_S, 2, FALSE))/(VLOOKUP(Main_S[[#This Row],[Industry]], Mean_PFCF_S, 3, FALSE))</f>
        <v>1.4458386501579628</v>
      </c>
      <c r="P283" s="1">
        <f>(Main_S[[#This Row],[P/B]]-VLOOKUP(Main_S[[#This Row],[Industry]], Mean_PB_S, 2, FALSE))/(VLOOKUP(Main_S[[#This Row],[Industry]], Mean_PB_S, 3, FALSE))</f>
        <v>1.5826436286012906</v>
      </c>
      <c r="Q283" s="1">
        <f>(Main_S[[#This Row],[ROE]]-VLOOKUP(Main_S[[#This Row],[Industry]], Mean_ROE_S, 2, FALSE))/(VLOOKUP(Main_S[[#This Row],[Industry]], Mean_ROE_S, 3, FALSE))</f>
        <v>1.6167005729117749</v>
      </c>
      <c r="R283" s="1">
        <f>(Main_S[[#This Row],[ROA]]-VLOOKUP(Main_S[[#This Row],[Industry]], Mean_ROA_S, 2, FALSE))/(VLOOKUP(Main_S[[#This Row],[Industry]], Mean_ROA_S, 3, FALSE))</f>
        <v>11.964116156017894</v>
      </c>
      <c r="S283" s="1">
        <f>(Main_S[[#This Row],[A/E]]-VLOOKUP(Main_S[[#This Row],[Industry]], Mean_AE_S, 2, FALSE))/(VLOOKUP(Main_S[[#This Row],[Industry]], Mean_AE_S, 3, FALSE))</f>
        <v>-1.4485256588979623</v>
      </c>
      <c r="T283" s="1">
        <f>(Main_S[[#This Row],[P/E]]-VLOOKUP(Main_S[[#This Row],[Industry]], Mean_PE_S, 2, FALSE))/(VLOOKUP(Main_S[[#This Row],[Industry]], Mean_PE_S, 3, FALSE))</f>
        <v>-0.11568972788048988</v>
      </c>
      <c r="U2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4" spans="1:26" x14ac:dyDescent="0.25">
      <c r="A284" s="68" t="s">
        <v>251</v>
      </c>
      <c r="B284" s="68" t="s">
        <v>709</v>
      </c>
      <c r="C284" s="2">
        <v>777</v>
      </c>
      <c r="D284">
        <f>RTD("tos.rtd", , "LAST", Main_S[[#This Row],[Symbol]])</f>
        <v>5.94</v>
      </c>
      <c r="E284">
        <v>-44.45</v>
      </c>
      <c r="F284">
        <v>8.89</v>
      </c>
      <c r="G284">
        <v>0.21</v>
      </c>
      <c r="H284" s="1">
        <f>IF(ISNUMBER(Main_S[[#This Row],[Free CF]]),IF(Main_S[[#This Row],[Free CF]]&lt;&gt;0,Main_S[[#This Row],[Current Price]]/Main_S[[#This Row],[Free CF]],""),"")</f>
        <v>-0.13363329583802025</v>
      </c>
      <c r="I284" s="1">
        <f>IF(ISNUMBER(Main_S[[#This Row],[BVPS]]),IF(Main_S[[#This Row],[BVPS]]&lt;&gt;0,Main_S[[#This Row],[Current Price]]/Main_S[[#This Row],[BVPS]],""),"")</f>
        <v>0.66816647919010119</v>
      </c>
      <c r="J284">
        <v>3.31</v>
      </c>
      <c r="K284">
        <v>0.23</v>
      </c>
      <c r="L284">
        <v>16.8</v>
      </c>
      <c r="M284" s="1">
        <f>IF(ISNUMBER(Main_S[[#This Row],[EPS]]),IF(Main_S[[#This Row],[EPS]]&lt;&gt;0,Main_S[[#This Row],[Current Price]]/Main_S[[#This Row],[EPS]],""),"")</f>
        <v>28.285714285714288</v>
      </c>
      <c r="N2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4" s="1">
        <f>(Main_S[[#This Row],[P/FCF]]-VLOOKUP(Main_S[[#This Row],[Industry]], Mean_PFCF_S, 2, FALSE))/(VLOOKUP(Main_S[[#This Row],[Industry]], Mean_PFCF_S, 3, FALSE))</f>
        <v>-1.4388942850427651</v>
      </c>
      <c r="P284" s="1">
        <f>(Main_S[[#This Row],[P/B]]-VLOOKUP(Main_S[[#This Row],[Industry]], Mean_PB_S, 2, FALSE))/(VLOOKUP(Main_S[[#This Row],[Industry]], Mean_PB_S, 3, FALSE))</f>
        <v>-0.40276945650293589</v>
      </c>
      <c r="Q284" s="1">
        <f>(Main_S[[#This Row],[ROE]]-VLOOKUP(Main_S[[#This Row],[Industry]], Mean_ROE_S, 2, FALSE))/(VLOOKUP(Main_S[[#This Row],[Industry]], Mean_ROE_S, 3, FALSE))</f>
        <v>-0.22278174772109149</v>
      </c>
      <c r="R284" s="1">
        <f>(Main_S[[#This Row],[ROA]]-VLOOKUP(Main_S[[#This Row],[Industry]], Mean_ROA_S, 2, FALSE))/(VLOOKUP(Main_S[[#This Row],[Industry]], Mean_ROA_S, 3, FALSE))</f>
        <v>-1.0356996075358775</v>
      </c>
      <c r="S284" s="1">
        <f>(Main_S[[#This Row],[A/E]]-VLOOKUP(Main_S[[#This Row],[Industry]], Mean_AE_S, 2, FALSE))/(VLOOKUP(Main_S[[#This Row],[Industry]], Mean_AE_S, 3, FALSE))</f>
        <v>2.2641300382229459</v>
      </c>
      <c r="T284" s="1">
        <f>(Main_S[[#This Row],[P/E]]-VLOOKUP(Main_S[[#This Row],[Industry]], Mean_PE_S, 2, FALSE))/(VLOOKUP(Main_S[[#This Row],[Industry]], Mean_PE_S, 3, FALSE))</f>
        <v>2.0563435966616512</v>
      </c>
      <c r="U2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5" spans="1:26" x14ac:dyDescent="0.25">
      <c r="A285" s="68" t="s">
        <v>251</v>
      </c>
      <c r="B285" s="68" t="s">
        <v>710</v>
      </c>
      <c r="C285" s="2">
        <v>601</v>
      </c>
      <c r="D285">
        <f>RTD("tos.rtd", , "LAST", Main_S[[#This Row],[Symbol]])</f>
        <v>7.99</v>
      </c>
      <c r="E285">
        <v>1.01</v>
      </c>
      <c r="F285">
        <v>13.69</v>
      </c>
      <c r="G285">
        <v>0.7</v>
      </c>
      <c r="H285" s="1">
        <f>IF(ISNUMBER(Main_S[[#This Row],[Free CF]]),IF(Main_S[[#This Row],[Free CF]]&lt;&gt;0,Main_S[[#This Row],[Current Price]]/Main_S[[#This Row],[Free CF]],""),"")</f>
        <v>7.9108910891089108</v>
      </c>
      <c r="I285" s="1">
        <f>IF(ISNUMBER(Main_S[[#This Row],[BVPS]]),IF(Main_S[[#This Row],[BVPS]]&lt;&gt;0,Main_S[[#This Row],[Current Price]]/Main_S[[#This Row],[BVPS]],""),"")</f>
        <v>0.58363769174579994</v>
      </c>
      <c r="J285">
        <v>6.41</v>
      </c>
      <c r="K285">
        <v>1.83</v>
      </c>
      <c r="L285">
        <v>3.59</v>
      </c>
      <c r="M285" s="1">
        <f>IF(ISNUMBER(Main_S[[#This Row],[EPS]]),IF(Main_S[[#This Row],[EPS]]&lt;&gt;0,Main_S[[#This Row],[Current Price]]/Main_S[[#This Row],[EPS]],""),"")</f>
        <v>11.414285714285715</v>
      </c>
      <c r="N2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5" s="1">
        <f>(Main_S[[#This Row],[P/FCF]]-VLOOKUP(Main_S[[#This Row],[Industry]], Mean_PFCF_S, 2, FALSE))/(VLOOKUP(Main_S[[#This Row],[Industry]], Mean_PFCF_S, 3, FALSE))</f>
        <v>0.39193453241554271</v>
      </c>
      <c r="P285" s="1">
        <f>(Main_S[[#This Row],[P/B]]-VLOOKUP(Main_S[[#This Row],[Industry]], Mean_PB_S, 2, FALSE))/(VLOOKUP(Main_S[[#This Row],[Industry]], Mean_PB_S, 3, FALSE))</f>
        <v>-0.88687646405963438</v>
      </c>
      <c r="Q285" s="1">
        <f>(Main_S[[#This Row],[ROE]]-VLOOKUP(Main_S[[#This Row],[Industry]], Mean_ROE_S, 2, FALSE))/(VLOOKUP(Main_S[[#This Row],[Industry]], Mean_ROE_S, 3, FALSE))</f>
        <v>0.38064631513201819</v>
      </c>
      <c r="R285" s="1">
        <f>(Main_S[[#This Row],[ROA]]-VLOOKUP(Main_S[[#This Row],[Industry]], Mean_ROA_S, 2, FALSE))/(VLOOKUP(Main_S[[#This Row],[Industry]], Mean_ROA_S, 3, FALSE))</f>
        <v>1.2499822849570934</v>
      </c>
      <c r="S285" s="1">
        <f>(Main_S[[#This Row],[A/E]]-VLOOKUP(Main_S[[#This Row],[Industry]], Mean_AE_S, 2, FALSE))/(VLOOKUP(Main_S[[#This Row],[Industry]], Mean_AE_S, 3, FALSE))</f>
        <v>-0.92262641135257062</v>
      </c>
      <c r="T285" s="1">
        <f>(Main_S[[#This Row],[P/E]]-VLOOKUP(Main_S[[#This Row],[Industry]], Mean_PE_S, 2, FALSE))/(VLOOKUP(Main_S[[#This Row],[Industry]], Mean_PE_S, 3, FALSE))</f>
        <v>0.24941109645016879</v>
      </c>
      <c r="U2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6" spans="1:26" x14ac:dyDescent="0.25">
      <c r="A286" s="68" t="s">
        <v>251</v>
      </c>
      <c r="B286" s="68" t="s">
        <v>711</v>
      </c>
      <c r="C286" s="2">
        <v>1208</v>
      </c>
      <c r="D286">
        <f>RTD("tos.rtd", , "LAST", Main_S[[#This Row],[Symbol]])</f>
        <v>12.04</v>
      </c>
      <c r="E286">
        <v>2.8</v>
      </c>
      <c r="F286">
        <v>14.86</v>
      </c>
      <c r="G286">
        <v>-0.32</v>
      </c>
      <c r="H286" s="1">
        <f>IF(ISNUMBER(Main_S[[#This Row],[Free CF]]),IF(Main_S[[#This Row],[Free CF]]&lt;&gt;0,Main_S[[#This Row],[Current Price]]/Main_S[[#This Row],[Free CF]],""),"")</f>
        <v>4.3</v>
      </c>
      <c r="I286" s="1">
        <f>IF(ISNUMBER(Main_S[[#This Row],[BVPS]]),IF(Main_S[[#This Row],[BVPS]]&lt;&gt;0,Main_S[[#This Row],[Current Price]]/Main_S[[#This Row],[BVPS]],""),"")</f>
        <v>0.81022880215343196</v>
      </c>
      <c r="J286">
        <v>0.71</v>
      </c>
      <c r="K286">
        <v>0.12</v>
      </c>
      <c r="L286">
        <v>8.85</v>
      </c>
      <c r="M286" s="1">
        <f>IF(ISNUMBER(Main_S[[#This Row],[EPS]]),IF(Main_S[[#This Row],[EPS]]&lt;&gt;0,Main_S[[#This Row],[Current Price]]/Main_S[[#This Row],[EPS]],""),"")</f>
        <v>-37.625</v>
      </c>
      <c r="N2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6" s="1">
        <f>(Main_S[[#This Row],[P/FCF]]-VLOOKUP(Main_S[[#This Row],[Industry]], Mean_PFCF_S, 2, FALSE))/(VLOOKUP(Main_S[[#This Row],[Industry]], Mean_PFCF_S, 3, FALSE))</f>
        <v>-0.429857179101237</v>
      </c>
      <c r="P286" s="1">
        <f>(Main_S[[#This Row],[P/B]]-VLOOKUP(Main_S[[#This Row],[Industry]], Mean_PB_S, 2, FALSE))/(VLOOKUP(Main_S[[#This Row],[Industry]], Mean_PB_S, 3, FALSE))</f>
        <v>0.41083935223158308</v>
      </c>
      <c r="Q286" s="1">
        <f>(Main_S[[#This Row],[ROE]]-VLOOKUP(Main_S[[#This Row],[Industry]], Mean_ROE_S, 2, FALSE))/(VLOOKUP(Main_S[[#This Row],[Industry]], Mean_ROE_S, 3, FALSE))</f>
        <v>-0.72888270366240937</v>
      </c>
      <c r="R286" s="1">
        <f>(Main_S[[#This Row],[ROA]]-VLOOKUP(Main_S[[#This Row],[Industry]], Mean_ROA_S, 2, FALSE))/(VLOOKUP(Main_S[[#This Row],[Industry]], Mean_ROA_S, 3, FALSE))</f>
        <v>-1.1928402376447691</v>
      </c>
      <c r="S286" s="1">
        <f>(Main_S[[#This Row],[A/E]]-VLOOKUP(Main_S[[#This Row],[Industry]], Mean_AE_S, 2, FALSE))/(VLOOKUP(Main_S[[#This Row],[Industry]], Mean_AE_S, 3, FALSE))</f>
        <v>0.34628645199089769</v>
      </c>
      <c r="T286" s="1">
        <f>(Main_S[[#This Row],[P/E]]-VLOOKUP(Main_S[[#This Row],[Industry]], Mean_PE_S, 2, FALSE))/(VLOOKUP(Main_S[[#This Row],[Industry]], Mean_PE_S, 3, FALSE))</f>
        <v>-5.0027036707818091</v>
      </c>
      <c r="U2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42.710937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-4.5217428396430028</v>
      </c>
      <c r="C3" s="1" cm="1">
        <f t="array" ref="C3">_xlfn.QUARTILE.INC(IF(Quartile_L[[#This Row],[Industry]]=Main_L[Industry],Main_L[P/FCF]),3)</f>
        <v>14.739120281236183</v>
      </c>
      <c r="D3" s="1">
        <f>Quartile_L[[#This Row],[P/FCF Q1]]-1.5*(Quartile_L[[#This Row],[P/FCF Q3]]-Quartile_L[[#This Row],[P/FCF Q1]])</f>
        <v>-33.41303752096178</v>
      </c>
      <c r="E3" s="1">
        <f>Quartile_L[[#This Row],[P/FCF Q3]]+1.5*(Quartile_L[[#This Row],[P/FCF Q3]]-Quartile_L[[#This Row],[P/FCF Q1]])</f>
        <v>43.630414962554966</v>
      </c>
      <c r="F3" s="1" cm="1">
        <f t="array" ref="F3">_xlfn.QUARTILE.INC(IF(Quartile_L[[#This Row],[Industry]]=Main_L[Industry],Main_L[P/B]),1)</f>
        <v>1.1009724052071121</v>
      </c>
      <c r="G3" s="1" cm="1">
        <f t="array" ref="G3">_xlfn.QUARTILE.INC(IF(Quartile_L[[#This Row],[Industry]]=Main_L[Industry],Main_L[P/B]),3)</f>
        <v>2.0630698434429773</v>
      </c>
      <c r="H3" s="1">
        <f>Quartile_L[[#This Row],[P/B Q1]]-1.5*(Quartile_L[[#This Row],[P/B Q3]]-Quartile_L[[#This Row],[P/B Q1]])</f>
        <v>-0.34217375214668544</v>
      </c>
      <c r="I3" s="1">
        <f>Quartile_L[[#This Row],[P/B Q3]]+1.5*(Quartile_L[[#This Row],[P/B Q3]]-Quartile_L[[#This Row],[P/B Q1]])</f>
        <v>3.5062160007967749</v>
      </c>
      <c r="J3" s="1" cm="1">
        <f t="array" ref="J3">_xlfn.QUARTILE.INC(IF(Quartile_L[[#This Row],[Industry]]=Main_L[Industry],Main_L[ROE]),1)</f>
        <v>8.8650000000000002</v>
      </c>
      <c r="K3" s="1" cm="1">
        <f t="array" ref="K3">_xlfn.QUARTILE.INC(IF(Quartile_L[[#This Row],[Industry]]=Main_L[Industry],Main_L[ROE]),3)</f>
        <v>14.3225</v>
      </c>
      <c r="L3" s="1">
        <f>Quartile_L[[#This Row],[ROE Q1]]-1.5*(Quartile_L[[#This Row],[ROE Q3]]-Quartile_L[[#This Row],[ROE Q1]])</f>
        <v>0.67875000000000085</v>
      </c>
      <c r="M3" s="1">
        <f>Quartile_L[[#This Row],[ROE Q3]]+1.5*(Quartile_L[[#This Row],[ROE Q3]]-Quartile_L[[#This Row],[ROE Q1]])</f>
        <v>22.508749999999999</v>
      </c>
      <c r="N3" s="1" cm="1">
        <f t="array" ref="N3">_xlfn.QUARTILE.INC(IF(Quartile_L[[#This Row],[Industry]]=Main_L[Industry],Main_L[ROA]),1)</f>
        <v>0.53500000000000003</v>
      </c>
      <c r="O3" s="1" cm="1">
        <f t="array" ref="O3">_xlfn.QUARTILE.INC(IF(Quartile_L[[#This Row],[Industry]]=Main_L[Industry],Main_L[ROA]),3)</f>
        <v>1.25</v>
      </c>
      <c r="P3" s="1">
        <f>Quartile_L[[#This Row],[ROA Q1]]-1.5*(Quartile_L[[#This Row],[ROA Q3]]-Quartile_L[[#This Row],[ROA Q1]])</f>
        <v>-0.53749999999999998</v>
      </c>
      <c r="Q3" s="1">
        <f>Quartile_L[[#This Row],[ROA Q3]]+1.5*(Quartile_L[[#This Row],[ROA Q3]]-Quartile_L[[#This Row],[ROA Q1]])</f>
        <v>2.3224999999999998</v>
      </c>
      <c r="R3" s="1" cm="1">
        <f t="array" ref="R3">_xlfn.QUARTILE.INC(IF(Quartile_L[[#This Row],[Industry]]=Main_L[Industry],Main_L[P/E]),1)</f>
        <v>10.846519363269186</v>
      </c>
      <c r="S3" s="1" cm="1">
        <f t="array" ref="S3">_xlfn.QUARTILE.INC(IF(Quartile_L[[#This Row],[Industry]]=Main_L[Industry],Main_L[P/E]),3)</f>
        <v>15.797450553438576</v>
      </c>
      <c r="T3" s="1">
        <f>Quartile_L[[#This Row],[P/E Q1]]-1.5*(Quartile_L[[#This Row],[P/E Q3]]-Quartile_L[[#This Row],[P/E Q1]])</f>
        <v>3.4201225780151008</v>
      </c>
      <c r="U3" s="1">
        <f>Quartile_L[[#This Row],[P/E Q3]]+1.5*(Quartile_L[[#This Row],[P/E Q3]]-Quartile_L[[#This Row],[P/E Q1]])</f>
        <v>23.223847338692661</v>
      </c>
      <c r="V3" s="1" cm="1">
        <f t="array" ref="V3">_xlfn.QUARTILE.INC(IF(Quartile_L[[#This Row],[Industry]]=Main_L[Industry],Main_L[A/E]),1)</f>
        <v>10.51</v>
      </c>
      <c r="W3" s="1" cm="1">
        <f t="array" ref="W3">_xlfn.QUARTILE.INC(IF(Quartile_L[[#This Row],[Industry]]=Main_L[Industry],Main_L[A/E]),3)</f>
        <v>17.295000000000002</v>
      </c>
      <c r="X3" s="1">
        <f>Quartile_L[[#This Row],[A/E Q1]]-1.5*(Quartile_L[[#This Row],[A/E Q3]]-Quartile_L[[#This Row],[A/E Q1]])</f>
        <v>0.3324999999999978</v>
      </c>
      <c r="Y3" s="1">
        <f>Quartile_L[[#This Row],[A/E Q3]]+1.5*(Quartile_L[[#This Row],[A/E Q3]]-Quartile_L[[#This Row],[A/E Q1]])</f>
        <v>27.472500000000004</v>
      </c>
    </row>
    <row r="4" spans="1:25" x14ac:dyDescent="0.25">
      <c r="A4" t="s">
        <v>150</v>
      </c>
      <c r="B4" s="1" cm="1">
        <f t="array" ref="B4">_xlfn.QUARTILE.INC(IF(Quartile_L[[#This Row],[Industry]]=Main_L[Industry],Main_L[P/FCF]),1)</f>
        <v>13.184032735386712</v>
      </c>
      <c r="C4" s="1" cm="1">
        <f t="array" ref="C4">_xlfn.QUARTILE.INC(IF(Quartile_L[[#This Row],[Industry]]=Main_L[Industry],Main_L[P/FCF]),3)</f>
        <v>35.638088456790825</v>
      </c>
      <c r="D4" s="1">
        <f>Quartile_L[[#This Row],[P/FCF Q1]]-1.5*(Quartile_L[[#This Row],[P/FCF Q3]]-Quartile_L[[#This Row],[P/FCF Q1]])</f>
        <v>-20.497050846719457</v>
      </c>
      <c r="E4" s="1">
        <f>Quartile_L[[#This Row],[P/FCF Q3]]+1.5*(Quartile_L[[#This Row],[P/FCF Q3]]-Quartile_L[[#This Row],[P/FCF Q1]])</f>
        <v>69.319172038896994</v>
      </c>
      <c r="F4" s="1" cm="1">
        <f t="array" ref="F4">_xlfn.QUARTILE.INC(IF(Quartile_L[[#This Row],[Industry]]=Main_L[Industry],Main_L[P/B]),1)</f>
        <v>2.1497136157902106</v>
      </c>
      <c r="G4" s="1" cm="1">
        <f t="array" ref="G4">_xlfn.QUARTILE.INC(IF(Quartile_L[[#This Row],[Industry]]=Main_L[Industry],Main_L[P/B]),3)</f>
        <v>12.127482313774449</v>
      </c>
      <c r="H4" s="1">
        <f>Quartile_L[[#This Row],[P/B Q1]]-1.5*(Quartile_L[[#This Row],[P/B Q3]]-Quartile_L[[#This Row],[P/B Q1]])</f>
        <v>-12.816939431186148</v>
      </c>
      <c r="I4" s="1">
        <f>Quartile_L[[#This Row],[P/B Q3]]+1.5*(Quartile_L[[#This Row],[P/B Q3]]-Quartile_L[[#This Row],[P/B Q1]])</f>
        <v>27.094135360750805</v>
      </c>
      <c r="J4" s="1" cm="1">
        <f t="array" ref="J4">_xlfn.QUARTILE.INC(IF(Quartile_L[[#This Row],[Industry]]=Main_L[Industry],Main_L[ROE]),1)</f>
        <v>8.4350000000000005</v>
      </c>
      <c r="K4" s="1" cm="1">
        <f t="array" ref="K4">_xlfn.QUARTILE.INC(IF(Quartile_L[[#This Row],[Industry]]=Main_L[Industry],Main_L[ROE]),3)</f>
        <v>26.715</v>
      </c>
      <c r="L4" s="1">
        <f>Quartile_L[[#This Row],[ROE Q1]]-1.5*(Quartile_L[[#This Row],[ROE Q3]]-Quartile_L[[#This Row],[ROE Q1]])</f>
        <v>-18.984999999999999</v>
      </c>
      <c r="M4" s="1">
        <f>Quartile_L[[#This Row],[ROE Q3]]+1.5*(Quartile_L[[#This Row],[ROE Q3]]-Quartile_L[[#This Row],[ROE Q1]])</f>
        <v>54.135000000000005</v>
      </c>
      <c r="N4" s="1" cm="1">
        <f t="array" ref="N4">_xlfn.QUARTILE.INC(IF(Quartile_L[[#This Row],[Industry]]=Main_L[Industry],Main_L[ROA]),1)</f>
        <v>1.72</v>
      </c>
      <c r="O4" s="1" cm="1">
        <f t="array" ref="O4">_xlfn.QUARTILE.INC(IF(Quartile_L[[#This Row],[Industry]]=Main_L[Industry],Main_L[ROA]),3)</f>
        <v>5.5049999999999999</v>
      </c>
      <c r="P4" s="1">
        <f>Quartile_L[[#This Row],[ROA Q1]]-1.5*(Quartile_L[[#This Row],[ROA Q3]]-Quartile_L[[#This Row],[ROA Q1]])</f>
        <v>-3.9575000000000005</v>
      </c>
      <c r="Q4" s="1">
        <f>Quartile_L[[#This Row],[ROA Q3]]+1.5*(Quartile_L[[#This Row],[ROA Q3]]-Quartile_L[[#This Row],[ROA Q1]])</f>
        <v>11.182500000000001</v>
      </c>
      <c r="R4" s="1" cm="1">
        <f t="array" ref="R4">_xlfn.QUARTILE.INC(IF(Quartile_L[[#This Row],[Industry]]=Main_L[Industry],Main_L[P/E]),1)</f>
        <v>13.776998486949944</v>
      </c>
      <c r="S4" s="1" cm="1">
        <f t="array" ref="S4">_xlfn.QUARTILE.INC(IF(Quartile_L[[#This Row],[Industry]]=Main_L[Industry],Main_L[P/E]),3)</f>
        <v>34.78116892348153</v>
      </c>
      <c r="T4" s="1">
        <f>Quartile_L[[#This Row],[P/E Q1]]-1.5*(Quartile_L[[#This Row],[P/E Q3]]-Quartile_L[[#This Row],[P/E Q1]])</f>
        <v>-17.729257167847436</v>
      </c>
      <c r="U4" s="1">
        <f>Quartile_L[[#This Row],[P/E Q3]]+1.5*(Quartile_L[[#This Row],[P/E Q3]]-Quartile_L[[#This Row],[P/E Q1]])</f>
        <v>66.287424578278916</v>
      </c>
      <c r="V4" s="1" cm="1">
        <f t="array" ref="V4">_xlfn.QUARTILE.INC(IF(Quartile_L[[#This Row],[Industry]]=Main_L[Industry],Main_L[A/E]),1)</f>
        <v>2.125</v>
      </c>
      <c r="W4" s="1" cm="1">
        <f t="array" ref="W4">_xlfn.QUARTILE.INC(IF(Quartile_L[[#This Row],[Industry]]=Main_L[Industry],Main_L[A/E]),3)</f>
        <v>6.51</v>
      </c>
      <c r="X4" s="1">
        <f>Quartile_L[[#This Row],[A/E Q1]]-1.5*(Quartile_L[[#This Row],[A/E Q3]]-Quartile_L[[#This Row],[A/E Q1]])</f>
        <v>-4.4524999999999997</v>
      </c>
      <c r="Y4" s="1">
        <f>Quartile_L[[#This Row],[A/E Q3]]+1.5*(Quartile_L[[#This Row],[A/E Q3]]-Quartile_L[[#This Row],[A/E Q1]])</f>
        <v>13.087499999999999</v>
      </c>
    </row>
    <row r="5" spans="1:25" x14ac:dyDescent="0.25">
      <c r="A5" t="s">
        <v>166</v>
      </c>
      <c r="B5" s="1" cm="1">
        <f t="array" ref="B5">_xlfn.QUARTILE.INC(IF(Quartile_L[[#This Row],[Industry]]=Main_L[Industry],Main_L[P/FCF]),1)</f>
        <v>3.004748511473748</v>
      </c>
      <c r="C5" s="1" cm="1">
        <f t="array" ref="C5">_xlfn.QUARTILE.INC(IF(Quartile_L[[#This Row],[Industry]]=Main_L[Industry],Main_L[P/FCF]),3)</f>
        <v>13.938113034162832</v>
      </c>
      <c r="D5" s="1">
        <f>Quartile_L[[#This Row],[P/FCF Q1]]-1.5*(Quartile_L[[#This Row],[P/FCF Q3]]-Quartile_L[[#This Row],[P/FCF Q1]])</f>
        <v>-13.395298272559879</v>
      </c>
      <c r="E5" s="1">
        <f>Quartile_L[[#This Row],[P/FCF Q3]]+1.5*(Quartile_L[[#This Row],[P/FCF Q3]]-Quartile_L[[#This Row],[P/FCF Q1]])</f>
        <v>30.338159818196459</v>
      </c>
      <c r="F5" s="1" cm="1">
        <f t="array" ref="F5">_xlfn.QUARTILE.INC(IF(Quartile_L[[#This Row],[Industry]]=Main_L[Industry],Main_L[P/B]),1)</f>
        <v>1.7307337270351955</v>
      </c>
      <c r="G5" s="1" cm="1">
        <f t="array" ref="G5">_xlfn.QUARTILE.INC(IF(Quartile_L[[#This Row],[Industry]]=Main_L[Industry],Main_L[P/B]),3)</f>
        <v>4.6955872147606144</v>
      </c>
      <c r="H5" s="1">
        <f>Quartile_L[[#This Row],[P/B Q1]]-1.5*(Quartile_L[[#This Row],[P/B Q3]]-Quartile_L[[#This Row],[P/B Q1]])</f>
        <v>-2.7165465045529329</v>
      </c>
      <c r="I5" s="1">
        <f>Quartile_L[[#This Row],[P/B Q3]]+1.5*(Quartile_L[[#This Row],[P/B Q3]]-Quartile_L[[#This Row],[P/B Q1]])</f>
        <v>9.1428674463487418</v>
      </c>
      <c r="J5" s="1" cm="1">
        <f t="array" ref="J5">_xlfn.QUARTILE.INC(IF(Quartile_L[[#This Row],[Industry]]=Main_L[Industry],Main_L[ROE]),1)</f>
        <v>10.672499999999999</v>
      </c>
      <c r="K5" s="1" cm="1">
        <f t="array" ref="K5">_xlfn.QUARTILE.INC(IF(Quartile_L[[#This Row],[Industry]]=Main_L[Industry],Main_L[ROE]),3)</f>
        <v>32.82</v>
      </c>
      <c r="L5" s="1">
        <f>Quartile_L[[#This Row],[ROE Q1]]-1.5*(Quartile_L[[#This Row],[ROE Q3]]-Quartile_L[[#This Row],[ROE Q1]])</f>
        <v>-22.548749999999998</v>
      </c>
      <c r="M5" s="1">
        <f>Quartile_L[[#This Row],[ROE Q3]]+1.5*(Quartile_L[[#This Row],[ROE Q3]]-Quartile_L[[#This Row],[ROE Q1]])</f>
        <v>66.041249999999991</v>
      </c>
      <c r="N5" s="1" cm="1">
        <f t="array" ref="N5">_xlfn.QUARTILE.INC(IF(Quartile_L[[#This Row],[Industry]]=Main_L[Industry],Main_L[ROA]),1)</f>
        <v>1.66</v>
      </c>
      <c r="O5" s="1" cm="1">
        <f t="array" ref="O5">_xlfn.QUARTILE.INC(IF(Quartile_L[[#This Row],[Industry]]=Main_L[Industry],Main_L[ROA]),3)</f>
        <v>3.5949999999999998</v>
      </c>
      <c r="P5" s="1">
        <f>Quartile_L[[#This Row],[ROA Q1]]-1.5*(Quartile_L[[#This Row],[ROA Q3]]-Quartile_L[[#This Row],[ROA Q1]])</f>
        <v>-1.2424999999999999</v>
      </c>
      <c r="Q5" s="1">
        <f>Quartile_L[[#This Row],[ROA Q3]]+1.5*(Quartile_L[[#This Row],[ROA Q3]]-Quartile_L[[#This Row],[ROA Q1]])</f>
        <v>6.4974999999999996</v>
      </c>
      <c r="R5" s="1" cm="1">
        <f t="array" ref="R5">_xlfn.QUARTILE.INC(IF(Quartile_L[[#This Row],[Industry]]=Main_L[Industry],Main_L[P/E]),1)</f>
        <v>9.058332352573391</v>
      </c>
      <c r="S5" s="1" cm="1">
        <f t="array" ref="S5">_xlfn.QUARTILE.INC(IF(Quartile_L[[#This Row],[Industry]]=Main_L[Industry],Main_L[P/E]),3)</f>
        <v>20.056280808412751</v>
      </c>
      <c r="T5" s="1">
        <f>Quartile_L[[#This Row],[P/E Q1]]-1.5*(Quartile_L[[#This Row],[P/E Q3]]-Quartile_L[[#This Row],[P/E Q1]])</f>
        <v>-7.4385903311856474</v>
      </c>
      <c r="U5" s="1">
        <f>Quartile_L[[#This Row],[P/E Q3]]+1.5*(Quartile_L[[#This Row],[P/E Q3]]-Quartile_L[[#This Row],[P/E Q1]])</f>
        <v>36.553203492171789</v>
      </c>
      <c r="V5" s="1" cm="1">
        <f t="array" ref="V5">_xlfn.QUARTILE.INC(IF(Quartile_L[[#This Row],[Industry]]=Main_L[Industry],Main_L[A/E]),1)</f>
        <v>6.2225000000000001</v>
      </c>
      <c r="W5" s="1" cm="1">
        <f t="array" ref="W5">_xlfn.QUARTILE.INC(IF(Quartile_L[[#This Row],[Industry]]=Main_L[Industry],Main_L[A/E]),3)</f>
        <v>8.3725000000000005</v>
      </c>
      <c r="X5" s="1">
        <f>Quartile_L[[#This Row],[A/E Q1]]-1.5*(Quartile_L[[#This Row],[A/E Q3]]-Quartile_L[[#This Row],[A/E Q1]])</f>
        <v>2.9974999999999996</v>
      </c>
      <c r="Y5" s="1">
        <f>Quartile_L[[#This Row],[A/E Q3]]+1.5*(Quartile_L[[#This Row],[A/E Q3]]-Quartile_L[[#This Row],[A/E Q1]])</f>
        <v>11.5975</v>
      </c>
    </row>
    <row r="6" spans="1:25" x14ac:dyDescent="0.25">
      <c r="A6" t="s">
        <v>173</v>
      </c>
      <c r="B6" s="1" cm="1">
        <f t="array" ref="B6">_xlfn.QUARTILE.INC(IF(Quartile_L[[#This Row],[Industry]]=Main_L[Industry],Main_L[P/FCF]),1)</f>
        <v>2.527168494516451</v>
      </c>
      <c r="C6" s="1" cm="1">
        <f t="array" ref="C6">_xlfn.QUARTILE.INC(IF(Quartile_L[[#This Row],[Industry]]=Main_L[Industry],Main_L[P/FCF]),3)</f>
        <v>28.786711334450029</v>
      </c>
      <c r="D6" s="1">
        <f>Quartile_L[[#This Row],[P/FCF Q1]]-1.5*(Quartile_L[[#This Row],[P/FCF Q3]]-Quartile_L[[#This Row],[P/FCF Q1]])</f>
        <v>-36.862145765383914</v>
      </c>
      <c r="E6" s="1">
        <f>Quartile_L[[#This Row],[P/FCF Q3]]+1.5*(Quartile_L[[#This Row],[P/FCF Q3]]-Quartile_L[[#This Row],[P/FCF Q1]])</f>
        <v>68.176025594350392</v>
      </c>
      <c r="F6" s="1" cm="1">
        <f t="array" ref="F6">_xlfn.QUARTILE.INC(IF(Quartile_L[[#This Row],[Industry]]=Main_L[Industry],Main_L[P/B]),1)</f>
        <v>1.737875101378751</v>
      </c>
      <c r="G6" s="1" cm="1">
        <f t="array" ref="G6">_xlfn.QUARTILE.INC(IF(Quartile_L[[#This Row],[Industry]]=Main_L[Industry],Main_L[P/B]),3)</f>
        <v>6.0178691840863117</v>
      </c>
      <c r="H6" s="1">
        <f>Quartile_L[[#This Row],[P/B Q1]]-1.5*(Quartile_L[[#This Row],[P/B Q3]]-Quartile_L[[#This Row],[P/B Q1]])</f>
        <v>-4.6821160226825889</v>
      </c>
      <c r="I6" s="1">
        <f>Quartile_L[[#This Row],[P/B Q3]]+1.5*(Quartile_L[[#This Row],[P/B Q3]]-Quartile_L[[#This Row],[P/B Q1]])</f>
        <v>12.437860308147652</v>
      </c>
      <c r="J6" s="1" cm="1">
        <f t="array" ref="J6">_xlfn.QUARTILE.INC(IF(Quartile_L[[#This Row],[Industry]]=Main_L[Industry],Main_L[ROE]),1)</f>
        <v>10.29</v>
      </c>
      <c r="K6" s="1" cm="1">
        <f t="array" ref="K6">_xlfn.QUARTILE.INC(IF(Quartile_L[[#This Row],[Industry]]=Main_L[Industry],Main_L[ROE]),3)</f>
        <v>20.67</v>
      </c>
      <c r="L6" s="1">
        <f>Quartile_L[[#This Row],[ROE Q1]]-1.5*(Quartile_L[[#This Row],[ROE Q3]]-Quartile_L[[#This Row],[ROE Q1]])</f>
        <v>-5.2800000000000047</v>
      </c>
      <c r="M6" s="1">
        <f>Quartile_L[[#This Row],[ROE Q3]]+1.5*(Quartile_L[[#This Row],[ROE Q3]]-Quartile_L[[#This Row],[ROE Q1]])</f>
        <v>36.240000000000009</v>
      </c>
      <c r="N6" s="1" cm="1">
        <f t="array" ref="N6">_xlfn.QUARTILE.INC(IF(Quartile_L[[#This Row],[Industry]]=Main_L[Industry],Main_L[ROA]),1)</f>
        <v>1.38</v>
      </c>
      <c r="O6" s="1" cm="1">
        <f t="array" ref="O6">_xlfn.QUARTILE.INC(IF(Quartile_L[[#This Row],[Industry]]=Main_L[Industry],Main_L[ROA]),3)</f>
        <v>7.93</v>
      </c>
      <c r="P6" s="1">
        <f>Quartile_L[[#This Row],[ROA Q1]]-1.5*(Quartile_L[[#This Row],[ROA Q3]]-Quartile_L[[#This Row],[ROA Q1]])</f>
        <v>-8.4450000000000003</v>
      </c>
      <c r="Q6" s="1">
        <f>Quartile_L[[#This Row],[ROA Q3]]+1.5*(Quartile_L[[#This Row],[ROA Q3]]-Quartile_L[[#This Row],[ROA Q1]])</f>
        <v>17.754999999999999</v>
      </c>
      <c r="R6" s="1" cm="1">
        <f t="array" ref="R6">_xlfn.QUARTILE.INC(IF(Quartile_L[[#This Row],[Industry]]=Main_L[Industry],Main_L[P/E]),1)</f>
        <v>16.595667870036099</v>
      </c>
      <c r="S6" s="1" cm="1">
        <f t="array" ref="S6">_xlfn.QUARTILE.INC(IF(Quartile_L[[#This Row],[Industry]]=Main_L[Industry],Main_L[P/E]),3)</f>
        <v>36.909502262443439</v>
      </c>
      <c r="T6" s="1">
        <f>Quartile_L[[#This Row],[P/E Q1]]-1.5*(Quartile_L[[#This Row],[P/E Q3]]-Quartile_L[[#This Row],[P/E Q1]])</f>
        <v>-13.87508371857491</v>
      </c>
      <c r="U6" s="1">
        <f>Quartile_L[[#This Row],[P/E Q3]]+1.5*(Quartile_L[[#This Row],[P/E Q3]]-Quartile_L[[#This Row],[P/E Q1]])</f>
        <v>67.380253851054448</v>
      </c>
      <c r="V6" s="1" cm="1">
        <f t="array" ref="V6">_xlfn.QUARTILE.INC(IF(Quartile_L[[#This Row],[Industry]]=Main_L[Industry],Main_L[A/E]),1)</f>
        <v>2.19</v>
      </c>
      <c r="W6" s="1" cm="1">
        <f t="array" ref="W6">_xlfn.QUARTILE.INC(IF(Quartile_L[[#This Row],[Industry]]=Main_L[Industry],Main_L[A/E]),3)</f>
        <v>12.25</v>
      </c>
      <c r="X6" s="1">
        <f>Quartile_L[[#This Row],[A/E Q1]]-1.5*(Quartile_L[[#This Row],[A/E Q3]]-Quartile_L[[#This Row],[A/E Q1]])</f>
        <v>-12.9</v>
      </c>
      <c r="Y6" s="1">
        <f>Quartile_L[[#This Row],[A/E Q3]]+1.5*(Quartile_L[[#This Row],[A/E Q3]]-Quartile_L[[#This Row],[A/E Q1]])</f>
        <v>27.34</v>
      </c>
    </row>
    <row r="7" spans="1:25" x14ac:dyDescent="0.25">
      <c r="A7" t="s">
        <v>215</v>
      </c>
      <c r="B7" s="1" cm="1">
        <f t="array" ref="B7">_xlfn.QUARTILE.INC(IF(Quartile_L[[#This Row],[Industry]]=Main_L[Industry],Main_L[P/FCF]),1)</f>
        <v>5.7171860408038784</v>
      </c>
      <c r="C7" s="1" cm="1">
        <f t="array" ref="C7">_xlfn.QUARTILE.INC(IF(Quartile_L[[#This Row],[Industry]]=Main_L[Industry],Main_L[P/FCF]),3)</f>
        <v>20.645592497313491</v>
      </c>
      <c r="D7" s="1">
        <f>Quartile_L[[#This Row],[P/FCF Q1]]-1.5*(Quartile_L[[#This Row],[P/FCF Q3]]-Quartile_L[[#This Row],[P/FCF Q1]])</f>
        <v>-16.675423643960542</v>
      </c>
      <c r="E7" s="1">
        <f>Quartile_L[[#This Row],[P/FCF Q3]]+1.5*(Quartile_L[[#This Row],[P/FCF Q3]]-Quartile_L[[#This Row],[P/FCF Q1]])</f>
        <v>43.03820218207791</v>
      </c>
      <c r="F7" s="1" cm="1">
        <f t="array" ref="F7">_xlfn.QUARTILE.INC(IF(Quartile_L[[#This Row],[Industry]]=Main_L[Industry],Main_L[P/B]),1)</f>
        <v>1.4409936907093663</v>
      </c>
      <c r="G7" s="1" cm="1">
        <f t="array" ref="G7">_xlfn.QUARTILE.INC(IF(Quartile_L[[#This Row],[Industry]]=Main_L[Industry],Main_L[P/B]),3)</f>
        <v>3.2690640869062157</v>
      </c>
      <c r="H7" s="1">
        <f>Quartile_L[[#This Row],[P/B Q1]]-1.5*(Quartile_L[[#This Row],[P/B Q3]]-Quartile_L[[#This Row],[P/B Q1]])</f>
        <v>-1.3011119035859076</v>
      </c>
      <c r="I7" s="1">
        <f>Quartile_L[[#This Row],[P/B Q3]]+1.5*(Quartile_L[[#This Row],[P/B Q3]]-Quartile_L[[#This Row],[P/B Q1]])</f>
        <v>6.0111696812014896</v>
      </c>
      <c r="J7" s="1" cm="1">
        <f t="array" ref="J7">_xlfn.QUARTILE.INC(IF(Quartile_L[[#This Row],[Industry]]=Main_L[Industry],Main_L[ROE]),1)</f>
        <v>10.350000000000001</v>
      </c>
      <c r="K7" s="1" cm="1">
        <f t="array" ref="K7">_xlfn.QUARTILE.INC(IF(Quartile_L[[#This Row],[Industry]]=Main_L[Industry],Main_L[ROE]),3)</f>
        <v>19.11</v>
      </c>
      <c r="L7" s="1">
        <f>Quartile_L[[#This Row],[ROE Q1]]-1.5*(Quartile_L[[#This Row],[ROE Q3]]-Quartile_L[[#This Row],[ROE Q1]])</f>
        <v>-2.7899999999999956</v>
      </c>
      <c r="M7" s="1">
        <f>Quartile_L[[#This Row],[ROE Q3]]+1.5*(Quartile_L[[#This Row],[ROE Q3]]-Quartile_L[[#This Row],[ROE Q1]])</f>
        <v>32.25</v>
      </c>
      <c r="N7" s="1" cm="1">
        <f t="array" ref="N7">_xlfn.QUARTILE.INC(IF(Quartile_L[[#This Row],[Industry]]=Main_L[Industry],Main_L[ROA]),1)</f>
        <v>1.085</v>
      </c>
      <c r="O7" s="1" cm="1">
        <f t="array" ref="O7">_xlfn.QUARTILE.INC(IF(Quartile_L[[#This Row],[Industry]]=Main_L[Industry],Main_L[ROA]),3)</f>
        <v>3.46</v>
      </c>
      <c r="P7" s="1">
        <f>Quartile_L[[#This Row],[ROA Q1]]-1.5*(Quartile_L[[#This Row],[ROA Q3]]-Quartile_L[[#This Row],[ROA Q1]])</f>
        <v>-2.4775</v>
      </c>
      <c r="Q7" s="1">
        <f>Quartile_L[[#This Row],[ROA Q3]]+1.5*(Quartile_L[[#This Row],[ROA Q3]]-Quartile_L[[#This Row],[ROA Q1]])</f>
        <v>7.0225</v>
      </c>
      <c r="R7" s="1" cm="1">
        <f t="array" ref="R7">_xlfn.QUARTILE.INC(IF(Quartile_L[[#This Row],[Industry]]=Main_L[Industry],Main_L[P/E]),1)</f>
        <v>12.980136457427619</v>
      </c>
      <c r="S7" s="1" cm="1">
        <f t="array" ref="S7">_xlfn.QUARTILE.INC(IF(Quartile_L[[#This Row],[Industry]]=Main_L[Industry],Main_L[P/E]),3)</f>
        <v>18.256279140803752</v>
      </c>
      <c r="T7" s="1">
        <f>Quartile_L[[#This Row],[P/E Q1]]-1.5*(Quartile_L[[#This Row],[P/E Q3]]-Quartile_L[[#This Row],[P/E Q1]])</f>
        <v>5.0659224323634202</v>
      </c>
      <c r="U7" s="1">
        <f>Quartile_L[[#This Row],[P/E Q3]]+1.5*(Quartile_L[[#This Row],[P/E Q3]]-Quartile_L[[#This Row],[P/E Q1]])</f>
        <v>26.170493165867953</v>
      </c>
      <c r="V7" s="1" cm="1">
        <f t="array" ref="V7">_xlfn.QUARTILE.INC(IF(Quartile_L[[#This Row],[Industry]]=Main_L[Industry],Main_L[A/E]),1)</f>
        <v>3.875</v>
      </c>
      <c r="W7" s="1" cm="1">
        <f t="array" ref="W7">_xlfn.QUARTILE.INC(IF(Quartile_L[[#This Row],[Industry]]=Main_L[Industry],Main_L[A/E]),3)</f>
        <v>10.82</v>
      </c>
      <c r="X7" s="1">
        <f>Quartile_L[[#This Row],[A/E Q1]]-1.5*(Quartile_L[[#This Row],[A/E Q3]]-Quartile_L[[#This Row],[A/E Q1]])</f>
        <v>-6.5425000000000004</v>
      </c>
      <c r="Y7" s="1">
        <f>Quartile_L[[#This Row],[A/E Q3]]+1.5*(Quartile_L[[#This Row],[A/E Q3]]-Quartile_L[[#This Row],[A/E Q1]])</f>
        <v>21.237500000000001</v>
      </c>
    </row>
    <row r="8" spans="1:25" x14ac:dyDescent="0.25">
      <c r="A8" t="s">
        <v>251</v>
      </c>
      <c r="B8" s="1" cm="1">
        <f t="array" ref="B8">_xlfn.QUARTILE.INC(IF(Quartile_L[[#This Row],[Industry]]=Main_L[Industry],Main_L[P/FCF]),1)</f>
        <v>4.0580912863070537</v>
      </c>
      <c r="C8" s="1" cm="1">
        <f t="array" ref="C8">_xlfn.QUARTILE.INC(IF(Quartile_L[[#This Row],[Industry]]=Main_L[Industry],Main_L[P/FCF]),3)</f>
        <v>4.0580912863070537</v>
      </c>
      <c r="D8" s="1">
        <f>Quartile_L[[#This Row],[P/FCF Q1]]-1.5*(Quartile_L[[#This Row],[P/FCF Q3]]-Quartile_L[[#This Row],[P/FCF Q1]])</f>
        <v>4.0580912863070537</v>
      </c>
      <c r="E8" s="1">
        <f>Quartile_L[[#This Row],[P/FCF Q3]]+1.5*(Quartile_L[[#This Row],[P/FCF Q3]]-Quartile_L[[#This Row],[P/FCF Q1]])</f>
        <v>4.0580912863070537</v>
      </c>
      <c r="F8" s="1" cm="1">
        <f t="array" ref="F8">_xlfn.QUARTILE.INC(IF(Quartile_L[[#This Row],[Industry]]=Main_L[Industry],Main_L[P/B]),1)</f>
        <v>0.98738011105502277</v>
      </c>
      <c r="G8" s="1" cm="1">
        <f t="array" ref="G8">_xlfn.QUARTILE.INC(IF(Quartile_L[[#This Row],[Industry]]=Main_L[Industry],Main_L[P/B]),3)</f>
        <v>0.98738011105502277</v>
      </c>
      <c r="H8" s="1">
        <f>Quartile_L[[#This Row],[P/B Q1]]-1.5*(Quartile_L[[#This Row],[P/B Q3]]-Quartile_L[[#This Row],[P/B Q1]])</f>
        <v>0.98738011105502277</v>
      </c>
      <c r="I8" s="1">
        <f>Quartile_L[[#This Row],[P/B Q3]]+1.5*(Quartile_L[[#This Row],[P/B Q3]]-Quartile_L[[#This Row],[P/B Q1]])</f>
        <v>0.98738011105502277</v>
      </c>
      <c r="J8" s="1" cm="1">
        <f t="array" ref="J8">_xlfn.QUARTILE.INC(IF(Quartile_L[[#This Row],[Industry]]=Main_L[Industry],Main_L[ROE]),1)</f>
        <v>5.51</v>
      </c>
      <c r="K8" s="1" cm="1">
        <f t="array" ref="K8">_xlfn.QUARTILE.INC(IF(Quartile_L[[#This Row],[Industry]]=Main_L[Industry],Main_L[ROE]),3)</f>
        <v>5.51</v>
      </c>
      <c r="L8" s="1">
        <f>Quartile_L[[#This Row],[ROE Q1]]-1.5*(Quartile_L[[#This Row],[ROE Q3]]-Quartile_L[[#This Row],[ROE Q1]])</f>
        <v>5.51</v>
      </c>
      <c r="M8" s="1">
        <f>Quartile_L[[#This Row],[ROE Q3]]+1.5*(Quartile_L[[#This Row],[ROE Q3]]-Quartile_L[[#This Row],[ROE Q1]])</f>
        <v>5.51</v>
      </c>
      <c r="N8" s="1" cm="1">
        <f t="array" ref="N8">_xlfn.QUARTILE.INC(IF(Quartile_L[[#This Row],[Industry]]=Main_L[Industry],Main_L[ROA]),1)</f>
        <v>0.69</v>
      </c>
      <c r="O8" s="1" cm="1">
        <f t="array" ref="O8">_xlfn.QUARTILE.INC(IF(Quartile_L[[#This Row],[Industry]]=Main_L[Industry],Main_L[ROA]),3)</f>
        <v>0.69</v>
      </c>
      <c r="P8" s="1">
        <f>Quartile_L[[#This Row],[ROA Q1]]-1.5*(Quartile_L[[#This Row],[ROA Q3]]-Quartile_L[[#This Row],[ROA Q1]])</f>
        <v>0.69</v>
      </c>
      <c r="Q8" s="1">
        <f>Quartile_L[[#This Row],[ROA Q3]]+1.5*(Quartile_L[[#This Row],[ROA Q3]]-Quartile_L[[#This Row],[ROA Q1]])</f>
        <v>0.69</v>
      </c>
      <c r="R8" s="1" cm="1">
        <f t="array" ref="R8">_xlfn.QUARTILE.INC(IF(Quartile_L[[#This Row],[Industry]]=Main_L[Industry],Main_L[P/E]),1)</f>
        <v>21.032258064516128</v>
      </c>
      <c r="S8" s="1" cm="1">
        <f t="array" ref="S8">_xlfn.QUARTILE.INC(IF(Quartile_L[[#This Row],[Industry]]=Main_L[Industry],Main_L[P/E]),3)</f>
        <v>21.032258064516128</v>
      </c>
      <c r="T8" s="1">
        <f>Quartile_L[[#This Row],[P/E Q1]]-1.5*(Quartile_L[[#This Row],[P/E Q3]]-Quartile_L[[#This Row],[P/E Q1]])</f>
        <v>21.032258064516128</v>
      </c>
      <c r="U8" s="1">
        <f>Quartile_L[[#This Row],[P/E Q3]]+1.5*(Quartile_L[[#This Row],[P/E Q3]]-Quartile_L[[#This Row],[P/E Q1]])</f>
        <v>21.032258064516128</v>
      </c>
      <c r="V8" s="1" cm="1">
        <f t="array" ref="V8">_xlfn.QUARTILE.INC(IF(Quartile_L[[#This Row],[Industry]]=Main_L[Industry],Main_L[A/E]),1)</f>
        <v>9.17</v>
      </c>
      <c r="W8" s="1" cm="1">
        <f t="array" ref="W8">_xlfn.QUARTILE.INC(IF(Quartile_L[[#This Row],[Industry]]=Main_L[Industry],Main_L[A/E]),3)</f>
        <v>9.17</v>
      </c>
      <c r="X8" s="1">
        <f>Quartile_L[[#This Row],[A/E Q1]]-1.5*(Quartile_L[[#This Row],[A/E Q3]]-Quartile_L[[#This Row],[A/E Q1]])</f>
        <v>9.17</v>
      </c>
      <c r="Y8" s="1">
        <f>Quartile_L[[#This Row],[A/E Q3]]+1.5*(Quartile_L[[#This Row],[A/E Q3]]-Quartile_L[[#This Row],[A/E Q1]])</f>
        <v>9.17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105</v>
      </c>
      <c r="B13" s="1" cm="1">
        <f t="array" ref="B13">_xlfn.QUARTILE.INC(IF(Quartile_M[[#This Row],[Industry]]=Main_M[Industry],Main_M[P/FCF]),1)</f>
        <v>8.1440045570398816</v>
      </c>
      <c r="C13" s="1" cm="1">
        <f t="array" ref="C13">_xlfn.QUARTILE.INC(IF(Quartile_M[[#This Row],[Industry]]=Main_M[Industry],Main_M[P/FCF]),3)</f>
        <v>15.611123959296949</v>
      </c>
      <c r="D13" s="1">
        <f>Quartile_M[[#This Row],[P/FCF Q1]]-1.5*(Quartile_M[[#This Row],[P/FCF Q3]]-Quartile_M[[#This Row],[P/FCF Q1]])</f>
        <v>-3.0566745463457181</v>
      </c>
      <c r="E13" s="1">
        <f>Quartile_M[[#This Row],[P/FCF Q3]]+1.5*(Quartile_M[[#This Row],[P/FCF Q3]]-Quartile_M[[#This Row],[P/FCF Q1]])</f>
        <v>26.81180306268255</v>
      </c>
      <c r="F13" s="1" cm="1">
        <f t="array" ref="F13">_xlfn.QUARTILE.INC(IF(Quartile_M[[#This Row],[Industry]]=Main_M[Industry],Main_M[P/B]),1)</f>
        <v>0.98304677837206611</v>
      </c>
      <c r="G13" s="1" cm="1">
        <f t="array" ref="G13">_xlfn.QUARTILE.INC(IF(Quartile_M[[#This Row],[Industry]]=Main_M[Industry],Main_M[P/B]),3)</f>
        <v>1.5854328258419714</v>
      </c>
      <c r="H13" s="1">
        <f>Quartile_M[[#This Row],[P/B Q1]]-1.5*(Quartile_M[[#This Row],[P/B Q3]]-Quartile_M[[#This Row],[P/B Q1]])</f>
        <v>7.946770716720819E-2</v>
      </c>
      <c r="I13" s="1">
        <f>Quartile_M[[#This Row],[P/B Q3]]+1.5*(Quartile_M[[#This Row],[P/B Q3]]-Quartile_M[[#This Row],[P/B Q1]])</f>
        <v>2.4890118970468293</v>
      </c>
      <c r="J13" s="1" cm="1">
        <f t="array" ref="J13">_xlfn.QUARTILE.INC(IF(Quartile_M[[#This Row],[Industry]]=Main_M[Industry],Main_M[ROE]),1)</f>
        <v>7.2324999999999999</v>
      </c>
      <c r="K13" s="1" cm="1">
        <f t="array" ref="K13">_xlfn.QUARTILE.INC(IF(Quartile_M[[#This Row],[Industry]]=Main_M[Industry],Main_M[ROE]),3)</f>
        <v>12.0025</v>
      </c>
      <c r="L13" s="1">
        <f>Quartile_M[[#This Row],[ROE Q1]]-1.5*(Quartile_M[[#This Row],[ROE Q3]]-Quartile_M[[#This Row],[ROE Q1]])</f>
        <v>7.7500000000000568E-2</v>
      </c>
      <c r="M13" s="1">
        <f>Quartile_M[[#This Row],[ROE Q3]]+1.5*(Quartile_M[[#This Row],[ROE Q3]]-Quartile_M[[#This Row],[ROE Q1]])</f>
        <v>19.157499999999999</v>
      </c>
      <c r="N13" s="1" cm="1">
        <f t="array" ref="N13">_xlfn.QUARTILE.INC(IF(Quartile_M[[#This Row],[Industry]]=Main_M[Industry],Main_M[ROA]),1)</f>
        <v>0.79249999999999998</v>
      </c>
      <c r="O13" s="1" cm="1">
        <f t="array" ref="O13">_xlfn.QUARTILE.INC(IF(Quartile_M[[#This Row],[Industry]]=Main_M[Industry],Main_M[ROA]),3)</f>
        <v>1.39</v>
      </c>
      <c r="P13" s="1">
        <f>Quartile_M[[#This Row],[ROA Q1]]-1.5*(Quartile_M[[#This Row],[ROA Q3]]-Quartile_M[[#This Row],[ROA Q1]])</f>
        <v>-0.1037499999999999</v>
      </c>
      <c r="Q13" s="1">
        <f>Quartile_M[[#This Row],[ROA Q3]]+1.5*(Quartile_M[[#This Row],[ROA Q3]]-Quartile_M[[#This Row],[ROA Q1]])</f>
        <v>2.2862499999999999</v>
      </c>
      <c r="R13" s="1" cm="1">
        <f t="array" ref="R13">_xlfn.QUARTILE.INC(IF(Quartile_M[[#This Row],[Industry]]=Main_M[Industry],Main_M[P/E]),1)</f>
        <v>11.383612204724409</v>
      </c>
      <c r="S13" s="1" cm="1">
        <f t="array" ref="S13">_xlfn.QUARTILE.INC(IF(Quartile_M[[#This Row],[Industry]]=Main_M[Industry],Main_M[P/E]),3)</f>
        <v>17.725046068796068</v>
      </c>
      <c r="T13" s="1">
        <f>Quartile_M[[#This Row],[P/E Q1]]-1.5*(Quartile_M[[#This Row],[P/E Q3]]-Quartile_M[[#This Row],[P/E Q1]])</f>
        <v>1.8714614086169217</v>
      </c>
      <c r="U13" s="1">
        <f>Quartile_M[[#This Row],[P/E Q3]]+1.5*(Quartile_M[[#This Row],[P/E Q3]]-Quartile_M[[#This Row],[P/E Q1]])</f>
        <v>27.237196864903556</v>
      </c>
      <c r="V13" s="1" cm="1">
        <f t="array" ref="V13">_xlfn.QUARTILE.INC(IF(Quartile_M[[#This Row],[Industry]]=Main_M[Industry],Main_M[A/E]),1)</f>
        <v>7.6025</v>
      </c>
      <c r="W13" s="1" cm="1">
        <f t="array" ref="W13">_xlfn.QUARTILE.INC(IF(Quartile_M[[#This Row],[Industry]]=Main_M[Industry],Main_M[A/E]),3)</f>
        <v>10.102499999999999</v>
      </c>
      <c r="X13" s="1">
        <f>Quartile_M[[#This Row],[A/E Q1]]-1.5*(Quartile_M[[#This Row],[A/E Q3]]-Quartile_M[[#This Row],[A/E Q1]])</f>
        <v>3.8525000000000014</v>
      </c>
      <c r="Y13" s="1">
        <f>Quartile_M[[#This Row],[A/E Q3]]+1.5*(Quartile_M[[#This Row],[A/E Q3]]-Quartile_M[[#This Row],[A/E Q1]])</f>
        <v>13.852499999999997</v>
      </c>
    </row>
    <row r="14" spans="1:25" x14ac:dyDescent="0.25">
      <c r="A14" t="s">
        <v>150</v>
      </c>
      <c r="B14" s="1" cm="1">
        <f t="array" ref="B14">_xlfn.QUARTILE.INC(IF(Quartile_M[[#This Row],[Industry]]=Main_M[Industry],Main_M[P/FCF]),1)</f>
        <v>-1.9666271721958926</v>
      </c>
      <c r="C14" s="1" cm="1">
        <f t="array" ref="C14">_xlfn.QUARTILE.INC(IF(Quartile_M[[#This Row],[Industry]]=Main_M[Industry],Main_M[P/FCF]),3)</f>
        <v>21.618233618233617</v>
      </c>
      <c r="D14" s="1">
        <f>Quartile_M[[#This Row],[P/FCF Q1]]-1.5*(Quartile_M[[#This Row],[P/FCF Q3]]-Quartile_M[[#This Row],[P/FCF Q1]])</f>
        <v>-37.34391835784016</v>
      </c>
      <c r="E14" s="1">
        <f>Quartile_M[[#This Row],[P/FCF Q3]]+1.5*(Quartile_M[[#This Row],[P/FCF Q3]]-Quartile_M[[#This Row],[P/FCF Q1]])</f>
        <v>56.995524803877885</v>
      </c>
      <c r="F14" s="1" cm="1">
        <f t="array" ref="F14">_xlfn.QUARTILE.INC(IF(Quartile_M[[#This Row],[Industry]]=Main_M[Industry],Main_M[P/B]),1)</f>
        <v>1.2816188870151772</v>
      </c>
      <c r="G14" s="1" cm="1">
        <f t="array" ref="G14">_xlfn.QUARTILE.INC(IF(Quartile_M[[#This Row],[Industry]]=Main_M[Industry],Main_M[P/B]),3)</f>
        <v>4.9138627187079411</v>
      </c>
      <c r="H14" s="1">
        <f>Quartile_M[[#This Row],[P/B Q1]]-1.5*(Quartile_M[[#This Row],[P/B Q3]]-Quartile_M[[#This Row],[P/B Q1]])</f>
        <v>-4.1667468605239684</v>
      </c>
      <c r="I14" s="1">
        <f>Quartile_M[[#This Row],[P/B Q3]]+1.5*(Quartile_M[[#This Row],[P/B Q3]]-Quartile_M[[#This Row],[P/B Q1]])</f>
        <v>10.362228466247087</v>
      </c>
      <c r="J14" s="1" cm="1">
        <f t="array" ref="J14">_xlfn.QUARTILE.INC(IF(Quartile_M[[#This Row],[Industry]]=Main_M[Industry],Main_M[ROE]),1)</f>
        <v>9.32</v>
      </c>
      <c r="K14" s="1" cm="1">
        <f t="array" ref="K14">_xlfn.QUARTILE.INC(IF(Quartile_M[[#This Row],[Industry]]=Main_M[Industry],Main_M[ROE]),3)</f>
        <v>19.88</v>
      </c>
      <c r="L14" s="1">
        <f>Quartile_M[[#This Row],[ROE Q1]]-1.5*(Quartile_M[[#This Row],[ROE Q3]]-Quartile_M[[#This Row],[ROE Q1]])</f>
        <v>-6.5199999999999978</v>
      </c>
      <c r="M14" s="1">
        <f>Quartile_M[[#This Row],[ROE Q3]]+1.5*(Quartile_M[[#This Row],[ROE Q3]]-Quartile_M[[#This Row],[ROE Q1]])</f>
        <v>35.72</v>
      </c>
      <c r="N14" s="1" cm="1">
        <f t="array" ref="N14">_xlfn.QUARTILE.INC(IF(Quartile_M[[#This Row],[Industry]]=Main_M[Industry],Main_M[ROA]),1)</f>
        <v>2.23</v>
      </c>
      <c r="O14" s="1" cm="1">
        <f t="array" ref="O14">_xlfn.QUARTILE.INC(IF(Quartile_M[[#This Row],[Industry]]=Main_M[Industry],Main_M[ROA]),3)</f>
        <v>6.73</v>
      </c>
      <c r="P14" s="1">
        <f>Quartile_M[[#This Row],[ROA Q1]]-1.5*(Quartile_M[[#This Row],[ROA Q3]]-Quartile_M[[#This Row],[ROA Q1]])</f>
        <v>-4.5199999999999996</v>
      </c>
      <c r="Q14" s="1">
        <f>Quartile_M[[#This Row],[ROA Q3]]+1.5*(Quartile_M[[#This Row],[ROA Q3]]-Quartile_M[[#This Row],[ROA Q1]])</f>
        <v>13.48</v>
      </c>
      <c r="R14" s="1" cm="1">
        <f t="array" ref="R14">_xlfn.QUARTILE.INC(IF(Quartile_M[[#This Row],[Industry]]=Main_M[Industry],Main_M[P/E]),1)</f>
        <v>8.6785714285714288</v>
      </c>
      <c r="S14" s="1" cm="1">
        <f t="array" ref="S14">_xlfn.QUARTILE.INC(IF(Quartile_M[[#This Row],[Industry]]=Main_M[Industry],Main_M[P/E]),3)</f>
        <v>22.59349593495935</v>
      </c>
      <c r="T14" s="1">
        <f>Quartile_M[[#This Row],[P/E Q1]]-1.5*(Quartile_M[[#This Row],[P/E Q3]]-Quartile_M[[#This Row],[P/E Q1]])</f>
        <v>-12.193815331010454</v>
      </c>
      <c r="U14" s="1">
        <f>Quartile_M[[#This Row],[P/E Q3]]+1.5*(Quartile_M[[#This Row],[P/E Q3]]-Quartile_M[[#This Row],[P/E Q1]])</f>
        <v>43.465882694541236</v>
      </c>
      <c r="V14" s="1" cm="1">
        <f t="array" ref="V14">_xlfn.QUARTILE.INC(IF(Quartile_M[[#This Row],[Industry]]=Main_M[Industry],Main_M[A/E]),1)</f>
        <v>1.91</v>
      </c>
      <c r="W14" s="1" cm="1">
        <f t="array" ref="W14">_xlfn.QUARTILE.INC(IF(Quartile_M[[#This Row],[Industry]]=Main_M[Industry],Main_M[A/E]),3)</f>
        <v>6.21</v>
      </c>
      <c r="X14" s="1">
        <f>Quartile_M[[#This Row],[A/E Q1]]-1.5*(Quartile_M[[#This Row],[A/E Q3]]-Quartile_M[[#This Row],[A/E Q1]])</f>
        <v>-4.5399999999999991</v>
      </c>
      <c r="Y14" s="1">
        <f>Quartile_M[[#This Row],[A/E Q3]]+1.5*(Quartile_M[[#This Row],[A/E Q3]]-Quartile_M[[#This Row],[A/E Q1]])</f>
        <v>12.66</v>
      </c>
    </row>
    <row r="15" spans="1:25" x14ac:dyDescent="0.25">
      <c r="A15" t="s">
        <v>166</v>
      </c>
      <c r="B15" s="1" cm="1">
        <f t="array" ref="B15">_xlfn.QUARTILE.INC(IF(Quartile_M[[#This Row],[Industry]]=Main_M[Industry],Main_M[P/FCF]),1)</f>
        <v>1.6513849769817535</v>
      </c>
      <c r="C15" s="1" cm="1">
        <f t="array" ref="C15">_xlfn.QUARTILE.INC(IF(Quartile_M[[#This Row],[Industry]]=Main_M[Industry],Main_M[P/FCF]),3)</f>
        <v>7.9144384439761151</v>
      </c>
      <c r="D15" s="1">
        <f>Quartile_M[[#This Row],[P/FCF Q1]]-1.5*(Quartile_M[[#This Row],[P/FCF Q3]]-Quartile_M[[#This Row],[P/FCF Q1]])</f>
        <v>-7.7431952235097894</v>
      </c>
      <c r="E15" s="1">
        <f>Quartile_M[[#This Row],[P/FCF Q3]]+1.5*(Quartile_M[[#This Row],[P/FCF Q3]]-Quartile_M[[#This Row],[P/FCF Q1]])</f>
        <v>17.309018644467656</v>
      </c>
      <c r="F15" s="1" cm="1">
        <f t="array" ref="F15">_xlfn.QUARTILE.INC(IF(Quartile_M[[#This Row],[Industry]]=Main_M[Industry],Main_M[P/B]),1)</f>
        <v>1.0419189437286474</v>
      </c>
      <c r="G15" s="1" cm="1">
        <f t="array" ref="G15">_xlfn.QUARTILE.INC(IF(Quartile_M[[#This Row],[Industry]]=Main_M[Industry],Main_M[P/B]),3)</f>
        <v>2.9258187542258285</v>
      </c>
      <c r="H15" s="1">
        <f>Quartile_M[[#This Row],[P/B Q1]]-1.5*(Quartile_M[[#This Row],[P/B Q3]]-Quartile_M[[#This Row],[P/B Q1]])</f>
        <v>-1.7839307720171245</v>
      </c>
      <c r="I15" s="1">
        <f>Quartile_M[[#This Row],[P/B Q3]]+1.5*(Quartile_M[[#This Row],[P/B Q3]]-Quartile_M[[#This Row],[P/B Q1]])</f>
        <v>5.7516684699715999</v>
      </c>
      <c r="J15" s="1" cm="1">
        <f t="array" ref="J15">_xlfn.QUARTILE.INC(IF(Quartile_M[[#This Row],[Industry]]=Main_M[Industry],Main_M[ROE]),1)</f>
        <v>4.5975000000000001</v>
      </c>
      <c r="K15" s="1" cm="1">
        <f t="array" ref="K15">_xlfn.QUARTILE.INC(IF(Quartile_M[[#This Row],[Industry]]=Main_M[Industry],Main_M[ROE]),3)</f>
        <v>18.080000000000002</v>
      </c>
      <c r="L15" s="1">
        <f>Quartile_M[[#This Row],[ROE Q1]]-1.5*(Quartile_M[[#This Row],[ROE Q3]]-Quartile_M[[#This Row],[ROE Q1]])</f>
        <v>-15.626250000000002</v>
      </c>
      <c r="M15" s="1">
        <f>Quartile_M[[#This Row],[ROE Q3]]+1.5*(Quartile_M[[#This Row],[ROE Q3]]-Quartile_M[[#This Row],[ROE Q1]])</f>
        <v>38.303750000000008</v>
      </c>
      <c r="N15" s="1" cm="1">
        <f t="array" ref="N15">_xlfn.QUARTILE.INC(IF(Quartile_M[[#This Row],[Industry]]=Main_M[Industry],Main_M[ROA]),1)</f>
        <v>1.2475000000000001</v>
      </c>
      <c r="O15" s="1" cm="1">
        <f t="array" ref="O15">_xlfn.QUARTILE.INC(IF(Quartile_M[[#This Row],[Industry]]=Main_M[Industry],Main_M[ROA]),3)</f>
        <v>5.2149999999999999</v>
      </c>
      <c r="P15" s="1">
        <f>Quartile_M[[#This Row],[ROA Q1]]-1.5*(Quartile_M[[#This Row],[ROA Q3]]-Quartile_M[[#This Row],[ROA Q1]])</f>
        <v>-4.7037499999999994</v>
      </c>
      <c r="Q15" s="1">
        <f>Quartile_M[[#This Row],[ROA Q3]]+1.5*(Quartile_M[[#This Row],[ROA Q3]]-Quartile_M[[#This Row],[ROA Q1]])</f>
        <v>11.16625</v>
      </c>
      <c r="R15" s="1" cm="1">
        <f t="array" ref="R15">_xlfn.QUARTILE.INC(IF(Quartile_M[[#This Row],[Industry]]=Main_M[Industry],Main_M[P/E]),1)</f>
        <v>7.8842898666362693</v>
      </c>
      <c r="S15" s="1" cm="1">
        <f t="array" ref="S15">_xlfn.QUARTILE.INC(IF(Quartile_M[[#This Row],[Industry]]=Main_M[Industry],Main_M[P/E]),3)</f>
        <v>20.902900384122919</v>
      </c>
      <c r="T15" s="1">
        <f>Quartile_M[[#This Row],[P/E Q1]]-1.5*(Quartile_M[[#This Row],[P/E Q3]]-Quartile_M[[#This Row],[P/E Q1]])</f>
        <v>-11.643625909593705</v>
      </c>
      <c r="U15" s="1">
        <f>Quartile_M[[#This Row],[P/E Q3]]+1.5*(Quartile_M[[#This Row],[P/E Q3]]-Quartile_M[[#This Row],[P/E Q1]])</f>
        <v>40.43081616035289</v>
      </c>
      <c r="V15" s="1" cm="1">
        <f t="array" ref="V15">_xlfn.QUARTILE.INC(IF(Quartile_M[[#This Row],[Industry]]=Main_M[Industry],Main_M[A/E]),1)</f>
        <v>2.3674999999999997</v>
      </c>
      <c r="W15" s="1" cm="1">
        <f t="array" ref="W15">_xlfn.QUARTILE.INC(IF(Quartile_M[[#This Row],[Industry]]=Main_M[Industry],Main_M[A/E]),3)</f>
        <v>7.46</v>
      </c>
      <c r="X15" s="1">
        <f>Quartile_M[[#This Row],[A/E Q1]]-1.5*(Quartile_M[[#This Row],[A/E Q3]]-Quartile_M[[#This Row],[A/E Q1]])</f>
        <v>-5.2712500000000002</v>
      </c>
      <c r="Y15" s="1">
        <f>Quartile_M[[#This Row],[A/E Q3]]+1.5*(Quartile_M[[#This Row],[A/E Q3]]-Quartile_M[[#This Row],[A/E Q1]])</f>
        <v>15.098749999999999</v>
      </c>
    </row>
    <row r="16" spans="1:25" x14ac:dyDescent="0.25">
      <c r="A16" t="s">
        <v>173</v>
      </c>
      <c r="B16" s="1" cm="1">
        <f t="array" ref="B16">_xlfn.QUARTILE.INC(IF(Quartile_M[[#This Row],[Industry]]=Main_M[Industry],Main_M[P/FCF]),1)</f>
        <v>3.4598895836854258</v>
      </c>
      <c r="C16" s="1" cm="1">
        <f t="array" ref="C16">_xlfn.QUARTILE.INC(IF(Quartile_M[[#This Row],[Industry]]=Main_M[Industry],Main_M[P/FCF]),3)</f>
        <v>15.352262914872192</v>
      </c>
      <c r="D16" s="1">
        <f>Quartile_M[[#This Row],[P/FCF Q1]]-1.5*(Quartile_M[[#This Row],[P/FCF Q3]]-Quartile_M[[#This Row],[P/FCF Q1]])</f>
        <v>-14.378670413094722</v>
      </c>
      <c r="E16" s="1">
        <f>Quartile_M[[#This Row],[P/FCF Q3]]+1.5*(Quartile_M[[#This Row],[P/FCF Q3]]-Quartile_M[[#This Row],[P/FCF Q1]])</f>
        <v>33.19082291165234</v>
      </c>
      <c r="F16" s="1" cm="1">
        <f t="array" ref="F16">_xlfn.QUARTILE.INC(IF(Quartile_M[[#This Row],[Industry]]=Main_M[Industry],Main_M[P/B]),1)</f>
        <v>1.5633935545819826</v>
      </c>
      <c r="G16" s="1" cm="1">
        <f t="array" ref="G16">_xlfn.QUARTILE.INC(IF(Quartile_M[[#This Row],[Industry]]=Main_M[Industry],Main_M[P/B]),3)</f>
        <v>7.2981468283800996</v>
      </c>
      <c r="H16" s="1">
        <f>Quartile_M[[#This Row],[P/B Q1]]-1.5*(Quartile_M[[#This Row],[P/B Q3]]-Quartile_M[[#This Row],[P/B Q1]])</f>
        <v>-7.0387363561151934</v>
      </c>
      <c r="I16" s="1">
        <f>Quartile_M[[#This Row],[P/B Q3]]+1.5*(Quartile_M[[#This Row],[P/B Q3]]-Quartile_M[[#This Row],[P/B Q1]])</f>
        <v>15.900276739077276</v>
      </c>
      <c r="J16" s="1" cm="1">
        <f t="array" ref="J16">_xlfn.QUARTILE.INC(IF(Quartile_M[[#This Row],[Industry]]=Main_M[Industry],Main_M[ROE]),1)</f>
        <v>10.69</v>
      </c>
      <c r="K16" s="1" cm="1">
        <f t="array" ref="K16">_xlfn.QUARTILE.INC(IF(Quartile_M[[#This Row],[Industry]]=Main_M[Industry],Main_M[ROE]),3)</f>
        <v>27.29</v>
      </c>
      <c r="L16" s="1">
        <f>Quartile_M[[#This Row],[ROE Q1]]-1.5*(Quartile_M[[#This Row],[ROE Q3]]-Quartile_M[[#This Row],[ROE Q1]])</f>
        <v>-14.210000000000003</v>
      </c>
      <c r="M16" s="1">
        <f>Quartile_M[[#This Row],[ROE Q3]]+1.5*(Quartile_M[[#This Row],[ROE Q3]]-Quartile_M[[#This Row],[ROE Q1]])</f>
        <v>52.19</v>
      </c>
      <c r="N16" s="1" cm="1">
        <f t="array" ref="N16">_xlfn.QUARTILE.INC(IF(Quartile_M[[#This Row],[Industry]]=Main_M[Industry],Main_M[ROA]),1)</f>
        <v>3.04</v>
      </c>
      <c r="O16" s="1" cm="1">
        <f t="array" ref="O16">_xlfn.QUARTILE.INC(IF(Quartile_M[[#This Row],[Industry]]=Main_M[Industry],Main_M[ROA]),3)</f>
        <v>10.574999999999999</v>
      </c>
      <c r="P16" s="1">
        <f>Quartile_M[[#This Row],[ROA Q1]]-1.5*(Quartile_M[[#This Row],[ROA Q3]]-Quartile_M[[#This Row],[ROA Q1]])</f>
        <v>-8.2624999999999993</v>
      </c>
      <c r="Q16" s="1">
        <f>Quartile_M[[#This Row],[ROA Q3]]+1.5*(Quartile_M[[#This Row],[ROA Q3]]-Quartile_M[[#This Row],[ROA Q1]])</f>
        <v>21.877499999999998</v>
      </c>
      <c r="R16" s="1" cm="1">
        <f t="array" ref="R16">_xlfn.QUARTILE.INC(IF(Quartile_M[[#This Row],[Industry]]=Main_M[Industry],Main_M[P/E]),1)</f>
        <v>11.446458111780691</v>
      </c>
      <c r="S16" s="1" cm="1">
        <f t="array" ref="S16">_xlfn.QUARTILE.INC(IF(Quartile_M[[#This Row],[Industry]]=Main_M[Industry],Main_M[P/E]),3)</f>
        <v>22.948052776069247</v>
      </c>
      <c r="T16" s="1">
        <f>Quartile_M[[#This Row],[P/E Q1]]-1.5*(Quartile_M[[#This Row],[P/E Q3]]-Quartile_M[[#This Row],[P/E Q1]])</f>
        <v>-5.8059338846521431</v>
      </c>
      <c r="U16" s="1">
        <f>Quartile_M[[#This Row],[P/E Q3]]+1.5*(Quartile_M[[#This Row],[P/E Q3]]-Quartile_M[[#This Row],[P/E Q1]])</f>
        <v>40.200444772502081</v>
      </c>
      <c r="V16" s="1" cm="1">
        <f t="array" ref="V16">_xlfn.QUARTILE.INC(IF(Quartile_M[[#This Row],[Industry]]=Main_M[Industry],Main_M[A/E]),1)</f>
        <v>1.94</v>
      </c>
      <c r="W16" s="1" cm="1">
        <f t="array" ref="W16">_xlfn.QUARTILE.INC(IF(Quartile_M[[#This Row],[Industry]]=Main_M[Industry],Main_M[A/E]),3)</f>
        <v>7.6150000000000002</v>
      </c>
      <c r="X16" s="1">
        <f>Quartile_M[[#This Row],[A/E Q1]]-1.5*(Quartile_M[[#This Row],[A/E Q3]]-Quartile_M[[#This Row],[A/E Q1]])</f>
        <v>-6.5725000000000016</v>
      </c>
      <c r="Y16" s="1">
        <f>Quartile_M[[#This Row],[A/E Q3]]+1.5*(Quartile_M[[#This Row],[A/E Q3]]-Quartile_M[[#This Row],[A/E Q1]])</f>
        <v>16.127500000000001</v>
      </c>
    </row>
    <row r="17" spans="1:25" x14ac:dyDescent="0.25">
      <c r="A17" t="s">
        <v>215</v>
      </c>
      <c r="B17" s="1" cm="1">
        <f t="array" ref="B17">_xlfn.QUARTILE.INC(IF(Quartile_M[[#This Row],[Industry]]=Main_M[Industry],Main_M[P/FCF]),1)</f>
        <v>4.3560578661844485</v>
      </c>
      <c r="C17" s="1" cm="1">
        <f t="array" ref="C17">_xlfn.QUARTILE.INC(IF(Quartile_M[[#This Row],[Industry]]=Main_M[Industry],Main_M[P/FCF]),3)</f>
        <v>12.856103184896959</v>
      </c>
      <c r="D17" s="1">
        <f>Quartile_M[[#This Row],[P/FCF Q1]]-1.5*(Quartile_M[[#This Row],[P/FCF Q3]]-Quartile_M[[#This Row],[P/FCF Q1]])</f>
        <v>-8.3940101118843184</v>
      </c>
      <c r="E17" s="1">
        <f>Quartile_M[[#This Row],[P/FCF Q3]]+1.5*(Quartile_M[[#This Row],[P/FCF Q3]]-Quartile_M[[#This Row],[P/FCF Q1]])</f>
        <v>25.606171162965726</v>
      </c>
      <c r="F17" s="1" cm="1">
        <f t="array" ref="F17">_xlfn.QUARTILE.INC(IF(Quartile_M[[#This Row],[Industry]]=Main_M[Industry],Main_M[P/B]),1)</f>
        <v>1.004069448280021</v>
      </c>
      <c r="G17" s="1" cm="1">
        <f t="array" ref="G17">_xlfn.QUARTILE.INC(IF(Quartile_M[[#This Row],[Industry]]=Main_M[Industry],Main_M[P/B]),3)</f>
        <v>4.0012417817939578</v>
      </c>
      <c r="H17" s="1">
        <f>Quartile_M[[#This Row],[P/B Q1]]-1.5*(Quartile_M[[#This Row],[P/B Q3]]-Quartile_M[[#This Row],[P/B Q1]])</f>
        <v>-3.4916890519908841</v>
      </c>
      <c r="I17" s="1">
        <f>Quartile_M[[#This Row],[P/B Q3]]+1.5*(Quartile_M[[#This Row],[P/B Q3]]-Quartile_M[[#This Row],[P/B Q1]])</f>
        <v>8.4970002820648638</v>
      </c>
      <c r="J17" s="1" cm="1">
        <f t="array" ref="J17">_xlfn.QUARTILE.INC(IF(Quartile_M[[#This Row],[Industry]]=Main_M[Industry],Main_M[ROE]),1)</f>
        <v>6.3949999999999996</v>
      </c>
      <c r="K17" s="1" cm="1">
        <f t="array" ref="K17">_xlfn.QUARTILE.INC(IF(Quartile_M[[#This Row],[Industry]]=Main_M[Industry],Main_M[ROE]),3)</f>
        <v>17.914999999999999</v>
      </c>
      <c r="L17" s="1">
        <f>Quartile_M[[#This Row],[ROE Q1]]-1.5*(Quartile_M[[#This Row],[ROE Q3]]-Quartile_M[[#This Row],[ROE Q1]])</f>
        <v>-10.885000000000002</v>
      </c>
      <c r="M17" s="1">
        <f>Quartile_M[[#This Row],[ROE Q3]]+1.5*(Quartile_M[[#This Row],[ROE Q3]]-Quartile_M[[#This Row],[ROE Q1]])</f>
        <v>35.195</v>
      </c>
      <c r="N17" s="1" cm="1">
        <f t="array" ref="N17">_xlfn.QUARTILE.INC(IF(Quartile_M[[#This Row],[Industry]]=Main_M[Industry],Main_M[ROA]),1)</f>
        <v>1.21</v>
      </c>
      <c r="O17" s="1" cm="1">
        <f t="array" ref="O17">_xlfn.QUARTILE.INC(IF(Quartile_M[[#This Row],[Industry]]=Main_M[Industry],Main_M[ROA]),3)</f>
        <v>3.73</v>
      </c>
      <c r="P17" s="1">
        <f>Quartile_M[[#This Row],[ROA Q1]]-1.5*(Quartile_M[[#This Row],[ROA Q3]]-Quartile_M[[#This Row],[ROA Q1]])</f>
        <v>-2.5700000000000003</v>
      </c>
      <c r="Q17" s="1">
        <f>Quartile_M[[#This Row],[ROA Q3]]+1.5*(Quartile_M[[#This Row],[ROA Q3]]-Quartile_M[[#This Row],[ROA Q1]])</f>
        <v>7.51</v>
      </c>
      <c r="R17" s="1" cm="1">
        <f t="array" ref="R17">_xlfn.QUARTILE.INC(IF(Quartile_M[[#This Row],[Industry]]=Main_M[Industry],Main_M[P/E]),1)</f>
        <v>11.564760458839407</v>
      </c>
      <c r="S17" s="1" cm="1">
        <f t="array" ref="S17">_xlfn.QUARTILE.INC(IF(Quartile_M[[#This Row],[Industry]]=Main_M[Industry],Main_M[P/E]),3)</f>
        <v>24.358942280097573</v>
      </c>
      <c r="T17" s="1">
        <f>Quartile_M[[#This Row],[P/E Q1]]-1.5*(Quartile_M[[#This Row],[P/E Q3]]-Quartile_M[[#This Row],[P/E Q1]])</f>
        <v>-7.6265122730478421</v>
      </c>
      <c r="U17" s="1">
        <f>Quartile_M[[#This Row],[P/E Q3]]+1.5*(Quartile_M[[#This Row],[P/E Q3]]-Quartile_M[[#This Row],[P/E Q1]])</f>
        <v>43.550215011984818</v>
      </c>
      <c r="V17" s="1" cm="1">
        <f t="array" ref="V17">_xlfn.QUARTILE.INC(IF(Quartile_M[[#This Row],[Industry]]=Main_M[Industry],Main_M[A/E]),1)</f>
        <v>3.2199999999999998</v>
      </c>
      <c r="W17" s="1" cm="1">
        <f t="array" ref="W17">_xlfn.QUARTILE.INC(IF(Quartile_M[[#This Row],[Industry]]=Main_M[Industry],Main_M[A/E]),3)</f>
        <v>7.0350000000000001</v>
      </c>
      <c r="X17" s="1">
        <f>Quartile_M[[#This Row],[A/E Q1]]-1.5*(Quartile_M[[#This Row],[A/E Q3]]-Quartile_M[[#This Row],[A/E Q1]])</f>
        <v>-2.5025000000000004</v>
      </c>
      <c r="Y17" s="1">
        <f>Quartile_M[[#This Row],[A/E Q3]]+1.5*(Quartile_M[[#This Row],[A/E Q3]]-Quartile_M[[#This Row],[A/E Q1]])</f>
        <v>12.7575</v>
      </c>
    </row>
    <row r="18" spans="1:25" x14ac:dyDescent="0.25">
      <c r="A18" t="s">
        <v>251</v>
      </c>
      <c r="B18" s="1" cm="1">
        <f t="array" ref="B18">_xlfn.QUARTILE.INC(IF(Quartile_M[[#This Row],[Industry]]=Main_M[Industry],Main_M[P/FCF]),1)</f>
        <v>9.1860465116279073</v>
      </c>
      <c r="C18" s="1" cm="1">
        <f t="array" ref="C18">_xlfn.QUARTILE.INC(IF(Quartile_M[[#This Row],[Industry]]=Main_M[Industry],Main_M[P/FCF]),3)</f>
        <v>12.681318681318681</v>
      </c>
      <c r="D18" s="1">
        <f>Quartile_M[[#This Row],[P/FCF Q1]]-1.5*(Quartile_M[[#This Row],[P/FCF Q3]]-Quartile_M[[#This Row],[P/FCF Q1]])</f>
        <v>3.9431382570917473</v>
      </c>
      <c r="E18" s="1">
        <f>Quartile_M[[#This Row],[P/FCF Q3]]+1.5*(Quartile_M[[#This Row],[P/FCF Q3]]-Quartile_M[[#This Row],[P/FCF Q1]])</f>
        <v>17.92422693585484</v>
      </c>
      <c r="F18" s="1" cm="1">
        <f t="array" ref="F18">_xlfn.QUARTILE.INC(IF(Quartile_M[[#This Row],[Industry]]=Main_M[Industry],Main_M[P/B]),1)</f>
        <v>0.9076286764705882</v>
      </c>
      <c r="G18" s="1" cm="1">
        <f t="array" ref="G18">_xlfn.QUARTILE.INC(IF(Quartile_M[[#This Row],[Industry]]=Main_M[Industry],Main_M[P/B]),3)</f>
        <v>1.023702031602709</v>
      </c>
      <c r="H18" s="1">
        <f>Quartile_M[[#This Row],[P/B Q1]]-1.5*(Quartile_M[[#This Row],[P/B Q3]]-Quartile_M[[#This Row],[P/B Q1]])</f>
        <v>0.73351864377240705</v>
      </c>
      <c r="I18" s="1">
        <f>Quartile_M[[#This Row],[P/B Q3]]+1.5*(Quartile_M[[#This Row],[P/B Q3]]-Quartile_M[[#This Row],[P/B Q1]])</f>
        <v>1.1978120643008903</v>
      </c>
      <c r="J18" s="1" cm="1">
        <f t="array" ref="J18">_xlfn.QUARTILE.INC(IF(Quartile_M[[#This Row],[Industry]]=Main_M[Industry],Main_M[ROE]),1)</f>
        <v>5.05</v>
      </c>
      <c r="K18" s="1" cm="1">
        <f t="array" ref="K18">_xlfn.QUARTILE.INC(IF(Quartile_M[[#This Row],[Industry]]=Main_M[Industry],Main_M[ROE]),3)</f>
        <v>7.99</v>
      </c>
      <c r="L18" s="1">
        <f>Quartile_M[[#This Row],[ROE Q1]]-1.5*(Quartile_M[[#This Row],[ROE Q3]]-Quartile_M[[#This Row],[ROE Q1]])</f>
        <v>0.63999999999999968</v>
      </c>
      <c r="M18" s="1">
        <f>Quartile_M[[#This Row],[ROE Q3]]+1.5*(Quartile_M[[#This Row],[ROE Q3]]-Quartile_M[[#This Row],[ROE Q1]])</f>
        <v>12.4</v>
      </c>
      <c r="N18" s="1" cm="1">
        <f t="array" ref="N18">_xlfn.QUARTILE.INC(IF(Quartile_M[[#This Row],[Industry]]=Main_M[Industry],Main_M[ROA]),1)</f>
        <v>0.56000000000000005</v>
      </c>
      <c r="O18" s="1" cm="1">
        <f t="array" ref="O18">_xlfn.QUARTILE.INC(IF(Quartile_M[[#This Row],[Industry]]=Main_M[Industry],Main_M[ROA]),3)</f>
        <v>1.68</v>
      </c>
      <c r="P18" s="1">
        <f>Quartile_M[[#This Row],[ROA Q1]]-1.5*(Quartile_M[[#This Row],[ROA Q3]]-Quartile_M[[#This Row],[ROA Q1]])</f>
        <v>-1.1199999999999997</v>
      </c>
      <c r="Q18" s="1">
        <f>Quartile_M[[#This Row],[ROA Q3]]+1.5*(Quartile_M[[#This Row],[ROA Q3]]-Quartile_M[[#This Row],[ROA Q1]])</f>
        <v>3.3599999999999994</v>
      </c>
      <c r="R18" s="1" cm="1">
        <f t="array" ref="R18">_xlfn.QUARTILE.INC(IF(Quartile_M[[#This Row],[Industry]]=Main_M[Industry],Main_M[P/E]),1)</f>
        <v>9.697478991596638</v>
      </c>
      <c r="S18" s="1" cm="1">
        <f t="array" ref="S18">_xlfn.QUARTILE.INC(IF(Quartile_M[[#This Row],[Industry]]=Main_M[Industry],Main_M[P/E]),3)</f>
        <v>18.2</v>
      </c>
      <c r="T18" s="1">
        <f>Quartile_M[[#This Row],[P/E Q1]]-1.5*(Quartile_M[[#This Row],[P/E Q3]]-Quartile_M[[#This Row],[P/E Q1]])</f>
        <v>-3.0563025210084032</v>
      </c>
      <c r="U18" s="1">
        <f>Quartile_M[[#This Row],[P/E Q3]]+1.5*(Quartile_M[[#This Row],[P/E Q3]]-Quartile_M[[#This Row],[P/E Q1]])</f>
        <v>30.95378151260504</v>
      </c>
      <c r="V18" s="1" cm="1">
        <f t="array" ref="V18">_xlfn.QUARTILE.INC(IF(Quartile_M[[#This Row],[Industry]]=Main_M[Industry],Main_M[A/E]),1)</f>
        <v>5.63</v>
      </c>
      <c r="W18" s="1" cm="1">
        <f t="array" ref="W18">_xlfn.QUARTILE.INC(IF(Quartile_M[[#This Row],[Industry]]=Main_M[Industry],Main_M[A/E]),3)</f>
        <v>9.7200000000000006</v>
      </c>
      <c r="X18" s="1">
        <f>Quartile_M[[#This Row],[A/E Q1]]-1.5*(Quartile_M[[#This Row],[A/E Q3]]-Quartile_M[[#This Row],[A/E Q1]])</f>
        <v>-0.50500000000000167</v>
      </c>
      <c r="Y18" s="1">
        <f>Quartile_M[[#This Row],[A/E Q3]]+1.5*(Quartile_M[[#This Row],[A/E Q3]]-Quartile_M[[#This Row],[A/E Q1]])</f>
        <v>15.855000000000002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105</v>
      </c>
      <c r="B23" s="1" cm="1">
        <f t="array" ref="B23">_xlfn.QUARTILE.INC(IF(Quartile_S[[#This Row],[Industry]]=Main_S[Industry],Main_S[P/FCF]),1)</f>
        <v>8.700361010830326</v>
      </c>
      <c r="C23" s="1" cm="1">
        <f t="array" ref="C23">_xlfn.QUARTILE.INC(IF(Quartile_S[[#This Row],[Industry]]=Main_S[Industry],Main_S[P/FCF]),3)</f>
        <v>13.954063604240282</v>
      </c>
      <c r="D23" s="1">
        <f>Quartile_S[[#This Row],[P/FCF Q1]]-1.5*(Quartile_S[[#This Row],[P/FCF Q3]]-Quartile_S[[#This Row],[P/FCF Q1]])</f>
        <v>0.81980712071539141</v>
      </c>
      <c r="E23" s="1">
        <f>Quartile_S[[#This Row],[P/FCF Q3]]+1.5*(Quartile_S[[#This Row],[P/FCF Q3]]-Quartile_S[[#This Row],[P/FCF Q1]])</f>
        <v>21.834617494355218</v>
      </c>
      <c r="F23" s="1" cm="1">
        <f t="array" ref="F23">_xlfn.QUARTILE.INC(IF(Quartile_S[[#This Row],[Industry]]=Main_S[Industry],Main_S[P/B]),1)</f>
        <v>0.92841793644712134</v>
      </c>
      <c r="G23" s="1" cm="1">
        <f t="array" ref="G23">_xlfn.QUARTILE.INC(IF(Quartile_S[[#This Row],[Industry]]=Main_S[Industry],Main_S[P/B]),3)</f>
        <v>1.3159459851003612</v>
      </c>
      <c r="H23" s="1">
        <f>Quartile_S[[#This Row],[P/B Q1]]-1.5*(Quartile_S[[#This Row],[P/B Q3]]-Quartile_S[[#This Row],[P/B Q1]])</f>
        <v>0.34712586346726149</v>
      </c>
      <c r="I23" s="1">
        <f>Quartile_S[[#This Row],[P/B Q3]]+1.5*(Quartile_S[[#This Row],[P/B Q3]]-Quartile_S[[#This Row],[P/B Q1]])</f>
        <v>1.8972380580802211</v>
      </c>
      <c r="J23" s="1" cm="1">
        <f t="array" ref="J23">_xlfn.QUARTILE.INC(IF(Quartile_S[[#This Row],[Industry]]=Main_S[Industry],Main_S[ROE]),1)</f>
        <v>6.0825000000000005</v>
      </c>
      <c r="K23" s="1" cm="1">
        <f t="array" ref="K23">_xlfn.QUARTILE.INC(IF(Quartile_S[[#This Row],[Industry]]=Main_S[Industry],Main_S[ROE]),3)</f>
        <v>11.83</v>
      </c>
      <c r="L23" s="1">
        <f>Quartile_S[[#This Row],[ROE Q1]]-1.5*(Quartile_S[[#This Row],[ROE Q3]]-Quartile_S[[#This Row],[ROE Q1]])</f>
        <v>-2.5387499999999994</v>
      </c>
      <c r="M23" s="1">
        <f>Quartile_S[[#This Row],[ROE Q3]]+1.5*(Quartile_S[[#This Row],[ROE Q3]]-Quartile_S[[#This Row],[ROE Q1]])</f>
        <v>20.451250000000002</v>
      </c>
      <c r="N23" s="1" cm="1">
        <f t="array" ref="N23">_xlfn.QUARTILE.INC(IF(Quartile_S[[#This Row],[Industry]]=Main_S[Industry],Main_S[ROA]),1)</f>
        <v>0.65250000000000008</v>
      </c>
      <c r="O23" s="1" cm="1">
        <f t="array" ref="O23">_xlfn.QUARTILE.INC(IF(Quartile_S[[#This Row],[Industry]]=Main_S[Industry],Main_S[ROA]),3)</f>
        <v>1.25</v>
      </c>
      <c r="P23" s="1">
        <f>Quartile_S[[#This Row],[ROA Q1]]-1.5*(Quartile_S[[#This Row],[ROA Q3]]-Quartile_S[[#This Row],[ROA Q1]])</f>
        <v>-0.2437499999999998</v>
      </c>
      <c r="Q23" s="1">
        <f>Quartile_S[[#This Row],[ROA Q3]]+1.5*(Quartile_S[[#This Row],[ROA Q3]]-Quartile_S[[#This Row],[ROA Q1]])</f>
        <v>2.1462499999999998</v>
      </c>
      <c r="R23" s="1" cm="1">
        <f t="array" ref="R23">_xlfn.QUARTILE.INC(IF(Quartile_S[[#This Row],[Industry]]=Main_S[Industry],Main_S[P/E]),1)</f>
        <v>10.109579519540159</v>
      </c>
      <c r="S23" s="1" cm="1">
        <f t="array" ref="S23">_xlfn.QUARTILE.INC(IF(Quartile_S[[#This Row],[Industry]]=Main_S[Industry],Main_S[P/E]),3)</f>
        <v>14.411579296615793</v>
      </c>
      <c r="T23" s="1">
        <f>Quartile_S[[#This Row],[P/E Q1]]-1.5*(Quartile_S[[#This Row],[P/E Q3]]-Quartile_S[[#This Row],[P/E Q1]])</f>
        <v>3.6565798539267069</v>
      </c>
      <c r="U23" s="1">
        <f>Quartile_S[[#This Row],[P/E Q3]]+1.5*(Quartile_S[[#This Row],[P/E Q3]]-Quartile_S[[#This Row],[P/E Q1]])</f>
        <v>20.864578962229245</v>
      </c>
      <c r="V23" s="1" cm="1">
        <f t="array" ref="V23">_xlfn.QUARTILE.INC(IF(Quartile_S[[#This Row],[Industry]]=Main_S[Industry],Main_S[A/E]),1)</f>
        <v>8.2524999999999995</v>
      </c>
      <c r="W23" s="1" cm="1">
        <f t="array" ref="W23">_xlfn.QUARTILE.INC(IF(Quartile_S[[#This Row],[Industry]]=Main_S[Industry],Main_S[A/E]),3)</f>
        <v>10.7</v>
      </c>
      <c r="X23" s="1">
        <f>Quartile_S[[#This Row],[A/E Q1]]-1.5*(Quartile_S[[#This Row],[A/E Q3]]-Quartile_S[[#This Row],[A/E Q1]])</f>
        <v>4.5812499999999998</v>
      </c>
      <c r="Y23" s="1">
        <f>Quartile_S[[#This Row],[A/E Q3]]+1.5*(Quartile_S[[#This Row],[A/E Q3]]-Quartile_S[[#This Row],[A/E Q1]])</f>
        <v>14.37125</v>
      </c>
    </row>
    <row r="24" spans="1:25" x14ac:dyDescent="0.25">
      <c r="A24" t="s">
        <v>150</v>
      </c>
      <c r="B24" s="1" cm="1">
        <f t="array" ref="B24">_xlfn.QUARTILE.INC(IF(Quartile_S[[#This Row],[Industry]]=Main_S[Industry],Main_S[P/FCF]),1)</f>
        <v>-1.6617869762746089</v>
      </c>
      <c r="C24" s="1" cm="1">
        <f t="array" ref="C24">_xlfn.QUARTILE.INC(IF(Quartile_S[[#This Row],[Industry]]=Main_S[Industry],Main_S[P/FCF]),3)</f>
        <v>19.853881278538811</v>
      </c>
      <c r="D24" s="1">
        <f>Quartile_S[[#This Row],[P/FCF Q1]]-1.5*(Quartile_S[[#This Row],[P/FCF Q3]]-Quartile_S[[#This Row],[P/FCF Q1]])</f>
        <v>-33.935289358494742</v>
      </c>
      <c r="E24" s="1">
        <f>Quartile_S[[#This Row],[P/FCF Q3]]+1.5*(Quartile_S[[#This Row],[P/FCF Q3]]-Quartile_S[[#This Row],[P/FCF Q1]])</f>
        <v>52.127383660758937</v>
      </c>
      <c r="F24" s="1" cm="1">
        <f t="array" ref="F24">_xlfn.QUARTILE.INC(IF(Quartile_S[[#This Row],[Industry]]=Main_S[Industry],Main_S[P/B]),1)</f>
        <v>0.72388059701492535</v>
      </c>
      <c r="G24" s="1" cm="1">
        <f t="array" ref="G24">_xlfn.QUARTILE.INC(IF(Quartile_S[[#This Row],[Industry]]=Main_S[Industry],Main_S[P/B]),3)</f>
        <v>2.4874141876430205</v>
      </c>
      <c r="H24" s="1">
        <f>Quartile_S[[#This Row],[P/B Q1]]-1.5*(Quartile_S[[#This Row],[P/B Q3]]-Quartile_S[[#This Row],[P/B Q1]])</f>
        <v>-1.9214197889272175</v>
      </c>
      <c r="I24" s="1">
        <f>Quartile_S[[#This Row],[P/B Q3]]+1.5*(Quartile_S[[#This Row],[P/B Q3]]-Quartile_S[[#This Row],[P/B Q1]])</f>
        <v>5.1327145735851634</v>
      </c>
      <c r="J24" s="1" cm="1">
        <f t="array" ref="J24">_xlfn.QUARTILE.INC(IF(Quartile_S[[#This Row],[Industry]]=Main_S[Industry],Main_S[ROE]),1)</f>
        <v>2.34</v>
      </c>
      <c r="K24" s="1" cm="1">
        <f t="array" ref="K24">_xlfn.QUARTILE.INC(IF(Quartile_S[[#This Row],[Industry]]=Main_S[Industry],Main_S[ROE]),3)</f>
        <v>14.55</v>
      </c>
      <c r="L24" s="1">
        <f>Quartile_S[[#This Row],[ROE Q1]]-1.5*(Quartile_S[[#This Row],[ROE Q3]]-Quartile_S[[#This Row],[ROE Q1]])</f>
        <v>-15.975000000000001</v>
      </c>
      <c r="M24" s="1">
        <f>Quartile_S[[#This Row],[ROE Q3]]+1.5*(Quartile_S[[#This Row],[ROE Q3]]-Quartile_S[[#This Row],[ROE Q1]])</f>
        <v>32.865000000000002</v>
      </c>
      <c r="N24" s="1" cm="1">
        <f t="array" ref="N24">_xlfn.QUARTILE.INC(IF(Quartile_S[[#This Row],[Industry]]=Main_S[Industry],Main_S[ROA]),1)</f>
        <v>0.62</v>
      </c>
      <c r="O24" s="1" cm="1">
        <f t="array" ref="O24">_xlfn.QUARTILE.INC(IF(Quartile_S[[#This Row],[Industry]]=Main_S[Industry],Main_S[ROA]),3)</f>
        <v>4</v>
      </c>
      <c r="P24" s="1">
        <f>Quartile_S[[#This Row],[ROA Q1]]-1.5*(Quartile_S[[#This Row],[ROA Q3]]-Quartile_S[[#This Row],[ROA Q1]])</f>
        <v>-4.45</v>
      </c>
      <c r="Q24" s="1">
        <f>Quartile_S[[#This Row],[ROA Q3]]+1.5*(Quartile_S[[#This Row],[ROA Q3]]-Quartile_S[[#This Row],[ROA Q1]])</f>
        <v>9.07</v>
      </c>
      <c r="R24" s="1" cm="1">
        <f t="array" ref="R24">_xlfn.QUARTILE.INC(IF(Quartile_S[[#This Row],[Industry]]=Main_S[Industry],Main_S[P/E]),1)</f>
        <v>5.9030612244897958</v>
      </c>
      <c r="S24" s="1" cm="1">
        <f t="array" ref="S24">_xlfn.QUARTILE.INC(IF(Quartile_S[[#This Row],[Industry]]=Main_S[Industry],Main_S[P/E]),3)</f>
        <v>32.615384615384613</v>
      </c>
      <c r="T24" s="1">
        <f>Quartile_S[[#This Row],[P/E Q1]]-1.5*(Quartile_S[[#This Row],[P/E Q3]]-Quartile_S[[#This Row],[P/E Q1]])</f>
        <v>-34.165423861852425</v>
      </c>
      <c r="U24" s="1">
        <f>Quartile_S[[#This Row],[P/E Q3]]+1.5*(Quartile_S[[#This Row],[P/E Q3]]-Quartile_S[[#This Row],[P/E Q1]])</f>
        <v>72.683869701726834</v>
      </c>
      <c r="V24" s="1" cm="1">
        <f t="array" ref="V24">_xlfn.QUARTILE.INC(IF(Quartile_S[[#This Row],[Industry]]=Main_S[Industry],Main_S[A/E]),1)</f>
        <v>2.06</v>
      </c>
      <c r="W24" s="1" cm="1">
        <f t="array" ref="W24">_xlfn.QUARTILE.INC(IF(Quartile_S[[#This Row],[Industry]]=Main_S[Industry],Main_S[A/E]),3)</f>
        <v>10.38</v>
      </c>
      <c r="X24" s="1">
        <f>Quartile_S[[#This Row],[A/E Q1]]-1.5*(Quartile_S[[#This Row],[A/E Q3]]-Quartile_S[[#This Row],[A/E Q1]])</f>
        <v>-10.42</v>
      </c>
      <c r="Y24" s="1">
        <f>Quartile_S[[#This Row],[A/E Q3]]+1.5*(Quartile_S[[#This Row],[A/E Q3]]-Quartile_S[[#This Row],[A/E Q1]])</f>
        <v>22.86</v>
      </c>
    </row>
    <row r="25" spans="1:25" x14ac:dyDescent="0.25">
      <c r="A25" t="s">
        <v>166</v>
      </c>
      <c r="B25" s="1" cm="1">
        <f t="array" ref="B25">_xlfn.QUARTILE.INC(IF(Quartile_S[[#This Row],[Industry]]=Main_S[Industry],Main_S[P/FCF]),1)</f>
        <v>1.5285181649942507</v>
      </c>
      <c r="C25" s="1" cm="1">
        <f t="array" ref="C25">_xlfn.QUARTILE.INC(IF(Quartile_S[[#This Row],[Industry]]=Main_S[Industry],Main_S[P/FCF]),3)</f>
        <v>9.8435277382645801</v>
      </c>
      <c r="D25" s="1">
        <f>Quartile_S[[#This Row],[P/FCF Q1]]-1.5*(Quartile_S[[#This Row],[P/FCF Q3]]-Quartile_S[[#This Row],[P/FCF Q1]])</f>
        <v>-10.943996194911241</v>
      </c>
      <c r="E25" s="1">
        <f>Quartile_S[[#This Row],[P/FCF Q3]]+1.5*(Quartile_S[[#This Row],[P/FCF Q3]]-Quartile_S[[#This Row],[P/FCF Q1]])</f>
        <v>22.316042098170072</v>
      </c>
      <c r="F25" s="1" cm="1">
        <f t="array" ref="F25">_xlfn.QUARTILE.INC(IF(Quartile_S[[#This Row],[Industry]]=Main_S[Industry],Main_S[P/B]),1)</f>
        <v>0.6515256950570093</v>
      </c>
      <c r="G25" s="1" cm="1">
        <f t="array" ref="G25">_xlfn.QUARTILE.INC(IF(Quartile_S[[#This Row],[Industry]]=Main_S[Industry],Main_S[P/B]),3)</f>
        <v>1.7720089598592006</v>
      </c>
      <c r="H25" s="1">
        <f>Quartile_S[[#This Row],[P/B Q1]]-1.5*(Quartile_S[[#This Row],[P/B Q3]]-Quartile_S[[#This Row],[P/B Q1]])</f>
        <v>-1.0291992021462777</v>
      </c>
      <c r="I25" s="1">
        <f>Quartile_S[[#This Row],[P/B Q3]]+1.5*(Quartile_S[[#This Row],[P/B Q3]]-Quartile_S[[#This Row],[P/B Q1]])</f>
        <v>3.4527338570624879</v>
      </c>
      <c r="J25" s="1" cm="1">
        <f t="array" ref="J25">_xlfn.QUARTILE.INC(IF(Quartile_S[[#This Row],[Industry]]=Main_S[Industry],Main_S[ROE]),1)</f>
        <v>2.9749999999999996</v>
      </c>
      <c r="K25" s="1" cm="1">
        <f t="array" ref="K25">_xlfn.QUARTILE.INC(IF(Quartile_S[[#This Row],[Industry]]=Main_S[Industry],Main_S[ROE]),3)</f>
        <v>22.42</v>
      </c>
      <c r="L25" s="1">
        <f>Quartile_S[[#This Row],[ROE Q1]]-1.5*(Quartile_S[[#This Row],[ROE Q3]]-Quartile_S[[#This Row],[ROE Q1]])</f>
        <v>-26.192500000000003</v>
      </c>
      <c r="M25" s="1">
        <f>Quartile_S[[#This Row],[ROE Q3]]+1.5*(Quartile_S[[#This Row],[ROE Q3]]-Quartile_S[[#This Row],[ROE Q1]])</f>
        <v>51.587500000000006</v>
      </c>
      <c r="N25" s="1" cm="1">
        <f t="array" ref="N25">_xlfn.QUARTILE.INC(IF(Quartile_S[[#This Row],[Industry]]=Main_S[Industry],Main_S[ROA]),1)</f>
        <v>3.2800000000000002</v>
      </c>
      <c r="O25" s="1" cm="1">
        <f t="array" ref="O25">_xlfn.QUARTILE.INC(IF(Quartile_S[[#This Row],[Industry]]=Main_S[Industry],Main_S[ROA]),3)</f>
        <v>11.43</v>
      </c>
      <c r="P25" s="1">
        <f>Quartile_S[[#This Row],[ROA Q1]]-1.5*(Quartile_S[[#This Row],[ROA Q3]]-Quartile_S[[#This Row],[ROA Q1]])</f>
        <v>-8.9449999999999967</v>
      </c>
      <c r="Q25" s="1">
        <f>Quartile_S[[#This Row],[ROA Q3]]+1.5*(Quartile_S[[#This Row],[ROA Q3]]-Quartile_S[[#This Row],[ROA Q1]])</f>
        <v>23.654999999999998</v>
      </c>
      <c r="R25" s="1" cm="1">
        <f t="array" ref="R25">_xlfn.QUARTILE.INC(IF(Quartile_S[[#This Row],[Industry]]=Main_S[Industry],Main_S[P/E]),1)</f>
        <v>4.1808959694989101</v>
      </c>
      <c r="S25" s="1" cm="1">
        <f t="array" ref="S25">_xlfn.QUARTILE.INC(IF(Quartile_S[[#This Row],[Industry]]=Main_S[Industry],Main_S[P/E]),3)</f>
        <v>26.204545454545453</v>
      </c>
      <c r="T25" s="1">
        <f>Quartile_S[[#This Row],[P/E Q1]]-1.5*(Quartile_S[[#This Row],[P/E Q3]]-Quartile_S[[#This Row],[P/E Q1]])</f>
        <v>-28.854578258070905</v>
      </c>
      <c r="U25" s="1">
        <f>Quartile_S[[#This Row],[P/E Q3]]+1.5*(Quartile_S[[#This Row],[P/E Q3]]-Quartile_S[[#This Row],[P/E Q1]])</f>
        <v>59.240019682115268</v>
      </c>
      <c r="V25" s="1" cm="1">
        <f t="array" ref="V25">_xlfn.QUARTILE.INC(IF(Quartile_S[[#This Row],[Industry]]=Main_S[Industry],Main_S[A/E]),1)</f>
        <v>1.7149999999999999</v>
      </c>
      <c r="W25" s="1" cm="1">
        <f t="array" ref="W25">_xlfn.QUARTILE.INC(IF(Quartile_S[[#This Row],[Industry]]=Main_S[Industry],Main_S[A/E]),3)</f>
        <v>6.4399999999999995</v>
      </c>
      <c r="X25" s="1">
        <f>Quartile_S[[#This Row],[A/E Q1]]-1.5*(Quartile_S[[#This Row],[A/E Q3]]-Quartile_S[[#This Row],[A/E Q1]])</f>
        <v>-5.3724999999999996</v>
      </c>
      <c r="Y25" s="1">
        <f>Quartile_S[[#This Row],[A/E Q3]]+1.5*(Quartile_S[[#This Row],[A/E Q3]]-Quartile_S[[#This Row],[A/E Q1]])</f>
        <v>13.5275</v>
      </c>
    </row>
    <row r="26" spans="1:25" x14ac:dyDescent="0.25">
      <c r="A26" t="s">
        <v>173</v>
      </c>
      <c r="B26" s="1" cm="1">
        <f t="array" ref="B26">_xlfn.QUARTILE.INC(IF(Quartile_S[[#This Row],[Industry]]=Main_S[Industry],Main_S[P/FCF]),1)</f>
        <v>-1.2524073836651877</v>
      </c>
      <c r="C26" s="1" cm="1">
        <f t="array" ref="C26">_xlfn.QUARTILE.INC(IF(Quartile_S[[#This Row],[Industry]]=Main_S[Industry],Main_S[P/FCF]),3)</f>
        <v>17.311250000000001</v>
      </c>
      <c r="D26" s="1">
        <f>Quartile_S[[#This Row],[P/FCF Q1]]-1.5*(Quartile_S[[#This Row],[P/FCF Q3]]-Quartile_S[[#This Row],[P/FCF Q1]])</f>
        <v>-29.097893459162968</v>
      </c>
      <c r="E26" s="1">
        <f>Quartile_S[[#This Row],[P/FCF Q3]]+1.5*(Quartile_S[[#This Row],[P/FCF Q3]]-Quartile_S[[#This Row],[P/FCF Q1]])</f>
        <v>45.156736075497783</v>
      </c>
      <c r="F26" s="1" cm="1">
        <f t="array" ref="F26">_xlfn.QUARTILE.INC(IF(Quartile_S[[#This Row],[Industry]]=Main_S[Industry],Main_S[P/B]),1)</f>
        <v>0.84332654202620638</v>
      </c>
      <c r="G26" s="1" cm="1">
        <f t="array" ref="G26">_xlfn.QUARTILE.INC(IF(Quartile_S[[#This Row],[Industry]]=Main_S[Industry],Main_S[P/B]),3)</f>
        <v>2.4371228626130588</v>
      </c>
      <c r="H26" s="1">
        <f>Quartile_S[[#This Row],[P/B Q1]]-1.5*(Quartile_S[[#This Row],[P/B Q3]]-Quartile_S[[#This Row],[P/B Q1]])</f>
        <v>-1.5473679388540722</v>
      </c>
      <c r="I26" s="1">
        <f>Quartile_S[[#This Row],[P/B Q3]]+1.5*(Quartile_S[[#This Row],[P/B Q3]]-Quartile_S[[#This Row],[P/B Q1]])</f>
        <v>4.8278173434933374</v>
      </c>
      <c r="J26" s="1" cm="1">
        <f t="array" ref="J26">_xlfn.QUARTILE.INC(IF(Quartile_S[[#This Row],[Industry]]=Main_S[Industry],Main_S[ROE]),1)</f>
        <v>4.875</v>
      </c>
      <c r="K26" s="1" cm="1">
        <f t="array" ref="K26">_xlfn.QUARTILE.INC(IF(Quartile_S[[#This Row],[Industry]]=Main_S[Industry],Main_S[ROE]),3)</f>
        <v>14.600000000000001</v>
      </c>
      <c r="L26" s="1">
        <f>Quartile_S[[#This Row],[ROE Q1]]-1.5*(Quartile_S[[#This Row],[ROE Q3]]-Quartile_S[[#This Row],[ROE Q1]])</f>
        <v>-9.7125000000000021</v>
      </c>
      <c r="M26" s="1">
        <f>Quartile_S[[#This Row],[ROE Q3]]+1.5*(Quartile_S[[#This Row],[ROE Q3]]-Quartile_S[[#This Row],[ROE Q1]])</f>
        <v>29.187500000000004</v>
      </c>
      <c r="N26" s="1" cm="1">
        <f t="array" ref="N26">_xlfn.QUARTILE.INC(IF(Quartile_S[[#This Row],[Industry]]=Main_S[Industry],Main_S[ROA]),1)</f>
        <v>3.6849999999999996</v>
      </c>
      <c r="O26" s="1" cm="1">
        <f t="array" ref="O26">_xlfn.QUARTILE.INC(IF(Quartile_S[[#This Row],[Industry]]=Main_S[Industry],Main_S[ROA]),3)</f>
        <v>6.8</v>
      </c>
      <c r="P26" s="1">
        <f>Quartile_S[[#This Row],[ROA Q1]]-1.5*(Quartile_S[[#This Row],[ROA Q3]]-Quartile_S[[#This Row],[ROA Q1]])</f>
        <v>-0.98750000000000071</v>
      </c>
      <c r="Q26" s="1">
        <f>Quartile_S[[#This Row],[ROA Q3]]+1.5*(Quartile_S[[#This Row],[ROA Q3]]-Quartile_S[[#This Row],[ROA Q1]])</f>
        <v>11.4725</v>
      </c>
      <c r="R26" s="1" cm="1">
        <f t="array" ref="R26">_xlfn.QUARTILE.INC(IF(Quartile_S[[#This Row],[Industry]]=Main_S[Industry],Main_S[P/E]),1)</f>
        <v>8.0473353267082945</v>
      </c>
      <c r="S26" s="1" cm="1">
        <f t="array" ref="S26">_xlfn.QUARTILE.INC(IF(Quartile_S[[#This Row],[Industry]]=Main_S[Industry],Main_S[P/E]),3)</f>
        <v>20.695251017639077</v>
      </c>
      <c r="T26" s="1">
        <f>Quartile_S[[#This Row],[P/E Q1]]-1.5*(Quartile_S[[#This Row],[P/E Q3]]-Quartile_S[[#This Row],[P/E Q1]])</f>
        <v>-10.92453820968788</v>
      </c>
      <c r="U26" s="1">
        <f>Quartile_S[[#This Row],[P/E Q3]]+1.5*(Quartile_S[[#This Row],[P/E Q3]]-Quartile_S[[#This Row],[P/E Q1]])</f>
        <v>39.667124554035254</v>
      </c>
      <c r="V26" s="1" cm="1">
        <f t="array" ref="V26">_xlfn.QUARTILE.INC(IF(Quartile_S[[#This Row],[Industry]]=Main_S[Industry],Main_S[A/E]),1)</f>
        <v>1.9949999999999999</v>
      </c>
      <c r="W26" s="1" cm="1">
        <f t="array" ref="W26">_xlfn.QUARTILE.INC(IF(Quartile_S[[#This Row],[Industry]]=Main_S[Industry],Main_S[A/E]),3)</f>
        <v>2.5449999999999999</v>
      </c>
      <c r="X26" s="1">
        <f>Quartile_S[[#This Row],[A/E Q1]]-1.5*(Quartile_S[[#This Row],[A/E Q3]]-Quartile_S[[#This Row],[A/E Q1]])</f>
        <v>1.17</v>
      </c>
      <c r="Y26" s="1">
        <f>Quartile_S[[#This Row],[A/E Q3]]+1.5*(Quartile_S[[#This Row],[A/E Q3]]-Quartile_S[[#This Row],[A/E Q1]])</f>
        <v>3.37</v>
      </c>
    </row>
    <row r="27" spans="1:25" x14ac:dyDescent="0.25">
      <c r="A27" t="s">
        <v>215</v>
      </c>
      <c r="B27" s="1" cm="1">
        <f t="array" ref="B27">_xlfn.QUARTILE.INC(IF(Quartile_S[[#This Row],[Industry]]=Main_S[Industry],Main_S[P/FCF]),1)</f>
        <v>3.8161492393474221</v>
      </c>
      <c r="C27" s="1" cm="1">
        <f t="array" ref="C27">_xlfn.QUARTILE.INC(IF(Quartile_S[[#This Row],[Industry]]=Main_S[Industry],Main_S[P/FCF]),3)</f>
        <v>16.231867283950617</v>
      </c>
      <c r="D27" s="1">
        <f>Quartile_S[[#This Row],[P/FCF Q1]]-1.5*(Quartile_S[[#This Row],[P/FCF Q3]]-Quartile_S[[#This Row],[P/FCF Q1]])</f>
        <v>-14.807427827557373</v>
      </c>
      <c r="E27" s="1">
        <f>Quartile_S[[#This Row],[P/FCF Q3]]+1.5*(Quartile_S[[#This Row],[P/FCF Q3]]-Quartile_S[[#This Row],[P/FCF Q1]])</f>
        <v>34.855444350855407</v>
      </c>
      <c r="F27" s="1" cm="1">
        <f t="array" ref="F27">_xlfn.QUARTILE.INC(IF(Quartile_S[[#This Row],[Industry]]=Main_S[Industry],Main_S[P/B]),1)</f>
        <v>1.004853776737066</v>
      </c>
      <c r="G27" s="1" cm="1">
        <f t="array" ref="G27">_xlfn.QUARTILE.INC(IF(Quartile_S[[#This Row],[Industry]]=Main_S[Industry],Main_S[P/B]),3)</f>
        <v>2.1907312401669063</v>
      </c>
      <c r="H27" s="1">
        <f>Quartile_S[[#This Row],[P/B Q1]]-1.5*(Quartile_S[[#This Row],[P/B Q3]]-Quartile_S[[#This Row],[P/B Q1]])</f>
        <v>-0.77396241840769453</v>
      </c>
      <c r="I27" s="1">
        <f>Quartile_S[[#This Row],[P/B Q3]]+1.5*(Quartile_S[[#This Row],[P/B Q3]]-Quartile_S[[#This Row],[P/B Q1]])</f>
        <v>3.9695474353116671</v>
      </c>
      <c r="J27" s="1" cm="1">
        <f t="array" ref="J27">_xlfn.QUARTILE.INC(IF(Quartile_S[[#This Row],[Industry]]=Main_S[Industry],Main_S[ROE]),1)</f>
        <v>5.0474999999999994</v>
      </c>
      <c r="K27" s="1" cm="1">
        <f t="array" ref="K27">_xlfn.QUARTILE.INC(IF(Quartile_S[[#This Row],[Industry]]=Main_S[Industry],Main_S[ROE]),3)</f>
        <v>16.067499999999999</v>
      </c>
      <c r="L27" s="1">
        <f>Quartile_S[[#This Row],[ROE Q1]]-1.5*(Quartile_S[[#This Row],[ROE Q3]]-Quartile_S[[#This Row],[ROE Q1]])</f>
        <v>-11.482500000000002</v>
      </c>
      <c r="M27" s="1">
        <f>Quartile_S[[#This Row],[ROE Q3]]+1.5*(Quartile_S[[#This Row],[ROE Q3]]-Quartile_S[[#This Row],[ROE Q1]])</f>
        <v>32.597499999999997</v>
      </c>
      <c r="N27" s="1" cm="1">
        <f t="array" ref="N27">_xlfn.QUARTILE.INC(IF(Quartile_S[[#This Row],[Industry]]=Main_S[Industry],Main_S[ROA]),1)</f>
        <v>1.4100000000000001</v>
      </c>
      <c r="O27" s="1" cm="1">
        <f t="array" ref="O27">_xlfn.QUARTILE.INC(IF(Quartile_S[[#This Row],[Industry]]=Main_S[Industry],Main_S[ROA]),3)</f>
        <v>3.0950000000000002</v>
      </c>
      <c r="P27" s="1">
        <f>Quartile_S[[#This Row],[ROA Q1]]-1.5*(Quartile_S[[#This Row],[ROA Q3]]-Quartile_S[[#This Row],[ROA Q1]])</f>
        <v>-1.1174999999999997</v>
      </c>
      <c r="Q27" s="1">
        <f>Quartile_S[[#This Row],[ROA Q3]]+1.5*(Quartile_S[[#This Row],[ROA Q3]]-Quartile_S[[#This Row],[ROA Q1]])</f>
        <v>5.6225000000000005</v>
      </c>
      <c r="R27" s="1" cm="1">
        <f t="array" ref="R27">_xlfn.QUARTILE.INC(IF(Quartile_S[[#This Row],[Industry]]=Main_S[Industry],Main_S[P/E]),1)</f>
        <v>8.1205243495222668</v>
      </c>
      <c r="S27" s="1" cm="1">
        <f t="array" ref="S27">_xlfn.QUARTILE.INC(IF(Quartile_S[[#This Row],[Industry]]=Main_S[Industry],Main_S[P/E]),3)</f>
        <v>18.191594019497565</v>
      </c>
      <c r="T27" s="1">
        <f>Quartile_S[[#This Row],[P/E Q1]]-1.5*(Quartile_S[[#This Row],[P/E Q3]]-Quartile_S[[#This Row],[P/E Q1]])</f>
        <v>-6.9860801554406802</v>
      </c>
      <c r="U27" s="1">
        <f>Quartile_S[[#This Row],[P/E Q3]]+1.5*(Quartile_S[[#This Row],[P/E Q3]]-Quartile_S[[#This Row],[P/E Q1]])</f>
        <v>33.29819852446051</v>
      </c>
      <c r="V27" s="1" cm="1">
        <f t="array" ref="V27">_xlfn.QUARTILE.INC(IF(Quartile_S[[#This Row],[Industry]]=Main_S[Industry],Main_S[A/E]),1)</f>
        <v>2.8325</v>
      </c>
      <c r="W27" s="1" cm="1">
        <f t="array" ref="W27">_xlfn.QUARTILE.INC(IF(Quartile_S[[#This Row],[Industry]]=Main_S[Industry],Main_S[A/E]),3)</f>
        <v>4.8925000000000001</v>
      </c>
      <c r="X27" s="1">
        <f>Quartile_S[[#This Row],[A/E Q1]]-1.5*(Quartile_S[[#This Row],[A/E Q3]]-Quartile_S[[#This Row],[A/E Q1]])</f>
        <v>-0.25749999999999984</v>
      </c>
      <c r="Y27" s="1">
        <f>Quartile_S[[#This Row],[A/E Q3]]+1.5*(Quartile_S[[#This Row],[A/E Q3]]-Quartile_S[[#This Row],[A/E Q1]])</f>
        <v>7.9824999999999999</v>
      </c>
    </row>
    <row r="28" spans="1:25" x14ac:dyDescent="0.25">
      <c r="A28" t="s">
        <v>251</v>
      </c>
      <c r="B28" s="1" cm="1">
        <f t="array" ref="B28">_xlfn.QUARTILE.INC(IF(Quartile_S[[#This Row],[Industry]]=Main_S[Industry],Main_S[P/FCF]),1)</f>
        <v>4.016336520947176</v>
      </c>
      <c r="C28" s="1" cm="1">
        <f t="array" ref="C28">_xlfn.QUARTILE.INC(IF(Quartile_S[[#This Row],[Industry]]=Main_S[Industry],Main_S[P/FCF]),3)</f>
        <v>10.683499999999999</v>
      </c>
      <c r="D28" s="1">
        <f>Quartile_S[[#This Row],[P/FCF Q1]]-1.5*(Quartile_S[[#This Row],[P/FCF Q3]]-Quartile_S[[#This Row],[P/FCF Q1]])</f>
        <v>-5.9844086976320572</v>
      </c>
      <c r="E28" s="1">
        <f>Quartile_S[[#This Row],[P/FCF Q3]]+1.5*(Quartile_S[[#This Row],[P/FCF Q3]]-Quartile_S[[#This Row],[P/FCF Q1]])</f>
        <v>20.684245218579232</v>
      </c>
      <c r="F28" s="1" cm="1">
        <f t="array" ref="F28">_xlfn.QUARTILE.INC(IF(Quartile_S[[#This Row],[Industry]]=Main_S[Industry],Main_S[P/B]),1)</f>
        <v>0.60188695553985605</v>
      </c>
      <c r="G28" s="1" cm="1">
        <f t="array" ref="G28">_xlfn.QUARTILE.INC(IF(Quartile_S[[#This Row],[Industry]]=Main_S[Industry],Main_S[P/B]),3)</f>
        <v>0.84164937509047921</v>
      </c>
      <c r="H28" s="1">
        <f>Quartile_S[[#This Row],[P/B Q1]]-1.5*(Quartile_S[[#This Row],[P/B Q3]]-Quartile_S[[#This Row],[P/B Q1]])</f>
        <v>0.24224332621392131</v>
      </c>
      <c r="I28" s="1">
        <f>Quartile_S[[#This Row],[P/B Q3]]+1.5*(Quartile_S[[#This Row],[P/B Q3]]-Quartile_S[[#This Row],[P/B Q1]])</f>
        <v>1.2012930044164141</v>
      </c>
      <c r="J28" s="1" cm="1">
        <f t="array" ref="J28">_xlfn.QUARTILE.INC(IF(Quartile_S[[#This Row],[Industry]]=Main_S[Industry],Main_S[ROE]),1)</f>
        <v>0.59750000000000003</v>
      </c>
      <c r="K28" s="1" cm="1">
        <f t="array" ref="K28">_xlfn.QUARTILE.INC(IF(Quartile_S[[#This Row],[Industry]]=Main_S[Industry],Main_S[ROE]),3)</f>
        <v>6.665</v>
      </c>
      <c r="L28" s="1">
        <f>Quartile_S[[#This Row],[ROE Q1]]-1.5*(Quartile_S[[#This Row],[ROE Q3]]-Quartile_S[[#This Row],[ROE Q1]])</f>
        <v>-8.5037500000000001</v>
      </c>
      <c r="M28" s="1">
        <f>Quartile_S[[#This Row],[ROE Q3]]+1.5*(Quartile_S[[#This Row],[ROE Q3]]-Quartile_S[[#This Row],[ROE Q1]])</f>
        <v>15.766249999999999</v>
      </c>
      <c r="N28" s="1" cm="1">
        <f t="array" ref="N28">_xlfn.QUARTILE.INC(IF(Quartile_S[[#This Row],[Industry]]=Main_S[Industry],Main_S[ROA]),1)</f>
        <v>0.14749999999999999</v>
      </c>
      <c r="O28" s="1" cm="1">
        <f t="array" ref="O28">_xlfn.QUARTILE.INC(IF(Quartile_S[[#This Row],[Industry]]=Main_S[Industry],Main_S[ROA]),3)</f>
        <v>1.32</v>
      </c>
      <c r="P28" s="1">
        <f>Quartile_S[[#This Row],[ROA Q1]]-1.5*(Quartile_S[[#This Row],[ROA Q3]]-Quartile_S[[#This Row],[ROA Q1]])</f>
        <v>-1.6112500000000001</v>
      </c>
      <c r="Q28" s="1">
        <f>Quartile_S[[#This Row],[ROA Q3]]+1.5*(Quartile_S[[#This Row],[ROA Q3]]-Quartile_S[[#This Row],[ROA Q1]])</f>
        <v>3.0787500000000003</v>
      </c>
      <c r="R28" s="1" cm="1">
        <f t="array" ref="R28">_xlfn.QUARTILE.INC(IF(Quartile_S[[#This Row],[Industry]]=Main_S[Industry],Main_S[P/E]),1)</f>
        <v>-6.2106894841269851</v>
      </c>
      <c r="S28" s="1" cm="1">
        <f t="array" ref="S28">_xlfn.QUARTILE.INC(IF(Quartile_S[[#This Row],[Industry]]=Main_S[Industry],Main_S[P/E]),3)</f>
        <v>14.550978445830971</v>
      </c>
      <c r="T28" s="1">
        <f>Quartile_S[[#This Row],[P/E Q1]]-1.5*(Quartile_S[[#This Row],[P/E Q3]]-Quartile_S[[#This Row],[P/E Q1]])</f>
        <v>-37.353191379063922</v>
      </c>
      <c r="U28" s="1">
        <f>Quartile_S[[#This Row],[P/E Q3]]+1.5*(Quartile_S[[#This Row],[P/E Q3]]-Quartile_S[[#This Row],[P/E Q1]])</f>
        <v>45.693480340767906</v>
      </c>
      <c r="V28" s="1" cm="1">
        <f t="array" ref="V28">_xlfn.QUARTILE.INC(IF(Quartile_S[[#This Row],[Industry]]=Main_S[Industry],Main_S[A/E]),1)</f>
        <v>3.8324999999999996</v>
      </c>
      <c r="W28" s="1" cm="1">
        <f t="array" ref="W28">_xlfn.QUARTILE.INC(IF(Quartile_S[[#This Row],[Industry]]=Main_S[Industry],Main_S[A/E]),3)</f>
        <v>9.9400000000000013</v>
      </c>
      <c r="X28" s="1">
        <f>Quartile_S[[#This Row],[A/E Q1]]-1.5*(Quartile_S[[#This Row],[A/E Q3]]-Quartile_S[[#This Row],[A/E Q1]])</f>
        <v>-5.328750000000003</v>
      </c>
      <c r="Y28" s="1">
        <f>Quartile_S[[#This Row],[A/E Q3]]+1.5*(Quartile_S[[#This Row],[A/E Q3]]-Quartile_S[[#This Row],[A/E Q1]])</f>
        <v>19.101250000000004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42.7109375" bestFit="1" customWidth="1"/>
    <col min="2" max="2" width="14.85546875" bestFit="1" customWidth="1"/>
    <col min="3" max="3" width="15.42578125" bestFit="1" customWidth="1"/>
    <col min="5" max="5" width="42.7109375" bestFit="1" customWidth="1"/>
    <col min="6" max="6" width="14" bestFit="1" customWidth="1"/>
    <col min="7" max="7" width="14.5703125" bestFit="1" customWidth="1"/>
    <col min="9" max="9" width="42.710937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5.813419040108837E-4</v>
      </c>
      <c r="C5" s="1">
        <v>12.711462433864881</v>
      </c>
      <c r="E5" s="6" t="s">
        <v>105</v>
      </c>
      <c r="F5" s="1">
        <v>1.3469875571432541</v>
      </c>
      <c r="G5" s="1">
        <v>0.56800065829664503</v>
      </c>
      <c r="I5" s="6" t="s">
        <v>105</v>
      </c>
      <c r="J5" s="1">
        <v>11.662894736842107</v>
      </c>
      <c r="K5" s="1">
        <v>3.455961978877363</v>
      </c>
    </row>
    <row r="6" spans="1:11" x14ac:dyDescent="0.25">
      <c r="A6" s="6" t="s">
        <v>173</v>
      </c>
      <c r="B6" s="1">
        <v>15.95041125120945</v>
      </c>
      <c r="C6" s="1">
        <v>16.859127864927952</v>
      </c>
      <c r="E6" s="6" t="s">
        <v>173</v>
      </c>
      <c r="F6" s="1">
        <v>3.9785211027808494</v>
      </c>
      <c r="G6" s="1">
        <v>2.4898552882628899</v>
      </c>
      <c r="I6" s="6" t="s">
        <v>173</v>
      </c>
      <c r="J6" s="1">
        <v>14.920540540540539</v>
      </c>
      <c r="K6" s="1">
        <v>7.2186979232972499</v>
      </c>
    </row>
    <row r="7" spans="1:11" x14ac:dyDescent="0.25">
      <c r="A7" s="6" t="s">
        <v>166</v>
      </c>
      <c r="B7" s="1">
        <v>6.5682141376291314</v>
      </c>
      <c r="C7" s="1">
        <v>9.3233832217821053</v>
      </c>
      <c r="E7" s="6" t="s">
        <v>166</v>
      </c>
      <c r="F7" s="1">
        <v>3.3597359034531968</v>
      </c>
      <c r="G7" s="1">
        <v>2.0156610711047214</v>
      </c>
      <c r="I7" s="6" t="s">
        <v>166</v>
      </c>
      <c r="J7" s="1">
        <v>19.376000000000005</v>
      </c>
      <c r="K7" s="1">
        <v>10.720708185563108</v>
      </c>
    </row>
    <row r="8" spans="1:11" x14ac:dyDescent="0.25">
      <c r="A8" s="6" t="s">
        <v>150</v>
      </c>
      <c r="B8" s="1">
        <v>23.586702303395953</v>
      </c>
      <c r="C8" s="1">
        <v>11.712613302021381</v>
      </c>
      <c r="E8" s="6" t="s">
        <v>150</v>
      </c>
      <c r="F8" s="1">
        <v>6.7012393625906288</v>
      </c>
      <c r="G8" s="1">
        <v>6.0790816866481183</v>
      </c>
      <c r="I8" s="6" t="s">
        <v>150</v>
      </c>
      <c r="J8" s="1">
        <v>17.196428571428566</v>
      </c>
      <c r="K8" s="1">
        <v>14.732060571198774</v>
      </c>
    </row>
    <row r="9" spans="1:11" x14ac:dyDescent="0.25">
      <c r="A9" s="6" t="s">
        <v>215</v>
      </c>
      <c r="B9" s="1">
        <v>12.463784833561485</v>
      </c>
      <c r="C9" s="1">
        <v>9.1978279492221375</v>
      </c>
      <c r="E9" s="6" t="s">
        <v>215</v>
      </c>
      <c r="F9" s="1">
        <v>2.1600595533586167</v>
      </c>
      <c r="G9" s="1">
        <v>1.0792264804883087</v>
      </c>
      <c r="I9" s="6" t="s">
        <v>215</v>
      </c>
      <c r="J9" s="1">
        <v>14.146250000000002</v>
      </c>
      <c r="K9" s="1">
        <v>6.341734655242206</v>
      </c>
    </row>
    <row r="10" spans="1:11" x14ac:dyDescent="0.25">
      <c r="A10" s="6" t="s">
        <v>251</v>
      </c>
      <c r="B10" s="1">
        <v>4.0580912863070537</v>
      </c>
      <c r="C10" s="1">
        <v>0</v>
      </c>
      <c r="E10" s="6" t="s">
        <v>251</v>
      </c>
      <c r="F10" s="1">
        <v>0.98738011105502277</v>
      </c>
      <c r="G10" s="1">
        <v>0</v>
      </c>
      <c r="I10" s="6" t="s">
        <v>251</v>
      </c>
      <c r="J10" s="1">
        <v>5.51</v>
      </c>
      <c r="K10" s="1">
        <v>0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0.95071428571428607</v>
      </c>
      <c r="C25" s="1">
        <v>0.53259201242665988</v>
      </c>
      <c r="E25" s="6" t="s">
        <v>105</v>
      </c>
      <c r="F25" s="1">
        <v>13.984186046511624</v>
      </c>
      <c r="G25" s="1">
        <v>4.4868149124306562</v>
      </c>
      <c r="I25" s="6" t="s">
        <v>105</v>
      </c>
      <c r="J25" s="1">
        <v>12.029354627286544</v>
      </c>
      <c r="K25" s="1">
        <v>2.9083477844355179</v>
      </c>
    </row>
    <row r="26" spans="1:11" x14ac:dyDescent="0.25">
      <c r="A26" s="6" t="s">
        <v>173</v>
      </c>
      <c r="B26" s="1">
        <v>4.5465</v>
      </c>
      <c r="C26" s="1">
        <v>3.926830496723789</v>
      </c>
      <c r="E26" s="6" t="s">
        <v>173</v>
      </c>
      <c r="F26" s="1">
        <v>6.7002564102564088</v>
      </c>
      <c r="G26" s="1">
        <v>5.7607217706524558</v>
      </c>
      <c r="I26" s="6" t="s">
        <v>173</v>
      </c>
      <c r="J26" s="1">
        <v>26.551157553495159</v>
      </c>
      <c r="K26" s="1">
        <v>11.843160107896546</v>
      </c>
    </row>
    <row r="27" spans="1:11" x14ac:dyDescent="0.25">
      <c r="A27" s="6" t="s">
        <v>166</v>
      </c>
      <c r="B27" s="1">
        <v>2.3519999999999999</v>
      </c>
      <c r="C27" s="1">
        <v>1.0337388451635166</v>
      </c>
      <c r="E27" s="6" t="s">
        <v>166</v>
      </c>
      <c r="F27" s="1">
        <v>7.4716666666666667</v>
      </c>
      <c r="G27" s="1">
        <v>1.3747656365924965</v>
      </c>
      <c r="I27" s="6" t="s">
        <v>166</v>
      </c>
      <c r="J27" s="1">
        <v>16.398496075366076</v>
      </c>
      <c r="K27" s="1">
        <v>8.8804819024463058</v>
      </c>
    </row>
    <row r="28" spans="1:11" x14ac:dyDescent="0.25">
      <c r="A28" s="6" t="s">
        <v>150</v>
      </c>
      <c r="B28" s="1">
        <v>2.2958333333333329</v>
      </c>
      <c r="C28" s="1">
        <v>2.1807661434051617</v>
      </c>
      <c r="E28" s="6" t="s">
        <v>150</v>
      </c>
      <c r="F28" s="1">
        <v>3.2933333333333334</v>
      </c>
      <c r="G28" s="1">
        <v>1.7214157610008738</v>
      </c>
      <c r="I28" s="6" t="s">
        <v>150</v>
      </c>
      <c r="J28" s="1">
        <v>24.904980775604795</v>
      </c>
      <c r="K28" s="1">
        <v>13.361148034857159</v>
      </c>
    </row>
    <row r="29" spans="1:11" x14ac:dyDescent="0.25">
      <c r="A29" s="6" t="s">
        <v>215</v>
      </c>
      <c r="B29" s="1">
        <v>2.4015625000000003</v>
      </c>
      <c r="C29" s="1">
        <v>1.6752408583823841</v>
      </c>
      <c r="E29" s="6" t="s">
        <v>215</v>
      </c>
      <c r="F29" s="1">
        <v>6.2729032258064539</v>
      </c>
      <c r="G29" s="1">
        <v>4.03489552452855</v>
      </c>
      <c r="I29" s="6" t="s">
        <v>215</v>
      </c>
      <c r="J29" s="1">
        <v>14.817913468508454</v>
      </c>
      <c r="K29" s="1">
        <v>3.688940217779709</v>
      </c>
    </row>
    <row r="30" spans="1:11" x14ac:dyDescent="0.25">
      <c r="A30" s="6" t="s">
        <v>251</v>
      </c>
      <c r="B30" s="1">
        <v>0.69</v>
      </c>
      <c r="C30" s="1">
        <v>0</v>
      </c>
      <c r="E30" s="6" t="s">
        <v>251</v>
      </c>
      <c r="F30" s="1">
        <v>9.17</v>
      </c>
      <c r="G30" s="1">
        <v>0</v>
      </c>
      <c r="I30" s="6" t="s">
        <v>251</v>
      </c>
      <c r="J30" s="1">
        <v>21.032258064516128</v>
      </c>
      <c r="K30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42.7109375" bestFit="1" customWidth="1"/>
    <col min="2" max="2" width="16.28515625" bestFit="1" customWidth="1"/>
    <col min="3" max="3" width="16.85546875" bestFit="1" customWidth="1"/>
    <col min="5" max="5" width="42.7109375" bestFit="1" customWidth="1"/>
    <col min="6" max="6" width="14" bestFit="1" customWidth="1"/>
    <col min="7" max="7" width="14.5703125" bestFit="1" customWidth="1"/>
    <col min="9" max="9" width="42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11.034418855520341</v>
      </c>
      <c r="C5" s="1">
        <v>5.3310688750047515</v>
      </c>
      <c r="E5" s="6" t="s">
        <v>105</v>
      </c>
      <c r="F5" s="1">
        <v>1.1977218385472459</v>
      </c>
      <c r="G5" s="1">
        <v>0.3547508908746268</v>
      </c>
      <c r="I5" s="6" t="s">
        <v>105</v>
      </c>
      <c r="J5" s="1">
        <v>9.5076470588235278</v>
      </c>
      <c r="K5" s="1">
        <v>3.5293425973614703</v>
      </c>
    </row>
    <row r="6" spans="1:11" x14ac:dyDescent="0.25">
      <c r="A6" s="6" t="s">
        <v>173</v>
      </c>
      <c r="B6" s="1">
        <v>11.668932258083208</v>
      </c>
      <c r="C6" s="1">
        <v>8.0077875823351192</v>
      </c>
      <c r="E6" s="6" t="s">
        <v>173</v>
      </c>
      <c r="F6" s="1">
        <v>3.9269036204113457</v>
      </c>
      <c r="G6" s="1">
        <v>2.9825677229557863</v>
      </c>
      <c r="I6" s="6" t="s">
        <v>173</v>
      </c>
      <c r="J6" s="1">
        <v>20.493870967741941</v>
      </c>
      <c r="K6" s="1">
        <v>14.691859645882758</v>
      </c>
    </row>
    <row r="7" spans="1:11" x14ac:dyDescent="0.25">
      <c r="A7" s="6" t="s">
        <v>166</v>
      </c>
      <c r="B7" s="1">
        <v>5.3639966307861906</v>
      </c>
      <c r="C7" s="1">
        <v>3.7230720882542374</v>
      </c>
      <c r="E7" s="6" t="s">
        <v>166</v>
      </c>
      <c r="F7" s="1">
        <v>1.8038240427136463</v>
      </c>
      <c r="G7" s="1">
        <v>1.003099056632865</v>
      </c>
      <c r="I7" s="6" t="s">
        <v>166</v>
      </c>
      <c r="J7" s="1">
        <v>10.562727272727274</v>
      </c>
      <c r="K7" s="1">
        <v>13.472576247466614</v>
      </c>
    </row>
    <row r="8" spans="1:11" x14ac:dyDescent="0.25">
      <c r="A8" s="6" t="s">
        <v>150</v>
      </c>
      <c r="B8" s="1">
        <v>9.7460217378557701</v>
      </c>
      <c r="C8" s="1">
        <v>11.453048725897862</v>
      </c>
      <c r="E8" s="6" t="s">
        <v>150</v>
      </c>
      <c r="F8" s="1">
        <v>3.2749912927477918</v>
      </c>
      <c r="G8" s="1">
        <v>2.6128772078838836</v>
      </c>
      <c r="I8" s="6" t="s">
        <v>150</v>
      </c>
      <c r="J8" s="1">
        <v>18.470399999999998</v>
      </c>
      <c r="K8" s="1">
        <v>26.207670400857836</v>
      </c>
    </row>
    <row r="9" spans="1:11" x14ac:dyDescent="0.25">
      <c r="A9" s="6" t="s">
        <v>215</v>
      </c>
      <c r="B9" s="1">
        <v>8.2520562769077408</v>
      </c>
      <c r="C9" s="1">
        <v>5.0937155629737578</v>
      </c>
      <c r="E9" s="6" t="s">
        <v>215</v>
      </c>
      <c r="F9" s="1">
        <v>2.1393909411946397</v>
      </c>
      <c r="G9" s="1">
        <v>1.4206132815565089</v>
      </c>
      <c r="I9" s="6" t="s">
        <v>215</v>
      </c>
      <c r="J9" s="1">
        <v>13.808399999999999</v>
      </c>
      <c r="K9" s="1">
        <v>9.9520195658971691</v>
      </c>
    </row>
    <row r="10" spans="1:11" x14ac:dyDescent="0.25">
      <c r="A10" s="6" t="s">
        <v>251</v>
      </c>
      <c r="B10" s="1">
        <v>9.7506543274291158</v>
      </c>
      <c r="C10" s="1">
        <v>2.1345871406434727</v>
      </c>
      <c r="E10" s="6" t="s">
        <v>251</v>
      </c>
      <c r="F10" s="1">
        <v>0.96199379025665332</v>
      </c>
      <c r="G10" s="1">
        <v>6.2312882129184989E-2</v>
      </c>
      <c r="I10" s="6" t="s">
        <v>251</v>
      </c>
      <c r="J10" s="1">
        <v>5.1859999999999999</v>
      </c>
      <c r="K10" s="1">
        <v>3.9682419281087187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1.1184285714285713</v>
      </c>
      <c r="C25" s="1">
        <v>0.47070353336949949</v>
      </c>
      <c r="E25" s="6" t="s">
        <v>105</v>
      </c>
      <c r="F25" s="1">
        <v>8.7856521739130446</v>
      </c>
      <c r="G25" s="1">
        <v>1.8833476810489955</v>
      </c>
      <c r="I25" s="6" t="s">
        <v>105</v>
      </c>
      <c r="J25" s="1">
        <v>14.343124188203932</v>
      </c>
      <c r="K25" s="1">
        <v>3.8144995165408355</v>
      </c>
    </row>
    <row r="26" spans="1:11" x14ac:dyDescent="0.25">
      <c r="A26" s="6" t="s">
        <v>173</v>
      </c>
      <c r="B26" s="1">
        <v>6.4846666666666675</v>
      </c>
      <c r="C26" s="1">
        <v>5.1887485538957803</v>
      </c>
      <c r="E26" s="6" t="s">
        <v>173</v>
      </c>
      <c r="F26" s="1">
        <v>3.8825925925925926</v>
      </c>
      <c r="G26" s="1">
        <v>3.4390024313611782</v>
      </c>
      <c r="I26" s="6" t="s">
        <v>173</v>
      </c>
      <c r="J26" s="1">
        <v>17.967556191377373</v>
      </c>
      <c r="K26" s="1">
        <v>7.8092764906228771</v>
      </c>
    </row>
    <row r="27" spans="1:11" x14ac:dyDescent="0.25">
      <c r="A27" s="6" t="s">
        <v>166</v>
      </c>
      <c r="B27" s="1">
        <v>5.0536363636363637</v>
      </c>
      <c r="C27" s="1">
        <v>5.4859809311425334</v>
      </c>
      <c r="E27" s="6" t="s">
        <v>166</v>
      </c>
      <c r="F27" s="1">
        <v>4.9663636363636368</v>
      </c>
      <c r="G27" s="1">
        <v>3.3511850623792836</v>
      </c>
      <c r="I27" s="6" t="s">
        <v>166</v>
      </c>
      <c r="J27" s="1">
        <v>12.133544974217628</v>
      </c>
      <c r="K27" s="1">
        <v>7.6173996623997571</v>
      </c>
    </row>
    <row r="28" spans="1:11" x14ac:dyDescent="0.25">
      <c r="A28" s="6" t="s">
        <v>150</v>
      </c>
      <c r="B28" s="1">
        <v>4.255454545454544</v>
      </c>
      <c r="C28" s="1">
        <v>3.367751782141271</v>
      </c>
      <c r="E28" s="6" t="s">
        <v>150</v>
      </c>
      <c r="F28" s="1">
        <v>3.7033333333333331</v>
      </c>
      <c r="G28" s="1">
        <v>2.5501079964681486</v>
      </c>
      <c r="I28" s="6" t="s">
        <v>150</v>
      </c>
      <c r="J28" s="1">
        <v>15.644101660415682</v>
      </c>
      <c r="K28" s="1">
        <v>7.5882657035109311</v>
      </c>
    </row>
    <row r="29" spans="1:11" x14ac:dyDescent="0.25">
      <c r="A29" s="6" t="s">
        <v>215</v>
      </c>
      <c r="B29" s="1">
        <v>2.5100000000000002</v>
      </c>
      <c r="C29" s="1">
        <v>1.3693581221384945</v>
      </c>
      <c r="E29" s="6" t="s">
        <v>215</v>
      </c>
      <c r="F29" s="1">
        <v>4.7238095238095239</v>
      </c>
      <c r="G29" s="1">
        <v>1.8673879801692843</v>
      </c>
      <c r="I29" s="6" t="s">
        <v>215</v>
      </c>
      <c r="J29" s="1">
        <v>16.108654349662391</v>
      </c>
      <c r="K29" s="1">
        <v>8.3782501819763251</v>
      </c>
    </row>
    <row r="30" spans="1:11" x14ac:dyDescent="0.25">
      <c r="A30" s="6" t="s">
        <v>251</v>
      </c>
      <c r="B30" s="1">
        <v>1.1499999999999999</v>
      </c>
      <c r="C30" s="1">
        <v>0.58111960903070559</v>
      </c>
      <c r="E30" s="6" t="s">
        <v>251</v>
      </c>
      <c r="F30" s="1">
        <v>7.8140000000000001</v>
      </c>
      <c r="G30" s="1">
        <v>2.3591829093989327</v>
      </c>
      <c r="I30" s="6" t="s">
        <v>251</v>
      </c>
      <c r="J30" s="1">
        <v>15.334867320714693</v>
      </c>
      <c r="K30" s="1">
        <v>5.3556554395540017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42.7109375" bestFit="1" customWidth="1"/>
    <col min="2" max="2" width="16.28515625" bestFit="1" customWidth="1"/>
    <col min="3" max="3" width="16.85546875" bestFit="1" customWidth="1"/>
    <col min="5" max="5" width="42.7109375" bestFit="1" customWidth="1"/>
    <col min="6" max="6" width="14" bestFit="1" customWidth="1"/>
    <col min="7" max="7" width="14.5703125" bestFit="1" customWidth="1"/>
    <col min="9" max="9" width="42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10.894218744368851</v>
      </c>
      <c r="C5" s="1">
        <v>3.8230167051107733</v>
      </c>
      <c r="E5" s="6" t="s">
        <v>105</v>
      </c>
      <c r="F5" s="1">
        <v>1.0985793178882528</v>
      </c>
      <c r="G5" s="1">
        <v>0.28031890822238115</v>
      </c>
      <c r="I5" s="6" t="s">
        <v>105</v>
      </c>
      <c r="J5" s="1">
        <v>9.4195384615384636</v>
      </c>
      <c r="K5" s="1">
        <v>4.1060278131506642</v>
      </c>
    </row>
    <row r="6" spans="1:11" x14ac:dyDescent="0.25">
      <c r="A6" s="6" t="s">
        <v>173</v>
      </c>
      <c r="B6" s="1">
        <v>8.0890983197591559</v>
      </c>
      <c r="C6" s="1">
        <v>10.569176084385031</v>
      </c>
      <c r="E6" s="6" t="s">
        <v>173</v>
      </c>
      <c r="F6" s="1">
        <v>1.471874655351999</v>
      </c>
      <c r="G6" s="1">
        <v>1.0753594562590465</v>
      </c>
      <c r="I6" s="6" t="s">
        <v>173</v>
      </c>
      <c r="J6" s="1">
        <v>10.895714285714289</v>
      </c>
      <c r="K6" s="1">
        <v>6.4212979487747388</v>
      </c>
    </row>
    <row r="7" spans="1:11" x14ac:dyDescent="0.25">
      <c r="A7" s="6" t="s">
        <v>166</v>
      </c>
      <c r="B7" s="1">
        <v>5.1168735317182374</v>
      </c>
      <c r="C7" s="1">
        <v>7.096913609844365</v>
      </c>
      <c r="E7" s="6" t="s">
        <v>166</v>
      </c>
      <c r="F7" s="1">
        <v>1.088719247867123</v>
      </c>
      <c r="G7" s="1">
        <v>0.58389679291849483</v>
      </c>
      <c r="I7" s="6" t="s">
        <v>166</v>
      </c>
      <c r="J7" s="1">
        <v>15.028333333333336</v>
      </c>
      <c r="K7" s="1">
        <v>15.60682267115536</v>
      </c>
    </row>
    <row r="8" spans="1:11" x14ac:dyDescent="0.25">
      <c r="A8" s="6" t="s">
        <v>150</v>
      </c>
      <c r="B8" s="1">
        <v>5.5227300910479586</v>
      </c>
      <c r="C8" s="1">
        <v>13.539500345043686</v>
      </c>
      <c r="E8" s="6" t="s">
        <v>150</v>
      </c>
      <c r="F8" s="1">
        <v>1.5140210433100441</v>
      </c>
      <c r="G8" s="1">
        <v>0.94972728986649135</v>
      </c>
      <c r="I8" s="6" t="s">
        <v>150</v>
      </c>
      <c r="J8" s="1">
        <v>6.3265000000000002</v>
      </c>
      <c r="K8" s="1">
        <v>7.9691023804441121</v>
      </c>
    </row>
    <row r="9" spans="1:11" x14ac:dyDescent="0.25">
      <c r="A9" s="6" t="s">
        <v>215</v>
      </c>
      <c r="B9" s="1">
        <v>9.0272909971548749</v>
      </c>
      <c r="C9" s="1">
        <v>7.4144022155639249</v>
      </c>
      <c r="E9" s="6" t="s">
        <v>215</v>
      </c>
      <c r="F9" s="1">
        <v>1.5463896553886702</v>
      </c>
      <c r="G9" s="1">
        <v>0.87026066438361871</v>
      </c>
      <c r="I9" s="6" t="s">
        <v>215</v>
      </c>
      <c r="J9" s="1">
        <v>9.7213793103448296</v>
      </c>
      <c r="K9" s="1">
        <v>9.4807280835416154</v>
      </c>
    </row>
    <row r="10" spans="1:11" x14ac:dyDescent="0.25">
      <c r="A10" s="6" t="s">
        <v>251</v>
      </c>
      <c r="B10" s="1">
        <v>6.1887601759104101</v>
      </c>
      <c r="C10" s="1">
        <v>4.3939249307398036</v>
      </c>
      <c r="E10" s="6" t="s">
        <v>251</v>
      </c>
      <c r="F10" s="1">
        <v>0.73849310790308464</v>
      </c>
      <c r="G10" s="1">
        <v>0.17460765104583054</v>
      </c>
      <c r="I10" s="6" t="s">
        <v>251</v>
      </c>
      <c r="J10" s="1">
        <v>4.4544999999999995</v>
      </c>
      <c r="K10" s="1">
        <v>5.1373149358395382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0.97171874999999985</v>
      </c>
      <c r="C25" s="1">
        <v>0.43015278785384803</v>
      </c>
      <c r="E25" s="6" t="s">
        <v>105</v>
      </c>
      <c r="F25" s="1">
        <v>9.5663571428571448</v>
      </c>
      <c r="G25" s="1">
        <v>1.7291146416237198</v>
      </c>
      <c r="I25" s="6" t="s">
        <v>105</v>
      </c>
      <c r="J25" s="1">
        <v>12.32416316051612</v>
      </c>
      <c r="K25" s="1">
        <v>2.6222021038894545</v>
      </c>
    </row>
    <row r="26" spans="1:11" x14ac:dyDescent="0.25">
      <c r="A26" s="6" t="s">
        <v>173</v>
      </c>
      <c r="B26" s="1">
        <v>5.4709756097560973</v>
      </c>
      <c r="C26" s="1">
        <v>2.2799997912687626</v>
      </c>
      <c r="E26" s="6" t="s">
        <v>173</v>
      </c>
      <c r="F26" s="1">
        <v>2.169189189189189</v>
      </c>
      <c r="G26" s="1">
        <v>0.46014908499709978</v>
      </c>
      <c r="I26" s="6" t="s">
        <v>173</v>
      </c>
      <c r="J26" s="1">
        <v>11.936258352595509</v>
      </c>
      <c r="K26" s="1">
        <v>9.0943844737560777</v>
      </c>
    </row>
    <row r="27" spans="1:11" x14ac:dyDescent="0.25">
      <c r="A27" s="6" t="s">
        <v>166</v>
      </c>
      <c r="B27" s="1">
        <v>6.6563157894736831</v>
      </c>
      <c r="C27" s="1">
        <v>6.0395444325634848</v>
      </c>
      <c r="E27" s="6" t="s">
        <v>166</v>
      </c>
      <c r="F27" s="1">
        <v>3.6047058823529419</v>
      </c>
      <c r="G27" s="1">
        <v>2.3534658238612782</v>
      </c>
      <c r="I27" s="6" t="s">
        <v>166</v>
      </c>
      <c r="J27" s="1">
        <v>12.817290587318107</v>
      </c>
      <c r="K27" s="1">
        <v>16.806124918913952</v>
      </c>
    </row>
    <row r="28" spans="1:11" x14ac:dyDescent="0.25">
      <c r="A28" s="6" t="s">
        <v>150</v>
      </c>
      <c r="B28" s="1">
        <v>1.8756521739130434</v>
      </c>
      <c r="C28" s="1">
        <v>2.4245695737898409</v>
      </c>
      <c r="E28" s="6" t="s">
        <v>150</v>
      </c>
      <c r="F28" s="1">
        <v>5.3110000000000008</v>
      </c>
      <c r="G28" s="1">
        <v>3.5209755750359855</v>
      </c>
      <c r="I28" s="6" t="s">
        <v>150</v>
      </c>
      <c r="J28" s="1">
        <v>14.587656277393505</v>
      </c>
      <c r="K28" s="1">
        <v>19.639974922802349</v>
      </c>
    </row>
    <row r="29" spans="1:11" x14ac:dyDescent="0.25">
      <c r="A29" s="6" t="s">
        <v>215</v>
      </c>
      <c r="B29" s="1">
        <v>2.1992000000000003</v>
      </c>
      <c r="C29" s="1">
        <v>1.317160339518314</v>
      </c>
      <c r="E29" s="6" t="s">
        <v>215</v>
      </c>
      <c r="F29" s="1">
        <v>3.5808000000000004</v>
      </c>
      <c r="G29" s="1">
        <v>1.2592534931458381</v>
      </c>
      <c r="I29" s="6" t="s">
        <v>215</v>
      </c>
      <c r="J29" s="1">
        <v>14.339330774481011</v>
      </c>
      <c r="K29" s="1">
        <v>6.0261249481102954</v>
      </c>
    </row>
    <row r="30" spans="1:11" x14ac:dyDescent="0.25">
      <c r="A30" s="6" t="s">
        <v>251</v>
      </c>
      <c r="B30" s="1">
        <v>0.95500000000000007</v>
      </c>
      <c r="C30" s="1">
        <v>0.7000099205646223</v>
      </c>
      <c r="E30" s="6" t="s">
        <v>251</v>
      </c>
      <c r="F30" s="1">
        <v>7.4145454545454559</v>
      </c>
      <c r="G30" s="1">
        <v>4.1452806981090768</v>
      </c>
      <c r="I30" s="6" t="s">
        <v>251</v>
      </c>
      <c r="J30" s="1">
        <v>9.0855205289850947</v>
      </c>
      <c r="K30" s="1">
        <v>9.337055241108315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Financials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0/5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_xlfn._xlws.FILTER(_xlfn._xlws.FILTER(Main_L[], Main_L[Preliminary Criteria]="YES"), COUNTIF($A$8:$S$8,Main_L[#Headers]))</f>
        <v>#VALUE!</v>
      </c>
      <c r="C9" s="9"/>
      <c r="T9" t="e" vm="2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#VALUE!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3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Financials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4/5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5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3">_xlfn._xlws.FILTER(_xlfn._xlws.FILTER(Main_M[], Main_M[Preliminary Criteria]="YES"), COUNTIF($A$8:$S$8,Main_M[#Headers]))</f>
        <v>Capital Markets</v>
      </c>
      <c r="B9" t="str">
        <v>FHI</v>
      </c>
      <c r="C9" s="2">
        <v>3429</v>
      </c>
      <c r="D9" s="1">
        <v>42.82</v>
      </c>
      <c r="E9" s="1">
        <v>4.3499999999999996</v>
      </c>
      <c r="F9" s="1">
        <v>14.26</v>
      </c>
      <c r="G9" s="1">
        <v>3.58</v>
      </c>
      <c r="H9" s="1">
        <v>9.8436781609195414</v>
      </c>
      <c r="I9" s="1">
        <v>3.0028050490883591</v>
      </c>
      <c r="J9" s="1">
        <v>25.15</v>
      </c>
      <c r="K9" s="1">
        <v>14.02</v>
      </c>
      <c r="L9" s="1">
        <v>1.86</v>
      </c>
      <c r="M9" s="1">
        <v>11.960893854748603</v>
      </c>
      <c r="N9" s="1">
        <v>-0.22793487944037241</v>
      </c>
      <c r="O9" s="1">
        <v>-0.30983322330303559</v>
      </c>
      <c r="P9" s="1">
        <v>0.31691897040160533</v>
      </c>
      <c r="Q9" s="1">
        <v>1.4522448438315063</v>
      </c>
      <c r="R9" s="1">
        <v>-0.58813351632090527</v>
      </c>
      <c r="S9" s="1">
        <v>-0.76917014576720044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  <row r="10" spans="1:20" x14ac:dyDescent="0.25">
      <c r="A10" t="str">
        <v>Financial Services</v>
      </c>
      <c r="B10" t="str">
        <v>ACT</v>
      </c>
      <c r="C10" s="2">
        <v>5483</v>
      </c>
      <c r="D10" s="1">
        <v>36.119999999999997</v>
      </c>
      <c r="E10" s="1">
        <v>4.7</v>
      </c>
      <c r="F10" s="1">
        <v>33.96</v>
      </c>
      <c r="G10" s="1">
        <v>4.4400000000000004</v>
      </c>
      <c r="H10" s="1">
        <v>7.6851063829787227</v>
      </c>
      <c r="I10" s="1">
        <v>1.0636042402826855</v>
      </c>
      <c r="J10" s="1">
        <v>14.09</v>
      </c>
      <c r="K10" s="1">
        <v>9.11</v>
      </c>
      <c r="L10" s="1">
        <v>1.31</v>
      </c>
      <c r="M10" s="1">
        <v>8.1351351351351333</v>
      </c>
      <c r="N10" s="1">
        <v>-0.17994469457000253</v>
      </c>
      <c r="O10" s="1">
        <v>-0.84634174380359184</v>
      </c>
      <c r="P10" s="1">
        <v>-0.1671419066631965</v>
      </c>
      <c r="Q10" s="1">
        <v>1.4414795889318355</v>
      </c>
      <c r="R10" s="1">
        <v>-0.93852234362154641</v>
      </c>
      <c r="S10" s="1">
        <v>-0.98954976257701521</v>
      </c>
      <c r="T10">
        <f t="shared" si="0"/>
        <v>4</v>
      </c>
    </row>
    <row r="11" spans="1:20" x14ac:dyDescent="0.25">
      <c r="A11" t="str">
        <v>Financial Services</v>
      </c>
      <c r="B11" t="str">
        <v>ESNT</v>
      </c>
      <c r="C11" s="2">
        <v>6035</v>
      </c>
      <c r="D11" s="1">
        <v>59.47</v>
      </c>
      <c r="E11" s="1">
        <v>8.02</v>
      </c>
      <c r="F11" s="1">
        <v>53.36</v>
      </c>
      <c r="G11" s="1">
        <v>6.85</v>
      </c>
      <c r="H11" s="1">
        <v>7.4152119700748136</v>
      </c>
      <c r="I11" s="1">
        <v>1.1145052473763117</v>
      </c>
      <c r="J11" s="1">
        <v>13.63</v>
      </c>
      <c r="K11" s="1">
        <v>8.2200000000000006</v>
      </c>
      <c r="L11" s="1">
        <v>1.27</v>
      </c>
      <c r="M11" s="1">
        <v>8.6817518248175194</v>
      </c>
      <c r="N11" s="1">
        <v>-0.20350998442104618</v>
      </c>
      <c r="O11" s="1">
        <v>-0.82686091747924662</v>
      </c>
      <c r="P11" s="1">
        <v>-0.18469401995537765</v>
      </c>
      <c r="Q11" s="1">
        <v>1.1772083309609993</v>
      </c>
      <c r="R11" s="1">
        <v>-0.95420795382134949</v>
      </c>
      <c r="S11" s="1">
        <v>-0.91751529369574258</v>
      </c>
      <c r="T11">
        <f t="shared" si="0"/>
        <v>4</v>
      </c>
    </row>
    <row r="12" spans="1:20" x14ac:dyDescent="0.25">
      <c r="A12" t="str">
        <v>Financial Services</v>
      </c>
      <c r="B12" t="str">
        <v>MTG</v>
      </c>
      <c r="C12" s="2">
        <v>6221</v>
      </c>
      <c r="D12" s="1">
        <v>26.59</v>
      </c>
      <c r="E12" s="1">
        <v>2.97</v>
      </c>
      <c r="F12" s="1">
        <v>21.4</v>
      </c>
      <c r="G12" s="1">
        <v>3</v>
      </c>
      <c r="H12" s="1">
        <v>8.9528619528619515</v>
      </c>
      <c r="I12" s="1">
        <v>1.2425233644859814</v>
      </c>
      <c r="J12" s="1">
        <v>15.12</v>
      </c>
      <c r="K12" s="1">
        <v>9.75</v>
      </c>
      <c r="L12" s="1">
        <v>1.27</v>
      </c>
      <c r="M12" s="1">
        <v>8.8633333333333333</v>
      </c>
      <c r="N12" s="1">
        <v>-6.9253157301279081E-2</v>
      </c>
      <c r="O12" s="1">
        <v>-0.7778658415823011</v>
      </c>
      <c r="P12" s="1">
        <v>-0.12784043559592129</v>
      </c>
      <c r="Q12" s="1">
        <v>1.6315173474726619</v>
      </c>
      <c r="R12" s="1">
        <v>-0.95420795382134949</v>
      </c>
      <c r="S12" s="1">
        <v>-0.89358604350728388</v>
      </c>
      <c r="T12">
        <f t="shared" si="0"/>
        <v>4</v>
      </c>
    </row>
    <row r="13" spans="1:20" x14ac:dyDescent="0.25">
      <c r="A13" t="str">
        <v>Financial Services</v>
      </c>
      <c r="B13" t="str">
        <v>NMIH</v>
      </c>
      <c r="C13" s="2">
        <v>2987</v>
      </c>
      <c r="D13" s="1">
        <v>38</v>
      </c>
      <c r="E13" s="1">
        <v>4.75</v>
      </c>
      <c r="F13" s="1">
        <v>29.65</v>
      </c>
      <c r="G13" s="1">
        <v>4.63</v>
      </c>
      <c r="H13" s="1">
        <v>8</v>
      </c>
      <c r="I13" s="1">
        <v>1.2816188870151772</v>
      </c>
      <c r="J13" s="1">
        <v>17.38</v>
      </c>
      <c r="K13" s="1">
        <v>9.98</v>
      </c>
      <c r="L13" s="1">
        <v>1.49</v>
      </c>
      <c r="M13" s="1">
        <v>8.2073434125269973</v>
      </c>
      <c r="N13" s="1">
        <v>-0.15245038938039537</v>
      </c>
      <c r="O13" s="1">
        <v>-0.76290320866130812</v>
      </c>
      <c r="P13" s="1">
        <v>-4.1606139856074642E-2</v>
      </c>
      <c r="Q13" s="1">
        <v>1.6998121669482713</v>
      </c>
      <c r="R13" s="1">
        <v>-0.86793709772243288</v>
      </c>
      <c r="S13" s="1">
        <v>-0.98003398120967922</v>
      </c>
      <c r="T13">
        <f t="shared" si="0"/>
        <v>4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2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Financials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4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2">_xlfn._xlws.FILTER(_xlfn._xlws.FILTER(Main_S[], Main_S[Preliminary Criteria]="YES"), COUNTIF($A$8:$S$8,Main_S[#Headers]))</f>
        <v>Capital Markets</v>
      </c>
      <c r="B9" t="str">
        <v>RWAY</v>
      </c>
      <c r="C9">
        <v>335</v>
      </c>
      <c r="D9">
        <v>10.039999999999999</v>
      </c>
      <c r="E9">
        <v>1.8</v>
      </c>
      <c r="F9">
        <v>13.79</v>
      </c>
      <c r="G9">
        <v>1.89</v>
      </c>
      <c r="H9" s="1">
        <v>5.5777777777777775</v>
      </c>
      <c r="I9" s="1">
        <v>0.72806381435823053</v>
      </c>
      <c r="J9" s="1">
        <v>13.86</v>
      </c>
      <c r="K9" s="1">
        <v>6.22</v>
      </c>
      <c r="L9" s="1">
        <v>2.12</v>
      </c>
      <c r="M9" s="1">
        <v>5.3121693121693117</v>
      </c>
      <c r="N9" s="1">
        <v>-0.23760797643362377</v>
      </c>
      <c r="O9" s="1">
        <v>-0.69168577694135203</v>
      </c>
      <c r="P9" s="1">
        <v>0.46163341709620115</v>
      </c>
      <c r="Q9" s="1">
        <v>0.32851949948078246</v>
      </c>
      <c r="R9" s="1">
        <v>-0.1068983744464013</v>
      </c>
      <c r="S9" s="1">
        <v>-0.72837134382667879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5</v>
      </c>
    </row>
    <row r="10" spans="1:20" x14ac:dyDescent="0.25">
      <c r="A10" t="str">
        <v>Consumer Finance</v>
      </c>
      <c r="B10" t="str">
        <v>XYF</v>
      </c>
      <c r="C10">
        <v>542</v>
      </c>
      <c r="D10">
        <v>14.92</v>
      </c>
      <c r="E10">
        <v>4.3</v>
      </c>
      <c r="F10">
        <v>22.8</v>
      </c>
      <c r="G10">
        <v>4.32</v>
      </c>
      <c r="H10" s="1">
        <v>3.4697674418604652</v>
      </c>
      <c r="I10" s="1">
        <v>0.65438596491228063</v>
      </c>
      <c r="J10" s="1">
        <v>24.06</v>
      </c>
      <c r="K10" s="1">
        <v>19.71</v>
      </c>
      <c r="L10" s="1">
        <v>1.7</v>
      </c>
      <c r="M10" s="1">
        <v>3.4537037037037033</v>
      </c>
      <c r="N10" s="1">
        <v>-0.23208766238509887</v>
      </c>
      <c r="O10" s="1">
        <v>-0.74385283190872098</v>
      </c>
      <c r="P10" s="1">
        <v>0.57869989663937504</v>
      </c>
      <c r="Q10" s="1">
        <v>2.1613690165345272</v>
      </c>
      <c r="R10" s="1">
        <v>-0.80931954186100485</v>
      </c>
      <c r="S10" s="1">
        <v>-0.55715323602506572</v>
      </c>
      <c r="T10">
        <f>SUM(IF($I10 &lt; (0.7*VLOOKUP($A10, Mean_PB_S, 2, FALSE)),1,0), IF($J10&gt;VLOOKUP($A10, Mean_ROE_S, 2, FALSE),1,0), IF($K10&gt;VLOOKUP($A10, Mean_ROA_S, 2,FALSE),1,0), IF($M10&lt;VLOOKUP($A10, Mean_PE_S, 2, FALSE),1,0), IF(AND($M10&gt;1,$M10&lt;25),1,0))</f>
        <v>5</v>
      </c>
    </row>
    <row r="11" spans="1:20" x14ac:dyDescent="0.25">
      <c r="A11" t="str">
        <v>Consumer Finance</v>
      </c>
      <c r="B11" t="str">
        <v>YRD</v>
      </c>
      <c r="C11">
        <v>542</v>
      </c>
      <c r="D11">
        <v>6.51</v>
      </c>
      <c r="E11">
        <v>2.2400000000000002</v>
      </c>
      <c r="F11">
        <v>13.68</v>
      </c>
      <c r="G11">
        <v>2.48</v>
      </c>
      <c r="H11" s="1">
        <v>2.9062499999999996</v>
      </c>
      <c r="I11" s="1">
        <v>0.47587719298245612</v>
      </c>
      <c r="J11" s="1">
        <v>17.95</v>
      </c>
      <c r="K11" s="1">
        <v>13.52</v>
      </c>
      <c r="L11" s="1">
        <v>1.36</v>
      </c>
      <c r="M11" s="1">
        <v>2.625</v>
      </c>
      <c r="N11" s="1">
        <v>-0.31149083295191987</v>
      </c>
      <c r="O11" s="1">
        <v>-1.0495725654211847</v>
      </c>
      <c r="P11" s="1">
        <v>0.18720445078590586</v>
      </c>
      <c r="Q11" s="1">
        <v>1.1364572754062885</v>
      </c>
      <c r="R11" s="1">
        <v>-0.95378732913576081</v>
      </c>
      <c r="S11" s="1">
        <v>-0.60646286020684625</v>
      </c>
      <c r="T11">
        <f>SUM(IF($I11 &lt; (0.7*VLOOKUP($A11, Mean_PB_S, 2, FALSE)),1,0), IF($J11&gt;VLOOKUP($A11, Mean_ROE_S, 2, FALSE),1,0), IF($K11&gt;VLOOKUP($A11, Mean_ROA_S, 2,FALSE),1,0), IF($M11&lt;VLOOKUP($A11, Mean_PE_S, 2, FALSE),1,0), IF(AND($M11&gt;1,$M11&lt;25),1,0))</f>
        <v>5</v>
      </c>
    </row>
    <row r="12" spans="1:20" x14ac:dyDescent="0.25">
      <c r="A12" t="str">
        <v>Insurance</v>
      </c>
      <c r="B12" t="str">
        <v>HG</v>
      </c>
      <c r="C12">
        <v>1958</v>
      </c>
      <c r="D12">
        <v>20.67</v>
      </c>
      <c r="E12">
        <v>7.22</v>
      </c>
      <c r="F12">
        <v>22.95</v>
      </c>
      <c r="G12">
        <v>3.67</v>
      </c>
      <c r="H12" s="1">
        <v>2.8628808864265931</v>
      </c>
      <c r="I12" s="1">
        <v>0.90065359477124196</v>
      </c>
      <c r="J12" s="1">
        <v>28.02</v>
      </c>
      <c r="K12" s="1">
        <v>5.59</v>
      </c>
      <c r="L12" s="1">
        <v>3.35</v>
      </c>
      <c r="M12" s="1">
        <v>5.6321525885558588</v>
      </c>
      <c r="N12" s="1">
        <v>-0.83141026498242498</v>
      </c>
      <c r="O12" s="1">
        <v>-0.74200304235833192</v>
      </c>
      <c r="P12" s="1">
        <v>1.930086015379058</v>
      </c>
      <c r="Q12" s="1">
        <v>2.5743259178605515</v>
      </c>
      <c r="R12" s="1">
        <v>-0.18328319218985931</v>
      </c>
      <c r="S12" s="1">
        <v>-1.444905019544209</v>
      </c>
      <c r="T12">
        <f>SUM(IF($I12 &lt; (0.7*VLOOKUP($A12, Mean_PB_S, 2, FALSE)),1,0), IF($J12&gt;VLOOKUP($A12, Mean_ROE_S, 2, FALSE),1,0), IF($K12&gt;VLOOKUP($A12, Mean_ROA_S, 2,FALSE),1,0), IF($M12&lt;VLOOKUP($A12, Mean_PE_S, 2, FALSE),1,0), IF(AND($M12&gt;1,$M12&lt;25),1,0))</f>
        <v>5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2025-05-14T03:01:02Z</dcterms:modified>
</cp:coreProperties>
</file>